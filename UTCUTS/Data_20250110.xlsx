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4/UTCUTS_20250110/"/>
    </mc:Choice>
  </mc:AlternateContent>
  <xr:revisionPtr revIDLastSave="31" documentId="8_{13A0A4CD-0389-DA42-9EE9-2C8C69DEEDE4}" xr6:coauthVersionLast="47" xr6:coauthVersionMax="47" xr10:uidLastSave="{103B687C-1714-4E25-8D8E-549B35277C33}"/>
  <bookViews>
    <workbookView xWindow="-120" yWindow="-120" windowWidth="20730" windowHeight="11040" firstSheet="11" activeTab="14" xr2:uid="{A8787E16-FC4A-4C17-834A-1CD4F9161C2E}"/>
  </bookViews>
  <sheets>
    <sheet name="INGEI" sheetId="2" r:id="rId1"/>
    <sheet name="INGEI_diffs" sheetId="17" r:id="rId2"/>
    <sheet name="Pastizales" sheetId="25" r:id="rId3"/>
    <sheet name="Emisiones Tierras forestales" sheetId="21" r:id="rId4"/>
    <sheet name="Forestales" sheetId="26" r:id="rId5"/>
    <sheet name="Emisiones asentamientos" sheetId="22" r:id="rId6"/>
    <sheet name="Emisiones humedales" sheetId="23" r:id="rId7"/>
    <sheet name="5ta" sheetId="1" r:id="rId8"/>
    <sheet name="Emisiones otros cambios" sheetId="8" r:id="rId9"/>
    <sheet name="Hoja1" sheetId="18" r:id="rId10"/>
    <sheet name="Hoja6" sheetId="16" r:id="rId11"/>
    <sheet name="Medidas" sheetId="4" r:id="rId12"/>
    <sheet name="Cambio uso de suelo" sheetId="5" r:id="rId13"/>
    <sheet name="Coberturas" sheetId="3" r:id="rId14"/>
    <sheet name="Cambio uso de suelo (BAU)" sheetId="9" r:id="rId15"/>
    <sheet name="Cambio uso de suelo (INC)" sheetId="10" r:id="rId16"/>
    <sheet name="Cambio uso de suelo (CON)" sheetId="11" r:id="rId17"/>
    <sheet name="Emisiones forestales" sheetId="7" r:id="rId18"/>
    <sheet name="Comparación" sheetId="6" r:id="rId19"/>
    <sheet name="Medidas USCUSS" sheetId="24" r:id="rId20"/>
    <sheet name="Calibración_BAU_USCUSS" sheetId="12" r:id="rId21"/>
    <sheet name="Coberturas (PRIME)" sheetId="19" r:id="rId22"/>
    <sheet name="AGRICULTURA" sheetId="20" r:id="rId23"/>
  </sheets>
  <externalReferences>
    <externalReference r:id="rId2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L14" i="3"/>
  <c r="Q22" i="9"/>
  <c r="C45" i="17" l="1"/>
  <c r="C24" i="4"/>
  <c r="B24" i="4"/>
  <c r="B42" i="4"/>
  <c r="U26" i="3"/>
  <c r="R23" i="3"/>
  <c r="Q23" i="3"/>
  <c r="P23" i="3"/>
  <c r="N23" i="3"/>
  <c r="O23" i="3"/>
  <c r="D21" i="9"/>
  <c r="Q44" i="24"/>
  <c r="P44" i="24"/>
  <c r="P45" i="24"/>
  <c r="P35" i="24"/>
  <c r="P34" i="24"/>
  <c r="B52" i="24"/>
  <c r="B47" i="24"/>
  <c r="P22" i="10"/>
  <c r="C22" i="10"/>
  <c r="D22" i="10"/>
  <c r="N63" i="17"/>
  <c r="I47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B65" i="25"/>
  <c r="M73" i="17"/>
  <c r="B55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B64" i="25"/>
  <c r="F63" i="25"/>
  <c r="C162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B185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B149" i="21"/>
  <c r="B74" i="17"/>
  <c r="B26" i="26"/>
  <c r="B12" i="26"/>
  <c r="R87" i="1"/>
  <c r="I8" i="25"/>
  <c r="I31" i="25"/>
  <c r="I1" i="25"/>
  <c r="H73" i="17"/>
  <c r="I26" i="26"/>
  <c r="J26" i="26"/>
  <c r="K26" i="26"/>
  <c r="L26" i="26"/>
  <c r="M26" i="26"/>
  <c r="N26" i="26"/>
  <c r="I27" i="26"/>
  <c r="J27" i="26"/>
  <c r="K27" i="26"/>
  <c r="L27" i="26"/>
  <c r="M27" i="26"/>
  <c r="N27" i="26"/>
  <c r="I28" i="26"/>
  <c r="J28" i="26"/>
  <c r="K28" i="26"/>
  <c r="L28" i="26"/>
  <c r="M28" i="26"/>
  <c r="N28" i="26"/>
  <c r="I29" i="26"/>
  <c r="J29" i="26"/>
  <c r="K29" i="26"/>
  <c r="L29" i="26"/>
  <c r="M29" i="26"/>
  <c r="N29" i="26"/>
  <c r="I30" i="26"/>
  <c r="J30" i="26"/>
  <c r="K30" i="26"/>
  <c r="L30" i="26"/>
  <c r="M30" i="26"/>
  <c r="N30" i="26"/>
  <c r="I31" i="26"/>
  <c r="J31" i="26"/>
  <c r="K31" i="26"/>
  <c r="L31" i="26"/>
  <c r="M31" i="26"/>
  <c r="N31" i="26"/>
  <c r="I32" i="26"/>
  <c r="J32" i="26"/>
  <c r="K32" i="26"/>
  <c r="L32" i="26"/>
  <c r="M32" i="26"/>
  <c r="N32" i="26"/>
  <c r="I33" i="26"/>
  <c r="J33" i="26"/>
  <c r="K33" i="26"/>
  <c r="L33" i="26"/>
  <c r="M33" i="26"/>
  <c r="N33" i="26"/>
  <c r="I34" i="26"/>
  <c r="J34" i="26"/>
  <c r="K34" i="26"/>
  <c r="L34" i="26"/>
  <c r="M34" i="26"/>
  <c r="N34" i="26"/>
  <c r="C26" i="26"/>
  <c r="D26" i="26"/>
  <c r="E26" i="26"/>
  <c r="F26" i="26"/>
  <c r="G26" i="26"/>
  <c r="H26" i="26"/>
  <c r="C27" i="26"/>
  <c r="D27" i="26"/>
  <c r="E27" i="26"/>
  <c r="F27" i="26"/>
  <c r="G27" i="26"/>
  <c r="H27" i="26"/>
  <c r="C28" i="26"/>
  <c r="D28" i="26"/>
  <c r="E28" i="26"/>
  <c r="F28" i="26"/>
  <c r="G28" i="26"/>
  <c r="H28" i="26"/>
  <c r="C29" i="26"/>
  <c r="D29" i="26"/>
  <c r="E29" i="26"/>
  <c r="F29" i="26"/>
  <c r="G29" i="26"/>
  <c r="H29" i="26"/>
  <c r="C30" i="26"/>
  <c r="D30" i="26"/>
  <c r="E30" i="26"/>
  <c r="F30" i="26"/>
  <c r="G30" i="26"/>
  <c r="H30" i="26"/>
  <c r="C31" i="26"/>
  <c r="D31" i="26"/>
  <c r="E31" i="26"/>
  <c r="F31" i="26"/>
  <c r="G31" i="26"/>
  <c r="H31" i="26"/>
  <c r="C32" i="26"/>
  <c r="D32" i="26"/>
  <c r="E32" i="26"/>
  <c r="F32" i="26"/>
  <c r="G32" i="26"/>
  <c r="H32" i="26"/>
  <c r="C33" i="26"/>
  <c r="D33" i="26"/>
  <c r="E33" i="26"/>
  <c r="F33" i="26"/>
  <c r="G33" i="26"/>
  <c r="H33" i="26"/>
  <c r="C34" i="26"/>
  <c r="D34" i="26"/>
  <c r="E34" i="26"/>
  <c r="F34" i="26"/>
  <c r="G34" i="26"/>
  <c r="H34" i="26"/>
  <c r="B27" i="26"/>
  <c r="B28" i="26"/>
  <c r="B29" i="26"/>
  <c r="B30" i="26"/>
  <c r="B31" i="26"/>
  <c r="B32" i="26"/>
  <c r="B33" i="26"/>
  <c r="B34" i="26"/>
  <c r="C3" i="26"/>
  <c r="D3" i="26"/>
  <c r="E3" i="26"/>
  <c r="F3" i="26"/>
  <c r="G3" i="26"/>
  <c r="H3" i="26"/>
  <c r="I3" i="26"/>
  <c r="J3" i="26"/>
  <c r="K3" i="26"/>
  <c r="L3" i="26"/>
  <c r="M3" i="26"/>
  <c r="N3" i="26"/>
  <c r="C4" i="26"/>
  <c r="D4" i="26"/>
  <c r="E4" i="26"/>
  <c r="F4" i="26"/>
  <c r="G4" i="26"/>
  <c r="H4" i="26"/>
  <c r="I4" i="26"/>
  <c r="J4" i="26"/>
  <c r="K4" i="26"/>
  <c r="L4" i="26"/>
  <c r="M4" i="26"/>
  <c r="N4" i="26"/>
  <c r="C5" i="26"/>
  <c r="D5" i="26"/>
  <c r="E5" i="26"/>
  <c r="F5" i="26"/>
  <c r="G5" i="26"/>
  <c r="H5" i="26"/>
  <c r="I5" i="26"/>
  <c r="J5" i="26"/>
  <c r="K5" i="26"/>
  <c r="L5" i="26"/>
  <c r="M5" i="26"/>
  <c r="N5" i="26"/>
  <c r="C6" i="26"/>
  <c r="D6" i="26"/>
  <c r="E6" i="26"/>
  <c r="F6" i="26"/>
  <c r="G6" i="26"/>
  <c r="H6" i="26"/>
  <c r="I6" i="26"/>
  <c r="J6" i="26"/>
  <c r="K6" i="26"/>
  <c r="L6" i="26"/>
  <c r="M6" i="26"/>
  <c r="N6" i="26"/>
  <c r="C7" i="26"/>
  <c r="D7" i="26"/>
  <c r="E7" i="26"/>
  <c r="F7" i="26"/>
  <c r="G7" i="26"/>
  <c r="H7" i="26"/>
  <c r="I7" i="26"/>
  <c r="J7" i="26"/>
  <c r="K7" i="26"/>
  <c r="L7" i="26"/>
  <c r="M7" i="26"/>
  <c r="N7" i="26"/>
  <c r="C8" i="26"/>
  <c r="D8" i="26"/>
  <c r="E8" i="26"/>
  <c r="F8" i="26"/>
  <c r="G8" i="26"/>
  <c r="H8" i="26"/>
  <c r="I8" i="26"/>
  <c r="J8" i="26"/>
  <c r="K8" i="26"/>
  <c r="L8" i="26"/>
  <c r="M8" i="26"/>
  <c r="N8" i="26"/>
  <c r="C9" i="26"/>
  <c r="D9" i="26"/>
  <c r="E9" i="26"/>
  <c r="F9" i="26"/>
  <c r="G9" i="26"/>
  <c r="H9" i="26"/>
  <c r="I9" i="26"/>
  <c r="J9" i="26"/>
  <c r="K9" i="26"/>
  <c r="L9" i="26"/>
  <c r="M9" i="26"/>
  <c r="N9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B4" i="26"/>
  <c r="B5" i="26"/>
  <c r="B6" i="26"/>
  <c r="B7" i="26"/>
  <c r="B8" i="26"/>
  <c r="B9" i="26"/>
  <c r="B10" i="26"/>
  <c r="B11" i="26"/>
  <c r="B3" i="26"/>
  <c r="C1" i="26"/>
  <c r="D1" i="26"/>
  <c r="E1" i="26"/>
  <c r="F1" i="26"/>
  <c r="G1" i="26"/>
  <c r="H1" i="26"/>
  <c r="I1" i="26"/>
  <c r="J1" i="26"/>
  <c r="K1" i="26"/>
  <c r="L1" i="26"/>
  <c r="M1" i="26"/>
  <c r="N1" i="26"/>
  <c r="B1" i="26"/>
  <c r="B50" i="25"/>
  <c r="D23" i="17"/>
  <c r="E23" i="17"/>
  <c r="F23" i="17"/>
  <c r="G23" i="17"/>
  <c r="H23" i="17"/>
  <c r="I23" i="17"/>
  <c r="J23" i="17"/>
  <c r="K23" i="17"/>
  <c r="L23" i="17"/>
  <c r="M23" i="17"/>
  <c r="N23" i="17"/>
  <c r="O23" i="17"/>
  <c r="C23" i="17"/>
  <c r="B23" i="17"/>
  <c r="D15" i="2"/>
  <c r="D18" i="17"/>
  <c r="C1" i="25"/>
  <c r="C63" i="25"/>
  <c r="D47" i="9"/>
  <c r="B51" i="25"/>
  <c r="C59" i="25"/>
  <c r="D59" i="25"/>
  <c r="E59" i="25"/>
  <c r="F59" i="25"/>
  <c r="G59" i="25"/>
  <c r="H59" i="25"/>
  <c r="I59" i="25"/>
  <c r="J59" i="25"/>
  <c r="K59" i="25"/>
  <c r="L59" i="25"/>
  <c r="M59" i="25"/>
  <c r="N59" i="25"/>
  <c r="C55" i="25"/>
  <c r="D55" i="25"/>
  <c r="E55" i="25"/>
  <c r="F55" i="25"/>
  <c r="G55" i="25"/>
  <c r="H55" i="25"/>
  <c r="I55" i="25"/>
  <c r="J55" i="25"/>
  <c r="K55" i="25"/>
  <c r="L55" i="25"/>
  <c r="M55" i="25"/>
  <c r="N55" i="25"/>
  <c r="B59" i="25"/>
  <c r="D51" i="25"/>
  <c r="E51" i="25"/>
  <c r="F51" i="25"/>
  <c r="G51" i="25"/>
  <c r="H51" i="25"/>
  <c r="H52" i="25"/>
  <c r="I51" i="25"/>
  <c r="J51" i="25"/>
  <c r="K51" i="25"/>
  <c r="L51" i="25"/>
  <c r="M51" i="25"/>
  <c r="N51" i="25"/>
  <c r="C58" i="25"/>
  <c r="D58" i="25"/>
  <c r="E58" i="25"/>
  <c r="F58" i="25"/>
  <c r="G58" i="25"/>
  <c r="H58" i="25"/>
  <c r="I58" i="25"/>
  <c r="J58" i="25"/>
  <c r="K58" i="25"/>
  <c r="L58" i="25"/>
  <c r="M58" i="25"/>
  <c r="N58" i="25"/>
  <c r="B58" i="25"/>
  <c r="C54" i="25"/>
  <c r="D54" i="25"/>
  <c r="E54" i="25"/>
  <c r="F54" i="25"/>
  <c r="G54" i="25"/>
  <c r="H54" i="25"/>
  <c r="I54" i="25"/>
  <c r="J54" i="25"/>
  <c r="K54" i="25"/>
  <c r="L54" i="25"/>
  <c r="M54" i="25"/>
  <c r="M56" i="25"/>
  <c r="N54" i="25"/>
  <c r="B54" i="25"/>
  <c r="B56" i="25"/>
  <c r="C50" i="25"/>
  <c r="D50" i="25"/>
  <c r="E50" i="25"/>
  <c r="E52" i="25"/>
  <c r="F50" i="25"/>
  <c r="F52" i="25"/>
  <c r="F60" i="25"/>
  <c r="G50" i="25"/>
  <c r="H50" i="25"/>
  <c r="I50" i="25"/>
  <c r="I63" i="25"/>
  <c r="J50" i="25"/>
  <c r="J63" i="25"/>
  <c r="K50" i="25"/>
  <c r="L50" i="25"/>
  <c r="M50" i="25"/>
  <c r="M52" i="25"/>
  <c r="N50" i="25"/>
  <c r="G52" i="25"/>
  <c r="N52" i="25"/>
  <c r="N60" i="25"/>
  <c r="C47" i="25"/>
  <c r="D47" i="25"/>
  <c r="E47" i="25"/>
  <c r="F47" i="25"/>
  <c r="G47" i="25"/>
  <c r="H47" i="25"/>
  <c r="J47" i="25"/>
  <c r="K47" i="25"/>
  <c r="L47" i="25"/>
  <c r="M47" i="25"/>
  <c r="N47" i="25"/>
  <c r="B47" i="25"/>
  <c r="D36" i="25"/>
  <c r="F36" i="25"/>
  <c r="H37" i="25"/>
  <c r="D38" i="25"/>
  <c r="F38" i="25"/>
  <c r="H39" i="25"/>
  <c r="D40" i="25"/>
  <c r="F40" i="25"/>
  <c r="H41" i="25"/>
  <c r="D42" i="25"/>
  <c r="F42" i="25"/>
  <c r="H43" i="25"/>
  <c r="D44" i="25"/>
  <c r="F44" i="25"/>
  <c r="B37" i="25"/>
  <c r="B43" i="25"/>
  <c r="C36" i="25"/>
  <c r="E36" i="25"/>
  <c r="G36" i="25"/>
  <c r="H36" i="25"/>
  <c r="C37" i="25"/>
  <c r="D37" i="25"/>
  <c r="E37" i="25"/>
  <c r="F37" i="25"/>
  <c r="G37" i="25"/>
  <c r="C38" i="25"/>
  <c r="E38" i="25"/>
  <c r="G38" i="25"/>
  <c r="H38" i="25"/>
  <c r="C39" i="25"/>
  <c r="D39" i="25"/>
  <c r="E39" i="25"/>
  <c r="F39" i="25"/>
  <c r="G39" i="25"/>
  <c r="C40" i="25"/>
  <c r="E40" i="25"/>
  <c r="G40" i="25"/>
  <c r="H40" i="25"/>
  <c r="C41" i="25"/>
  <c r="D41" i="25"/>
  <c r="E41" i="25"/>
  <c r="F41" i="25"/>
  <c r="G41" i="25"/>
  <c r="C42" i="25"/>
  <c r="E42" i="25"/>
  <c r="G42" i="25"/>
  <c r="H42" i="25"/>
  <c r="C43" i="25"/>
  <c r="D43" i="25"/>
  <c r="E43" i="25"/>
  <c r="F43" i="25"/>
  <c r="G43" i="25"/>
  <c r="C44" i="25"/>
  <c r="E44" i="25"/>
  <c r="G44" i="25"/>
  <c r="H44" i="25"/>
  <c r="B39" i="25"/>
  <c r="B40" i="25"/>
  <c r="B41" i="25"/>
  <c r="B42" i="25"/>
  <c r="B44" i="25"/>
  <c r="B38" i="25"/>
  <c r="B36" i="25"/>
  <c r="F1" i="25"/>
  <c r="F11" i="25"/>
  <c r="G1" i="25"/>
  <c r="G63" i="25"/>
  <c r="H1" i="25"/>
  <c r="H63" i="25"/>
  <c r="I5" i="25"/>
  <c r="I28" i="25"/>
  <c r="J1" i="25"/>
  <c r="J9" i="25"/>
  <c r="K1" i="25"/>
  <c r="K9" i="25"/>
  <c r="K32" i="25"/>
  <c r="L1" i="25"/>
  <c r="L63" i="25"/>
  <c r="M1" i="25"/>
  <c r="M6" i="25"/>
  <c r="M29" i="25"/>
  <c r="N1" i="25"/>
  <c r="N7" i="25"/>
  <c r="B1" i="25"/>
  <c r="B6" i="25"/>
  <c r="L9" i="25"/>
  <c r="K11" i="25"/>
  <c r="K34" i="25"/>
  <c r="K44" i="25"/>
  <c r="K10" i="25"/>
  <c r="K33" i="25"/>
  <c r="K43" i="25"/>
  <c r="K92" i="25"/>
  <c r="I10" i="25"/>
  <c r="I33" i="25"/>
  <c r="I9" i="25"/>
  <c r="I32" i="25"/>
  <c r="L8" i="25"/>
  <c r="F8" i="25"/>
  <c r="L6" i="25"/>
  <c r="I6" i="25"/>
  <c r="I29" i="25"/>
  <c r="N5" i="25"/>
  <c r="N28" i="25"/>
  <c r="N38" i="25"/>
  <c r="N87" i="25"/>
  <c r="L5" i="25"/>
  <c r="L28" i="25"/>
  <c r="L38" i="25"/>
  <c r="L87" i="25"/>
  <c r="L3" i="25"/>
  <c r="L26" i="25"/>
  <c r="L36" i="25"/>
  <c r="L85" i="25"/>
  <c r="H3" i="25"/>
  <c r="F3" i="25"/>
  <c r="B70" i="17"/>
  <c r="N58" i="22"/>
  <c r="M1" i="22"/>
  <c r="B61" i="17"/>
  <c r="B58" i="22"/>
  <c r="M70" i="22"/>
  <c r="E70" i="22"/>
  <c r="N67" i="22"/>
  <c r="N70" i="22"/>
  <c r="M67" i="22"/>
  <c r="L67" i="22"/>
  <c r="K67" i="22"/>
  <c r="J67" i="22"/>
  <c r="J70" i="22"/>
  <c r="I67" i="22"/>
  <c r="H67" i="22"/>
  <c r="G67" i="22"/>
  <c r="F67" i="22"/>
  <c r="E67" i="22"/>
  <c r="D67" i="22"/>
  <c r="C67" i="22"/>
  <c r="B67" i="22"/>
  <c r="B70" i="22"/>
  <c r="N64" i="22"/>
  <c r="M64" i="22"/>
  <c r="L64" i="22"/>
  <c r="L70" i="22"/>
  <c r="K64" i="22"/>
  <c r="K70" i="22"/>
  <c r="J64" i="22"/>
  <c r="I64" i="22"/>
  <c r="I70" i="22"/>
  <c r="H64" i="22"/>
  <c r="H70" i="22"/>
  <c r="G64" i="22"/>
  <c r="G70" i="22"/>
  <c r="F64" i="22"/>
  <c r="F70" i="22"/>
  <c r="E64" i="22"/>
  <c r="D64" i="22"/>
  <c r="D70" i="22"/>
  <c r="C64" i="22"/>
  <c r="C70" i="22"/>
  <c r="B64" i="22"/>
  <c r="P26" i="22"/>
  <c r="P25" i="22"/>
  <c r="B1" i="22"/>
  <c r="B40" i="22"/>
  <c r="C15" i="8"/>
  <c r="D15" i="8"/>
  <c r="E15" i="8"/>
  <c r="F15" i="8"/>
  <c r="G15" i="8"/>
  <c r="H15" i="8"/>
  <c r="I15" i="8"/>
  <c r="J15" i="8"/>
  <c r="K15" i="8"/>
  <c r="L15" i="8"/>
  <c r="M15" i="8"/>
  <c r="N15" i="8"/>
  <c r="C16" i="8"/>
  <c r="D16" i="8"/>
  <c r="E16" i="8"/>
  <c r="F16" i="8"/>
  <c r="G16" i="8"/>
  <c r="H16" i="8"/>
  <c r="I16" i="8"/>
  <c r="J16" i="8"/>
  <c r="K16" i="8"/>
  <c r="L16" i="8"/>
  <c r="M16" i="8"/>
  <c r="N16" i="8"/>
  <c r="C17" i="8"/>
  <c r="D17" i="8"/>
  <c r="E17" i="8"/>
  <c r="F17" i="8"/>
  <c r="G17" i="8"/>
  <c r="H17" i="8"/>
  <c r="I17" i="8"/>
  <c r="J17" i="8"/>
  <c r="K17" i="8"/>
  <c r="L17" i="8"/>
  <c r="M17" i="8"/>
  <c r="N17" i="8"/>
  <c r="C18" i="8"/>
  <c r="D18" i="8"/>
  <c r="E18" i="8"/>
  <c r="F18" i="8"/>
  <c r="G18" i="8"/>
  <c r="H18" i="8"/>
  <c r="I18" i="8"/>
  <c r="J18" i="8"/>
  <c r="K18" i="8"/>
  <c r="L18" i="8"/>
  <c r="M18" i="8"/>
  <c r="N18" i="8"/>
  <c r="C19" i="8"/>
  <c r="D19" i="8"/>
  <c r="E19" i="8"/>
  <c r="F19" i="8"/>
  <c r="G19" i="8"/>
  <c r="H19" i="8"/>
  <c r="I19" i="8"/>
  <c r="J19" i="8"/>
  <c r="K19" i="8"/>
  <c r="L19" i="8"/>
  <c r="M19" i="8"/>
  <c r="N19" i="8"/>
  <c r="C20" i="8"/>
  <c r="D20" i="8"/>
  <c r="E20" i="8"/>
  <c r="F20" i="8"/>
  <c r="G20" i="8"/>
  <c r="H20" i="8"/>
  <c r="I20" i="8"/>
  <c r="J20" i="8"/>
  <c r="K20" i="8"/>
  <c r="L20" i="8"/>
  <c r="M20" i="8"/>
  <c r="N20" i="8"/>
  <c r="C21" i="8"/>
  <c r="D21" i="8"/>
  <c r="E21" i="8"/>
  <c r="F21" i="8"/>
  <c r="G21" i="8"/>
  <c r="H21" i="8"/>
  <c r="I21" i="8"/>
  <c r="J21" i="8"/>
  <c r="K21" i="8"/>
  <c r="L21" i="8"/>
  <c r="M21" i="8"/>
  <c r="N21" i="8"/>
  <c r="C22" i="8"/>
  <c r="D22" i="8"/>
  <c r="E22" i="8"/>
  <c r="F22" i="8"/>
  <c r="G22" i="8"/>
  <c r="H22" i="8"/>
  <c r="I22" i="8"/>
  <c r="J22" i="8"/>
  <c r="K22" i="8"/>
  <c r="L22" i="8"/>
  <c r="M22" i="8"/>
  <c r="N22" i="8"/>
  <c r="C23" i="8"/>
  <c r="D23" i="8"/>
  <c r="E23" i="8"/>
  <c r="F23" i="8"/>
  <c r="G23" i="8"/>
  <c r="H23" i="8"/>
  <c r="I23" i="8"/>
  <c r="J23" i="8"/>
  <c r="K23" i="8"/>
  <c r="L23" i="8"/>
  <c r="M23" i="8"/>
  <c r="N23" i="8"/>
  <c r="B16" i="8"/>
  <c r="B17" i="8"/>
  <c r="B18" i="8"/>
  <c r="B19" i="8"/>
  <c r="B20" i="8"/>
  <c r="B21" i="8"/>
  <c r="B22" i="8"/>
  <c r="B23" i="8"/>
  <c r="B15" i="8"/>
  <c r="C30" i="16"/>
  <c r="D30" i="16"/>
  <c r="E30" i="16"/>
  <c r="F30" i="16"/>
  <c r="G30" i="16"/>
  <c r="H30" i="16"/>
  <c r="I30" i="16"/>
  <c r="J30" i="16"/>
  <c r="K30" i="16"/>
  <c r="L30" i="16"/>
  <c r="M30" i="16"/>
  <c r="N30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30" i="16"/>
  <c r="B65" i="17"/>
  <c r="C9" i="17"/>
  <c r="B64" i="17"/>
  <c r="B63" i="17"/>
  <c r="B62" i="17"/>
  <c r="B60" i="17"/>
  <c r="B59" i="17"/>
  <c r="C257" i="8"/>
  <c r="D257" i="8"/>
  <c r="E257" i="8"/>
  <c r="F257" i="8"/>
  <c r="G257" i="8"/>
  <c r="H257" i="8"/>
  <c r="I257" i="8"/>
  <c r="J257" i="8"/>
  <c r="K257" i="8"/>
  <c r="L257" i="8"/>
  <c r="M257" i="8"/>
  <c r="M260" i="8"/>
  <c r="N257" i="8"/>
  <c r="B257" i="8"/>
  <c r="C253" i="8"/>
  <c r="D253" i="8"/>
  <c r="E253" i="8"/>
  <c r="F253" i="8"/>
  <c r="G253" i="8"/>
  <c r="H253" i="8"/>
  <c r="I253" i="8"/>
  <c r="I254" i="8"/>
  <c r="J253" i="8"/>
  <c r="J260" i="8"/>
  <c r="K253" i="8"/>
  <c r="K260" i="8"/>
  <c r="L253" i="8"/>
  <c r="M253" i="8"/>
  <c r="N253" i="8"/>
  <c r="B253" i="8"/>
  <c r="H260" i="8"/>
  <c r="B260" i="8"/>
  <c r="B254" i="8"/>
  <c r="N260" i="8"/>
  <c r="H254" i="8"/>
  <c r="G260" i="8"/>
  <c r="F260" i="8"/>
  <c r="E260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B246" i="8"/>
  <c r="B242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B220" i="8"/>
  <c r="B231" i="8"/>
  <c r="B221" i="8"/>
  <c r="B222" i="8"/>
  <c r="B223" i="8"/>
  <c r="B224" i="8"/>
  <c r="B225" i="8"/>
  <c r="B226" i="8"/>
  <c r="B227" i="8"/>
  <c r="B219" i="8"/>
  <c r="D80" i="9"/>
  <c r="B56" i="22"/>
  <c r="N1" i="22"/>
  <c r="B61" i="23"/>
  <c r="AB37" i="23"/>
  <c r="N40" i="23"/>
  <c r="N46" i="23"/>
  <c r="P37" i="23"/>
  <c r="B40" i="23"/>
  <c r="P36" i="23"/>
  <c r="B28" i="23"/>
  <c r="C25" i="17"/>
  <c r="B1" i="23"/>
  <c r="D38" i="17"/>
  <c r="E38" i="17"/>
  <c r="F38" i="17"/>
  <c r="G38" i="17"/>
  <c r="H38" i="17"/>
  <c r="I38" i="17"/>
  <c r="J38" i="17"/>
  <c r="K38" i="17"/>
  <c r="L38" i="17"/>
  <c r="M38" i="17"/>
  <c r="N38" i="17"/>
  <c r="O38" i="17"/>
  <c r="E39" i="17"/>
  <c r="F39" i="17"/>
  <c r="G39" i="17"/>
  <c r="H39" i="17"/>
  <c r="I39" i="17"/>
  <c r="J39" i="17"/>
  <c r="K39" i="17"/>
  <c r="L39" i="17"/>
  <c r="M39" i="17"/>
  <c r="N39" i="17"/>
  <c r="O39" i="17"/>
  <c r="E40" i="17"/>
  <c r="F40" i="17"/>
  <c r="G40" i="17"/>
  <c r="H40" i="17"/>
  <c r="I40" i="17"/>
  <c r="J40" i="17"/>
  <c r="K40" i="17"/>
  <c r="L40" i="17"/>
  <c r="M40" i="17"/>
  <c r="N40" i="17"/>
  <c r="O40" i="17"/>
  <c r="E41" i="17"/>
  <c r="F41" i="17"/>
  <c r="G41" i="17"/>
  <c r="H41" i="17"/>
  <c r="I41" i="17"/>
  <c r="J41" i="17"/>
  <c r="K41" i="17"/>
  <c r="L41" i="17"/>
  <c r="M41" i="17"/>
  <c r="N41" i="17"/>
  <c r="O41" i="17"/>
  <c r="E42" i="17"/>
  <c r="F42" i="17"/>
  <c r="G42" i="17"/>
  <c r="H42" i="17"/>
  <c r="I42" i="17"/>
  <c r="J42" i="17"/>
  <c r="K42" i="17"/>
  <c r="L42" i="17"/>
  <c r="M42" i="17"/>
  <c r="N42" i="17"/>
  <c r="O42" i="17"/>
  <c r="E43" i="17"/>
  <c r="F43" i="17"/>
  <c r="G43" i="17"/>
  <c r="H43" i="17"/>
  <c r="I43" i="17"/>
  <c r="J43" i="17"/>
  <c r="K43" i="17"/>
  <c r="L43" i="17"/>
  <c r="M43" i="17"/>
  <c r="N43" i="17"/>
  <c r="O43" i="17"/>
  <c r="C39" i="17"/>
  <c r="C40" i="17"/>
  <c r="C41" i="17"/>
  <c r="C42" i="17"/>
  <c r="C43" i="17"/>
  <c r="C38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E32" i="17"/>
  <c r="F32" i="17"/>
  <c r="G32" i="17"/>
  <c r="H32" i="17"/>
  <c r="I32" i="17"/>
  <c r="J32" i="17"/>
  <c r="K32" i="17"/>
  <c r="L32" i="17"/>
  <c r="M32" i="17"/>
  <c r="N32" i="17"/>
  <c r="O32" i="17"/>
  <c r="E33" i="17"/>
  <c r="F33" i="17"/>
  <c r="G33" i="17"/>
  <c r="H33" i="17"/>
  <c r="I33" i="17"/>
  <c r="J33" i="17"/>
  <c r="K33" i="17"/>
  <c r="L33" i="17"/>
  <c r="M33" i="17"/>
  <c r="N33" i="17"/>
  <c r="O33" i="17"/>
  <c r="E34" i="17"/>
  <c r="F34" i="17"/>
  <c r="G34" i="17"/>
  <c r="H34" i="17"/>
  <c r="I34" i="17"/>
  <c r="J34" i="17"/>
  <c r="K34" i="17"/>
  <c r="L34" i="17"/>
  <c r="M34" i="17"/>
  <c r="N34" i="17"/>
  <c r="O34" i="17"/>
  <c r="E35" i="17"/>
  <c r="F35" i="17"/>
  <c r="G35" i="17"/>
  <c r="H35" i="17"/>
  <c r="I35" i="17"/>
  <c r="J35" i="17"/>
  <c r="K35" i="17"/>
  <c r="L35" i="17"/>
  <c r="M35" i="17"/>
  <c r="N35" i="17"/>
  <c r="O35" i="17"/>
  <c r="E36" i="17"/>
  <c r="F36" i="17"/>
  <c r="G36" i="17"/>
  <c r="H36" i="17"/>
  <c r="I36" i="17"/>
  <c r="J36" i="17"/>
  <c r="K36" i="17"/>
  <c r="L36" i="17"/>
  <c r="M36" i="17"/>
  <c r="N36" i="17"/>
  <c r="O36" i="17"/>
  <c r="C32" i="17"/>
  <c r="C33" i="17"/>
  <c r="C34" i="17"/>
  <c r="C35" i="17"/>
  <c r="C36" i="17"/>
  <c r="C31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C26" i="17"/>
  <c r="C27" i="17"/>
  <c r="C28" i="17"/>
  <c r="C29" i="17"/>
  <c r="C24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E18" i="17"/>
  <c r="D1" i="25"/>
  <c r="D63" i="25"/>
  <c r="G18" i="17"/>
  <c r="H18" i="17"/>
  <c r="I18" i="17"/>
  <c r="J18" i="17"/>
  <c r="K18" i="17"/>
  <c r="L18" i="17"/>
  <c r="M18" i="17"/>
  <c r="N18" i="17"/>
  <c r="O18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C18" i="17"/>
  <c r="C19" i="17"/>
  <c r="C20" i="17"/>
  <c r="C21" i="17"/>
  <c r="C22" i="17"/>
  <c r="C17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C11" i="17"/>
  <c r="C12" i="17"/>
  <c r="C13" i="17"/>
  <c r="C14" i="17"/>
  <c r="C15" i="17"/>
  <c r="C10" i="17"/>
  <c r="D4" i="17"/>
  <c r="E4" i="17"/>
  <c r="F4" i="17"/>
  <c r="G4" i="17"/>
  <c r="H4" i="17"/>
  <c r="I4" i="17"/>
  <c r="J4" i="17"/>
  <c r="K4" i="17"/>
  <c r="L4" i="17"/>
  <c r="M4" i="17"/>
  <c r="N4" i="17"/>
  <c r="O4" i="17"/>
  <c r="D5" i="17"/>
  <c r="E5" i="17"/>
  <c r="F5" i="17"/>
  <c r="G5" i="17"/>
  <c r="H5" i="17"/>
  <c r="I5" i="17"/>
  <c r="J5" i="17"/>
  <c r="K5" i="17"/>
  <c r="L5" i="17"/>
  <c r="M5" i="17"/>
  <c r="N5" i="17"/>
  <c r="O5" i="17"/>
  <c r="D6" i="17"/>
  <c r="E6" i="17"/>
  <c r="F6" i="17"/>
  <c r="G6" i="17"/>
  <c r="H6" i="17"/>
  <c r="I6" i="17"/>
  <c r="J6" i="17"/>
  <c r="K6" i="17"/>
  <c r="L6" i="17"/>
  <c r="M6" i="17"/>
  <c r="N6" i="17"/>
  <c r="O6" i="17"/>
  <c r="D7" i="17"/>
  <c r="E7" i="17"/>
  <c r="F7" i="17"/>
  <c r="G7" i="17"/>
  <c r="H7" i="17"/>
  <c r="I7" i="17"/>
  <c r="J7" i="17"/>
  <c r="K7" i="17"/>
  <c r="L7" i="17"/>
  <c r="M7" i="17"/>
  <c r="N7" i="17"/>
  <c r="O7" i="17"/>
  <c r="D8" i="17"/>
  <c r="E8" i="17"/>
  <c r="F8" i="17"/>
  <c r="G8" i="17"/>
  <c r="H8" i="17"/>
  <c r="I8" i="17"/>
  <c r="J8" i="17"/>
  <c r="K8" i="17"/>
  <c r="L8" i="17"/>
  <c r="M8" i="17"/>
  <c r="N8" i="17"/>
  <c r="O8" i="17"/>
  <c r="C5" i="17"/>
  <c r="C6" i="17"/>
  <c r="C7" i="17"/>
  <c r="C8" i="17"/>
  <c r="C4" i="17"/>
  <c r="D2" i="17"/>
  <c r="E2" i="17"/>
  <c r="F2" i="17"/>
  <c r="G2" i="17"/>
  <c r="H2" i="17"/>
  <c r="I2" i="17"/>
  <c r="J2" i="17"/>
  <c r="K2" i="17"/>
  <c r="L2" i="17"/>
  <c r="M2" i="17"/>
  <c r="N2" i="17"/>
  <c r="O2" i="17"/>
  <c r="C2" i="17"/>
  <c r="B8" i="25"/>
  <c r="B3" i="25"/>
  <c r="G6" i="25"/>
  <c r="B11" i="25"/>
  <c r="I52" i="25"/>
  <c r="M63" i="25"/>
  <c r="N3" i="25"/>
  <c r="N36" i="25"/>
  <c r="N8" i="25"/>
  <c r="N31" i="25"/>
  <c r="N41" i="25"/>
  <c r="N90" i="25"/>
  <c r="G11" i="25"/>
  <c r="B63" i="25"/>
  <c r="N63" i="25"/>
  <c r="F46" i="25"/>
  <c r="F83" i="25"/>
  <c r="K63" i="25"/>
  <c r="N4" i="25"/>
  <c r="N27" i="25"/>
  <c r="B7" i="25"/>
  <c r="G9" i="25"/>
  <c r="G46" i="25"/>
  <c r="G83" i="25"/>
  <c r="B46" i="25"/>
  <c r="B48" i="25"/>
  <c r="E56" i="25"/>
  <c r="H46" i="25"/>
  <c r="G4" i="25"/>
  <c r="B9" i="25"/>
  <c r="H83" i="25"/>
  <c r="F5" i="25"/>
  <c r="F7" i="25"/>
  <c r="H10" i="25"/>
  <c r="D46" i="25"/>
  <c r="D83" i="25"/>
  <c r="J52" i="25"/>
  <c r="G5" i="25"/>
  <c r="G7" i="25"/>
  <c r="G10" i="25"/>
  <c r="G8" i="25"/>
  <c r="C46" i="25"/>
  <c r="C83" i="25"/>
  <c r="B83" i="25"/>
  <c r="I39" i="25"/>
  <c r="I88" i="25"/>
  <c r="I43" i="25"/>
  <c r="I92" i="25"/>
  <c r="I38" i="25"/>
  <c r="I87" i="25"/>
  <c r="F12" i="26"/>
  <c r="N12" i="26"/>
  <c r="C8" i="25"/>
  <c r="C4" i="25"/>
  <c r="C9" i="25"/>
  <c r="C7" i="25"/>
  <c r="D8" i="25"/>
  <c r="D6" i="25"/>
  <c r="D3" i="25"/>
  <c r="D9" i="25"/>
  <c r="D5" i="25"/>
  <c r="M60" i="25"/>
  <c r="G60" i="25"/>
  <c r="J60" i="25"/>
  <c r="K41" i="25"/>
  <c r="K90" i="25"/>
  <c r="K39" i="25"/>
  <c r="K88" i="25"/>
  <c r="H48" i="25"/>
  <c r="G48" i="25"/>
  <c r="K93" i="25"/>
  <c r="K42" i="25"/>
  <c r="K91" i="25"/>
  <c r="F48" i="25"/>
  <c r="C48" i="25"/>
  <c r="I42" i="25"/>
  <c r="I91" i="25"/>
  <c r="M39" i="25"/>
  <c r="M88" i="25"/>
  <c r="M11" i="25"/>
  <c r="M34" i="25"/>
  <c r="M44" i="25"/>
  <c r="M93" i="25"/>
  <c r="J31" i="25"/>
  <c r="J41" i="25"/>
  <c r="J90" i="25"/>
  <c r="N30" i="25"/>
  <c r="N40" i="25"/>
  <c r="N89" i="25"/>
  <c r="L52" i="25"/>
  <c r="L56" i="25"/>
  <c r="D52" i="25"/>
  <c r="D56" i="25"/>
  <c r="K4" i="25"/>
  <c r="K27" i="25"/>
  <c r="K37" i="25"/>
  <c r="K86" i="25"/>
  <c r="K5" i="25"/>
  <c r="K28" i="25"/>
  <c r="K38" i="25"/>
  <c r="K87" i="25"/>
  <c r="K8" i="25"/>
  <c r="K31" i="25"/>
  <c r="M10" i="25"/>
  <c r="M33" i="25"/>
  <c r="M43" i="25"/>
  <c r="M92" i="25"/>
  <c r="L34" i="25"/>
  <c r="L44" i="25"/>
  <c r="L93" i="25"/>
  <c r="L32" i="25"/>
  <c r="L42" i="25"/>
  <c r="L91" i="25"/>
  <c r="G56" i="25"/>
  <c r="K3" i="25"/>
  <c r="M4" i="25"/>
  <c r="M27" i="25"/>
  <c r="M37" i="25"/>
  <c r="M86" i="25"/>
  <c r="K6" i="25"/>
  <c r="K29" i="25"/>
  <c r="K7" i="25"/>
  <c r="K30" i="25"/>
  <c r="K40" i="25"/>
  <c r="K89" i="25"/>
  <c r="N37" i="25"/>
  <c r="N86" i="25"/>
  <c r="I60" i="25"/>
  <c r="M5" i="25"/>
  <c r="M28" i="25"/>
  <c r="M38" i="25"/>
  <c r="M87" i="25"/>
  <c r="M7" i="25"/>
  <c r="M30" i="25"/>
  <c r="M40" i="25"/>
  <c r="M89" i="25"/>
  <c r="M8" i="25"/>
  <c r="M31" i="25"/>
  <c r="M41" i="25"/>
  <c r="M90" i="25"/>
  <c r="M9" i="25"/>
  <c r="M32" i="25"/>
  <c r="M42" i="25"/>
  <c r="M91" i="25"/>
  <c r="C11" i="25"/>
  <c r="J44" i="25"/>
  <c r="J93" i="25"/>
  <c r="N33" i="25"/>
  <c r="N43" i="25"/>
  <c r="N92" i="25"/>
  <c r="J32" i="25"/>
  <c r="J42" i="25"/>
  <c r="J91" i="25"/>
  <c r="M3" i="25"/>
  <c r="M36" i="25"/>
  <c r="C5" i="25"/>
  <c r="C10" i="25"/>
  <c r="C3" i="25"/>
  <c r="C6" i="25"/>
  <c r="L31" i="25"/>
  <c r="L41" i="25"/>
  <c r="L90" i="25"/>
  <c r="L29" i="25"/>
  <c r="L39" i="25"/>
  <c r="L88" i="25"/>
  <c r="K26" i="25"/>
  <c r="K36" i="25"/>
  <c r="J56" i="25"/>
  <c r="H56" i="25"/>
  <c r="F56" i="25"/>
  <c r="N56" i="25"/>
  <c r="D60" i="25"/>
  <c r="E60" i="25"/>
  <c r="K52" i="25"/>
  <c r="K60" i="25"/>
  <c r="I56" i="25"/>
  <c r="H60" i="25"/>
  <c r="B52" i="25"/>
  <c r="I11" i="25"/>
  <c r="I44" i="25"/>
  <c r="I93" i="25"/>
  <c r="J11" i="25"/>
  <c r="I3" i="25"/>
  <c r="I26" i="25"/>
  <c r="I36" i="25"/>
  <c r="F4" i="25"/>
  <c r="I7" i="25"/>
  <c r="N9" i="25"/>
  <c r="N32" i="25"/>
  <c r="N42" i="25"/>
  <c r="N91" i="25"/>
  <c r="N10" i="25"/>
  <c r="J3" i="25"/>
  <c r="J26" i="25"/>
  <c r="J36" i="25"/>
  <c r="I4" i="25"/>
  <c r="I27" i="25"/>
  <c r="I37" i="25"/>
  <c r="I86" i="25"/>
  <c r="N6" i="25"/>
  <c r="N29" i="25"/>
  <c r="N39" i="25"/>
  <c r="N88" i="25"/>
  <c r="I41" i="25"/>
  <c r="I90" i="25"/>
  <c r="N11" i="25"/>
  <c r="N34" i="25"/>
  <c r="N44" i="25"/>
  <c r="N93" i="25"/>
  <c r="J6" i="25"/>
  <c r="J29" i="25"/>
  <c r="J39" i="25"/>
  <c r="J88" i="25"/>
  <c r="J7" i="25"/>
  <c r="J30" i="25"/>
  <c r="J40" i="25"/>
  <c r="J89" i="25"/>
  <c r="F6" i="25"/>
  <c r="J8" i="25"/>
  <c r="F9" i="25"/>
  <c r="F10" i="25"/>
  <c r="B4" i="25"/>
  <c r="D11" i="25"/>
  <c r="L11" i="25"/>
  <c r="J5" i="25"/>
  <c r="J28" i="25"/>
  <c r="J38" i="25"/>
  <c r="J87" i="25"/>
  <c r="H7" i="25"/>
  <c r="J10" i="25"/>
  <c r="J33" i="25"/>
  <c r="J43" i="25"/>
  <c r="J92" i="25"/>
  <c r="M12" i="25"/>
  <c r="H9" i="25"/>
  <c r="D10" i="25"/>
  <c r="H6" i="25"/>
  <c r="H11" i="25"/>
  <c r="H4" i="25"/>
  <c r="L10" i="25"/>
  <c r="L33" i="25"/>
  <c r="L43" i="25"/>
  <c r="L92" i="25"/>
  <c r="G3" i="25"/>
  <c r="J4" i="25"/>
  <c r="J27" i="25"/>
  <c r="J37" i="25"/>
  <c r="J86" i="25"/>
  <c r="D7" i="25"/>
  <c r="L7" i="25"/>
  <c r="L30" i="25"/>
  <c r="L40" i="25"/>
  <c r="L89" i="25"/>
  <c r="H8" i="25"/>
  <c r="D4" i="25"/>
  <c r="L4" i="25"/>
  <c r="L27" i="25"/>
  <c r="L37" i="25"/>
  <c r="H5" i="25"/>
  <c r="B5" i="25"/>
  <c r="B10" i="25"/>
  <c r="B66" i="17"/>
  <c r="L260" i="8"/>
  <c r="D260" i="8"/>
  <c r="C260" i="8"/>
  <c r="D254" i="8"/>
  <c r="J254" i="8"/>
  <c r="L254" i="8"/>
  <c r="C254" i="8"/>
  <c r="K254" i="8"/>
  <c r="I260" i="8"/>
  <c r="E254" i="8"/>
  <c r="M254" i="8"/>
  <c r="F254" i="8"/>
  <c r="N254" i="8"/>
  <c r="G254" i="8"/>
  <c r="N46" i="25"/>
  <c r="N83" i="25"/>
  <c r="B12" i="25"/>
  <c r="G12" i="25"/>
  <c r="N85" i="25"/>
  <c r="M46" i="25"/>
  <c r="M83" i="25"/>
  <c r="K12" i="25"/>
  <c r="D48" i="25"/>
  <c r="M85" i="25"/>
  <c r="I85" i="25"/>
  <c r="L86" i="25"/>
  <c r="L46" i="25"/>
  <c r="L83" i="25"/>
  <c r="K85" i="25"/>
  <c r="K46" i="25"/>
  <c r="K83" i="25"/>
  <c r="J46" i="25"/>
  <c r="J83" i="25"/>
  <c r="J85" i="25"/>
  <c r="D12" i="26"/>
  <c r="G12" i="26"/>
  <c r="L12" i="26"/>
  <c r="J12" i="26"/>
  <c r="H12" i="26"/>
  <c r="K12" i="26"/>
  <c r="M12" i="26"/>
  <c r="C12" i="26"/>
  <c r="I12" i="26"/>
  <c r="E12" i="26"/>
  <c r="C12" i="25"/>
  <c r="N48" i="25"/>
  <c r="I12" i="25"/>
  <c r="I30" i="25"/>
  <c r="I40" i="25"/>
  <c r="I89" i="25"/>
  <c r="L60" i="25"/>
  <c r="N12" i="25"/>
  <c r="F12" i="25"/>
  <c r="K56" i="25"/>
  <c r="C56" i="25"/>
  <c r="B60" i="25"/>
  <c r="J12" i="25"/>
  <c r="L12" i="25"/>
  <c r="D12" i="25"/>
  <c r="H12" i="25"/>
  <c r="O260" i="8"/>
  <c r="L48" i="25"/>
  <c r="J48" i="25"/>
  <c r="I46" i="25"/>
  <c r="I83" i="25"/>
  <c r="M48" i="25"/>
  <c r="K48" i="25"/>
  <c r="I48" i="25"/>
  <c r="J37" i="2"/>
  <c r="J36" i="2"/>
  <c r="J35" i="2"/>
  <c r="J34" i="2"/>
  <c r="J33" i="2"/>
  <c r="J31" i="2"/>
  <c r="J30" i="2"/>
  <c r="J29" i="2"/>
  <c r="J28" i="2"/>
  <c r="J27" i="2"/>
  <c r="J25" i="2"/>
  <c r="J24" i="2"/>
  <c r="J23" i="2"/>
  <c r="J22" i="2"/>
  <c r="J21" i="2"/>
  <c r="J19" i="2"/>
  <c r="J18" i="2"/>
  <c r="J17" i="2"/>
  <c r="J16" i="2"/>
  <c r="J15" i="2"/>
  <c r="J13" i="2"/>
  <c r="J12" i="2"/>
  <c r="J11" i="2"/>
  <c r="J10" i="2"/>
  <c r="J9" i="2"/>
  <c r="J8" i="2"/>
  <c r="J7" i="2"/>
  <c r="J6" i="2"/>
  <c r="J5" i="2"/>
  <c r="J4" i="2"/>
  <c r="J3" i="2"/>
  <c r="J2" i="2"/>
  <c r="H37" i="2"/>
  <c r="H36" i="2"/>
  <c r="H35" i="2"/>
  <c r="H34" i="2"/>
  <c r="H33" i="2"/>
  <c r="H31" i="2"/>
  <c r="H30" i="2"/>
  <c r="H29" i="2"/>
  <c r="H28" i="2"/>
  <c r="H27" i="2"/>
  <c r="H25" i="2"/>
  <c r="H24" i="2"/>
  <c r="H23" i="2"/>
  <c r="H22" i="2"/>
  <c r="H21" i="2"/>
  <c r="H19" i="2"/>
  <c r="H18" i="2"/>
  <c r="H17" i="2"/>
  <c r="H16" i="2"/>
  <c r="H15" i="2"/>
  <c r="H13" i="2"/>
  <c r="H12" i="2"/>
  <c r="H11" i="2"/>
  <c r="H10" i="2"/>
  <c r="H9" i="2"/>
  <c r="H8" i="2"/>
  <c r="H7" i="2"/>
  <c r="H6" i="2"/>
  <c r="H5" i="2"/>
  <c r="H4" i="2"/>
  <c r="H3" i="2"/>
  <c r="H2" i="2"/>
  <c r="F37" i="2"/>
  <c r="F36" i="2"/>
  <c r="F35" i="2"/>
  <c r="F34" i="2"/>
  <c r="F33" i="2"/>
  <c r="F31" i="2"/>
  <c r="F30" i="2"/>
  <c r="F29" i="2"/>
  <c r="F28" i="2"/>
  <c r="F27" i="2"/>
  <c r="F25" i="2"/>
  <c r="F24" i="2"/>
  <c r="F23" i="2"/>
  <c r="F22" i="2"/>
  <c r="F21" i="2"/>
  <c r="F19" i="2"/>
  <c r="F18" i="2"/>
  <c r="F17" i="2"/>
  <c r="F16" i="2"/>
  <c r="F15" i="2"/>
  <c r="F18" i="17"/>
  <c r="E1" i="25"/>
  <c r="F13" i="2"/>
  <c r="F12" i="2"/>
  <c r="F11" i="2"/>
  <c r="F10" i="2"/>
  <c r="F9" i="2"/>
  <c r="F8" i="2"/>
  <c r="F7" i="2"/>
  <c r="F6" i="2"/>
  <c r="F5" i="2"/>
  <c r="F4" i="2"/>
  <c r="F3" i="2"/>
  <c r="F2" i="2"/>
  <c r="D3" i="2"/>
  <c r="D4" i="2"/>
  <c r="D5" i="2"/>
  <c r="D6" i="2"/>
  <c r="D7" i="2"/>
  <c r="D8" i="2"/>
  <c r="D9" i="2"/>
  <c r="D10" i="2"/>
  <c r="D11" i="2"/>
  <c r="D12" i="2"/>
  <c r="D13" i="2"/>
  <c r="D16" i="2"/>
  <c r="D17" i="2"/>
  <c r="D18" i="2"/>
  <c r="D19" i="2"/>
  <c r="D21" i="2"/>
  <c r="D22" i="2"/>
  <c r="D23" i="2"/>
  <c r="D24" i="2"/>
  <c r="D25" i="2"/>
  <c r="D27" i="2"/>
  <c r="D32" i="17"/>
  <c r="D28" i="2"/>
  <c r="D33" i="17"/>
  <c r="D29" i="2"/>
  <c r="D34" i="17"/>
  <c r="D30" i="2"/>
  <c r="D35" i="17"/>
  <c r="D31" i="2"/>
  <c r="D36" i="17"/>
  <c r="D33" i="2"/>
  <c r="D39" i="17"/>
  <c r="D34" i="2"/>
  <c r="D40" i="17"/>
  <c r="D35" i="2"/>
  <c r="D41" i="17"/>
  <c r="D36" i="2"/>
  <c r="D42" i="17"/>
  <c r="D37" i="2"/>
  <c r="D43" i="17"/>
  <c r="D2" i="2"/>
  <c r="E63" i="25"/>
  <c r="E46" i="25"/>
  <c r="E10" i="25"/>
  <c r="E5" i="25"/>
  <c r="E6" i="25"/>
  <c r="E7" i="25"/>
  <c r="E11" i="25"/>
  <c r="E8" i="25"/>
  <c r="E9" i="25"/>
  <c r="E3" i="25"/>
  <c r="E4" i="25"/>
  <c r="B88" i="24"/>
  <c r="R21" i="11"/>
  <c r="Q21" i="11"/>
  <c r="Q38" i="11"/>
  <c r="I62" i="17"/>
  <c r="I72" i="17"/>
  <c r="AC26" i="22"/>
  <c r="AC25" i="22"/>
  <c r="Q16" i="22"/>
  <c r="R16" i="22"/>
  <c r="S16" i="22"/>
  <c r="T16" i="22"/>
  <c r="U16" i="22"/>
  <c r="V16" i="22"/>
  <c r="AA16" i="22"/>
  <c r="AB16" i="22"/>
  <c r="AC16" i="22"/>
  <c r="AD16" i="22"/>
  <c r="AE16" i="22"/>
  <c r="AF16" i="22"/>
  <c r="AC17" i="22"/>
  <c r="AC18" i="22"/>
  <c r="AC19" i="22"/>
  <c r="AC20" i="22"/>
  <c r="AC21" i="22"/>
  <c r="AC22" i="22"/>
  <c r="AC23" i="22"/>
  <c r="AC24" i="22"/>
  <c r="P16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B43" i="22"/>
  <c r="C53" i="22"/>
  <c r="D53" i="22"/>
  <c r="E53" i="22"/>
  <c r="F53" i="22"/>
  <c r="G53" i="22"/>
  <c r="H53" i="22"/>
  <c r="I53" i="22"/>
  <c r="J53" i="22"/>
  <c r="K53" i="22"/>
  <c r="L53" i="22"/>
  <c r="M53" i="22"/>
  <c r="N53" i="22"/>
  <c r="B53" i="22"/>
  <c r="P40" i="24"/>
  <c r="P39" i="24"/>
  <c r="T34" i="24"/>
  <c r="E83" i="25"/>
  <c r="E48" i="25"/>
  <c r="E12" i="25"/>
  <c r="Q51" i="24"/>
  <c r="R51" i="24"/>
  <c r="P51" i="24"/>
  <c r="H100" i="24"/>
  <c r="H112" i="24"/>
  <c r="C105" i="24"/>
  <c r="C117" i="24"/>
  <c r="K105" i="24"/>
  <c r="K117" i="24"/>
  <c r="B97" i="24"/>
  <c r="B107" i="24"/>
  <c r="B119" i="24"/>
  <c r="C90" i="24"/>
  <c r="C100" i="24"/>
  <c r="D90" i="24"/>
  <c r="D100" i="24"/>
  <c r="D112" i="24"/>
  <c r="E90" i="24"/>
  <c r="E100" i="24"/>
  <c r="E112" i="24"/>
  <c r="H90" i="24"/>
  <c r="J90" i="24"/>
  <c r="J100" i="24"/>
  <c r="J112" i="24"/>
  <c r="K90" i="24"/>
  <c r="K100" i="24"/>
  <c r="K112" i="24"/>
  <c r="C91" i="24"/>
  <c r="C101" i="24"/>
  <c r="C113" i="24"/>
  <c r="D91" i="24"/>
  <c r="D101" i="24"/>
  <c r="D113" i="24"/>
  <c r="J91" i="24"/>
  <c r="J101" i="24"/>
  <c r="J113" i="24"/>
  <c r="K91" i="24"/>
  <c r="K101" i="24"/>
  <c r="K113" i="24"/>
  <c r="C92" i="24"/>
  <c r="C102" i="24"/>
  <c r="C114" i="24"/>
  <c r="H92" i="24"/>
  <c r="H102" i="24"/>
  <c r="H114" i="24"/>
  <c r="I92" i="24"/>
  <c r="I102" i="24"/>
  <c r="I114" i="24"/>
  <c r="J92" i="24"/>
  <c r="J102" i="24"/>
  <c r="J114" i="24"/>
  <c r="K92" i="24"/>
  <c r="K102" i="24"/>
  <c r="K114" i="24"/>
  <c r="H93" i="24"/>
  <c r="H103" i="24"/>
  <c r="H115" i="24"/>
  <c r="I93" i="24"/>
  <c r="I103" i="24"/>
  <c r="I115" i="24"/>
  <c r="J93" i="24"/>
  <c r="J103" i="24"/>
  <c r="J115" i="24"/>
  <c r="C94" i="24"/>
  <c r="C104" i="24"/>
  <c r="C116" i="24"/>
  <c r="H94" i="24"/>
  <c r="H104" i="24"/>
  <c r="H116" i="24"/>
  <c r="I94" i="24"/>
  <c r="I104" i="24"/>
  <c r="I116" i="24"/>
  <c r="K94" i="24"/>
  <c r="K104" i="24"/>
  <c r="K116" i="24"/>
  <c r="C95" i="24"/>
  <c r="H95" i="24"/>
  <c r="H105" i="24"/>
  <c r="H117" i="24"/>
  <c r="J95" i="24"/>
  <c r="J105" i="24"/>
  <c r="J117" i="24"/>
  <c r="K95" i="24"/>
  <c r="C97" i="24"/>
  <c r="C107" i="24"/>
  <c r="C119" i="24"/>
  <c r="D97" i="24"/>
  <c r="D107" i="24"/>
  <c r="D119" i="24"/>
  <c r="E97" i="24"/>
  <c r="E107" i="24"/>
  <c r="E119" i="24"/>
  <c r="F97" i="24"/>
  <c r="F107" i="24"/>
  <c r="F119" i="24"/>
  <c r="H97" i="24"/>
  <c r="H107" i="24"/>
  <c r="H119" i="24"/>
  <c r="K97" i="24"/>
  <c r="K107" i="24"/>
  <c r="K119" i="24"/>
  <c r="B91" i="24"/>
  <c r="B101" i="24"/>
  <c r="B113" i="24"/>
  <c r="B92" i="24"/>
  <c r="B102" i="24"/>
  <c r="B114" i="24"/>
  <c r="B93" i="24"/>
  <c r="B103" i="24"/>
  <c r="B115" i="24"/>
  <c r="B94" i="24"/>
  <c r="B104" i="24"/>
  <c r="B116" i="24"/>
  <c r="B95" i="24"/>
  <c r="B105" i="24"/>
  <c r="B117" i="24"/>
  <c r="B96" i="24"/>
  <c r="B106" i="24"/>
  <c r="B118" i="24"/>
  <c r="C88" i="24"/>
  <c r="C93" i="24"/>
  <c r="C103" i="24"/>
  <c r="C115" i="24"/>
  <c r="D88" i="24"/>
  <c r="D92" i="24"/>
  <c r="D102" i="24"/>
  <c r="D114" i="24"/>
  <c r="E88" i="24"/>
  <c r="E91" i="24"/>
  <c r="E101" i="24"/>
  <c r="E113" i="24"/>
  <c r="F88" i="24"/>
  <c r="F90" i="24"/>
  <c r="F100" i="24"/>
  <c r="F112" i="24"/>
  <c r="G88" i="24"/>
  <c r="G97" i="24"/>
  <c r="G107" i="24"/>
  <c r="G119" i="24"/>
  <c r="H88" i="24"/>
  <c r="H96" i="24"/>
  <c r="H106" i="24"/>
  <c r="H118" i="24"/>
  <c r="I88" i="24"/>
  <c r="I95" i="24"/>
  <c r="I105" i="24"/>
  <c r="I117" i="24"/>
  <c r="J88" i="24"/>
  <c r="J94" i="24"/>
  <c r="J104" i="24"/>
  <c r="J116" i="24"/>
  <c r="K88" i="24"/>
  <c r="K93" i="24"/>
  <c r="K103" i="24"/>
  <c r="K115" i="24"/>
  <c r="B90" i="24"/>
  <c r="B100" i="24"/>
  <c r="B74" i="24"/>
  <c r="G42" i="24"/>
  <c r="G43" i="24"/>
  <c r="F74" i="24"/>
  <c r="E74" i="24"/>
  <c r="D74" i="24"/>
  <c r="K74" i="24"/>
  <c r="J74" i="24"/>
  <c r="I74" i="24"/>
  <c r="H74" i="24"/>
  <c r="G74" i="24"/>
  <c r="C74" i="24"/>
  <c r="C68" i="24"/>
  <c r="D68" i="24"/>
  <c r="E68" i="24"/>
  <c r="F68" i="24"/>
  <c r="G68" i="24"/>
  <c r="H68" i="24"/>
  <c r="I68" i="24"/>
  <c r="J68" i="24"/>
  <c r="K68" i="24"/>
  <c r="B68" i="24"/>
  <c r="C64" i="24"/>
  <c r="D64" i="24"/>
  <c r="E64" i="24"/>
  <c r="F64" i="24"/>
  <c r="G64" i="24"/>
  <c r="H64" i="24"/>
  <c r="I64" i="24"/>
  <c r="J64" i="24"/>
  <c r="K64" i="24"/>
  <c r="B64" i="24"/>
  <c r="C59" i="24"/>
  <c r="D59" i="24"/>
  <c r="E59" i="24"/>
  <c r="F59" i="24"/>
  <c r="G59" i="24"/>
  <c r="H59" i="24"/>
  <c r="I59" i="24"/>
  <c r="J59" i="24"/>
  <c r="K59" i="24"/>
  <c r="B59" i="24"/>
  <c r="K52" i="24"/>
  <c r="J52" i="24"/>
  <c r="I52" i="24"/>
  <c r="H52" i="24"/>
  <c r="G52" i="24"/>
  <c r="F52" i="24"/>
  <c r="E52" i="24"/>
  <c r="D52" i="24"/>
  <c r="C52" i="24"/>
  <c r="C47" i="24"/>
  <c r="D47" i="24"/>
  <c r="E47" i="24"/>
  <c r="F47" i="24"/>
  <c r="G47" i="24"/>
  <c r="H47" i="24"/>
  <c r="I47" i="24"/>
  <c r="J47" i="24"/>
  <c r="K47" i="24"/>
  <c r="T44" i="24"/>
  <c r="T45" i="24"/>
  <c r="U44" i="24"/>
  <c r="U45" i="24"/>
  <c r="V44" i="24"/>
  <c r="V45" i="24"/>
  <c r="W44" i="24"/>
  <c r="W45" i="24"/>
  <c r="X44" i="24"/>
  <c r="X45" i="24"/>
  <c r="S44" i="24"/>
  <c r="S45" i="24"/>
  <c r="R44" i="24"/>
  <c r="R45" i="24"/>
  <c r="Q45" i="24"/>
  <c r="C39" i="24"/>
  <c r="D39" i="24"/>
  <c r="E39" i="24"/>
  <c r="B39" i="24"/>
  <c r="B38" i="24"/>
  <c r="E38" i="24"/>
  <c r="D38" i="24"/>
  <c r="C38" i="24"/>
  <c r="C112" i="24"/>
  <c r="C108" i="24"/>
  <c r="G95" i="24"/>
  <c r="G105" i="24"/>
  <c r="G117" i="24"/>
  <c r="F95" i="24"/>
  <c r="F105" i="24"/>
  <c r="F117" i="24"/>
  <c r="D96" i="24"/>
  <c r="D106" i="24"/>
  <c r="D118" i="24"/>
  <c r="F94" i="24"/>
  <c r="F104" i="24"/>
  <c r="F116" i="24"/>
  <c r="G93" i="24"/>
  <c r="G103" i="24"/>
  <c r="G115" i="24"/>
  <c r="I91" i="24"/>
  <c r="I101" i="24"/>
  <c r="I113" i="24"/>
  <c r="J97" i="24"/>
  <c r="J107" i="24"/>
  <c r="J119" i="24"/>
  <c r="K96" i="24"/>
  <c r="K106" i="24"/>
  <c r="K118" i="24"/>
  <c r="C96" i="24"/>
  <c r="C106" i="24"/>
  <c r="C118" i="24"/>
  <c r="D95" i="24"/>
  <c r="D105" i="24"/>
  <c r="D117" i="24"/>
  <c r="E94" i="24"/>
  <c r="E104" i="24"/>
  <c r="E116" i="24"/>
  <c r="F93" i="24"/>
  <c r="F103" i="24"/>
  <c r="F115" i="24"/>
  <c r="G92" i="24"/>
  <c r="G102" i="24"/>
  <c r="G114" i="24"/>
  <c r="H91" i="24"/>
  <c r="H101" i="24"/>
  <c r="H113" i="24"/>
  <c r="I90" i="24"/>
  <c r="I100" i="24"/>
  <c r="I112" i="24"/>
  <c r="G94" i="24"/>
  <c r="G104" i="24"/>
  <c r="G116" i="24"/>
  <c r="E95" i="24"/>
  <c r="E105" i="24"/>
  <c r="E117" i="24"/>
  <c r="I97" i="24"/>
  <c r="I107" i="24"/>
  <c r="I119" i="24"/>
  <c r="J96" i="24"/>
  <c r="J106" i="24"/>
  <c r="J118" i="24"/>
  <c r="D94" i="24"/>
  <c r="D104" i="24"/>
  <c r="D116" i="24"/>
  <c r="E93" i="24"/>
  <c r="E103" i="24"/>
  <c r="E115" i="24"/>
  <c r="F92" i="24"/>
  <c r="F102" i="24"/>
  <c r="F114" i="24"/>
  <c r="G91" i="24"/>
  <c r="G101" i="24"/>
  <c r="G113" i="24"/>
  <c r="Y51" i="24"/>
  <c r="Y56" i="24"/>
  <c r="E96" i="24"/>
  <c r="E106" i="24"/>
  <c r="E118" i="24"/>
  <c r="T35" i="24"/>
  <c r="T36" i="24"/>
  <c r="D93" i="24"/>
  <c r="D103" i="24"/>
  <c r="D115" i="24"/>
  <c r="G96" i="24"/>
  <c r="G106" i="24"/>
  <c r="G118" i="24"/>
  <c r="F96" i="24"/>
  <c r="F106" i="24"/>
  <c r="F118" i="24"/>
  <c r="I96" i="24"/>
  <c r="I106" i="24"/>
  <c r="I118" i="24"/>
  <c r="E92" i="24"/>
  <c r="E102" i="24"/>
  <c r="E114" i="24"/>
  <c r="F91" i="24"/>
  <c r="F101" i="24"/>
  <c r="F113" i="24"/>
  <c r="G90" i="24"/>
  <c r="G100" i="24"/>
  <c r="G112" i="24"/>
  <c r="B108" i="24"/>
  <c r="B112" i="24"/>
  <c r="J108" i="24"/>
  <c r="G108" i="24"/>
  <c r="K108" i="24"/>
  <c r="B40" i="24"/>
  <c r="E40" i="24"/>
  <c r="C40" i="24"/>
  <c r="D40" i="24"/>
  <c r="E108" i="24"/>
  <c r="D108" i="24"/>
  <c r="F108" i="24"/>
  <c r="I108" i="24"/>
  <c r="H108" i="24"/>
  <c r="S10" i="4"/>
  <c r="S9" i="4"/>
  <c r="S8" i="4"/>
  <c r="S7" i="4"/>
  <c r="S6" i="4"/>
  <c r="S5" i="4"/>
  <c r="S4" i="4"/>
  <c r="S3" i="4"/>
  <c r="O3" i="4"/>
  <c r="D3" i="24"/>
  <c r="D2" i="24"/>
  <c r="B56" i="17"/>
  <c r="B18" i="23"/>
  <c r="P29" i="23"/>
  <c r="B88" i="23"/>
  <c r="W38" i="23"/>
  <c r="I50" i="23"/>
  <c r="I95" i="23"/>
  <c r="B16" i="23"/>
  <c r="P27" i="23"/>
  <c r="B86" i="23"/>
  <c r="E95" i="23"/>
  <c r="J95" i="23"/>
  <c r="N95" i="23"/>
  <c r="Q29" i="23"/>
  <c r="C88" i="23"/>
  <c r="U29" i="23"/>
  <c r="G88" i="23"/>
  <c r="Q30" i="23"/>
  <c r="C89" i="23"/>
  <c r="U30" i="23"/>
  <c r="G89" i="23"/>
  <c r="Q31" i="23"/>
  <c r="C90" i="23"/>
  <c r="U31" i="23"/>
  <c r="G90" i="23"/>
  <c r="P32" i="23"/>
  <c r="B91" i="23"/>
  <c r="Q32" i="23"/>
  <c r="C91" i="23"/>
  <c r="T32" i="23"/>
  <c r="F91" i="23"/>
  <c r="U32" i="23"/>
  <c r="G91" i="23"/>
  <c r="X32" i="23"/>
  <c r="J91" i="23"/>
  <c r="Q35" i="23"/>
  <c r="C94" i="23"/>
  <c r="U35" i="23"/>
  <c r="G94" i="23"/>
  <c r="N64" i="23"/>
  <c r="C64" i="23"/>
  <c r="D64" i="23"/>
  <c r="E64" i="23"/>
  <c r="F64" i="23"/>
  <c r="G64" i="23"/>
  <c r="H64" i="23"/>
  <c r="I64" i="23"/>
  <c r="J64" i="23"/>
  <c r="K64" i="23"/>
  <c r="L64" i="23"/>
  <c r="M64" i="23"/>
  <c r="B64" i="23"/>
  <c r="C53" i="23"/>
  <c r="D53" i="23"/>
  <c r="E53" i="23"/>
  <c r="F53" i="23"/>
  <c r="G53" i="23"/>
  <c r="H53" i="23"/>
  <c r="I53" i="23"/>
  <c r="J53" i="23"/>
  <c r="K53" i="23"/>
  <c r="L53" i="23"/>
  <c r="M53" i="23"/>
  <c r="N53" i="23"/>
  <c r="B53" i="23"/>
  <c r="C61" i="23"/>
  <c r="C96" i="23"/>
  <c r="D61" i="23"/>
  <c r="D96" i="23"/>
  <c r="E61" i="23"/>
  <c r="E96" i="23"/>
  <c r="F61" i="23"/>
  <c r="F96" i="23"/>
  <c r="G61" i="23"/>
  <c r="G96" i="23"/>
  <c r="H61" i="23"/>
  <c r="H96" i="23"/>
  <c r="I61" i="23"/>
  <c r="I96" i="23"/>
  <c r="J61" i="23"/>
  <c r="J96" i="23"/>
  <c r="K61" i="23"/>
  <c r="K96" i="23"/>
  <c r="L61" i="23"/>
  <c r="L96" i="23"/>
  <c r="M61" i="23"/>
  <c r="M96" i="23"/>
  <c r="N61" i="23"/>
  <c r="N96" i="23"/>
  <c r="B96" i="23"/>
  <c r="G69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9" i="23"/>
  <c r="Y53" i="23"/>
  <c r="Z53" i="23"/>
  <c r="AA53" i="23"/>
  <c r="AB53" i="23"/>
  <c r="O53" i="23"/>
  <c r="P53" i="23"/>
  <c r="Q53" i="23"/>
  <c r="R53" i="23"/>
  <c r="S53" i="23"/>
  <c r="T53" i="23"/>
  <c r="U53" i="23"/>
  <c r="V53" i="23"/>
  <c r="W53" i="23"/>
  <c r="X53" i="23"/>
  <c r="C50" i="23"/>
  <c r="C56" i="23"/>
  <c r="D50" i="23"/>
  <c r="D95" i="23"/>
  <c r="E50" i="23"/>
  <c r="F50" i="23"/>
  <c r="F95" i="23"/>
  <c r="G50" i="23"/>
  <c r="G95" i="23"/>
  <c r="H50" i="23"/>
  <c r="H95" i="23"/>
  <c r="J50" i="23"/>
  <c r="K50" i="23"/>
  <c r="K95" i="23"/>
  <c r="L50" i="23"/>
  <c r="L95" i="23"/>
  <c r="M50" i="23"/>
  <c r="M95" i="23"/>
  <c r="N50" i="23"/>
  <c r="B50" i="23"/>
  <c r="B95" i="23"/>
  <c r="C16" i="23"/>
  <c r="Q27" i="23"/>
  <c r="C86" i="23"/>
  <c r="D16" i="23"/>
  <c r="R27" i="23"/>
  <c r="D86" i="23"/>
  <c r="E16" i="23"/>
  <c r="S27" i="23"/>
  <c r="E86" i="23"/>
  <c r="F16" i="23"/>
  <c r="T27" i="23"/>
  <c r="F86" i="23"/>
  <c r="G16" i="23"/>
  <c r="U27" i="23"/>
  <c r="H16" i="23"/>
  <c r="V27" i="23"/>
  <c r="I16" i="23"/>
  <c r="W27" i="23"/>
  <c r="I86" i="23"/>
  <c r="J16" i="23"/>
  <c r="X27" i="23"/>
  <c r="J86" i="23"/>
  <c r="K16" i="23"/>
  <c r="L16" i="23"/>
  <c r="M16" i="23"/>
  <c r="AA27" i="23"/>
  <c r="M86" i="23"/>
  <c r="N16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C18" i="23"/>
  <c r="D18" i="23"/>
  <c r="R29" i="23"/>
  <c r="D88" i="23"/>
  <c r="E18" i="23"/>
  <c r="S29" i="23"/>
  <c r="E88" i="23"/>
  <c r="F18" i="23"/>
  <c r="T29" i="23"/>
  <c r="F88" i="23"/>
  <c r="G18" i="23"/>
  <c r="H18" i="23"/>
  <c r="V29" i="23"/>
  <c r="H88" i="23"/>
  <c r="I18" i="23"/>
  <c r="J18" i="23"/>
  <c r="K18" i="23"/>
  <c r="L18" i="23"/>
  <c r="M18" i="23"/>
  <c r="N18" i="23"/>
  <c r="C19" i="23"/>
  <c r="D19" i="23"/>
  <c r="R30" i="23"/>
  <c r="D89" i="23"/>
  <c r="E19" i="23"/>
  <c r="S30" i="23"/>
  <c r="E89" i="23"/>
  <c r="F19" i="23"/>
  <c r="T30" i="23"/>
  <c r="F89" i="23"/>
  <c r="G19" i="23"/>
  <c r="H19" i="23"/>
  <c r="V30" i="23"/>
  <c r="H89" i="23"/>
  <c r="I19" i="23"/>
  <c r="J19" i="23"/>
  <c r="K19" i="23"/>
  <c r="L19" i="23"/>
  <c r="M19" i="23"/>
  <c r="N19" i="23"/>
  <c r="C20" i="23"/>
  <c r="D20" i="23"/>
  <c r="R31" i="23"/>
  <c r="D90" i="23"/>
  <c r="E20" i="23"/>
  <c r="S31" i="23"/>
  <c r="F20" i="23"/>
  <c r="T31" i="23"/>
  <c r="F90" i="23"/>
  <c r="G20" i="23"/>
  <c r="H20" i="23"/>
  <c r="V31" i="23"/>
  <c r="H90" i="23"/>
  <c r="I20" i="23"/>
  <c r="W31" i="23"/>
  <c r="I90" i="23"/>
  <c r="J20" i="23"/>
  <c r="X31" i="23"/>
  <c r="J90" i="23"/>
  <c r="K20" i="23"/>
  <c r="L20" i="23"/>
  <c r="M20" i="23"/>
  <c r="N20" i="23"/>
  <c r="C21" i="23"/>
  <c r="D21" i="23"/>
  <c r="R32" i="23"/>
  <c r="D91" i="23"/>
  <c r="E21" i="23"/>
  <c r="S32" i="23"/>
  <c r="E91" i="23"/>
  <c r="F21" i="23"/>
  <c r="G21" i="23"/>
  <c r="H21" i="23"/>
  <c r="V32" i="23"/>
  <c r="H91" i="23"/>
  <c r="I21" i="23"/>
  <c r="W32" i="23"/>
  <c r="I91" i="23"/>
  <c r="J21" i="23"/>
  <c r="K21" i="23"/>
  <c r="L21" i="23"/>
  <c r="M21" i="23"/>
  <c r="N21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C23" i="23"/>
  <c r="D23" i="23"/>
  <c r="D69" i="23"/>
  <c r="E23" i="23"/>
  <c r="F23" i="23"/>
  <c r="G23" i="23"/>
  <c r="H23" i="23"/>
  <c r="H69" i="23"/>
  <c r="I23" i="23"/>
  <c r="J23" i="23"/>
  <c r="K23" i="23"/>
  <c r="L23" i="23"/>
  <c r="M23" i="23"/>
  <c r="N23" i="23"/>
  <c r="C24" i="23"/>
  <c r="D24" i="23"/>
  <c r="R35" i="23"/>
  <c r="D94" i="23"/>
  <c r="E24" i="23"/>
  <c r="S35" i="23"/>
  <c r="E94" i="23"/>
  <c r="F24" i="23"/>
  <c r="T35" i="23"/>
  <c r="F94" i="23"/>
  <c r="G24" i="23"/>
  <c r="H24" i="23"/>
  <c r="V35" i="23"/>
  <c r="H94" i="23"/>
  <c r="I24" i="23"/>
  <c r="W35" i="23"/>
  <c r="I94" i="23"/>
  <c r="J24" i="23"/>
  <c r="X35" i="23"/>
  <c r="J94" i="23"/>
  <c r="K24" i="23"/>
  <c r="L24" i="23"/>
  <c r="M24" i="23"/>
  <c r="N24" i="23"/>
  <c r="B17" i="23"/>
  <c r="B19" i="23"/>
  <c r="P30" i="23"/>
  <c r="B89" i="23"/>
  <c r="B20" i="23"/>
  <c r="P31" i="23"/>
  <c r="B90" i="23"/>
  <c r="B21" i="23"/>
  <c r="B22" i="23"/>
  <c r="B23" i="23"/>
  <c r="B24" i="23"/>
  <c r="P35" i="23"/>
  <c r="B94" i="23"/>
  <c r="C1" i="23"/>
  <c r="C9" i="23"/>
  <c r="D1" i="23"/>
  <c r="E1" i="23"/>
  <c r="E7" i="23"/>
  <c r="F1" i="23"/>
  <c r="F7" i="23"/>
  <c r="G1" i="23"/>
  <c r="H1" i="23"/>
  <c r="H5" i="23"/>
  <c r="I1" i="23"/>
  <c r="I11" i="23"/>
  <c r="J1" i="23"/>
  <c r="J6" i="23"/>
  <c r="J30" i="23"/>
  <c r="X30" i="23"/>
  <c r="J89" i="23"/>
  <c r="K1" i="23"/>
  <c r="K6" i="23"/>
  <c r="K30" i="23"/>
  <c r="Y30" i="23"/>
  <c r="K89" i="23"/>
  <c r="L1" i="23"/>
  <c r="M1" i="23"/>
  <c r="M7" i="23"/>
  <c r="M31" i="23"/>
  <c r="AA31" i="23"/>
  <c r="N1" i="23"/>
  <c r="N7" i="23"/>
  <c r="N31" i="23"/>
  <c r="AB31" i="23"/>
  <c r="N90" i="23"/>
  <c r="B6" i="23"/>
  <c r="F56" i="23"/>
  <c r="D56" i="23"/>
  <c r="L11" i="23"/>
  <c r="L35" i="23"/>
  <c r="Z35" i="23"/>
  <c r="L94" i="23"/>
  <c r="D11" i="23"/>
  <c r="L9" i="23"/>
  <c r="F9" i="23"/>
  <c r="F33" i="23"/>
  <c r="T33" i="23"/>
  <c r="F92" i="23"/>
  <c r="D9" i="23"/>
  <c r="D33" i="23"/>
  <c r="R33" i="23"/>
  <c r="D92" i="23"/>
  <c r="K8" i="23"/>
  <c r="C8" i="23"/>
  <c r="C6" i="23"/>
  <c r="J5" i="23"/>
  <c r="E4" i="23"/>
  <c r="L3" i="23"/>
  <c r="D3" i="23"/>
  <c r="L4" i="23"/>
  <c r="L28" i="23"/>
  <c r="Z28" i="23"/>
  <c r="K9" i="23"/>
  <c r="G5" i="23"/>
  <c r="F10" i="23"/>
  <c r="D4" i="23"/>
  <c r="D28" i="23"/>
  <c r="R28" i="23"/>
  <c r="C50" i="22"/>
  <c r="D50" i="22"/>
  <c r="D56" i="22"/>
  <c r="E50" i="22"/>
  <c r="F50" i="22"/>
  <c r="F56" i="22"/>
  <c r="G50" i="22"/>
  <c r="G56" i="22"/>
  <c r="H50" i="22"/>
  <c r="I50" i="22"/>
  <c r="I56" i="22"/>
  <c r="J50" i="22"/>
  <c r="K50" i="22"/>
  <c r="L50" i="22"/>
  <c r="M50" i="22"/>
  <c r="M56" i="22"/>
  <c r="N50" i="22"/>
  <c r="B50" i="22"/>
  <c r="K56" i="22"/>
  <c r="J56" i="22"/>
  <c r="E56" i="22"/>
  <c r="C56" i="22"/>
  <c r="C40" i="22"/>
  <c r="C46" i="22"/>
  <c r="D40" i="22"/>
  <c r="D46" i="22"/>
  <c r="E40" i="22"/>
  <c r="F40" i="22"/>
  <c r="G40" i="22"/>
  <c r="G46" i="22"/>
  <c r="H40" i="22"/>
  <c r="H46" i="22"/>
  <c r="I40" i="22"/>
  <c r="J40" i="22"/>
  <c r="J46" i="22"/>
  <c r="K40" i="22"/>
  <c r="K46" i="22"/>
  <c r="L40" i="22"/>
  <c r="L46" i="22"/>
  <c r="M40" i="22"/>
  <c r="N40" i="22"/>
  <c r="F4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B24" i="22"/>
  <c r="B17" i="22"/>
  <c r="B18" i="22"/>
  <c r="B19" i="22"/>
  <c r="B20" i="22"/>
  <c r="B21" i="22"/>
  <c r="B22" i="22"/>
  <c r="B23" i="22"/>
  <c r="B16" i="22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B165" i="21"/>
  <c r="B166" i="21"/>
  <c r="B167" i="21"/>
  <c r="B168" i="21"/>
  <c r="B169" i="21"/>
  <c r="B170" i="21"/>
  <c r="B171" i="21"/>
  <c r="B172" i="21"/>
  <c r="B164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B128" i="21"/>
  <c r="B129" i="21"/>
  <c r="B130" i="21"/>
  <c r="B131" i="21"/>
  <c r="B132" i="21"/>
  <c r="B133" i="21"/>
  <c r="B134" i="21"/>
  <c r="B135" i="21"/>
  <c r="B127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B91" i="21"/>
  <c r="B92" i="21"/>
  <c r="B93" i="21"/>
  <c r="B94" i="21"/>
  <c r="B95" i="21"/>
  <c r="B96" i="21"/>
  <c r="B97" i="21"/>
  <c r="B98" i="21"/>
  <c r="B90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B54" i="21"/>
  <c r="B55" i="21"/>
  <c r="B56" i="21"/>
  <c r="B57" i="21"/>
  <c r="B58" i="21"/>
  <c r="B59" i="21"/>
  <c r="B60" i="21"/>
  <c r="B61" i="21"/>
  <c r="B53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B17" i="21"/>
  <c r="B18" i="21"/>
  <c r="B19" i="21"/>
  <c r="B20" i="21"/>
  <c r="B21" i="21"/>
  <c r="B22" i="21"/>
  <c r="B23" i="21"/>
  <c r="B24" i="21"/>
  <c r="B16" i="21"/>
  <c r="E96" i="9"/>
  <c r="F96" i="9"/>
  <c r="G96" i="9"/>
  <c r="H96" i="9"/>
  <c r="I96" i="9"/>
  <c r="J96" i="9"/>
  <c r="K96" i="9"/>
  <c r="L96" i="9"/>
  <c r="M96" i="9"/>
  <c r="N96" i="9"/>
  <c r="O96" i="9"/>
  <c r="P96" i="9"/>
  <c r="E97" i="9"/>
  <c r="F97" i="9"/>
  <c r="G97" i="9"/>
  <c r="H97" i="9"/>
  <c r="I97" i="9"/>
  <c r="J97" i="9"/>
  <c r="K97" i="9"/>
  <c r="L97" i="9"/>
  <c r="M97" i="9"/>
  <c r="N97" i="9"/>
  <c r="O97" i="9"/>
  <c r="P97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D97" i="9"/>
  <c r="D98" i="9"/>
  <c r="D99" i="9"/>
  <c r="D100" i="9"/>
  <c r="D101" i="9"/>
  <c r="D102" i="9"/>
  <c r="D103" i="9"/>
  <c r="D104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Q107" i="9"/>
  <c r="Q115" i="9"/>
  <c r="Q108" i="9"/>
  <c r="Q109" i="9"/>
  <c r="Q110" i="9"/>
  <c r="Q111" i="9"/>
  <c r="Q112" i="9"/>
  <c r="Q113" i="9"/>
  <c r="Q114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Q141" i="9"/>
  <c r="Q142" i="9"/>
  <c r="Q143" i="9"/>
  <c r="Q144" i="9"/>
  <c r="Q145" i="9"/>
  <c r="Q146" i="9"/>
  <c r="Q147" i="9"/>
  <c r="Q148" i="9"/>
  <c r="Q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D141" i="9"/>
  <c r="D142" i="9"/>
  <c r="D143" i="9"/>
  <c r="D144" i="9"/>
  <c r="D145" i="9"/>
  <c r="D146" i="9"/>
  <c r="D147" i="9"/>
  <c r="D148" i="9"/>
  <c r="D140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Q130" i="9"/>
  <c r="Q131" i="9"/>
  <c r="Q132" i="9"/>
  <c r="Q133" i="9"/>
  <c r="Q134" i="9"/>
  <c r="Q135" i="9"/>
  <c r="Q136" i="9"/>
  <c r="Q137" i="9"/>
  <c r="Q129" i="9"/>
  <c r="F129" i="9"/>
  <c r="H129" i="9"/>
  <c r="J129" i="9"/>
  <c r="L129" i="9"/>
  <c r="M129" i="9"/>
  <c r="N129" i="9"/>
  <c r="O129" i="9"/>
  <c r="P129" i="9"/>
  <c r="F130" i="9"/>
  <c r="H130" i="9"/>
  <c r="J130" i="9"/>
  <c r="L130" i="9"/>
  <c r="M130" i="9"/>
  <c r="N130" i="9"/>
  <c r="O130" i="9"/>
  <c r="P130" i="9"/>
  <c r="F131" i="9"/>
  <c r="H131" i="9"/>
  <c r="J131" i="9"/>
  <c r="L131" i="9"/>
  <c r="M131" i="9"/>
  <c r="N131" i="9"/>
  <c r="O131" i="9"/>
  <c r="P131" i="9"/>
  <c r="F132" i="9"/>
  <c r="H132" i="9"/>
  <c r="J132" i="9"/>
  <c r="L132" i="9"/>
  <c r="M132" i="9"/>
  <c r="N132" i="9"/>
  <c r="O132" i="9"/>
  <c r="P132" i="9"/>
  <c r="F133" i="9"/>
  <c r="H133" i="9"/>
  <c r="J133" i="9"/>
  <c r="L133" i="9"/>
  <c r="M133" i="9"/>
  <c r="N133" i="9"/>
  <c r="O133" i="9"/>
  <c r="P133" i="9"/>
  <c r="F134" i="9"/>
  <c r="H134" i="9"/>
  <c r="J134" i="9"/>
  <c r="L134" i="9"/>
  <c r="M134" i="9"/>
  <c r="N134" i="9"/>
  <c r="O134" i="9"/>
  <c r="P134" i="9"/>
  <c r="F135" i="9"/>
  <c r="H135" i="9"/>
  <c r="J135" i="9"/>
  <c r="L135" i="9"/>
  <c r="M135" i="9"/>
  <c r="N135" i="9"/>
  <c r="O135" i="9"/>
  <c r="P135" i="9"/>
  <c r="F136" i="9"/>
  <c r="H136" i="9"/>
  <c r="J136" i="9"/>
  <c r="L136" i="9"/>
  <c r="M136" i="9"/>
  <c r="N136" i="9"/>
  <c r="O136" i="9"/>
  <c r="P136" i="9"/>
  <c r="F137" i="9"/>
  <c r="H137" i="9"/>
  <c r="J137" i="9"/>
  <c r="L137" i="9"/>
  <c r="M137" i="9"/>
  <c r="N137" i="9"/>
  <c r="O137" i="9"/>
  <c r="P137" i="9"/>
  <c r="D130" i="9"/>
  <c r="D131" i="9"/>
  <c r="D132" i="9"/>
  <c r="D133" i="9"/>
  <c r="D134" i="9"/>
  <c r="D135" i="9"/>
  <c r="D136" i="9"/>
  <c r="D137" i="9"/>
  <c r="D129" i="9"/>
  <c r="D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Q119" i="9"/>
  <c r="Q120" i="9"/>
  <c r="Q121" i="9"/>
  <c r="Q122" i="9"/>
  <c r="Q123" i="9"/>
  <c r="Q124" i="9"/>
  <c r="Q125" i="9"/>
  <c r="Q126" i="9"/>
  <c r="Q118" i="9"/>
  <c r="P118" i="9"/>
  <c r="E118" i="9"/>
  <c r="F118" i="9"/>
  <c r="G118" i="9"/>
  <c r="H118" i="9"/>
  <c r="I118" i="9"/>
  <c r="J118" i="9"/>
  <c r="K118" i="9"/>
  <c r="L118" i="9"/>
  <c r="M118" i="9"/>
  <c r="N118" i="9"/>
  <c r="O118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D119" i="9"/>
  <c r="D120" i="9"/>
  <c r="D121" i="9"/>
  <c r="D122" i="9"/>
  <c r="D123" i="9"/>
  <c r="D124" i="9"/>
  <c r="D125" i="9"/>
  <c r="D126" i="9"/>
  <c r="D107" i="9"/>
  <c r="K115" i="9"/>
  <c r="K114" i="9"/>
  <c r="K113" i="9"/>
  <c r="K112" i="9"/>
  <c r="K111" i="9"/>
  <c r="K110" i="9"/>
  <c r="K109" i="9"/>
  <c r="K108" i="9"/>
  <c r="K107" i="9"/>
  <c r="I115" i="9"/>
  <c r="I114" i="9"/>
  <c r="I113" i="9"/>
  <c r="I112" i="9"/>
  <c r="I111" i="9"/>
  <c r="I110" i="9"/>
  <c r="I109" i="9"/>
  <c r="I108" i="9"/>
  <c r="I107" i="9"/>
  <c r="G115" i="9"/>
  <c r="G114" i="9"/>
  <c r="G113" i="9"/>
  <c r="G112" i="9"/>
  <c r="G111" i="9"/>
  <c r="G110" i="9"/>
  <c r="G109" i="9"/>
  <c r="G108" i="9"/>
  <c r="G107" i="9"/>
  <c r="E115" i="9"/>
  <c r="E114" i="9"/>
  <c r="E113" i="9"/>
  <c r="E112" i="9"/>
  <c r="E111" i="9"/>
  <c r="E110" i="9"/>
  <c r="E109" i="9"/>
  <c r="E108" i="9"/>
  <c r="E107" i="9"/>
  <c r="M107" i="9"/>
  <c r="N107" i="9"/>
  <c r="O107" i="9"/>
  <c r="P107" i="9"/>
  <c r="M108" i="9"/>
  <c r="N108" i="9"/>
  <c r="O108" i="9"/>
  <c r="P108" i="9"/>
  <c r="M109" i="9"/>
  <c r="N109" i="9"/>
  <c r="O109" i="9"/>
  <c r="P109" i="9"/>
  <c r="M110" i="9"/>
  <c r="N110" i="9"/>
  <c r="O110" i="9"/>
  <c r="P110" i="9"/>
  <c r="M111" i="9"/>
  <c r="N111" i="9"/>
  <c r="O111" i="9"/>
  <c r="P111" i="9"/>
  <c r="M112" i="9"/>
  <c r="N112" i="9"/>
  <c r="O112" i="9"/>
  <c r="P112" i="9"/>
  <c r="M113" i="9"/>
  <c r="N113" i="9"/>
  <c r="O113" i="9"/>
  <c r="P113" i="9"/>
  <c r="M114" i="9"/>
  <c r="N114" i="9"/>
  <c r="O114" i="9"/>
  <c r="P114" i="9"/>
  <c r="M115" i="9"/>
  <c r="N115" i="9"/>
  <c r="O115" i="9"/>
  <c r="P115" i="9"/>
  <c r="L115" i="9"/>
  <c r="L114" i="9"/>
  <c r="L113" i="9"/>
  <c r="L112" i="9"/>
  <c r="L111" i="9"/>
  <c r="L110" i="9"/>
  <c r="L109" i="9"/>
  <c r="L108" i="9"/>
  <c r="L107" i="9"/>
  <c r="J115" i="9"/>
  <c r="J114" i="9"/>
  <c r="J113" i="9"/>
  <c r="J112" i="9"/>
  <c r="J111" i="9"/>
  <c r="J110" i="9"/>
  <c r="J109" i="9"/>
  <c r="J108" i="9"/>
  <c r="J107" i="9"/>
  <c r="H115" i="9"/>
  <c r="H114" i="9"/>
  <c r="H113" i="9"/>
  <c r="H112" i="9"/>
  <c r="H111" i="9"/>
  <c r="H110" i="9"/>
  <c r="H109" i="9"/>
  <c r="H108" i="9"/>
  <c r="H107" i="9"/>
  <c r="F115" i="9"/>
  <c r="F114" i="9"/>
  <c r="F113" i="9"/>
  <c r="F112" i="9"/>
  <c r="F111" i="9"/>
  <c r="F110" i="9"/>
  <c r="F109" i="9"/>
  <c r="F108" i="9"/>
  <c r="F107" i="9"/>
  <c r="D108" i="9"/>
  <c r="D109" i="9"/>
  <c r="D110" i="9"/>
  <c r="D111" i="9"/>
  <c r="D112" i="9"/>
  <c r="D113" i="9"/>
  <c r="D114" i="9"/>
  <c r="D115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D96" i="9"/>
  <c r="E4" i="22"/>
  <c r="E28" i="22"/>
  <c r="S17" i="22"/>
  <c r="F4" i="22"/>
  <c r="F28" i="22"/>
  <c r="T17" i="22"/>
  <c r="J5" i="22"/>
  <c r="J29" i="22"/>
  <c r="X18" i="22"/>
  <c r="E6" i="22"/>
  <c r="E30" i="22"/>
  <c r="S19" i="22"/>
  <c r="I7" i="22"/>
  <c r="I31" i="22"/>
  <c r="W20" i="22"/>
  <c r="J7" i="22"/>
  <c r="J31" i="22"/>
  <c r="X20" i="22"/>
  <c r="I9" i="22"/>
  <c r="I33" i="22"/>
  <c r="W22" i="22"/>
  <c r="G11" i="22"/>
  <c r="G35" i="22"/>
  <c r="U24" i="22"/>
  <c r="C1" i="22"/>
  <c r="C3" i="22"/>
  <c r="D1" i="22"/>
  <c r="D6" i="22"/>
  <c r="D30" i="22"/>
  <c r="R19" i="22"/>
  <c r="AF19" i="22"/>
  <c r="E1" i="22"/>
  <c r="E3" i="22"/>
  <c r="F1" i="22"/>
  <c r="F3" i="22"/>
  <c r="G1" i="22"/>
  <c r="G4" i="22"/>
  <c r="G28" i="22"/>
  <c r="U17" i="22"/>
  <c r="H1" i="22"/>
  <c r="H4" i="22"/>
  <c r="H28" i="22"/>
  <c r="V17" i="22"/>
  <c r="I1" i="22"/>
  <c r="I4" i="22"/>
  <c r="I28" i="22"/>
  <c r="W17" i="22"/>
  <c r="J1" i="22"/>
  <c r="J3" i="22"/>
  <c r="J27" i="22"/>
  <c r="X16" i="22"/>
  <c r="K1" i="22"/>
  <c r="K3" i="22"/>
  <c r="K27" i="22"/>
  <c r="Y16" i="22"/>
  <c r="L1" i="22"/>
  <c r="L8" i="22"/>
  <c r="L32" i="22"/>
  <c r="Z21" i="22"/>
  <c r="M7" i="22"/>
  <c r="M31" i="22"/>
  <c r="AA20" i="22"/>
  <c r="N3" i="22"/>
  <c r="B8" i="22"/>
  <c r="B32" i="22"/>
  <c r="P21" i="22"/>
  <c r="AD21" i="22"/>
  <c r="B4" i="16"/>
  <c r="L196" i="8"/>
  <c r="K196" i="8"/>
  <c r="B3" i="21"/>
  <c r="B1" i="21"/>
  <c r="F151" i="21"/>
  <c r="G152" i="21"/>
  <c r="J152" i="21"/>
  <c r="K153" i="21"/>
  <c r="F154" i="21"/>
  <c r="H155" i="21"/>
  <c r="N155" i="21"/>
  <c r="C157" i="21"/>
  <c r="H157" i="21"/>
  <c r="C159" i="21"/>
  <c r="D162" i="21"/>
  <c r="F162" i="21"/>
  <c r="H162" i="21"/>
  <c r="J162" i="21"/>
  <c r="K162" i="21"/>
  <c r="L162" i="21"/>
  <c r="M162" i="21"/>
  <c r="N162" i="21"/>
  <c r="B162" i="21"/>
  <c r="C151" i="21"/>
  <c r="D186" i="21"/>
  <c r="E186" i="21"/>
  <c r="F156" i="21"/>
  <c r="G151" i="21"/>
  <c r="H151" i="21"/>
  <c r="I152" i="21"/>
  <c r="J157" i="21"/>
  <c r="K159" i="21"/>
  <c r="L186" i="21"/>
  <c r="M186" i="21"/>
  <c r="N152" i="21"/>
  <c r="B157" i="21"/>
  <c r="J65" i="17"/>
  <c r="J75" i="17"/>
  <c r="N65" i="17"/>
  <c r="C112" i="21"/>
  <c r="C119" i="21"/>
  <c r="D112" i="21"/>
  <c r="D116" i="21"/>
  <c r="E112" i="21"/>
  <c r="E114" i="21"/>
  <c r="F112" i="21"/>
  <c r="F115" i="21"/>
  <c r="G112" i="21"/>
  <c r="G115" i="21"/>
  <c r="H112" i="21"/>
  <c r="H115" i="21"/>
  <c r="I112" i="21"/>
  <c r="I117" i="21"/>
  <c r="J112" i="21"/>
  <c r="J114" i="21"/>
  <c r="K112" i="21"/>
  <c r="K121" i="21"/>
  <c r="K145" i="21"/>
  <c r="L112" i="21"/>
  <c r="M112" i="21"/>
  <c r="M121" i="21"/>
  <c r="N112" i="21"/>
  <c r="N115" i="21"/>
  <c r="B112" i="21"/>
  <c r="B115" i="21"/>
  <c r="C75" i="21"/>
  <c r="C77" i="21"/>
  <c r="D75" i="21"/>
  <c r="E75" i="21"/>
  <c r="F75" i="21"/>
  <c r="F83" i="21"/>
  <c r="F107" i="21"/>
  <c r="G75" i="21"/>
  <c r="H75" i="21"/>
  <c r="H80" i="21"/>
  <c r="I75" i="21"/>
  <c r="I77" i="21"/>
  <c r="J75" i="21"/>
  <c r="J77" i="21"/>
  <c r="K75" i="21"/>
  <c r="L75" i="21"/>
  <c r="L79" i="21"/>
  <c r="M75" i="21"/>
  <c r="N75" i="21"/>
  <c r="N79" i="21"/>
  <c r="B75" i="21"/>
  <c r="C38" i="21"/>
  <c r="C45" i="21"/>
  <c r="D38" i="21"/>
  <c r="E38" i="21"/>
  <c r="F38" i="21"/>
  <c r="G38" i="21"/>
  <c r="G41" i="21"/>
  <c r="H38" i="21"/>
  <c r="H40" i="21"/>
  <c r="I38" i="21"/>
  <c r="I40" i="21"/>
  <c r="J38" i="21"/>
  <c r="J40" i="21"/>
  <c r="K38" i="21"/>
  <c r="K40" i="21"/>
  <c r="L38" i="21"/>
  <c r="M38" i="21"/>
  <c r="M41" i="21"/>
  <c r="N38" i="21"/>
  <c r="N45" i="21"/>
  <c r="B38" i="21"/>
  <c r="B43" i="21"/>
  <c r="C1" i="21"/>
  <c r="D1" i="21"/>
  <c r="E1" i="21"/>
  <c r="F1" i="21"/>
  <c r="F8" i="21"/>
  <c r="G1" i="21"/>
  <c r="H1" i="21"/>
  <c r="H7" i="21"/>
  <c r="I1" i="21"/>
  <c r="I3" i="21"/>
  <c r="J1" i="21"/>
  <c r="J4" i="21"/>
  <c r="K1" i="21"/>
  <c r="L1" i="21"/>
  <c r="M1" i="21"/>
  <c r="N1" i="21"/>
  <c r="N10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B125" i="21"/>
  <c r="G3" i="21"/>
  <c r="C3" i="21"/>
  <c r="K3" i="21"/>
  <c r="M3" i="21"/>
  <c r="C4" i="21"/>
  <c r="G4" i="21"/>
  <c r="K4" i="21"/>
  <c r="C5" i="21"/>
  <c r="K5" i="21"/>
  <c r="C6" i="21"/>
  <c r="D6" i="21"/>
  <c r="E6" i="21"/>
  <c r="F6" i="21"/>
  <c r="G6" i="21"/>
  <c r="K6" i="21"/>
  <c r="C7" i="21"/>
  <c r="K7" i="21"/>
  <c r="C8" i="21"/>
  <c r="E8" i="21"/>
  <c r="G8" i="21"/>
  <c r="K8" i="21"/>
  <c r="C9" i="21"/>
  <c r="E9" i="21"/>
  <c r="K9" i="21"/>
  <c r="C10" i="21"/>
  <c r="G10" i="21"/>
  <c r="H10" i="21"/>
  <c r="K10" i="21"/>
  <c r="C11" i="21"/>
  <c r="K11" i="21"/>
  <c r="M11" i="21"/>
  <c r="D40" i="21"/>
  <c r="D49" i="21"/>
  <c r="E40" i="21"/>
  <c r="F40" i="21"/>
  <c r="G40" i="21"/>
  <c r="L40" i="21"/>
  <c r="M40" i="21"/>
  <c r="N40" i="21"/>
  <c r="D41" i="21"/>
  <c r="K41" i="21"/>
  <c r="L41" i="21"/>
  <c r="D42" i="21"/>
  <c r="E42" i="21"/>
  <c r="F42" i="21"/>
  <c r="G42" i="21"/>
  <c r="L42" i="21"/>
  <c r="M42" i="21"/>
  <c r="N42" i="21"/>
  <c r="D43" i="21"/>
  <c r="G43" i="21"/>
  <c r="L43" i="21"/>
  <c r="C44" i="21"/>
  <c r="D44" i="21"/>
  <c r="E44" i="21"/>
  <c r="F44" i="21"/>
  <c r="G44" i="21"/>
  <c r="L44" i="21"/>
  <c r="L68" i="21"/>
  <c r="M44" i="21"/>
  <c r="N44" i="21"/>
  <c r="D45" i="21"/>
  <c r="L45" i="21"/>
  <c r="D46" i="21"/>
  <c r="D70" i="21"/>
  <c r="E46" i="21"/>
  <c r="F46" i="21"/>
  <c r="G46" i="21"/>
  <c r="L46" i="21"/>
  <c r="M46" i="21"/>
  <c r="N46" i="21"/>
  <c r="D47" i="21"/>
  <c r="K47" i="21"/>
  <c r="L47" i="21"/>
  <c r="D48" i="21"/>
  <c r="D72" i="21"/>
  <c r="E48" i="21"/>
  <c r="F48" i="21"/>
  <c r="G48" i="21"/>
  <c r="L48" i="21"/>
  <c r="M48" i="21"/>
  <c r="N48" i="21"/>
  <c r="B41" i="21"/>
  <c r="B42" i="21"/>
  <c r="B44" i="21"/>
  <c r="B46" i="21"/>
  <c r="E77" i="21"/>
  <c r="H77" i="21"/>
  <c r="M77" i="21"/>
  <c r="C78" i="21"/>
  <c r="D78" i="21"/>
  <c r="E78" i="21"/>
  <c r="I78" i="21"/>
  <c r="J78" i="21"/>
  <c r="L78" i="21"/>
  <c r="M78" i="21"/>
  <c r="E79" i="21"/>
  <c r="M79" i="21"/>
  <c r="C80" i="21"/>
  <c r="D80" i="21"/>
  <c r="E80" i="21"/>
  <c r="I80" i="21"/>
  <c r="J80" i="21"/>
  <c r="L80" i="21"/>
  <c r="M80" i="21"/>
  <c r="E81" i="21"/>
  <c r="G81" i="21"/>
  <c r="H81" i="21"/>
  <c r="M81" i="21"/>
  <c r="C82" i="21"/>
  <c r="C106" i="21"/>
  <c r="D82" i="21"/>
  <c r="E82" i="21"/>
  <c r="G82" i="21"/>
  <c r="I82" i="21"/>
  <c r="J82" i="21"/>
  <c r="L82" i="21"/>
  <c r="M82" i="21"/>
  <c r="E83" i="21"/>
  <c r="M83" i="21"/>
  <c r="C84" i="21"/>
  <c r="D84" i="21"/>
  <c r="E84" i="21"/>
  <c r="I84" i="21"/>
  <c r="J84" i="21"/>
  <c r="L84" i="21"/>
  <c r="M84" i="21"/>
  <c r="E85" i="21"/>
  <c r="G85" i="21"/>
  <c r="M85" i="21"/>
  <c r="B80" i="21"/>
  <c r="B82" i="21"/>
  <c r="B83" i="21"/>
  <c r="B84" i="21"/>
  <c r="D114" i="21"/>
  <c r="F114" i="21"/>
  <c r="F138" i="21"/>
  <c r="G114" i="21"/>
  <c r="H114" i="21"/>
  <c r="I114" i="21"/>
  <c r="N114" i="21"/>
  <c r="D115" i="21"/>
  <c r="D139" i="21"/>
  <c r="F116" i="21"/>
  <c r="G116" i="21"/>
  <c r="H116" i="21"/>
  <c r="I116" i="21"/>
  <c r="L116" i="21"/>
  <c r="N116" i="21"/>
  <c r="N140" i="21"/>
  <c r="D117" i="21"/>
  <c r="M117" i="21"/>
  <c r="M141" i="21"/>
  <c r="D118" i="21"/>
  <c r="F118" i="21"/>
  <c r="F142" i="21"/>
  <c r="G118" i="21"/>
  <c r="H118" i="21"/>
  <c r="I118" i="21"/>
  <c r="N118" i="21"/>
  <c r="D119" i="21"/>
  <c r="L119" i="21"/>
  <c r="D120" i="21"/>
  <c r="F120" i="21"/>
  <c r="F144" i="21"/>
  <c r="G120" i="21"/>
  <c r="H120" i="21"/>
  <c r="I120" i="21"/>
  <c r="L120" i="21"/>
  <c r="N120" i="21"/>
  <c r="N144" i="21"/>
  <c r="D121" i="21"/>
  <c r="E121" i="21"/>
  <c r="E145" i="21"/>
  <c r="D122" i="21"/>
  <c r="F122" i="21"/>
  <c r="G122" i="21"/>
  <c r="H122" i="21"/>
  <c r="I122" i="21"/>
  <c r="L122" i="21"/>
  <c r="N122" i="21"/>
  <c r="N146" i="21"/>
  <c r="B118" i="21"/>
  <c r="B119" i="21"/>
  <c r="B143" i="21"/>
  <c r="B122" i="21"/>
  <c r="B3" i="7"/>
  <c r="C88" i="21"/>
  <c r="D88" i="21"/>
  <c r="E88" i="21"/>
  <c r="F88" i="21"/>
  <c r="G88" i="21"/>
  <c r="H88" i="21"/>
  <c r="I88" i="21"/>
  <c r="I108" i="21"/>
  <c r="J88" i="21"/>
  <c r="K88" i="21"/>
  <c r="L88" i="21"/>
  <c r="M88" i="21"/>
  <c r="N88" i="21"/>
  <c r="B88" i="21"/>
  <c r="L67" i="21"/>
  <c r="B66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B51" i="21"/>
  <c r="L70" i="21"/>
  <c r="B65" i="21"/>
  <c r="E70" i="21"/>
  <c r="H9" i="22"/>
  <c r="H33" i="22"/>
  <c r="V22" i="22"/>
  <c r="N10" i="22"/>
  <c r="N34" i="22"/>
  <c r="AB23" i="22"/>
  <c r="G9" i="22"/>
  <c r="G33" i="22"/>
  <c r="U22" i="22"/>
  <c r="H7" i="22"/>
  <c r="H31" i="22"/>
  <c r="V20" i="22"/>
  <c r="I5" i="22"/>
  <c r="I29" i="22"/>
  <c r="W18" i="22"/>
  <c r="I3" i="22"/>
  <c r="I27" i="22"/>
  <c r="W16" i="22"/>
  <c r="M10" i="22"/>
  <c r="M34" i="22"/>
  <c r="AA23" i="22"/>
  <c r="N8" i="22"/>
  <c r="N32" i="22"/>
  <c r="AB21" i="22"/>
  <c r="G7" i="22"/>
  <c r="G31" i="22"/>
  <c r="U20" i="22"/>
  <c r="H5" i="22"/>
  <c r="H29" i="22"/>
  <c r="V18" i="22"/>
  <c r="H3" i="22"/>
  <c r="I10" i="22"/>
  <c r="I34" i="22"/>
  <c r="W23" i="22"/>
  <c r="M8" i="22"/>
  <c r="M32" i="22"/>
  <c r="AA21" i="22"/>
  <c r="N6" i="22"/>
  <c r="N30" i="22"/>
  <c r="AB19" i="22"/>
  <c r="G5" i="22"/>
  <c r="G29" i="22"/>
  <c r="U18" i="22"/>
  <c r="G3" i="22"/>
  <c r="L56" i="22"/>
  <c r="F10" i="22"/>
  <c r="F34" i="22"/>
  <c r="T23" i="22"/>
  <c r="I8" i="22"/>
  <c r="I32" i="22"/>
  <c r="W21" i="22"/>
  <c r="M6" i="22"/>
  <c r="M30" i="22"/>
  <c r="AA19" i="22"/>
  <c r="N4" i="22"/>
  <c r="N28" i="22"/>
  <c r="AB17" i="22"/>
  <c r="H11" i="22"/>
  <c r="H35" i="22"/>
  <c r="V24" i="22"/>
  <c r="J11" i="22"/>
  <c r="J35" i="22"/>
  <c r="X24" i="22"/>
  <c r="E10" i="22"/>
  <c r="E34" i="22"/>
  <c r="S23" i="22"/>
  <c r="F8" i="22"/>
  <c r="F32" i="22"/>
  <c r="T21" i="22"/>
  <c r="I6" i="22"/>
  <c r="I30" i="22"/>
  <c r="W19" i="22"/>
  <c r="M4" i="22"/>
  <c r="M28" i="22"/>
  <c r="AA17" i="22"/>
  <c r="N56" i="22"/>
  <c r="I11" i="22"/>
  <c r="I35" i="22"/>
  <c r="W24" i="22"/>
  <c r="J9" i="22"/>
  <c r="J33" i="22"/>
  <c r="X22" i="22"/>
  <c r="E8" i="22"/>
  <c r="E32" i="22"/>
  <c r="S21" i="22"/>
  <c r="F6" i="22"/>
  <c r="F30" i="22"/>
  <c r="T19" i="22"/>
  <c r="B3" i="22"/>
  <c r="B10" i="22"/>
  <c r="B34" i="22"/>
  <c r="P23" i="22"/>
  <c r="AD23" i="22"/>
  <c r="B5" i="22"/>
  <c r="B29" i="22"/>
  <c r="P18" i="22"/>
  <c r="AD18" i="22"/>
  <c r="B7" i="22"/>
  <c r="B31" i="22"/>
  <c r="P20" i="22"/>
  <c r="AD20" i="22"/>
  <c r="B6" i="22"/>
  <c r="B30" i="22"/>
  <c r="P19" i="22"/>
  <c r="AD19" i="22"/>
  <c r="B4" i="22"/>
  <c r="B28" i="22"/>
  <c r="P17" i="22"/>
  <c r="H8" i="23"/>
  <c r="K56" i="23"/>
  <c r="G67" i="23"/>
  <c r="J56" i="23"/>
  <c r="B5" i="23"/>
  <c r="B11" i="23"/>
  <c r="B67" i="23"/>
  <c r="K186" i="21"/>
  <c r="C186" i="21"/>
  <c r="E120" i="21"/>
  <c r="E144" i="21"/>
  <c r="M118" i="21"/>
  <c r="M142" i="21"/>
  <c r="E117" i="21"/>
  <c r="N83" i="21"/>
  <c r="K48" i="21"/>
  <c r="K72" i="21"/>
  <c r="K42" i="21"/>
  <c r="K49" i="21"/>
  <c r="F4" i="21"/>
  <c r="N158" i="21"/>
  <c r="F157" i="21"/>
  <c r="J155" i="21"/>
  <c r="N153" i="21"/>
  <c r="H152" i="21"/>
  <c r="J186" i="21"/>
  <c r="M114" i="21"/>
  <c r="M123" i="21"/>
  <c r="K43" i="21"/>
  <c r="J158" i="21"/>
  <c r="J182" i="21"/>
  <c r="M120" i="21"/>
  <c r="M144" i="21"/>
  <c r="M119" i="21"/>
  <c r="C117" i="21"/>
  <c r="E116" i="21"/>
  <c r="E140" i="21"/>
  <c r="H83" i="21"/>
  <c r="H107" i="21"/>
  <c r="H78" i="21"/>
  <c r="H102" i="21"/>
  <c r="C46" i="21"/>
  <c r="K44" i="21"/>
  <c r="C40" i="21"/>
  <c r="H158" i="21"/>
  <c r="N156" i="21"/>
  <c r="F155" i="21"/>
  <c r="J153" i="21"/>
  <c r="F152" i="21"/>
  <c r="F160" i="21"/>
  <c r="H186" i="21"/>
  <c r="E122" i="21"/>
  <c r="E146" i="21"/>
  <c r="C116" i="21"/>
  <c r="C140" i="21"/>
  <c r="N159" i="21"/>
  <c r="G158" i="21"/>
  <c r="J156" i="21"/>
  <c r="N154" i="21"/>
  <c r="H153" i="21"/>
  <c r="N151" i="21"/>
  <c r="G186" i="21"/>
  <c r="I186" i="21"/>
  <c r="M122" i="21"/>
  <c r="E119" i="21"/>
  <c r="M116" i="21"/>
  <c r="M140" i="21"/>
  <c r="M115" i="21"/>
  <c r="M139" i="21"/>
  <c r="H84" i="21"/>
  <c r="H108" i="21"/>
  <c r="H79" i="21"/>
  <c r="K45" i="21"/>
  <c r="C43" i="21"/>
  <c r="N6" i="21"/>
  <c r="J159" i="21"/>
  <c r="F158" i="21"/>
  <c r="H156" i="21"/>
  <c r="J154" i="21"/>
  <c r="J178" i="21"/>
  <c r="F153" i="21"/>
  <c r="K151" i="21"/>
  <c r="N186" i="21"/>
  <c r="F186" i="21"/>
  <c r="C47" i="21"/>
  <c r="E118" i="21"/>
  <c r="E142" i="21"/>
  <c r="K115" i="21"/>
  <c r="K139" i="21"/>
  <c r="H85" i="21"/>
  <c r="H109" i="21"/>
  <c r="C48" i="21"/>
  <c r="K46" i="21"/>
  <c r="C42" i="21"/>
  <c r="N8" i="21"/>
  <c r="N4" i="21"/>
  <c r="H159" i="21"/>
  <c r="N157" i="21"/>
  <c r="G156" i="21"/>
  <c r="H154" i="21"/>
  <c r="C153" i="21"/>
  <c r="J151" i="21"/>
  <c r="J175" i="21"/>
  <c r="H82" i="21"/>
  <c r="C41" i="21"/>
  <c r="K122" i="21"/>
  <c r="K146" i="21"/>
  <c r="E115" i="21"/>
  <c r="E123" i="21"/>
  <c r="F3" i="21"/>
  <c r="F27" i="21"/>
  <c r="F159" i="21"/>
  <c r="G154" i="21"/>
  <c r="B156" i="21"/>
  <c r="B155" i="21"/>
  <c r="B40" i="21"/>
  <c r="B48" i="21"/>
  <c r="B4" i="21"/>
  <c r="B186" i="21"/>
  <c r="L87" i="23"/>
  <c r="D87" i="23"/>
  <c r="M90" i="23"/>
  <c r="H86" i="23"/>
  <c r="G86" i="23"/>
  <c r="E90" i="23"/>
  <c r="N10" i="23"/>
  <c r="N34" i="23"/>
  <c r="AB34" i="23"/>
  <c r="N93" i="23"/>
  <c r="E6" i="23"/>
  <c r="L33" i="23"/>
  <c r="Z33" i="23"/>
  <c r="L92" i="23"/>
  <c r="L56" i="23"/>
  <c r="E69" i="23"/>
  <c r="C95" i="23"/>
  <c r="F69" i="23"/>
  <c r="L67" i="23"/>
  <c r="M6" i="23"/>
  <c r="M30" i="23"/>
  <c r="AA30" i="23"/>
  <c r="M89" i="23"/>
  <c r="M67" i="23"/>
  <c r="N67" i="23"/>
  <c r="I69" i="23"/>
  <c r="M4" i="23"/>
  <c r="M28" i="23"/>
  <c r="AA28" i="23"/>
  <c r="I8" i="23"/>
  <c r="B56" i="23"/>
  <c r="K67" i="23"/>
  <c r="C67" i="23"/>
  <c r="J67" i="23"/>
  <c r="H67" i="23"/>
  <c r="F67" i="23"/>
  <c r="I67" i="23"/>
  <c r="B69" i="23"/>
  <c r="J69" i="23"/>
  <c r="C69" i="23"/>
  <c r="K69" i="23"/>
  <c r="D67" i="23"/>
  <c r="E67" i="23"/>
  <c r="L69" i="23"/>
  <c r="M69" i="23"/>
  <c r="I56" i="23"/>
  <c r="H56" i="23"/>
  <c r="G56" i="23"/>
  <c r="C33" i="23"/>
  <c r="Q33" i="23"/>
  <c r="C92" i="23"/>
  <c r="F34" i="23"/>
  <c r="T34" i="23"/>
  <c r="F93" i="23"/>
  <c r="K32" i="23"/>
  <c r="Y32" i="23"/>
  <c r="K91" i="23"/>
  <c r="E28" i="23"/>
  <c r="S28" i="23"/>
  <c r="K33" i="23"/>
  <c r="Y33" i="23"/>
  <c r="K92" i="23"/>
  <c r="J29" i="23"/>
  <c r="X29" i="23"/>
  <c r="J88" i="23"/>
  <c r="J11" i="23"/>
  <c r="J3" i="23"/>
  <c r="H7" i="23"/>
  <c r="N9" i="23"/>
  <c r="N33" i="23"/>
  <c r="AB33" i="23"/>
  <c r="N92" i="23"/>
  <c r="B3" i="23"/>
  <c r="G10" i="23"/>
  <c r="G34" i="23"/>
  <c r="U34" i="23"/>
  <c r="G93" i="23"/>
  <c r="C3" i="23"/>
  <c r="K3" i="23"/>
  <c r="F4" i="23"/>
  <c r="F28" i="23"/>
  <c r="T28" i="23"/>
  <c r="N4" i="23"/>
  <c r="N28" i="23"/>
  <c r="AB28" i="23"/>
  <c r="N87" i="23"/>
  <c r="I5" i="23"/>
  <c r="I29" i="23"/>
  <c r="W29" i="23"/>
  <c r="I88" i="23"/>
  <c r="D6" i="23"/>
  <c r="L6" i="23"/>
  <c r="L30" i="23"/>
  <c r="Z30" i="23"/>
  <c r="L89" i="23"/>
  <c r="G7" i="23"/>
  <c r="B8" i="23"/>
  <c r="J8" i="23"/>
  <c r="E9" i="23"/>
  <c r="E33" i="23"/>
  <c r="S33" i="23"/>
  <c r="E92" i="23"/>
  <c r="M9" i="23"/>
  <c r="M33" i="23"/>
  <c r="AA33" i="23"/>
  <c r="M92" i="23"/>
  <c r="H10" i="23"/>
  <c r="H34" i="23"/>
  <c r="V34" i="23"/>
  <c r="H93" i="23"/>
  <c r="C11" i="23"/>
  <c r="K11" i="23"/>
  <c r="K35" i="23"/>
  <c r="Y35" i="23"/>
  <c r="K94" i="23"/>
  <c r="E56" i="23"/>
  <c r="M56" i="23"/>
  <c r="E3" i="23"/>
  <c r="M3" i="23"/>
  <c r="H4" i="23"/>
  <c r="H28" i="23"/>
  <c r="V28" i="23"/>
  <c r="C5" i="23"/>
  <c r="K5" i="23"/>
  <c r="K29" i="23"/>
  <c r="Y29" i="23"/>
  <c r="K88" i="23"/>
  <c r="F6" i="23"/>
  <c r="N6" i="23"/>
  <c r="N30" i="23"/>
  <c r="AB30" i="23"/>
  <c r="N89" i="23"/>
  <c r="I7" i="23"/>
  <c r="D8" i="23"/>
  <c r="L8" i="23"/>
  <c r="L32" i="23"/>
  <c r="Z32" i="23"/>
  <c r="L91" i="23"/>
  <c r="G9" i="23"/>
  <c r="G33" i="23"/>
  <c r="U33" i="23"/>
  <c r="G92" i="23"/>
  <c r="B10" i="23"/>
  <c r="B34" i="23"/>
  <c r="P34" i="23"/>
  <c r="B93" i="23"/>
  <c r="J10" i="23"/>
  <c r="J34" i="23"/>
  <c r="X34" i="23"/>
  <c r="J93" i="23"/>
  <c r="E11" i="23"/>
  <c r="M11" i="23"/>
  <c r="M35" i="23"/>
  <c r="AA35" i="23"/>
  <c r="M94" i="23"/>
  <c r="L27" i="23"/>
  <c r="Z27" i="23"/>
  <c r="F3" i="23"/>
  <c r="N3" i="23"/>
  <c r="N27" i="23"/>
  <c r="AB27" i="23"/>
  <c r="I4" i="23"/>
  <c r="I28" i="23"/>
  <c r="W28" i="23"/>
  <c r="D5" i="23"/>
  <c r="L5" i="23"/>
  <c r="L29" i="23"/>
  <c r="Z29" i="23"/>
  <c r="L88" i="23"/>
  <c r="G6" i="23"/>
  <c r="B7" i="23"/>
  <c r="J7" i="23"/>
  <c r="E8" i="23"/>
  <c r="M8" i="23"/>
  <c r="M32" i="23"/>
  <c r="AA32" i="23"/>
  <c r="M91" i="23"/>
  <c r="H9" i="23"/>
  <c r="H33" i="23"/>
  <c r="V33" i="23"/>
  <c r="H92" i="23"/>
  <c r="C10" i="23"/>
  <c r="C34" i="23"/>
  <c r="Q34" i="23"/>
  <c r="C93" i="23"/>
  <c r="K10" i="23"/>
  <c r="K34" i="23"/>
  <c r="Y34" i="23"/>
  <c r="K93" i="23"/>
  <c r="F11" i="23"/>
  <c r="N11" i="23"/>
  <c r="N35" i="23"/>
  <c r="AB35" i="23"/>
  <c r="N94" i="23"/>
  <c r="G4" i="23"/>
  <c r="G28" i="23"/>
  <c r="U28" i="23"/>
  <c r="N56" i="23"/>
  <c r="G3" i="23"/>
  <c r="B4" i="23"/>
  <c r="P28" i="23"/>
  <c r="J4" i="23"/>
  <c r="J28" i="23"/>
  <c r="X28" i="23"/>
  <c r="E5" i="23"/>
  <c r="M5" i="23"/>
  <c r="M29" i="23"/>
  <c r="AA29" i="23"/>
  <c r="M88" i="23"/>
  <c r="H6" i="23"/>
  <c r="C7" i="23"/>
  <c r="K7" i="23"/>
  <c r="K31" i="23"/>
  <c r="Y31" i="23"/>
  <c r="K90" i="23"/>
  <c r="F8" i="23"/>
  <c r="N8" i="23"/>
  <c r="N32" i="23"/>
  <c r="AB32" i="23"/>
  <c r="N91" i="23"/>
  <c r="I9" i="23"/>
  <c r="I33" i="23"/>
  <c r="W33" i="23"/>
  <c r="I92" i="23"/>
  <c r="D10" i="23"/>
  <c r="D34" i="23"/>
  <c r="R34" i="23"/>
  <c r="D93" i="23"/>
  <c r="L10" i="23"/>
  <c r="L34" i="23"/>
  <c r="Z34" i="23"/>
  <c r="L93" i="23"/>
  <c r="G11" i="23"/>
  <c r="H3" i="23"/>
  <c r="C4" i="23"/>
  <c r="C28" i="23"/>
  <c r="Q28" i="23"/>
  <c r="K4" i="23"/>
  <c r="K28" i="23"/>
  <c r="Y28" i="23"/>
  <c r="F5" i="23"/>
  <c r="N5" i="23"/>
  <c r="N29" i="23"/>
  <c r="AB29" i="23"/>
  <c r="N88" i="23"/>
  <c r="I6" i="23"/>
  <c r="I30" i="23"/>
  <c r="W30" i="23"/>
  <c r="I89" i="23"/>
  <c r="D7" i="23"/>
  <c r="L7" i="23"/>
  <c r="L31" i="23"/>
  <c r="Z31" i="23"/>
  <c r="L90" i="23"/>
  <c r="G8" i="23"/>
  <c r="B9" i="23"/>
  <c r="B33" i="23"/>
  <c r="P33" i="23"/>
  <c r="B92" i="23"/>
  <c r="J9" i="23"/>
  <c r="J33" i="23"/>
  <c r="X33" i="23"/>
  <c r="J92" i="23"/>
  <c r="E10" i="23"/>
  <c r="E34" i="23"/>
  <c r="S34" i="23"/>
  <c r="E93" i="23"/>
  <c r="M10" i="23"/>
  <c r="M34" i="23"/>
  <c r="AA34" i="23"/>
  <c r="M93" i="23"/>
  <c r="H11" i="23"/>
  <c r="I10" i="23"/>
  <c r="I34" i="23"/>
  <c r="W34" i="23"/>
  <c r="I93" i="23"/>
  <c r="I3" i="23"/>
  <c r="H56" i="22"/>
  <c r="L6" i="22"/>
  <c r="L30" i="22"/>
  <c r="Z19" i="22"/>
  <c r="K10" i="22"/>
  <c r="K34" i="22"/>
  <c r="Y23" i="22"/>
  <c r="C10" i="22"/>
  <c r="C34" i="22"/>
  <c r="Q23" i="22"/>
  <c r="AE23" i="22"/>
  <c r="K8" i="22"/>
  <c r="K32" i="22"/>
  <c r="Y21" i="22"/>
  <c r="K6" i="22"/>
  <c r="K30" i="22"/>
  <c r="Y19" i="22"/>
  <c r="C6" i="22"/>
  <c r="C30" i="22"/>
  <c r="Q19" i="22"/>
  <c r="AE19" i="22"/>
  <c r="K4" i="22"/>
  <c r="K28" i="22"/>
  <c r="Y17" i="22"/>
  <c r="Y25" i="22"/>
  <c r="C4" i="22"/>
  <c r="B11" i="22"/>
  <c r="B35" i="22"/>
  <c r="P24" i="22"/>
  <c r="AD24" i="22"/>
  <c r="N11" i="22"/>
  <c r="N35" i="22"/>
  <c r="AB24" i="22"/>
  <c r="F11" i="22"/>
  <c r="F35" i="22"/>
  <c r="T24" i="22"/>
  <c r="J10" i="22"/>
  <c r="J34" i="22"/>
  <c r="X23" i="22"/>
  <c r="N9" i="22"/>
  <c r="N33" i="22"/>
  <c r="AB22" i="22"/>
  <c r="F9" i="22"/>
  <c r="F33" i="22"/>
  <c r="T22" i="22"/>
  <c r="J8" i="22"/>
  <c r="J32" i="22"/>
  <c r="X21" i="22"/>
  <c r="N7" i="22"/>
  <c r="N31" i="22"/>
  <c r="AB20" i="22"/>
  <c r="F7" i="22"/>
  <c r="F31" i="22"/>
  <c r="T20" i="22"/>
  <c r="J6" i="22"/>
  <c r="J30" i="22"/>
  <c r="X19" i="22"/>
  <c r="N5" i="22"/>
  <c r="N29" i="22"/>
  <c r="AB18" i="22"/>
  <c r="F5" i="22"/>
  <c r="F29" i="22"/>
  <c r="T18" i="22"/>
  <c r="T25" i="22"/>
  <c r="J4" i="22"/>
  <c r="J28" i="22"/>
  <c r="X17" i="22"/>
  <c r="X25" i="22"/>
  <c r="I46" i="22"/>
  <c r="D10" i="22"/>
  <c r="D34" i="22"/>
  <c r="R23" i="22"/>
  <c r="AF23" i="22"/>
  <c r="L4" i="22"/>
  <c r="L28" i="22"/>
  <c r="Z17" i="22"/>
  <c r="E9" i="22"/>
  <c r="E33" i="22"/>
  <c r="S22" i="22"/>
  <c r="L10" i="22"/>
  <c r="L34" i="22"/>
  <c r="Z23" i="22"/>
  <c r="D8" i="22"/>
  <c r="D32" i="22"/>
  <c r="R21" i="22"/>
  <c r="AF21" i="22"/>
  <c r="D4" i="22"/>
  <c r="D28" i="22"/>
  <c r="R17" i="22"/>
  <c r="C8" i="22"/>
  <c r="C32" i="22"/>
  <c r="Q21" i="22"/>
  <c r="AE21" i="22"/>
  <c r="M11" i="22"/>
  <c r="M35" i="22"/>
  <c r="AA24" i="22"/>
  <c r="E7" i="22"/>
  <c r="E31" i="22"/>
  <c r="S20" i="22"/>
  <c r="M5" i="22"/>
  <c r="M29" i="22"/>
  <c r="AA18" i="22"/>
  <c r="E5" i="22"/>
  <c r="E29" i="22"/>
  <c r="S18" i="22"/>
  <c r="S25" i="22"/>
  <c r="M3" i="22"/>
  <c r="B9" i="22"/>
  <c r="B33" i="22"/>
  <c r="P22" i="22"/>
  <c r="AD22" i="22"/>
  <c r="L11" i="22"/>
  <c r="L35" i="22"/>
  <c r="Z24" i="22"/>
  <c r="D11" i="22"/>
  <c r="D35" i="22"/>
  <c r="R24" i="22"/>
  <c r="AF24" i="22"/>
  <c r="H10" i="22"/>
  <c r="H34" i="22"/>
  <c r="V23" i="22"/>
  <c r="L9" i="22"/>
  <c r="L33" i="22"/>
  <c r="Z22" i="22"/>
  <c r="D9" i="22"/>
  <c r="D33" i="22"/>
  <c r="R22" i="22"/>
  <c r="AF22" i="22"/>
  <c r="H8" i="22"/>
  <c r="H32" i="22"/>
  <c r="V21" i="22"/>
  <c r="L7" i="22"/>
  <c r="L31" i="22"/>
  <c r="Z20" i="22"/>
  <c r="D7" i="22"/>
  <c r="D31" i="22"/>
  <c r="R20" i="22"/>
  <c r="AF20" i="22"/>
  <c r="H6" i="22"/>
  <c r="H30" i="22"/>
  <c r="V19" i="22"/>
  <c r="V25" i="22"/>
  <c r="L5" i="22"/>
  <c r="L29" i="22"/>
  <c r="Z18" i="22"/>
  <c r="D5" i="22"/>
  <c r="D29" i="22"/>
  <c r="R18" i="22"/>
  <c r="AF18" i="22"/>
  <c r="L3" i="22"/>
  <c r="L27" i="22"/>
  <c r="Z16" i="22"/>
  <c r="D3" i="22"/>
  <c r="D12" i="22"/>
  <c r="E11" i="22"/>
  <c r="E35" i="22"/>
  <c r="S24" i="22"/>
  <c r="M9" i="22"/>
  <c r="M33" i="22"/>
  <c r="AA22" i="22"/>
  <c r="K11" i="22"/>
  <c r="K35" i="22"/>
  <c r="Y24" i="22"/>
  <c r="C11" i="22"/>
  <c r="C35" i="22"/>
  <c r="Q24" i="22"/>
  <c r="AE24" i="22"/>
  <c r="G10" i="22"/>
  <c r="G34" i="22"/>
  <c r="U23" i="22"/>
  <c r="K9" i="22"/>
  <c r="K33" i="22"/>
  <c r="Y22" i="22"/>
  <c r="C9" i="22"/>
  <c r="C33" i="22"/>
  <c r="Q22" i="22"/>
  <c r="AE22" i="22"/>
  <c r="G8" i="22"/>
  <c r="G32" i="22"/>
  <c r="U21" i="22"/>
  <c r="K7" i="22"/>
  <c r="K31" i="22"/>
  <c r="Y20" i="22"/>
  <c r="C7" i="22"/>
  <c r="C31" i="22"/>
  <c r="Q20" i="22"/>
  <c r="AE20" i="22"/>
  <c r="G6" i="22"/>
  <c r="G30" i="22"/>
  <c r="U19" i="22"/>
  <c r="U25" i="22"/>
  <c r="K5" i="22"/>
  <c r="K29" i="22"/>
  <c r="Y18" i="22"/>
  <c r="C5" i="22"/>
  <c r="C29" i="22"/>
  <c r="Q18" i="22"/>
  <c r="AE18" i="22"/>
  <c r="N46" i="22"/>
  <c r="B46" i="22"/>
  <c r="E46" i="22"/>
  <c r="M46" i="22"/>
  <c r="K177" i="21"/>
  <c r="E141" i="21"/>
  <c r="E143" i="21"/>
  <c r="M145" i="21"/>
  <c r="E107" i="21"/>
  <c r="B8" i="21"/>
  <c r="B7" i="21"/>
  <c r="B10" i="21"/>
  <c r="B6" i="21"/>
  <c r="B5" i="21"/>
  <c r="B29" i="21"/>
  <c r="G106" i="21"/>
  <c r="M103" i="21"/>
  <c r="N103" i="21"/>
  <c r="H142" i="21"/>
  <c r="H139" i="21"/>
  <c r="L9" i="21"/>
  <c r="L10" i="21"/>
  <c r="L8" i="21"/>
  <c r="L7" i="21"/>
  <c r="L5" i="21"/>
  <c r="L6" i="21"/>
  <c r="L30" i="21"/>
  <c r="L4" i="21"/>
  <c r="L28" i="21"/>
  <c r="L3" i="21"/>
  <c r="L27" i="21"/>
  <c r="D4" i="21"/>
  <c r="D5" i="21"/>
  <c r="D3" i="21"/>
  <c r="D10" i="21"/>
  <c r="D34" i="21"/>
  <c r="D11" i="21"/>
  <c r="D35" i="21"/>
  <c r="D8" i="21"/>
  <c r="D9" i="21"/>
  <c r="D33" i="21"/>
  <c r="N80" i="21"/>
  <c r="N86" i="21"/>
  <c r="N85" i="21"/>
  <c r="N109" i="21"/>
  <c r="N82" i="21"/>
  <c r="N84" i="21"/>
  <c r="N77" i="21"/>
  <c r="N101" i="21"/>
  <c r="F77" i="21"/>
  <c r="F101" i="21"/>
  <c r="F78" i="21"/>
  <c r="F102" i="21"/>
  <c r="F79" i="21"/>
  <c r="F103" i="21"/>
  <c r="F80" i="21"/>
  <c r="F104" i="21"/>
  <c r="F81" i="21"/>
  <c r="F105" i="21"/>
  <c r="F82" i="21"/>
  <c r="F85" i="21"/>
  <c r="F109" i="21"/>
  <c r="K114" i="21"/>
  <c r="K138" i="21"/>
  <c r="K117" i="21"/>
  <c r="K141" i="21"/>
  <c r="K116" i="21"/>
  <c r="K140" i="21"/>
  <c r="K119" i="21"/>
  <c r="K143" i="21"/>
  <c r="K120" i="21"/>
  <c r="K144" i="21"/>
  <c r="C114" i="21"/>
  <c r="C138" i="21"/>
  <c r="C118" i="21"/>
  <c r="C142" i="21"/>
  <c r="L32" i="21"/>
  <c r="L66" i="21"/>
  <c r="D66" i="21"/>
  <c r="B106" i="21"/>
  <c r="C102" i="21"/>
  <c r="F146" i="21"/>
  <c r="C121" i="21"/>
  <c r="N142" i="21"/>
  <c r="D142" i="21"/>
  <c r="F84" i="21"/>
  <c r="F108" i="21"/>
  <c r="B28" i="21"/>
  <c r="K70" i="21"/>
  <c r="D144" i="21"/>
  <c r="G109" i="21"/>
  <c r="L151" i="21"/>
  <c r="L153" i="21"/>
  <c r="L155" i="21"/>
  <c r="L157" i="21"/>
  <c r="L159" i="21"/>
  <c r="L183" i="21"/>
  <c r="L152" i="21"/>
  <c r="L154" i="21"/>
  <c r="L178" i="21"/>
  <c r="L156" i="21"/>
  <c r="L180" i="21"/>
  <c r="L158" i="21"/>
  <c r="L182" i="21"/>
  <c r="D151" i="21"/>
  <c r="D153" i="21"/>
  <c r="D155" i="21"/>
  <c r="D157" i="21"/>
  <c r="D159" i="21"/>
  <c r="D152" i="21"/>
  <c r="D154" i="21"/>
  <c r="D156" i="21"/>
  <c r="D158" i="21"/>
  <c r="F71" i="21"/>
  <c r="L102" i="21"/>
  <c r="L104" i="21"/>
  <c r="L106" i="21"/>
  <c r="B104" i="21"/>
  <c r="M108" i="21"/>
  <c r="M146" i="21"/>
  <c r="C120" i="21"/>
  <c r="C144" i="21"/>
  <c r="K118" i="21"/>
  <c r="K142" i="21"/>
  <c r="C115" i="21"/>
  <c r="C139" i="21"/>
  <c r="E109" i="21"/>
  <c r="N81" i="21"/>
  <c r="L11" i="21"/>
  <c r="D7" i="21"/>
  <c r="M27" i="21"/>
  <c r="K152" i="21"/>
  <c r="K176" i="21"/>
  <c r="K154" i="21"/>
  <c r="K178" i="21"/>
  <c r="K156" i="21"/>
  <c r="K180" i="21"/>
  <c r="K158" i="21"/>
  <c r="K182" i="21"/>
  <c r="C152" i="21"/>
  <c r="C154" i="21"/>
  <c r="C156" i="21"/>
  <c r="C158" i="21"/>
  <c r="C155" i="21"/>
  <c r="G27" i="21"/>
  <c r="C64" i="21"/>
  <c r="H140" i="21"/>
  <c r="B34" i="21"/>
  <c r="M35" i="21"/>
  <c r="E33" i="21"/>
  <c r="B67" i="21"/>
  <c r="L108" i="21"/>
  <c r="I102" i="21"/>
  <c r="C122" i="21"/>
  <c r="C146" i="21"/>
  <c r="F140" i="21"/>
  <c r="J106" i="21"/>
  <c r="H104" i="21"/>
  <c r="N78" i="21"/>
  <c r="N102" i="21"/>
  <c r="D67" i="21"/>
  <c r="E66" i="21"/>
  <c r="K157" i="21"/>
  <c r="J102" i="21"/>
  <c r="J104" i="21"/>
  <c r="M105" i="21"/>
  <c r="L143" i="21"/>
  <c r="N107" i="21"/>
  <c r="C71" i="21"/>
  <c r="C69" i="21"/>
  <c r="C67" i="21"/>
  <c r="J108" i="21"/>
  <c r="G105" i="21"/>
  <c r="G34" i="21"/>
  <c r="G32" i="21"/>
  <c r="K69" i="21"/>
  <c r="I106" i="21"/>
  <c r="E103" i="21"/>
  <c r="M107" i="21"/>
  <c r="D104" i="21"/>
  <c r="N72" i="21"/>
  <c r="N32" i="21"/>
  <c r="F30" i="21"/>
  <c r="N68" i="21"/>
  <c r="H103" i="21"/>
  <c r="H105" i="21"/>
  <c r="M109" i="21"/>
  <c r="H106" i="21"/>
  <c r="H146" i="21"/>
  <c r="D143" i="21"/>
  <c r="H138" i="21"/>
  <c r="C104" i="21"/>
  <c r="I142" i="21"/>
  <c r="I144" i="21"/>
  <c r="M9" i="21"/>
  <c r="M33" i="21"/>
  <c r="M10" i="21"/>
  <c r="M8" i="21"/>
  <c r="M7" i="21"/>
  <c r="M5" i="21"/>
  <c r="M29" i="21"/>
  <c r="M6" i="21"/>
  <c r="M30" i="21"/>
  <c r="M4" i="21"/>
  <c r="M28" i="21"/>
  <c r="E4" i="21"/>
  <c r="E7" i="21"/>
  <c r="E5" i="21"/>
  <c r="E3" i="21"/>
  <c r="E10" i="21"/>
  <c r="E34" i="21"/>
  <c r="E11" i="21"/>
  <c r="E35" i="21"/>
  <c r="B85" i="21"/>
  <c r="B78" i="21"/>
  <c r="B102" i="21"/>
  <c r="B77" i="21"/>
  <c r="B101" i="21"/>
  <c r="B79" i="21"/>
  <c r="B103" i="21"/>
  <c r="B81" i="21"/>
  <c r="B105" i="21"/>
  <c r="G77" i="21"/>
  <c r="G101" i="21"/>
  <c r="G78" i="21"/>
  <c r="G79" i="21"/>
  <c r="G103" i="21"/>
  <c r="G80" i="21"/>
  <c r="G104" i="21"/>
  <c r="G83" i="21"/>
  <c r="G107" i="21"/>
  <c r="G84" i="21"/>
  <c r="L115" i="21"/>
  <c r="L139" i="21"/>
  <c r="L114" i="21"/>
  <c r="L117" i="21"/>
  <c r="L118" i="21"/>
  <c r="L142" i="21"/>
  <c r="L121" i="21"/>
  <c r="K155" i="21"/>
  <c r="I146" i="21"/>
  <c r="N138" i="21"/>
  <c r="I104" i="21"/>
  <c r="B47" i="21"/>
  <c r="L71" i="21"/>
  <c r="G45" i="21"/>
  <c r="G49" i="21"/>
  <c r="L146" i="21"/>
  <c r="D146" i="21"/>
  <c r="L144" i="21"/>
  <c r="L140" i="21"/>
  <c r="D140" i="21"/>
  <c r="D138" i="21"/>
  <c r="H64" i="21"/>
  <c r="B154" i="21"/>
  <c r="I159" i="21"/>
  <c r="M158" i="21"/>
  <c r="E158" i="21"/>
  <c r="I157" i="21"/>
  <c r="M156" i="21"/>
  <c r="E156" i="21"/>
  <c r="I155" i="21"/>
  <c r="M154" i="21"/>
  <c r="E154" i="21"/>
  <c r="I153" i="21"/>
  <c r="M152" i="21"/>
  <c r="E152" i="21"/>
  <c r="I151" i="21"/>
  <c r="J180" i="21"/>
  <c r="J176" i="21"/>
  <c r="L72" i="21"/>
  <c r="D69" i="21"/>
  <c r="K27" i="21"/>
  <c r="J28" i="21"/>
  <c r="L103" i="21"/>
  <c r="I141" i="21"/>
  <c r="B153" i="21"/>
  <c r="H144" i="21"/>
  <c r="B45" i="21"/>
  <c r="B69" i="21"/>
  <c r="G47" i="21"/>
  <c r="F70" i="21"/>
  <c r="D68" i="21"/>
  <c r="B31" i="21"/>
  <c r="B142" i="21"/>
  <c r="B151" i="21"/>
  <c r="B152" i="21"/>
  <c r="G159" i="21"/>
  <c r="G157" i="21"/>
  <c r="G155" i="21"/>
  <c r="G153" i="21"/>
  <c r="I140" i="21"/>
  <c r="D108" i="21"/>
  <c r="E105" i="21"/>
  <c r="B30" i="21"/>
  <c r="G28" i="21"/>
  <c r="B139" i="21"/>
  <c r="G139" i="21"/>
  <c r="B159" i="21"/>
  <c r="K183" i="21"/>
  <c r="K181" i="21"/>
  <c r="C108" i="21"/>
  <c r="D106" i="21"/>
  <c r="C27" i="21"/>
  <c r="D145" i="21"/>
  <c r="D141" i="21"/>
  <c r="B158" i="21"/>
  <c r="M159" i="21"/>
  <c r="E159" i="21"/>
  <c r="I158" i="21"/>
  <c r="M157" i="21"/>
  <c r="E157" i="21"/>
  <c r="I156" i="21"/>
  <c r="M155" i="21"/>
  <c r="E155" i="21"/>
  <c r="I154" i="21"/>
  <c r="M153" i="21"/>
  <c r="E153" i="21"/>
  <c r="M151" i="21"/>
  <c r="E151" i="21"/>
  <c r="J183" i="21"/>
  <c r="J181" i="21"/>
  <c r="J179" i="21"/>
  <c r="G142" i="21"/>
  <c r="C141" i="21"/>
  <c r="G140" i="21"/>
  <c r="K175" i="21"/>
  <c r="L175" i="21"/>
  <c r="J121" i="21"/>
  <c r="J145" i="21"/>
  <c r="J119" i="21"/>
  <c r="J143" i="21"/>
  <c r="J117" i="21"/>
  <c r="J141" i="21"/>
  <c r="J115" i="21"/>
  <c r="J139" i="21"/>
  <c r="I121" i="21"/>
  <c r="I145" i="21"/>
  <c r="I119" i="21"/>
  <c r="I143" i="21"/>
  <c r="I115" i="21"/>
  <c r="I139" i="21"/>
  <c r="H121" i="21"/>
  <c r="H145" i="21"/>
  <c r="H119" i="21"/>
  <c r="H117" i="21"/>
  <c r="H141" i="21"/>
  <c r="G121" i="21"/>
  <c r="G145" i="21"/>
  <c r="G119" i="21"/>
  <c r="G143" i="21"/>
  <c r="G117" i="21"/>
  <c r="G141" i="21"/>
  <c r="D123" i="21"/>
  <c r="J122" i="21"/>
  <c r="N121" i="21"/>
  <c r="N145" i="21"/>
  <c r="F121" i="21"/>
  <c r="J120" i="21"/>
  <c r="J144" i="21"/>
  <c r="N119" i="21"/>
  <c r="F119" i="21"/>
  <c r="J118" i="21"/>
  <c r="J142" i="21"/>
  <c r="N117" i="21"/>
  <c r="N141" i="21"/>
  <c r="F117" i="21"/>
  <c r="J116" i="21"/>
  <c r="M143" i="21"/>
  <c r="I138" i="21"/>
  <c r="B121" i="21"/>
  <c r="B120" i="21"/>
  <c r="B117" i="21"/>
  <c r="B141" i="21"/>
  <c r="B116" i="21"/>
  <c r="B140" i="21"/>
  <c r="B114" i="21"/>
  <c r="B138" i="21"/>
  <c r="K84" i="21"/>
  <c r="K108" i="21"/>
  <c r="K82" i="21"/>
  <c r="K106" i="21"/>
  <c r="K80" i="21"/>
  <c r="K104" i="21"/>
  <c r="K78" i="21"/>
  <c r="K102" i="21"/>
  <c r="L85" i="21"/>
  <c r="L109" i="21"/>
  <c r="D85" i="21"/>
  <c r="D109" i="21"/>
  <c r="L83" i="21"/>
  <c r="L107" i="21"/>
  <c r="D83" i="21"/>
  <c r="D107" i="21"/>
  <c r="L81" i="21"/>
  <c r="L105" i="21"/>
  <c r="D81" i="21"/>
  <c r="D105" i="21"/>
  <c r="D79" i="21"/>
  <c r="D103" i="21"/>
  <c r="L77" i="21"/>
  <c r="D77" i="21"/>
  <c r="D101" i="21"/>
  <c r="K85" i="21"/>
  <c r="K109" i="21"/>
  <c r="C85" i="21"/>
  <c r="C109" i="21"/>
  <c r="K83" i="21"/>
  <c r="K107" i="21"/>
  <c r="C83" i="21"/>
  <c r="C107" i="21"/>
  <c r="K81" i="21"/>
  <c r="K105" i="21"/>
  <c r="C81" i="21"/>
  <c r="C105" i="21"/>
  <c r="K79" i="21"/>
  <c r="K103" i="21"/>
  <c r="C79" i="21"/>
  <c r="C103" i="21"/>
  <c r="K77" i="21"/>
  <c r="K101" i="21"/>
  <c r="J85" i="21"/>
  <c r="J109" i="21"/>
  <c r="J83" i="21"/>
  <c r="J81" i="21"/>
  <c r="J105" i="21"/>
  <c r="J79" i="21"/>
  <c r="I85" i="21"/>
  <c r="I109" i="21"/>
  <c r="I83" i="21"/>
  <c r="I107" i="21"/>
  <c r="I81" i="21"/>
  <c r="I79" i="21"/>
  <c r="I47" i="21"/>
  <c r="I71" i="21"/>
  <c r="I45" i="21"/>
  <c r="I69" i="21"/>
  <c r="I41" i="21"/>
  <c r="I65" i="21"/>
  <c r="H47" i="21"/>
  <c r="H71" i="21"/>
  <c r="H45" i="21"/>
  <c r="H69" i="21"/>
  <c r="H43" i="21"/>
  <c r="H67" i="21"/>
  <c r="H41" i="21"/>
  <c r="J47" i="21"/>
  <c r="J45" i="21"/>
  <c r="J69" i="21"/>
  <c r="J43" i="21"/>
  <c r="J67" i="21"/>
  <c r="J41" i="21"/>
  <c r="J65" i="21"/>
  <c r="I43" i="21"/>
  <c r="I67" i="21"/>
  <c r="J48" i="21"/>
  <c r="J72" i="21"/>
  <c r="N47" i="21"/>
  <c r="F47" i="21"/>
  <c r="J46" i="21"/>
  <c r="J70" i="21"/>
  <c r="F45" i="21"/>
  <c r="F69" i="21"/>
  <c r="J44" i="21"/>
  <c r="J68" i="21"/>
  <c r="N43" i="21"/>
  <c r="N67" i="21"/>
  <c r="F43" i="21"/>
  <c r="F67" i="21"/>
  <c r="J42" i="21"/>
  <c r="J66" i="21"/>
  <c r="N41" i="21"/>
  <c r="N65" i="21"/>
  <c r="F41" i="21"/>
  <c r="I48" i="21"/>
  <c r="M47" i="21"/>
  <c r="E47" i="21"/>
  <c r="E71" i="21"/>
  <c r="I46" i="21"/>
  <c r="M45" i="21"/>
  <c r="M69" i="21"/>
  <c r="E45" i="21"/>
  <c r="E69" i="21"/>
  <c r="I44" i="21"/>
  <c r="I68" i="21"/>
  <c r="M43" i="21"/>
  <c r="E43" i="21"/>
  <c r="E67" i="21"/>
  <c r="I42" i="21"/>
  <c r="I66" i="21"/>
  <c r="E41" i="21"/>
  <c r="E65" i="21"/>
  <c r="H48" i="21"/>
  <c r="H72" i="21"/>
  <c r="H46" i="21"/>
  <c r="H70" i="21"/>
  <c r="H44" i="21"/>
  <c r="H68" i="21"/>
  <c r="H42" i="21"/>
  <c r="I10" i="21"/>
  <c r="I8" i="21"/>
  <c r="I32" i="21"/>
  <c r="N3" i="21"/>
  <c r="N27" i="21"/>
  <c r="H8" i="21"/>
  <c r="H32" i="21"/>
  <c r="I6" i="21"/>
  <c r="F10" i="21"/>
  <c r="F34" i="21"/>
  <c r="H6" i="21"/>
  <c r="H30" i="21"/>
  <c r="I4" i="21"/>
  <c r="I28" i="21"/>
  <c r="H4" i="21"/>
  <c r="H28" i="21"/>
  <c r="G146" i="21"/>
  <c r="C145" i="21"/>
  <c r="G144" i="21"/>
  <c r="C143" i="21"/>
  <c r="J146" i="21"/>
  <c r="F141" i="21"/>
  <c r="J140" i="21"/>
  <c r="N139" i="21"/>
  <c r="F139" i="21"/>
  <c r="J138" i="21"/>
  <c r="B146" i="21"/>
  <c r="J9" i="21"/>
  <c r="J3" i="21"/>
  <c r="J27" i="21"/>
  <c r="H5" i="21"/>
  <c r="H29" i="21"/>
  <c r="H3" i="21"/>
  <c r="H27" i="21"/>
  <c r="G11" i="21"/>
  <c r="G35" i="21"/>
  <c r="G9" i="21"/>
  <c r="G7" i="21"/>
  <c r="G31" i="21"/>
  <c r="G5" i="21"/>
  <c r="J11" i="21"/>
  <c r="J35" i="21"/>
  <c r="J7" i="21"/>
  <c r="J31" i="21"/>
  <c r="J5" i="21"/>
  <c r="J29" i="21"/>
  <c r="I11" i="21"/>
  <c r="I35" i="21"/>
  <c r="I9" i="21"/>
  <c r="I33" i="21"/>
  <c r="I7" i="21"/>
  <c r="I31" i="21"/>
  <c r="I5" i="21"/>
  <c r="H11" i="21"/>
  <c r="H35" i="21"/>
  <c r="H9" i="21"/>
  <c r="N11" i="21"/>
  <c r="N35" i="21"/>
  <c r="F11" i="21"/>
  <c r="F35" i="21"/>
  <c r="J10" i="21"/>
  <c r="J34" i="21"/>
  <c r="N9" i="21"/>
  <c r="N33" i="21"/>
  <c r="F9" i="21"/>
  <c r="J8" i="21"/>
  <c r="N7" i="21"/>
  <c r="N31" i="21"/>
  <c r="F7" i="21"/>
  <c r="F31" i="21"/>
  <c r="J6" i="21"/>
  <c r="J30" i="21"/>
  <c r="N5" i="21"/>
  <c r="N29" i="21"/>
  <c r="F5" i="21"/>
  <c r="F29" i="21"/>
  <c r="B11" i="21"/>
  <c r="B9" i="21"/>
  <c r="B33" i="21"/>
  <c r="I72" i="21"/>
  <c r="M65" i="21"/>
  <c r="I64" i="21"/>
  <c r="B68" i="21"/>
  <c r="N104" i="21"/>
  <c r="E108" i="21"/>
  <c r="E104" i="21"/>
  <c r="B107" i="21"/>
  <c r="B145" i="21"/>
  <c r="K123" i="21"/>
  <c r="G138" i="21"/>
  <c r="E138" i="21"/>
  <c r="N108" i="21"/>
  <c r="J107" i="21"/>
  <c r="N106" i="21"/>
  <c r="F106" i="21"/>
  <c r="J103" i="21"/>
  <c r="M106" i="21"/>
  <c r="E106" i="21"/>
  <c r="M104" i="21"/>
  <c r="M102" i="21"/>
  <c r="E102" i="21"/>
  <c r="B109" i="21"/>
  <c r="B108" i="21"/>
  <c r="M86" i="21"/>
  <c r="E86" i="21"/>
  <c r="D102" i="21"/>
  <c r="H101" i="21"/>
  <c r="G86" i="21"/>
  <c r="I101" i="21"/>
  <c r="J101" i="21"/>
  <c r="C101" i="21"/>
  <c r="E101" i="21"/>
  <c r="M101" i="21"/>
  <c r="K65" i="21"/>
  <c r="C65" i="21"/>
  <c r="L69" i="21"/>
  <c r="L65" i="21"/>
  <c r="F72" i="21"/>
  <c r="J71" i="21"/>
  <c r="N70" i="21"/>
  <c r="F68" i="21"/>
  <c r="N66" i="21"/>
  <c r="F66" i="21"/>
  <c r="N64" i="21"/>
  <c r="F64" i="21"/>
  <c r="C49" i="21"/>
  <c r="M66" i="21"/>
  <c r="D71" i="21"/>
  <c r="G64" i="21"/>
  <c r="B71" i="21"/>
  <c r="K68" i="21"/>
  <c r="C68" i="21"/>
  <c r="G67" i="21"/>
  <c r="C72" i="21"/>
  <c r="G71" i="21"/>
  <c r="C70" i="21"/>
  <c r="C66" i="21"/>
  <c r="G65" i="21"/>
  <c r="K64" i="21"/>
  <c r="M72" i="21"/>
  <c r="E72" i="21"/>
  <c r="M70" i="21"/>
  <c r="M68" i="21"/>
  <c r="E68" i="21"/>
  <c r="K71" i="21"/>
  <c r="G70" i="21"/>
  <c r="G68" i="21"/>
  <c r="B70" i="21"/>
  <c r="I70" i="21"/>
  <c r="N71" i="21"/>
  <c r="N69" i="21"/>
  <c r="G72" i="21"/>
  <c r="K67" i="21"/>
  <c r="G66" i="21"/>
  <c r="B72" i="21"/>
  <c r="L49" i="21"/>
  <c r="D65" i="21"/>
  <c r="B49" i="21"/>
  <c r="B64" i="21"/>
  <c r="J64" i="21"/>
  <c r="D64" i="21"/>
  <c r="L64" i="21"/>
  <c r="E64" i="21"/>
  <c r="M64" i="21"/>
  <c r="I27" i="21"/>
  <c r="H31" i="21"/>
  <c r="I29" i="21"/>
  <c r="B32" i="21"/>
  <c r="M34" i="21"/>
  <c r="E30" i="21"/>
  <c r="E28" i="21"/>
  <c r="L34" i="21"/>
  <c r="D32" i="21"/>
  <c r="D30" i="21"/>
  <c r="E29" i="21"/>
  <c r="E27" i="21"/>
  <c r="L35" i="21"/>
  <c r="H34" i="21"/>
  <c r="L33" i="21"/>
  <c r="L31" i="21"/>
  <c r="D31" i="21"/>
  <c r="L29" i="21"/>
  <c r="D29" i="21"/>
  <c r="N34" i="21"/>
  <c r="F32" i="21"/>
  <c r="N30" i="21"/>
  <c r="M32" i="21"/>
  <c r="E32" i="21"/>
  <c r="K34" i="21"/>
  <c r="C34" i="21"/>
  <c r="K32" i="21"/>
  <c r="C32" i="21"/>
  <c r="K30" i="21"/>
  <c r="C30" i="21"/>
  <c r="K28" i="21"/>
  <c r="C28" i="21"/>
  <c r="I34" i="21"/>
  <c r="M31" i="21"/>
  <c r="K35" i="21"/>
  <c r="C35" i="21"/>
  <c r="K33" i="21"/>
  <c r="C33" i="21"/>
  <c r="K31" i="21"/>
  <c r="C31" i="21"/>
  <c r="G30" i="21"/>
  <c r="K29" i="21"/>
  <c r="C29" i="21"/>
  <c r="N28" i="21"/>
  <c r="F28" i="21"/>
  <c r="N160" i="21"/>
  <c r="J160" i="21"/>
  <c r="H160" i="21"/>
  <c r="K160" i="21"/>
  <c r="B160" i="21"/>
  <c r="N12" i="22"/>
  <c r="D58" i="22"/>
  <c r="AF17" i="22"/>
  <c r="AF25" i="22"/>
  <c r="AF26" i="22"/>
  <c r="R25" i="22"/>
  <c r="R26" i="22"/>
  <c r="C12" i="22"/>
  <c r="C28" i="22"/>
  <c r="Q17" i="22"/>
  <c r="Z25" i="22"/>
  <c r="J12" i="22"/>
  <c r="M12" i="22"/>
  <c r="AA25" i="22"/>
  <c r="AB25" i="22"/>
  <c r="W25" i="22"/>
  <c r="I12" i="22"/>
  <c r="AD17" i="22"/>
  <c r="AD25" i="22"/>
  <c r="AD26" i="22"/>
  <c r="X36" i="23"/>
  <c r="AB36" i="23"/>
  <c r="F87" i="23"/>
  <c r="T36" i="23"/>
  <c r="I87" i="23"/>
  <c r="W36" i="23"/>
  <c r="Q36" i="23"/>
  <c r="R36" i="23"/>
  <c r="G87" i="23"/>
  <c r="U36" i="23"/>
  <c r="L86" i="23"/>
  <c r="Z36" i="23"/>
  <c r="M87" i="23"/>
  <c r="AA36" i="23"/>
  <c r="H87" i="23"/>
  <c r="V36" i="23"/>
  <c r="E87" i="23"/>
  <c r="S36" i="23"/>
  <c r="B87" i="23"/>
  <c r="E139" i="21"/>
  <c r="F123" i="21"/>
  <c r="J177" i="21"/>
  <c r="G160" i="21"/>
  <c r="M138" i="21"/>
  <c r="I160" i="21"/>
  <c r="C160" i="21"/>
  <c r="K66" i="21"/>
  <c r="G69" i="21"/>
  <c r="C123" i="21"/>
  <c r="K179" i="21"/>
  <c r="H86" i="21"/>
  <c r="J87" i="23"/>
  <c r="K87" i="23"/>
  <c r="N86" i="23"/>
  <c r="C87" i="23"/>
  <c r="O46" i="22"/>
  <c r="M12" i="23"/>
  <c r="AA37" i="23"/>
  <c r="M40" i="23"/>
  <c r="L12" i="23"/>
  <c r="Z37" i="23"/>
  <c r="L40" i="23"/>
  <c r="E12" i="23"/>
  <c r="S37" i="23"/>
  <c r="E40" i="23"/>
  <c r="K12" i="23"/>
  <c r="K27" i="23"/>
  <c r="Y27" i="23"/>
  <c r="G12" i="23"/>
  <c r="U37" i="23"/>
  <c r="G40" i="23"/>
  <c r="C12" i="23"/>
  <c r="Q37" i="23"/>
  <c r="C40" i="23"/>
  <c r="J12" i="23"/>
  <c r="X37" i="23"/>
  <c r="J40" i="23"/>
  <c r="D12" i="23"/>
  <c r="R37" i="23"/>
  <c r="D40" i="23"/>
  <c r="H12" i="23"/>
  <c r="V37" i="23"/>
  <c r="H40" i="23"/>
  <c r="N12" i="23"/>
  <c r="I12" i="23"/>
  <c r="W37" i="23"/>
  <c r="I40" i="23"/>
  <c r="F12" i="23"/>
  <c r="T37" i="23"/>
  <c r="F40" i="23"/>
  <c r="B12" i="23"/>
  <c r="B46" i="23"/>
  <c r="B12" i="22"/>
  <c r="K12" i="22"/>
  <c r="E12" i="22"/>
  <c r="G12" i="22"/>
  <c r="F12" i="22"/>
  <c r="L12" i="22"/>
  <c r="H12" i="22"/>
  <c r="H33" i="21"/>
  <c r="J33" i="21"/>
  <c r="I30" i="21"/>
  <c r="G33" i="21"/>
  <c r="E31" i="21"/>
  <c r="B35" i="21"/>
  <c r="M71" i="21"/>
  <c r="J86" i="21"/>
  <c r="L123" i="21"/>
  <c r="G108" i="21"/>
  <c r="L181" i="21"/>
  <c r="M49" i="21"/>
  <c r="F65" i="21"/>
  <c r="H65" i="21"/>
  <c r="H143" i="21"/>
  <c r="L179" i="21"/>
  <c r="H123" i="21"/>
  <c r="G29" i="21"/>
  <c r="F145" i="21"/>
  <c r="H66" i="21"/>
  <c r="I86" i="21"/>
  <c r="L145" i="21"/>
  <c r="L177" i="21"/>
  <c r="D27" i="21"/>
  <c r="B86" i="21"/>
  <c r="J49" i="21"/>
  <c r="J32" i="21"/>
  <c r="I105" i="21"/>
  <c r="G102" i="21"/>
  <c r="N105" i="21"/>
  <c r="D160" i="21"/>
  <c r="F33" i="21"/>
  <c r="B144" i="21"/>
  <c r="F143" i="21"/>
  <c r="E160" i="21"/>
  <c r="L141" i="21"/>
  <c r="F86" i="21"/>
  <c r="M160" i="21"/>
  <c r="B123" i="21"/>
  <c r="N143" i="21"/>
  <c r="L138" i="21"/>
  <c r="L160" i="21"/>
  <c r="L176" i="21"/>
  <c r="I123" i="21"/>
  <c r="J123" i="21"/>
  <c r="N123" i="21"/>
  <c r="G123" i="21"/>
  <c r="I103" i="21"/>
  <c r="K86" i="21"/>
  <c r="D86" i="21"/>
  <c r="C86" i="21"/>
  <c r="L86" i="21"/>
  <c r="L101" i="21"/>
  <c r="H49" i="21"/>
  <c r="E49" i="21"/>
  <c r="F49" i="21"/>
  <c r="I49" i="21"/>
  <c r="N49" i="21"/>
  <c r="M67" i="21"/>
  <c r="H12" i="21"/>
  <c r="I12" i="21"/>
  <c r="J12" i="21"/>
  <c r="G12" i="21"/>
  <c r="L12" i="21"/>
  <c r="F12" i="21"/>
  <c r="D12" i="21"/>
  <c r="K12" i="21"/>
  <c r="N12" i="21"/>
  <c r="E12" i="21"/>
  <c r="M12" i="21"/>
  <c r="D28" i="21"/>
  <c r="B12" i="21"/>
  <c r="C12" i="21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C17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C16" i="20"/>
  <c r="R24" i="20"/>
  <c r="R25" i="20"/>
  <c r="R26" i="20"/>
  <c r="R27" i="20"/>
  <c r="R28" i="20"/>
  <c r="R29" i="20"/>
  <c r="R30" i="20"/>
  <c r="R31" i="20"/>
  <c r="R32" i="20"/>
  <c r="R33" i="20"/>
  <c r="R23" i="20"/>
  <c r="AB26" i="22"/>
  <c r="C58" i="22"/>
  <c r="V26" i="22"/>
  <c r="H58" i="22"/>
  <c r="S26" i="22"/>
  <c r="E58" i="22"/>
  <c r="AE17" i="22"/>
  <c r="AE25" i="22"/>
  <c r="AE26" i="22"/>
  <c r="Q25" i="22"/>
  <c r="Q26" i="22"/>
  <c r="Z26" i="22"/>
  <c r="L58" i="22"/>
  <c r="W26" i="22"/>
  <c r="I58" i="22"/>
  <c r="T26" i="22"/>
  <c r="F58" i="22"/>
  <c r="M58" i="22"/>
  <c r="AA26" i="22"/>
  <c r="Y26" i="22"/>
  <c r="K58" i="22"/>
  <c r="U26" i="22"/>
  <c r="G58" i="22"/>
  <c r="X26" i="22"/>
  <c r="J58" i="22"/>
  <c r="K86" i="23"/>
  <c r="Y36" i="23"/>
  <c r="Y37" i="23"/>
  <c r="K40" i="23"/>
  <c r="K46" i="23"/>
  <c r="B97" i="23"/>
  <c r="J46" i="23"/>
  <c r="J97" i="23"/>
  <c r="F46" i="23"/>
  <c r="F97" i="23"/>
  <c r="E46" i="23"/>
  <c r="E97" i="23"/>
  <c r="M46" i="23"/>
  <c r="M97" i="23"/>
  <c r="C46" i="23"/>
  <c r="C97" i="23"/>
  <c r="L46" i="23"/>
  <c r="L97" i="23"/>
  <c r="I97" i="23"/>
  <c r="I46" i="23"/>
  <c r="D46" i="23"/>
  <c r="D97" i="23"/>
  <c r="H97" i="23"/>
  <c r="H46" i="23"/>
  <c r="G46" i="23"/>
  <c r="G97" i="23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Q13" i="19"/>
  <c r="R13" i="19"/>
  <c r="S13" i="19"/>
  <c r="T13" i="19"/>
  <c r="U13" i="19"/>
  <c r="V13" i="19"/>
  <c r="W13" i="19"/>
  <c r="X13" i="19"/>
  <c r="Y13" i="19"/>
  <c r="Z13" i="19"/>
  <c r="AA13" i="19"/>
  <c r="P13" i="19"/>
  <c r="O13" i="19"/>
  <c r="O14" i="19"/>
  <c r="N14" i="19"/>
  <c r="M13" i="19"/>
  <c r="N13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L12" i="3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N11" i="19"/>
  <c r="M11" i="19"/>
  <c r="L11" i="19"/>
  <c r="L13" i="19"/>
  <c r="K11" i="19"/>
  <c r="J11" i="19"/>
  <c r="I11" i="19"/>
  <c r="H11" i="19"/>
  <c r="G11" i="19"/>
  <c r="F11" i="19"/>
  <c r="E11" i="19"/>
  <c r="D11" i="19"/>
  <c r="C11" i="19"/>
  <c r="B11" i="19"/>
  <c r="J62" i="17"/>
  <c r="J72" i="17"/>
  <c r="N97" i="23"/>
  <c r="K97" i="23"/>
  <c r="I28" i="19"/>
  <c r="I45" i="19"/>
  <c r="E45" i="19"/>
  <c r="M45" i="19"/>
  <c r="M47" i="19"/>
  <c r="M48" i="19"/>
  <c r="C45" i="19"/>
  <c r="K45" i="19"/>
  <c r="C28" i="19"/>
  <c r="K28" i="19"/>
  <c r="D45" i="19"/>
  <c r="L45" i="19"/>
  <c r="J28" i="19"/>
  <c r="G28" i="19"/>
  <c r="F45" i="19"/>
  <c r="B28" i="19"/>
  <c r="H28" i="19"/>
  <c r="G45" i="19"/>
  <c r="N45" i="19"/>
  <c r="L47" i="19"/>
  <c r="B45" i="19"/>
  <c r="J45" i="19"/>
  <c r="H45" i="19"/>
  <c r="D28" i="19"/>
  <c r="L28" i="19"/>
  <c r="L30" i="19"/>
  <c r="E28" i="19"/>
  <c r="M28" i="19"/>
  <c r="M30" i="19"/>
  <c r="M31" i="19"/>
  <c r="F28" i="19"/>
  <c r="N28" i="19"/>
  <c r="N62" i="17"/>
  <c r="N72" i="17"/>
  <c r="N59" i="17"/>
  <c r="N30" i="19"/>
  <c r="N31" i="19"/>
  <c r="N47" i="19"/>
  <c r="N48" i="19"/>
  <c r="C56" i="17"/>
  <c r="D56" i="17"/>
  <c r="E56" i="17"/>
  <c r="F56" i="17"/>
  <c r="G56" i="17"/>
  <c r="H56" i="17"/>
  <c r="I56" i="17"/>
  <c r="J56" i="17"/>
  <c r="K56" i="17"/>
  <c r="L56" i="17"/>
  <c r="M56" i="17"/>
  <c r="N56" i="17"/>
  <c r="B188" i="18"/>
  <c r="B190" i="18"/>
  <c r="C188" i="18"/>
  <c r="C190" i="18"/>
  <c r="D188" i="18"/>
  <c r="D190" i="18"/>
  <c r="E188" i="18"/>
  <c r="F188" i="18"/>
  <c r="F190" i="18"/>
  <c r="G188" i="18"/>
  <c r="G190" i="18"/>
  <c r="H188" i="18"/>
  <c r="H190" i="18"/>
  <c r="I188" i="18"/>
  <c r="I190" i="18"/>
  <c r="J188" i="18"/>
  <c r="J190" i="18"/>
  <c r="K188" i="18"/>
  <c r="K190" i="18"/>
  <c r="L188" i="18"/>
  <c r="L190" i="18"/>
  <c r="M188" i="18"/>
  <c r="M190" i="18"/>
  <c r="N188" i="18"/>
  <c r="N190" i="18"/>
  <c r="E190" i="18"/>
  <c r="B44" i="17"/>
  <c r="L63" i="17"/>
  <c r="N73" i="17"/>
  <c r="C165" i="18"/>
  <c r="D165" i="18"/>
  <c r="E165" i="18"/>
  <c r="F165" i="18"/>
  <c r="G165" i="18"/>
  <c r="H165" i="18"/>
  <c r="I165" i="18"/>
  <c r="J165" i="18"/>
  <c r="C167" i="18"/>
  <c r="D167" i="18"/>
  <c r="E167" i="18"/>
  <c r="F167" i="18"/>
  <c r="G167" i="18"/>
  <c r="H167" i="18"/>
  <c r="C168" i="18"/>
  <c r="D168" i="18"/>
  <c r="E168" i="18"/>
  <c r="F168" i="18"/>
  <c r="G168" i="18"/>
  <c r="H168" i="18"/>
  <c r="C169" i="18"/>
  <c r="D169" i="18"/>
  <c r="E169" i="18"/>
  <c r="F169" i="18"/>
  <c r="G169" i="18"/>
  <c r="H169" i="18"/>
  <c r="I169" i="18"/>
  <c r="J169" i="18"/>
  <c r="C170" i="18"/>
  <c r="D170" i="18"/>
  <c r="E170" i="18"/>
  <c r="F170" i="18"/>
  <c r="G170" i="18"/>
  <c r="H170" i="18"/>
  <c r="I170" i="18"/>
  <c r="J170" i="18"/>
  <c r="C173" i="18"/>
  <c r="D173" i="18"/>
  <c r="E173" i="18"/>
  <c r="F173" i="18"/>
  <c r="G173" i="18"/>
  <c r="H173" i="18"/>
  <c r="I173" i="18"/>
  <c r="J173" i="18"/>
  <c r="B167" i="18"/>
  <c r="B168" i="18"/>
  <c r="B169" i="18"/>
  <c r="B170" i="18"/>
  <c r="B173" i="18"/>
  <c r="B165" i="18"/>
  <c r="C16" i="18"/>
  <c r="C42" i="18"/>
  <c r="C174" i="18"/>
  <c r="D16" i="18"/>
  <c r="D42" i="18"/>
  <c r="D174" i="18"/>
  <c r="E16" i="18"/>
  <c r="E42" i="18"/>
  <c r="E174" i="18"/>
  <c r="F16" i="18"/>
  <c r="F42" i="18"/>
  <c r="F174" i="18"/>
  <c r="G16" i="18"/>
  <c r="G42" i="18"/>
  <c r="G174" i="18"/>
  <c r="H16" i="18"/>
  <c r="H42" i="18"/>
  <c r="H174" i="18"/>
  <c r="I16" i="18"/>
  <c r="I42" i="18"/>
  <c r="I174" i="18"/>
  <c r="J16" i="18"/>
  <c r="J42" i="18"/>
  <c r="J174" i="18"/>
  <c r="K16" i="18"/>
  <c r="L16" i="18"/>
  <c r="L42" i="18"/>
  <c r="L174" i="18"/>
  <c r="M16" i="18"/>
  <c r="M42" i="18"/>
  <c r="M174" i="18"/>
  <c r="N16" i="18"/>
  <c r="N42" i="18"/>
  <c r="N174" i="18"/>
  <c r="C17" i="18"/>
  <c r="C43" i="18"/>
  <c r="C175" i="18"/>
  <c r="D17" i="18"/>
  <c r="D43" i="18"/>
  <c r="D175" i="18"/>
  <c r="E17" i="18"/>
  <c r="E43" i="18"/>
  <c r="E175" i="18"/>
  <c r="F17" i="18"/>
  <c r="F43" i="18"/>
  <c r="F175" i="18"/>
  <c r="G17" i="18"/>
  <c r="G43" i="18"/>
  <c r="G175" i="18"/>
  <c r="H17" i="18"/>
  <c r="H43" i="18"/>
  <c r="H175" i="18"/>
  <c r="I17" i="18"/>
  <c r="I43" i="18"/>
  <c r="I175" i="18"/>
  <c r="J17" i="18"/>
  <c r="J43" i="18"/>
  <c r="J175" i="18"/>
  <c r="K17" i="18"/>
  <c r="K43" i="18"/>
  <c r="K175" i="18"/>
  <c r="L17" i="18"/>
  <c r="L43" i="18"/>
  <c r="L175" i="18"/>
  <c r="M17" i="18"/>
  <c r="M43" i="18"/>
  <c r="M175" i="18"/>
  <c r="N17" i="18"/>
  <c r="N43" i="18"/>
  <c r="N175" i="18"/>
  <c r="B17" i="18"/>
  <c r="B43" i="18"/>
  <c r="B175" i="18"/>
  <c r="B16" i="18"/>
  <c r="B42" i="18"/>
  <c r="B174" i="18"/>
  <c r="C7" i="18"/>
  <c r="D7" i="18"/>
  <c r="E7" i="18"/>
  <c r="F7" i="18"/>
  <c r="G7" i="18"/>
  <c r="H7" i="18"/>
  <c r="I7" i="18"/>
  <c r="J7" i="18"/>
  <c r="K7" i="18"/>
  <c r="K33" i="18"/>
  <c r="K165" i="18"/>
  <c r="L7" i="18"/>
  <c r="L33" i="18"/>
  <c r="L165" i="18"/>
  <c r="M7" i="18"/>
  <c r="M33" i="18"/>
  <c r="M165" i="18"/>
  <c r="N7" i="18"/>
  <c r="N33" i="18"/>
  <c r="N165" i="18"/>
  <c r="C8" i="18"/>
  <c r="C34" i="18"/>
  <c r="C166" i="18"/>
  <c r="D8" i="18"/>
  <c r="D34" i="18"/>
  <c r="D166" i="18"/>
  <c r="E8" i="18"/>
  <c r="F8" i="18"/>
  <c r="F34" i="18"/>
  <c r="F166" i="18"/>
  <c r="G8" i="18"/>
  <c r="G34" i="18"/>
  <c r="G166" i="18"/>
  <c r="H8" i="18"/>
  <c r="H34" i="18"/>
  <c r="H166" i="18"/>
  <c r="I8" i="18"/>
  <c r="I34" i="18"/>
  <c r="I166" i="18"/>
  <c r="J8" i="18"/>
  <c r="J34" i="18"/>
  <c r="J166" i="18"/>
  <c r="K8" i="18"/>
  <c r="K34" i="18"/>
  <c r="K166" i="18"/>
  <c r="L8" i="18"/>
  <c r="L34" i="18"/>
  <c r="L166" i="18"/>
  <c r="M8" i="18"/>
  <c r="M34" i="18"/>
  <c r="M166" i="18"/>
  <c r="N8" i="18"/>
  <c r="N34" i="18"/>
  <c r="N166" i="18"/>
  <c r="C9" i="18"/>
  <c r="D9" i="18"/>
  <c r="E9" i="18"/>
  <c r="F9" i="18"/>
  <c r="G9" i="18"/>
  <c r="H9" i="18"/>
  <c r="I9" i="18"/>
  <c r="I35" i="18"/>
  <c r="I167" i="18"/>
  <c r="J9" i="18"/>
  <c r="J35" i="18"/>
  <c r="J167" i="18"/>
  <c r="K9" i="18"/>
  <c r="K35" i="18"/>
  <c r="K167" i="18"/>
  <c r="L9" i="18"/>
  <c r="L35" i="18"/>
  <c r="L167" i="18"/>
  <c r="M9" i="18"/>
  <c r="M35" i="18"/>
  <c r="M167" i="18"/>
  <c r="N9" i="18"/>
  <c r="N35" i="18"/>
  <c r="N167" i="18"/>
  <c r="C10" i="18"/>
  <c r="D10" i="18"/>
  <c r="E10" i="18"/>
  <c r="F10" i="18"/>
  <c r="G10" i="18"/>
  <c r="H10" i="18"/>
  <c r="I10" i="18"/>
  <c r="I36" i="18"/>
  <c r="I168" i="18"/>
  <c r="J10" i="18"/>
  <c r="J36" i="18"/>
  <c r="J168" i="18"/>
  <c r="K10" i="18"/>
  <c r="K36" i="18"/>
  <c r="K168" i="18"/>
  <c r="L10" i="18"/>
  <c r="L36" i="18"/>
  <c r="L168" i="18"/>
  <c r="M10" i="18"/>
  <c r="M36" i="18"/>
  <c r="M168" i="18"/>
  <c r="N10" i="18"/>
  <c r="N36" i="18"/>
  <c r="N168" i="18"/>
  <c r="C11" i="18"/>
  <c r="D11" i="18"/>
  <c r="E11" i="18"/>
  <c r="F11" i="18"/>
  <c r="G11" i="18"/>
  <c r="H11" i="18"/>
  <c r="I11" i="18"/>
  <c r="J11" i="18"/>
  <c r="K11" i="18"/>
  <c r="K37" i="18"/>
  <c r="K169" i="18"/>
  <c r="L11" i="18"/>
  <c r="L37" i="18"/>
  <c r="L169" i="18"/>
  <c r="M11" i="18"/>
  <c r="M37" i="18"/>
  <c r="M169" i="18"/>
  <c r="N11" i="18"/>
  <c r="N37" i="18"/>
  <c r="N169" i="18"/>
  <c r="C12" i="18"/>
  <c r="D12" i="18"/>
  <c r="E12" i="18"/>
  <c r="F12" i="18"/>
  <c r="G12" i="18"/>
  <c r="H12" i="18"/>
  <c r="I12" i="18"/>
  <c r="J12" i="18"/>
  <c r="K12" i="18"/>
  <c r="K38" i="18"/>
  <c r="K170" i="18"/>
  <c r="L12" i="18"/>
  <c r="L38" i="18"/>
  <c r="L170" i="18"/>
  <c r="M12" i="18"/>
  <c r="M38" i="18"/>
  <c r="M170" i="18"/>
  <c r="N12" i="18"/>
  <c r="N38" i="18"/>
  <c r="N170" i="18"/>
  <c r="C13" i="18"/>
  <c r="C39" i="18"/>
  <c r="C171" i="18"/>
  <c r="D13" i="18"/>
  <c r="D39" i="18"/>
  <c r="D171" i="18"/>
  <c r="E13" i="18"/>
  <c r="E39" i="18"/>
  <c r="E171" i="18"/>
  <c r="F13" i="18"/>
  <c r="F39" i="18"/>
  <c r="F171" i="18"/>
  <c r="G13" i="18"/>
  <c r="G39" i="18"/>
  <c r="G171" i="18"/>
  <c r="H13" i="18"/>
  <c r="H39" i="18"/>
  <c r="H171" i="18"/>
  <c r="I13" i="18"/>
  <c r="I39" i="18"/>
  <c r="I171" i="18"/>
  <c r="J13" i="18"/>
  <c r="J39" i="18"/>
  <c r="J171" i="18"/>
  <c r="K13" i="18"/>
  <c r="K39" i="18"/>
  <c r="K171" i="18"/>
  <c r="L13" i="18"/>
  <c r="L39" i="18"/>
  <c r="L171" i="18"/>
  <c r="M13" i="18"/>
  <c r="M39" i="18"/>
  <c r="M171" i="18"/>
  <c r="N13" i="18"/>
  <c r="N39" i="18"/>
  <c r="N171" i="18"/>
  <c r="C14" i="18"/>
  <c r="C40" i="18"/>
  <c r="C172" i="18"/>
  <c r="D14" i="18"/>
  <c r="D40" i="18"/>
  <c r="D172" i="18"/>
  <c r="E14" i="18"/>
  <c r="E40" i="18"/>
  <c r="E172" i="18"/>
  <c r="F14" i="18"/>
  <c r="F40" i="18"/>
  <c r="F172" i="18"/>
  <c r="G14" i="18"/>
  <c r="G40" i="18"/>
  <c r="G172" i="18"/>
  <c r="H14" i="18"/>
  <c r="H40" i="18"/>
  <c r="H172" i="18"/>
  <c r="I14" i="18"/>
  <c r="I40" i="18"/>
  <c r="I172" i="18"/>
  <c r="J14" i="18"/>
  <c r="J40" i="18"/>
  <c r="J172" i="18"/>
  <c r="K14" i="18"/>
  <c r="K40" i="18"/>
  <c r="K172" i="18"/>
  <c r="L14" i="18"/>
  <c r="L40" i="18"/>
  <c r="L172" i="18"/>
  <c r="M14" i="18"/>
  <c r="M40" i="18"/>
  <c r="M172" i="18"/>
  <c r="N14" i="18"/>
  <c r="N40" i="18"/>
  <c r="N172" i="18"/>
  <c r="C15" i="18"/>
  <c r="D15" i="18"/>
  <c r="E15" i="18"/>
  <c r="F15" i="18"/>
  <c r="G15" i="18"/>
  <c r="H15" i="18"/>
  <c r="I15" i="18"/>
  <c r="J15" i="18"/>
  <c r="K15" i="18"/>
  <c r="K41" i="18"/>
  <c r="K173" i="18"/>
  <c r="L15" i="18"/>
  <c r="L41" i="18"/>
  <c r="L173" i="18"/>
  <c r="M15" i="18"/>
  <c r="M41" i="18"/>
  <c r="M173" i="18"/>
  <c r="N15" i="18"/>
  <c r="N41" i="18"/>
  <c r="N173" i="18"/>
  <c r="B8" i="18"/>
  <c r="B34" i="18"/>
  <c r="B166" i="18"/>
  <c r="B9" i="18"/>
  <c r="B10" i="18"/>
  <c r="B11" i="18"/>
  <c r="B12" i="18"/>
  <c r="B13" i="18"/>
  <c r="B39" i="18"/>
  <c r="B171" i="18"/>
  <c r="B14" i="18"/>
  <c r="B40" i="18"/>
  <c r="B172" i="18"/>
  <c r="B15" i="18"/>
  <c r="B7" i="18"/>
  <c r="D44" i="17"/>
  <c r="E44" i="17"/>
  <c r="F44" i="17"/>
  <c r="G44" i="17"/>
  <c r="H44" i="17"/>
  <c r="I44" i="17"/>
  <c r="J44" i="17"/>
  <c r="K44" i="17"/>
  <c r="L44" i="17"/>
  <c r="M44" i="17"/>
  <c r="N44" i="17"/>
  <c r="O44" i="17"/>
  <c r="C44" i="17"/>
  <c r="C30" i="17"/>
  <c r="D9" i="17"/>
  <c r="E9" i="17"/>
  <c r="F9" i="17"/>
  <c r="G9" i="17"/>
  <c r="H9" i="17"/>
  <c r="I9" i="17"/>
  <c r="J9" i="17"/>
  <c r="K9" i="17"/>
  <c r="L9" i="17"/>
  <c r="M9" i="17"/>
  <c r="N9" i="17"/>
  <c r="O9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C16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C37" i="17"/>
  <c r="I18" i="18"/>
  <c r="G18" i="18"/>
  <c r="E18" i="18"/>
  <c r="J18" i="18"/>
  <c r="M18" i="18"/>
  <c r="K18" i="18"/>
  <c r="H18" i="18"/>
  <c r="E176" i="18"/>
  <c r="E178" i="18"/>
  <c r="E180" i="18"/>
  <c r="L18" i="18"/>
  <c r="D18" i="18"/>
  <c r="B18" i="18"/>
  <c r="E34" i="18"/>
  <c r="E166" i="18"/>
  <c r="I176" i="18"/>
  <c r="C176" i="18"/>
  <c r="N176" i="18"/>
  <c r="B176" i="18"/>
  <c r="B178" i="18"/>
  <c r="B180" i="18"/>
  <c r="L176" i="18"/>
  <c r="L178" i="18"/>
  <c r="L180" i="18"/>
  <c r="H176" i="18"/>
  <c r="G176" i="18"/>
  <c r="D176" i="18"/>
  <c r="M176" i="18"/>
  <c r="J176" i="18"/>
  <c r="I178" i="18"/>
  <c r="I180" i="18"/>
  <c r="F176" i="18"/>
  <c r="F18" i="18"/>
  <c r="N18" i="18"/>
  <c r="C18" i="18"/>
  <c r="K42" i="18"/>
  <c r="K174" i="18"/>
  <c r="K176" i="18"/>
  <c r="J178" i="18"/>
  <c r="J180" i="18"/>
  <c r="M178" i="18"/>
  <c r="M180" i="18"/>
  <c r="K178" i="18"/>
  <c r="K180" i="18"/>
  <c r="D178" i="18"/>
  <c r="D180" i="18"/>
  <c r="G178" i="18"/>
  <c r="G180" i="18"/>
  <c r="F178" i="18"/>
  <c r="F180" i="18"/>
  <c r="H178" i="18"/>
  <c r="H180" i="18"/>
  <c r="C178" i="18"/>
  <c r="C180" i="18"/>
  <c r="N178" i="18"/>
  <c r="N180" i="18"/>
  <c r="C2" i="18"/>
  <c r="D2" i="18"/>
  <c r="D4" i="18"/>
  <c r="E2" i="18"/>
  <c r="F2" i="18"/>
  <c r="G2" i="18"/>
  <c r="H2" i="18"/>
  <c r="I2" i="18"/>
  <c r="J2" i="18"/>
  <c r="K2" i="18"/>
  <c r="L2" i="18"/>
  <c r="M2" i="18"/>
  <c r="N2" i="18"/>
  <c r="B2" i="18"/>
  <c r="B4" i="18"/>
  <c r="N60" i="17"/>
  <c r="C61" i="17"/>
  <c r="C71" i="17"/>
  <c r="D61" i="17"/>
  <c r="D71" i="17"/>
  <c r="E61" i="17"/>
  <c r="F61" i="17"/>
  <c r="G61" i="17"/>
  <c r="G71" i="17"/>
  <c r="H61" i="17"/>
  <c r="I61" i="17"/>
  <c r="I71" i="17"/>
  <c r="J61" i="17"/>
  <c r="K61" i="17"/>
  <c r="K71" i="17"/>
  <c r="L61" i="17"/>
  <c r="L71" i="17"/>
  <c r="M61" i="17"/>
  <c r="N61" i="17"/>
  <c r="N71" i="17"/>
  <c r="C62" i="17"/>
  <c r="D62" i="17"/>
  <c r="E62" i="17"/>
  <c r="F62" i="17"/>
  <c r="G62" i="17"/>
  <c r="G72" i="17"/>
  <c r="H62" i="17"/>
  <c r="H72" i="17"/>
  <c r="K62" i="17"/>
  <c r="K72" i="17"/>
  <c r="L62" i="17"/>
  <c r="M62" i="17"/>
  <c r="M72" i="17"/>
  <c r="C63" i="17"/>
  <c r="C73" i="17"/>
  <c r="D63" i="17"/>
  <c r="D73" i="17"/>
  <c r="E63" i="17"/>
  <c r="E73" i="17"/>
  <c r="F63" i="17"/>
  <c r="F73" i="17"/>
  <c r="G63" i="17"/>
  <c r="G73" i="17"/>
  <c r="H63" i="17"/>
  <c r="I63" i="17"/>
  <c r="I73" i="17"/>
  <c r="J63" i="17"/>
  <c r="J73" i="17"/>
  <c r="K63" i="17"/>
  <c r="K73" i="17"/>
  <c r="M63" i="17"/>
  <c r="C64" i="17"/>
  <c r="C74" i="17"/>
  <c r="D64" i="17"/>
  <c r="D74" i="17"/>
  <c r="E64" i="17"/>
  <c r="E74" i="17"/>
  <c r="F64" i="17"/>
  <c r="F74" i="17"/>
  <c r="G64" i="17"/>
  <c r="G74" i="17"/>
  <c r="H64" i="17"/>
  <c r="H74" i="17"/>
  <c r="I64" i="17"/>
  <c r="I74" i="17"/>
  <c r="J64" i="17"/>
  <c r="J74" i="17"/>
  <c r="K64" i="17"/>
  <c r="K74" i="17"/>
  <c r="L64" i="17"/>
  <c r="L74" i="17"/>
  <c r="M64" i="17"/>
  <c r="M74" i="17"/>
  <c r="N64" i="17"/>
  <c r="N74" i="17"/>
  <c r="C65" i="17"/>
  <c r="C75" i="17"/>
  <c r="D65" i="17"/>
  <c r="D75" i="17"/>
  <c r="E65" i="17"/>
  <c r="E75" i="17"/>
  <c r="F65" i="17"/>
  <c r="F75" i="17"/>
  <c r="G65" i="17"/>
  <c r="G75" i="17"/>
  <c r="H65" i="17"/>
  <c r="H75" i="17"/>
  <c r="I65" i="17"/>
  <c r="I75" i="17"/>
  <c r="K65" i="17"/>
  <c r="K75" i="17"/>
  <c r="L65" i="17"/>
  <c r="L75" i="17"/>
  <c r="M65" i="17"/>
  <c r="M75" i="17"/>
  <c r="N75" i="17"/>
  <c r="B75" i="17"/>
  <c r="B73" i="17"/>
  <c r="B72" i="17"/>
  <c r="C59" i="17"/>
  <c r="D59" i="17"/>
  <c r="E59" i="17"/>
  <c r="F59" i="17"/>
  <c r="G59" i="17"/>
  <c r="H59" i="17"/>
  <c r="I59" i="17"/>
  <c r="J59" i="17"/>
  <c r="K59" i="17"/>
  <c r="L59" i="17"/>
  <c r="M59" i="17"/>
  <c r="C60" i="17"/>
  <c r="C183" i="18"/>
  <c r="C185" i="18"/>
  <c r="D60" i="17"/>
  <c r="D183" i="18"/>
  <c r="D185" i="18"/>
  <c r="E60" i="17"/>
  <c r="E183" i="18"/>
  <c r="E185" i="18"/>
  <c r="F60" i="17"/>
  <c r="F183" i="18"/>
  <c r="F185" i="18"/>
  <c r="G60" i="17"/>
  <c r="G183" i="18"/>
  <c r="G185" i="18"/>
  <c r="H60" i="17"/>
  <c r="H183" i="18"/>
  <c r="H185" i="18"/>
  <c r="I60" i="17"/>
  <c r="I183" i="18"/>
  <c r="I185" i="18"/>
  <c r="J60" i="17"/>
  <c r="K60" i="17"/>
  <c r="K183" i="18"/>
  <c r="K185" i="18"/>
  <c r="L60" i="17"/>
  <c r="L183" i="18"/>
  <c r="L185" i="18"/>
  <c r="M60" i="17"/>
  <c r="M183" i="18"/>
  <c r="M185" i="18"/>
  <c r="E22" i="11"/>
  <c r="G22" i="11"/>
  <c r="I22" i="11"/>
  <c r="K22" i="11"/>
  <c r="E23" i="11"/>
  <c r="G23" i="11"/>
  <c r="I23" i="11"/>
  <c r="K23" i="11"/>
  <c r="E24" i="11"/>
  <c r="G24" i="11"/>
  <c r="I24" i="11"/>
  <c r="K24" i="11"/>
  <c r="E25" i="11"/>
  <c r="G25" i="11"/>
  <c r="I25" i="11"/>
  <c r="K25" i="11"/>
  <c r="E26" i="11"/>
  <c r="G26" i="11"/>
  <c r="I26" i="11"/>
  <c r="K26" i="11"/>
  <c r="E27" i="11"/>
  <c r="G27" i="11"/>
  <c r="I27" i="11"/>
  <c r="K27" i="11"/>
  <c r="E28" i="11"/>
  <c r="G28" i="11"/>
  <c r="I28" i="11"/>
  <c r="K28" i="11"/>
  <c r="E29" i="11"/>
  <c r="G29" i="11"/>
  <c r="I29" i="11"/>
  <c r="K29" i="11"/>
  <c r="E30" i="11"/>
  <c r="G30" i="11"/>
  <c r="I30" i="11"/>
  <c r="K30" i="11"/>
  <c r="E31" i="11"/>
  <c r="G31" i="11"/>
  <c r="I31" i="11"/>
  <c r="K31" i="11"/>
  <c r="E32" i="11"/>
  <c r="G32" i="11"/>
  <c r="I32" i="11"/>
  <c r="K32" i="11"/>
  <c r="E33" i="11"/>
  <c r="G33" i="11"/>
  <c r="I33" i="11"/>
  <c r="K33" i="11"/>
  <c r="E34" i="11"/>
  <c r="G34" i="11"/>
  <c r="I34" i="11"/>
  <c r="K34" i="11"/>
  <c r="E35" i="11"/>
  <c r="G35" i="11"/>
  <c r="I35" i="11"/>
  <c r="K35" i="11"/>
  <c r="E37" i="11"/>
  <c r="G37" i="11"/>
  <c r="I37" i="11"/>
  <c r="K37" i="11"/>
  <c r="E38" i="11"/>
  <c r="G38" i="11"/>
  <c r="I38" i="11"/>
  <c r="K38" i="11"/>
  <c r="E39" i="11"/>
  <c r="G39" i="11"/>
  <c r="I39" i="11"/>
  <c r="K39" i="11"/>
  <c r="E40" i="11"/>
  <c r="G40" i="11"/>
  <c r="I40" i="11"/>
  <c r="K40" i="11"/>
  <c r="E41" i="11"/>
  <c r="G41" i="11"/>
  <c r="I41" i="11"/>
  <c r="K41" i="11"/>
  <c r="E42" i="11"/>
  <c r="G42" i="11"/>
  <c r="I42" i="11"/>
  <c r="K42" i="11"/>
  <c r="E43" i="11"/>
  <c r="G43" i="11"/>
  <c r="I43" i="11"/>
  <c r="K43" i="11"/>
  <c r="E44" i="11"/>
  <c r="G44" i="11"/>
  <c r="I44" i="11"/>
  <c r="K44" i="11"/>
  <c r="E45" i="11"/>
  <c r="G45" i="11"/>
  <c r="I45" i="11"/>
  <c r="K45" i="11"/>
  <c r="E46" i="11"/>
  <c r="G46" i="11"/>
  <c r="I46" i="11"/>
  <c r="K46" i="11"/>
  <c r="E47" i="11"/>
  <c r="G47" i="11"/>
  <c r="I47" i="11"/>
  <c r="K47" i="11"/>
  <c r="E48" i="11"/>
  <c r="G48" i="11"/>
  <c r="I48" i="11"/>
  <c r="K48" i="11"/>
  <c r="E49" i="11"/>
  <c r="G49" i="11"/>
  <c r="I49" i="11"/>
  <c r="K49" i="11"/>
  <c r="E51" i="11"/>
  <c r="G51" i="11"/>
  <c r="I51" i="11"/>
  <c r="K51" i="11"/>
  <c r="E52" i="11"/>
  <c r="G52" i="11"/>
  <c r="I52" i="11"/>
  <c r="K52" i="11"/>
  <c r="E53" i="11"/>
  <c r="G53" i="11"/>
  <c r="I53" i="11"/>
  <c r="K53" i="11"/>
  <c r="E54" i="11"/>
  <c r="G54" i="11"/>
  <c r="I54" i="11"/>
  <c r="K54" i="11"/>
  <c r="E55" i="11"/>
  <c r="G55" i="11"/>
  <c r="I55" i="11"/>
  <c r="K55" i="11"/>
  <c r="E56" i="11"/>
  <c r="G56" i="11"/>
  <c r="I56" i="11"/>
  <c r="K56" i="11"/>
  <c r="E57" i="11"/>
  <c r="G57" i="11"/>
  <c r="I57" i="11"/>
  <c r="K57" i="11"/>
  <c r="E58" i="11"/>
  <c r="G58" i="11"/>
  <c r="I58" i="11"/>
  <c r="K58" i="11"/>
  <c r="E59" i="11"/>
  <c r="G59" i="11"/>
  <c r="I59" i="11"/>
  <c r="K59" i="11"/>
  <c r="E60" i="11"/>
  <c r="G60" i="11"/>
  <c r="I60" i="11"/>
  <c r="K60" i="11"/>
  <c r="E61" i="11"/>
  <c r="G61" i="11"/>
  <c r="I61" i="11"/>
  <c r="K61" i="11"/>
  <c r="E62" i="11"/>
  <c r="G62" i="11"/>
  <c r="I62" i="11"/>
  <c r="K62" i="11"/>
  <c r="E63" i="11"/>
  <c r="G63" i="11"/>
  <c r="I63" i="11"/>
  <c r="K63" i="11"/>
  <c r="E65" i="11"/>
  <c r="G65" i="11"/>
  <c r="I65" i="11"/>
  <c r="K65" i="11"/>
  <c r="E66" i="11"/>
  <c r="G66" i="11"/>
  <c r="I66" i="11"/>
  <c r="K66" i="11"/>
  <c r="E67" i="11"/>
  <c r="G67" i="11"/>
  <c r="I67" i="11"/>
  <c r="K67" i="11"/>
  <c r="E68" i="11"/>
  <c r="G68" i="11"/>
  <c r="I68" i="11"/>
  <c r="K68" i="11"/>
  <c r="E69" i="11"/>
  <c r="G69" i="11"/>
  <c r="I69" i="11"/>
  <c r="K69" i="11"/>
  <c r="E70" i="11"/>
  <c r="G70" i="11"/>
  <c r="I70" i="11"/>
  <c r="K70" i="11"/>
  <c r="E71" i="11"/>
  <c r="G71" i="11"/>
  <c r="I71" i="11"/>
  <c r="K71" i="11"/>
  <c r="E72" i="11"/>
  <c r="G72" i="11"/>
  <c r="I72" i="11"/>
  <c r="K72" i="11"/>
  <c r="E73" i="11"/>
  <c r="G73" i="11"/>
  <c r="I73" i="11"/>
  <c r="K73" i="11"/>
  <c r="E74" i="11"/>
  <c r="G74" i="11"/>
  <c r="I74" i="11"/>
  <c r="K74" i="11"/>
  <c r="E75" i="11"/>
  <c r="G75" i="11"/>
  <c r="I75" i="11"/>
  <c r="K75" i="11"/>
  <c r="E76" i="11"/>
  <c r="G76" i="11"/>
  <c r="I76" i="11"/>
  <c r="K76" i="11"/>
  <c r="E77" i="11"/>
  <c r="G77" i="11"/>
  <c r="I77" i="11"/>
  <c r="K77" i="11"/>
  <c r="E78" i="11"/>
  <c r="G78" i="11"/>
  <c r="I78" i="11"/>
  <c r="K78" i="11"/>
  <c r="E80" i="11"/>
  <c r="G80" i="11"/>
  <c r="I80" i="11"/>
  <c r="K80" i="11"/>
  <c r="E81" i="11"/>
  <c r="G81" i="11"/>
  <c r="I81" i="11"/>
  <c r="K81" i="11"/>
  <c r="E82" i="11"/>
  <c r="G82" i="11"/>
  <c r="I82" i="11"/>
  <c r="K82" i="11"/>
  <c r="E83" i="11"/>
  <c r="G83" i="11"/>
  <c r="I83" i="11"/>
  <c r="K83" i="11"/>
  <c r="E84" i="11"/>
  <c r="G84" i="11"/>
  <c r="I84" i="11"/>
  <c r="K84" i="11"/>
  <c r="E85" i="11"/>
  <c r="G85" i="11"/>
  <c r="I85" i="11"/>
  <c r="K85" i="11"/>
  <c r="E86" i="11"/>
  <c r="G86" i="11"/>
  <c r="I86" i="11"/>
  <c r="K86" i="11"/>
  <c r="E87" i="11"/>
  <c r="G87" i="11"/>
  <c r="I87" i="11"/>
  <c r="K87" i="11"/>
  <c r="E88" i="11"/>
  <c r="G88" i="11"/>
  <c r="I88" i="11"/>
  <c r="K88" i="11"/>
  <c r="E89" i="11"/>
  <c r="G89" i="11"/>
  <c r="I89" i="11"/>
  <c r="K89" i="11"/>
  <c r="E90" i="11"/>
  <c r="G90" i="11"/>
  <c r="I90" i="11"/>
  <c r="K90" i="11"/>
  <c r="E91" i="11"/>
  <c r="G91" i="11"/>
  <c r="I91" i="11"/>
  <c r="K91" i="11"/>
  <c r="E92" i="11"/>
  <c r="G92" i="11"/>
  <c r="I92" i="11"/>
  <c r="K92" i="11"/>
  <c r="E93" i="11"/>
  <c r="G93" i="11"/>
  <c r="I93" i="11"/>
  <c r="K93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C85" i="11"/>
  <c r="C79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C72" i="11"/>
  <c r="C68" i="11"/>
  <c r="C70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C56" i="11"/>
  <c r="C52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C42" i="11"/>
  <c r="C39" i="11"/>
  <c r="C40" i="11"/>
  <c r="C30" i="11"/>
  <c r="C29" i="11"/>
  <c r="C26" i="11"/>
  <c r="L21" i="11"/>
  <c r="D21" i="11"/>
  <c r="M21" i="11"/>
  <c r="J21" i="11"/>
  <c r="C21" i="11"/>
  <c r="O21" i="11"/>
  <c r="H21" i="11"/>
  <c r="K93" i="10"/>
  <c r="I93" i="10"/>
  <c r="G93" i="10"/>
  <c r="E93" i="10"/>
  <c r="P92" i="10"/>
  <c r="O92" i="10"/>
  <c r="N92" i="10"/>
  <c r="M92" i="10"/>
  <c r="L92" i="10"/>
  <c r="J92" i="10"/>
  <c r="K92" i="10"/>
  <c r="H92" i="10"/>
  <c r="G92" i="10"/>
  <c r="F92" i="10"/>
  <c r="E92" i="10"/>
  <c r="D92" i="10"/>
  <c r="P91" i="10"/>
  <c r="O91" i="10"/>
  <c r="N91" i="10"/>
  <c r="M91" i="10"/>
  <c r="L91" i="10"/>
  <c r="J91" i="10"/>
  <c r="K91" i="10"/>
  <c r="H91" i="10"/>
  <c r="I91" i="10"/>
  <c r="F91" i="10"/>
  <c r="D91" i="10"/>
  <c r="E91" i="10"/>
  <c r="P90" i="10"/>
  <c r="O90" i="10"/>
  <c r="N90" i="10"/>
  <c r="M90" i="10"/>
  <c r="L90" i="10"/>
  <c r="J90" i="10"/>
  <c r="K90" i="10"/>
  <c r="I90" i="10"/>
  <c r="H90" i="10"/>
  <c r="G90" i="10"/>
  <c r="F90" i="10"/>
  <c r="E90" i="10"/>
  <c r="D90" i="10"/>
  <c r="P89" i="10"/>
  <c r="O89" i="10"/>
  <c r="N89" i="10"/>
  <c r="M89" i="10"/>
  <c r="L89" i="10"/>
  <c r="J89" i="10"/>
  <c r="K89" i="10"/>
  <c r="H89" i="10"/>
  <c r="F89" i="10"/>
  <c r="G89" i="10"/>
  <c r="D89" i="10"/>
  <c r="E89" i="10"/>
  <c r="P88" i="10"/>
  <c r="O88" i="10"/>
  <c r="N88" i="10"/>
  <c r="M88" i="10"/>
  <c r="L88" i="10"/>
  <c r="K88" i="10"/>
  <c r="J88" i="10"/>
  <c r="I88" i="10"/>
  <c r="H88" i="10"/>
  <c r="G88" i="10"/>
  <c r="F88" i="10"/>
  <c r="D88" i="10"/>
  <c r="E88" i="10"/>
  <c r="P87" i="10"/>
  <c r="O87" i="10"/>
  <c r="N87" i="10"/>
  <c r="M87" i="10"/>
  <c r="L87" i="10"/>
  <c r="K87" i="10"/>
  <c r="J87" i="10"/>
  <c r="H87" i="10"/>
  <c r="I87" i="10"/>
  <c r="F87" i="10"/>
  <c r="G87" i="10"/>
  <c r="D87" i="10"/>
  <c r="E87" i="10"/>
  <c r="P86" i="10"/>
  <c r="O86" i="10"/>
  <c r="N86" i="10"/>
  <c r="M86" i="10"/>
  <c r="L86" i="10"/>
  <c r="K86" i="10"/>
  <c r="J86" i="10"/>
  <c r="I86" i="10"/>
  <c r="H86" i="10"/>
  <c r="F86" i="10"/>
  <c r="G86" i="10"/>
  <c r="E86" i="10"/>
  <c r="D86" i="10"/>
  <c r="P85" i="10"/>
  <c r="C83" i="10"/>
  <c r="O85" i="10"/>
  <c r="N85" i="10"/>
  <c r="M85" i="10"/>
  <c r="L85" i="10"/>
  <c r="J85" i="10"/>
  <c r="K85" i="10"/>
  <c r="H85" i="10"/>
  <c r="I85" i="10"/>
  <c r="F85" i="10"/>
  <c r="G85" i="10"/>
  <c r="D85" i="10"/>
  <c r="P84" i="10"/>
  <c r="O84" i="10"/>
  <c r="N84" i="10"/>
  <c r="M84" i="10"/>
  <c r="L84" i="10"/>
  <c r="K84" i="10"/>
  <c r="J84" i="10"/>
  <c r="H84" i="10"/>
  <c r="I84" i="10"/>
  <c r="G84" i="10"/>
  <c r="F84" i="10"/>
  <c r="E84" i="10"/>
  <c r="D84" i="10"/>
  <c r="P83" i="10"/>
  <c r="O83" i="10"/>
  <c r="N83" i="10"/>
  <c r="M83" i="10"/>
  <c r="L83" i="10"/>
  <c r="J83" i="10"/>
  <c r="K83" i="10"/>
  <c r="H83" i="10"/>
  <c r="I83" i="10"/>
  <c r="F83" i="10"/>
  <c r="D83" i="10"/>
  <c r="E83" i="10"/>
  <c r="P82" i="10"/>
  <c r="O82" i="10"/>
  <c r="N82" i="10"/>
  <c r="M82" i="10"/>
  <c r="L82" i="10"/>
  <c r="J82" i="10"/>
  <c r="K82" i="10"/>
  <c r="I82" i="10"/>
  <c r="H82" i="10"/>
  <c r="G82" i="10"/>
  <c r="F82" i="10"/>
  <c r="D82" i="10"/>
  <c r="E82" i="10"/>
  <c r="P81" i="10"/>
  <c r="O81" i="10"/>
  <c r="N81" i="10"/>
  <c r="M81" i="10"/>
  <c r="L81" i="10"/>
  <c r="J81" i="10"/>
  <c r="K81" i="10"/>
  <c r="H81" i="10"/>
  <c r="F81" i="10"/>
  <c r="G81" i="10"/>
  <c r="D81" i="10"/>
  <c r="E81" i="10"/>
  <c r="P80" i="10"/>
  <c r="O80" i="10"/>
  <c r="N80" i="10"/>
  <c r="M80" i="10"/>
  <c r="L80" i="10"/>
  <c r="K80" i="10"/>
  <c r="J80" i="10"/>
  <c r="I80" i="10"/>
  <c r="H80" i="10"/>
  <c r="F80" i="10"/>
  <c r="G80" i="10"/>
  <c r="D80" i="10"/>
  <c r="E80" i="10"/>
  <c r="P78" i="10"/>
  <c r="O78" i="10"/>
  <c r="N78" i="10"/>
  <c r="M78" i="10"/>
  <c r="L78" i="10"/>
  <c r="K78" i="10"/>
  <c r="J78" i="10"/>
  <c r="H78" i="10"/>
  <c r="I78" i="10"/>
  <c r="F78" i="10"/>
  <c r="G78" i="10"/>
  <c r="D78" i="10"/>
  <c r="E78" i="10"/>
  <c r="P77" i="10"/>
  <c r="O77" i="10"/>
  <c r="N77" i="10"/>
  <c r="M77" i="10"/>
  <c r="L77" i="10"/>
  <c r="K77" i="10"/>
  <c r="J77" i="10"/>
  <c r="H77" i="10"/>
  <c r="I77" i="10"/>
  <c r="F77" i="10"/>
  <c r="G77" i="10"/>
  <c r="E77" i="10"/>
  <c r="D77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O76" i="10"/>
  <c r="N76" i="10"/>
  <c r="M76" i="10"/>
  <c r="L76" i="10"/>
  <c r="J76" i="10"/>
  <c r="K76" i="10"/>
  <c r="H76" i="10"/>
  <c r="I76" i="10"/>
  <c r="F76" i="10"/>
  <c r="G76" i="10"/>
  <c r="E76" i="10"/>
  <c r="D76" i="10"/>
  <c r="P75" i="10"/>
  <c r="O75" i="10"/>
  <c r="N75" i="10"/>
  <c r="M75" i="10"/>
  <c r="L75" i="10"/>
  <c r="J75" i="10"/>
  <c r="K75" i="10"/>
  <c r="H75" i="10"/>
  <c r="I75" i="10"/>
  <c r="G75" i="10"/>
  <c r="F75" i="10"/>
  <c r="E75" i="10"/>
  <c r="D75" i="10"/>
  <c r="P74" i="10"/>
  <c r="O74" i="10"/>
  <c r="N74" i="10"/>
  <c r="M74" i="10"/>
  <c r="L74" i="10"/>
  <c r="J74" i="10"/>
  <c r="K74" i="10"/>
  <c r="H74" i="10"/>
  <c r="I74" i="10"/>
  <c r="F74" i="10"/>
  <c r="D74" i="10"/>
  <c r="E74" i="10"/>
  <c r="P73" i="10"/>
  <c r="O73" i="10"/>
  <c r="N73" i="10"/>
  <c r="M73" i="10"/>
  <c r="L73" i="10"/>
  <c r="J73" i="10"/>
  <c r="K73" i="10"/>
  <c r="I73" i="10"/>
  <c r="H73" i="10"/>
  <c r="G73" i="10"/>
  <c r="F73" i="10"/>
  <c r="D73" i="10"/>
  <c r="E73" i="10"/>
  <c r="P72" i="10"/>
  <c r="O72" i="10"/>
  <c r="N72" i="10"/>
  <c r="M72" i="10"/>
  <c r="L72" i="10"/>
  <c r="J72" i="10"/>
  <c r="K72" i="10"/>
  <c r="H72" i="10"/>
  <c r="F72" i="10"/>
  <c r="G72" i="10"/>
  <c r="D72" i="10"/>
  <c r="E72" i="10"/>
  <c r="P71" i="10"/>
  <c r="O71" i="10"/>
  <c r="N71" i="10"/>
  <c r="M71" i="10"/>
  <c r="L71" i="10"/>
  <c r="K71" i="10"/>
  <c r="J71" i="10"/>
  <c r="I71" i="10"/>
  <c r="H71" i="10"/>
  <c r="F71" i="10"/>
  <c r="G71" i="10"/>
  <c r="D71" i="10"/>
  <c r="E71" i="10"/>
  <c r="P70" i="10"/>
  <c r="O70" i="10"/>
  <c r="N70" i="10"/>
  <c r="M70" i="10"/>
  <c r="L70" i="10"/>
  <c r="K70" i="10"/>
  <c r="J70" i="10"/>
  <c r="H70" i="10"/>
  <c r="I70" i="10"/>
  <c r="F70" i="10"/>
  <c r="G70" i="10"/>
  <c r="D70" i="10"/>
  <c r="E70" i="10"/>
  <c r="P69" i="10"/>
  <c r="O69" i="10"/>
  <c r="N69" i="10"/>
  <c r="M69" i="10"/>
  <c r="L69" i="10"/>
  <c r="K69" i="10"/>
  <c r="J69" i="10"/>
  <c r="H69" i="10"/>
  <c r="I69" i="10"/>
  <c r="F69" i="10"/>
  <c r="G69" i="10"/>
  <c r="E69" i="10"/>
  <c r="D69" i="10"/>
  <c r="P68" i="10"/>
  <c r="C71" i="10"/>
  <c r="O68" i="10"/>
  <c r="N68" i="10"/>
  <c r="M68" i="10"/>
  <c r="L68" i="10"/>
  <c r="J68" i="10"/>
  <c r="K68" i="10"/>
  <c r="H68" i="10"/>
  <c r="I68" i="10"/>
  <c r="F68" i="10"/>
  <c r="G68" i="10"/>
  <c r="D68" i="10"/>
  <c r="P67" i="10"/>
  <c r="O67" i="10"/>
  <c r="N67" i="10"/>
  <c r="M67" i="10"/>
  <c r="L67" i="10"/>
  <c r="J67" i="10"/>
  <c r="K67" i="10"/>
  <c r="H67" i="10"/>
  <c r="I67" i="10"/>
  <c r="G67" i="10"/>
  <c r="F67" i="10"/>
  <c r="E67" i="10"/>
  <c r="D67" i="10"/>
  <c r="P66" i="10"/>
  <c r="O66" i="10"/>
  <c r="N66" i="10"/>
  <c r="M66" i="10"/>
  <c r="L66" i="10"/>
  <c r="J66" i="10"/>
  <c r="K66" i="10"/>
  <c r="H66" i="10"/>
  <c r="I66" i="10"/>
  <c r="F66" i="10"/>
  <c r="D66" i="10"/>
  <c r="E66" i="10"/>
  <c r="P65" i="10"/>
  <c r="O65" i="10"/>
  <c r="N65" i="10"/>
  <c r="M65" i="10"/>
  <c r="L65" i="10"/>
  <c r="J65" i="10"/>
  <c r="K65" i="10"/>
  <c r="I65" i="10"/>
  <c r="H65" i="10"/>
  <c r="G65" i="10"/>
  <c r="F65" i="10"/>
  <c r="D65" i="10"/>
  <c r="E65" i="10"/>
  <c r="P63" i="10"/>
  <c r="O63" i="10"/>
  <c r="N63" i="10"/>
  <c r="M63" i="10"/>
  <c r="L63" i="10"/>
  <c r="J63" i="10"/>
  <c r="K63" i="10"/>
  <c r="H63" i="10"/>
  <c r="F63" i="10"/>
  <c r="G63" i="10"/>
  <c r="D63" i="10"/>
  <c r="E63" i="10"/>
  <c r="P62" i="10"/>
  <c r="O62" i="10"/>
  <c r="N62" i="10"/>
  <c r="M62" i="10"/>
  <c r="L62" i="10"/>
  <c r="K62" i="10"/>
  <c r="J62" i="10"/>
  <c r="I62" i="10"/>
  <c r="H62" i="10"/>
  <c r="F62" i="10"/>
  <c r="G62" i="10"/>
  <c r="D62" i="10"/>
  <c r="E62" i="10"/>
  <c r="P61" i="10"/>
  <c r="O61" i="10"/>
  <c r="N61" i="10"/>
  <c r="M61" i="10"/>
  <c r="L61" i="10"/>
  <c r="K61" i="10"/>
  <c r="J61" i="10"/>
  <c r="H61" i="10"/>
  <c r="I61" i="10"/>
  <c r="F61" i="10"/>
  <c r="G61" i="10"/>
  <c r="D61" i="10"/>
  <c r="E61" i="10"/>
  <c r="P60" i="10"/>
  <c r="O60" i="10"/>
  <c r="N60" i="10"/>
  <c r="M60" i="10"/>
  <c r="L60" i="10"/>
  <c r="K60" i="10"/>
  <c r="J60" i="10"/>
  <c r="H60" i="10"/>
  <c r="I60" i="10"/>
  <c r="F60" i="10"/>
  <c r="G60" i="10"/>
  <c r="E60" i="10"/>
  <c r="D60" i="10"/>
  <c r="P59" i="10"/>
  <c r="C59" i="10"/>
  <c r="O59" i="10"/>
  <c r="N59" i="10"/>
  <c r="M59" i="10"/>
  <c r="L59" i="10"/>
  <c r="J59" i="10"/>
  <c r="K59" i="10"/>
  <c r="H59" i="10"/>
  <c r="I59" i="10"/>
  <c r="F59" i="10"/>
  <c r="G59" i="10"/>
  <c r="D59" i="10"/>
  <c r="P58" i="10"/>
  <c r="O58" i="10"/>
  <c r="N58" i="10"/>
  <c r="M58" i="10"/>
  <c r="L58" i="10"/>
  <c r="J58" i="10"/>
  <c r="K58" i="10"/>
  <c r="H58" i="10"/>
  <c r="I58" i="10"/>
  <c r="G58" i="10"/>
  <c r="F58" i="10"/>
  <c r="E58" i="10"/>
  <c r="D58" i="10"/>
  <c r="P57" i="10"/>
  <c r="O57" i="10"/>
  <c r="N57" i="10"/>
  <c r="M57" i="10"/>
  <c r="L57" i="10"/>
  <c r="J57" i="10"/>
  <c r="K57" i="10"/>
  <c r="H57" i="10"/>
  <c r="I57" i="10"/>
  <c r="F57" i="10"/>
  <c r="D57" i="10"/>
  <c r="E57" i="10"/>
  <c r="P56" i="10"/>
  <c r="O56" i="10"/>
  <c r="N56" i="10"/>
  <c r="M56" i="10"/>
  <c r="L56" i="10"/>
  <c r="K56" i="10"/>
  <c r="J56" i="10"/>
  <c r="I56" i="10"/>
  <c r="H56" i="10"/>
  <c r="G56" i="10"/>
  <c r="F56" i="10"/>
  <c r="D56" i="10"/>
  <c r="E56" i="10"/>
  <c r="P55" i="10"/>
  <c r="O55" i="10"/>
  <c r="N55" i="10"/>
  <c r="M55" i="10"/>
  <c r="L55" i="10"/>
  <c r="J55" i="10"/>
  <c r="K55" i="10"/>
  <c r="I55" i="10"/>
  <c r="H55" i="10"/>
  <c r="F55" i="10"/>
  <c r="G55" i="10"/>
  <c r="D55" i="10"/>
  <c r="E55" i="10"/>
  <c r="P54" i="10"/>
  <c r="O54" i="10"/>
  <c r="N54" i="10"/>
  <c r="M54" i="10"/>
  <c r="L54" i="10"/>
  <c r="K54" i="10"/>
  <c r="J54" i="10"/>
  <c r="I54" i="10"/>
  <c r="H54" i="10"/>
  <c r="F54" i="10"/>
  <c r="G54" i="10"/>
  <c r="D54" i="10"/>
  <c r="E54" i="10"/>
  <c r="P53" i="10"/>
  <c r="O53" i="10"/>
  <c r="N53" i="10"/>
  <c r="M53" i="10"/>
  <c r="L53" i="10"/>
  <c r="K53" i="10"/>
  <c r="J53" i="10"/>
  <c r="H53" i="10"/>
  <c r="I53" i="10"/>
  <c r="F53" i="10"/>
  <c r="G53" i="10"/>
  <c r="D53" i="10"/>
  <c r="E53" i="10"/>
  <c r="P52" i="10"/>
  <c r="O52" i="10"/>
  <c r="N52" i="10"/>
  <c r="M52" i="10"/>
  <c r="L52" i="10"/>
  <c r="K52" i="10"/>
  <c r="J52" i="10"/>
  <c r="H52" i="10"/>
  <c r="I52" i="10"/>
  <c r="F52" i="10"/>
  <c r="E52" i="10"/>
  <c r="D52" i="10"/>
  <c r="P51" i="10"/>
  <c r="C55" i="10"/>
  <c r="O51" i="10"/>
  <c r="N51" i="10"/>
  <c r="M51" i="10"/>
  <c r="L51" i="10"/>
  <c r="J51" i="10"/>
  <c r="K51" i="10"/>
  <c r="H51" i="10"/>
  <c r="I51" i="10"/>
  <c r="F51" i="10"/>
  <c r="G51" i="10"/>
  <c r="D51" i="10"/>
  <c r="P49" i="10"/>
  <c r="O49" i="10"/>
  <c r="N49" i="10"/>
  <c r="M49" i="10"/>
  <c r="L49" i="10"/>
  <c r="J49" i="10"/>
  <c r="K49" i="10"/>
  <c r="H49" i="10"/>
  <c r="I49" i="10"/>
  <c r="F49" i="10"/>
  <c r="G49" i="10"/>
  <c r="E49" i="10"/>
  <c r="D49" i="10"/>
  <c r="P48" i="10"/>
  <c r="O48" i="10"/>
  <c r="N48" i="10"/>
  <c r="M48" i="10"/>
  <c r="L48" i="10"/>
  <c r="J48" i="10"/>
  <c r="K48" i="10"/>
  <c r="H48" i="10"/>
  <c r="I48" i="10"/>
  <c r="G48" i="10"/>
  <c r="F48" i="10"/>
  <c r="E48" i="10"/>
  <c r="D48" i="10"/>
  <c r="P47" i="10"/>
  <c r="O47" i="10"/>
  <c r="N47" i="10"/>
  <c r="M47" i="10"/>
  <c r="L47" i="10"/>
  <c r="J47" i="10"/>
  <c r="K47" i="10"/>
  <c r="H47" i="10"/>
  <c r="I47" i="10"/>
  <c r="G47" i="10"/>
  <c r="F47" i="10"/>
  <c r="D47" i="10"/>
  <c r="E47" i="10"/>
  <c r="P46" i="10"/>
  <c r="O46" i="10"/>
  <c r="N46" i="10"/>
  <c r="M46" i="10"/>
  <c r="L46" i="10"/>
  <c r="J46" i="10"/>
  <c r="K46" i="10"/>
  <c r="H46" i="10"/>
  <c r="G46" i="10"/>
  <c r="F46" i="10"/>
  <c r="D46" i="10"/>
  <c r="E46" i="10"/>
  <c r="P45" i="10"/>
  <c r="O45" i="10"/>
  <c r="N45" i="10"/>
  <c r="M45" i="10"/>
  <c r="L45" i="10"/>
  <c r="K45" i="10"/>
  <c r="J45" i="10"/>
  <c r="I45" i="10"/>
  <c r="H45" i="10"/>
  <c r="F45" i="10"/>
  <c r="G45" i="10"/>
  <c r="D45" i="10"/>
  <c r="E45" i="10"/>
  <c r="P44" i="10"/>
  <c r="O44" i="10"/>
  <c r="N44" i="10"/>
  <c r="M44" i="10"/>
  <c r="L44" i="10"/>
  <c r="K44" i="10"/>
  <c r="J44" i="10"/>
  <c r="I44" i="10"/>
  <c r="H44" i="10"/>
  <c r="F44" i="10"/>
  <c r="G44" i="10"/>
  <c r="D44" i="10"/>
  <c r="E44" i="10"/>
  <c r="P43" i="10"/>
  <c r="O43" i="10"/>
  <c r="N43" i="10"/>
  <c r="M43" i="10"/>
  <c r="L43" i="10"/>
  <c r="K43" i="10"/>
  <c r="J43" i="10"/>
  <c r="H43" i="10"/>
  <c r="I43" i="10"/>
  <c r="F43" i="10"/>
  <c r="G43" i="10"/>
  <c r="D43" i="10"/>
  <c r="E43" i="10"/>
  <c r="P42" i="10"/>
  <c r="C36" i="10"/>
  <c r="O42" i="10"/>
  <c r="N42" i="10"/>
  <c r="M42" i="10"/>
  <c r="L42" i="10"/>
  <c r="K42" i="10"/>
  <c r="J42" i="10"/>
  <c r="H42" i="10"/>
  <c r="I42" i="10"/>
  <c r="F42" i="10"/>
  <c r="G42" i="10"/>
  <c r="D42" i="10"/>
  <c r="P41" i="10"/>
  <c r="O41" i="10"/>
  <c r="N41" i="10"/>
  <c r="M41" i="10"/>
  <c r="L41" i="10"/>
  <c r="K41" i="10"/>
  <c r="J41" i="10"/>
  <c r="H41" i="10"/>
  <c r="I41" i="10"/>
  <c r="F41" i="10"/>
  <c r="G41" i="10"/>
  <c r="E41" i="10"/>
  <c r="D41" i="10"/>
  <c r="P40" i="10"/>
  <c r="O40" i="10"/>
  <c r="N40" i="10"/>
  <c r="M40" i="10"/>
  <c r="L40" i="10"/>
  <c r="K40" i="10"/>
  <c r="J40" i="10"/>
  <c r="H40" i="10"/>
  <c r="I40" i="10"/>
  <c r="F40" i="10"/>
  <c r="D40" i="10"/>
  <c r="E40" i="10"/>
  <c r="P39" i="10"/>
  <c r="O39" i="10"/>
  <c r="N39" i="10"/>
  <c r="M39" i="10"/>
  <c r="L39" i="10"/>
  <c r="K39" i="10"/>
  <c r="J39" i="10"/>
  <c r="H39" i="10"/>
  <c r="I39" i="10"/>
  <c r="G39" i="10"/>
  <c r="F39" i="10"/>
  <c r="D39" i="10"/>
  <c r="E39" i="10"/>
  <c r="P38" i="10"/>
  <c r="O38" i="10"/>
  <c r="N38" i="10"/>
  <c r="M38" i="10"/>
  <c r="L38" i="10"/>
  <c r="K38" i="10"/>
  <c r="J38" i="10"/>
  <c r="I38" i="10"/>
  <c r="H38" i="10"/>
  <c r="F38" i="10"/>
  <c r="G38" i="10"/>
  <c r="D38" i="10"/>
  <c r="E38" i="10"/>
  <c r="P37" i="10"/>
  <c r="O37" i="10"/>
  <c r="N37" i="10"/>
  <c r="M37" i="10"/>
  <c r="L37" i="10"/>
  <c r="K37" i="10"/>
  <c r="J37" i="10"/>
  <c r="I37" i="10"/>
  <c r="H37" i="10"/>
  <c r="G37" i="10"/>
  <c r="F37" i="10"/>
  <c r="D37" i="10"/>
  <c r="E37" i="10"/>
  <c r="P35" i="10"/>
  <c r="O35" i="10"/>
  <c r="N35" i="10"/>
  <c r="M35" i="10"/>
  <c r="L35" i="10"/>
  <c r="K35" i="10"/>
  <c r="J35" i="10"/>
  <c r="H35" i="10"/>
  <c r="I35" i="10"/>
  <c r="F35" i="10"/>
  <c r="G35" i="10"/>
  <c r="D35" i="10"/>
  <c r="E35" i="10"/>
  <c r="P34" i="10"/>
  <c r="O34" i="10"/>
  <c r="N34" i="10"/>
  <c r="M34" i="10"/>
  <c r="L34" i="10"/>
  <c r="K34" i="10"/>
  <c r="J34" i="10"/>
  <c r="I34" i="10"/>
  <c r="H34" i="10"/>
  <c r="F34" i="10"/>
  <c r="G34" i="10"/>
  <c r="D34" i="10"/>
  <c r="E34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O33" i="10"/>
  <c r="N33" i="10"/>
  <c r="M33" i="10"/>
  <c r="L33" i="10"/>
  <c r="K33" i="10"/>
  <c r="J33" i="10"/>
  <c r="H33" i="10"/>
  <c r="I33" i="10"/>
  <c r="F33" i="10"/>
  <c r="G33" i="10"/>
  <c r="D33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P31" i="10"/>
  <c r="O31" i="10"/>
  <c r="N31" i="10"/>
  <c r="M31" i="10"/>
  <c r="L31" i="10"/>
  <c r="J31" i="10"/>
  <c r="K31" i="10"/>
  <c r="H31" i="10"/>
  <c r="I31" i="10"/>
  <c r="F31" i="10"/>
  <c r="D31" i="10"/>
  <c r="E31" i="10"/>
  <c r="P30" i="10"/>
  <c r="O30" i="10"/>
  <c r="N30" i="10"/>
  <c r="M30" i="10"/>
  <c r="L30" i="10"/>
  <c r="J30" i="10"/>
  <c r="K30" i="10"/>
  <c r="H30" i="10"/>
  <c r="I30" i="10"/>
  <c r="G30" i="10"/>
  <c r="F30" i="10"/>
  <c r="E30" i="10"/>
  <c r="D30" i="10"/>
  <c r="P29" i="10"/>
  <c r="O29" i="10"/>
  <c r="N29" i="10"/>
  <c r="M29" i="10"/>
  <c r="L29" i="10"/>
  <c r="L21" i="10"/>
  <c r="J29" i="10"/>
  <c r="K29" i="10"/>
  <c r="H29" i="10"/>
  <c r="F29" i="10"/>
  <c r="G29" i="10"/>
  <c r="D29" i="10"/>
  <c r="D21" i="10"/>
  <c r="P28" i="10"/>
  <c r="O28" i="10"/>
  <c r="N28" i="10"/>
  <c r="M28" i="10"/>
  <c r="L28" i="10"/>
  <c r="J28" i="10"/>
  <c r="K28" i="10"/>
  <c r="I28" i="10"/>
  <c r="H28" i="10"/>
  <c r="G28" i="10"/>
  <c r="F28" i="10"/>
  <c r="D28" i="10"/>
  <c r="E28" i="10"/>
  <c r="P27" i="10"/>
  <c r="O27" i="10"/>
  <c r="N27" i="10"/>
  <c r="N21" i="10"/>
  <c r="M27" i="10"/>
  <c r="L27" i="10"/>
  <c r="K27" i="10"/>
  <c r="J27" i="10"/>
  <c r="H27" i="10"/>
  <c r="I27" i="10"/>
  <c r="F27" i="10"/>
  <c r="F21" i="10"/>
  <c r="D27" i="10"/>
  <c r="E27" i="10"/>
  <c r="P26" i="10"/>
  <c r="O26" i="10"/>
  <c r="N26" i="10"/>
  <c r="M26" i="10"/>
  <c r="L26" i="10"/>
  <c r="K26" i="10"/>
  <c r="J26" i="10"/>
  <c r="H26" i="10"/>
  <c r="I26" i="10"/>
  <c r="F26" i="10"/>
  <c r="G26" i="10"/>
  <c r="D26" i="10"/>
  <c r="E26" i="10"/>
  <c r="P25" i="10"/>
  <c r="P21" i="10"/>
  <c r="O25" i="10"/>
  <c r="N25" i="10"/>
  <c r="M25" i="10"/>
  <c r="L25" i="10"/>
  <c r="K25" i="10"/>
  <c r="J25" i="10"/>
  <c r="H25" i="10"/>
  <c r="H21" i="10"/>
  <c r="F25" i="10"/>
  <c r="G25" i="10"/>
  <c r="E25" i="10"/>
  <c r="D25" i="10"/>
  <c r="P24" i="10"/>
  <c r="O24" i="10"/>
  <c r="N24" i="10"/>
  <c r="M24" i="10"/>
  <c r="M21" i="10"/>
  <c r="L24" i="10"/>
  <c r="J24" i="10"/>
  <c r="K24" i="10"/>
  <c r="H24" i="10"/>
  <c r="I24" i="10"/>
  <c r="F24" i="10"/>
  <c r="G24" i="10"/>
  <c r="E24" i="10"/>
  <c r="D24" i="10"/>
  <c r="P23" i="10"/>
  <c r="O23" i="10"/>
  <c r="N23" i="10"/>
  <c r="M23" i="10"/>
  <c r="L23" i="10"/>
  <c r="J23" i="10"/>
  <c r="J21" i="10"/>
  <c r="H23" i="10"/>
  <c r="I23" i="10"/>
  <c r="G23" i="10"/>
  <c r="F23" i="10"/>
  <c r="E23" i="10"/>
  <c r="D23" i="10"/>
  <c r="O22" i="10"/>
  <c r="N22" i="10"/>
  <c r="M22" i="10"/>
  <c r="L22" i="10"/>
  <c r="J22" i="10"/>
  <c r="K22" i="10"/>
  <c r="H22" i="10"/>
  <c r="I22" i="10"/>
  <c r="G22" i="10"/>
  <c r="F22" i="10"/>
  <c r="E22" i="10"/>
  <c r="B27" i="21"/>
  <c r="M80" i="9"/>
  <c r="N80" i="9"/>
  <c r="O80" i="9"/>
  <c r="P80" i="9"/>
  <c r="M81" i="9"/>
  <c r="N81" i="9"/>
  <c r="O81" i="9"/>
  <c r="P81" i="9"/>
  <c r="M82" i="9"/>
  <c r="N82" i="9"/>
  <c r="O82" i="9"/>
  <c r="P82" i="9"/>
  <c r="M83" i="9"/>
  <c r="N83" i="9"/>
  <c r="O83" i="9"/>
  <c r="P83" i="9"/>
  <c r="M84" i="9"/>
  <c r="N84" i="9"/>
  <c r="O84" i="9"/>
  <c r="P84" i="9"/>
  <c r="M85" i="9"/>
  <c r="N85" i="9"/>
  <c r="O85" i="9"/>
  <c r="P85" i="9"/>
  <c r="M86" i="9"/>
  <c r="N86" i="9"/>
  <c r="O86" i="9"/>
  <c r="P86" i="9"/>
  <c r="M87" i="9"/>
  <c r="N87" i="9"/>
  <c r="O87" i="9"/>
  <c r="P87" i="9"/>
  <c r="M88" i="9"/>
  <c r="N88" i="9"/>
  <c r="O88" i="9"/>
  <c r="P88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M90" i="9"/>
  <c r="N90" i="9"/>
  <c r="O90" i="9"/>
  <c r="P90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M92" i="9"/>
  <c r="N92" i="9"/>
  <c r="O92" i="9"/>
  <c r="P92" i="9"/>
  <c r="L81" i="9"/>
  <c r="L82" i="9"/>
  <c r="L83" i="9"/>
  <c r="L84" i="9"/>
  <c r="L85" i="9"/>
  <c r="L86" i="9"/>
  <c r="L87" i="9"/>
  <c r="L88" i="9"/>
  <c r="L89" i="9"/>
  <c r="K89" i="9"/>
  <c r="L90" i="9"/>
  <c r="L91" i="9"/>
  <c r="L92" i="9"/>
  <c r="L80" i="9"/>
  <c r="K86" i="9"/>
  <c r="K85" i="9"/>
  <c r="J81" i="9"/>
  <c r="J82" i="9"/>
  <c r="J83" i="9"/>
  <c r="J84" i="9"/>
  <c r="J85" i="9"/>
  <c r="J86" i="9"/>
  <c r="J87" i="9"/>
  <c r="J88" i="9"/>
  <c r="J89" i="9"/>
  <c r="J90" i="9"/>
  <c r="J91" i="9"/>
  <c r="J92" i="9"/>
  <c r="J80" i="9"/>
  <c r="H81" i="9"/>
  <c r="H82" i="9"/>
  <c r="H83" i="9"/>
  <c r="I83" i="9"/>
  <c r="H84" i="9"/>
  <c r="I84" i="9"/>
  <c r="H85" i="9"/>
  <c r="H86" i="9"/>
  <c r="H87" i="9"/>
  <c r="H88" i="9"/>
  <c r="H89" i="9"/>
  <c r="H90" i="9"/>
  <c r="F81" i="16"/>
  <c r="H91" i="9"/>
  <c r="I91" i="9"/>
  <c r="H92" i="9"/>
  <c r="I92" i="9"/>
  <c r="H80" i="9"/>
  <c r="F81" i="9"/>
  <c r="F82" i="9"/>
  <c r="F83" i="9"/>
  <c r="F84" i="9"/>
  <c r="F85" i="9"/>
  <c r="F86" i="9"/>
  <c r="F87" i="9"/>
  <c r="G87" i="9"/>
  <c r="F88" i="9"/>
  <c r="F89" i="9"/>
  <c r="F90" i="9"/>
  <c r="F91" i="9"/>
  <c r="F92" i="9"/>
  <c r="F80" i="9"/>
  <c r="D81" i="9"/>
  <c r="D82" i="9"/>
  <c r="D83" i="9"/>
  <c r="D84" i="9"/>
  <c r="D85" i="9"/>
  <c r="D86" i="9"/>
  <c r="D87" i="9"/>
  <c r="D88" i="9"/>
  <c r="D89" i="9"/>
  <c r="D90" i="9"/>
  <c r="D91" i="9"/>
  <c r="D92" i="9"/>
  <c r="M65" i="9"/>
  <c r="N65" i="9"/>
  <c r="O65" i="9"/>
  <c r="M173" i="8"/>
  <c r="P65" i="9"/>
  <c r="M66" i="9"/>
  <c r="K112" i="18"/>
  <c r="N66" i="9"/>
  <c r="L112" i="18"/>
  <c r="O66" i="9"/>
  <c r="M112" i="18"/>
  <c r="P66" i="9"/>
  <c r="M67" i="9"/>
  <c r="N67" i="9"/>
  <c r="L175" i="8"/>
  <c r="O67" i="9"/>
  <c r="M175" i="8"/>
  <c r="P67" i="9"/>
  <c r="M68" i="9"/>
  <c r="K176" i="8"/>
  <c r="N68" i="9"/>
  <c r="L114" i="18"/>
  <c r="O68" i="9"/>
  <c r="M176" i="8"/>
  <c r="P68" i="9"/>
  <c r="M69" i="9"/>
  <c r="N69" i="9"/>
  <c r="O69" i="9"/>
  <c r="M115" i="18"/>
  <c r="P69" i="9"/>
  <c r="N115" i="18"/>
  <c r="M70" i="9"/>
  <c r="K178" i="8"/>
  <c r="N70" i="9"/>
  <c r="L116" i="18"/>
  <c r="O70" i="9"/>
  <c r="M116" i="18"/>
  <c r="P70" i="9"/>
  <c r="M71" i="9"/>
  <c r="N71" i="9"/>
  <c r="L179" i="8"/>
  <c r="O71" i="9"/>
  <c r="M179" i="8"/>
  <c r="P71" i="9"/>
  <c r="M72" i="9"/>
  <c r="K118" i="18"/>
  <c r="N72" i="9"/>
  <c r="L118" i="18"/>
  <c r="O72" i="9"/>
  <c r="M180" i="8"/>
  <c r="P72" i="9"/>
  <c r="M73" i="9"/>
  <c r="N73" i="9"/>
  <c r="O73" i="9"/>
  <c r="M119" i="18"/>
  <c r="P73" i="9"/>
  <c r="N119" i="18"/>
  <c r="M74" i="9"/>
  <c r="N74" i="9"/>
  <c r="O74" i="9"/>
  <c r="P74" i="9"/>
  <c r="M75" i="9"/>
  <c r="N75" i="9"/>
  <c r="O75" i="9"/>
  <c r="P75" i="9"/>
  <c r="M76" i="9"/>
  <c r="N76" i="9"/>
  <c r="O76" i="9"/>
  <c r="P76" i="9"/>
  <c r="M77" i="9"/>
  <c r="N77" i="9"/>
  <c r="O77" i="9"/>
  <c r="P77" i="9"/>
  <c r="M78" i="9"/>
  <c r="N78" i="9"/>
  <c r="O78" i="9"/>
  <c r="P78" i="9"/>
  <c r="L66" i="9"/>
  <c r="L67" i="9"/>
  <c r="J113" i="18"/>
  <c r="L68" i="9"/>
  <c r="J114" i="18"/>
  <c r="L69" i="9"/>
  <c r="L70" i="9"/>
  <c r="J178" i="8"/>
  <c r="L71" i="9"/>
  <c r="J117" i="18"/>
  <c r="L72" i="9"/>
  <c r="K72" i="9"/>
  <c r="I118" i="18"/>
  <c r="L73" i="9"/>
  <c r="J181" i="8"/>
  <c r="L74" i="9"/>
  <c r="L75" i="9"/>
  <c r="L76" i="9"/>
  <c r="K76" i="9"/>
  <c r="L77" i="9"/>
  <c r="L78" i="9"/>
  <c r="L65" i="9"/>
  <c r="J111" i="18"/>
  <c r="J66" i="9"/>
  <c r="H112" i="18"/>
  <c r="J67" i="9"/>
  <c r="J68" i="9"/>
  <c r="J69" i="9"/>
  <c r="H177" i="8"/>
  <c r="J70" i="9"/>
  <c r="H178" i="8"/>
  <c r="J71" i="9"/>
  <c r="H179" i="8"/>
  <c r="J72" i="9"/>
  <c r="H118" i="18"/>
  <c r="J73" i="9"/>
  <c r="H181" i="8"/>
  <c r="J74" i="9"/>
  <c r="K74" i="9"/>
  <c r="J75" i="9"/>
  <c r="J76" i="9"/>
  <c r="J77" i="9"/>
  <c r="J78" i="9"/>
  <c r="K78" i="9"/>
  <c r="J65" i="9"/>
  <c r="H111" i="18"/>
  <c r="H66" i="9"/>
  <c r="F112" i="18"/>
  <c r="H67" i="9"/>
  <c r="F175" i="8"/>
  <c r="H68" i="9"/>
  <c r="F114" i="18"/>
  <c r="H69" i="9"/>
  <c r="H70" i="9"/>
  <c r="H71" i="9"/>
  <c r="F117" i="18"/>
  <c r="H72" i="9"/>
  <c r="F118" i="18"/>
  <c r="H73" i="9"/>
  <c r="H74" i="9"/>
  <c r="H75" i="9"/>
  <c r="H76" i="9"/>
  <c r="I76" i="9"/>
  <c r="H77" i="9"/>
  <c r="H78" i="9"/>
  <c r="H65" i="9"/>
  <c r="F173" i="8"/>
  <c r="F66" i="9"/>
  <c r="D112" i="18"/>
  <c r="F67" i="9"/>
  <c r="F68" i="9"/>
  <c r="F69" i="9"/>
  <c r="E69" i="9"/>
  <c r="C177" i="8"/>
  <c r="F70" i="9"/>
  <c r="D116" i="18"/>
  <c r="F71" i="9"/>
  <c r="D179" i="8"/>
  <c r="F72" i="9"/>
  <c r="F73" i="9"/>
  <c r="D119" i="18"/>
  <c r="F74" i="9"/>
  <c r="G74" i="9"/>
  <c r="F75" i="9"/>
  <c r="F76" i="9"/>
  <c r="F77" i="9"/>
  <c r="G77" i="9"/>
  <c r="F78" i="9"/>
  <c r="F65" i="9"/>
  <c r="D66" i="9"/>
  <c r="D67" i="9"/>
  <c r="B175" i="8"/>
  <c r="D68" i="9"/>
  <c r="B176" i="8"/>
  <c r="D69" i="9"/>
  <c r="D70" i="9"/>
  <c r="B178" i="8"/>
  <c r="D71" i="9"/>
  <c r="B179" i="8"/>
  <c r="D72" i="9"/>
  <c r="B118" i="18"/>
  <c r="D73" i="9"/>
  <c r="D74" i="9"/>
  <c r="D75" i="9"/>
  <c r="B60" i="16"/>
  <c r="D76" i="9"/>
  <c r="E76" i="9"/>
  <c r="D77" i="9"/>
  <c r="D78" i="9"/>
  <c r="D65" i="9"/>
  <c r="B111" i="18"/>
  <c r="P51" i="9"/>
  <c r="N45" i="18"/>
  <c r="P52" i="9"/>
  <c r="P53" i="9"/>
  <c r="N125" i="8"/>
  <c r="P54" i="9"/>
  <c r="N48" i="18"/>
  <c r="P55" i="9"/>
  <c r="N49" i="18"/>
  <c r="P56" i="9"/>
  <c r="P57" i="9"/>
  <c r="N129" i="8"/>
  <c r="P58" i="9"/>
  <c r="N52" i="18"/>
  <c r="P59" i="9"/>
  <c r="N53" i="18"/>
  <c r="P60" i="9"/>
  <c r="P61" i="9"/>
  <c r="N152" i="8"/>
  <c r="P62" i="9"/>
  <c r="P63" i="9"/>
  <c r="O51" i="9"/>
  <c r="O52" i="9"/>
  <c r="M124" i="8"/>
  <c r="O53" i="9"/>
  <c r="M47" i="18"/>
  <c r="O54" i="9"/>
  <c r="M48" i="18"/>
  <c r="O55" i="9"/>
  <c r="O56" i="9"/>
  <c r="M128" i="8"/>
  <c r="O57" i="9"/>
  <c r="M51" i="18"/>
  <c r="O58" i="9"/>
  <c r="M130" i="8"/>
  <c r="O59" i="9"/>
  <c r="M53" i="18"/>
  <c r="O60" i="9"/>
  <c r="O61" i="9"/>
  <c r="O62" i="9"/>
  <c r="O63" i="9"/>
  <c r="N51" i="9"/>
  <c r="L123" i="8"/>
  <c r="N52" i="9"/>
  <c r="L46" i="18"/>
  <c r="N53" i="9"/>
  <c r="L125" i="8"/>
  <c r="N54" i="9"/>
  <c r="N55" i="9"/>
  <c r="L127" i="8"/>
  <c r="N56" i="9"/>
  <c r="L50" i="18"/>
  <c r="N57" i="9"/>
  <c r="L129" i="8"/>
  <c r="N58" i="9"/>
  <c r="L52" i="18"/>
  <c r="N59" i="9"/>
  <c r="L131" i="8"/>
  <c r="N60" i="9"/>
  <c r="N61" i="9"/>
  <c r="L152" i="8"/>
  <c r="N62" i="9"/>
  <c r="N63" i="9"/>
  <c r="M51" i="9"/>
  <c r="K45" i="18"/>
  <c r="M52" i="9"/>
  <c r="K124" i="8"/>
  <c r="M53" i="9"/>
  <c r="M54" i="9"/>
  <c r="M55" i="9"/>
  <c r="K127" i="8"/>
  <c r="M56" i="9"/>
  <c r="K50" i="18"/>
  <c r="M57" i="9"/>
  <c r="K51" i="18"/>
  <c r="M58" i="9"/>
  <c r="K52" i="18"/>
  <c r="M59" i="9"/>
  <c r="K131" i="8"/>
  <c r="M60" i="9"/>
  <c r="M61" i="9"/>
  <c r="M62" i="9"/>
  <c r="M63" i="9"/>
  <c r="L52" i="9"/>
  <c r="J46" i="18"/>
  <c r="L53" i="9"/>
  <c r="J47" i="18"/>
  <c r="L54" i="9"/>
  <c r="J126" i="8"/>
  <c r="L55" i="9"/>
  <c r="J49" i="18"/>
  <c r="L56" i="9"/>
  <c r="J50" i="18"/>
  <c r="L57" i="9"/>
  <c r="L58" i="9"/>
  <c r="L59" i="9"/>
  <c r="J131" i="8"/>
  <c r="L60" i="9"/>
  <c r="K60" i="9"/>
  <c r="L61" i="9"/>
  <c r="L62" i="9"/>
  <c r="L63" i="9"/>
  <c r="L51" i="9"/>
  <c r="J45" i="18"/>
  <c r="J52" i="9"/>
  <c r="J53" i="9"/>
  <c r="H125" i="8"/>
  <c r="J54" i="9"/>
  <c r="H48" i="18"/>
  <c r="J55" i="9"/>
  <c r="J56" i="9"/>
  <c r="J57" i="9"/>
  <c r="H51" i="18"/>
  <c r="J58" i="9"/>
  <c r="K58" i="9"/>
  <c r="I52" i="18"/>
  <c r="J59" i="9"/>
  <c r="H53" i="18"/>
  <c r="J60" i="9"/>
  <c r="J61" i="9"/>
  <c r="H152" i="8"/>
  <c r="J62" i="9"/>
  <c r="J63" i="9"/>
  <c r="I63" i="9"/>
  <c r="J51" i="9"/>
  <c r="H45" i="18"/>
  <c r="H52" i="9"/>
  <c r="H53" i="9"/>
  <c r="F125" i="8"/>
  <c r="H54" i="9"/>
  <c r="I54" i="9"/>
  <c r="G126" i="8"/>
  <c r="H55" i="9"/>
  <c r="H56" i="9"/>
  <c r="H57" i="9"/>
  <c r="F51" i="18"/>
  <c r="H58" i="9"/>
  <c r="H59" i="9"/>
  <c r="H60" i="9"/>
  <c r="H61" i="9"/>
  <c r="H62" i="9"/>
  <c r="H63" i="9"/>
  <c r="H51" i="9"/>
  <c r="F45" i="18"/>
  <c r="F52" i="9"/>
  <c r="D46" i="18"/>
  <c r="F53" i="9"/>
  <c r="F54" i="9"/>
  <c r="D48" i="18"/>
  <c r="F55" i="9"/>
  <c r="D49" i="18"/>
  <c r="F56" i="9"/>
  <c r="D128" i="8"/>
  <c r="F57" i="9"/>
  <c r="D51" i="18"/>
  <c r="F58" i="9"/>
  <c r="F59" i="9"/>
  <c r="D53" i="18"/>
  <c r="F60" i="9"/>
  <c r="F61" i="9"/>
  <c r="D152" i="8"/>
  <c r="F62" i="9"/>
  <c r="F63" i="9"/>
  <c r="F51" i="9"/>
  <c r="G51" i="9"/>
  <c r="E45" i="18"/>
  <c r="D52" i="9"/>
  <c r="B46" i="18"/>
  <c r="D53" i="9"/>
  <c r="B47" i="18"/>
  <c r="D54" i="9"/>
  <c r="D55" i="9"/>
  <c r="B49" i="18"/>
  <c r="D56" i="9"/>
  <c r="B50" i="18"/>
  <c r="D57" i="9"/>
  <c r="B51" i="18"/>
  <c r="D58" i="9"/>
  <c r="E58" i="9"/>
  <c r="C52" i="18"/>
  <c r="D59" i="9"/>
  <c r="D60" i="9"/>
  <c r="E60" i="9"/>
  <c r="D61" i="9"/>
  <c r="D62" i="9"/>
  <c r="D63" i="9"/>
  <c r="D51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N47" i="9"/>
  <c r="L42" i="8"/>
  <c r="O47" i="9"/>
  <c r="P47" i="9"/>
  <c r="N42" i="8"/>
  <c r="N48" i="9"/>
  <c r="O48" i="9"/>
  <c r="P48" i="9"/>
  <c r="N49" i="9"/>
  <c r="L44" i="8"/>
  <c r="O49" i="9"/>
  <c r="P49" i="9"/>
  <c r="M47" i="9"/>
  <c r="M48" i="9"/>
  <c r="M49" i="9"/>
  <c r="K44" i="8"/>
  <c r="M46" i="9"/>
  <c r="I46" i="9"/>
  <c r="E47" i="9"/>
  <c r="K42" i="8"/>
  <c r="K43" i="8"/>
  <c r="H47" i="9"/>
  <c r="F42" i="8"/>
  <c r="H48" i="9"/>
  <c r="F43" i="8"/>
  <c r="H49" i="9"/>
  <c r="I49" i="9"/>
  <c r="F47" i="9"/>
  <c r="F48" i="9"/>
  <c r="F49" i="9"/>
  <c r="D44" i="8"/>
  <c r="D48" i="9"/>
  <c r="D49" i="9"/>
  <c r="B44" i="8"/>
  <c r="L46" i="9"/>
  <c r="J46" i="9"/>
  <c r="H46" i="9"/>
  <c r="F46" i="9"/>
  <c r="G46" i="9"/>
  <c r="D46" i="9"/>
  <c r="E46" i="9"/>
  <c r="J47" i="9"/>
  <c r="L47" i="9"/>
  <c r="J42" i="8"/>
  <c r="M42" i="8"/>
  <c r="J48" i="9"/>
  <c r="H43" i="8"/>
  <c r="L48" i="9"/>
  <c r="J43" i="8"/>
  <c r="J49" i="9"/>
  <c r="L49" i="9"/>
  <c r="D37" i="9"/>
  <c r="M22" i="9"/>
  <c r="K68" i="8"/>
  <c r="N22" i="9"/>
  <c r="L68" i="8"/>
  <c r="O22" i="9"/>
  <c r="P22" i="9"/>
  <c r="N68" i="8"/>
  <c r="M23" i="9"/>
  <c r="N23" i="9"/>
  <c r="O23" i="9"/>
  <c r="M69" i="8"/>
  <c r="P23" i="9"/>
  <c r="M24" i="9"/>
  <c r="K70" i="8"/>
  <c r="N24" i="9"/>
  <c r="L70" i="8"/>
  <c r="O24" i="9"/>
  <c r="P24" i="9"/>
  <c r="N70" i="8"/>
  <c r="M25" i="9"/>
  <c r="K71" i="8"/>
  <c r="N25" i="9"/>
  <c r="L71" i="8"/>
  <c r="O25" i="9"/>
  <c r="P25" i="9"/>
  <c r="M26" i="9"/>
  <c r="K72" i="8"/>
  <c r="N26" i="9"/>
  <c r="L72" i="8"/>
  <c r="O26" i="9"/>
  <c r="P26" i="9"/>
  <c r="N72" i="8"/>
  <c r="M27" i="9"/>
  <c r="K73" i="8"/>
  <c r="N27" i="9"/>
  <c r="L73" i="8"/>
  <c r="O27" i="9"/>
  <c r="P27" i="9"/>
  <c r="M28" i="9"/>
  <c r="K74" i="8"/>
  <c r="N28" i="9"/>
  <c r="L74" i="8"/>
  <c r="O28" i="9"/>
  <c r="P28" i="9"/>
  <c r="M29" i="9"/>
  <c r="K75" i="8"/>
  <c r="N29" i="9"/>
  <c r="L75" i="8"/>
  <c r="O29" i="9"/>
  <c r="P29" i="9"/>
  <c r="M30" i="9"/>
  <c r="K76" i="8"/>
  <c r="N30" i="9"/>
  <c r="L76" i="8"/>
  <c r="O30" i="9"/>
  <c r="P30" i="9"/>
  <c r="N76" i="8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M32" i="9"/>
  <c r="N32" i="9"/>
  <c r="O32" i="9"/>
  <c r="P32" i="9"/>
  <c r="M33" i="9"/>
  <c r="N33" i="9"/>
  <c r="O33" i="9"/>
  <c r="P33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M35" i="9"/>
  <c r="N35" i="9"/>
  <c r="O35" i="9"/>
  <c r="M67" i="16"/>
  <c r="P35" i="9"/>
  <c r="L23" i="9"/>
  <c r="J69" i="8"/>
  <c r="L24" i="9"/>
  <c r="J70" i="8"/>
  <c r="L25" i="9"/>
  <c r="L26" i="9"/>
  <c r="J72" i="8"/>
  <c r="L27" i="9"/>
  <c r="L28" i="9"/>
  <c r="J74" i="8"/>
  <c r="L29" i="9"/>
  <c r="J75" i="8"/>
  <c r="L30" i="9"/>
  <c r="J76" i="8"/>
  <c r="L31" i="9"/>
  <c r="L32" i="9"/>
  <c r="L33" i="9"/>
  <c r="L34" i="9"/>
  <c r="L35" i="9"/>
  <c r="L22" i="9"/>
  <c r="J68" i="8"/>
  <c r="J23" i="9"/>
  <c r="H69" i="8"/>
  <c r="J24" i="9"/>
  <c r="J25" i="9"/>
  <c r="H71" i="8"/>
  <c r="J26" i="9"/>
  <c r="H72" i="8"/>
  <c r="J27" i="9"/>
  <c r="J28" i="9"/>
  <c r="H74" i="8"/>
  <c r="J29" i="9"/>
  <c r="K29" i="9"/>
  <c r="I75" i="8"/>
  <c r="J30" i="9"/>
  <c r="H76" i="8"/>
  <c r="J31" i="9"/>
  <c r="J32" i="9"/>
  <c r="J33" i="9"/>
  <c r="J34" i="9"/>
  <c r="J35" i="9"/>
  <c r="J22" i="9"/>
  <c r="H68" i="8"/>
  <c r="H23" i="9"/>
  <c r="I23" i="9"/>
  <c r="G69" i="8"/>
  <c r="H24" i="9"/>
  <c r="H25" i="9"/>
  <c r="H26" i="9"/>
  <c r="H27" i="9"/>
  <c r="H28" i="9"/>
  <c r="F74" i="8"/>
  <c r="H29" i="9"/>
  <c r="H30" i="9"/>
  <c r="F76" i="8"/>
  <c r="H31" i="9"/>
  <c r="I31" i="9"/>
  <c r="H32" i="9"/>
  <c r="H33" i="9"/>
  <c r="H34" i="9"/>
  <c r="H35" i="9"/>
  <c r="H22" i="9"/>
  <c r="F68" i="8"/>
  <c r="F23" i="9"/>
  <c r="F24" i="9"/>
  <c r="D70" i="8"/>
  <c r="F25" i="9"/>
  <c r="G25" i="9"/>
  <c r="E71" i="8"/>
  <c r="F26" i="9"/>
  <c r="F27" i="9"/>
  <c r="D73" i="8"/>
  <c r="F28" i="9"/>
  <c r="F29" i="9"/>
  <c r="F30" i="9"/>
  <c r="F31" i="9"/>
  <c r="F32" i="9"/>
  <c r="F33" i="9"/>
  <c r="F34" i="9"/>
  <c r="F35" i="9"/>
  <c r="F22" i="9"/>
  <c r="D23" i="9"/>
  <c r="B69" i="8"/>
  <c r="D24" i="9"/>
  <c r="D25" i="9"/>
  <c r="D26" i="9"/>
  <c r="D27" i="9"/>
  <c r="E27" i="9"/>
  <c r="C73" i="8"/>
  <c r="D28" i="9"/>
  <c r="D29" i="9"/>
  <c r="D30" i="9"/>
  <c r="D31" i="9"/>
  <c r="D32" i="9"/>
  <c r="D33" i="9"/>
  <c r="D34" i="9"/>
  <c r="D35" i="9"/>
  <c r="D22" i="9"/>
  <c r="B68" i="8"/>
  <c r="N69" i="8"/>
  <c r="B11" i="3"/>
  <c r="B44" i="3"/>
  <c r="N44" i="3"/>
  <c r="D111" i="18"/>
  <c r="K111" i="18"/>
  <c r="L111" i="18"/>
  <c r="N111" i="18"/>
  <c r="J112" i="18"/>
  <c r="N112" i="18"/>
  <c r="D113" i="18"/>
  <c r="H113" i="18"/>
  <c r="K113" i="18"/>
  <c r="N113" i="18"/>
  <c r="D114" i="18"/>
  <c r="H114" i="18"/>
  <c r="N114" i="18"/>
  <c r="F115" i="18"/>
  <c r="H115" i="18"/>
  <c r="J115" i="18"/>
  <c r="K115" i="18"/>
  <c r="L115" i="18"/>
  <c r="F116" i="18"/>
  <c r="J116" i="18"/>
  <c r="N116" i="18"/>
  <c r="D117" i="18"/>
  <c r="K117" i="18"/>
  <c r="L117" i="18"/>
  <c r="M117" i="18"/>
  <c r="N117" i="18"/>
  <c r="D118" i="18"/>
  <c r="M118" i="18"/>
  <c r="N118" i="18"/>
  <c r="K119" i="18"/>
  <c r="L119" i="18"/>
  <c r="B112" i="18"/>
  <c r="B115" i="18"/>
  <c r="B119" i="18"/>
  <c r="M45" i="18"/>
  <c r="F46" i="18"/>
  <c r="H46" i="18"/>
  <c r="K46" i="18"/>
  <c r="N46" i="18"/>
  <c r="H47" i="18"/>
  <c r="K47" i="18"/>
  <c r="N47" i="18"/>
  <c r="J48" i="18"/>
  <c r="K48" i="18"/>
  <c r="L48" i="18"/>
  <c r="F49" i="18"/>
  <c r="L49" i="18"/>
  <c r="M49" i="18"/>
  <c r="D50" i="18"/>
  <c r="F50" i="18"/>
  <c r="H50" i="18"/>
  <c r="M50" i="18"/>
  <c r="J51" i="18"/>
  <c r="D52" i="18"/>
  <c r="H52" i="18"/>
  <c r="J52" i="18"/>
  <c r="L53" i="18"/>
  <c r="B48" i="18"/>
  <c r="M37" i="9"/>
  <c r="N37" i="9"/>
  <c r="O37" i="9"/>
  <c r="P37" i="9"/>
  <c r="M38" i="9"/>
  <c r="N38" i="9"/>
  <c r="O38" i="9"/>
  <c r="P38" i="9"/>
  <c r="M39" i="9"/>
  <c r="N39" i="9"/>
  <c r="O39" i="9"/>
  <c r="P39" i="9"/>
  <c r="M40" i="9"/>
  <c r="N40" i="9"/>
  <c r="O40" i="9"/>
  <c r="P40" i="9"/>
  <c r="M41" i="9"/>
  <c r="N41" i="9"/>
  <c r="O41" i="9"/>
  <c r="P41" i="9"/>
  <c r="M42" i="9"/>
  <c r="N42" i="9"/>
  <c r="O42" i="9"/>
  <c r="P42" i="9"/>
  <c r="M43" i="9"/>
  <c r="N43" i="9"/>
  <c r="O43" i="9"/>
  <c r="P43" i="9"/>
  <c r="M44" i="9"/>
  <c r="N44" i="9"/>
  <c r="O44" i="9"/>
  <c r="P44" i="9"/>
  <c r="C44" i="9"/>
  <c r="M45" i="9"/>
  <c r="N45" i="9"/>
  <c r="O45" i="9"/>
  <c r="P45" i="9"/>
  <c r="L38" i="9"/>
  <c r="L39" i="9"/>
  <c r="L40" i="9"/>
  <c r="L41" i="9"/>
  <c r="L42" i="9"/>
  <c r="L43" i="9"/>
  <c r="L44" i="9"/>
  <c r="L45" i="9"/>
  <c r="L37" i="9"/>
  <c r="K37" i="9"/>
  <c r="K38" i="9"/>
  <c r="K39" i="9"/>
  <c r="K40" i="9"/>
  <c r="K41" i="9"/>
  <c r="K42" i="9"/>
  <c r="K43" i="9"/>
  <c r="K44" i="9"/>
  <c r="K45" i="9"/>
  <c r="J38" i="9"/>
  <c r="J39" i="9"/>
  <c r="I39" i="9"/>
  <c r="J40" i="9"/>
  <c r="J41" i="9"/>
  <c r="J42" i="9"/>
  <c r="J43" i="9"/>
  <c r="J44" i="9"/>
  <c r="J45" i="9"/>
  <c r="J37" i="9"/>
  <c r="H38" i="9"/>
  <c r="H39" i="9"/>
  <c r="H40" i="9"/>
  <c r="I40" i="9"/>
  <c r="H41" i="9"/>
  <c r="H42" i="9"/>
  <c r="H43" i="9"/>
  <c r="H44" i="9"/>
  <c r="H45" i="9"/>
  <c r="H37" i="9"/>
  <c r="F38" i="9"/>
  <c r="F39" i="9"/>
  <c r="F40" i="9"/>
  <c r="F41" i="9"/>
  <c r="G41" i="9"/>
  <c r="F42" i="9"/>
  <c r="F43" i="9"/>
  <c r="F44" i="9"/>
  <c r="F45" i="9"/>
  <c r="F37" i="9"/>
  <c r="D38" i="9"/>
  <c r="D39" i="9"/>
  <c r="D40" i="9"/>
  <c r="D41" i="9"/>
  <c r="D42" i="9"/>
  <c r="D43" i="9"/>
  <c r="D44" i="9"/>
  <c r="D45" i="9"/>
  <c r="C3" i="17"/>
  <c r="C69" i="17"/>
  <c r="D69" i="17"/>
  <c r="F69" i="17"/>
  <c r="N69" i="17"/>
  <c r="E71" i="17"/>
  <c r="F71" i="17"/>
  <c r="M71" i="17"/>
  <c r="C72" i="17"/>
  <c r="E72" i="17"/>
  <c r="L73" i="17"/>
  <c r="AE16" i="9"/>
  <c r="AF16" i="9"/>
  <c r="AG16" i="9"/>
  <c r="AH16" i="9"/>
  <c r="AI16" i="9"/>
  <c r="AJ16" i="9"/>
  <c r="AK16" i="9"/>
  <c r="AL16" i="9"/>
  <c r="AM16" i="9"/>
  <c r="AN16" i="9"/>
  <c r="N146" i="8"/>
  <c r="K152" i="8"/>
  <c r="M152" i="8"/>
  <c r="D153" i="8"/>
  <c r="J153" i="8"/>
  <c r="K153" i="8"/>
  <c r="B153" i="8"/>
  <c r="B147" i="8"/>
  <c r="B146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B152" i="8"/>
  <c r="D42" i="8"/>
  <c r="B42" i="8"/>
  <c r="C38" i="8"/>
  <c r="D38" i="8"/>
  <c r="E38" i="8"/>
  <c r="F38" i="8"/>
  <c r="G38" i="8"/>
  <c r="H38" i="8"/>
  <c r="I38" i="8"/>
  <c r="J38" i="8"/>
  <c r="K38" i="8"/>
  <c r="L38" i="8"/>
  <c r="M38" i="8"/>
  <c r="N38" i="8"/>
  <c r="C39" i="8"/>
  <c r="D39" i="8"/>
  <c r="E39" i="8"/>
  <c r="F39" i="8"/>
  <c r="G39" i="8"/>
  <c r="H39" i="8"/>
  <c r="I39" i="8"/>
  <c r="J39" i="8"/>
  <c r="K39" i="8"/>
  <c r="L39" i="8"/>
  <c r="M39" i="8"/>
  <c r="N39" i="8"/>
  <c r="C40" i="8"/>
  <c r="D40" i="8"/>
  <c r="E40" i="8"/>
  <c r="F40" i="8"/>
  <c r="G40" i="8"/>
  <c r="H40" i="8"/>
  <c r="I40" i="8"/>
  <c r="J40" i="8"/>
  <c r="K40" i="8"/>
  <c r="L40" i="8"/>
  <c r="M40" i="8"/>
  <c r="N40" i="8"/>
  <c r="B39" i="8"/>
  <c r="B40" i="8"/>
  <c r="B38" i="8"/>
  <c r="D3" i="17"/>
  <c r="E3" i="17"/>
  <c r="F3" i="17"/>
  <c r="G3" i="17"/>
  <c r="H3" i="17"/>
  <c r="I3" i="17"/>
  <c r="J3" i="17"/>
  <c r="K3" i="17"/>
  <c r="L3" i="17"/>
  <c r="M3" i="17"/>
  <c r="N3" i="17"/>
  <c r="O3" i="17"/>
  <c r="O38" i="2"/>
  <c r="C3" i="16"/>
  <c r="D3" i="16"/>
  <c r="E3" i="16"/>
  <c r="F3" i="16"/>
  <c r="G3" i="16"/>
  <c r="H3" i="16"/>
  <c r="I3" i="16"/>
  <c r="J3" i="16"/>
  <c r="K3" i="16"/>
  <c r="L3" i="16"/>
  <c r="M3" i="16"/>
  <c r="N3" i="16"/>
  <c r="B3" i="16"/>
  <c r="L78" i="16"/>
  <c r="M59" i="16"/>
  <c r="F64" i="16"/>
  <c r="M70" i="16"/>
  <c r="L74" i="16"/>
  <c r="F79" i="16"/>
  <c r="J81" i="16"/>
  <c r="H83" i="16"/>
  <c r="C2" i="16"/>
  <c r="D2" i="16"/>
  <c r="E2" i="16"/>
  <c r="F2" i="16"/>
  <c r="G2" i="16"/>
  <c r="H2" i="16"/>
  <c r="I2" i="16"/>
  <c r="J2" i="16"/>
  <c r="K2" i="16"/>
  <c r="L2" i="16"/>
  <c r="M2" i="16"/>
  <c r="N2" i="16"/>
  <c r="C4" i="16"/>
  <c r="D4" i="16"/>
  <c r="E4" i="16"/>
  <c r="F4" i="16"/>
  <c r="G4" i="16"/>
  <c r="H4" i="16"/>
  <c r="I4" i="16"/>
  <c r="J4" i="16"/>
  <c r="K4" i="16"/>
  <c r="L4" i="16"/>
  <c r="M4" i="16"/>
  <c r="N4" i="16"/>
  <c r="C5" i="16"/>
  <c r="D5" i="16"/>
  <c r="E5" i="16"/>
  <c r="F5" i="16"/>
  <c r="G5" i="16"/>
  <c r="H5" i="16"/>
  <c r="I5" i="16"/>
  <c r="J5" i="16"/>
  <c r="K5" i="16"/>
  <c r="L5" i="16"/>
  <c r="M5" i="16"/>
  <c r="N5" i="16"/>
  <c r="C6" i="16"/>
  <c r="D6" i="16"/>
  <c r="E6" i="16"/>
  <c r="F6" i="16"/>
  <c r="G6" i="16"/>
  <c r="H6" i="16"/>
  <c r="I6" i="16"/>
  <c r="J6" i="16"/>
  <c r="K6" i="16"/>
  <c r="L6" i="16"/>
  <c r="M6" i="16"/>
  <c r="N6" i="16"/>
  <c r="C7" i="16"/>
  <c r="D7" i="16"/>
  <c r="E7" i="16"/>
  <c r="F7" i="16"/>
  <c r="G7" i="16"/>
  <c r="H7" i="16"/>
  <c r="I7" i="16"/>
  <c r="J7" i="16"/>
  <c r="K7" i="16"/>
  <c r="L7" i="16"/>
  <c r="M7" i="16"/>
  <c r="N7" i="16"/>
  <c r="C8" i="16"/>
  <c r="D8" i="16"/>
  <c r="E8" i="16"/>
  <c r="F8" i="16"/>
  <c r="G8" i="16"/>
  <c r="H8" i="16"/>
  <c r="I8" i="16"/>
  <c r="J8" i="16"/>
  <c r="K8" i="16"/>
  <c r="L8" i="16"/>
  <c r="M8" i="16"/>
  <c r="N8" i="16"/>
  <c r="C9" i="16"/>
  <c r="D9" i="16"/>
  <c r="E9" i="16"/>
  <c r="F9" i="16"/>
  <c r="G9" i="16"/>
  <c r="H9" i="16"/>
  <c r="I9" i="16"/>
  <c r="J9" i="16"/>
  <c r="K9" i="16"/>
  <c r="L9" i="16"/>
  <c r="M9" i="16"/>
  <c r="N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B26" i="16"/>
  <c r="B27" i="16"/>
  <c r="B25" i="16"/>
  <c r="B24" i="16"/>
  <c r="B23" i="16"/>
  <c r="B22" i="16"/>
  <c r="B21" i="16"/>
  <c r="B20" i="16"/>
  <c r="B19" i="16"/>
  <c r="B18" i="16"/>
  <c r="B16" i="16"/>
  <c r="B17" i="16"/>
  <c r="B15" i="16"/>
  <c r="B14" i="16"/>
  <c r="B13" i="16"/>
  <c r="B12" i="16"/>
  <c r="B11" i="16"/>
  <c r="B10" i="16"/>
  <c r="B9" i="16"/>
  <c r="B8" i="16"/>
  <c r="B7" i="16"/>
  <c r="B6" i="16"/>
  <c r="B5" i="16"/>
  <c r="B2" i="16"/>
  <c r="D173" i="8"/>
  <c r="H173" i="8"/>
  <c r="K173" i="8"/>
  <c r="L173" i="8"/>
  <c r="N173" i="8"/>
  <c r="F174" i="8"/>
  <c r="J174" i="8"/>
  <c r="N174" i="8"/>
  <c r="D175" i="8"/>
  <c r="H175" i="8"/>
  <c r="K175" i="8"/>
  <c r="N175" i="8"/>
  <c r="H176" i="8"/>
  <c r="N176" i="8"/>
  <c r="F177" i="8"/>
  <c r="J177" i="8"/>
  <c r="K177" i="8"/>
  <c r="L177" i="8"/>
  <c r="N177" i="8"/>
  <c r="F178" i="8"/>
  <c r="N178" i="8"/>
  <c r="F179" i="8"/>
  <c r="K179" i="8"/>
  <c r="N179" i="8"/>
  <c r="D180" i="8"/>
  <c r="H180" i="8"/>
  <c r="N180" i="8"/>
  <c r="K181" i="8"/>
  <c r="L181" i="8"/>
  <c r="M181" i="8"/>
  <c r="N181" i="8"/>
  <c r="B174" i="8"/>
  <c r="B177" i="8"/>
  <c r="B180" i="8"/>
  <c r="B181" i="8"/>
  <c r="F123" i="8"/>
  <c r="H123" i="8"/>
  <c r="M123" i="8"/>
  <c r="N123" i="8"/>
  <c r="D124" i="8"/>
  <c r="F124" i="8"/>
  <c r="H124" i="8"/>
  <c r="N124" i="8"/>
  <c r="K125" i="8"/>
  <c r="M125" i="8"/>
  <c r="D126" i="8"/>
  <c r="K126" i="8"/>
  <c r="L126" i="8"/>
  <c r="D127" i="8"/>
  <c r="F127" i="8"/>
  <c r="J127" i="8"/>
  <c r="M127" i="8"/>
  <c r="F128" i="8"/>
  <c r="H128" i="8"/>
  <c r="L128" i="8"/>
  <c r="D129" i="8"/>
  <c r="J129" i="8"/>
  <c r="K129" i="8"/>
  <c r="M129" i="8"/>
  <c r="D130" i="8"/>
  <c r="J130" i="8"/>
  <c r="K130" i="8"/>
  <c r="L130" i="8"/>
  <c r="M131" i="8"/>
  <c r="B126" i="8"/>
  <c r="B127" i="8"/>
  <c r="B92" i="8"/>
  <c r="D68" i="8"/>
  <c r="M68" i="8"/>
  <c r="D69" i="8"/>
  <c r="F70" i="8"/>
  <c r="H70" i="8"/>
  <c r="M70" i="8"/>
  <c r="J71" i="8"/>
  <c r="M71" i="8"/>
  <c r="D72" i="8"/>
  <c r="F72" i="8"/>
  <c r="M72" i="8"/>
  <c r="H73" i="8"/>
  <c r="J73" i="8"/>
  <c r="M73" i="8"/>
  <c r="D74" i="8"/>
  <c r="M74" i="8"/>
  <c r="N74" i="8"/>
  <c r="H75" i="8"/>
  <c r="M75" i="8"/>
  <c r="M76" i="8"/>
  <c r="B70" i="8"/>
  <c r="B71" i="8"/>
  <c r="B72" i="8"/>
  <c r="B75" i="8"/>
  <c r="Q88" i="12"/>
  <c r="T95" i="12"/>
  <c r="T101" i="12"/>
  <c r="S103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N114" i="12"/>
  <c r="BO114" i="12"/>
  <c r="BP114" i="12"/>
  <c r="BQ114" i="12"/>
  <c r="Q121" i="12"/>
  <c r="Q123" i="12"/>
  <c r="Q209" i="12"/>
  <c r="Q124" i="12"/>
  <c r="R124" i="12"/>
  <c r="S124" i="12"/>
  <c r="T124" i="12"/>
  <c r="U124" i="12"/>
  <c r="U210" i="12"/>
  <c r="V124" i="12"/>
  <c r="W124" i="12"/>
  <c r="X124" i="12"/>
  <c r="Y124" i="12"/>
  <c r="Z124" i="12"/>
  <c r="AA124" i="12"/>
  <c r="AB124" i="12"/>
  <c r="AC124" i="12"/>
  <c r="AC210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N124" i="12"/>
  <c r="BO124" i="12"/>
  <c r="BP124" i="12"/>
  <c r="BQ124" i="12"/>
  <c r="Q125" i="12"/>
  <c r="Q127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N144" i="12"/>
  <c r="BO144" i="12"/>
  <c r="BP144" i="12"/>
  <c r="BQ144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N153" i="12"/>
  <c r="BO153" i="12"/>
  <c r="BP153" i="12"/>
  <c r="BQ153" i="12"/>
  <c r="R155" i="12"/>
  <c r="R241" i="12"/>
  <c r="R162" i="12"/>
  <c r="S162" i="12"/>
  <c r="T162" i="12"/>
  <c r="T248" i="12"/>
  <c r="U162" i="12"/>
  <c r="V162" i="12"/>
  <c r="W162" i="12"/>
  <c r="X162" i="12"/>
  <c r="Y162" i="12"/>
  <c r="Z162" i="12"/>
  <c r="AA162" i="12"/>
  <c r="AB162" i="12"/>
  <c r="AB248" i="12"/>
  <c r="AC162" i="12"/>
  <c r="AD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N162" i="12"/>
  <c r="BO162" i="12"/>
  <c r="BP162" i="12"/>
  <c r="BQ162" i="12"/>
  <c r="Q165" i="12"/>
  <c r="R172" i="12"/>
  <c r="R258" i="12"/>
  <c r="S172" i="12"/>
  <c r="S258" i="12"/>
  <c r="T172" i="12"/>
  <c r="U172" i="12"/>
  <c r="V172" i="12"/>
  <c r="W172" i="12"/>
  <c r="X172" i="12"/>
  <c r="Y172" i="12"/>
  <c r="Z172" i="12"/>
  <c r="Z258" i="12"/>
  <c r="AA172" i="12"/>
  <c r="AA258" i="12"/>
  <c r="AB172" i="12"/>
  <c r="AC172" i="12"/>
  <c r="AD172" i="12"/>
  <c r="AE172" i="12"/>
  <c r="AF172" i="12"/>
  <c r="AG172" i="12"/>
  <c r="AH172" i="12"/>
  <c r="AH258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BO172" i="12"/>
  <c r="BP172" i="12"/>
  <c r="BQ172" i="12"/>
  <c r="Q181" i="12"/>
  <c r="S186" i="12"/>
  <c r="S182" i="12"/>
  <c r="S183" i="12"/>
  <c r="S184" i="12"/>
  <c r="S185" i="12"/>
  <c r="I197" i="12"/>
  <c r="K197" i="12"/>
  <c r="M197" i="12"/>
  <c r="O197" i="12"/>
  <c r="Q197" i="12"/>
  <c r="I198" i="12"/>
  <c r="K198" i="12"/>
  <c r="M198" i="12"/>
  <c r="O198" i="12"/>
  <c r="Q198" i="12"/>
  <c r="I199" i="12"/>
  <c r="K199" i="12"/>
  <c r="M199" i="12"/>
  <c r="O199" i="12"/>
  <c r="Q199" i="12"/>
  <c r="I200" i="12"/>
  <c r="K200" i="12"/>
  <c r="M200" i="12"/>
  <c r="O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I201" i="12"/>
  <c r="K201" i="12"/>
  <c r="M201" i="12"/>
  <c r="O201" i="12"/>
  <c r="Q201" i="12"/>
  <c r="I202" i="12"/>
  <c r="K202" i="12"/>
  <c r="M202" i="12"/>
  <c r="O202" i="12"/>
  <c r="Q202" i="12"/>
  <c r="R202" i="12"/>
  <c r="S202" i="12"/>
  <c r="T202" i="12"/>
  <c r="U202" i="12"/>
  <c r="V202" i="12"/>
  <c r="I203" i="12"/>
  <c r="K203" i="12"/>
  <c r="M203" i="12"/>
  <c r="O203" i="12"/>
  <c r="Q203" i="12"/>
  <c r="I204" i="12"/>
  <c r="K204" i="12"/>
  <c r="M204" i="12"/>
  <c r="O204" i="12"/>
  <c r="Q204" i="12"/>
  <c r="R204" i="12"/>
  <c r="S204" i="12"/>
  <c r="T204" i="12"/>
  <c r="I206" i="12"/>
  <c r="K206" i="12"/>
  <c r="M206" i="12"/>
  <c r="O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I207" i="12"/>
  <c r="K207" i="12"/>
  <c r="M207" i="12"/>
  <c r="O207" i="12"/>
  <c r="Q207" i="12"/>
  <c r="I208" i="12"/>
  <c r="K208" i="12"/>
  <c r="M208" i="12"/>
  <c r="O208" i="12"/>
  <c r="I209" i="12"/>
  <c r="K209" i="12"/>
  <c r="M209" i="12"/>
  <c r="O209" i="12"/>
  <c r="I210" i="12"/>
  <c r="K210" i="12"/>
  <c r="M210" i="12"/>
  <c r="O210" i="12"/>
  <c r="Q210" i="12"/>
  <c r="R210" i="12"/>
  <c r="S210" i="12"/>
  <c r="T210" i="12"/>
  <c r="V210" i="12"/>
  <c r="W210" i="12"/>
  <c r="X210" i="12"/>
  <c r="Y210" i="12"/>
  <c r="Z210" i="12"/>
  <c r="AA210" i="12"/>
  <c r="AB210" i="12"/>
  <c r="AD210" i="12"/>
  <c r="AE210" i="12"/>
  <c r="AF210" i="12"/>
  <c r="AG210" i="12"/>
  <c r="AH210" i="12"/>
  <c r="I211" i="12"/>
  <c r="K211" i="12"/>
  <c r="M211" i="12"/>
  <c r="O211" i="12"/>
  <c r="Q211" i="12"/>
  <c r="I212" i="12"/>
  <c r="K212" i="12"/>
  <c r="M212" i="12"/>
  <c r="O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I213" i="12"/>
  <c r="K213" i="12"/>
  <c r="M213" i="12"/>
  <c r="O213" i="12"/>
  <c r="Q213" i="12"/>
  <c r="I214" i="12"/>
  <c r="K214" i="12"/>
  <c r="M214" i="12"/>
  <c r="O214" i="12"/>
  <c r="Q214" i="12"/>
  <c r="I216" i="12"/>
  <c r="K216" i="12"/>
  <c r="M216" i="12"/>
  <c r="O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I217" i="12"/>
  <c r="K217" i="12"/>
  <c r="M217" i="12"/>
  <c r="O217" i="12"/>
  <c r="Q217" i="12"/>
  <c r="I218" i="12"/>
  <c r="K218" i="12"/>
  <c r="M218" i="12"/>
  <c r="O218" i="12"/>
  <c r="Q218" i="12"/>
  <c r="I219" i="12"/>
  <c r="K219" i="12"/>
  <c r="M219" i="12"/>
  <c r="O219" i="12"/>
  <c r="Q219" i="12"/>
  <c r="I220" i="12"/>
  <c r="K220" i="12"/>
  <c r="M220" i="12"/>
  <c r="O220" i="12"/>
  <c r="Q220" i="12"/>
  <c r="I221" i="12"/>
  <c r="K221" i="12"/>
  <c r="M221" i="12"/>
  <c r="O221" i="12"/>
  <c r="Q221" i="12"/>
  <c r="I222" i="12"/>
  <c r="K222" i="12"/>
  <c r="M222" i="12"/>
  <c r="O222" i="12"/>
  <c r="Q222" i="12"/>
  <c r="I223" i="12"/>
  <c r="K223" i="12"/>
  <c r="M223" i="12"/>
  <c r="O223" i="12"/>
  <c r="Q223" i="12"/>
  <c r="I225" i="12"/>
  <c r="K225" i="12"/>
  <c r="M225" i="12"/>
  <c r="O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I226" i="12"/>
  <c r="K226" i="12"/>
  <c r="M226" i="12"/>
  <c r="O226" i="12"/>
  <c r="Q226" i="12"/>
  <c r="I227" i="12"/>
  <c r="K227" i="12"/>
  <c r="M227" i="12"/>
  <c r="O227" i="12"/>
  <c r="Q227" i="12"/>
  <c r="I228" i="12"/>
  <c r="K228" i="12"/>
  <c r="M228" i="12"/>
  <c r="O228" i="12"/>
  <c r="Q228" i="12"/>
  <c r="I229" i="12"/>
  <c r="K229" i="12"/>
  <c r="M229" i="12"/>
  <c r="O229" i="12"/>
  <c r="Q229" i="12"/>
  <c r="I230" i="12"/>
  <c r="K230" i="12"/>
  <c r="M230" i="12"/>
  <c r="O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I231" i="12"/>
  <c r="K231" i="12"/>
  <c r="M231" i="12"/>
  <c r="O231" i="12"/>
  <c r="Q231" i="12"/>
  <c r="I232" i="12"/>
  <c r="K232" i="12"/>
  <c r="M232" i="12"/>
  <c r="O232" i="12"/>
  <c r="Q232" i="12"/>
  <c r="I234" i="12"/>
  <c r="K234" i="12"/>
  <c r="M234" i="12"/>
  <c r="O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I235" i="12"/>
  <c r="K235" i="12"/>
  <c r="M235" i="12"/>
  <c r="O235" i="12"/>
  <c r="Q235" i="12"/>
  <c r="I236" i="12"/>
  <c r="K236" i="12"/>
  <c r="M236" i="12"/>
  <c r="O236" i="12"/>
  <c r="Q236" i="12"/>
  <c r="I237" i="12"/>
  <c r="K237" i="12"/>
  <c r="M237" i="12"/>
  <c r="O237" i="12"/>
  <c r="Q237" i="12"/>
  <c r="I238" i="12"/>
  <c r="K238" i="12"/>
  <c r="M238" i="12"/>
  <c r="O238" i="12"/>
  <c r="Q238" i="12"/>
  <c r="I239" i="12"/>
  <c r="K239" i="12"/>
  <c r="M239" i="12"/>
  <c r="O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I240" i="12"/>
  <c r="K240" i="12"/>
  <c r="M240" i="12"/>
  <c r="O240" i="12"/>
  <c r="Q240" i="12"/>
  <c r="I241" i="12"/>
  <c r="K241" i="12"/>
  <c r="M241" i="12"/>
  <c r="O241" i="12"/>
  <c r="Q241" i="12"/>
  <c r="I242" i="12"/>
  <c r="K242" i="12"/>
  <c r="M242" i="12"/>
  <c r="O242" i="12"/>
  <c r="Q242" i="12"/>
  <c r="I244" i="12"/>
  <c r="K244" i="12"/>
  <c r="M244" i="12"/>
  <c r="O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I245" i="12"/>
  <c r="K245" i="12"/>
  <c r="M245" i="12"/>
  <c r="O245" i="12"/>
  <c r="Q245" i="12"/>
  <c r="I246" i="12"/>
  <c r="K246" i="12"/>
  <c r="M246" i="12"/>
  <c r="O246" i="12"/>
  <c r="Q246" i="12"/>
  <c r="I247" i="12"/>
  <c r="K247" i="12"/>
  <c r="M247" i="12"/>
  <c r="O247" i="12"/>
  <c r="Q247" i="12"/>
  <c r="I248" i="12"/>
  <c r="K248" i="12"/>
  <c r="M248" i="12"/>
  <c r="O248" i="12"/>
  <c r="Q248" i="12"/>
  <c r="R248" i="12"/>
  <c r="S248" i="12"/>
  <c r="U248" i="12"/>
  <c r="V248" i="12"/>
  <c r="W248" i="12"/>
  <c r="X248" i="12"/>
  <c r="Y248" i="12"/>
  <c r="Z248" i="12"/>
  <c r="AA248" i="12"/>
  <c r="AC248" i="12"/>
  <c r="AD248" i="12"/>
  <c r="AE248" i="12"/>
  <c r="AF248" i="12"/>
  <c r="AG248" i="12"/>
  <c r="AH248" i="12"/>
  <c r="I249" i="12"/>
  <c r="K249" i="12"/>
  <c r="M249" i="12"/>
  <c r="O249" i="12"/>
  <c r="Q249" i="12"/>
  <c r="I250" i="12"/>
  <c r="K250" i="12"/>
  <c r="M250" i="12"/>
  <c r="O250" i="12"/>
  <c r="Q250" i="12"/>
  <c r="I251" i="12"/>
  <c r="K251" i="12"/>
  <c r="M251" i="12"/>
  <c r="O251" i="12"/>
  <c r="Q251" i="12"/>
  <c r="I253" i="12"/>
  <c r="K253" i="12"/>
  <c r="M253" i="12"/>
  <c r="O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I254" i="12"/>
  <c r="K254" i="12"/>
  <c r="M254" i="12"/>
  <c r="O254" i="12"/>
  <c r="Q254" i="12"/>
  <c r="I255" i="12"/>
  <c r="K255" i="12"/>
  <c r="M255" i="12"/>
  <c r="O255" i="12"/>
  <c r="Q255" i="12"/>
  <c r="I256" i="12"/>
  <c r="K256" i="12"/>
  <c r="M256" i="12"/>
  <c r="O256" i="12"/>
  <c r="Q256" i="12"/>
  <c r="I257" i="12"/>
  <c r="K257" i="12"/>
  <c r="M257" i="12"/>
  <c r="O257" i="12"/>
  <c r="Q257" i="12"/>
  <c r="I258" i="12"/>
  <c r="K258" i="12"/>
  <c r="M258" i="12"/>
  <c r="O258" i="12"/>
  <c r="Q258" i="12"/>
  <c r="T258" i="12"/>
  <c r="U258" i="12"/>
  <c r="V258" i="12"/>
  <c r="W258" i="12"/>
  <c r="X258" i="12"/>
  <c r="Y258" i="12"/>
  <c r="AB258" i="12"/>
  <c r="AC258" i="12"/>
  <c r="AD258" i="12"/>
  <c r="AE258" i="12"/>
  <c r="AF258" i="12"/>
  <c r="AG258" i="12"/>
  <c r="I259" i="12"/>
  <c r="K259" i="12"/>
  <c r="M259" i="12"/>
  <c r="O259" i="12"/>
  <c r="Q259" i="12"/>
  <c r="I260" i="12"/>
  <c r="K260" i="12"/>
  <c r="M260" i="12"/>
  <c r="O260" i="12"/>
  <c r="Q260" i="12"/>
  <c r="G86" i="12"/>
  <c r="M86" i="12"/>
  <c r="O86" i="12"/>
  <c r="R84" i="12"/>
  <c r="S84" i="12"/>
  <c r="T84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O81" i="12"/>
  <c r="BP81" i="12"/>
  <c r="BQ81" i="12"/>
  <c r="R79" i="12"/>
  <c r="S79" i="12"/>
  <c r="T79" i="12"/>
  <c r="G75" i="12"/>
  <c r="M75" i="12"/>
  <c r="G61" i="12"/>
  <c r="G64" i="12"/>
  <c r="M64" i="12"/>
  <c r="O64" i="12"/>
  <c r="Q64" i="12"/>
  <c r="R64" i="12"/>
  <c r="S64" i="12"/>
  <c r="T64" i="12"/>
  <c r="S68" i="12"/>
  <c r="G70" i="12"/>
  <c r="M70" i="12"/>
  <c r="O70" i="12"/>
  <c r="Q70" i="12"/>
  <c r="Q122" i="12"/>
  <c r="Q208" i="12"/>
  <c r="R70" i="12"/>
  <c r="S70" i="12"/>
  <c r="T70" i="12"/>
  <c r="R72" i="12"/>
  <c r="R170" i="12"/>
  <c r="R256" i="12"/>
  <c r="I17" i="12"/>
  <c r="J17" i="12"/>
  <c r="K17" i="12"/>
  <c r="L17" i="12"/>
  <c r="M17" i="12"/>
  <c r="N17" i="12"/>
  <c r="O17" i="12"/>
  <c r="P17" i="12"/>
  <c r="Q17" i="12"/>
  <c r="Q25" i="12"/>
  <c r="R17" i="12"/>
  <c r="S17" i="12"/>
  <c r="T17" i="12"/>
  <c r="U17" i="12"/>
  <c r="V17" i="12"/>
  <c r="W17" i="12"/>
  <c r="X17" i="12"/>
  <c r="Y17" i="12"/>
  <c r="Y25" i="12"/>
  <c r="Z17" i="12"/>
  <c r="AA17" i="12"/>
  <c r="AB17" i="12"/>
  <c r="AC17" i="12"/>
  <c r="AD17" i="12"/>
  <c r="AE17" i="12"/>
  <c r="AF17" i="12"/>
  <c r="AG17" i="12"/>
  <c r="AG25" i="12"/>
  <c r="AH17" i="12"/>
  <c r="AI17" i="12"/>
  <c r="AJ17" i="12"/>
  <c r="AK17" i="12"/>
  <c r="AL17" i="12"/>
  <c r="AM17" i="12"/>
  <c r="AN17" i="12"/>
  <c r="AO17" i="12"/>
  <c r="AO25" i="12"/>
  <c r="AP17" i="12"/>
  <c r="AQ17" i="12"/>
  <c r="AR17" i="12"/>
  <c r="AS17" i="12"/>
  <c r="AT17" i="12"/>
  <c r="AU17" i="12"/>
  <c r="AV17" i="12"/>
  <c r="AW17" i="12"/>
  <c r="AW25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X25" i="12"/>
  <c r="Y18" i="12"/>
  <c r="Z18" i="12"/>
  <c r="AA18" i="12"/>
  <c r="AB18" i="12"/>
  <c r="AC18" i="12"/>
  <c r="AD18" i="12"/>
  <c r="AE18" i="12"/>
  <c r="AF18" i="12"/>
  <c r="AF25" i="12"/>
  <c r="AG18" i="12"/>
  <c r="AH18" i="12"/>
  <c r="AI18" i="12"/>
  <c r="AJ18" i="12"/>
  <c r="AK18" i="12"/>
  <c r="AL18" i="12"/>
  <c r="AM18" i="12"/>
  <c r="AN18" i="12"/>
  <c r="AN25" i="12"/>
  <c r="AO18" i="12"/>
  <c r="AP18" i="12"/>
  <c r="AQ18" i="12"/>
  <c r="AR18" i="12"/>
  <c r="AS18" i="12"/>
  <c r="AT18" i="12"/>
  <c r="AU18" i="12"/>
  <c r="AV18" i="12"/>
  <c r="AW18" i="12"/>
  <c r="I19" i="12"/>
  <c r="J19" i="12"/>
  <c r="K19" i="12"/>
  <c r="L19" i="12"/>
  <c r="M19" i="12"/>
  <c r="N19" i="12"/>
  <c r="O19" i="12"/>
  <c r="O25" i="12"/>
  <c r="P19" i="12"/>
  <c r="Q19" i="12"/>
  <c r="R19" i="12"/>
  <c r="S19" i="12"/>
  <c r="T19" i="12"/>
  <c r="U19" i="12"/>
  <c r="V19" i="12"/>
  <c r="V25" i="12"/>
  <c r="W19" i="12"/>
  <c r="W25" i="12"/>
  <c r="X19" i="12"/>
  <c r="Y19" i="12"/>
  <c r="Z19" i="12"/>
  <c r="AA19" i="12"/>
  <c r="AB19" i="12"/>
  <c r="AC19" i="12"/>
  <c r="AD19" i="12"/>
  <c r="AD25" i="12"/>
  <c r="AE19" i="12"/>
  <c r="AE25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I20" i="12"/>
  <c r="J20" i="12"/>
  <c r="K20" i="12"/>
  <c r="L20" i="12"/>
  <c r="M20" i="12"/>
  <c r="N20" i="12"/>
  <c r="N25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I22" i="12"/>
  <c r="J22" i="12"/>
  <c r="K22" i="12"/>
  <c r="K25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I25" i="12"/>
  <c r="AJ22" i="12"/>
  <c r="AK22" i="12"/>
  <c r="AL22" i="12"/>
  <c r="AM22" i="12"/>
  <c r="AN22" i="12"/>
  <c r="AO22" i="12"/>
  <c r="AP22" i="12"/>
  <c r="AQ22" i="12"/>
  <c r="AQ25" i="12"/>
  <c r="AR22" i="12"/>
  <c r="AS22" i="12"/>
  <c r="AT22" i="12"/>
  <c r="AU22" i="12"/>
  <c r="AV22" i="12"/>
  <c r="AW22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I24" i="12"/>
  <c r="J24" i="12"/>
  <c r="J25" i="12"/>
  <c r="K24" i="12"/>
  <c r="L24" i="12"/>
  <c r="M24" i="12"/>
  <c r="N24" i="12"/>
  <c r="O24" i="12"/>
  <c r="P24" i="12"/>
  <c r="Q24" i="12"/>
  <c r="R24" i="12"/>
  <c r="R25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H25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I25" i="12"/>
  <c r="AP25" i="12"/>
  <c r="AT25" i="12"/>
  <c r="E262" i="11"/>
  <c r="G262" i="11"/>
  <c r="I262" i="11"/>
  <c r="K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E263" i="11"/>
  <c r="G263" i="11"/>
  <c r="I263" i="11"/>
  <c r="K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E264" i="11"/>
  <c r="G264" i="11"/>
  <c r="I264" i="11"/>
  <c r="K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E265" i="11"/>
  <c r="G265" i="11"/>
  <c r="I265" i="11"/>
  <c r="K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E266" i="11"/>
  <c r="G266" i="11"/>
  <c r="I266" i="11"/>
  <c r="K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E267" i="11"/>
  <c r="G267" i="11"/>
  <c r="I267" i="11"/>
  <c r="K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E268" i="11"/>
  <c r="G268" i="11"/>
  <c r="I268" i="11"/>
  <c r="K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E269" i="11"/>
  <c r="G269" i="11"/>
  <c r="I269" i="11"/>
  <c r="K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E270" i="11"/>
  <c r="G270" i="11"/>
  <c r="I270" i="11"/>
  <c r="K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E271" i="11"/>
  <c r="G271" i="11"/>
  <c r="I271" i="11"/>
  <c r="K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E272" i="11"/>
  <c r="G272" i="11"/>
  <c r="I272" i="11"/>
  <c r="K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E273" i="11"/>
  <c r="G273" i="11"/>
  <c r="I273" i="11"/>
  <c r="K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E274" i="11"/>
  <c r="G274" i="11"/>
  <c r="I274" i="11"/>
  <c r="K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E275" i="11"/>
  <c r="G275" i="11"/>
  <c r="I275" i="11"/>
  <c r="K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E277" i="11"/>
  <c r="G277" i="11"/>
  <c r="I277" i="11"/>
  <c r="K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E278" i="11"/>
  <c r="G278" i="11"/>
  <c r="I278" i="11"/>
  <c r="K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E279" i="11"/>
  <c r="G279" i="11"/>
  <c r="I279" i="11"/>
  <c r="K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E280" i="11"/>
  <c r="G280" i="11"/>
  <c r="I280" i="11"/>
  <c r="K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E281" i="11"/>
  <c r="G281" i="11"/>
  <c r="I281" i="11"/>
  <c r="K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E282" i="11"/>
  <c r="G282" i="11"/>
  <c r="I282" i="11"/>
  <c r="K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E283" i="11"/>
  <c r="G283" i="11"/>
  <c r="I283" i="11"/>
  <c r="K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E284" i="11"/>
  <c r="G284" i="11"/>
  <c r="I284" i="11"/>
  <c r="K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E285" i="11"/>
  <c r="G285" i="11"/>
  <c r="I285" i="11"/>
  <c r="K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E286" i="11"/>
  <c r="G286" i="11"/>
  <c r="I286" i="11"/>
  <c r="K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E287" i="11"/>
  <c r="G287" i="11"/>
  <c r="I287" i="11"/>
  <c r="K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E288" i="11"/>
  <c r="G288" i="11"/>
  <c r="I288" i="11"/>
  <c r="K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E289" i="11"/>
  <c r="G289" i="11"/>
  <c r="I289" i="11"/>
  <c r="K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T290" i="11"/>
  <c r="U290" i="11"/>
  <c r="V290" i="11"/>
  <c r="W290" i="11"/>
  <c r="X290" i="11"/>
  <c r="Y290" i="11"/>
  <c r="Z290" i="11"/>
  <c r="AA290" i="11"/>
  <c r="AB290" i="11"/>
  <c r="AC290" i="11"/>
  <c r="E291" i="11"/>
  <c r="G291" i="11"/>
  <c r="I291" i="11"/>
  <c r="K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E292" i="11"/>
  <c r="G292" i="11"/>
  <c r="I292" i="11"/>
  <c r="K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E293" i="11"/>
  <c r="G293" i="11"/>
  <c r="I293" i="11"/>
  <c r="K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E294" i="11"/>
  <c r="G294" i="11"/>
  <c r="I294" i="11"/>
  <c r="K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E295" i="11"/>
  <c r="G295" i="11"/>
  <c r="I295" i="11"/>
  <c r="K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E296" i="11"/>
  <c r="G296" i="11"/>
  <c r="I296" i="11"/>
  <c r="K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E297" i="11"/>
  <c r="G297" i="11"/>
  <c r="I297" i="11"/>
  <c r="K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E298" i="11"/>
  <c r="G298" i="11"/>
  <c r="I298" i="11"/>
  <c r="K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E299" i="11"/>
  <c r="G299" i="11"/>
  <c r="I299" i="11"/>
  <c r="K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E300" i="11"/>
  <c r="G300" i="11"/>
  <c r="I300" i="11"/>
  <c r="K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E301" i="11"/>
  <c r="G301" i="11"/>
  <c r="I301" i="11"/>
  <c r="K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E302" i="11"/>
  <c r="G302" i="11"/>
  <c r="I302" i="11"/>
  <c r="K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E303" i="11"/>
  <c r="G303" i="11"/>
  <c r="I303" i="11"/>
  <c r="K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T304" i="11"/>
  <c r="U304" i="11"/>
  <c r="V304" i="11"/>
  <c r="W304" i="11"/>
  <c r="X304" i="11"/>
  <c r="Y304" i="11"/>
  <c r="Z304" i="11"/>
  <c r="AA304" i="11"/>
  <c r="AB304" i="11"/>
  <c r="AC304" i="11"/>
  <c r="E305" i="11"/>
  <c r="G305" i="11"/>
  <c r="I305" i="11"/>
  <c r="K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E306" i="11"/>
  <c r="G306" i="11"/>
  <c r="I306" i="11"/>
  <c r="K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E307" i="11"/>
  <c r="G307" i="11"/>
  <c r="I307" i="11"/>
  <c r="K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E308" i="11"/>
  <c r="G308" i="11"/>
  <c r="I308" i="11"/>
  <c r="K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E309" i="11"/>
  <c r="G309" i="11"/>
  <c r="I309" i="11"/>
  <c r="K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E310" i="11"/>
  <c r="G310" i="11"/>
  <c r="I310" i="11"/>
  <c r="K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E311" i="11"/>
  <c r="G311" i="11"/>
  <c r="I311" i="11"/>
  <c r="K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E312" i="11"/>
  <c r="G312" i="11"/>
  <c r="I312" i="11"/>
  <c r="K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E313" i="11"/>
  <c r="G313" i="11"/>
  <c r="I313" i="11"/>
  <c r="K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E314" i="11"/>
  <c r="G314" i="11"/>
  <c r="I314" i="11"/>
  <c r="K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E315" i="11"/>
  <c r="G315" i="11"/>
  <c r="I315" i="11"/>
  <c r="K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E316" i="11"/>
  <c r="G316" i="11"/>
  <c r="I316" i="11"/>
  <c r="K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E317" i="11"/>
  <c r="G317" i="11"/>
  <c r="I317" i="11"/>
  <c r="K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E318" i="11"/>
  <c r="G318" i="11"/>
  <c r="I318" i="11"/>
  <c r="K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E320" i="11"/>
  <c r="G320" i="11"/>
  <c r="I320" i="11"/>
  <c r="K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E321" i="11"/>
  <c r="G321" i="11"/>
  <c r="I321" i="11"/>
  <c r="K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E322" i="11"/>
  <c r="G322" i="11"/>
  <c r="I322" i="11"/>
  <c r="K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E323" i="11"/>
  <c r="G323" i="11"/>
  <c r="I323" i="11"/>
  <c r="K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E324" i="11"/>
  <c r="G324" i="11"/>
  <c r="I324" i="11"/>
  <c r="K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E325" i="11"/>
  <c r="G325" i="11"/>
  <c r="I325" i="11"/>
  <c r="K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E326" i="11"/>
  <c r="G326" i="11"/>
  <c r="I326" i="11"/>
  <c r="K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E327" i="11"/>
  <c r="G327" i="11"/>
  <c r="I327" i="11"/>
  <c r="K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E328" i="11"/>
  <c r="G328" i="11"/>
  <c r="I328" i="11"/>
  <c r="K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E329" i="11"/>
  <c r="G329" i="11"/>
  <c r="I329" i="11"/>
  <c r="K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E330" i="11"/>
  <c r="G330" i="11"/>
  <c r="I330" i="11"/>
  <c r="K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E331" i="11"/>
  <c r="G331" i="11"/>
  <c r="I331" i="11"/>
  <c r="K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E332" i="11"/>
  <c r="G332" i="11"/>
  <c r="I332" i="11"/>
  <c r="K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E333" i="11"/>
  <c r="G333" i="11"/>
  <c r="I333" i="11"/>
  <c r="K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E200" i="11"/>
  <c r="G200" i="11"/>
  <c r="I200" i="11"/>
  <c r="K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E201" i="11"/>
  <c r="G201" i="11"/>
  <c r="I201" i="11"/>
  <c r="K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E202" i="11"/>
  <c r="G202" i="11"/>
  <c r="I202" i="11"/>
  <c r="K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E203" i="11"/>
  <c r="G203" i="11"/>
  <c r="I203" i="11"/>
  <c r="K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E204" i="11"/>
  <c r="G204" i="11"/>
  <c r="I204" i="11"/>
  <c r="K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E205" i="11"/>
  <c r="G205" i="11"/>
  <c r="I205" i="11"/>
  <c r="K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E206" i="11"/>
  <c r="G206" i="11"/>
  <c r="I206" i="11"/>
  <c r="K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E207" i="11"/>
  <c r="G207" i="11"/>
  <c r="I207" i="11"/>
  <c r="K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E208" i="11"/>
  <c r="G208" i="11"/>
  <c r="I208" i="11"/>
  <c r="K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E209" i="11"/>
  <c r="G209" i="11"/>
  <c r="I209" i="11"/>
  <c r="K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E210" i="11"/>
  <c r="G210" i="11"/>
  <c r="I210" i="11"/>
  <c r="K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E211" i="11"/>
  <c r="G211" i="11"/>
  <c r="I211" i="11"/>
  <c r="K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E212" i="11"/>
  <c r="G212" i="11"/>
  <c r="I212" i="11"/>
  <c r="K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E213" i="11"/>
  <c r="G213" i="11"/>
  <c r="I213" i="11"/>
  <c r="K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E157" i="11"/>
  <c r="G157" i="11"/>
  <c r="I157" i="11"/>
  <c r="K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E158" i="11"/>
  <c r="G158" i="11"/>
  <c r="I158" i="11"/>
  <c r="K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E159" i="11"/>
  <c r="G159" i="11"/>
  <c r="I159" i="11"/>
  <c r="K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E160" i="11"/>
  <c r="G160" i="11"/>
  <c r="I160" i="11"/>
  <c r="K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E161" i="11"/>
  <c r="G161" i="11"/>
  <c r="I161" i="11"/>
  <c r="K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E162" i="11"/>
  <c r="G162" i="11"/>
  <c r="I162" i="11"/>
  <c r="K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E163" i="11"/>
  <c r="G163" i="11"/>
  <c r="I163" i="11"/>
  <c r="K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E164" i="11"/>
  <c r="G164" i="11"/>
  <c r="I164" i="11"/>
  <c r="K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E165" i="11"/>
  <c r="G165" i="11"/>
  <c r="I165" i="11"/>
  <c r="K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E166" i="11"/>
  <c r="G166" i="11"/>
  <c r="I166" i="11"/>
  <c r="K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E167" i="11"/>
  <c r="G167" i="11"/>
  <c r="I167" i="11"/>
  <c r="K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E168" i="11"/>
  <c r="G168" i="11"/>
  <c r="I168" i="11"/>
  <c r="K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E169" i="11"/>
  <c r="G169" i="11"/>
  <c r="I169" i="11"/>
  <c r="K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T170" i="11"/>
  <c r="U170" i="11"/>
  <c r="V170" i="11"/>
  <c r="W170" i="11"/>
  <c r="X170" i="11"/>
  <c r="Y170" i="11"/>
  <c r="Z170" i="11"/>
  <c r="AA170" i="11"/>
  <c r="AB170" i="11"/>
  <c r="AC170" i="11"/>
  <c r="E171" i="11"/>
  <c r="G171" i="11"/>
  <c r="I171" i="11"/>
  <c r="K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E172" i="11"/>
  <c r="G172" i="11"/>
  <c r="I172" i="11"/>
  <c r="K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E173" i="11"/>
  <c r="G173" i="11"/>
  <c r="I173" i="11"/>
  <c r="K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E174" i="11"/>
  <c r="G174" i="11"/>
  <c r="I174" i="11"/>
  <c r="K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E175" i="11"/>
  <c r="G175" i="11"/>
  <c r="I175" i="11"/>
  <c r="K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E176" i="11"/>
  <c r="G176" i="11"/>
  <c r="I176" i="11"/>
  <c r="K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E177" i="11"/>
  <c r="G177" i="11"/>
  <c r="I177" i="11"/>
  <c r="K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E178" i="11"/>
  <c r="G178" i="11"/>
  <c r="I178" i="11"/>
  <c r="K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E179" i="11"/>
  <c r="G179" i="11"/>
  <c r="I179" i="11"/>
  <c r="K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E180" i="11"/>
  <c r="G180" i="11"/>
  <c r="I180" i="11"/>
  <c r="K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E181" i="11"/>
  <c r="G181" i="11"/>
  <c r="I181" i="11"/>
  <c r="K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E182" i="11"/>
  <c r="G182" i="11"/>
  <c r="I182" i="11"/>
  <c r="K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E183" i="11"/>
  <c r="G183" i="11"/>
  <c r="I183" i="11"/>
  <c r="K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T184" i="11"/>
  <c r="U184" i="11"/>
  <c r="V184" i="11"/>
  <c r="W184" i="11"/>
  <c r="X184" i="11"/>
  <c r="Y184" i="11"/>
  <c r="Z184" i="11"/>
  <c r="AA184" i="11"/>
  <c r="AB184" i="11"/>
  <c r="AC184" i="11"/>
  <c r="E185" i="11"/>
  <c r="G185" i="11"/>
  <c r="I185" i="11"/>
  <c r="K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E186" i="11"/>
  <c r="G186" i="11"/>
  <c r="I186" i="11"/>
  <c r="K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E187" i="11"/>
  <c r="G187" i="11"/>
  <c r="I187" i="11"/>
  <c r="K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E188" i="11"/>
  <c r="G188" i="11"/>
  <c r="I188" i="11"/>
  <c r="K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E189" i="11"/>
  <c r="G189" i="11"/>
  <c r="I189" i="11"/>
  <c r="K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E190" i="11"/>
  <c r="G190" i="11"/>
  <c r="I190" i="11"/>
  <c r="K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E191" i="11"/>
  <c r="G191" i="11"/>
  <c r="I191" i="11"/>
  <c r="K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E192" i="11"/>
  <c r="G192" i="11"/>
  <c r="I192" i="11"/>
  <c r="K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E193" i="11"/>
  <c r="G193" i="11"/>
  <c r="I193" i="11"/>
  <c r="K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E194" i="11"/>
  <c r="G194" i="11"/>
  <c r="I194" i="11"/>
  <c r="K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E195" i="11"/>
  <c r="G195" i="11"/>
  <c r="I195" i="11"/>
  <c r="K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E196" i="11"/>
  <c r="G196" i="11"/>
  <c r="I196" i="11"/>
  <c r="K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E197" i="11"/>
  <c r="G197" i="11"/>
  <c r="I197" i="11"/>
  <c r="K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E198" i="11"/>
  <c r="G198" i="11"/>
  <c r="I198" i="11"/>
  <c r="K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E142" i="11"/>
  <c r="G142" i="11"/>
  <c r="I142" i="11"/>
  <c r="K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E143" i="11"/>
  <c r="G143" i="11"/>
  <c r="I143" i="11"/>
  <c r="K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E144" i="11"/>
  <c r="G144" i="11"/>
  <c r="I144" i="11"/>
  <c r="K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E145" i="11"/>
  <c r="G145" i="11"/>
  <c r="I145" i="11"/>
  <c r="K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E146" i="11"/>
  <c r="G146" i="11"/>
  <c r="I146" i="11"/>
  <c r="K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E147" i="11"/>
  <c r="G147" i="11"/>
  <c r="I147" i="11"/>
  <c r="K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E148" i="11"/>
  <c r="G148" i="11"/>
  <c r="I148" i="11"/>
  <c r="K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E149" i="11"/>
  <c r="G149" i="11"/>
  <c r="I149" i="11"/>
  <c r="K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E150" i="11"/>
  <c r="G150" i="11"/>
  <c r="I150" i="11"/>
  <c r="K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E151" i="11"/>
  <c r="G151" i="11"/>
  <c r="I151" i="11"/>
  <c r="K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E152" i="11"/>
  <c r="G152" i="11"/>
  <c r="I152" i="11"/>
  <c r="K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E153" i="11"/>
  <c r="G153" i="11"/>
  <c r="I153" i="11"/>
  <c r="K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E154" i="11"/>
  <c r="G154" i="11"/>
  <c r="I154" i="11"/>
  <c r="K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E155" i="11"/>
  <c r="G155" i="11"/>
  <c r="I155" i="11"/>
  <c r="K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N21" i="11"/>
  <c r="C27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C38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C51" i="11"/>
  <c r="C59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C69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C86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E262" i="10"/>
  <c r="G262" i="10"/>
  <c r="I262" i="10"/>
  <c r="K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E263" i="10"/>
  <c r="G263" i="10"/>
  <c r="I263" i="10"/>
  <c r="K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E264" i="10"/>
  <c r="G264" i="10"/>
  <c r="I264" i="10"/>
  <c r="K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E265" i="10"/>
  <c r="G265" i="10"/>
  <c r="I265" i="10"/>
  <c r="K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E266" i="10"/>
  <c r="G266" i="10"/>
  <c r="I266" i="10"/>
  <c r="K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E267" i="10"/>
  <c r="G267" i="10"/>
  <c r="I267" i="10"/>
  <c r="K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E268" i="10"/>
  <c r="G268" i="10"/>
  <c r="I268" i="10"/>
  <c r="K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E269" i="10"/>
  <c r="G269" i="10"/>
  <c r="I269" i="10"/>
  <c r="K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E270" i="10"/>
  <c r="G270" i="10"/>
  <c r="I270" i="10"/>
  <c r="K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E271" i="10"/>
  <c r="G271" i="10"/>
  <c r="I271" i="10"/>
  <c r="K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E272" i="10"/>
  <c r="G272" i="10"/>
  <c r="I272" i="10"/>
  <c r="K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E273" i="10"/>
  <c r="G273" i="10"/>
  <c r="I273" i="10"/>
  <c r="K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E274" i="10"/>
  <c r="G274" i="10"/>
  <c r="I274" i="10"/>
  <c r="K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E275" i="10"/>
  <c r="G275" i="10"/>
  <c r="I275" i="10"/>
  <c r="K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E277" i="10"/>
  <c r="G277" i="10"/>
  <c r="I277" i="10"/>
  <c r="K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E278" i="10"/>
  <c r="G278" i="10"/>
  <c r="I278" i="10"/>
  <c r="K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E279" i="10"/>
  <c r="G279" i="10"/>
  <c r="I279" i="10"/>
  <c r="K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E280" i="10"/>
  <c r="G280" i="10"/>
  <c r="I280" i="10"/>
  <c r="K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E281" i="10"/>
  <c r="G281" i="10"/>
  <c r="I281" i="10"/>
  <c r="K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E282" i="10"/>
  <c r="G282" i="10"/>
  <c r="I282" i="10"/>
  <c r="K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E283" i="10"/>
  <c r="G283" i="10"/>
  <c r="I283" i="10"/>
  <c r="K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E284" i="10"/>
  <c r="G284" i="10"/>
  <c r="I284" i="10"/>
  <c r="K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E285" i="10"/>
  <c r="G285" i="10"/>
  <c r="I285" i="10"/>
  <c r="K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E286" i="10"/>
  <c r="G286" i="10"/>
  <c r="I286" i="10"/>
  <c r="K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E287" i="10"/>
  <c r="G287" i="10"/>
  <c r="I287" i="10"/>
  <c r="K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E288" i="10"/>
  <c r="G288" i="10"/>
  <c r="I288" i="10"/>
  <c r="K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E289" i="10"/>
  <c r="G289" i="10"/>
  <c r="I289" i="10"/>
  <c r="K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T290" i="10"/>
  <c r="U290" i="10"/>
  <c r="V290" i="10"/>
  <c r="W290" i="10"/>
  <c r="X290" i="10"/>
  <c r="Y290" i="10"/>
  <c r="Z290" i="10"/>
  <c r="AA290" i="10"/>
  <c r="AB290" i="10"/>
  <c r="AC290" i="10"/>
  <c r="E291" i="10"/>
  <c r="G291" i="10"/>
  <c r="I291" i="10"/>
  <c r="K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E292" i="10"/>
  <c r="G292" i="10"/>
  <c r="I292" i="10"/>
  <c r="K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E293" i="10"/>
  <c r="G293" i="10"/>
  <c r="I293" i="10"/>
  <c r="K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E294" i="10"/>
  <c r="G294" i="10"/>
  <c r="I294" i="10"/>
  <c r="K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E295" i="10"/>
  <c r="G295" i="10"/>
  <c r="I295" i="10"/>
  <c r="K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E296" i="10"/>
  <c r="G296" i="10"/>
  <c r="I296" i="10"/>
  <c r="K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E297" i="10"/>
  <c r="G297" i="10"/>
  <c r="I297" i="10"/>
  <c r="K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E298" i="10"/>
  <c r="G298" i="10"/>
  <c r="I298" i="10"/>
  <c r="K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E299" i="10"/>
  <c r="G299" i="10"/>
  <c r="I299" i="10"/>
  <c r="K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E300" i="10"/>
  <c r="G300" i="10"/>
  <c r="I300" i="10"/>
  <c r="K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E301" i="10"/>
  <c r="G301" i="10"/>
  <c r="I301" i="10"/>
  <c r="K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E302" i="10"/>
  <c r="G302" i="10"/>
  <c r="I302" i="10"/>
  <c r="K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E303" i="10"/>
  <c r="G303" i="10"/>
  <c r="I303" i="10"/>
  <c r="K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T304" i="10"/>
  <c r="U304" i="10"/>
  <c r="V304" i="10"/>
  <c r="W304" i="10"/>
  <c r="X304" i="10"/>
  <c r="Y304" i="10"/>
  <c r="Z304" i="10"/>
  <c r="AA304" i="10"/>
  <c r="AB304" i="10"/>
  <c r="AC304" i="10"/>
  <c r="E305" i="10"/>
  <c r="G305" i="10"/>
  <c r="I305" i="10"/>
  <c r="K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E306" i="10"/>
  <c r="G306" i="10"/>
  <c r="I306" i="10"/>
  <c r="K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E307" i="10"/>
  <c r="G307" i="10"/>
  <c r="I307" i="10"/>
  <c r="K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E308" i="10"/>
  <c r="G308" i="10"/>
  <c r="I308" i="10"/>
  <c r="K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E309" i="10"/>
  <c r="G309" i="10"/>
  <c r="I309" i="10"/>
  <c r="K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E310" i="10"/>
  <c r="G310" i="10"/>
  <c r="I310" i="10"/>
  <c r="K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E311" i="10"/>
  <c r="G311" i="10"/>
  <c r="I311" i="10"/>
  <c r="K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E312" i="10"/>
  <c r="G312" i="10"/>
  <c r="I312" i="10"/>
  <c r="K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E313" i="10"/>
  <c r="G313" i="10"/>
  <c r="I313" i="10"/>
  <c r="K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E314" i="10"/>
  <c r="G314" i="10"/>
  <c r="I314" i="10"/>
  <c r="K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E315" i="10"/>
  <c r="G315" i="10"/>
  <c r="I315" i="10"/>
  <c r="K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E316" i="10"/>
  <c r="G316" i="10"/>
  <c r="I316" i="10"/>
  <c r="K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E317" i="10"/>
  <c r="G317" i="10"/>
  <c r="I317" i="10"/>
  <c r="K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E318" i="10"/>
  <c r="G318" i="10"/>
  <c r="I318" i="10"/>
  <c r="K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E320" i="10"/>
  <c r="G320" i="10"/>
  <c r="I320" i="10"/>
  <c r="K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E321" i="10"/>
  <c r="G321" i="10"/>
  <c r="I321" i="10"/>
  <c r="K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E322" i="10"/>
  <c r="G322" i="10"/>
  <c r="I322" i="10"/>
  <c r="K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E323" i="10"/>
  <c r="G323" i="10"/>
  <c r="I323" i="10"/>
  <c r="K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E324" i="10"/>
  <c r="G324" i="10"/>
  <c r="I324" i="10"/>
  <c r="K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E325" i="10"/>
  <c r="G325" i="10"/>
  <c r="I325" i="10"/>
  <c r="K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E326" i="10"/>
  <c r="G326" i="10"/>
  <c r="I326" i="10"/>
  <c r="K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E327" i="10"/>
  <c r="G327" i="10"/>
  <c r="I327" i="10"/>
  <c r="K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E328" i="10"/>
  <c r="G328" i="10"/>
  <c r="I328" i="10"/>
  <c r="K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E329" i="10"/>
  <c r="G329" i="10"/>
  <c r="I329" i="10"/>
  <c r="K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E330" i="10"/>
  <c r="G330" i="10"/>
  <c r="I330" i="10"/>
  <c r="K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E331" i="10"/>
  <c r="G331" i="10"/>
  <c r="I331" i="10"/>
  <c r="K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E332" i="10"/>
  <c r="G332" i="10"/>
  <c r="I332" i="10"/>
  <c r="K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E333" i="10"/>
  <c r="G333" i="10"/>
  <c r="I333" i="10"/>
  <c r="K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E200" i="10"/>
  <c r="G200" i="10"/>
  <c r="I200" i="10"/>
  <c r="K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E201" i="10"/>
  <c r="G201" i="10"/>
  <c r="I201" i="10"/>
  <c r="K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E202" i="10"/>
  <c r="G202" i="10"/>
  <c r="I202" i="10"/>
  <c r="K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E203" i="10"/>
  <c r="G203" i="10"/>
  <c r="I203" i="10"/>
  <c r="K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E204" i="10"/>
  <c r="G204" i="10"/>
  <c r="I204" i="10"/>
  <c r="K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E205" i="10"/>
  <c r="G205" i="10"/>
  <c r="I205" i="10"/>
  <c r="K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E206" i="10"/>
  <c r="G206" i="10"/>
  <c r="I206" i="10"/>
  <c r="K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E207" i="10"/>
  <c r="G207" i="10"/>
  <c r="I207" i="10"/>
  <c r="K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E208" i="10"/>
  <c r="G208" i="10"/>
  <c r="I208" i="10"/>
  <c r="K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E209" i="10"/>
  <c r="G209" i="10"/>
  <c r="I209" i="10"/>
  <c r="K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E210" i="10"/>
  <c r="G210" i="10"/>
  <c r="I210" i="10"/>
  <c r="K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E211" i="10"/>
  <c r="G211" i="10"/>
  <c r="I211" i="10"/>
  <c r="K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E212" i="10"/>
  <c r="G212" i="10"/>
  <c r="I212" i="10"/>
  <c r="K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E213" i="10"/>
  <c r="G213" i="10"/>
  <c r="I213" i="10"/>
  <c r="K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E157" i="10"/>
  <c r="G157" i="10"/>
  <c r="I157" i="10"/>
  <c r="K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E158" i="10"/>
  <c r="G158" i="10"/>
  <c r="I158" i="10"/>
  <c r="K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E159" i="10"/>
  <c r="G159" i="10"/>
  <c r="I159" i="10"/>
  <c r="K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E160" i="10"/>
  <c r="G160" i="10"/>
  <c r="I160" i="10"/>
  <c r="K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E161" i="10"/>
  <c r="G161" i="10"/>
  <c r="I161" i="10"/>
  <c r="K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E162" i="10"/>
  <c r="G162" i="10"/>
  <c r="I162" i="10"/>
  <c r="K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E163" i="10"/>
  <c r="G163" i="10"/>
  <c r="I163" i="10"/>
  <c r="K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E164" i="10"/>
  <c r="G164" i="10"/>
  <c r="I164" i="10"/>
  <c r="K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E165" i="10"/>
  <c r="G165" i="10"/>
  <c r="I165" i="10"/>
  <c r="K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E166" i="10"/>
  <c r="G166" i="10"/>
  <c r="I166" i="10"/>
  <c r="K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E167" i="10"/>
  <c r="G167" i="10"/>
  <c r="I167" i="10"/>
  <c r="K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E168" i="10"/>
  <c r="G168" i="10"/>
  <c r="I168" i="10"/>
  <c r="K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E169" i="10"/>
  <c r="G169" i="10"/>
  <c r="I169" i="10"/>
  <c r="K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T170" i="10"/>
  <c r="U170" i="10"/>
  <c r="V170" i="10"/>
  <c r="W170" i="10"/>
  <c r="X170" i="10"/>
  <c r="Y170" i="10"/>
  <c r="Z170" i="10"/>
  <c r="AA170" i="10"/>
  <c r="AB170" i="10"/>
  <c r="AC170" i="10"/>
  <c r="E171" i="10"/>
  <c r="G171" i="10"/>
  <c r="I171" i="10"/>
  <c r="K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E172" i="10"/>
  <c r="G172" i="10"/>
  <c r="I172" i="10"/>
  <c r="K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E173" i="10"/>
  <c r="G173" i="10"/>
  <c r="I173" i="10"/>
  <c r="K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E174" i="10"/>
  <c r="G174" i="10"/>
  <c r="I174" i="10"/>
  <c r="K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E175" i="10"/>
  <c r="G175" i="10"/>
  <c r="I175" i="10"/>
  <c r="K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E176" i="10"/>
  <c r="G176" i="10"/>
  <c r="I176" i="10"/>
  <c r="K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E177" i="10"/>
  <c r="G177" i="10"/>
  <c r="I177" i="10"/>
  <c r="K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E178" i="10"/>
  <c r="G178" i="10"/>
  <c r="I178" i="10"/>
  <c r="K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E179" i="10"/>
  <c r="G179" i="10"/>
  <c r="I179" i="10"/>
  <c r="K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E180" i="10"/>
  <c r="G180" i="10"/>
  <c r="I180" i="10"/>
  <c r="K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E181" i="10"/>
  <c r="G181" i="10"/>
  <c r="I181" i="10"/>
  <c r="K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E182" i="10"/>
  <c r="G182" i="10"/>
  <c r="I182" i="10"/>
  <c r="K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E183" i="10"/>
  <c r="G183" i="10"/>
  <c r="I183" i="10"/>
  <c r="K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T184" i="10"/>
  <c r="U184" i="10"/>
  <c r="V184" i="10"/>
  <c r="W184" i="10"/>
  <c r="X184" i="10"/>
  <c r="Y184" i="10"/>
  <c r="Z184" i="10"/>
  <c r="AA184" i="10"/>
  <c r="AB184" i="10"/>
  <c r="AC184" i="10"/>
  <c r="E185" i="10"/>
  <c r="G185" i="10"/>
  <c r="I185" i="10"/>
  <c r="K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E186" i="10"/>
  <c r="G186" i="10"/>
  <c r="I186" i="10"/>
  <c r="K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E187" i="10"/>
  <c r="G187" i="10"/>
  <c r="I187" i="10"/>
  <c r="K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E188" i="10"/>
  <c r="G188" i="10"/>
  <c r="I188" i="10"/>
  <c r="K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E189" i="10"/>
  <c r="G189" i="10"/>
  <c r="I189" i="10"/>
  <c r="K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E190" i="10"/>
  <c r="G190" i="10"/>
  <c r="I190" i="10"/>
  <c r="K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E191" i="10"/>
  <c r="G191" i="10"/>
  <c r="I191" i="10"/>
  <c r="K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E192" i="10"/>
  <c r="G192" i="10"/>
  <c r="I192" i="10"/>
  <c r="K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E193" i="10"/>
  <c r="G193" i="10"/>
  <c r="I193" i="10"/>
  <c r="K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E194" i="10"/>
  <c r="G194" i="10"/>
  <c r="I194" i="10"/>
  <c r="K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E195" i="10"/>
  <c r="G195" i="10"/>
  <c r="I195" i="10"/>
  <c r="K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E196" i="10"/>
  <c r="G196" i="10"/>
  <c r="I196" i="10"/>
  <c r="K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E197" i="10"/>
  <c r="G197" i="10"/>
  <c r="I197" i="10"/>
  <c r="K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E198" i="10"/>
  <c r="G198" i="10"/>
  <c r="I198" i="10"/>
  <c r="K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E142" i="10"/>
  <c r="G142" i="10"/>
  <c r="I142" i="10"/>
  <c r="K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E143" i="10"/>
  <c r="G143" i="10"/>
  <c r="I143" i="10"/>
  <c r="K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E144" i="10"/>
  <c r="G144" i="10"/>
  <c r="I144" i="10"/>
  <c r="K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E145" i="10"/>
  <c r="G145" i="10"/>
  <c r="I145" i="10"/>
  <c r="K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E146" i="10"/>
  <c r="G146" i="10"/>
  <c r="I146" i="10"/>
  <c r="K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E147" i="10"/>
  <c r="G147" i="10"/>
  <c r="I147" i="10"/>
  <c r="K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E148" i="10"/>
  <c r="G148" i="10"/>
  <c r="I148" i="10"/>
  <c r="K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E149" i="10"/>
  <c r="G149" i="10"/>
  <c r="I149" i="10"/>
  <c r="K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E150" i="10"/>
  <c r="G150" i="10"/>
  <c r="I150" i="10"/>
  <c r="K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E151" i="10"/>
  <c r="G151" i="10"/>
  <c r="I151" i="10"/>
  <c r="K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E152" i="10"/>
  <c r="G152" i="10"/>
  <c r="I152" i="10"/>
  <c r="K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E153" i="10"/>
  <c r="G153" i="10"/>
  <c r="I153" i="10"/>
  <c r="K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E154" i="10"/>
  <c r="G154" i="10"/>
  <c r="I154" i="10"/>
  <c r="K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E155" i="10"/>
  <c r="G155" i="10"/>
  <c r="I155" i="10"/>
  <c r="K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C21" i="10"/>
  <c r="Q22" i="10"/>
  <c r="O21" i="10"/>
  <c r="C27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C43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C54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C70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C82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Q74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7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Q48" i="9"/>
  <c r="R48" i="9"/>
  <c r="S48" i="9"/>
  <c r="T48" i="9"/>
  <c r="U48" i="9"/>
  <c r="V48" i="9"/>
  <c r="C66" i="9"/>
  <c r="C67" i="9"/>
  <c r="C68" i="9"/>
  <c r="C69" i="9"/>
  <c r="C70" i="9"/>
  <c r="C71" i="9"/>
  <c r="C72" i="9"/>
  <c r="C73" i="9"/>
  <c r="C65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O21" i="9"/>
  <c r="M11" i="3"/>
  <c r="M14" i="3"/>
  <c r="P21" i="5"/>
  <c r="D21" i="5"/>
  <c r="K93" i="9"/>
  <c r="I93" i="9"/>
  <c r="G93" i="9"/>
  <c r="E93" i="9"/>
  <c r="K92" i="9"/>
  <c r="I65" i="16"/>
  <c r="K91" i="9"/>
  <c r="I82" i="16"/>
  <c r="G91" i="9"/>
  <c r="E90" i="9"/>
  <c r="E89" i="9"/>
  <c r="E86" i="9"/>
  <c r="E85" i="9"/>
  <c r="K84" i="9"/>
  <c r="K83" i="9"/>
  <c r="G83" i="9"/>
  <c r="E83" i="9"/>
  <c r="E81" i="9"/>
  <c r="K80" i="9"/>
  <c r="E80" i="9"/>
  <c r="G78" i="9"/>
  <c r="E69" i="16"/>
  <c r="K77" i="9"/>
  <c r="I64" i="16"/>
  <c r="I77" i="9"/>
  <c r="G64" i="16"/>
  <c r="K75" i="9"/>
  <c r="I60" i="16"/>
  <c r="I75" i="9"/>
  <c r="G60" i="16"/>
  <c r="G75" i="9"/>
  <c r="E75" i="9"/>
  <c r="C60" i="16"/>
  <c r="E73" i="9"/>
  <c r="C181" i="8"/>
  <c r="K69" i="9"/>
  <c r="I177" i="8"/>
  <c r="I69" i="9"/>
  <c r="G115" i="18"/>
  <c r="K67" i="9"/>
  <c r="I175" i="8"/>
  <c r="G67" i="9"/>
  <c r="E113" i="18"/>
  <c r="E67" i="9"/>
  <c r="C175" i="8"/>
  <c r="I65" i="9"/>
  <c r="G173" i="8"/>
  <c r="G65" i="9"/>
  <c r="E111" i="18"/>
  <c r="E62" i="9"/>
  <c r="C78" i="16"/>
  <c r="K61" i="9"/>
  <c r="I152" i="8"/>
  <c r="I60" i="9"/>
  <c r="G60" i="9"/>
  <c r="I56" i="9"/>
  <c r="G50" i="18"/>
  <c r="K54" i="9"/>
  <c r="I126" i="8"/>
  <c r="E54" i="9"/>
  <c r="C48" i="18"/>
  <c r="K53" i="9"/>
  <c r="I125" i="8"/>
  <c r="I53" i="9"/>
  <c r="G125" i="8"/>
  <c r="I52" i="9"/>
  <c r="G46" i="18"/>
  <c r="G52" i="9"/>
  <c r="E46" i="18"/>
  <c r="I51" i="9"/>
  <c r="G45" i="18"/>
  <c r="I45" i="9"/>
  <c r="I44" i="9"/>
  <c r="G43" i="9"/>
  <c r="E42" i="9"/>
  <c r="G40" i="9"/>
  <c r="T11" i="9"/>
  <c r="AE11" i="9"/>
  <c r="Q50" i="5"/>
  <c r="F25" i="5"/>
  <c r="C21" i="3"/>
  <c r="D21" i="3"/>
  <c r="E21" i="3"/>
  <c r="F21" i="3"/>
  <c r="G21" i="3"/>
  <c r="H21" i="3"/>
  <c r="I21" i="3"/>
  <c r="J21" i="3"/>
  <c r="K21" i="3"/>
  <c r="L21" i="3"/>
  <c r="M21" i="3"/>
  <c r="N21" i="3"/>
  <c r="C22" i="3"/>
  <c r="D22" i="3"/>
  <c r="E22" i="3"/>
  <c r="F22" i="3"/>
  <c r="G22" i="3"/>
  <c r="H22" i="3"/>
  <c r="I22" i="3"/>
  <c r="J22" i="3"/>
  <c r="K22" i="3"/>
  <c r="L22" i="3"/>
  <c r="M22" i="3"/>
  <c r="N22" i="3"/>
  <c r="C23" i="3"/>
  <c r="D23" i="3"/>
  <c r="E23" i="3"/>
  <c r="F23" i="3"/>
  <c r="G23" i="3"/>
  <c r="H23" i="3"/>
  <c r="I23" i="3"/>
  <c r="J23" i="3"/>
  <c r="K23" i="3"/>
  <c r="L23" i="3"/>
  <c r="M23" i="3"/>
  <c r="C24" i="3"/>
  <c r="D24" i="3"/>
  <c r="E24" i="3"/>
  <c r="F24" i="3"/>
  <c r="G24" i="3"/>
  <c r="H24" i="3"/>
  <c r="I24" i="3"/>
  <c r="J24" i="3"/>
  <c r="K24" i="3"/>
  <c r="L24" i="3"/>
  <c r="M24" i="3"/>
  <c r="N24" i="3"/>
  <c r="C25" i="3"/>
  <c r="D25" i="3"/>
  <c r="E25" i="3"/>
  <c r="F25" i="3"/>
  <c r="G25" i="3"/>
  <c r="H25" i="3"/>
  <c r="I25" i="3"/>
  <c r="J25" i="3"/>
  <c r="K25" i="3"/>
  <c r="L25" i="3"/>
  <c r="M25" i="3"/>
  <c r="N25" i="3"/>
  <c r="C26" i="3"/>
  <c r="D26" i="3"/>
  <c r="E26" i="3"/>
  <c r="F26" i="3"/>
  <c r="G26" i="3"/>
  <c r="H26" i="3"/>
  <c r="I26" i="3"/>
  <c r="J26" i="3"/>
  <c r="K26" i="3"/>
  <c r="L26" i="3"/>
  <c r="M26" i="3"/>
  <c r="N26" i="3"/>
  <c r="C27" i="3"/>
  <c r="D27" i="3"/>
  <c r="E27" i="3"/>
  <c r="F27" i="3"/>
  <c r="G27" i="3"/>
  <c r="H27" i="3"/>
  <c r="I27" i="3"/>
  <c r="J27" i="3"/>
  <c r="K27" i="3"/>
  <c r="L27" i="3"/>
  <c r="M27" i="3"/>
  <c r="N27" i="3"/>
  <c r="C28" i="3"/>
  <c r="D28" i="3"/>
  <c r="E28" i="3"/>
  <c r="F28" i="3"/>
  <c r="G28" i="3"/>
  <c r="H28" i="3"/>
  <c r="I28" i="3"/>
  <c r="J28" i="3"/>
  <c r="K28" i="3"/>
  <c r="L28" i="3"/>
  <c r="M28" i="3"/>
  <c r="N28" i="3"/>
  <c r="C29" i="3"/>
  <c r="D29" i="3"/>
  <c r="E29" i="3"/>
  <c r="F29" i="3"/>
  <c r="G29" i="3"/>
  <c r="H29" i="3"/>
  <c r="I29" i="3"/>
  <c r="J29" i="3"/>
  <c r="K29" i="3"/>
  <c r="L29" i="3"/>
  <c r="M29" i="3"/>
  <c r="N29" i="3"/>
  <c r="B22" i="3"/>
  <c r="B23" i="3"/>
  <c r="B24" i="3"/>
  <c r="B25" i="3"/>
  <c r="B26" i="3"/>
  <c r="B27" i="3"/>
  <c r="B28" i="3"/>
  <c r="B29" i="3"/>
  <c r="B21" i="3"/>
  <c r="C38" i="3"/>
  <c r="D38" i="3"/>
  <c r="E38" i="3"/>
  <c r="F38" i="3"/>
  <c r="G38" i="3"/>
  <c r="H38" i="3"/>
  <c r="I38" i="3"/>
  <c r="J38" i="3"/>
  <c r="K38" i="3"/>
  <c r="L38" i="3"/>
  <c r="M38" i="3"/>
  <c r="N38" i="3"/>
  <c r="C39" i="3"/>
  <c r="D39" i="3"/>
  <c r="E39" i="3"/>
  <c r="F39" i="3"/>
  <c r="G39" i="3"/>
  <c r="H39" i="3"/>
  <c r="I39" i="3"/>
  <c r="J39" i="3"/>
  <c r="K39" i="3"/>
  <c r="L39" i="3"/>
  <c r="M39" i="3"/>
  <c r="N39" i="3"/>
  <c r="C40" i="3"/>
  <c r="D40" i="3"/>
  <c r="E40" i="3"/>
  <c r="F40" i="3"/>
  <c r="G40" i="3"/>
  <c r="H40" i="3"/>
  <c r="I40" i="3"/>
  <c r="J40" i="3"/>
  <c r="K40" i="3"/>
  <c r="L40" i="3"/>
  <c r="M40" i="3"/>
  <c r="N40" i="3"/>
  <c r="C41" i="3"/>
  <c r="D41" i="3"/>
  <c r="E41" i="3"/>
  <c r="F41" i="3"/>
  <c r="G41" i="3"/>
  <c r="H41" i="3"/>
  <c r="I41" i="3"/>
  <c r="J41" i="3"/>
  <c r="K41" i="3"/>
  <c r="L41" i="3"/>
  <c r="M41" i="3"/>
  <c r="N41" i="3"/>
  <c r="C42" i="3"/>
  <c r="D42" i="3"/>
  <c r="E42" i="3"/>
  <c r="F42" i="3"/>
  <c r="G42" i="3"/>
  <c r="H42" i="3"/>
  <c r="I42" i="3"/>
  <c r="J42" i="3"/>
  <c r="K42" i="3"/>
  <c r="L42" i="3"/>
  <c r="M42" i="3"/>
  <c r="N42" i="3"/>
  <c r="C43" i="3"/>
  <c r="D43" i="3"/>
  <c r="E43" i="3"/>
  <c r="F43" i="3"/>
  <c r="G43" i="3"/>
  <c r="H43" i="3"/>
  <c r="I43" i="3"/>
  <c r="J43" i="3"/>
  <c r="K43" i="3"/>
  <c r="L43" i="3"/>
  <c r="M43" i="3"/>
  <c r="N43" i="3"/>
  <c r="C44" i="3"/>
  <c r="D44" i="3"/>
  <c r="E44" i="3"/>
  <c r="F44" i="3"/>
  <c r="G44" i="3"/>
  <c r="H44" i="3"/>
  <c r="I44" i="3"/>
  <c r="J44" i="3"/>
  <c r="K44" i="3"/>
  <c r="L44" i="3"/>
  <c r="M44" i="3"/>
  <c r="C45" i="3"/>
  <c r="D45" i="3"/>
  <c r="E45" i="3"/>
  <c r="F45" i="3"/>
  <c r="G45" i="3"/>
  <c r="H45" i="3"/>
  <c r="I45" i="3"/>
  <c r="J45" i="3"/>
  <c r="K45" i="3"/>
  <c r="L45" i="3"/>
  <c r="M45" i="3"/>
  <c r="N45" i="3"/>
  <c r="C46" i="3"/>
  <c r="D46" i="3"/>
  <c r="E46" i="3"/>
  <c r="F46" i="3"/>
  <c r="G46" i="3"/>
  <c r="H46" i="3"/>
  <c r="I46" i="3"/>
  <c r="J46" i="3"/>
  <c r="K46" i="3"/>
  <c r="L46" i="3"/>
  <c r="M46" i="3"/>
  <c r="N46" i="3"/>
  <c r="B39" i="3"/>
  <c r="B40" i="3"/>
  <c r="B41" i="3"/>
  <c r="B42" i="3"/>
  <c r="B43" i="3"/>
  <c r="B45" i="3"/>
  <c r="B46" i="3"/>
  <c r="B38" i="3"/>
  <c r="N11" i="3"/>
  <c r="B98" i="4"/>
  <c r="C98" i="4"/>
  <c r="D98" i="4"/>
  <c r="E98" i="4"/>
  <c r="F98" i="4"/>
  <c r="G98" i="4"/>
  <c r="H98" i="4"/>
  <c r="I98" i="4"/>
  <c r="J98" i="4"/>
  <c r="K98" i="4"/>
  <c r="B97" i="4"/>
  <c r="B99" i="4"/>
  <c r="C97" i="4"/>
  <c r="A96" i="4"/>
  <c r="B93" i="4"/>
  <c r="B92" i="4"/>
  <c r="T14" i="10"/>
  <c r="A91" i="4"/>
  <c r="C93" i="4"/>
  <c r="D93" i="4"/>
  <c r="E93" i="4"/>
  <c r="F93" i="4"/>
  <c r="G93" i="4"/>
  <c r="H93" i="4"/>
  <c r="I93" i="4"/>
  <c r="J93" i="4"/>
  <c r="K93" i="4"/>
  <c r="B88" i="4"/>
  <c r="C88" i="4"/>
  <c r="D88" i="4"/>
  <c r="E88" i="4"/>
  <c r="F88" i="4"/>
  <c r="G88" i="4"/>
  <c r="H88" i="4"/>
  <c r="I88" i="4"/>
  <c r="J88" i="4"/>
  <c r="K88" i="4"/>
  <c r="B87" i="4"/>
  <c r="A86" i="4"/>
  <c r="B83" i="4"/>
  <c r="C83" i="4"/>
  <c r="D83" i="4"/>
  <c r="E83" i="4"/>
  <c r="F83" i="4"/>
  <c r="G83" i="4"/>
  <c r="H83" i="4"/>
  <c r="I83" i="4"/>
  <c r="J83" i="4"/>
  <c r="K83" i="4"/>
  <c r="B82" i="4"/>
  <c r="A81" i="4"/>
  <c r="B78" i="4"/>
  <c r="C78" i="4"/>
  <c r="D78" i="4"/>
  <c r="E78" i="4"/>
  <c r="F78" i="4"/>
  <c r="G78" i="4"/>
  <c r="H78" i="4"/>
  <c r="I78" i="4"/>
  <c r="J78" i="4"/>
  <c r="K78" i="4"/>
  <c r="B77" i="4"/>
  <c r="T13" i="9"/>
  <c r="AE13" i="9"/>
  <c r="A76" i="4"/>
  <c r="B73" i="4"/>
  <c r="B74" i="4"/>
  <c r="C72" i="4"/>
  <c r="B72" i="4"/>
  <c r="A71" i="4"/>
  <c r="B68" i="4"/>
  <c r="C68" i="4"/>
  <c r="D68" i="4"/>
  <c r="E68" i="4"/>
  <c r="F68" i="4"/>
  <c r="G68" i="4"/>
  <c r="H68" i="4"/>
  <c r="I68" i="4"/>
  <c r="J68" i="4"/>
  <c r="K68" i="4"/>
  <c r="B67" i="4"/>
  <c r="T12" i="11"/>
  <c r="A66" i="4"/>
  <c r="B63" i="4"/>
  <c r="C63" i="4"/>
  <c r="D63" i="4"/>
  <c r="E63" i="4"/>
  <c r="F63" i="4"/>
  <c r="G63" i="4"/>
  <c r="H63" i="4"/>
  <c r="I63" i="4"/>
  <c r="J63" i="4"/>
  <c r="K63" i="4"/>
  <c r="B62" i="4"/>
  <c r="T11" i="10"/>
  <c r="A61" i="4"/>
  <c r="B58" i="4"/>
  <c r="C58" i="4"/>
  <c r="D58" i="4"/>
  <c r="E58" i="4"/>
  <c r="F58" i="4"/>
  <c r="G58" i="4"/>
  <c r="H58" i="4"/>
  <c r="I58" i="4"/>
  <c r="J58" i="4"/>
  <c r="K58" i="4"/>
  <c r="B57" i="4"/>
  <c r="T10" i="10"/>
  <c r="A56" i="4"/>
  <c r="B53" i="4"/>
  <c r="B52" i="4"/>
  <c r="S15" i="5"/>
  <c r="A46" i="4"/>
  <c r="A51" i="4"/>
  <c r="C53" i="4"/>
  <c r="D53" i="4"/>
  <c r="E53" i="4"/>
  <c r="F53" i="4"/>
  <c r="G53" i="4"/>
  <c r="H53" i="4"/>
  <c r="I53" i="4"/>
  <c r="J53" i="4"/>
  <c r="K53" i="4"/>
  <c r="B48" i="4"/>
  <c r="C48" i="4"/>
  <c r="D48" i="4"/>
  <c r="E48" i="4"/>
  <c r="F48" i="4"/>
  <c r="G48" i="4"/>
  <c r="H48" i="4"/>
  <c r="I48" i="4"/>
  <c r="J48" i="4"/>
  <c r="K48" i="4"/>
  <c r="B47" i="4"/>
  <c r="B49" i="4"/>
  <c r="C47" i="4"/>
  <c r="B43" i="4"/>
  <c r="C43" i="4"/>
  <c r="D43" i="4"/>
  <c r="E43" i="4"/>
  <c r="F43" i="4"/>
  <c r="G43" i="4"/>
  <c r="H43" i="4"/>
  <c r="I43" i="4"/>
  <c r="J43" i="4"/>
  <c r="K43" i="4"/>
  <c r="A41" i="4"/>
  <c r="B38" i="4"/>
  <c r="C38" i="4"/>
  <c r="D38" i="4"/>
  <c r="E38" i="4"/>
  <c r="F38" i="4"/>
  <c r="G38" i="4"/>
  <c r="H38" i="4"/>
  <c r="I38" i="4"/>
  <c r="J38" i="4"/>
  <c r="K38" i="4"/>
  <c r="B37" i="4"/>
  <c r="T7" i="9"/>
  <c r="AE7" i="9"/>
  <c r="A36" i="4"/>
  <c r="A31" i="4"/>
  <c r="B32" i="4"/>
  <c r="B33" i="4"/>
  <c r="B34" i="4"/>
  <c r="C33" i="4"/>
  <c r="D33" i="4"/>
  <c r="E33" i="4"/>
  <c r="F33" i="4"/>
  <c r="G33" i="4"/>
  <c r="H33" i="4"/>
  <c r="I33" i="4"/>
  <c r="J33" i="4"/>
  <c r="K33" i="4"/>
  <c r="B28" i="4"/>
  <c r="C28" i="4"/>
  <c r="D28" i="4"/>
  <c r="E28" i="4"/>
  <c r="F28" i="4"/>
  <c r="G28" i="4"/>
  <c r="H28" i="4"/>
  <c r="I28" i="4"/>
  <c r="J28" i="4"/>
  <c r="K28" i="4"/>
  <c r="B27" i="4"/>
  <c r="B29" i="4"/>
  <c r="C27" i="4"/>
  <c r="U3" i="10"/>
  <c r="A26" i="4"/>
  <c r="B23" i="4"/>
  <c r="C23" i="4"/>
  <c r="D23" i="4"/>
  <c r="E23" i="4"/>
  <c r="F23" i="4"/>
  <c r="G23" i="4"/>
  <c r="H23" i="4"/>
  <c r="I23" i="4"/>
  <c r="J23" i="4"/>
  <c r="K23" i="4"/>
  <c r="B22" i="4"/>
  <c r="T2" i="11"/>
  <c r="A21" i="4"/>
  <c r="C242" i="8"/>
  <c r="D242" i="8"/>
  <c r="E242" i="8"/>
  <c r="E243" i="8"/>
  <c r="F242" i="8"/>
  <c r="F243" i="8"/>
  <c r="G242" i="8"/>
  <c r="H242" i="8"/>
  <c r="H243" i="8"/>
  <c r="I242" i="8"/>
  <c r="I243" i="8"/>
  <c r="J242" i="8"/>
  <c r="K242" i="8"/>
  <c r="L242" i="8"/>
  <c r="M242" i="8"/>
  <c r="M243" i="8"/>
  <c r="N242" i="8"/>
  <c r="B243" i="8"/>
  <c r="D200" i="8"/>
  <c r="F200" i="8"/>
  <c r="H200" i="8"/>
  <c r="J200" i="8"/>
  <c r="K200" i="8"/>
  <c r="L200" i="8"/>
  <c r="M200" i="8"/>
  <c r="N200" i="8"/>
  <c r="B200" i="8"/>
  <c r="C196" i="8"/>
  <c r="C197" i="8"/>
  <c r="D196" i="8"/>
  <c r="E196" i="8"/>
  <c r="F196" i="8"/>
  <c r="F197" i="8"/>
  <c r="G196" i="8"/>
  <c r="G197" i="8"/>
  <c r="H196" i="8"/>
  <c r="H197" i="8"/>
  <c r="I196" i="8"/>
  <c r="J196" i="8"/>
  <c r="J197" i="8"/>
  <c r="M196" i="8"/>
  <c r="N196" i="8"/>
  <c r="N197" i="8"/>
  <c r="B196" i="8"/>
  <c r="B197" i="8"/>
  <c r="C146" i="8"/>
  <c r="D146" i="8"/>
  <c r="D149" i="8"/>
  <c r="E146" i="8"/>
  <c r="E149" i="8"/>
  <c r="F146" i="8"/>
  <c r="F149" i="8"/>
  <c r="G146" i="8"/>
  <c r="H146" i="8"/>
  <c r="I146" i="8"/>
  <c r="J146" i="8"/>
  <c r="K146" i="8"/>
  <c r="L146" i="8"/>
  <c r="L149" i="8"/>
  <c r="M146" i="8"/>
  <c r="M149" i="8"/>
  <c r="N149" i="8"/>
  <c r="C42" i="8"/>
  <c r="C51" i="25"/>
  <c r="C52" i="25"/>
  <c r="C60" i="25"/>
  <c r="E70" i="17"/>
  <c r="G66" i="17"/>
  <c r="G76" i="17"/>
  <c r="N63" i="16"/>
  <c r="N64" i="16"/>
  <c r="N60" i="16"/>
  <c r="N65" i="16"/>
  <c r="N68" i="16"/>
  <c r="N80" i="16"/>
  <c r="N69" i="16"/>
  <c r="N78" i="16"/>
  <c r="N72" i="16"/>
  <c r="N83" i="16"/>
  <c r="N81" i="16"/>
  <c r="N75" i="16"/>
  <c r="N67" i="16"/>
  <c r="N58" i="16"/>
  <c r="N70" i="16"/>
  <c r="N66" i="16"/>
  <c r="M75" i="16"/>
  <c r="M64" i="16"/>
  <c r="M60" i="16"/>
  <c r="M65" i="16"/>
  <c r="M72" i="16"/>
  <c r="M68" i="16"/>
  <c r="M82" i="16"/>
  <c r="M83" i="16"/>
  <c r="M78" i="16"/>
  <c r="M80" i="16"/>
  <c r="M81" i="16"/>
  <c r="M79" i="16"/>
  <c r="M58" i="16"/>
  <c r="M156" i="8"/>
  <c r="L82" i="16"/>
  <c r="L63" i="16"/>
  <c r="L64" i="16"/>
  <c r="L60" i="16"/>
  <c r="L73" i="16"/>
  <c r="L71" i="16"/>
  <c r="L156" i="8"/>
  <c r="L83" i="16"/>
  <c r="L81" i="16"/>
  <c r="L70" i="16"/>
  <c r="L80" i="16"/>
  <c r="L79" i="16"/>
  <c r="J157" i="8"/>
  <c r="J60" i="16"/>
  <c r="J64" i="16"/>
  <c r="J58" i="16"/>
  <c r="J74" i="16"/>
  <c r="J67" i="16"/>
  <c r="K149" i="8"/>
  <c r="J82" i="16"/>
  <c r="J80" i="16"/>
  <c r="J78" i="16"/>
  <c r="J69" i="16"/>
  <c r="J65" i="16"/>
  <c r="J70" i="16"/>
  <c r="J71" i="16"/>
  <c r="J68" i="16"/>
  <c r="J83" i="16"/>
  <c r="H66" i="16"/>
  <c r="H70" i="16"/>
  <c r="H73" i="16"/>
  <c r="H63" i="16"/>
  <c r="H60" i="16"/>
  <c r="H78" i="16"/>
  <c r="H64" i="16"/>
  <c r="H156" i="8"/>
  <c r="H82" i="16"/>
  <c r="H77" i="16"/>
  <c r="H65" i="16"/>
  <c r="H59" i="16"/>
  <c r="H81" i="16"/>
  <c r="H71" i="16"/>
  <c r="H74" i="16"/>
  <c r="H67" i="16"/>
  <c r="F70" i="16"/>
  <c r="F80" i="16"/>
  <c r="F69" i="16"/>
  <c r="F68" i="16"/>
  <c r="F59" i="16"/>
  <c r="F67" i="16"/>
  <c r="F77" i="16"/>
  <c r="F60" i="16"/>
  <c r="D71" i="16"/>
  <c r="D82" i="16"/>
  <c r="D70" i="16"/>
  <c r="D73" i="16"/>
  <c r="D75" i="16"/>
  <c r="D78" i="16"/>
  <c r="D60" i="16"/>
  <c r="D81" i="16"/>
  <c r="D74" i="16"/>
  <c r="D156" i="8"/>
  <c r="D65" i="16"/>
  <c r="E60" i="16"/>
  <c r="E82" i="16"/>
  <c r="D80" i="16"/>
  <c r="D69" i="16"/>
  <c r="D157" i="8"/>
  <c r="D79" i="16"/>
  <c r="K156" i="8"/>
  <c r="K63" i="16"/>
  <c r="K60" i="16"/>
  <c r="K82" i="16"/>
  <c r="K78" i="16"/>
  <c r="K67" i="16"/>
  <c r="K71" i="16"/>
  <c r="K68" i="16"/>
  <c r="K65" i="16"/>
  <c r="K77" i="16"/>
  <c r="K157" i="8"/>
  <c r="K83" i="16"/>
  <c r="K64" i="16"/>
  <c r="K70" i="16"/>
  <c r="K81" i="16"/>
  <c r="K79" i="16"/>
  <c r="K75" i="16"/>
  <c r="K58" i="16"/>
  <c r="K80" i="16"/>
  <c r="I156" i="8"/>
  <c r="I69" i="16"/>
  <c r="G68" i="16"/>
  <c r="G83" i="16"/>
  <c r="G82" i="16"/>
  <c r="E64" i="16"/>
  <c r="C149" i="8"/>
  <c r="B83" i="16"/>
  <c r="B82" i="16"/>
  <c r="B65" i="16"/>
  <c r="B81" i="16"/>
  <c r="B64" i="16"/>
  <c r="B80" i="16"/>
  <c r="B149" i="8"/>
  <c r="B157" i="8"/>
  <c r="B156" i="8"/>
  <c r="B77" i="16"/>
  <c r="B78" i="16"/>
  <c r="B79" i="16"/>
  <c r="B75" i="16"/>
  <c r="B73" i="16"/>
  <c r="B70" i="16"/>
  <c r="B71" i="16"/>
  <c r="B59" i="16"/>
  <c r="T15" i="9"/>
  <c r="AE15" i="9"/>
  <c r="C22" i="4"/>
  <c r="B54" i="4"/>
  <c r="C52" i="4"/>
  <c r="T13" i="10"/>
  <c r="T13" i="11"/>
  <c r="S7" i="5"/>
  <c r="S13" i="5"/>
  <c r="T3" i="10"/>
  <c r="B69" i="4"/>
  <c r="S9" i="5"/>
  <c r="T9" i="9"/>
  <c r="AE9" i="9"/>
  <c r="T15" i="11"/>
  <c r="T11" i="11"/>
  <c r="T7" i="11"/>
  <c r="S10" i="5"/>
  <c r="T2" i="10"/>
  <c r="T12" i="10"/>
  <c r="T8" i="10"/>
  <c r="S3" i="5"/>
  <c r="T9" i="10"/>
  <c r="B94" i="4"/>
  <c r="C92" i="4"/>
  <c r="S11" i="5"/>
  <c r="T2" i="9"/>
  <c r="T10" i="9"/>
  <c r="AE10" i="9"/>
  <c r="T14" i="9"/>
  <c r="AE14" i="9"/>
  <c r="T14" i="11"/>
  <c r="T10" i="11"/>
  <c r="S12" i="5"/>
  <c r="S2" i="5"/>
  <c r="T15" i="10"/>
  <c r="T7" i="10"/>
  <c r="U3" i="11"/>
  <c r="T3" i="11"/>
  <c r="T9" i="11"/>
  <c r="S14" i="5"/>
  <c r="T3" i="5"/>
  <c r="U3" i="9"/>
  <c r="T3" i="9"/>
  <c r="S8" i="5"/>
  <c r="T8" i="9"/>
  <c r="AE8" i="9"/>
  <c r="T12" i="9"/>
  <c r="AE12" i="9"/>
  <c r="T8" i="11"/>
  <c r="E40" i="9"/>
  <c r="E52" i="9"/>
  <c r="C46" i="18"/>
  <c r="K65" i="9"/>
  <c r="I173" i="8"/>
  <c r="G69" i="9"/>
  <c r="E115" i="18"/>
  <c r="E82" i="9"/>
  <c r="N130" i="8"/>
  <c r="N127" i="8"/>
  <c r="F126" i="8"/>
  <c r="D123" i="8"/>
  <c r="M177" i="8"/>
  <c r="M174" i="8"/>
  <c r="J173" i="8"/>
  <c r="F65" i="16"/>
  <c r="F153" i="8"/>
  <c r="F157" i="8"/>
  <c r="I41" i="9"/>
  <c r="F47" i="18"/>
  <c r="D45" i="18"/>
  <c r="H119" i="18"/>
  <c r="C28" i="9"/>
  <c r="K56" i="9"/>
  <c r="I50" i="18"/>
  <c r="G70" i="9"/>
  <c r="E116" i="18"/>
  <c r="K90" i="9"/>
  <c r="I81" i="16"/>
  <c r="H174" i="8"/>
  <c r="F78" i="16"/>
  <c r="J118" i="18"/>
  <c r="G54" i="9"/>
  <c r="E48" i="18"/>
  <c r="I68" i="9"/>
  <c r="G114" i="18"/>
  <c r="E77" i="9"/>
  <c r="C64" i="16"/>
  <c r="G53" i="9"/>
  <c r="E47" i="18"/>
  <c r="I58" i="9"/>
  <c r="G52" i="18"/>
  <c r="K55" i="9"/>
  <c r="I49" i="18"/>
  <c r="G56" i="9"/>
  <c r="E50" i="18"/>
  <c r="I61" i="9"/>
  <c r="G77" i="16"/>
  <c r="K66" i="9"/>
  <c r="K82" i="9"/>
  <c r="B128" i="8"/>
  <c r="J179" i="8"/>
  <c r="F176" i="8"/>
  <c r="M69" i="16"/>
  <c r="L66" i="16"/>
  <c r="F58" i="16"/>
  <c r="G38" i="9"/>
  <c r="K53" i="18"/>
  <c r="M66" i="16"/>
  <c r="G37" i="9"/>
  <c r="G42" i="9"/>
  <c r="E57" i="9"/>
  <c r="C129" i="8"/>
  <c r="G62" i="9"/>
  <c r="E59" i="16"/>
  <c r="I67" i="9"/>
  <c r="G175" i="8"/>
  <c r="E72" i="9"/>
  <c r="C118" i="18"/>
  <c r="G80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A44" i="8"/>
  <c r="B124" i="8"/>
  <c r="H130" i="8"/>
  <c r="J128" i="8"/>
  <c r="K123" i="8"/>
  <c r="J180" i="8"/>
  <c r="M178" i="8"/>
  <c r="F83" i="16"/>
  <c r="M77" i="16"/>
  <c r="D64" i="16"/>
  <c r="F152" i="8"/>
  <c r="F156" i="8"/>
  <c r="L51" i="18"/>
  <c r="D115" i="18"/>
  <c r="F113" i="18"/>
  <c r="G22" i="9"/>
  <c r="E68" i="8"/>
  <c r="I34" i="9"/>
  <c r="I26" i="9"/>
  <c r="G72" i="8"/>
  <c r="I47" i="9"/>
  <c r="G76" i="9"/>
  <c r="G68" i="9"/>
  <c r="E176" i="8"/>
  <c r="I74" i="9"/>
  <c r="K87" i="9"/>
  <c r="I42" i="9"/>
  <c r="I62" i="9"/>
  <c r="G153" i="8"/>
  <c r="G157" i="8"/>
  <c r="I72" i="9"/>
  <c r="G118" i="18"/>
  <c r="I80" i="9"/>
  <c r="N131" i="8"/>
  <c r="M126" i="8"/>
  <c r="J123" i="8"/>
  <c r="D177" i="8"/>
  <c r="J79" i="16"/>
  <c r="M153" i="8"/>
  <c r="M157" i="8"/>
  <c r="G33" i="9"/>
  <c r="I33" i="9"/>
  <c r="I25" i="9"/>
  <c r="G71" i="8"/>
  <c r="D43" i="8"/>
  <c r="K46" i="9"/>
  <c r="K48" i="9"/>
  <c r="I82" i="9"/>
  <c r="F48" i="18"/>
  <c r="D178" i="8"/>
  <c r="M114" i="18"/>
  <c r="E51" i="9"/>
  <c r="C45" i="18"/>
  <c r="K51" i="9"/>
  <c r="I45" i="18"/>
  <c r="F63" i="16"/>
  <c r="E49" i="9"/>
  <c r="G44" i="8"/>
  <c r="E56" i="9"/>
  <c r="C50" i="18"/>
  <c r="K63" i="9"/>
  <c r="I79" i="16"/>
  <c r="G72" i="9"/>
  <c r="E118" i="18"/>
  <c r="C54" i="9"/>
  <c r="B123" i="8"/>
  <c r="J124" i="8"/>
  <c r="F82" i="16"/>
  <c r="N79" i="16"/>
  <c r="J44" i="8"/>
  <c r="B45" i="18"/>
  <c r="M52" i="18"/>
  <c r="F69" i="8"/>
  <c r="G48" i="9"/>
  <c r="E91" i="9"/>
  <c r="C82" i="16"/>
  <c r="C52" i="9"/>
  <c r="B73" i="8"/>
  <c r="B130" i="8"/>
  <c r="N126" i="8"/>
  <c r="J175" i="8"/>
  <c r="B63" i="16"/>
  <c r="H69" i="16"/>
  <c r="H68" i="16"/>
  <c r="D67" i="16"/>
  <c r="L65" i="16"/>
  <c r="D48" i="8"/>
  <c r="H153" i="8"/>
  <c r="H157" i="8"/>
  <c r="B52" i="18"/>
  <c r="K49" i="18"/>
  <c r="K54" i="18"/>
  <c r="K71" i="18"/>
  <c r="K82" i="18"/>
  <c r="K93" i="18"/>
  <c r="M111" i="18"/>
  <c r="M120" i="18"/>
  <c r="K34" i="9"/>
  <c r="E34" i="9"/>
  <c r="E26" i="9"/>
  <c r="C72" i="8"/>
  <c r="G49" i="9"/>
  <c r="K49" i="9"/>
  <c r="C55" i="9"/>
  <c r="C83" i="9"/>
  <c r="K52" i="9"/>
  <c r="I124" i="8"/>
  <c r="D77" i="16"/>
  <c r="K66" i="16"/>
  <c r="H49" i="18"/>
  <c r="H54" i="18"/>
  <c r="H69" i="18"/>
  <c r="H80" i="18"/>
  <c r="D47" i="18"/>
  <c r="B114" i="18"/>
  <c r="H116" i="18"/>
  <c r="G31" i="9"/>
  <c r="P21" i="9"/>
  <c r="K62" i="9"/>
  <c r="I153" i="8"/>
  <c r="I157" i="8"/>
  <c r="E66" i="9"/>
  <c r="E68" i="9"/>
  <c r="C114" i="18"/>
  <c r="E74" i="9"/>
  <c r="K81" i="9"/>
  <c r="D125" i="8"/>
  <c r="D176" i="8"/>
  <c r="D174" i="8"/>
  <c r="B66" i="16"/>
  <c r="H80" i="16"/>
  <c r="H79" i="16"/>
  <c r="H75" i="16"/>
  <c r="K73" i="16"/>
  <c r="D68" i="16"/>
  <c r="J66" i="16"/>
  <c r="D59" i="16"/>
  <c r="B43" i="8"/>
  <c r="N153" i="8"/>
  <c r="N157" i="8"/>
  <c r="N51" i="18"/>
  <c r="B113" i="18"/>
  <c r="M113" i="18"/>
  <c r="E48" i="9"/>
  <c r="C63" i="16"/>
  <c r="I48" i="9"/>
  <c r="E38" i="9"/>
  <c r="D83" i="16"/>
  <c r="E53" i="9"/>
  <c r="C125" i="8"/>
  <c r="E55" i="9"/>
  <c r="C127" i="8"/>
  <c r="E41" i="9"/>
  <c r="G55" i="9"/>
  <c r="E49" i="18"/>
  <c r="K57" i="9"/>
  <c r="I51" i="18"/>
  <c r="E61" i="9"/>
  <c r="C152" i="8"/>
  <c r="C156" i="8"/>
  <c r="E63" i="9"/>
  <c r="C68" i="16"/>
  <c r="G66" i="9"/>
  <c r="I70" i="9"/>
  <c r="G116" i="18"/>
  <c r="I78" i="9"/>
  <c r="E84" i="9"/>
  <c r="E92" i="9"/>
  <c r="C65" i="16"/>
  <c r="C51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B67" i="16"/>
  <c r="J73" i="16"/>
  <c r="N59" i="16"/>
  <c r="N43" i="8"/>
  <c r="M46" i="18"/>
  <c r="M54" i="18"/>
  <c r="H117" i="18"/>
  <c r="L113" i="18"/>
  <c r="C25" i="9"/>
  <c r="K28" i="9"/>
  <c r="I74" i="8"/>
  <c r="I55" i="9"/>
  <c r="G61" i="9"/>
  <c r="E77" i="16"/>
  <c r="G63" i="9"/>
  <c r="I66" i="9"/>
  <c r="G112" i="18"/>
  <c r="K70" i="9"/>
  <c r="I178" i="8"/>
  <c r="G82" i="9"/>
  <c r="G84" i="9"/>
  <c r="G90" i="9"/>
  <c r="G92" i="9"/>
  <c r="E65" i="16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D71" i="8"/>
  <c r="H127" i="8"/>
  <c r="H126" i="8"/>
  <c r="D181" i="8"/>
  <c r="B68" i="16"/>
  <c r="L68" i="16"/>
  <c r="D66" i="16"/>
  <c r="L153" i="8"/>
  <c r="L157" i="8"/>
  <c r="F71" i="8"/>
  <c r="K26" i="9"/>
  <c r="I72" i="8"/>
  <c r="E29" i="9"/>
  <c r="C75" i="8"/>
  <c r="F180" i="8"/>
  <c r="E39" i="9"/>
  <c r="G39" i="9"/>
  <c r="G58" i="9"/>
  <c r="E130" i="8"/>
  <c r="K68" i="9"/>
  <c r="I90" i="9"/>
  <c r="G81" i="16"/>
  <c r="C87" i="9"/>
  <c r="B69" i="16"/>
  <c r="C29" i="9"/>
  <c r="G47" i="9"/>
  <c r="E42" i="8"/>
  <c r="K47" i="9"/>
  <c r="C58" i="9"/>
  <c r="N46" i="17"/>
  <c r="F46" i="17"/>
  <c r="M69" i="17"/>
  <c r="M66" i="17"/>
  <c r="M76" i="17"/>
  <c r="E69" i="17"/>
  <c r="E66" i="17"/>
  <c r="E76" i="17"/>
  <c r="N183" i="18"/>
  <c r="N185" i="18"/>
  <c r="N66" i="17"/>
  <c r="N76" i="17"/>
  <c r="K70" i="17"/>
  <c r="L69" i="17"/>
  <c r="L66" i="17"/>
  <c r="L76" i="17"/>
  <c r="D66" i="17"/>
  <c r="D76" i="17"/>
  <c r="K69" i="17"/>
  <c r="K66" i="17"/>
  <c r="K76" i="17"/>
  <c r="C66" i="17"/>
  <c r="C76" i="17"/>
  <c r="C70" i="17"/>
  <c r="B76" i="17"/>
  <c r="B69" i="17"/>
  <c r="J69" i="17"/>
  <c r="J66" i="17"/>
  <c r="J76" i="17"/>
  <c r="B183" i="18"/>
  <c r="B185" i="18"/>
  <c r="I69" i="17"/>
  <c r="I66" i="17"/>
  <c r="I76" i="17"/>
  <c r="F66" i="17"/>
  <c r="F76" i="17"/>
  <c r="G69" i="17"/>
  <c r="H69" i="17"/>
  <c r="H66" i="17"/>
  <c r="H76" i="17"/>
  <c r="N14" i="3"/>
  <c r="N15" i="3"/>
  <c r="O11" i="3"/>
  <c r="O14" i="3"/>
  <c r="O15" i="3"/>
  <c r="S72" i="12"/>
  <c r="S142" i="12"/>
  <c r="S228" i="12"/>
  <c r="M70" i="17"/>
  <c r="G70" i="17"/>
  <c r="M46" i="17"/>
  <c r="E46" i="17"/>
  <c r="F70" i="17"/>
  <c r="I70" i="17"/>
  <c r="H70" i="17"/>
  <c r="N70" i="17"/>
  <c r="D70" i="17"/>
  <c r="L70" i="17"/>
  <c r="J70" i="17"/>
  <c r="J183" i="18"/>
  <c r="J185" i="18"/>
  <c r="F72" i="17"/>
  <c r="J71" i="17"/>
  <c r="L72" i="17"/>
  <c r="D72" i="17"/>
  <c r="H71" i="17"/>
  <c r="B71" i="17"/>
  <c r="C46" i="17"/>
  <c r="C84" i="11"/>
  <c r="C67" i="11"/>
  <c r="C57" i="11"/>
  <c r="C44" i="11"/>
  <c r="C36" i="11"/>
  <c r="C25" i="11"/>
  <c r="I21" i="11"/>
  <c r="C83" i="11"/>
  <c r="C66" i="11"/>
  <c r="C43" i="11"/>
  <c r="C24" i="11"/>
  <c r="C50" i="11"/>
  <c r="C37" i="11"/>
  <c r="C82" i="11"/>
  <c r="C73" i="11"/>
  <c r="C65" i="11"/>
  <c r="C55" i="11"/>
  <c r="C23" i="11"/>
  <c r="C81" i="11"/>
  <c r="C64" i="11"/>
  <c r="C54" i="11"/>
  <c r="C41" i="11"/>
  <c r="C22" i="11"/>
  <c r="F21" i="11"/>
  <c r="C88" i="11"/>
  <c r="C80" i="11"/>
  <c r="C71" i="11"/>
  <c r="C53" i="11"/>
  <c r="P21" i="11"/>
  <c r="C58" i="11"/>
  <c r="C45" i="11"/>
  <c r="C87" i="11"/>
  <c r="C28" i="11"/>
  <c r="E21" i="10"/>
  <c r="C81" i="10"/>
  <c r="C69" i="10"/>
  <c r="C53" i="10"/>
  <c r="C42" i="10"/>
  <c r="C26" i="10"/>
  <c r="K23" i="10"/>
  <c r="I25" i="10"/>
  <c r="G27" i="10"/>
  <c r="E29" i="10"/>
  <c r="C88" i="10"/>
  <c r="C80" i="10"/>
  <c r="C68" i="10"/>
  <c r="C52" i="10"/>
  <c r="C41" i="10"/>
  <c r="C25" i="10"/>
  <c r="C87" i="10"/>
  <c r="C79" i="10"/>
  <c r="C67" i="10"/>
  <c r="C51" i="10"/>
  <c r="C40" i="10"/>
  <c r="C24" i="10"/>
  <c r="C86" i="10"/>
  <c r="C66" i="10"/>
  <c r="C58" i="10"/>
  <c r="C50" i="10"/>
  <c r="C39" i="10"/>
  <c r="C23" i="10"/>
  <c r="G52" i="10"/>
  <c r="I92" i="10"/>
  <c r="C85" i="10"/>
  <c r="C73" i="10"/>
  <c r="C65" i="10"/>
  <c r="C57" i="10"/>
  <c r="C38" i="10"/>
  <c r="C30" i="10"/>
  <c r="I29" i="10"/>
  <c r="I21" i="10"/>
  <c r="G31" i="10"/>
  <c r="E33" i="10"/>
  <c r="G40" i="10"/>
  <c r="E42" i="10"/>
  <c r="I46" i="10"/>
  <c r="E51" i="10"/>
  <c r="G57" i="10"/>
  <c r="E59" i="10"/>
  <c r="I63" i="10"/>
  <c r="G66" i="10"/>
  <c r="E68" i="10"/>
  <c r="I72" i="10"/>
  <c r="G74" i="10"/>
  <c r="I81" i="10"/>
  <c r="G83" i="10"/>
  <c r="E85" i="10"/>
  <c r="I89" i="10"/>
  <c r="G91" i="10"/>
  <c r="C84" i="10"/>
  <c r="C72" i="10"/>
  <c r="C64" i="10"/>
  <c r="C56" i="10"/>
  <c r="C45" i="10"/>
  <c r="C37" i="10"/>
  <c r="C29" i="10"/>
  <c r="C44" i="10"/>
  <c r="C28" i="10"/>
  <c r="C85" i="9"/>
  <c r="N82" i="16"/>
  <c r="C84" i="9"/>
  <c r="C82" i="9"/>
  <c r="C80" i="9"/>
  <c r="C81" i="9"/>
  <c r="C86" i="9"/>
  <c r="C88" i="9"/>
  <c r="K88" i="9"/>
  <c r="I88" i="9"/>
  <c r="I83" i="16"/>
  <c r="I86" i="9"/>
  <c r="I87" i="9"/>
  <c r="G65" i="16"/>
  <c r="E81" i="16"/>
  <c r="G88" i="9"/>
  <c r="G81" i="9"/>
  <c r="G85" i="9"/>
  <c r="I81" i="9"/>
  <c r="I85" i="9"/>
  <c r="G86" i="9"/>
  <c r="G89" i="9"/>
  <c r="I89" i="9"/>
  <c r="C81" i="16"/>
  <c r="E87" i="9"/>
  <c r="E88" i="9"/>
  <c r="L180" i="8"/>
  <c r="K116" i="18"/>
  <c r="K114" i="18"/>
  <c r="K120" i="18"/>
  <c r="K136" i="18"/>
  <c r="L69" i="16"/>
  <c r="K180" i="8"/>
  <c r="R74" i="9"/>
  <c r="L174" i="8"/>
  <c r="K69" i="16"/>
  <c r="L176" i="8"/>
  <c r="K174" i="8"/>
  <c r="L178" i="8"/>
  <c r="I113" i="18"/>
  <c r="J119" i="18"/>
  <c r="J120" i="18"/>
  <c r="J137" i="18"/>
  <c r="K73" i="9"/>
  <c r="J176" i="8"/>
  <c r="I111" i="18"/>
  <c r="I119" i="18"/>
  <c r="I181" i="8"/>
  <c r="I80" i="16"/>
  <c r="K71" i="9"/>
  <c r="I180" i="8"/>
  <c r="I115" i="18"/>
  <c r="G178" i="8"/>
  <c r="I71" i="9"/>
  <c r="G179" i="8"/>
  <c r="I73" i="9"/>
  <c r="G119" i="18"/>
  <c r="G113" i="18"/>
  <c r="G177" i="8"/>
  <c r="F181" i="8"/>
  <c r="G176" i="8"/>
  <c r="G180" i="8"/>
  <c r="F119" i="18"/>
  <c r="E114" i="18"/>
  <c r="G111" i="18"/>
  <c r="F111" i="18"/>
  <c r="E173" i="8"/>
  <c r="G71" i="9"/>
  <c r="G73" i="9"/>
  <c r="E178" i="8"/>
  <c r="E180" i="8"/>
  <c r="E175" i="8"/>
  <c r="E80" i="16"/>
  <c r="C180" i="8"/>
  <c r="E177" i="8"/>
  <c r="E71" i="9"/>
  <c r="B117" i="18"/>
  <c r="B116" i="18"/>
  <c r="C119" i="18"/>
  <c r="C115" i="18"/>
  <c r="C113" i="18"/>
  <c r="E70" i="9"/>
  <c r="E78" i="9"/>
  <c r="E65" i="9"/>
  <c r="B173" i="8"/>
  <c r="C53" i="9"/>
  <c r="C59" i="9"/>
  <c r="N77" i="16"/>
  <c r="N128" i="8"/>
  <c r="N50" i="18"/>
  <c r="C57" i="9"/>
  <c r="C56" i="9"/>
  <c r="N156" i="8"/>
  <c r="L58" i="16"/>
  <c r="L59" i="16"/>
  <c r="L45" i="18"/>
  <c r="L124" i="8"/>
  <c r="L77" i="16"/>
  <c r="L47" i="18"/>
  <c r="K128" i="8"/>
  <c r="K59" i="16"/>
  <c r="J152" i="8"/>
  <c r="J156" i="8"/>
  <c r="J125" i="8"/>
  <c r="I78" i="16"/>
  <c r="J77" i="16"/>
  <c r="J59" i="16"/>
  <c r="J53" i="18"/>
  <c r="J54" i="18"/>
  <c r="I130" i="8"/>
  <c r="I129" i="8"/>
  <c r="H129" i="8"/>
  <c r="I127" i="8"/>
  <c r="I77" i="16"/>
  <c r="I47" i="18"/>
  <c r="H131" i="8"/>
  <c r="I48" i="18"/>
  <c r="I59" i="9"/>
  <c r="G131" i="8"/>
  <c r="I128" i="8"/>
  <c r="I58" i="16"/>
  <c r="H58" i="16"/>
  <c r="K59" i="9"/>
  <c r="G124" i="8"/>
  <c r="I123" i="8"/>
  <c r="G130" i="8"/>
  <c r="F131" i="8"/>
  <c r="E127" i="8"/>
  <c r="G79" i="16"/>
  <c r="F53" i="18"/>
  <c r="G48" i="18"/>
  <c r="F130" i="8"/>
  <c r="E153" i="8"/>
  <c r="E157" i="8"/>
  <c r="F52" i="18"/>
  <c r="G57" i="9"/>
  <c r="E51" i="18"/>
  <c r="G58" i="16"/>
  <c r="G152" i="8"/>
  <c r="G156" i="8"/>
  <c r="G47" i="18"/>
  <c r="I57" i="9"/>
  <c r="F129" i="8"/>
  <c r="G128" i="8"/>
  <c r="E58" i="16"/>
  <c r="G123" i="8"/>
  <c r="E123" i="8"/>
  <c r="G59" i="9"/>
  <c r="D58" i="16"/>
  <c r="E124" i="8"/>
  <c r="D131" i="8"/>
  <c r="E126" i="8"/>
  <c r="E152" i="8"/>
  <c r="E156" i="8"/>
  <c r="E59" i="9"/>
  <c r="C131" i="8"/>
  <c r="C124" i="8"/>
  <c r="E78" i="16"/>
  <c r="C126" i="8"/>
  <c r="C59" i="16"/>
  <c r="C130" i="8"/>
  <c r="E125" i="8"/>
  <c r="B131" i="8"/>
  <c r="C77" i="16"/>
  <c r="B129" i="8"/>
  <c r="C153" i="8"/>
  <c r="C157" i="8"/>
  <c r="C49" i="18"/>
  <c r="B53" i="18"/>
  <c r="B58" i="16"/>
  <c r="C58" i="16"/>
  <c r="B125" i="8"/>
  <c r="C123" i="8"/>
  <c r="M43" i="8"/>
  <c r="M47" i="8"/>
  <c r="M63" i="16"/>
  <c r="K74" i="16"/>
  <c r="K46" i="8"/>
  <c r="F75" i="16"/>
  <c r="B74" i="16"/>
  <c r="G71" i="16"/>
  <c r="D75" i="8"/>
  <c r="L43" i="8"/>
  <c r="L47" i="8"/>
  <c r="E33" i="9"/>
  <c r="E25" i="9"/>
  <c r="C71" i="8"/>
  <c r="E31" i="9"/>
  <c r="E23" i="9"/>
  <c r="C69" i="8"/>
  <c r="G29" i="9"/>
  <c r="E75" i="8"/>
  <c r="K35" i="9"/>
  <c r="I73" i="16"/>
  <c r="K27" i="9"/>
  <c r="I73" i="8"/>
  <c r="K33" i="9"/>
  <c r="I62" i="16"/>
  <c r="K25" i="9"/>
  <c r="I71" i="8"/>
  <c r="I37" i="9"/>
  <c r="H42" i="8"/>
  <c r="H44" i="8"/>
  <c r="H48" i="8"/>
  <c r="E28" i="9"/>
  <c r="C74" i="8"/>
  <c r="G34" i="9"/>
  <c r="I32" i="9"/>
  <c r="G70" i="16"/>
  <c r="I24" i="9"/>
  <c r="G70" i="8"/>
  <c r="L75" i="16"/>
  <c r="K22" i="9"/>
  <c r="I68" i="8"/>
  <c r="I38" i="9"/>
  <c r="D63" i="16"/>
  <c r="G44" i="9"/>
  <c r="W48" i="9"/>
  <c r="T43" i="8"/>
  <c r="E43" i="9"/>
  <c r="G23" i="9"/>
  <c r="E69" i="8"/>
  <c r="F21" i="9"/>
  <c r="L48" i="8"/>
  <c r="F75" i="8"/>
  <c r="I29" i="9"/>
  <c r="G75" i="8"/>
  <c r="G35" i="9"/>
  <c r="E66" i="16"/>
  <c r="G27" i="9"/>
  <c r="E73" i="8"/>
  <c r="E44" i="9"/>
  <c r="C42" i="9"/>
  <c r="C27" i="9"/>
  <c r="E35" i="9"/>
  <c r="C67" i="16"/>
  <c r="K32" i="9"/>
  <c r="I70" i="16"/>
  <c r="N21" i="9"/>
  <c r="M21" i="9"/>
  <c r="K24" i="9"/>
  <c r="I70" i="8"/>
  <c r="E32" i="9"/>
  <c r="C70" i="16"/>
  <c r="B48" i="8"/>
  <c r="F74" i="16"/>
  <c r="W44" i="8"/>
  <c r="J75" i="16"/>
  <c r="M74" i="16"/>
  <c r="N44" i="8"/>
  <c r="F44" i="8"/>
  <c r="V44" i="8"/>
  <c r="S43" i="8"/>
  <c r="X44" i="8"/>
  <c r="P44" i="8"/>
  <c r="N74" i="16"/>
  <c r="O44" i="8"/>
  <c r="I75" i="16"/>
  <c r="J63" i="16"/>
  <c r="M44" i="8"/>
  <c r="M48" i="8"/>
  <c r="E44" i="8"/>
  <c r="E48" i="8"/>
  <c r="U44" i="8"/>
  <c r="R43" i="8"/>
  <c r="K47" i="8"/>
  <c r="T44" i="8"/>
  <c r="Q43" i="8"/>
  <c r="S44" i="8"/>
  <c r="P43" i="8"/>
  <c r="Q47" i="9"/>
  <c r="Z44" i="8"/>
  <c r="R44" i="8"/>
  <c r="O43" i="8"/>
  <c r="Y44" i="8"/>
  <c r="Q44" i="8"/>
  <c r="B47" i="8"/>
  <c r="C44" i="8"/>
  <c r="C48" i="8"/>
  <c r="C46" i="8"/>
  <c r="C74" i="16"/>
  <c r="L62" i="16"/>
  <c r="L69" i="8"/>
  <c r="L67" i="16"/>
  <c r="K62" i="16"/>
  <c r="K69" i="8"/>
  <c r="K31" i="9"/>
  <c r="K23" i="9"/>
  <c r="I69" i="8"/>
  <c r="J62" i="16"/>
  <c r="I66" i="16"/>
  <c r="J21" i="9"/>
  <c r="K30" i="9"/>
  <c r="I76" i="8"/>
  <c r="I22" i="9"/>
  <c r="G68" i="8"/>
  <c r="I30" i="9"/>
  <c r="G76" i="8"/>
  <c r="I27" i="9"/>
  <c r="G73" i="8"/>
  <c r="I28" i="9"/>
  <c r="G74" i="8"/>
  <c r="F73" i="8"/>
  <c r="I35" i="9"/>
  <c r="F66" i="16"/>
  <c r="G26" i="9"/>
  <c r="E72" i="8"/>
  <c r="D76" i="8"/>
  <c r="E30" i="9"/>
  <c r="C76" i="8"/>
  <c r="G28" i="9"/>
  <c r="E74" i="8"/>
  <c r="G24" i="9"/>
  <c r="E70" i="8"/>
  <c r="G32" i="9"/>
  <c r="E70" i="16"/>
  <c r="G30" i="9"/>
  <c r="E76" i="8"/>
  <c r="E24" i="9"/>
  <c r="C70" i="8"/>
  <c r="E22" i="9"/>
  <c r="C68" i="8"/>
  <c r="B76" i="8"/>
  <c r="O72" i="16"/>
  <c r="N71" i="8"/>
  <c r="N71" i="16"/>
  <c r="F71" i="16"/>
  <c r="C26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N73" i="16"/>
  <c r="F73" i="16"/>
  <c r="M71" i="16"/>
  <c r="L21" i="9"/>
  <c r="H21" i="9"/>
  <c r="N73" i="8"/>
  <c r="M73" i="16"/>
  <c r="E73" i="16"/>
  <c r="C24" i="9"/>
  <c r="C22" i="9"/>
  <c r="C23" i="9"/>
  <c r="N75" i="8"/>
  <c r="C30" i="9"/>
  <c r="B74" i="8"/>
  <c r="E4" i="18"/>
  <c r="I4" i="18"/>
  <c r="K4" i="18"/>
  <c r="C4" i="18"/>
  <c r="L4" i="18"/>
  <c r="D120" i="18"/>
  <c r="D140" i="18"/>
  <c r="L120" i="18"/>
  <c r="L134" i="18"/>
  <c r="N120" i="18"/>
  <c r="N136" i="18"/>
  <c r="N4" i="18"/>
  <c r="F4" i="18"/>
  <c r="M4" i="18"/>
  <c r="H4" i="18"/>
  <c r="G4" i="18"/>
  <c r="H46" i="17"/>
  <c r="I46" i="17"/>
  <c r="J4" i="18"/>
  <c r="C41" i="9"/>
  <c r="C43" i="9"/>
  <c r="C21" i="9"/>
  <c r="C50" i="9"/>
  <c r="C40" i="9"/>
  <c r="C36" i="9"/>
  <c r="C38" i="9"/>
  <c r="C39" i="9"/>
  <c r="C64" i="9"/>
  <c r="C37" i="9"/>
  <c r="C79" i="9"/>
  <c r="C45" i="9"/>
  <c r="I43" i="9"/>
  <c r="G45" i="9"/>
  <c r="E37" i="9"/>
  <c r="E45" i="9"/>
  <c r="O46" i="17"/>
  <c r="G46" i="17"/>
  <c r="L46" i="17"/>
  <c r="D46" i="17"/>
  <c r="K46" i="17"/>
  <c r="J46" i="17"/>
  <c r="T72" i="12"/>
  <c r="U72" i="12"/>
  <c r="V72" i="12"/>
  <c r="R75" i="12"/>
  <c r="R134" i="12"/>
  <c r="R220" i="12"/>
  <c r="S170" i="12"/>
  <c r="S256" i="12"/>
  <c r="N47" i="8"/>
  <c r="F47" i="8"/>
  <c r="J46" i="8"/>
  <c r="G149" i="8"/>
  <c r="H149" i="8"/>
  <c r="J47" i="8"/>
  <c r="N46" i="8"/>
  <c r="F46" i="8"/>
  <c r="N48" i="8"/>
  <c r="F48" i="8"/>
  <c r="J149" i="8"/>
  <c r="D47" i="8"/>
  <c r="H46" i="8"/>
  <c r="I149" i="8"/>
  <c r="K48" i="8"/>
  <c r="J48" i="8"/>
  <c r="G48" i="8"/>
  <c r="M46" i="8"/>
  <c r="E46" i="8"/>
  <c r="B46" i="8"/>
  <c r="H47" i="8"/>
  <c r="L46" i="8"/>
  <c r="D46" i="8"/>
  <c r="M203" i="8"/>
  <c r="O45" i="17"/>
  <c r="I45" i="17"/>
  <c r="H45" i="17"/>
  <c r="M45" i="17"/>
  <c r="E45" i="17"/>
  <c r="G45" i="17"/>
  <c r="L45" i="17"/>
  <c r="D45" i="17"/>
  <c r="N45" i="17"/>
  <c r="F45" i="17"/>
  <c r="J45" i="17"/>
  <c r="K45" i="17"/>
  <c r="N203" i="8"/>
  <c r="L203" i="8"/>
  <c r="D249" i="8"/>
  <c r="N249" i="8"/>
  <c r="M249" i="8"/>
  <c r="H203" i="8"/>
  <c r="L249" i="8"/>
  <c r="F203" i="8"/>
  <c r="K249" i="8"/>
  <c r="B203" i="8"/>
  <c r="D203" i="8"/>
  <c r="K21" i="10"/>
  <c r="G21" i="10"/>
  <c r="G21" i="11"/>
  <c r="K21" i="11"/>
  <c r="T68" i="12"/>
  <c r="U64" i="12"/>
  <c r="U65" i="12"/>
  <c r="U66" i="12"/>
  <c r="E21" i="11"/>
  <c r="T122" i="12"/>
  <c r="T208" i="12"/>
  <c r="T112" i="12"/>
  <c r="T198" i="12"/>
  <c r="T132" i="12"/>
  <c r="T218" i="12"/>
  <c r="T141" i="12"/>
  <c r="T227" i="12"/>
  <c r="T169" i="12"/>
  <c r="T255" i="12"/>
  <c r="T159" i="12"/>
  <c r="T245" i="12"/>
  <c r="U70" i="12"/>
  <c r="T150" i="12"/>
  <c r="T236" i="12"/>
  <c r="S75" i="12"/>
  <c r="T65" i="12"/>
  <c r="T67" i="12"/>
  <c r="T66" i="12"/>
  <c r="T115" i="12"/>
  <c r="T201" i="12"/>
  <c r="T135" i="12"/>
  <c r="T221" i="12"/>
  <c r="T125" i="12"/>
  <c r="T211" i="12"/>
  <c r="T163" i="12"/>
  <c r="T249" i="12"/>
  <c r="U79" i="12"/>
  <c r="T154" i="12"/>
  <c r="T240" i="12"/>
  <c r="T173" i="12"/>
  <c r="T259" i="12"/>
  <c r="V123" i="12"/>
  <c r="V209" i="12"/>
  <c r="V133" i="12"/>
  <c r="V219" i="12"/>
  <c r="V142" i="12"/>
  <c r="V228" i="12"/>
  <c r="V151" i="12"/>
  <c r="V237" i="12"/>
  <c r="V160" i="12"/>
  <c r="V170" i="12"/>
  <c r="V256" i="12"/>
  <c r="W72" i="12"/>
  <c r="Z25" i="12"/>
  <c r="U123" i="12"/>
  <c r="U209" i="12"/>
  <c r="U142" i="12"/>
  <c r="U228" i="12"/>
  <c r="U151" i="12"/>
  <c r="U237" i="12"/>
  <c r="U160" i="12"/>
  <c r="U170" i="12"/>
  <c r="U256" i="12"/>
  <c r="U133" i="12"/>
  <c r="U219" i="12"/>
  <c r="S132" i="12"/>
  <c r="S218" i="12"/>
  <c r="S122" i="12"/>
  <c r="S208" i="12"/>
  <c r="S112" i="12"/>
  <c r="S198" i="12"/>
  <c r="S141" i="12"/>
  <c r="S227" i="12"/>
  <c r="S150" i="12"/>
  <c r="S236" i="12"/>
  <c r="S159" i="12"/>
  <c r="S245" i="12"/>
  <c r="S169" i="12"/>
  <c r="S255" i="12"/>
  <c r="R113" i="12"/>
  <c r="R199" i="12"/>
  <c r="R161" i="12"/>
  <c r="R247" i="12"/>
  <c r="S125" i="12"/>
  <c r="S211" i="12"/>
  <c r="S115" i="12"/>
  <c r="S201" i="12"/>
  <c r="S135" i="12"/>
  <c r="S221" i="12"/>
  <c r="S163" i="12"/>
  <c r="S249" i="12"/>
  <c r="S154" i="12"/>
  <c r="S240" i="12"/>
  <c r="S173" i="12"/>
  <c r="S259" i="12"/>
  <c r="R122" i="12"/>
  <c r="R208" i="12"/>
  <c r="R112" i="12"/>
  <c r="R198" i="12"/>
  <c r="R141" i="12"/>
  <c r="R227" i="12"/>
  <c r="R150" i="12"/>
  <c r="R236" i="12"/>
  <c r="R159" i="12"/>
  <c r="R245" i="12"/>
  <c r="R169" i="12"/>
  <c r="R255" i="12"/>
  <c r="R132" i="12"/>
  <c r="R218" i="12"/>
  <c r="AA25" i="12"/>
  <c r="S25" i="12"/>
  <c r="AU25" i="12"/>
  <c r="AM25" i="12"/>
  <c r="AV25" i="12"/>
  <c r="P25" i="12"/>
  <c r="T123" i="12"/>
  <c r="T209" i="12"/>
  <c r="T142" i="12"/>
  <c r="T228" i="12"/>
  <c r="T170" i="12"/>
  <c r="T256" i="12"/>
  <c r="T160" i="12"/>
  <c r="T133" i="12"/>
  <c r="T219" i="12"/>
  <c r="T151" i="12"/>
  <c r="T237" i="12"/>
  <c r="R86" i="12"/>
  <c r="S65" i="12"/>
  <c r="S67" i="12"/>
  <c r="R67" i="12"/>
  <c r="S66" i="12"/>
  <c r="T117" i="12"/>
  <c r="T203" i="12"/>
  <c r="T127" i="12"/>
  <c r="T213" i="12"/>
  <c r="T145" i="12"/>
  <c r="T231" i="12"/>
  <c r="T155" i="12"/>
  <c r="T241" i="12"/>
  <c r="T136" i="12"/>
  <c r="T222" i="12"/>
  <c r="U84" i="12"/>
  <c r="T164" i="12"/>
  <c r="T250" i="12"/>
  <c r="S117" i="12"/>
  <c r="S203" i="12"/>
  <c r="S127" i="12"/>
  <c r="S213" i="12"/>
  <c r="S136" i="12"/>
  <c r="S222" i="12"/>
  <c r="S155" i="12"/>
  <c r="S241" i="12"/>
  <c r="S164" i="12"/>
  <c r="S250" i="12"/>
  <c r="S145" i="12"/>
  <c r="S231" i="12"/>
  <c r="R115" i="12"/>
  <c r="R201" i="12"/>
  <c r="R135" i="12"/>
  <c r="R221" i="12"/>
  <c r="R154" i="12"/>
  <c r="R240" i="12"/>
  <c r="R125" i="12"/>
  <c r="R211" i="12"/>
  <c r="R163" i="12"/>
  <c r="R249" i="12"/>
  <c r="R173" i="12"/>
  <c r="R259" i="12"/>
  <c r="AL25" i="12"/>
  <c r="R117" i="12"/>
  <c r="R203" i="12"/>
  <c r="R127" i="12"/>
  <c r="R213" i="12"/>
  <c r="R136" i="12"/>
  <c r="R222" i="12"/>
  <c r="R145" i="12"/>
  <c r="R231" i="12"/>
  <c r="R164" i="12"/>
  <c r="R250" i="12"/>
  <c r="Q86" i="12"/>
  <c r="R65" i="12"/>
  <c r="Q67" i="12"/>
  <c r="AR25" i="12"/>
  <c r="AJ25" i="12"/>
  <c r="AB25" i="12"/>
  <c r="T25" i="12"/>
  <c r="L25" i="12"/>
  <c r="AS25" i="12"/>
  <c r="AK25" i="12"/>
  <c r="AC25" i="12"/>
  <c r="U25" i="12"/>
  <c r="M25" i="12"/>
  <c r="R66" i="12"/>
  <c r="S123" i="12"/>
  <c r="S209" i="12"/>
  <c r="S133" i="12"/>
  <c r="S219" i="12"/>
  <c r="S151" i="12"/>
  <c r="S237" i="12"/>
  <c r="S160" i="12"/>
  <c r="R133" i="12"/>
  <c r="R219" i="12"/>
  <c r="R151" i="12"/>
  <c r="R237" i="12"/>
  <c r="R123" i="12"/>
  <c r="R209" i="12"/>
  <c r="R142" i="12"/>
  <c r="R228" i="12"/>
  <c r="R160" i="12"/>
  <c r="S181" i="12"/>
  <c r="S187" i="12"/>
  <c r="T103" i="12"/>
  <c r="U101" i="12"/>
  <c r="N30" i="3"/>
  <c r="C99" i="4"/>
  <c r="D97" i="4"/>
  <c r="C94" i="4"/>
  <c r="D92" i="4"/>
  <c r="B89" i="4"/>
  <c r="C87" i="4"/>
  <c r="U9" i="10"/>
  <c r="B84" i="4"/>
  <c r="C82" i="4"/>
  <c r="B79" i="4"/>
  <c r="C77" i="4"/>
  <c r="C79" i="4"/>
  <c r="D77" i="4"/>
  <c r="C73" i="4"/>
  <c r="D73" i="4"/>
  <c r="E73" i="4"/>
  <c r="F73" i="4"/>
  <c r="G73" i="4"/>
  <c r="H73" i="4"/>
  <c r="I73" i="4"/>
  <c r="J73" i="4"/>
  <c r="K73" i="4"/>
  <c r="C67" i="4"/>
  <c r="C69" i="4"/>
  <c r="D67" i="4"/>
  <c r="B64" i="4"/>
  <c r="C62" i="4"/>
  <c r="B59" i="4"/>
  <c r="C57" i="4"/>
  <c r="B44" i="4"/>
  <c r="C42" i="4"/>
  <c r="C54" i="4"/>
  <c r="D52" i="4"/>
  <c r="C49" i="4"/>
  <c r="B39" i="4"/>
  <c r="C37" i="4"/>
  <c r="C39" i="4"/>
  <c r="D37" i="4"/>
  <c r="C32" i="4"/>
  <c r="T2" i="5"/>
  <c r="C29" i="4"/>
  <c r="D27" i="4"/>
  <c r="D22" i="4"/>
  <c r="J249" i="8"/>
  <c r="K203" i="8"/>
  <c r="B249" i="8"/>
  <c r="H249" i="8"/>
  <c r="J243" i="8"/>
  <c r="G243" i="8"/>
  <c r="N243" i="8"/>
  <c r="F249" i="8"/>
  <c r="L243" i="8"/>
  <c r="D243" i="8"/>
  <c r="K243" i="8"/>
  <c r="C243" i="8"/>
  <c r="K197" i="8"/>
  <c r="J203" i="8"/>
  <c r="I197" i="8"/>
  <c r="M197" i="8"/>
  <c r="E197" i="8"/>
  <c r="L197" i="8"/>
  <c r="D197" i="8"/>
  <c r="C91" i="8"/>
  <c r="D91" i="8"/>
  <c r="E91" i="8"/>
  <c r="F91" i="8"/>
  <c r="G91" i="8"/>
  <c r="H91" i="8"/>
  <c r="I91" i="8"/>
  <c r="J91" i="8"/>
  <c r="K91" i="8"/>
  <c r="L91" i="8"/>
  <c r="M91" i="8"/>
  <c r="N91" i="8"/>
  <c r="C92" i="8"/>
  <c r="D92" i="8"/>
  <c r="E92" i="8"/>
  <c r="F92" i="8"/>
  <c r="G92" i="8"/>
  <c r="H92" i="8"/>
  <c r="I92" i="8"/>
  <c r="J92" i="8"/>
  <c r="K92" i="8"/>
  <c r="L92" i="8"/>
  <c r="M92" i="8"/>
  <c r="N92" i="8"/>
  <c r="C93" i="8"/>
  <c r="D93" i="8"/>
  <c r="E93" i="8"/>
  <c r="F93" i="8"/>
  <c r="G93" i="8"/>
  <c r="H93" i="8"/>
  <c r="I93" i="8"/>
  <c r="J93" i="8"/>
  <c r="K93" i="8"/>
  <c r="L93" i="8"/>
  <c r="M93" i="8"/>
  <c r="N93" i="8"/>
  <c r="C94" i="8"/>
  <c r="D94" i="8"/>
  <c r="E94" i="8"/>
  <c r="F94" i="8"/>
  <c r="G94" i="8"/>
  <c r="H94" i="8"/>
  <c r="I94" i="8"/>
  <c r="J94" i="8"/>
  <c r="K94" i="8"/>
  <c r="L94" i="8"/>
  <c r="M94" i="8"/>
  <c r="N94" i="8"/>
  <c r="B94" i="8"/>
  <c r="B91" i="8"/>
  <c r="D98" i="8"/>
  <c r="F98" i="8"/>
  <c r="H98" i="8"/>
  <c r="J98" i="8"/>
  <c r="K98" i="8"/>
  <c r="L98" i="8"/>
  <c r="M98" i="8"/>
  <c r="N98" i="8"/>
  <c r="D99" i="8"/>
  <c r="F99" i="8"/>
  <c r="H99" i="8"/>
  <c r="J99" i="8"/>
  <c r="K99" i="8"/>
  <c r="L99" i="8"/>
  <c r="M99" i="8"/>
  <c r="N99" i="8"/>
  <c r="D100" i="8"/>
  <c r="F100" i="8"/>
  <c r="H100" i="8"/>
  <c r="J100" i="8"/>
  <c r="K100" i="8"/>
  <c r="L100" i="8"/>
  <c r="M100" i="8"/>
  <c r="N100" i="8"/>
  <c r="D101" i="8"/>
  <c r="F101" i="8"/>
  <c r="H101" i="8"/>
  <c r="J101" i="8"/>
  <c r="K101" i="8"/>
  <c r="L101" i="8"/>
  <c r="M101" i="8"/>
  <c r="N101" i="8"/>
  <c r="B99" i="8"/>
  <c r="B100" i="8"/>
  <c r="B101" i="8"/>
  <c r="B98" i="8"/>
  <c r="B93" i="8"/>
  <c r="E17" i="7"/>
  <c r="M17" i="7"/>
  <c r="C19" i="7"/>
  <c r="I19" i="7"/>
  <c r="K19" i="7"/>
  <c r="B20" i="7"/>
  <c r="E21" i="7"/>
  <c r="M21" i="7"/>
  <c r="C22" i="7"/>
  <c r="G22" i="7"/>
  <c r="K22" i="7"/>
  <c r="D15" i="7"/>
  <c r="E15" i="7"/>
  <c r="F15" i="7"/>
  <c r="G15" i="7"/>
  <c r="H15" i="7"/>
  <c r="J15" i="7"/>
  <c r="L15" i="7"/>
  <c r="M15" i="7"/>
  <c r="N15" i="7"/>
  <c r="C16" i="7"/>
  <c r="D16" i="7"/>
  <c r="E16" i="7"/>
  <c r="F16" i="7"/>
  <c r="H16" i="7"/>
  <c r="I16" i="7"/>
  <c r="J16" i="7"/>
  <c r="K16" i="7"/>
  <c r="L16" i="7"/>
  <c r="M16" i="7"/>
  <c r="N16" i="7"/>
  <c r="C17" i="7"/>
  <c r="D17" i="7"/>
  <c r="F17" i="7"/>
  <c r="G17" i="7"/>
  <c r="H17" i="7"/>
  <c r="I17" i="7"/>
  <c r="J17" i="7"/>
  <c r="K17" i="7"/>
  <c r="L17" i="7"/>
  <c r="N17" i="7"/>
  <c r="D18" i="7"/>
  <c r="E18" i="7"/>
  <c r="F18" i="7"/>
  <c r="H18" i="7"/>
  <c r="I18" i="7"/>
  <c r="J18" i="7"/>
  <c r="L18" i="7"/>
  <c r="M18" i="7"/>
  <c r="N18" i="7"/>
  <c r="D19" i="7"/>
  <c r="E19" i="7"/>
  <c r="F19" i="7"/>
  <c r="G19" i="7"/>
  <c r="H19" i="7"/>
  <c r="J19" i="7"/>
  <c r="L19" i="7"/>
  <c r="M19" i="7"/>
  <c r="N19" i="7"/>
  <c r="C20" i="7"/>
  <c r="D20" i="7"/>
  <c r="E20" i="7"/>
  <c r="F20" i="7"/>
  <c r="H20" i="7"/>
  <c r="I20" i="7"/>
  <c r="J20" i="7"/>
  <c r="K20" i="7"/>
  <c r="L20" i="7"/>
  <c r="M20" i="7"/>
  <c r="N20" i="7"/>
  <c r="C21" i="7"/>
  <c r="D21" i="7"/>
  <c r="F21" i="7"/>
  <c r="G21" i="7"/>
  <c r="H21" i="7"/>
  <c r="I21" i="7"/>
  <c r="J21" i="7"/>
  <c r="K21" i="7"/>
  <c r="L21" i="7"/>
  <c r="N21" i="7"/>
  <c r="D22" i="7"/>
  <c r="E22" i="7"/>
  <c r="F22" i="7"/>
  <c r="H22" i="7"/>
  <c r="I22" i="7"/>
  <c r="J22" i="7"/>
  <c r="L22" i="7"/>
  <c r="M22" i="7"/>
  <c r="N22" i="7"/>
  <c r="D23" i="7"/>
  <c r="E23" i="7"/>
  <c r="F23" i="7"/>
  <c r="G23" i="7"/>
  <c r="H23" i="7"/>
  <c r="J23" i="7"/>
  <c r="L23" i="7"/>
  <c r="M23" i="7"/>
  <c r="N23" i="7"/>
  <c r="B16" i="7"/>
  <c r="B17" i="7"/>
  <c r="B18" i="7"/>
  <c r="B19" i="7"/>
  <c r="B21" i="7"/>
  <c r="B22" i="7"/>
  <c r="B23" i="7"/>
  <c r="B15" i="7"/>
  <c r="D319" i="5"/>
  <c r="F319" i="5"/>
  <c r="H319" i="5"/>
  <c r="J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D320" i="5"/>
  <c r="F320" i="5"/>
  <c r="H320" i="5"/>
  <c r="J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D321" i="5"/>
  <c r="F321" i="5"/>
  <c r="H321" i="5"/>
  <c r="J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D322" i="5"/>
  <c r="F322" i="5"/>
  <c r="H322" i="5"/>
  <c r="J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D323" i="5"/>
  <c r="F323" i="5"/>
  <c r="H323" i="5"/>
  <c r="J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D324" i="5"/>
  <c r="F324" i="5"/>
  <c r="H324" i="5"/>
  <c r="J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D325" i="5"/>
  <c r="F325" i="5"/>
  <c r="H325" i="5"/>
  <c r="J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D326" i="5"/>
  <c r="F326" i="5"/>
  <c r="H326" i="5"/>
  <c r="J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D327" i="5"/>
  <c r="F327" i="5"/>
  <c r="H327" i="5"/>
  <c r="J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D328" i="5"/>
  <c r="F328" i="5"/>
  <c r="H328" i="5"/>
  <c r="J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D329" i="5"/>
  <c r="F329" i="5"/>
  <c r="H329" i="5"/>
  <c r="J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D330" i="5"/>
  <c r="F330" i="5"/>
  <c r="H330" i="5"/>
  <c r="J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D331" i="5"/>
  <c r="F331" i="5"/>
  <c r="H331" i="5"/>
  <c r="J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D332" i="5"/>
  <c r="F332" i="5"/>
  <c r="H332" i="5"/>
  <c r="J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D276" i="5"/>
  <c r="F276" i="5"/>
  <c r="H276" i="5"/>
  <c r="J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D277" i="5"/>
  <c r="F277" i="5"/>
  <c r="H277" i="5"/>
  <c r="J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D278" i="5"/>
  <c r="F278" i="5"/>
  <c r="H278" i="5"/>
  <c r="J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D279" i="5"/>
  <c r="F279" i="5"/>
  <c r="H279" i="5"/>
  <c r="J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D280" i="5"/>
  <c r="F280" i="5"/>
  <c r="H280" i="5"/>
  <c r="J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D281" i="5"/>
  <c r="F281" i="5"/>
  <c r="H281" i="5"/>
  <c r="J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D282" i="5"/>
  <c r="F282" i="5"/>
  <c r="H282" i="5"/>
  <c r="J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D283" i="5"/>
  <c r="F283" i="5"/>
  <c r="H283" i="5"/>
  <c r="J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D284" i="5"/>
  <c r="F284" i="5"/>
  <c r="H284" i="5"/>
  <c r="J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D285" i="5"/>
  <c r="F285" i="5"/>
  <c r="H285" i="5"/>
  <c r="J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D286" i="5"/>
  <c r="F286" i="5"/>
  <c r="H286" i="5"/>
  <c r="J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D287" i="5"/>
  <c r="F287" i="5"/>
  <c r="H287" i="5"/>
  <c r="J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D288" i="5"/>
  <c r="F288" i="5"/>
  <c r="H288" i="5"/>
  <c r="J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S289" i="5"/>
  <c r="T289" i="5"/>
  <c r="U289" i="5"/>
  <c r="V289" i="5"/>
  <c r="W289" i="5"/>
  <c r="X289" i="5"/>
  <c r="Y289" i="5"/>
  <c r="Z289" i="5"/>
  <c r="AA289" i="5"/>
  <c r="AB289" i="5"/>
  <c r="D290" i="5"/>
  <c r="F290" i="5"/>
  <c r="H290" i="5"/>
  <c r="J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D291" i="5"/>
  <c r="F291" i="5"/>
  <c r="H291" i="5"/>
  <c r="J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D292" i="5"/>
  <c r="F292" i="5"/>
  <c r="H292" i="5"/>
  <c r="J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D293" i="5"/>
  <c r="F293" i="5"/>
  <c r="H293" i="5"/>
  <c r="J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D294" i="5"/>
  <c r="F294" i="5"/>
  <c r="H294" i="5"/>
  <c r="J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D295" i="5"/>
  <c r="F295" i="5"/>
  <c r="H295" i="5"/>
  <c r="J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D296" i="5"/>
  <c r="F296" i="5"/>
  <c r="H296" i="5"/>
  <c r="J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D297" i="5"/>
  <c r="F297" i="5"/>
  <c r="H297" i="5"/>
  <c r="J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D298" i="5"/>
  <c r="F298" i="5"/>
  <c r="H298" i="5"/>
  <c r="J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D299" i="5"/>
  <c r="F299" i="5"/>
  <c r="H299" i="5"/>
  <c r="J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D300" i="5"/>
  <c r="F300" i="5"/>
  <c r="H300" i="5"/>
  <c r="J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D301" i="5"/>
  <c r="F301" i="5"/>
  <c r="H301" i="5"/>
  <c r="J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D302" i="5"/>
  <c r="F302" i="5"/>
  <c r="H302" i="5"/>
  <c r="J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S303" i="5"/>
  <c r="T303" i="5"/>
  <c r="U303" i="5"/>
  <c r="V303" i="5"/>
  <c r="W303" i="5"/>
  <c r="X303" i="5"/>
  <c r="Y303" i="5"/>
  <c r="Z303" i="5"/>
  <c r="AA303" i="5"/>
  <c r="AB303" i="5"/>
  <c r="D304" i="5"/>
  <c r="F304" i="5"/>
  <c r="H304" i="5"/>
  <c r="J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D305" i="5"/>
  <c r="F305" i="5"/>
  <c r="H305" i="5"/>
  <c r="J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D306" i="5"/>
  <c r="F306" i="5"/>
  <c r="H306" i="5"/>
  <c r="J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D307" i="5"/>
  <c r="F307" i="5"/>
  <c r="H307" i="5"/>
  <c r="J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D308" i="5"/>
  <c r="F308" i="5"/>
  <c r="H308" i="5"/>
  <c r="J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D309" i="5"/>
  <c r="F309" i="5"/>
  <c r="H309" i="5"/>
  <c r="J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D310" i="5"/>
  <c r="F310" i="5"/>
  <c r="H310" i="5"/>
  <c r="J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D311" i="5"/>
  <c r="F311" i="5"/>
  <c r="H311" i="5"/>
  <c r="J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D312" i="5"/>
  <c r="F312" i="5"/>
  <c r="H312" i="5"/>
  <c r="J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D313" i="5"/>
  <c r="F313" i="5"/>
  <c r="H313" i="5"/>
  <c r="J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D314" i="5"/>
  <c r="F314" i="5"/>
  <c r="H314" i="5"/>
  <c r="J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D315" i="5"/>
  <c r="F315" i="5"/>
  <c r="H315" i="5"/>
  <c r="J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D316" i="5"/>
  <c r="F316" i="5"/>
  <c r="H316" i="5"/>
  <c r="J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D317" i="5"/>
  <c r="F317" i="5"/>
  <c r="H317" i="5"/>
  <c r="J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D261" i="5"/>
  <c r="F261" i="5"/>
  <c r="H261" i="5"/>
  <c r="J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D262" i="5"/>
  <c r="F262" i="5"/>
  <c r="H262" i="5"/>
  <c r="J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D263" i="5"/>
  <c r="F263" i="5"/>
  <c r="H263" i="5"/>
  <c r="J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D264" i="5"/>
  <c r="F264" i="5"/>
  <c r="H264" i="5"/>
  <c r="J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D265" i="5"/>
  <c r="F265" i="5"/>
  <c r="H265" i="5"/>
  <c r="J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D266" i="5"/>
  <c r="F266" i="5"/>
  <c r="H266" i="5"/>
  <c r="J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D267" i="5"/>
  <c r="F267" i="5"/>
  <c r="H267" i="5"/>
  <c r="J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D268" i="5"/>
  <c r="F268" i="5"/>
  <c r="H268" i="5"/>
  <c r="J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D269" i="5"/>
  <c r="F269" i="5"/>
  <c r="H269" i="5"/>
  <c r="J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D270" i="5"/>
  <c r="F270" i="5"/>
  <c r="H270" i="5"/>
  <c r="J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D271" i="5"/>
  <c r="F271" i="5"/>
  <c r="H271" i="5"/>
  <c r="J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D272" i="5"/>
  <c r="F272" i="5"/>
  <c r="H272" i="5"/>
  <c r="J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D273" i="5"/>
  <c r="F273" i="5"/>
  <c r="H273" i="5"/>
  <c r="J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D274" i="5"/>
  <c r="F274" i="5"/>
  <c r="H274" i="5"/>
  <c r="J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S183" i="5"/>
  <c r="T183" i="5"/>
  <c r="U183" i="5"/>
  <c r="V183" i="5"/>
  <c r="W183" i="5"/>
  <c r="X183" i="5"/>
  <c r="Y183" i="5"/>
  <c r="Z183" i="5"/>
  <c r="AA183" i="5"/>
  <c r="AB183" i="5"/>
  <c r="S169" i="5"/>
  <c r="T169" i="5"/>
  <c r="U169" i="5"/>
  <c r="V169" i="5"/>
  <c r="W169" i="5"/>
  <c r="X169" i="5"/>
  <c r="Y169" i="5"/>
  <c r="Z169" i="5"/>
  <c r="AA169" i="5"/>
  <c r="AB169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D199" i="5"/>
  <c r="F199" i="5"/>
  <c r="H199" i="5"/>
  <c r="J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D200" i="5"/>
  <c r="F200" i="5"/>
  <c r="H200" i="5"/>
  <c r="J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D201" i="5"/>
  <c r="F201" i="5"/>
  <c r="H201" i="5"/>
  <c r="J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D202" i="5"/>
  <c r="F202" i="5"/>
  <c r="H202" i="5"/>
  <c r="J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D203" i="5"/>
  <c r="F203" i="5"/>
  <c r="H203" i="5"/>
  <c r="J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D204" i="5"/>
  <c r="F204" i="5"/>
  <c r="H204" i="5"/>
  <c r="J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D205" i="5"/>
  <c r="F205" i="5"/>
  <c r="H205" i="5"/>
  <c r="J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D206" i="5"/>
  <c r="F206" i="5"/>
  <c r="H206" i="5"/>
  <c r="J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D207" i="5"/>
  <c r="F207" i="5"/>
  <c r="H207" i="5"/>
  <c r="J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D208" i="5"/>
  <c r="F208" i="5"/>
  <c r="H208" i="5"/>
  <c r="J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D209" i="5"/>
  <c r="F209" i="5"/>
  <c r="H209" i="5"/>
  <c r="J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D210" i="5"/>
  <c r="F210" i="5"/>
  <c r="H210" i="5"/>
  <c r="J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D211" i="5"/>
  <c r="F211" i="5"/>
  <c r="H211" i="5"/>
  <c r="J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D212" i="5"/>
  <c r="F212" i="5"/>
  <c r="H212" i="5"/>
  <c r="J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D184" i="5"/>
  <c r="F184" i="5"/>
  <c r="H184" i="5"/>
  <c r="J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D185" i="5"/>
  <c r="F185" i="5"/>
  <c r="H185" i="5"/>
  <c r="J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D186" i="5"/>
  <c r="F186" i="5"/>
  <c r="H186" i="5"/>
  <c r="J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D187" i="5"/>
  <c r="F187" i="5"/>
  <c r="H187" i="5"/>
  <c r="J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D188" i="5"/>
  <c r="F188" i="5"/>
  <c r="H188" i="5"/>
  <c r="J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D189" i="5"/>
  <c r="F189" i="5"/>
  <c r="H189" i="5"/>
  <c r="J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D190" i="5"/>
  <c r="F190" i="5"/>
  <c r="H190" i="5"/>
  <c r="J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D191" i="5"/>
  <c r="F191" i="5"/>
  <c r="H191" i="5"/>
  <c r="J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D192" i="5"/>
  <c r="F192" i="5"/>
  <c r="H192" i="5"/>
  <c r="J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D193" i="5"/>
  <c r="F193" i="5"/>
  <c r="H193" i="5"/>
  <c r="J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D194" i="5"/>
  <c r="F194" i="5"/>
  <c r="H194" i="5"/>
  <c r="J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D195" i="5"/>
  <c r="F195" i="5"/>
  <c r="H195" i="5"/>
  <c r="J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D196" i="5"/>
  <c r="F196" i="5"/>
  <c r="H196" i="5"/>
  <c r="J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D197" i="5"/>
  <c r="F197" i="5"/>
  <c r="H197" i="5"/>
  <c r="J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D170" i="5"/>
  <c r="F170" i="5"/>
  <c r="H170" i="5"/>
  <c r="J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D171" i="5"/>
  <c r="F171" i="5"/>
  <c r="H171" i="5"/>
  <c r="J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D172" i="5"/>
  <c r="F172" i="5"/>
  <c r="H172" i="5"/>
  <c r="J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D173" i="5"/>
  <c r="F173" i="5"/>
  <c r="H173" i="5"/>
  <c r="J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D174" i="5"/>
  <c r="F174" i="5"/>
  <c r="H174" i="5"/>
  <c r="J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D175" i="5"/>
  <c r="F175" i="5"/>
  <c r="H175" i="5"/>
  <c r="J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D176" i="5"/>
  <c r="F176" i="5"/>
  <c r="H176" i="5"/>
  <c r="J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D177" i="5"/>
  <c r="F177" i="5"/>
  <c r="H177" i="5"/>
  <c r="J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D178" i="5"/>
  <c r="F178" i="5"/>
  <c r="H178" i="5"/>
  <c r="J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D179" i="5"/>
  <c r="F179" i="5"/>
  <c r="H179" i="5"/>
  <c r="J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D180" i="5"/>
  <c r="F180" i="5"/>
  <c r="H180" i="5"/>
  <c r="J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D181" i="5"/>
  <c r="F181" i="5"/>
  <c r="H181" i="5"/>
  <c r="J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D182" i="5"/>
  <c r="F182" i="5"/>
  <c r="H182" i="5"/>
  <c r="J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D156" i="5"/>
  <c r="F156" i="5"/>
  <c r="H156" i="5"/>
  <c r="J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D157" i="5"/>
  <c r="F157" i="5"/>
  <c r="H157" i="5"/>
  <c r="J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D158" i="5"/>
  <c r="F158" i="5"/>
  <c r="H158" i="5"/>
  <c r="J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D159" i="5"/>
  <c r="F159" i="5"/>
  <c r="H159" i="5"/>
  <c r="J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D160" i="5"/>
  <c r="F160" i="5"/>
  <c r="H160" i="5"/>
  <c r="J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D161" i="5"/>
  <c r="F161" i="5"/>
  <c r="H161" i="5"/>
  <c r="J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D162" i="5"/>
  <c r="F162" i="5"/>
  <c r="H162" i="5"/>
  <c r="J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D163" i="5"/>
  <c r="F163" i="5"/>
  <c r="H163" i="5"/>
  <c r="J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D164" i="5"/>
  <c r="F164" i="5"/>
  <c r="H164" i="5"/>
  <c r="J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D165" i="5"/>
  <c r="F165" i="5"/>
  <c r="H165" i="5"/>
  <c r="J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D166" i="5"/>
  <c r="F166" i="5"/>
  <c r="H166" i="5"/>
  <c r="J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D167" i="5"/>
  <c r="F167" i="5"/>
  <c r="H167" i="5"/>
  <c r="J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D168" i="5"/>
  <c r="F168" i="5"/>
  <c r="H168" i="5"/>
  <c r="J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D141" i="5"/>
  <c r="F141" i="5"/>
  <c r="H141" i="5"/>
  <c r="J141" i="5"/>
  <c r="D142" i="5"/>
  <c r="F142" i="5"/>
  <c r="H142" i="5"/>
  <c r="J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D143" i="5"/>
  <c r="F143" i="5"/>
  <c r="H143" i="5"/>
  <c r="J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D144" i="5"/>
  <c r="F144" i="5"/>
  <c r="H144" i="5"/>
  <c r="J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D145" i="5"/>
  <c r="F145" i="5"/>
  <c r="H145" i="5"/>
  <c r="J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D146" i="5"/>
  <c r="F146" i="5"/>
  <c r="H146" i="5"/>
  <c r="J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D147" i="5"/>
  <c r="F147" i="5"/>
  <c r="H147" i="5"/>
  <c r="J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D148" i="5"/>
  <c r="F148" i="5"/>
  <c r="H148" i="5"/>
  <c r="J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D149" i="5"/>
  <c r="F149" i="5"/>
  <c r="H149" i="5"/>
  <c r="J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D150" i="5"/>
  <c r="F150" i="5"/>
  <c r="H150" i="5"/>
  <c r="J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D151" i="5"/>
  <c r="F151" i="5"/>
  <c r="H151" i="5"/>
  <c r="J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D152" i="5"/>
  <c r="F152" i="5"/>
  <c r="H152" i="5"/>
  <c r="J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D153" i="5"/>
  <c r="F153" i="5"/>
  <c r="H153" i="5"/>
  <c r="J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D154" i="5"/>
  <c r="F154" i="5"/>
  <c r="H154" i="5"/>
  <c r="J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C93" i="1"/>
  <c r="D88" i="1"/>
  <c r="F88" i="1"/>
  <c r="H88" i="1"/>
  <c r="J88" i="1"/>
  <c r="N88" i="1"/>
  <c r="D89" i="1"/>
  <c r="F89" i="1"/>
  <c r="H89" i="1"/>
  <c r="J89" i="1"/>
  <c r="N89" i="1"/>
  <c r="D90" i="1"/>
  <c r="F90" i="1"/>
  <c r="H90" i="1"/>
  <c r="J90" i="1"/>
  <c r="N90" i="1"/>
  <c r="D92" i="1"/>
  <c r="F92" i="1"/>
  <c r="H92" i="1"/>
  <c r="J92" i="1"/>
  <c r="N92" i="1"/>
  <c r="E93" i="1"/>
  <c r="G93" i="1"/>
  <c r="I93" i="1"/>
  <c r="K93" i="1"/>
  <c r="L93" i="1"/>
  <c r="M93" i="1"/>
  <c r="O93" i="1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J77" i="5"/>
  <c r="H77" i="5"/>
  <c r="F77" i="5"/>
  <c r="D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P50" i="5"/>
  <c r="R50" i="5"/>
  <c r="S50" i="5"/>
  <c r="T50" i="5"/>
  <c r="U50" i="5"/>
  <c r="V50" i="5"/>
  <c r="W50" i="5"/>
  <c r="X50" i="5"/>
  <c r="Y50" i="5"/>
  <c r="Z50" i="5"/>
  <c r="AA50" i="5"/>
  <c r="AB50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Q21" i="5"/>
  <c r="R21" i="5"/>
  <c r="S21" i="5"/>
  <c r="T21" i="5"/>
  <c r="U21" i="5"/>
  <c r="V21" i="5"/>
  <c r="W21" i="5"/>
  <c r="X21" i="5"/>
  <c r="Y21" i="5"/>
  <c r="Z21" i="5"/>
  <c r="AA21" i="5"/>
  <c r="AB21" i="5"/>
  <c r="J34" i="5"/>
  <c r="I101" i="8"/>
  <c r="J33" i="5"/>
  <c r="I100" i="8"/>
  <c r="J32" i="5"/>
  <c r="I99" i="8"/>
  <c r="J31" i="5"/>
  <c r="I98" i="8"/>
  <c r="J30" i="5"/>
  <c r="J29" i="5"/>
  <c r="J28" i="5"/>
  <c r="J27" i="5"/>
  <c r="J26" i="5"/>
  <c r="J25" i="5"/>
  <c r="J24" i="5"/>
  <c r="J23" i="5"/>
  <c r="J22" i="5"/>
  <c r="J21" i="5"/>
  <c r="H34" i="5"/>
  <c r="G101" i="8"/>
  <c r="H33" i="5"/>
  <c r="G100" i="8"/>
  <c r="H32" i="5"/>
  <c r="G99" i="8"/>
  <c r="H31" i="5"/>
  <c r="G98" i="8"/>
  <c r="H30" i="5"/>
  <c r="H29" i="5"/>
  <c r="H28" i="5"/>
  <c r="H27" i="5"/>
  <c r="H26" i="5"/>
  <c r="H25" i="5"/>
  <c r="H24" i="5"/>
  <c r="H23" i="5"/>
  <c r="H22" i="5"/>
  <c r="H21" i="5"/>
  <c r="F34" i="5"/>
  <c r="E101" i="8"/>
  <c r="F33" i="5"/>
  <c r="E100" i="8"/>
  <c r="F32" i="5"/>
  <c r="E99" i="8"/>
  <c r="F31" i="5"/>
  <c r="E98" i="8"/>
  <c r="F30" i="5"/>
  <c r="F29" i="5"/>
  <c r="F28" i="5"/>
  <c r="F27" i="5"/>
  <c r="F26" i="5"/>
  <c r="F24" i="5"/>
  <c r="F23" i="5"/>
  <c r="F22" i="5"/>
  <c r="F21" i="5"/>
  <c r="D22" i="5"/>
  <c r="D23" i="5"/>
  <c r="D24" i="5"/>
  <c r="D25" i="5"/>
  <c r="D26" i="5"/>
  <c r="D27" i="5"/>
  <c r="D28" i="5"/>
  <c r="D29" i="5"/>
  <c r="D30" i="5"/>
  <c r="D31" i="5"/>
  <c r="C98" i="8"/>
  <c r="D32" i="5"/>
  <c r="C99" i="8"/>
  <c r="D33" i="5"/>
  <c r="C100" i="8"/>
  <c r="D34" i="5"/>
  <c r="C101" i="8"/>
  <c r="S11" i="1"/>
  <c r="T11" i="1"/>
  <c r="T12" i="1"/>
  <c r="U11" i="1"/>
  <c r="U12" i="1"/>
  <c r="V11" i="1"/>
  <c r="V12" i="1"/>
  <c r="W11" i="1"/>
  <c r="X11" i="1"/>
  <c r="X12" i="1"/>
  <c r="Y11" i="1"/>
  <c r="Y12" i="1"/>
  <c r="Z11" i="1"/>
  <c r="Z12" i="1"/>
  <c r="R11" i="1"/>
  <c r="R92" i="1"/>
  <c r="M30" i="3"/>
  <c r="M32" i="3"/>
  <c r="L30" i="3"/>
  <c r="K30" i="3"/>
  <c r="J30" i="3"/>
  <c r="I30" i="3"/>
  <c r="H30" i="3"/>
  <c r="G30" i="3"/>
  <c r="F30" i="3"/>
  <c r="E30" i="3"/>
  <c r="D30" i="3"/>
  <c r="C30" i="3"/>
  <c r="B30" i="3"/>
  <c r="D82" i="1"/>
  <c r="E82" i="1"/>
  <c r="F82" i="1"/>
  <c r="G82" i="1"/>
  <c r="H82" i="1"/>
  <c r="I82" i="1"/>
  <c r="J82" i="1"/>
  <c r="K82" i="1"/>
  <c r="L82" i="1"/>
  <c r="M82" i="1"/>
  <c r="N82" i="1"/>
  <c r="C82" i="1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B9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B14" i="6"/>
  <c r="R171" i="12"/>
  <c r="R257" i="12"/>
  <c r="R143" i="12"/>
  <c r="R229" i="12"/>
  <c r="R152" i="12"/>
  <c r="R238" i="12"/>
  <c r="O64" i="16"/>
  <c r="O60" i="16"/>
  <c r="O82" i="16"/>
  <c r="O156" i="8"/>
  <c r="O157" i="8"/>
  <c r="U9" i="11"/>
  <c r="V13" i="10"/>
  <c r="V13" i="11"/>
  <c r="V13" i="9"/>
  <c r="AG13" i="9"/>
  <c r="U13" i="5"/>
  <c r="T7" i="5"/>
  <c r="U7" i="9"/>
  <c r="AF7" i="9"/>
  <c r="U7" i="10"/>
  <c r="U7" i="11"/>
  <c r="U12" i="11"/>
  <c r="T12" i="5"/>
  <c r="U12" i="9"/>
  <c r="AF12" i="9"/>
  <c r="U12" i="10"/>
  <c r="V3" i="9"/>
  <c r="U3" i="5"/>
  <c r="V3" i="10"/>
  <c r="V3" i="11"/>
  <c r="V12" i="11"/>
  <c r="V12" i="10"/>
  <c r="V12" i="9"/>
  <c r="AG12" i="9"/>
  <c r="U12" i="5"/>
  <c r="U8" i="11"/>
  <c r="U8" i="9"/>
  <c r="AF8" i="9"/>
  <c r="U8" i="10"/>
  <c r="C74" i="4"/>
  <c r="D72" i="4"/>
  <c r="D74" i="4"/>
  <c r="E72" i="4"/>
  <c r="U2" i="9"/>
  <c r="T9" i="5"/>
  <c r="U9" i="9"/>
  <c r="AF9" i="9"/>
  <c r="T11" i="5"/>
  <c r="U11" i="9"/>
  <c r="AF11" i="9"/>
  <c r="U11" i="10"/>
  <c r="U11" i="11"/>
  <c r="U14" i="5"/>
  <c r="V14" i="9"/>
  <c r="AG14" i="9"/>
  <c r="V14" i="10"/>
  <c r="V14" i="11"/>
  <c r="U7" i="5"/>
  <c r="V7" i="9"/>
  <c r="AG7" i="9"/>
  <c r="V7" i="11"/>
  <c r="V7" i="10"/>
  <c r="U2" i="11"/>
  <c r="T15" i="5"/>
  <c r="U15" i="9"/>
  <c r="AF15" i="9"/>
  <c r="U15" i="10"/>
  <c r="U15" i="11"/>
  <c r="U14" i="10"/>
  <c r="U14" i="9"/>
  <c r="AF14" i="9"/>
  <c r="U14" i="11"/>
  <c r="T14" i="5"/>
  <c r="U2" i="10"/>
  <c r="T10" i="5"/>
  <c r="U10" i="10"/>
  <c r="U10" i="9"/>
  <c r="AF10" i="9"/>
  <c r="U10" i="11"/>
  <c r="U13" i="10"/>
  <c r="U13" i="11"/>
  <c r="U13" i="9"/>
  <c r="AF13" i="9"/>
  <c r="T13" i="5"/>
  <c r="G42" i="8"/>
  <c r="G46" i="8"/>
  <c r="G74" i="16"/>
  <c r="I71" i="16"/>
  <c r="C51" i="18"/>
  <c r="F54" i="18"/>
  <c r="F66" i="18"/>
  <c r="C128" i="8"/>
  <c r="I43" i="8"/>
  <c r="I47" i="8"/>
  <c r="I63" i="16"/>
  <c r="C73" i="16"/>
  <c r="E67" i="16"/>
  <c r="I46" i="18"/>
  <c r="H120" i="18"/>
  <c r="H137" i="18"/>
  <c r="D54" i="18"/>
  <c r="D67" i="18"/>
  <c r="D78" i="18"/>
  <c r="D89" i="18"/>
  <c r="N54" i="18"/>
  <c r="N70" i="18"/>
  <c r="N81" i="18"/>
  <c r="N92" i="18"/>
  <c r="E83" i="16"/>
  <c r="I112" i="18"/>
  <c r="I174" i="8"/>
  <c r="E128" i="8"/>
  <c r="G59" i="16"/>
  <c r="E71" i="16"/>
  <c r="E74" i="16"/>
  <c r="C47" i="18"/>
  <c r="G78" i="16"/>
  <c r="O78" i="16"/>
  <c r="I44" i="8"/>
  <c r="I48" i="8"/>
  <c r="O48" i="8"/>
  <c r="C79" i="16"/>
  <c r="G53" i="18"/>
  <c r="L54" i="18"/>
  <c r="I176" i="8"/>
  <c r="I114" i="18"/>
  <c r="G75" i="16"/>
  <c r="O75" i="16"/>
  <c r="G43" i="8"/>
  <c r="G47" i="8"/>
  <c r="G63" i="16"/>
  <c r="C112" i="18"/>
  <c r="C174" i="8"/>
  <c r="E79" i="16"/>
  <c r="E68" i="16"/>
  <c r="H70" i="18"/>
  <c r="H81" i="18"/>
  <c r="B54" i="18"/>
  <c r="B72" i="18"/>
  <c r="B83" i="18"/>
  <c r="B94" i="18"/>
  <c r="G174" i="8"/>
  <c r="G127" i="8"/>
  <c r="G49" i="18"/>
  <c r="E112" i="18"/>
  <c r="E174" i="8"/>
  <c r="I67" i="16"/>
  <c r="E52" i="18"/>
  <c r="I59" i="16"/>
  <c r="I68" i="16"/>
  <c r="G117" i="18"/>
  <c r="G120" i="18"/>
  <c r="O65" i="16"/>
  <c r="I42" i="8"/>
  <c r="I46" i="8"/>
  <c r="I74" i="16"/>
  <c r="O70" i="16"/>
  <c r="C43" i="8"/>
  <c r="C47" i="8"/>
  <c r="G181" i="8"/>
  <c r="C83" i="16"/>
  <c r="G80" i="16"/>
  <c r="G69" i="16"/>
  <c r="E75" i="16"/>
  <c r="E63" i="16"/>
  <c r="E43" i="8"/>
  <c r="E47" i="8"/>
  <c r="C75" i="16"/>
  <c r="C176" i="8"/>
  <c r="I116" i="18"/>
  <c r="P11" i="3"/>
  <c r="P14" i="3"/>
  <c r="P15" i="3"/>
  <c r="B120" i="18"/>
  <c r="B139" i="18"/>
  <c r="H68" i="18"/>
  <c r="H79" i="18"/>
  <c r="O81" i="16"/>
  <c r="S74" i="9"/>
  <c r="I117" i="18"/>
  <c r="I179" i="8"/>
  <c r="F120" i="18"/>
  <c r="F137" i="18"/>
  <c r="F148" i="18"/>
  <c r="F159" i="18"/>
  <c r="E119" i="18"/>
  <c r="E181" i="8"/>
  <c r="E117" i="18"/>
  <c r="E179" i="8"/>
  <c r="C179" i="8"/>
  <c r="C117" i="18"/>
  <c r="C69" i="16"/>
  <c r="C80" i="16"/>
  <c r="C116" i="18"/>
  <c r="C178" i="8"/>
  <c r="C111" i="18"/>
  <c r="C173" i="8"/>
  <c r="I53" i="18"/>
  <c r="I54" i="18"/>
  <c r="I131" i="8"/>
  <c r="O77" i="16"/>
  <c r="G51" i="18"/>
  <c r="G129" i="8"/>
  <c r="E129" i="8"/>
  <c r="C53" i="18"/>
  <c r="O58" i="16"/>
  <c r="E53" i="18"/>
  <c r="E54" i="18"/>
  <c r="E66" i="18"/>
  <c r="E131" i="8"/>
  <c r="J109" i="5"/>
  <c r="R93" i="1"/>
  <c r="R89" i="1"/>
  <c r="E21" i="9"/>
  <c r="W12" i="1"/>
  <c r="J97" i="5"/>
  <c r="I51" i="7"/>
  <c r="R88" i="1"/>
  <c r="I109" i="7"/>
  <c r="C71" i="16"/>
  <c r="D107" i="5"/>
  <c r="H98" i="5"/>
  <c r="S12" i="1"/>
  <c r="D131" i="5"/>
  <c r="H97" i="5"/>
  <c r="G51" i="7"/>
  <c r="C66" i="16"/>
  <c r="H143" i="7"/>
  <c r="I105" i="18"/>
  <c r="D8" i="8"/>
  <c r="L8" i="8"/>
  <c r="L31" i="8"/>
  <c r="D61" i="8"/>
  <c r="L61" i="8"/>
  <c r="J105" i="18"/>
  <c r="J127" i="18"/>
  <c r="E8" i="8"/>
  <c r="M8" i="8"/>
  <c r="M31" i="8"/>
  <c r="C105" i="18"/>
  <c r="K105" i="18"/>
  <c r="K127" i="18"/>
  <c r="K60" i="18"/>
  <c r="D105" i="18"/>
  <c r="D127" i="18"/>
  <c r="L105" i="18"/>
  <c r="L127" i="18"/>
  <c r="L60" i="18"/>
  <c r="E105" i="18"/>
  <c r="E127" i="18"/>
  <c r="M105" i="18"/>
  <c r="M127" i="18"/>
  <c r="M60" i="18"/>
  <c r="H8" i="8"/>
  <c r="H61" i="8"/>
  <c r="F105" i="18"/>
  <c r="F127" i="18"/>
  <c r="N105" i="18"/>
  <c r="N127" i="18"/>
  <c r="N60" i="18"/>
  <c r="I8" i="8"/>
  <c r="I31" i="8"/>
  <c r="I61" i="8"/>
  <c r="I84" i="8"/>
  <c r="G105" i="18"/>
  <c r="G127" i="18"/>
  <c r="B105" i="18"/>
  <c r="B127" i="18"/>
  <c r="J8" i="8"/>
  <c r="J31" i="8"/>
  <c r="J61" i="8"/>
  <c r="H105" i="18"/>
  <c r="H127" i="18"/>
  <c r="C8" i="8"/>
  <c r="K8" i="8"/>
  <c r="K31" i="8"/>
  <c r="C61" i="8"/>
  <c r="K61" i="8"/>
  <c r="K84" i="8"/>
  <c r="N61" i="8"/>
  <c r="B61" i="8"/>
  <c r="J43" i="7"/>
  <c r="C43" i="7"/>
  <c r="K43" i="7"/>
  <c r="F8" i="8"/>
  <c r="D43" i="7"/>
  <c r="L43" i="7"/>
  <c r="L66" i="7"/>
  <c r="N8" i="8"/>
  <c r="E61" i="8"/>
  <c r="E84" i="8"/>
  <c r="F43" i="7"/>
  <c r="N43" i="7"/>
  <c r="F61" i="8"/>
  <c r="G43" i="7"/>
  <c r="B43" i="7"/>
  <c r="G8" i="8"/>
  <c r="G61" i="8"/>
  <c r="G84" i="8"/>
  <c r="M43" i="7"/>
  <c r="M61" i="8"/>
  <c r="H134" i="11"/>
  <c r="H255" i="11"/>
  <c r="H375" i="11"/>
  <c r="P134" i="11"/>
  <c r="J134" i="11"/>
  <c r="J255" i="11"/>
  <c r="J375" i="11"/>
  <c r="H43" i="7"/>
  <c r="H66" i="7"/>
  <c r="M134" i="11"/>
  <c r="M255" i="11"/>
  <c r="M375" i="11"/>
  <c r="J123" i="11"/>
  <c r="J244" i="11"/>
  <c r="J364" i="11"/>
  <c r="F112" i="11"/>
  <c r="F233" i="11"/>
  <c r="F353" i="11"/>
  <c r="N112" i="11"/>
  <c r="N233" i="11"/>
  <c r="N353" i="11"/>
  <c r="J101" i="11"/>
  <c r="J222" i="11"/>
  <c r="J342" i="11"/>
  <c r="N134" i="11"/>
  <c r="N255" i="11"/>
  <c r="N375" i="11"/>
  <c r="K123" i="11"/>
  <c r="K244" i="11"/>
  <c r="K364" i="11"/>
  <c r="D123" i="11"/>
  <c r="D244" i="11"/>
  <c r="D364" i="11"/>
  <c r="L123" i="11"/>
  <c r="L244" i="11"/>
  <c r="L364" i="11"/>
  <c r="H112" i="11"/>
  <c r="H233" i="11"/>
  <c r="H353" i="11"/>
  <c r="P112" i="11"/>
  <c r="D101" i="11"/>
  <c r="D222" i="11"/>
  <c r="D342" i="11"/>
  <c r="L101" i="11"/>
  <c r="L222" i="11"/>
  <c r="L342" i="11"/>
  <c r="E43" i="7"/>
  <c r="D134" i="11"/>
  <c r="D255" i="11"/>
  <c r="D375" i="11"/>
  <c r="E123" i="11"/>
  <c r="E244" i="11"/>
  <c r="E364" i="11"/>
  <c r="M123" i="11"/>
  <c r="M244" i="11"/>
  <c r="M364" i="11"/>
  <c r="M101" i="11"/>
  <c r="M222" i="11"/>
  <c r="M342" i="11"/>
  <c r="B8" i="8"/>
  <c r="I43" i="7"/>
  <c r="F123" i="11"/>
  <c r="F244" i="11"/>
  <c r="F364" i="11"/>
  <c r="N123" i="11"/>
  <c r="N244" i="11"/>
  <c r="N364" i="11"/>
  <c r="J112" i="11"/>
  <c r="J233" i="11"/>
  <c r="J353" i="11"/>
  <c r="F101" i="11"/>
  <c r="F222" i="11"/>
  <c r="F342" i="11"/>
  <c r="N101" i="11"/>
  <c r="N222" i="11"/>
  <c r="N342" i="11"/>
  <c r="H123" i="11"/>
  <c r="H244" i="11"/>
  <c r="H364" i="11"/>
  <c r="P123" i="11"/>
  <c r="D112" i="11"/>
  <c r="D233" i="11"/>
  <c r="D353" i="11"/>
  <c r="L112" i="11"/>
  <c r="L233" i="11"/>
  <c r="L353" i="11"/>
  <c r="H101" i="11"/>
  <c r="H222" i="11"/>
  <c r="H342" i="11"/>
  <c r="P101" i="11"/>
  <c r="I123" i="11"/>
  <c r="I244" i="11"/>
  <c r="I364" i="11"/>
  <c r="M112" i="11"/>
  <c r="M233" i="11"/>
  <c r="M353" i="11"/>
  <c r="F134" i="10"/>
  <c r="F255" i="10"/>
  <c r="F375" i="10"/>
  <c r="N134" i="10"/>
  <c r="N255" i="10"/>
  <c r="N375" i="10"/>
  <c r="E123" i="10"/>
  <c r="E244" i="10"/>
  <c r="E364" i="10"/>
  <c r="M123" i="10"/>
  <c r="M244" i="10"/>
  <c r="M364" i="10"/>
  <c r="M112" i="10"/>
  <c r="M233" i="10"/>
  <c r="M353" i="10"/>
  <c r="F90" i="7"/>
  <c r="H134" i="10"/>
  <c r="H255" i="10"/>
  <c r="H375" i="10"/>
  <c r="P134" i="10"/>
  <c r="G123" i="10"/>
  <c r="G244" i="10"/>
  <c r="G364" i="10"/>
  <c r="O123" i="10"/>
  <c r="O244" i="10"/>
  <c r="O364" i="10"/>
  <c r="L90" i="7"/>
  <c r="D90" i="7"/>
  <c r="D134" i="10"/>
  <c r="D255" i="10"/>
  <c r="D375" i="10"/>
  <c r="L134" i="10"/>
  <c r="L255" i="10"/>
  <c r="L375" i="10"/>
  <c r="K123" i="10"/>
  <c r="K244" i="10"/>
  <c r="K364" i="10"/>
  <c r="M101" i="10"/>
  <c r="M222" i="10"/>
  <c r="M342" i="10"/>
  <c r="H90" i="7"/>
  <c r="G123" i="11"/>
  <c r="G244" i="11"/>
  <c r="G364" i="11"/>
  <c r="P123" i="10"/>
  <c r="L112" i="10"/>
  <c r="L233" i="10"/>
  <c r="L353" i="10"/>
  <c r="F101" i="10"/>
  <c r="F222" i="10"/>
  <c r="F342" i="10"/>
  <c r="I212" i="8"/>
  <c r="F166" i="8"/>
  <c r="N166" i="8"/>
  <c r="N189" i="8"/>
  <c r="E116" i="8"/>
  <c r="M116" i="8"/>
  <c r="M139" i="8"/>
  <c r="O123" i="11"/>
  <c r="O244" i="11"/>
  <c r="O364" i="11"/>
  <c r="M134" i="10"/>
  <c r="M255" i="10"/>
  <c r="M375" i="10"/>
  <c r="D123" i="10"/>
  <c r="D244" i="10"/>
  <c r="D364" i="10"/>
  <c r="N112" i="10"/>
  <c r="N233" i="10"/>
  <c r="N353" i="10"/>
  <c r="H101" i="10"/>
  <c r="H222" i="10"/>
  <c r="H342" i="10"/>
  <c r="J212" i="8"/>
  <c r="G166" i="8"/>
  <c r="B166" i="8"/>
  <c r="F116" i="8"/>
  <c r="N116" i="8"/>
  <c r="N139" i="8"/>
  <c r="F123" i="10"/>
  <c r="F244" i="10"/>
  <c r="F364" i="10"/>
  <c r="F134" i="11"/>
  <c r="F255" i="11"/>
  <c r="F375" i="11"/>
  <c r="H123" i="10"/>
  <c r="H244" i="10"/>
  <c r="H364" i="10"/>
  <c r="D112" i="10"/>
  <c r="D233" i="10"/>
  <c r="D353" i="10"/>
  <c r="D212" i="8"/>
  <c r="L212" i="8"/>
  <c r="L235" i="8"/>
  <c r="I166" i="8"/>
  <c r="H116" i="8"/>
  <c r="L134" i="11"/>
  <c r="L255" i="11"/>
  <c r="L375" i="11"/>
  <c r="F212" i="8"/>
  <c r="H166" i="8"/>
  <c r="K116" i="8"/>
  <c r="K139" i="8"/>
  <c r="N212" i="8"/>
  <c r="N235" i="8"/>
  <c r="J112" i="10"/>
  <c r="J233" i="10"/>
  <c r="J353" i="10"/>
  <c r="B90" i="7"/>
  <c r="G212" i="8"/>
  <c r="J166" i="8"/>
  <c r="L116" i="8"/>
  <c r="L139" i="8"/>
  <c r="J134" i="10"/>
  <c r="J255" i="10"/>
  <c r="J375" i="10"/>
  <c r="P112" i="10"/>
  <c r="H212" i="8"/>
  <c r="K166" i="8"/>
  <c r="K189" i="8"/>
  <c r="D101" i="10"/>
  <c r="D222" i="10"/>
  <c r="D342" i="10"/>
  <c r="K212" i="8"/>
  <c r="K235" i="8"/>
  <c r="L166" i="8"/>
  <c r="L189" i="8"/>
  <c r="C116" i="8"/>
  <c r="B116" i="8"/>
  <c r="I123" i="10"/>
  <c r="I244" i="10"/>
  <c r="I364" i="10"/>
  <c r="M166" i="8"/>
  <c r="M189" i="8"/>
  <c r="J123" i="10"/>
  <c r="J244" i="10"/>
  <c r="J364" i="10"/>
  <c r="L101" i="10"/>
  <c r="L222" i="10"/>
  <c r="L342" i="10"/>
  <c r="K90" i="7"/>
  <c r="J101" i="10"/>
  <c r="J222" i="10"/>
  <c r="J342" i="10"/>
  <c r="L123" i="10"/>
  <c r="L244" i="10"/>
  <c r="L364" i="10"/>
  <c r="F112" i="10"/>
  <c r="F233" i="10"/>
  <c r="F353" i="10"/>
  <c r="N101" i="10"/>
  <c r="N222" i="10"/>
  <c r="N342" i="10"/>
  <c r="J90" i="7"/>
  <c r="C212" i="8"/>
  <c r="D166" i="8"/>
  <c r="I116" i="8"/>
  <c r="B212" i="8"/>
  <c r="E166" i="8"/>
  <c r="J116" i="8"/>
  <c r="M212" i="8"/>
  <c r="M235" i="8"/>
  <c r="N123" i="10"/>
  <c r="N244" i="10"/>
  <c r="N364" i="10"/>
  <c r="H112" i="10"/>
  <c r="H233" i="10"/>
  <c r="H353" i="10"/>
  <c r="P101" i="10"/>
  <c r="E212" i="8"/>
  <c r="D116" i="8"/>
  <c r="C166" i="8"/>
  <c r="G116" i="8"/>
  <c r="E148" i="7"/>
  <c r="M148" i="7"/>
  <c r="E113" i="7"/>
  <c r="M113" i="7"/>
  <c r="G78" i="7"/>
  <c r="B78" i="7"/>
  <c r="F8" i="7"/>
  <c r="N8" i="7"/>
  <c r="L134" i="5"/>
  <c r="H123" i="5"/>
  <c r="H243" i="5"/>
  <c r="H363" i="5"/>
  <c r="F148" i="7"/>
  <c r="N148" i="7"/>
  <c r="F113" i="7"/>
  <c r="N113" i="7"/>
  <c r="H78" i="7"/>
  <c r="G8" i="7"/>
  <c r="B8" i="7"/>
  <c r="B31" i="7"/>
  <c r="E134" i="5"/>
  <c r="M134" i="5"/>
  <c r="I123" i="5"/>
  <c r="G148" i="7"/>
  <c r="B148" i="7"/>
  <c r="G113" i="7"/>
  <c r="B113" i="7"/>
  <c r="I78" i="7"/>
  <c r="H8" i="7"/>
  <c r="H31" i="7"/>
  <c r="J123" i="5"/>
  <c r="J243" i="5"/>
  <c r="J363" i="5"/>
  <c r="H148" i="7"/>
  <c r="H113" i="7"/>
  <c r="J78" i="7"/>
  <c r="I8" i="7"/>
  <c r="I31" i="7"/>
  <c r="G134" i="5"/>
  <c r="O134" i="5"/>
  <c r="N123" i="5"/>
  <c r="K123" i="5"/>
  <c r="J148" i="7"/>
  <c r="J113" i="7"/>
  <c r="D78" i="7"/>
  <c r="L78" i="7"/>
  <c r="L101" i="7"/>
  <c r="C8" i="7"/>
  <c r="K8" i="7"/>
  <c r="K31" i="7"/>
  <c r="C148" i="7"/>
  <c r="K148" i="7"/>
  <c r="C113" i="7"/>
  <c r="K113" i="7"/>
  <c r="E78" i="7"/>
  <c r="M78" i="7"/>
  <c r="D8" i="7"/>
  <c r="L8" i="7"/>
  <c r="L31" i="7"/>
  <c r="F123" i="5"/>
  <c r="F243" i="5"/>
  <c r="F363" i="5"/>
  <c r="D148" i="7"/>
  <c r="L113" i="7"/>
  <c r="G112" i="5"/>
  <c r="O112" i="5"/>
  <c r="K101" i="5"/>
  <c r="J55" i="7"/>
  <c r="L101" i="5"/>
  <c r="K55" i="7"/>
  <c r="L148" i="7"/>
  <c r="E8" i="7"/>
  <c r="E31" i="7"/>
  <c r="D123" i="5"/>
  <c r="D243" i="5"/>
  <c r="D363" i="5"/>
  <c r="C123" i="5"/>
  <c r="I112" i="5"/>
  <c r="E101" i="5"/>
  <c r="D55" i="7"/>
  <c r="M101" i="5"/>
  <c r="L55" i="7"/>
  <c r="F78" i="7"/>
  <c r="M8" i="7"/>
  <c r="M31" i="7"/>
  <c r="G123" i="5"/>
  <c r="K112" i="5"/>
  <c r="O101" i="5"/>
  <c r="N55" i="7"/>
  <c r="C78" i="7"/>
  <c r="J8" i="7"/>
  <c r="E123" i="5"/>
  <c r="O7" i="3"/>
  <c r="K78" i="7"/>
  <c r="K101" i="7"/>
  <c r="O123" i="5"/>
  <c r="L123" i="5"/>
  <c r="D112" i="5"/>
  <c r="L112" i="5"/>
  <c r="C101" i="5"/>
  <c r="B55" i="7"/>
  <c r="H112" i="5"/>
  <c r="D113" i="7"/>
  <c r="N78" i="7"/>
  <c r="I134" i="5"/>
  <c r="M123" i="5"/>
  <c r="E112" i="5"/>
  <c r="M112" i="5"/>
  <c r="I101" i="5"/>
  <c r="H55" i="7"/>
  <c r="I148" i="7"/>
  <c r="C112" i="5"/>
  <c r="D101" i="5"/>
  <c r="G101" i="5"/>
  <c r="F55" i="7"/>
  <c r="I113" i="7"/>
  <c r="K134" i="5"/>
  <c r="C134" i="5"/>
  <c r="F118" i="5"/>
  <c r="F238" i="5"/>
  <c r="F358" i="5"/>
  <c r="E135" i="5"/>
  <c r="M129" i="5"/>
  <c r="B73" i="7"/>
  <c r="K74" i="7"/>
  <c r="E114" i="7"/>
  <c r="M108" i="7"/>
  <c r="I131" i="11"/>
  <c r="I252" i="11"/>
  <c r="I372" i="11"/>
  <c r="I135" i="11"/>
  <c r="I256" i="11"/>
  <c r="I376" i="11"/>
  <c r="I130" i="11"/>
  <c r="I251" i="11"/>
  <c r="I371" i="11"/>
  <c r="I134" i="11"/>
  <c r="I255" i="11"/>
  <c r="I375" i="11"/>
  <c r="I129" i="11"/>
  <c r="I250" i="11"/>
  <c r="I370" i="11"/>
  <c r="I135" i="10"/>
  <c r="I256" i="10"/>
  <c r="I376" i="10"/>
  <c r="I129" i="10"/>
  <c r="I250" i="10"/>
  <c r="I370" i="10"/>
  <c r="I130" i="10"/>
  <c r="I251" i="10"/>
  <c r="I371" i="10"/>
  <c r="I131" i="10"/>
  <c r="I252" i="10"/>
  <c r="I372" i="10"/>
  <c r="I134" i="10"/>
  <c r="I255" i="10"/>
  <c r="I375" i="10"/>
  <c r="H129" i="5"/>
  <c r="H131" i="5"/>
  <c r="H133" i="5"/>
  <c r="H135" i="5"/>
  <c r="G98" i="11"/>
  <c r="G219" i="11"/>
  <c r="G339" i="11"/>
  <c r="G102" i="11"/>
  <c r="G223" i="11"/>
  <c r="G343" i="11"/>
  <c r="G97" i="11"/>
  <c r="G218" i="11"/>
  <c r="G338" i="11"/>
  <c r="G97" i="10"/>
  <c r="G218" i="10"/>
  <c r="G338" i="10"/>
  <c r="G101" i="10"/>
  <c r="G222" i="10"/>
  <c r="G342" i="10"/>
  <c r="G102" i="10"/>
  <c r="G223" i="10"/>
  <c r="G343" i="10"/>
  <c r="G96" i="10"/>
  <c r="G217" i="10"/>
  <c r="G337" i="10"/>
  <c r="G101" i="11"/>
  <c r="G222" i="11"/>
  <c r="G342" i="11"/>
  <c r="G98" i="10"/>
  <c r="G219" i="10"/>
  <c r="G339" i="10"/>
  <c r="G96" i="11"/>
  <c r="G217" i="11"/>
  <c r="G337" i="11"/>
  <c r="R91" i="1"/>
  <c r="I133" i="10"/>
  <c r="I254" i="10"/>
  <c r="I374" i="10"/>
  <c r="N102" i="5"/>
  <c r="M56" i="7"/>
  <c r="F102" i="5"/>
  <c r="E56" i="7"/>
  <c r="J101" i="5"/>
  <c r="I55" i="7"/>
  <c r="F100" i="5"/>
  <c r="E54" i="7"/>
  <c r="N98" i="5"/>
  <c r="M52" i="7"/>
  <c r="F98" i="5"/>
  <c r="E52" i="7"/>
  <c r="N96" i="5"/>
  <c r="M50" i="7"/>
  <c r="E96" i="5"/>
  <c r="J113" i="5"/>
  <c r="N112" i="5"/>
  <c r="F112" i="5"/>
  <c r="J111" i="5"/>
  <c r="E108" i="5"/>
  <c r="I107" i="5"/>
  <c r="C120" i="5"/>
  <c r="E124" i="5"/>
  <c r="M119" i="5"/>
  <c r="E131" i="5"/>
  <c r="G129" i="5"/>
  <c r="G249" i="5"/>
  <c r="G369" i="5"/>
  <c r="B4" i="7"/>
  <c r="B27" i="7"/>
  <c r="N9" i="7"/>
  <c r="J4" i="7"/>
  <c r="B74" i="7"/>
  <c r="G79" i="7"/>
  <c r="C74" i="7"/>
  <c r="M110" i="7"/>
  <c r="E108" i="7"/>
  <c r="E145" i="7"/>
  <c r="O109" i="11"/>
  <c r="O230" i="11"/>
  <c r="O350" i="11"/>
  <c r="O112" i="11"/>
  <c r="O233" i="11"/>
  <c r="O353" i="11"/>
  <c r="O111" i="11"/>
  <c r="O232" i="11"/>
  <c r="O352" i="11"/>
  <c r="O108" i="11"/>
  <c r="O229" i="11"/>
  <c r="O349" i="11"/>
  <c r="O107" i="11"/>
  <c r="O228" i="11"/>
  <c r="O348" i="11"/>
  <c r="O113" i="10"/>
  <c r="O234" i="10"/>
  <c r="O354" i="10"/>
  <c r="M87" i="7"/>
  <c r="O109" i="10"/>
  <c r="O230" i="10"/>
  <c r="O350" i="10"/>
  <c r="O112" i="10"/>
  <c r="O233" i="10"/>
  <c r="O353" i="10"/>
  <c r="M85" i="7"/>
  <c r="O107" i="10"/>
  <c r="O228" i="10"/>
  <c r="O348" i="10"/>
  <c r="M89" i="7"/>
  <c r="M91" i="7"/>
  <c r="M90" i="7"/>
  <c r="M86" i="7"/>
  <c r="O108" i="10"/>
  <c r="O229" i="10"/>
  <c r="O349" i="10"/>
  <c r="O113" i="11"/>
  <c r="O234" i="11"/>
  <c r="O354" i="11"/>
  <c r="J93" i="1"/>
  <c r="K97" i="11"/>
  <c r="K218" i="11"/>
  <c r="K338" i="11"/>
  <c r="K101" i="11"/>
  <c r="K222" i="11"/>
  <c r="K342" i="11"/>
  <c r="K96" i="11"/>
  <c r="K217" i="11"/>
  <c r="K337" i="11"/>
  <c r="K100" i="11"/>
  <c r="K221" i="11"/>
  <c r="K341" i="11"/>
  <c r="K98" i="11"/>
  <c r="K219" i="11"/>
  <c r="K339" i="11"/>
  <c r="K102" i="11"/>
  <c r="K223" i="11"/>
  <c r="K343" i="11"/>
  <c r="K102" i="10"/>
  <c r="K223" i="10"/>
  <c r="K343" i="10"/>
  <c r="K97" i="10"/>
  <c r="K218" i="10"/>
  <c r="K338" i="10"/>
  <c r="K98" i="10"/>
  <c r="K219" i="10"/>
  <c r="K339" i="10"/>
  <c r="K100" i="10"/>
  <c r="K221" i="10"/>
  <c r="K341" i="10"/>
  <c r="K101" i="10"/>
  <c r="K222" i="10"/>
  <c r="K342" i="10"/>
  <c r="K96" i="10"/>
  <c r="K217" i="10"/>
  <c r="K337" i="10"/>
  <c r="C97" i="5"/>
  <c r="B51" i="7"/>
  <c r="L97" i="5"/>
  <c r="K51" i="7"/>
  <c r="D113" i="5"/>
  <c r="G130" i="11"/>
  <c r="G251" i="11"/>
  <c r="G371" i="11"/>
  <c r="G134" i="11"/>
  <c r="G255" i="11"/>
  <c r="G375" i="11"/>
  <c r="G129" i="11"/>
  <c r="G250" i="11"/>
  <c r="G370" i="11"/>
  <c r="G133" i="11"/>
  <c r="G254" i="11"/>
  <c r="G374" i="11"/>
  <c r="G131" i="11"/>
  <c r="G252" i="11"/>
  <c r="G372" i="11"/>
  <c r="G135" i="10"/>
  <c r="G256" i="10"/>
  <c r="G376" i="10"/>
  <c r="G133" i="10"/>
  <c r="G254" i="10"/>
  <c r="G374" i="10"/>
  <c r="G135" i="11"/>
  <c r="G256" i="11"/>
  <c r="G376" i="11"/>
  <c r="G129" i="10"/>
  <c r="G250" i="10"/>
  <c r="G370" i="10"/>
  <c r="G134" i="10"/>
  <c r="G255" i="10"/>
  <c r="G375" i="10"/>
  <c r="G131" i="10"/>
  <c r="G252" i="10"/>
  <c r="G372" i="10"/>
  <c r="G130" i="10"/>
  <c r="G251" i="10"/>
  <c r="G371" i="10"/>
  <c r="F130" i="5"/>
  <c r="F134" i="5"/>
  <c r="F129" i="5"/>
  <c r="F131" i="5"/>
  <c r="F133" i="5"/>
  <c r="F135" i="5"/>
  <c r="E98" i="11"/>
  <c r="E219" i="11"/>
  <c r="E339" i="11"/>
  <c r="E102" i="11"/>
  <c r="E223" i="11"/>
  <c r="E343" i="11"/>
  <c r="E97" i="11"/>
  <c r="E218" i="11"/>
  <c r="E338" i="11"/>
  <c r="E101" i="11"/>
  <c r="E222" i="11"/>
  <c r="E342" i="11"/>
  <c r="E102" i="10"/>
  <c r="E223" i="10"/>
  <c r="E343" i="10"/>
  <c r="E97" i="10"/>
  <c r="E218" i="10"/>
  <c r="E338" i="10"/>
  <c r="E101" i="10"/>
  <c r="E222" i="10"/>
  <c r="E342" i="10"/>
  <c r="E96" i="11"/>
  <c r="E217" i="11"/>
  <c r="E337" i="11"/>
  <c r="E100" i="11"/>
  <c r="E221" i="11"/>
  <c r="E341" i="11"/>
  <c r="E98" i="10"/>
  <c r="E219" i="10"/>
  <c r="E339" i="10"/>
  <c r="E96" i="10"/>
  <c r="E217" i="10"/>
  <c r="E337" i="10"/>
  <c r="E100" i="10"/>
  <c r="E221" i="10"/>
  <c r="E341" i="10"/>
  <c r="R90" i="1"/>
  <c r="F110" i="5"/>
  <c r="F230" i="5"/>
  <c r="F350" i="5"/>
  <c r="C102" i="5"/>
  <c r="M102" i="5"/>
  <c r="E102" i="5"/>
  <c r="D56" i="7"/>
  <c r="M98" i="5"/>
  <c r="L52" i="7"/>
  <c r="E98" i="5"/>
  <c r="I97" i="5"/>
  <c r="M96" i="5"/>
  <c r="L50" i="7"/>
  <c r="D96" i="5"/>
  <c r="C50" i="7"/>
  <c r="C109" i="5"/>
  <c r="I113" i="5"/>
  <c r="I109" i="5"/>
  <c r="M108" i="5"/>
  <c r="D108" i="5"/>
  <c r="C118" i="5"/>
  <c r="C238" i="5"/>
  <c r="C358" i="5"/>
  <c r="C119" i="5"/>
  <c r="L119" i="5"/>
  <c r="N124" i="5"/>
  <c r="E129" i="5"/>
  <c r="E249" i="5"/>
  <c r="E369" i="5"/>
  <c r="I9" i="7"/>
  <c r="E4" i="7"/>
  <c r="J73" i="7"/>
  <c r="L144" i="7"/>
  <c r="G109" i="11"/>
  <c r="G230" i="11"/>
  <c r="G350" i="11"/>
  <c r="G112" i="11"/>
  <c r="G233" i="11"/>
  <c r="G353" i="11"/>
  <c r="G111" i="11"/>
  <c r="G232" i="11"/>
  <c r="G352" i="11"/>
  <c r="G108" i="11"/>
  <c r="G229" i="11"/>
  <c r="G349" i="11"/>
  <c r="G107" i="11"/>
  <c r="G228" i="11"/>
  <c r="G348" i="11"/>
  <c r="G113" i="10"/>
  <c r="G234" i="10"/>
  <c r="G354" i="10"/>
  <c r="E87" i="7"/>
  <c r="G113" i="11"/>
  <c r="G234" i="11"/>
  <c r="G354" i="11"/>
  <c r="G109" i="10"/>
  <c r="G230" i="10"/>
  <c r="G350" i="10"/>
  <c r="G112" i="10"/>
  <c r="G233" i="10"/>
  <c r="G353" i="10"/>
  <c r="E85" i="7"/>
  <c r="G107" i="10"/>
  <c r="G228" i="10"/>
  <c r="G348" i="10"/>
  <c r="E89" i="7"/>
  <c r="E91" i="7"/>
  <c r="E90" i="7"/>
  <c r="E101" i="7"/>
  <c r="E88" i="7"/>
  <c r="E86" i="7"/>
  <c r="G108" i="10"/>
  <c r="G229" i="10"/>
  <c r="G349" i="10"/>
  <c r="G111" i="10"/>
  <c r="G232" i="10"/>
  <c r="G352" i="10"/>
  <c r="C96" i="5"/>
  <c r="B50" i="7"/>
  <c r="H102" i="5"/>
  <c r="G56" i="7"/>
  <c r="D97" i="5"/>
  <c r="C51" i="7"/>
  <c r="E133" i="11"/>
  <c r="E254" i="11"/>
  <c r="E374" i="11"/>
  <c r="E130" i="11"/>
  <c r="E251" i="11"/>
  <c r="E371" i="11"/>
  <c r="E129" i="11"/>
  <c r="E250" i="11"/>
  <c r="E370" i="11"/>
  <c r="E135" i="11"/>
  <c r="E256" i="11"/>
  <c r="E376" i="11"/>
  <c r="E134" i="11"/>
  <c r="E255" i="11"/>
  <c r="E375" i="11"/>
  <c r="E131" i="11"/>
  <c r="E252" i="11"/>
  <c r="E372" i="11"/>
  <c r="E129" i="10"/>
  <c r="E250" i="10"/>
  <c r="E370" i="10"/>
  <c r="E130" i="10"/>
  <c r="E251" i="10"/>
  <c r="E371" i="10"/>
  <c r="E135" i="10"/>
  <c r="E256" i="10"/>
  <c r="E376" i="10"/>
  <c r="E133" i="10"/>
  <c r="E254" i="10"/>
  <c r="E374" i="10"/>
  <c r="E131" i="10"/>
  <c r="E252" i="10"/>
  <c r="E372" i="10"/>
  <c r="E134" i="10"/>
  <c r="E255" i="10"/>
  <c r="E375" i="10"/>
  <c r="D130" i="5"/>
  <c r="D132" i="5"/>
  <c r="D134" i="5"/>
  <c r="E102" i="18"/>
  <c r="E124" i="18"/>
  <c r="M102" i="18"/>
  <c r="M124" i="18"/>
  <c r="M57" i="18"/>
  <c r="H5" i="8"/>
  <c r="B5" i="8"/>
  <c r="H58" i="8"/>
  <c r="H81" i="8"/>
  <c r="B58" i="8"/>
  <c r="F102" i="18"/>
  <c r="F124" i="18"/>
  <c r="N102" i="18"/>
  <c r="N124" i="18"/>
  <c r="N57" i="18"/>
  <c r="I5" i="8"/>
  <c r="I28" i="8"/>
  <c r="I58" i="8"/>
  <c r="I81" i="8"/>
  <c r="G102" i="18"/>
  <c r="G124" i="18"/>
  <c r="H102" i="18"/>
  <c r="H124" i="18"/>
  <c r="B102" i="18"/>
  <c r="B124" i="18"/>
  <c r="I102" i="18"/>
  <c r="I124" i="18"/>
  <c r="I57" i="18"/>
  <c r="D5" i="8"/>
  <c r="L5" i="8"/>
  <c r="L28" i="8"/>
  <c r="D58" i="8"/>
  <c r="L58" i="8"/>
  <c r="L81" i="8"/>
  <c r="J102" i="18"/>
  <c r="J124" i="18"/>
  <c r="J57" i="18"/>
  <c r="E5" i="8"/>
  <c r="M5" i="8"/>
  <c r="M28" i="8"/>
  <c r="E58" i="8"/>
  <c r="M58" i="8"/>
  <c r="M81" i="8"/>
  <c r="C102" i="18"/>
  <c r="C124" i="18"/>
  <c r="K102" i="18"/>
  <c r="K124" i="18"/>
  <c r="K57" i="18"/>
  <c r="F5" i="8"/>
  <c r="N5" i="8"/>
  <c r="N28" i="8"/>
  <c r="F58" i="8"/>
  <c r="N58" i="8"/>
  <c r="N81" i="8"/>
  <c r="D102" i="18"/>
  <c r="D124" i="18"/>
  <c r="L102" i="18"/>
  <c r="L124" i="18"/>
  <c r="L57" i="18"/>
  <c r="G5" i="8"/>
  <c r="G58" i="8"/>
  <c r="F40" i="7"/>
  <c r="F63" i="7"/>
  <c r="N40" i="7"/>
  <c r="C5" i="8"/>
  <c r="G40" i="7"/>
  <c r="J5" i="8"/>
  <c r="J28" i="8"/>
  <c r="C58" i="8"/>
  <c r="C81" i="8"/>
  <c r="H40" i="7"/>
  <c r="H63" i="7"/>
  <c r="B40" i="7"/>
  <c r="K58" i="8"/>
  <c r="J40" i="7"/>
  <c r="C40" i="7"/>
  <c r="K40" i="7"/>
  <c r="K63" i="7"/>
  <c r="E40" i="7"/>
  <c r="I120" i="11"/>
  <c r="I241" i="11"/>
  <c r="I361" i="11"/>
  <c r="I40" i="7"/>
  <c r="J131" i="11"/>
  <c r="J252" i="11"/>
  <c r="J372" i="11"/>
  <c r="J120" i="11"/>
  <c r="J241" i="11"/>
  <c r="J361" i="11"/>
  <c r="L40" i="7"/>
  <c r="K120" i="11"/>
  <c r="K241" i="11"/>
  <c r="K361" i="11"/>
  <c r="M40" i="7"/>
  <c r="M63" i="7"/>
  <c r="D131" i="11"/>
  <c r="D252" i="11"/>
  <c r="D372" i="11"/>
  <c r="L131" i="11"/>
  <c r="L252" i="11"/>
  <c r="L372" i="11"/>
  <c r="D120" i="11"/>
  <c r="D241" i="11"/>
  <c r="D361" i="11"/>
  <c r="J58" i="8"/>
  <c r="D40" i="7"/>
  <c r="G120" i="11"/>
  <c r="G241" i="11"/>
  <c r="G361" i="11"/>
  <c r="F109" i="11"/>
  <c r="F230" i="11"/>
  <c r="F350" i="11"/>
  <c r="N109" i="11"/>
  <c r="N230" i="11"/>
  <c r="N350" i="11"/>
  <c r="M98" i="11"/>
  <c r="M219" i="11"/>
  <c r="M339" i="11"/>
  <c r="H131" i="11"/>
  <c r="H252" i="11"/>
  <c r="H372" i="11"/>
  <c r="H120" i="11"/>
  <c r="H241" i="11"/>
  <c r="H361" i="11"/>
  <c r="F98" i="11"/>
  <c r="F219" i="11"/>
  <c r="F339" i="11"/>
  <c r="N98" i="11"/>
  <c r="N219" i="11"/>
  <c r="N339" i="11"/>
  <c r="K5" i="8"/>
  <c r="K28" i="8"/>
  <c r="M131" i="11"/>
  <c r="M252" i="11"/>
  <c r="M372" i="11"/>
  <c r="L120" i="11"/>
  <c r="L241" i="11"/>
  <c r="L361" i="11"/>
  <c r="H109" i="11"/>
  <c r="H230" i="11"/>
  <c r="H350" i="11"/>
  <c r="P109" i="11"/>
  <c r="N131" i="11"/>
  <c r="N252" i="11"/>
  <c r="N372" i="11"/>
  <c r="M120" i="11"/>
  <c r="M241" i="11"/>
  <c r="M361" i="11"/>
  <c r="H98" i="11"/>
  <c r="H219" i="11"/>
  <c r="H339" i="11"/>
  <c r="P98" i="11"/>
  <c r="N120" i="11"/>
  <c r="N241" i="11"/>
  <c r="N361" i="11"/>
  <c r="J109" i="11"/>
  <c r="J230" i="11"/>
  <c r="J350" i="11"/>
  <c r="E120" i="11"/>
  <c r="E241" i="11"/>
  <c r="E361" i="11"/>
  <c r="P120" i="11"/>
  <c r="D109" i="11"/>
  <c r="D230" i="11"/>
  <c r="D350" i="11"/>
  <c r="L109" i="11"/>
  <c r="L230" i="11"/>
  <c r="L350" i="11"/>
  <c r="F131" i="10"/>
  <c r="F252" i="10"/>
  <c r="F372" i="10"/>
  <c r="N131" i="10"/>
  <c r="N252" i="10"/>
  <c r="N372" i="10"/>
  <c r="G120" i="10"/>
  <c r="G241" i="10"/>
  <c r="G361" i="10"/>
  <c r="O120" i="10"/>
  <c r="O241" i="10"/>
  <c r="O361" i="10"/>
  <c r="M109" i="10"/>
  <c r="M230" i="10"/>
  <c r="M350" i="10"/>
  <c r="H98" i="10"/>
  <c r="H219" i="10"/>
  <c r="H339" i="10"/>
  <c r="P98" i="10"/>
  <c r="G209" i="8"/>
  <c r="D98" i="11"/>
  <c r="D219" i="11"/>
  <c r="D339" i="11"/>
  <c r="H131" i="10"/>
  <c r="H252" i="10"/>
  <c r="H372" i="10"/>
  <c r="P131" i="10"/>
  <c r="I120" i="10"/>
  <c r="I241" i="10"/>
  <c r="I361" i="10"/>
  <c r="J98" i="10"/>
  <c r="J219" i="10"/>
  <c r="J339" i="10"/>
  <c r="K87" i="7"/>
  <c r="I209" i="8"/>
  <c r="I232" i="8"/>
  <c r="F131" i="11"/>
  <c r="F252" i="11"/>
  <c r="F372" i="11"/>
  <c r="F120" i="11"/>
  <c r="F241" i="11"/>
  <c r="F361" i="11"/>
  <c r="M109" i="11"/>
  <c r="M230" i="11"/>
  <c r="M350" i="11"/>
  <c r="D131" i="10"/>
  <c r="D252" i="10"/>
  <c r="D372" i="10"/>
  <c r="L131" i="10"/>
  <c r="L252" i="10"/>
  <c r="L372" i="10"/>
  <c r="E120" i="10"/>
  <c r="E241" i="10"/>
  <c r="E361" i="10"/>
  <c r="M120" i="10"/>
  <c r="M241" i="10"/>
  <c r="M361" i="10"/>
  <c r="F98" i="10"/>
  <c r="F219" i="10"/>
  <c r="F339" i="10"/>
  <c r="N98" i="10"/>
  <c r="N219" i="10"/>
  <c r="N339" i="10"/>
  <c r="E209" i="8"/>
  <c r="M209" i="8"/>
  <c r="M232" i="8"/>
  <c r="J98" i="11"/>
  <c r="J219" i="11"/>
  <c r="J339" i="11"/>
  <c r="N120" i="10"/>
  <c r="N241" i="10"/>
  <c r="N361" i="10"/>
  <c r="F87" i="7"/>
  <c r="L209" i="8"/>
  <c r="L232" i="8"/>
  <c r="J163" i="8"/>
  <c r="J186" i="8"/>
  <c r="I113" i="8"/>
  <c r="I136" i="8"/>
  <c r="P131" i="11"/>
  <c r="L98" i="11"/>
  <c r="L219" i="11"/>
  <c r="L339" i="11"/>
  <c r="J131" i="10"/>
  <c r="J252" i="10"/>
  <c r="J372" i="10"/>
  <c r="P120" i="10"/>
  <c r="J109" i="10"/>
  <c r="J230" i="10"/>
  <c r="J350" i="10"/>
  <c r="D87" i="7"/>
  <c r="N209" i="8"/>
  <c r="N232" i="8"/>
  <c r="C163" i="8"/>
  <c r="K163" i="8"/>
  <c r="K186" i="8"/>
  <c r="J113" i="8"/>
  <c r="J136" i="8"/>
  <c r="D120" i="10"/>
  <c r="D241" i="10"/>
  <c r="D361" i="10"/>
  <c r="O120" i="11"/>
  <c r="O241" i="11"/>
  <c r="O361" i="11"/>
  <c r="M131" i="10"/>
  <c r="M252" i="10"/>
  <c r="M372" i="10"/>
  <c r="F120" i="10"/>
  <c r="F241" i="10"/>
  <c r="F361" i="10"/>
  <c r="N109" i="10"/>
  <c r="N230" i="10"/>
  <c r="N350" i="10"/>
  <c r="M98" i="10"/>
  <c r="M219" i="10"/>
  <c r="M339" i="10"/>
  <c r="D209" i="8"/>
  <c r="B209" i="8"/>
  <c r="E163" i="8"/>
  <c r="M163" i="8"/>
  <c r="M186" i="8"/>
  <c r="D113" i="8"/>
  <c r="L113" i="8"/>
  <c r="L136" i="8"/>
  <c r="B87" i="7"/>
  <c r="F209" i="8"/>
  <c r="F163" i="8"/>
  <c r="H113" i="8"/>
  <c r="H209" i="8"/>
  <c r="G163" i="8"/>
  <c r="K113" i="8"/>
  <c r="K136" i="8"/>
  <c r="D98" i="10"/>
  <c r="D219" i="10"/>
  <c r="D339" i="10"/>
  <c r="J209" i="8"/>
  <c r="J232" i="8"/>
  <c r="H163" i="8"/>
  <c r="M113" i="8"/>
  <c r="M136" i="8"/>
  <c r="B113" i="8"/>
  <c r="D109" i="10"/>
  <c r="D230" i="10"/>
  <c r="D350" i="10"/>
  <c r="K209" i="8"/>
  <c r="K232" i="8"/>
  <c r="I163" i="8"/>
  <c r="I186" i="8"/>
  <c r="N113" i="8"/>
  <c r="N136" i="8"/>
  <c r="L163" i="8"/>
  <c r="L186" i="8"/>
  <c r="B163" i="8"/>
  <c r="J120" i="10"/>
  <c r="J241" i="10"/>
  <c r="J361" i="10"/>
  <c r="J87" i="7"/>
  <c r="H120" i="10"/>
  <c r="H241" i="10"/>
  <c r="H361" i="10"/>
  <c r="F109" i="10"/>
  <c r="F230" i="10"/>
  <c r="F350" i="10"/>
  <c r="K120" i="10"/>
  <c r="K241" i="10"/>
  <c r="K361" i="10"/>
  <c r="L109" i="10"/>
  <c r="L230" i="10"/>
  <c r="L350" i="10"/>
  <c r="F113" i="8"/>
  <c r="L87" i="7"/>
  <c r="C113" i="8"/>
  <c r="H109" i="10"/>
  <c r="H230" i="10"/>
  <c r="H350" i="10"/>
  <c r="L120" i="10"/>
  <c r="L241" i="10"/>
  <c r="L361" i="10"/>
  <c r="P109" i="10"/>
  <c r="H87" i="7"/>
  <c r="C209" i="8"/>
  <c r="D163" i="8"/>
  <c r="G113" i="8"/>
  <c r="L98" i="10"/>
  <c r="L219" i="10"/>
  <c r="L339" i="10"/>
  <c r="E113" i="8"/>
  <c r="N163" i="8"/>
  <c r="N186" i="8"/>
  <c r="I145" i="7"/>
  <c r="I110" i="7"/>
  <c r="C75" i="7"/>
  <c r="K75" i="7"/>
  <c r="J5" i="7"/>
  <c r="F120" i="5"/>
  <c r="F240" i="5"/>
  <c r="F360" i="5"/>
  <c r="O4" i="3"/>
  <c r="J145" i="7"/>
  <c r="J110" i="7"/>
  <c r="D75" i="7"/>
  <c r="L75" i="7"/>
  <c r="C5" i="7"/>
  <c r="C28" i="7"/>
  <c r="K5" i="7"/>
  <c r="I131" i="5"/>
  <c r="C131" i="5"/>
  <c r="G120" i="5"/>
  <c r="C145" i="7"/>
  <c r="K145" i="7"/>
  <c r="C110" i="7"/>
  <c r="K110" i="7"/>
  <c r="E75" i="7"/>
  <c r="M75" i="7"/>
  <c r="D5" i="7"/>
  <c r="L5" i="7"/>
  <c r="L28" i="7"/>
  <c r="H120" i="5"/>
  <c r="H240" i="5"/>
  <c r="H360" i="5"/>
  <c r="D145" i="7"/>
  <c r="L145" i="7"/>
  <c r="D110" i="7"/>
  <c r="L110" i="7"/>
  <c r="F75" i="7"/>
  <c r="N75" i="7"/>
  <c r="E5" i="7"/>
  <c r="M5" i="7"/>
  <c r="M28" i="7"/>
  <c r="K131" i="5"/>
  <c r="I120" i="5"/>
  <c r="F145" i="7"/>
  <c r="N145" i="7"/>
  <c r="F110" i="7"/>
  <c r="N110" i="7"/>
  <c r="H75" i="7"/>
  <c r="B75" i="7"/>
  <c r="G5" i="7"/>
  <c r="G28" i="7"/>
  <c r="G145" i="7"/>
  <c r="G110" i="7"/>
  <c r="I75" i="7"/>
  <c r="I98" i="7"/>
  <c r="H5" i="7"/>
  <c r="B5" i="7"/>
  <c r="O120" i="5"/>
  <c r="D120" i="5"/>
  <c r="D240" i="5"/>
  <c r="D360" i="5"/>
  <c r="L120" i="5"/>
  <c r="L102" i="5"/>
  <c r="D102" i="5"/>
  <c r="C56" i="7"/>
  <c r="H101" i="5"/>
  <c r="G55" i="7"/>
  <c r="H99" i="5"/>
  <c r="G53" i="7"/>
  <c r="L98" i="5"/>
  <c r="K52" i="7"/>
  <c r="D98" i="5"/>
  <c r="C52" i="7"/>
  <c r="K96" i="5"/>
  <c r="J50" i="7"/>
  <c r="C107" i="5"/>
  <c r="C108" i="5"/>
  <c r="H113" i="5"/>
  <c r="H109" i="5"/>
  <c r="K108" i="5"/>
  <c r="O107" i="5"/>
  <c r="O227" i="5"/>
  <c r="G107" i="5"/>
  <c r="G227" i="5"/>
  <c r="G347" i="5"/>
  <c r="G119" i="5"/>
  <c r="O135" i="5"/>
  <c r="H134" i="5"/>
  <c r="K130" i="5"/>
  <c r="D129" i="5"/>
  <c r="F9" i="7"/>
  <c r="F32" i="7"/>
  <c r="N3" i="7"/>
  <c r="G73" i="7"/>
  <c r="E110" i="7"/>
  <c r="M149" i="7"/>
  <c r="I144" i="7"/>
  <c r="K108" i="11"/>
  <c r="K229" i="11"/>
  <c r="K349" i="11"/>
  <c r="K107" i="11"/>
  <c r="K228" i="11"/>
  <c r="K348" i="11"/>
  <c r="K110" i="11"/>
  <c r="K231" i="11"/>
  <c r="K351" i="11"/>
  <c r="K113" i="11"/>
  <c r="K234" i="11"/>
  <c r="K354" i="11"/>
  <c r="K110" i="10"/>
  <c r="K231" i="10"/>
  <c r="K351" i="10"/>
  <c r="I91" i="7"/>
  <c r="K107" i="10"/>
  <c r="K228" i="10"/>
  <c r="K348" i="10"/>
  <c r="I89" i="7"/>
  <c r="K109" i="10"/>
  <c r="K230" i="10"/>
  <c r="K350" i="10"/>
  <c r="K112" i="10"/>
  <c r="K233" i="10"/>
  <c r="K353" i="10"/>
  <c r="I85" i="7"/>
  <c r="K113" i="10"/>
  <c r="K234" i="10"/>
  <c r="K354" i="10"/>
  <c r="K108" i="10"/>
  <c r="K229" i="10"/>
  <c r="K349" i="10"/>
  <c r="K111" i="11"/>
  <c r="K232" i="11"/>
  <c r="K352" i="11"/>
  <c r="K109" i="11"/>
  <c r="K230" i="11"/>
  <c r="K350" i="11"/>
  <c r="I88" i="7"/>
  <c r="K111" i="10"/>
  <c r="K232" i="10"/>
  <c r="K352" i="10"/>
  <c r="K112" i="11"/>
  <c r="K233" i="11"/>
  <c r="K353" i="11"/>
  <c r="I86" i="7"/>
  <c r="I87" i="7"/>
  <c r="I90" i="7"/>
  <c r="R95" i="1"/>
  <c r="H137" i="5"/>
  <c r="H257" i="5"/>
  <c r="H377" i="5"/>
  <c r="J102" i="5"/>
  <c r="I56" i="7"/>
  <c r="N101" i="5"/>
  <c r="M55" i="7"/>
  <c r="F101" i="5"/>
  <c r="E55" i="7"/>
  <c r="J100" i="5"/>
  <c r="I54" i="7"/>
  <c r="N99" i="5"/>
  <c r="M53" i="7"/>
  <c r="F99" i="5"/>
  <c r="E53" i="7"/>
  <c r="J98" i="5"/>
  <c r="I52" i="7"/>
  <c r="F97" i="5"/>
  <c r="E51" i="7"/>
  <c r="I96" i="5"/>
  <c r="H50" i="7"/>
  <c r="N113" i="5"/>
  <c r="F113" i="5"/>
  <c r="J112" i="5"/>
  <c r="N111" i="5"/>
  <c r="F111" i="5"/>
  <c r="J110" i="5"/>
  <c r="N109" i="5"/>
  <c r="F109" i="5"/>
  <c r="I108" i="5"/>
  <c r="M107" i="5"/>
  <c r="M227" i="5"/>
  <c r="M347" i="5"/>
  <c r="E107" i="5"/>
  <c r="C124" i="5"/>
  <c r="M120" i="5"/>
  <c r="D119" i="5"/>
  <c r="D239" i="5"/>
  <c r="D359" i="5"/>
  <c r="N120" i="5"/>
  <c r="L135" i="5"/>
  <c r="O131" i="5"/>
  <c r="H130" i="5"/>
  <c r="N5" i="7"/>
  <c r="F3" i="7"/>
  <c r="F26" i="7"/>
  <c r="G75" i="7"/>
  <c r="M114" i="7"/>
  <c r="E149" i="7"/>
  <c r="M143" i="7"/>
  <c r="I101" i="18"/>
  <c r="I123" i="18"/>
  <c r="I56" i="18"/>
  <c r="D4" i="8"/>
  <c r="L4" i="8"/>
  <c r="L27" i="8"/>
  <c r="D57" i="8"/>
  <c r="L57" i="8"/>
  <c r="L80" i="8"/>
  <c r="J101" i="18"/>
  <c r="J123" i="18"/>
  <c r="J56" i="18"/>
  <c r="E4" i="8"/>
  <c r="M4" i="8"/>
  <c r="M27" i="8"/>
  <c r="E57" i="8"/>
  <c r="E80" i="8"/>
  <c r="M57" i="8"/>
  <c r="C101" i="18"/>
  <c r="K101" i="18"/>
  <c r="K123" i="18"/>
  <c r="B101" i="18"/>
  <c r="B123" i="18"/>
  <c r="C56" i="18"/>
  <c r="K56" i="18"/>
  <c r="B56" i="18"/>
  <c r="D101" i="18"/>
  <c r="D123" i="18"/>
  <c r="L101" i="18"/>
  <c r="L123" i="18"/>
  <c r="D56" i="18"/>
  <c r="L56" i="18"/>
  <c r="E101" i="18"/>
  <c r="E123" i="18"/>
  <c r="M101" i="18"/>
  <c r="M123" i="18"/>
  <c r="E56" i="18"/>
  <c r="M56" i="18"/>
  <c r="H4" i="8"/>
  <c r="H57" i="8"/>
  <c r="F101" i="18"/>
  <c r="F123" i="18"/>
  <c r="N101" i="18"/>
  <c r="N123" i="18"/>
  <c r="F56" i="18"/>
  <c r="N56" i="18"/>
  <c r="I4" i="8"/>
  <c r="I27" i="8"/>
  <c r="I57" i="8"/>
  <c r="I80" i="8"/>
  <c r="G101" i="18"/>
  <c r="G123" i="18"/>
  <c r="G56" i="18"/>
  <c r="J4" i="8"/>
  <c r="J27" i="8"/>
  <c r="J57" i="8"/>
  <c r="H101" i="18"/>
  <c r="H123" i="18"/>
  <c r="H56" i="18"/>
  <c r="C4" i="8"/>
  <c r="K4" i="8"/>
  <c r="K27" i="8"/>
  <c r="B4" i="8"/>
  <c r="C57" i="8"/>
  <c r="C80" i="8"/>
  <c r="K57" i="8"/>
  <c r="K80" i="8"/>
  <c r="B57" i="8"/>
  <c r="B80" i="8"/>
  <c r="N4" i="8"/>
  <c r="N27" i="8"/>
  <c r="G57" i="8"/>
  <c r="J39" i="7"/>
  <c r="J62" i="7"/>
  <c r="N57" i="8"/>
  <c r="C39" i="7"/>
  <c r="C62" i="7"/>
  <c r="K39" i="7"/>
  <c r="B39" i="7"/>
  <c r="D39" i="7"/>
  <c r="L39" i="7"/>
  <c r="L62" i="7"/>
  <c r="F39" i="7"/>
  <c r="N39" i="7"/>
  <c r="G39" i="7"/>
  <c r="G62" i="7"/>
  <c r="K119" i="11"/>
  <c r="K240" i="11"/>
  <c r="K360" i="11"/>
  <c r="H130" i="11"/>
  <c r="H251" i="11"/>
  <c r="H371" i="11"/>
  <c r="P130" i="11"/>
  <c r="D119" i="11"/>
  <c r="D240" i="11"/>
  <c r="D360" i="11"/>
  <c r="L119" i="11"/>
  <c r="L240" i="11"/>
  <c r="L360" i="11"/>
  <c r="E119" i="11"/>
  <c r="E240" i="11"/>
  <c r="E360" i="11"/>
  <c r="M119" i="11"/>
  <c r="M240" i="11"/>
  <c r="M360" i="11"/>
  <c r="F4" i="8"/>
  <c r="F57" i="8"/>
  <c r="E39" i="7"/>
  <c r="E62" i="7"/>
  <c r="J130" i="11"/>
  <c r="J251" i="11"/>
  <c r="J371" i="11"/>
  <c r="F119" i="11"/>
  <c r="F240" i="11"/>
  <c r="F360" i="11"/>
  <c r="N119" i="11"/>
  <c r="N240" i="11"/>
  <c r="N360" i="11"/>
  <c r="G4" i="8"/>
  <c r="H39" i="7"/>
  <c r="M39" i="7"/>
  <c r="I119" i="11"/>
  <c r="I240" i="11"/>
  <c r="I360" i="11"/>
  <c r="F130" i="11"/>
  <c r="F251" i="11"/>
  <c r="F371" i="11"/>
  <c r="J119" i="11"/>
  <c r="J240" i="11"/>
  <c r="J360" i="11"/>
  <c r="D108" i="11"/>
  <c r="D229" i="11"/>
  <c r="D349" i="11"/>
  <c r="L108" i="11"/>
  <c r="L229" i="11"/>
  <c r="L349" i="11"/>
  <c r="D97" i="11"/>
  <c r="D218" i="11"/>
  <c r="D338" i="11"/>
  <c r="L97" i="11"/>
  <c r="L218" i="11"/>
  <c r="L338" i="11"/>
  <c r="O119" i="11"/>
  <c r="O240" i="11"/>
  <c r="O360" i="11"/>
  <c r="M108" i="11"/>
  <c r="M229" i="11"/>
  <c r="M349" i="11"/>
  <c r="M97" i="11"/>
  <c r="M218" i="11"/>
  <c r="M338" i="11"/>
  <c r="L130" i="11"/>
  <c r="L251" i="11"/>
  <c r="L371" i="11"/>
  <c r="P119" i="11"/>
  <c r="F108" i="11"/>
  <c r="F229" i="11"/>
  <c r="F349" i="11"/>
  <c r="N108" i="11"/>
  <c r="N229" i="11"/>
  <c r="N349" i="11"/>
  <c r="F97" i="11"/>
  <c r="F218" i="11"/>
  <c r="F338" i="11"/>
  <c r="N97" i="11"/>
  <c r="N218" i="11"/>
  <c r="N338" i="11"/>
  <c r="M130" i="11"/>
  <c r="M251" i="11"/>
  <c r="M371" i="11"/>
  <c r="G119" i="11"/>
  <c r="G240" i="11"/>
  <c r="G360" i="11"/>
  <c r="J97" i="11"/>
  <c r="J218" i="11"/>
  <c r="J338" i="11"/>
  <c r="D119" i="10"/>
  <c r="D240" i="10"/>
  <c r="D360" i="10"/>
  <c r="L119" i="10"/>
  <c r="L240" i="10"/>
  <c r="L360" i="10"/>
  <c r="J108" i="10"/>
  <c r="J229" i="10"/>
  <c r="J349" i="10"/>
  <c r="J86" i="7"/>
  <c r="B86" i="7"/>
  <c r="L108" i="5"/>
  <c r="C208" i="8"/>
  <c r="C231" i="8"/>
  <c r="K208" i="8"/>
  <c r="K231" i="8"/>
  <c r="I39" i="7"/>
  <c r="J108" i="11"/>
  <c r="J229" i="11"/>
  <c r="J349" i="11"/>
  <c r="M130" i="10"/>
  <c r="M251" i="10"/>
  <c r="M371" i="10"/>
  <c r="F119" i="10"/>
  <c r="F240" i="10"/>
  <c r="F360" i="10"/>
  <c r="N119" i="10"/>
  <c r="N240" i="10"/>
  <c r="N360" i="10"/>
  <c r="D108" i="10"/>
  <c r="D229" i="10"/>
  <c r="D349" i="10"/>
  <c r="L108" i="10"/>
  <c r="L229" i="10"/>
  <c r="L349" i="10"/>
  <c r="H86" i="7"/>
  <c r="E208" i="8"/>
  <c r="E231" i="8"/>
  <c r="M208" i="8"/>
  <c r="M231" i="8"/>
  <c r="J119" i="10"/>
  <c r="J240" i="10"/>
  <c r="J360" i="10"/>
  <c r="H108" i="10"/>
  <c r="H229" i="10"/>
  <c r="H349" i="10"/>
  <c r="P108" i="10"/>
  <c r="M97" i="10"/>
  <c r="M218" i="10"/>
  <c r="M338" i="10"/>
  <c r="L86" i="7"/>
  <c r="D86" i="7"/>
  <c r="I208" i="8"/>
  <c r="I231" i="8"/>
  <c r="N130" i="11"/>
  <c r="N251" i="11"/>
  <c r="N371" i="11"/>
  <c r="H130" i="10"/>
  <c r="H251" i="10"/>
  <c r="H371" i="10"/>
  <c r="O119" i="10"/>
  <c r="O240" i="10"/>
  <c r="O360" i="10"/>
  <c r="F86" i="7"/>
  <c r="L208" i="8"/>
  <c r="L231" i="8"/>
  <c r="F162" i="8"/>
  <c r="F185" i="8"/>
  <c r="N162" i="8"/>
  <c r="N185" i="8"/>
  <c r="E112" i="8"/>
  <c r="E135" i="8"/>
  <c r="M112" i="8"/>
  <c r="M135" i="8"/>
  <c r="H119" i="11"/>
  <c r="H240" i="11"/>
  <c r="H360" i="11"/>
  <c r="J130" i="10"/>
  <c r="J251" i="10"/>
  <c r="J371" i="10"/>
  <c r="P119" i="10"/>
  <c r="L97" i="10"/>
  <c r="L218" i="10"/>
  <c r="L338" i="10"/>
  <c r="N208" i="8"/>
  <c r="N231" i="8"/>
  <c r="G162" i="8"/>
  <c r="G185" i="8"/>
  <c r="F112" i="8"/>
  <c r="F135" i="8"/>
  <c r="N112" i="8"/>
  <c r="N135" i="8"/>
  <c r="L130" i="10"/>
  <c r="L251" i="10"/>
  <c r="L371" i="10"/>
  <c r="H108" i="11"/>
  <c r="H229" i="11"/>
  <c r="H349" i="11"/>
  <c r="N130" i="10"/>
  <c r="N251" i="10"/>
  <c r="N371" i="10"/>
  <c r="G119" i="10"/>
  <c r="G240" i="10"/>
  <c r="G360" i="10"/>
  <c r="N108" i="10"/>
  <c r="N229" i="10"/>
  <c r="N349" i="10"/>
  <c r="P97" i="10"/>
  <c r="D208" i="8"/>
  <c r="D231" i="8"/>
  <c r="I162" i="8"/>
  <c r="I185" i="8"/>
  <c r="H112" i="8"/>
  <c r="H135" i="8"/>
  <c r="D130" i="11"/>
  <c r="D251" i="11"/>
  <c r="D371" i="11"/>
  <c r="P108" i="11"/>
  <c r="P97" i="11"/>
  <c r="P130" i="10"/>
  <c r="H119" i="10"/>
  <c r="H240" i="10"/>
  <c r="H360" i="10"/>
  <c r="N97" i="10"/>
  <c r="N218" i="10"/>
  <c r="N338" i="10"/>
  <c r="D162" i="8"/>
  <c r="D185" i="8"/>
  <c r="I112" i="8"/>
  <c r="I135" i="8"/>
  <c r="I119" i="10"/>
  <c r="I240" i="10"/>
  <c r="I360" i="10"/>
  <c r="M108" i="10"/>
  <c r="M229" i="10"/>
  <c r="M349" i="10"/>
  <c r="E162" i="8"/>
  <c r="E185" i="8"/>
  <c r="J112" i="8"/>
  <c r="J135" i="8"/>
  <c r="B112" i="8"/>
  <c r="B135" i="8"/>
  <c r="K119" i="10"/>
  <c r="K240" i="10"/>
  <c r="K360" i="10"/>
  <c r="K86" i="7"/>
  <c r="H162" i="8"/>
  <c r="H185" i="8"/>
  <c r="K112" i="8"/>
  <c r="K135" i="8"/>
  <c r="M119" i="10"/>
  <c r="M240" i="10"/>
  <c r="M360" i="10"/>
  <c r="F208" i="8"/>
  <c r="F231" i="8"/>
  <c r="J162" i="8"/>
  <c r="J185" i="8"/>
  <c r="B162" i="8"/>
  <c r="B185" i="8"/>
  <c r="L112" i="8"/>
  <c r="L135" i="8"/>
  <c r="D130" i="10"/>
  <c r="D251" i="10"/>
  <c r="D371" i="10"/>
  <c r="F97" i="10"/>
  <c r="F218" i="10"/>
  <c r="F338" i="10"/>
  <c r="H208" i="8"/>
  <c r="H231" i="8"/>
  <c r="D97" i="10"/>
  <c r="D218" i="10"/>
  <c r="D338" i="10"/>
  <c r="H97" i="10"/>
  <c r="H218" i="10"/>
  <c r="H338" i="10"/>
  <c r="J208" i="8"/>
  <c r="J231" i="8"/>
  <c r="M162" i="8"/>
  <c r="M185" i="8"/>
  <c r="D112" i="8"/>
  <c r="D135" i="8"/>
  <c r="C162" i="8"/>
  <c r="C185" i="8"/>
  <c r="G112" i="8"/>
  <c r="G135" i="8"/>
  <c r="G208" i="8"/>
  <c r="G231" i="8"/>
  <c r="B208" i="8"/>
  <c r="H97" i="11"/>
  <c r="H218" i="11"/>
  <c r="H338" i="11"/>
  <c r="E119" i="10"/>
  <c r="E240" i="10"/>
  <c r="E360" i="10"/>
  <c r="F108" i="10"/>
  <c r="F229" i="10"/>
  <c r="F349" i="10"/>
  <c r="J97" i="10"/>
  <c r="J218" i="10"/>
  <c r="J338" i="10"/>
  <c r="K162" i="8"/>
  <c r="K185" i="8"/>
  <c r="F130" i="10"/>
  <c r="F251" i="10"/>
  <c r="F371" i="10"/>
  <c r="L162" i="8"/>
  <c r="L185" i="8"/>
  <c r="C112" i="8"/>
  <c r="C135" i="8"/>
  <c r="E144" i="7"/>
  <c r="M144" i="7"/>
  <c r="E109" i="7"/>
  <c r="M109" i="7"/>
  <c r="G74" i="7"/>
  <c r="F4" i="7"/>
  <c r="N4" i="7"/>
  <c r="L130" i="5"/>
  <c r="C130" i="5"/>
  <c r="H119" i="5"/>
  <c r="H239" i="5"/>
  <c r="H359" i="5"/>
  <c r="F144" i="7"/>
  <c r="N144" i="7"/>
  <c r="F109" i="7"/>
  <c r="N109" i="7"/>
  <c r="H74" i="7"/>
  <c r="G4" i="7"/>
  <c r="E130" i="5"/>
  <c r="M130" i="5"/>
  <c r="I119" i="5"/>
  <c r="G144" i="7"/>
  <c r="G109" i="7"/>
  <c r="I74" i="7"/>
  <c r="H4" i="7"/>
  <c r="H27" i="7"/>
  <c r="J119" i="5"/>
  <c r="J239" i="5"/>
  <c r="J359" i="5"/>
  <c r="O3" i="3"/>
  <c r="O22" i="3"/>
  <c r="H144" i="7"/>
  <c r="H109" i="7"/>
  <c r="J74" i="7"/>
  <c r="I4" i="7"/>
  <c r="I27" i="7"/>
  <c r="G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N119" i="5"/>
  <c r="K119" i="5"/>
  <c r="J144" i="7"/>
  <c r="J109" i="7"/>
  <c r="D74" i="7"/>
  <c r="L74" i="7"/>
  <c r="C4" i="7"/>
  <c r="K4" i="7"/>
  <c r="K27" i="7"/>
  <c r="C144" i="7"/>
  <c r="K144" i="7"/>
  <c r="B144" i="7"/>
  <c r="C109" i="7"/>
  <c r="K109" i="7"/>
  <c r="B109" i="7"/>
  <c r="E74" i="7"/>
  <c r="M74" i="7"/>
  <c r="D4" i="7"/>
  <c r="D27" i="7"/>
  <c r="L4" i="7"/>
  <c r="F119" i="5"/>
  <c r="F239" i="5"/>
  <c r="F359" i="5"/>
  <c r="G97" i="5"/>
  <c r="F51" i="7"/>
  <c r="J108" i="5"/>
  <c r="N107" i="5"/>
  <c r="F107" i="5"/>
  <c r="E119" i="5"/>
  <c r="M135" i="5"/>
  <c r="I130" i="5"/>
  <c r="J27" i="7"/>
  <c r="I3" i="7"/>
  <c r="L109" i="7"/>
  <c r="H149" i="7"/>
  <c r="D144" i="7"/>
  <c r="I107" i="11"/>
  <c r="I228" i="11"/>
  <c r="I348" i="11"/>
  <c r="I110" i="11"/>
  <c r="I231" i="11"/>
  <c r="I351" i="11"/>
  <c r="I113" i="11"/>
  <c r="I234" i="11"/>
  <c r="I354" i="11"/>
  <c r="I109" i="11"/>
  <c r="I230" i="11"/>
  <c r="I350" i="11"/>
  <c r="I112" i="11"/>
  <c r="I233" i="11"/>
  <c r="I353" i="11"/>
  <c r="I108" i="11"/>
  <c r="I229" i="11"/>
  <c r="I349" i="11"/>
  <c r="I107" i="10"/>
  <c r="I228" i="10"/>
  <c r="I348" i="10"/>
  <c r="G85" i="7"/>
  <c r="I113" i="10"/>
  <c r="I234" i="10"/>
  <c r="I354" i="10"/>
  <c r="G91" i="7"/>
  <c r="G102" i="7"/>
  <c r="I110" i="10"/>
  <c r="I231" i="10"/>
  <c r="I351" i="10"/>
  <c r="G87" i="7"/>
  <c r="G98" i="7"/>
  <c r="I108" i="10"/>
  <c r="I229" i="10"/>
  <c r="I349" i="10"/>
  <c r="I109" i="10"/>
  <c r="I230" i="10"/>
  <c r="I350" i="10"/>
  <c r="I111" i="11"/>
  <c r="I232" i="11"/>
  <c r="I352" i="11"/>
  <c r="I111" i="10"/>
  <c r="I232" i="10"/>
  <c r="I352" i="10"/>
  <c r="I112" i="10"/>
  <c r="I233" i="10"/>
  <c r="I353" i="10"/>
  <c r="G90" i="7"/>
  <c r="G101" i="7"/>
  <c r="G88" i="7"/>
  <c r="G86" i="7"/>
  <c r="G89" i="7"/>
  <c r="N93" i="1"/>
  <c r="O99" i="11"/>
  <c r="O220" i="11"/>
  <c r="O340" i="11"/>
  <c r="O98" i="11"/>
  <c r="O219" i="11"/>
  <c r="O339" i="11"/>
  <c r="O102" i="11"/>
  <c r="O223" i="11"/>
  <c r="O343" i="11"/>
  <c r="O97" i="11"/>
  <c r="O218" i="11"/>
  <c r="O338" i="11"/>
  <c r="O97" i="10"/>
  <c r="O218" i="10"/>
  <c r="O338" i="10"/>
  <c r="O101" i="10"/>
  <c r="O222" i="10"/>
  <c r="O342" i="10"/>
  <c r="O102" i="10"/>
  <c r="O223" i="10"/>
  <c r="O343" i="10"/>
  <c r="O96" i="11"/>
  <c r="O217" i="11"/>
  <c r="O337" i="11"/>
  <c r="O101" i="11"/>
  <c r="O222" i="11"/>
  <c r="O342" i="11"/>
  <c r="O96" i="10"/>
  <c r="O217" i="10"/>
  <c r="O337" i="10"/>
  <c r="O100" i="10"/>
  <c r="O221" i="10"/>
  <c r="O341" i="10"/>
  <c r="O100" i="11"/>
  <c r="O221" i="11"/>
  <c r="O341" i="11"/>
  <c r="O99" i="10"/>
  <c r="O220" i="10"/>
  <c r="O340" i="10"/>
  <c r="O98" i="10"/>
  <c r="O219" i="10"/>
  <c r="O339" i="10"/>
  <c r="R94" i="1"/>
  <c r="I136" i="11"/>
  <c r="I257" i="11"/>
  <c r="I377" i="11"/>
  <c r="C98" i="5"/>
  <c r="B52" i="7"/>
  <c r="I102" i="5"/>
  <c r="H56" i="7"/>
  <c r="I98" i="5"/>
  <c r="H52" i="7"/>
  <c r="M97" i="5"/>
  <c r="L51" i="7"/>
  <c r="E97" i="5"/>
  <c r="D51" i="7"/>
  <c r="C113" i="5"/>
  <c r="M113" i="5"/>
  <c r="E113" i="5"/>
  <c r="E233" i="5"/>
  <c r="E353" i="5"/>
  <c r="M109" i="5"/>
  <c r="E109" i="5"/>
  <c r="H108" i="5"/>
  <c r="L107" i="5"/>
  <c r="L227" i="5"/>
  <c r="L347" i="5"/>
  <c r="M124" i="5"/>
  <c r="K120" i="5"/>
  <c r="H118" i="5"/>
  <c r="H238" i="5"/>
  <c r="H358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G135" i="5"/>
  <c r="M131" i="5"/>
  <c r="M251" i="5"/>
  <c r="M371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N28" i="7"/>
  <c r="D28" i="7"/>
  <c r="E28" i="7"/>
  <c r="I5" i="7"/>
  <c r="N74" i="7"/>
  <c r="B110" i="7"/>
  <c r="H114" i="7"/>
  <c r="D109" i="7"/>
  <c r="E100" i="18"/>
  <c r="M100" i="18"/>
  <c r="M122" i="18"/>
  <c r="M55" i="18"/>
  <c r="H3" i="8"/>
  <c r="H56" i="8"/>
  <c r="H79" i="8"/>
  <c r="F100" i="18"/>
  <c r="N100" i="18"/>
  <c r="N122" i="18"/>
  <c r="N55" i="18"/>
  <c r="I3" i="8"/>
  <c r="I56" i="8"/>
  <c r="I79" i="8"/>
  <c r="G100" i="18"/>
  <c r="B100" i="18"/>
  <c r="H100" i="18"/>
  <c r="I100" i="18"/>
  <c r="I122" i="18"/>
  <c r="D3" i="8"/>
  <c r="L3" i="8"/>
  <c r="D56" i="8"/>
  <c r="L56" i="8"/>
  <c r="J100" i="18"/>
  <c r="J122" i="18"/>
  <c r="E3" i="8"/>
  <c r="M3" i="8"/>
  <c r="E56" i="8"/>
  <c r="E79" i="8"/>
  <c r="M56" i="8"/>
  <c r="M79" i="8"/>
  <c r="C100" i="18"/>
  <c r="K100" i="18"/>
  <c r="K122" i="18"/>
  <c r="K55" i="18"/>
  <c r="F3" i="8"/>
  <c r="N3" i="8"/>
  <c r="F56" i="8"/>
  <c r="F79" i="8"/>
  <c r="N56" i="8"/>
  <c r="N79" i="8"/>
  <c r="D100" i="18"/>
  <c r="L100" i="18"/>
  <c r="L122" i="18"/>
  <c r="L55" i="18"/>
  <c r="G3" i="8"/>
  <c r="B3" i="8"/>
  <c r="G56" i="8"/>
  <c r="B56" i="8"/>
  <c r="B79" i="8"/>
  <c r="F38" i="7"/>
  <c r="N38" i="7"/>
  <c r="G38" i="7"/>
  <c r="B38" i="7"/>
  <c r="B61" i="7"/>
  <c r="B108" i="7"/>
  <c r="H38" i="7"/>
  <c r="B26" i="7"/>
  <c r="J3" i="8"/>
  <c r="C56" i="8"/>
  <c r="C79" i="8"/>
  <c r="J38" i="7"/>
  <c r="J61" i="7"/>
  <c r="K3" i="8"/>
  <c r="J56" i="8"/>
  <c r="J79" i="8"/>
  <c r="C38" i="7"/>
  <c r="K38" i="7"/>
  <c r="I38" i="7"/>
  <c r="F129" i="11"/>
  <c r="F250" i="11"/>
  <c r="F370" i="11"/>
  <c r="N129" i="11"/>
  <c r="N250" i="11"/>
  <c r="N370" i="11"/>
  <c r="H118" i="11"/>
  <c r="H239" i="11"/>
  <c r="H359" i="11"/>
  <c r="P118" i="11"/>
  <c r="L38" i="7"/>
  <c r="L61" i="7"/>
  <c r="I118" i="11"/>
  <c r="I239" i="11"/>
  <c r="I359" i="11"/>
  <c r="C3" i="8"/>
  <c r="K56" i="8"/>
  <c r="K79" i="8"/>
  <c r="M38" i="7"/>
  <c r="M61" i="7"/>
  <c r="H129" i="11"/>
  <c r="H250" i="11"/>
  <c r="H370" i="11"/>
  <c r="P129" i="11"/>
  <c r="J118" i="11"/>
  <c r="J239" i="11"/>
  <c r="J359" i="11"/>
  <c r="K118" i="11"/>
  <c r="K239" i="11"/>
  <c r="K359" i="11"/>
  <c r="D38" i="7"/>
  <c r="D129" i="11"/>
  <c r="D250" i="11"/>
  <c r="D370" i="11"/>
  <c r="F118" i="11"/>
  <c r="F239" i="11"/>
  <c r="F359" i="11"/>
  <c r="H96" i="11"/>
  <c r="H217" i="11"/>
  <c r="H337" i="11"/>
  <c r="P96" i="11"/>
  <c r="G118" i="11"/>
  <c r="G239" i="11"/>
  <c r="G359" i="11"/>
  <c r="J107" i="11"/>
  <c r="J228" i="11"/>
  <c r="J348" i="11"/>
  <c r="J129" i="11"/>
  <c r="J250" i="11"/>
  <c r="J370" i="11"/>
  <c r="L118" i="11"/>
  <c r="L239" i="11"/>
  <c r="L359" i="11"/>
  <c r="J96" i="11"/>
  <c r="J217" i="11"/>
  <c r="J337" i="11"/>
  <c r="M118" i="11"/>
  <c r="M239" i="11"/>
  <c r="M359" i="11"/>
  <c r="D107" i="11"/>
  <c r="D228" i="11"/>
  <c r="D348" i="11"/>
  <c r="L107" i="11"/>
  <c r="L228" i="11"/>
  <c r="L348" i="11"/>
  <c r="L129" i="11"/>
  <c r="L250" i="11"/>
  <c r="L370" i="11"/>
  <c r="N118" i="11"/>
  <c r="N239" i="11"/>
  <c r="N359" i="11"/>
  <c r="M107" i="11"/>
  <c r="M228" i="11"/>
  <c r="M348" i="11"/>
  <c r="D96" i="11"/>
  <c r="D217" i="11"/>
  <c r="D337" i="11"/>
  <c r="L96" i="11"/>
  <c r="L217" i="11"/>
  <c r="L337" i="11"/>
  <c r="E38" i="7"/>
  <c r="D118" i="11"/>
  <c r="D239" i="11"/>
  <c r="D359" i="11"/>
  <c r="F96" i="11"/>
  <c r="F217" i="11"/>
  <c r="F337" i="11"/>
  <c r="N96" i="11"/>
  <c r="N217" i="11"/>
  <c r="N337" i="11"/>
  <c r="P107" i="11"/>
  <c r="F118" i="10"/>
  <c r="F239" i="10"/>
  <c r="F359" i="10"/>
  <c r="N118" i="10"/>
  <c r="N239" i="10"/>
  <c r="N359" i="10"/>
  <c r="H96" i="10"/>
  <c r="H217" i="10"/>
  <c r="H337" i="10"/>
  <c r="P96" i="10"/>
  <c r="G207" i="8"/>
  <c r="E118" i="11"/>
  <c r="E239" i="11"/>
  <c r="E359" i="11"/>
  <c r="M129" i="10"/>
  <c r="M250" i="10"/>
  <c r="M370" i="10"/>
  <c r="H118" i="10"/>
  <c r="H239" i="10"/>
  <c r="H359" i="10"/>
  <c r="P118" i="10"/>
  <c r="J96" i="10"/>
  <c r="J217" i="10"/>
  <c r="J337" i="10"/>
  <c r="J118" i="5"/>
  <c r="J238" i="5"/>
  <c r="J358" i="5"/>
  <c r="I207" i="8"/>
  <c r="H107" i="11"/>
  <c r="H228" i="11"/>
  <c r="H348" i="11"/>
  <c r="D118" i="10"/>
  <c r="D239" i="10"/>
  <c r="D359" i="10"/>
  <c r="L118" i="10"/>
  <c r="L239" i="10"/>
  <c r="L359" i="10"/>
  <c r="F96" i="10"/>
  <c r="F217" i="10"/>
  <c r="F337" i="10"/>
  <c r="N96" i="10"/>
  <c r="N217" i="10"/>
  <c r="N337" i="10"/>
  <c r="E207" i="8"/>
  <c r="M207" i="8"/>
  <c r="O118" i="11"/>
  <c r="O239" i="11"/>
  <c r="O359" i="11"/>
  <c r="L129" i="10"/>
  <c r="L250" i="10"/>
  <c r="L370" i="10"/>
  <c r="G118" i="10"/>
  <c r="G239" i="10"/>
  <c r="G359" i="10"/>
  <c r="L107" i="10"/>
  <c r="L228" i="10"/>
  <c r="L348" i="10"/>
  <c r="F85" i="7"/>
  <c r="L96" i="5"/>
  <c r="K50" i="7"/>
  <c r="K207" i="8"/>
  <c r="J161" i="8"/>
  <c r="I111" i="8"/>
  <c r="F107" i="11"/>
  <c r="F228" i="11"/>
  <c r="F348" i="11"/>
  <c r="N129" i="10"/>
  <c r="N250" i="10"/>
  <c r="N370" i="10"/>
  <c r="I118" i="10"/>
  <c r="I239" i="10"/>
  <c r="I359" i="10"/>
  <c r="M107" i="10"/>
  <c r="M228" i="10"/>
  <c r="M348" i="10"/>
  <c r="D96" i="10"/>
  <c r="D217" i="10"/>
  <c r="D337" i="10"/>
  <c r="D85" i="7"/>
  <c r="L207" i="8"/>
  <c r="C161" i="8"/>
  <c r="K161" i="8"/>
  <c r="J111" i="8"/>
  <c r="J118" i="10"/>
  <c r="J239" i="10"/>
  <c r="J359" i="10"/>
  <c r="N107" i="11"/>
  <c r="N228" i="11"/>
  <c r="N348" i="11"/>
  <c r="D129" i="10"/>
  <c r="D250" i="10"/>
  <c r="D370" i="10"/>
  <c r="P129" i="10"/>
  <c r="K118" i="10"/>
  <c r="K239" i="10"/>
  <c r="K359" i="10"/>
  <c r="D107" i="10"/>
  <c r="D228" i="10"/>
  <c r="D348" i="10"/>
  <c r="P107" i="10"/>
  <c r="B85" i="7"/>
  <c r="C207" i="8"/>
  <c r="E161" i="8"/>
  <c r="M161" i="8"/>
  <c r="D111" i="8"/>
  <c r="L111" i="8"/>
  <c r="L134" i="8"/>
  <c r="M96" i="11"/>
  <c r="M217" i="11"/>
  <c r="M337" i="11"/>
  <c r="J85" i="7"/>
  <c r="J96" i="7"/>
  <c r="H207" i="8"/>
  <c r="D161" i="8"/>
  <c r="B161" i="8"/>
  <c r="G111" i="8"/>
  <c r="H129" i="10"/>
  <c r="H250" i="10"/>
  <c r="H370" i="10"/>
  <c r="F107" i="10"/>
  <c r="F228" i="10"/>
  <c r="F348" i="10"/>
  <c r="L96" i="10"/>
  <c r="L217" i="10"/>
  <c r="L337" i="10"/>
  <c r="H85" i="7"/>
  <c r="J207" i="8"/>
  <c r="B207" i="8"/>
  <c r="F161" i="8"/>
  <c r="H111" i="8"/>
  <c r="J129" i="10"/>
  <c r="J250" i="10"/>
  <c r="J370" i="10"/>
  <c r="E118" i="10"/>
  <c r="E239" i="10"/>
  <c r="E359" i="10"/>
  <c r="H107" i="10"/>
  <c r="H228" i="10"/>
  <c r="H348" i="10"/>
  <c r="M96" i="10"/>
  <c r="M217" i="10"/>
  <c r="M337" i="10"/>
  <c r="N207" i="8"/>
  <c r="G161" i="8"/>
  <c r="K111" i="8"/>
  <c r="K134" i="8"/>
  <c r="M118" i="10"/>
  <c r="M239" i="10"/>
  <c r="M359" i="10"/>
  <c r="J107" i="10"/>
  <c r="J228" i="10"/>
  <c r="J348" i="10"/>
  <c r="H161" i="8"/>
  <c r="M111" i="8"/>
  <c r="M134" i="8"/>
  <c r="O118" i="10"/>
  <c r="O239" i="10"/>
  <c r="O359" i="10"/>
  <c r="N107" i="10"/>
  <c r="N228" i="10"/>
  <c r="N348" i="10"/>
  <c r="L85" i="7"/>
  <c r="D207" i="8"/>
  <c r="N161" i="8"/>
  <c r="E111" i="8"/>
  <c r="B111" i="8"/>
  <c r="K85" i="7"/>
  <c r="F207" i="8"/>
  <c r="I161" i="8"/>
  <c r="M129" i="11"/>
  <c r="M250" i="11"/>
  <c r="M370" i="11"/>
  <c r="F129" i="10"/>
  <c r="F250" i="10"/>
  <c r="F370" i="10"/>
  <c r="F111" i="8"/>
  <c r="N111" i="8"/>
  <c r="L161" i="8"/>
  <c r="C111" i="8"/>
  <c r="O2" i="3"/>
  <c r="O21" i="3"/>
  <c r="I143" i="7"/>
  <c r="I108" i="7"/>
  <c r="C73" i="7"/>
  <c r="K73" i="7"/>
  <c r="J3" i="7"/>
  <c r="J26" i="7"/>
  <c r="C129" i="5"/>
  <c r="I118" i="5"/>
  <c r="I238" i="5"/>
  <c r="I358" i="5"/>
  <c r="J143" i="7"/>
  <c r="J108" i="7"/>
  <c r="D73" i="7"/>
  <c r="L73" i="7"/>
  <c r="C3" i="7"/>
  <c r="K3" i="7"/>
  <c r="I129" i="5"/>
  <c r="I249" i="5"/>
  <c r="I369" i="5"/>
  <c r="N118" i="5"/>
  <c r="N238" i="5"/>
  <c r="N358" i="5"/>
  <c r="K118" i="5"/>
  <c r="K238" i="5"/>
  <c r="K358" i="5"/>
  <c r="C143" i="7"/>
  <c r="K143" i="7"/>
  <c r="C108" i="7"/>
  <c r="K108" i="7"/>
  <c r="E73" i="7"/>
  <c r="E96" i="7"/>
  <c r="M73" i="7"/>
  <c r="D3" i="7"/>
  <c r="D26" i="7"/>
  <c r="L3" i="7"/>
  <c r="L26" i="7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L118" i="5"/>
  <c r="D143" i="7"/>
  <c r="L143" i="7"/>
  <c r="D108" i="7"/>
  <c r="L108" i="7"/>
  <c r="F73" i="7"/>
  <c r="N73" i="7"/>
  <c r="E3" i="7"/>
  <c r="E26" i="7"/>
  <c r="M3" i="7"/>
  <c r="M26" i="7"/>
  <c r="K129" i="5"/>
  <c r="D118" i="5"/>
  <c r="D238" i="5"/>
  <c r="D358" i="5"/>
  <c r="M118" i="5"/>
  <c r="M238" i="5"/>
  <c r="M358" i="5"/>
  <c r="E143" i="7"/>
  <c r="F143" i="7"/>
  <c r="N143" i="7"/>
  <c r="F108" i="7"/>
  <c r="N108" i="7"/>
  <c r="H73" i="7"/>
  <c r="G3" i="7"/>
  <c r="G143" i="7"/>
  <c r="B143" i="7"/>
  <c r="G108" i="7"/>
  <c r="I73" i="7"/>
  <c r="H3" i="7"/>
  <c r="H26" i="7"/>
  <c r="G118" i="5"/>
  <c r="O97" i="5"/>
  <c r="N51" i="7"/>
  <c r="J96" i="5"/>
  <c r="I50" i="7"/>
  <c r="O130" i="11"/>
  <c r="O251" i="11"/>
  <c r="O371" i="11"/>
  <c r="O134" i="11"/>
  <c r="O255" i="11"/>
  <c r="O375" i="11"/>
  <c r="O129" i="11"/>
  <c r="O250" i="11"/>
  <c r="O370" i="11"/>
  <c r="O137" i="11"/>
  <c r="O258" i="11"/>
  <c r="O378" i="11"/>
  <c r="O133" i="11"/>
  <c r="O254" i="11"/>
  <c r="O374" i="11"/>
  <c r="O135" i="11"/>
  <c r="O256" i="11"/>
  <c r="O376" i="11"/>
  <c r="O131" i="11"/>
  <c r="O252" i="11"/>
  <c r="O372" i="11"/>
  <c r="O132" i="11"/>
  <c r="O253" i="11"/>
  <c r="O373" i="11"/>
  <c r="O135" i="10"/>
  <c r="O256" i="10"/>
  <c r="O376" i="10"/>
  <c r="O137" i="10"/>
  <c r="O258" i="10"/>
  <c r="O378" i="10"/>
  <c r="O133" i="10"/>
  <c r="O254" i="10"/>
  <c r="O374" i="10"/>
  <c r="O129" i="10"/>
  <c r="O250" i="10"/>
  <c r="O370" i="10"/>
  <c r="O134" i="10"/>
  <c r="O255" i="10"/>
  <c r="O375" i="10"/>
  <c r="O132" i="10"/>
  <c r="O253" i="10"/>
  <c r="O373" i="10"/>
  <c r="O131" i="10"/>
  <c r="O252" i="10"/>
  <c r="O372" i="10"/>
  <c r="O130" i="10"/>
  <c r="O251" i="10"/>
  <c r="O371" i="10"/>
  <c r="N130" i="5"/>
  <c r="N132" i="5"/>
  <c r="N134" i="5"/>
  <c r="N129" i="5"/>
  <c r="N249" i="5"/>
  <c r="N369" i="5"/>
  <c r="N131" i="5"/>
  <c r="N133" i="5"/>
  <c r="N135" i="5"/>
  <c r="N137" i="5"/>
  <c r="E106" i="18"/>
  <c r="M106" i="18"/>
  <c r="M128" i="18"/>
  <c r="E61" i="18"/>
  <c r="M61" i="18"/>
  <c r="H9" i="8"/>
  <c r="H62" i="8"/>
  <c r="F106" i="18"/>
  <c r="F128" i="18"/>
  <c r="N106" i="18"/>
  <c r="N128" i="18"/>
  <c r="F61" i="18"/>
  <c r="N61" i="18"/>
  <c r="I9" i="8"/>
  <c r="G106" i="18"/>
  <c r="H106" i="18"/>
  <c r="H128" i="18"/>
  <c r="H61" i="18"/>
  <c r="I106" i="18"/>
  <c r="I61" i="18"/>
  <c r="D9" i="8"/>
  <c r="L9" i="8"/>
  <c r="L32" i="8"/>
  <c r="B9" i="8"/>
  <c r="D62" i="8"/>
  <c r="D85" i="8"/>
  <c r="L62" i="8"/>
  <c r="L85" i="8"/>
  <c r="B62" i="8"/>
  <c r="J106" i="18"/>
  <c r="J128" i="18"/>
  <c r="J61" i="18"/>
  <c r="E9" i="8"/>
  <c r="M9" i="8"/>
  <c r="M32" i="8"/>
  <c r="E62" i="8"/>
  <c r="E85" i="8"/>
  <c r="M62" i="8"/>
  <c r="C106" i="18"/>
  <c r="K106" i="18"/>
  <c r="K128" i="18"/>
  <c r="C61" i="18"/>
  <c r="K61" i="18"/>
  <c r="F9" i="8"/>
  <c r="N9" i="8"/>
  <c r="N32" i="8"/>
  <c r="F62" i="8"/>
  <c r="F85" i="8"/>
  <c r="N62" i="8"/>
  <c r="D106" i="18"/>
  <c r="D128" i="18"/>
  <c r="L106" i="18"/>
  <c r="L128" i="18"/>
  <c r="B106" i="18"/>
  <c r="B128" i="18"/>
  <c r="D61" i="18"/>
  <c r="L61" i="18"/>
  <c r="B61" i="18"/>
  <c r="G9" i="8"/>
  <c r="G62" i="8"/>
  <c r="G85" i="8"/>
  <c r="F44" i="7"/>
  <c r="F67" i="7"/>
  <c r="N44" i="7"/>
  <c r="C62" i="8"/>
  <c r="G44" i="7"/>
  <c r="I62" i="8"/>
  <c r="H44" i="7"/>
  <c r="H67" i="7"/>
  <c r="K62" i="8"/>
  <c r="J44" i="7"/>
  <c r="C9" i="8"/>
  <c r="C44" i="7"/>
  <c r="C67" i="7"/>
  <c r="K44" i="7"/>
  <c r="B44" i="7"/>
  <c r="H135" i="11"/>
  <c r="H256" i="11"/>
  <c r="H376" i="11"/>
  <c r="P135" i="11"/>
  <c r="J9" i="8"/>
  <c r="J32" i="8"/>
  <c r="D44" i="7"/>
  <c r="D67" i="7"/>
  <c r="K9" i="8"/>
  <c r="K32" i="8"/>
  <c r="J62" i="8"/>
  <c r="E44" i="7"/>
  <c r="J135" i="11"/>
  <c r="J256" i="11"/>
  <c r="J376" i="11"/>
  <c r="I44" i="7"/>
  <c r="L44" i="7"/>
  <c r="N135" i="11"/>
  <c r="N256" i="11"/>
  <c r="N376" i="11"/>
  <c r="K124" i="11"/>
  <c r="K245" i="11"/>
  <c r="K365" i="11"/>
  <c r="H113" i="11"/>
  <c r="H234" i="11"/>
  <c r="H354" i="11"/>
  <c r="P113" i="11"/>
  <c r="M102" i="11"/>
  <c r="M223" i="11"/>
  <c r="M343" i="11"/>
  <c r="D124" i="11"/>
  <c r="D245" i="11"/>
  <c r="D365" i="11"/>
  <c r="L124" i="11"/>
  <c r="L245" i="11"/>
  <c r="L365" i="11"/>
  <c r="F102" i="11"/>
  <c r="F223" i="11"/>
  <c r="F343" i="11"/>
  <c r="N102" i="11"/>
  <c r="N223" i="11"/>
  <c r="N343" i="11"/>
  <c r="D135" i="11"/>
  <c r="D256" i="11"/>
  <c r="D376" i="11"/>
  <c r="E124" i="11"/>
  <c r="E245" i="11"/>
  <c r="E365" i="11"/>
  <c r="M124" i="11"/>
  <c r="M245" i="11"/>
  <c r="M365" i="11"/>
  <c r="J113" i="11"/>
  <c r="J234" i="11"/>
  <c r="J354" i="11"/>
  <c r="F124" i="11"/>
  <c r="F245" i="11"/>
  <c r="F365" i="11"/>
  <c r="N124" i="11"/>
  <c r="N245" i="11"/>
  <c r="N365" i="11"/>
  <c r="H102" i="11"/>
  <c r="H223" i="11"/>
  <c r="H343" i="11"/>
  <c r="P102" i="11"/>
  <c r="F135" i="11"/>
  <c r="F256" i="11"/>
  <c r="F376" i="11"/>
  <c r="G124" i="11"/>
  <c r="G245" i="11"/>
  <c r="G365" i="11"/>
  <c r="O124" i="11"/>
  <c r="O245" i="11"/>
  <c r="O365" i="11"/>
  <c r="D113" i="11"/>
  <c r="D234" i="11"/>
  <c r="D354" i="11"/>
  <c r="L113" i="11"/>
  <c r="L234" i="11"/>
  <c r="L354" i="11"/>
  <c r="L135" i="11"/>
  <c r="L256" i="11"/>
  <c r="L376" i="11"/>
  <c r="I124" i="11"/>
  <c r="I245" i="11"/>
  <c r="I365" i="11"/>
  <c r="F113" i="11"/>
  <c r="F234" i="11"/>
  <c r="F354" i="11"/>
  <c r="N113" i="11"/>
  <c r="N234" i="11"/>
  <c r="N354" i="11"/>
  <c r="D102" i="11"/>
  <c r="D223" i="11"/>
  <c r="D343" i="11"/>
  <c r="J124" i="10"/>
  <c r="J245" i="10"/>
  <c r="J365" i="10"/>
  <c r="M102" i="10"/>
  <c r="M223" i="10"/>
  <c r="M343" i="10"/>
  <c r="M44" i="7"/>
  <c r="L102" i="11"/>
  <c r="L223" i="11"/>
  <c r="L343" i="11"/>
  <c r="D124" i="10"/>
  <c r="D245" i="10"/>
  <c r="D365" i="10"/>
  <c r="L124" i="10"/>
  <c r="L245" i="10"/>
  <c r="L365" i="10"/>
  <c r="M135" i="11"/>
  <c r="M256" i="11"/>
  <c r="M376" i="11"/>
  <c r="M135" i="10"/>
  <c r="M256" i="10"/>
  <c r="M376" i="10"/>
  <c r="H124" i="10"/>
  <c r="H245" i="10"/>
  <c r="H365" i="10"/>
  <c r="P124" i="10"/>
  <c r="M113" i="10"/>
  <c r="M234" i="10"/>
  <c r="M354" i="10"/>
  <c r="K91" i="7"/>
  <c r="J135" i="10"/>
  <c r="J256" i="10"/>
  <c r="J376" i="10"/>
  <c r="I124" i="10"/>
  <c r="I245" i="10"/>
  <c r="I365" i="10"/>
  <c r="N102" i="10"/>
  <c r="N223" i="10"/>
  <c r="N343" i="10"/>
  <c r="E213" i="8"/>
  <c r="E236" i="8"/>
  <c r="M213" i="8"/>
  <c r="M236" i="8"/>
  <c r="J167" i="8"/>
  <c r="J190" i="8"/>
  <c r="I117" i="8"/>
  <c r="I140" i="8"/>
  <c r="J102" i="11"/>
  <c r="J223" i="11"/>
  <c r="J343" i="11"/>
  <c r="K124" i="10"/>
  <c r="K245" i="10"/>
  <c r="K365" i="10"/>
  <c r="L113" i="10"/>
  <c r="L234" i="10"/>
  <c r="L354" i="10"/>
  <c r="P102" i="10"/>
  <c r="D91" i="7"/>
  <c r="F213" i="8"/>
  <c r="F236" i="8"/>
  <c r="N213" i="8"/>
  <c r="N236" i="8"/>
  <c r="C167" i="8"/>
  <c r="C190" i="8"/>
  <c r="K167" i="8"/>
  <c r="K190" i="8"/>
  <c r="J117" i="8"/>
  <c r="J140" i="8"/>
  <c r="L135" i="10"/>
  <c r="L256" i="10"/>
  <c r="L376" i="10"/>
  <c r="M124" i="10"/>
  <c r="M245" i="10"/>
  <c r="M365" i="10"/>
  <c r="H124" i="11"/>
  <c r="H245" i="11"/>
  <c r="H365" i="11"/>
  <c r="J124" i="11"/>
  <c r="J245" i="11"/>
  <c r="J365" i="11"/>
  <c r="N135" i="10"/>
  <c r="N256" i="10"/>
  <c r="N376" i="10"/>
  <c r="N124" i="10"/>
  <c r="N245" i="10"/>
  <c r="N365" i="10"/>
  <c r="P113" i="10"/>
  <c r="F102" i="10"/>
  <c r="F223" i="10"/>
  <c r="F343" i="10"/>
  <c r="H213" i="8"/>
  <c r="H236" i="8"/>
  <c r="E167" i="8"/>
  <c r="E190" i="8"/>
  <c r="M167" i="8"/>
  <c r="M190" i="8"/>
  <c r="D117" i="8"/>
  <c r="D140" i="8"/>
  <c r="L117" i="8"/>
  <c r="L140" i="8"/>
  <c r="B117" i="8"/>
  <c r="B140" i="8"/>
  <c r="P124" i="11"/>
  <c r="L91" i="7"/>
  <c r="G213" i="8"/>
  <c r="G236" i="8"/>
  <c r="B213" i="8"/>
  <c r="B236" i="8"/>
  <c r="H167" i="8"/>
  <c r="H190" i="8"/>
  <c r="M117" i="8"/>
  <c r="M140" i="8"/>
  <c r="H113" i="10"/>
  <c r="H234" i="10"/>
  <c r="H354" i="10"/>
  <c r="E124" i="10"/>
  <c r="E245" i="10"/>
  <c r="E365" i="10"/>
  <c r="D102" i="10"/>
  <c r="D223" i="10"/>
  <c r="D343" i="10"/>
  <c r="J91" i="7"/>
  <c r="I213" i="8"/>
  <c r="I236" i="8"/>
  <c r="I167" i="8"/>
  <c r="N117" i="8"/>
  <c r="N140" i="8"/>
  <c r="F124" i="10"/>
  <c r="F245" i="10"/>
  <c r="F365" i="10"/>
  <c r="H102" i="10"/>
  <c r="H223" i="10"/>
  <c r="H343" i="10"/>
  <c r="H91" i="7"/>
  <c r="J213" i="8"/>
  <c r="J236" i="8"/>
  <c r="L167" i="8"/>
  <c r="L190" i="8"/>
  <c r="C117" i="8"/>
  <c r="C140" i="8"/>
  <c r="G124" i="10"/>
  <c r="G245" i="10"/>
  <c r="G365" i="10"/>
  <c r="D113" i="10"/>
  <c r="D234" i="10"/>
  <c r="D354" i="10"/>
  <c r="F91" i="7"/>
  <c r="K213" i="8"/>
  <c r="K236" i="8"/>
  <c r="N167" i="8"/>
  <c r="N190" i="8"/>
  <c r="E117" i="8"/>
  <c r="E140" i="8"/>
  <c r="M113" i="11"/>
  <c r="M234" i="11"/>
  <c r="M354" i="11"/>
  <c r="F113" i="10"/>
  <c r="F234" i="10"/>
  <c r="F354" i="10"/>
  <c r="J102" i="10"/>
  <c r="J223" i="10"/>
  <c r="J343" i="10"/>
  <c r="D135" i="10"/>
  <c r="D256" i="10"/>
  <c r="D376" i="10"/>
  <c r="O124" i="10"/>
  <c r="O245" i="10"/>
  <c r="O365" i="10"/>
  <c r="B91" i="7"/>
  <c r="L213" i="8"/>
  <c r="L236" i="8"/>
  <c r="F117" i="8"/>
  <c r="F140" i="8"/>
  <c r="H135" i="10"/>
  <c r="H256" i="10"/>
  <c r="H376" i="10"/>
  <c r="J113" i="10"/>
  <c r="J234" i="10"/>
  <c r="J354" i="10"/>
  <c r="C213" i="8"/>
  <c r="C236" i="8"/>
  <c r="F167" i="8"/>
  <c r="F190" i="8"/>
  <c r="B167" i="8"/>
  <c r="B190" i="8"/>
  <c r="H117" i="8"/>
  <c r="D213" i="8"/>
  <c r="D236" i="8"/>
  <c r="F135" i="10"/>
  <c r="F256" i="10"/>
  <c r="F376" i="10"/>
  <c r="L102" i="10"/>
  <c r="L223" i="10"/>
  <c r="L343" i="10"/>
  <c r="P135" i="10"/>
  <c r="N113" i="10"/>
  <c r="N234" i="10"/>
  <c r="N354" i="10"/>
  <c r="G167" i="8"/>
  <c r="G190" i="8"/>
  <c r="K117" i="8"/>
  <c r="K140" i="8"/>
  <c r="G117" i="8"/>
  <c r="G140" i="8"/>
  <c r="D167" i="8"/>
  <c r="D190" i="8"/>
  <c r="I149" i="7"/>
  <c r="I114" i="7"/>
  <c r="C79" i="7"/>
  <c r="K79" i="7"/>
  <c r="J9" i="7"/>
  <c r="F124" i="5"/>
  <c r="F244" i="5"/>
  <c r="F364" i="5"/>
  <c r="J149" i="7"/>
  <c r="J114" i="7"/>
  <c r="D79" i="7"/>
  <c r="L79" i="7"/>
  <c r="B79" i="7"/>
  <c r="C9" i="7"/>
  <c r="C32" i="7"/>
  <c r="K9" i="7"/>
  <c r="I135" i="5"/>
  <c r="G124" i="5"/>
  <c r="C149" i="7"/>
  <c r="K149" i="7"/>
  <c r="C114" i="7"/>
  <c r="K114" i="7"/>
  <c r="E79" i="7"/>
  <c r="M79" i="7"/>
  <c r="M102" i="7"/>
  <c r="D9" i="7"/>
  <c r="D32" i="7"/>
  <c r="L9" i="7"/>
  <c r="B9" i="7"/>
  <c r="H124" i="5"/>
  <c r="H244" i="5"/>
  <c r="H364" i="5"/>
  <c r="D149" i="7"/>
  <c r="L149" i="7"/>
  <c r="B149" i="7"/>
  <c r="D114" i="7"/>
  <c r="L114" i="7"/>
  <c r="B114" i="7"/>
  <c r="F79" i="7"/>
  <c r="N79" i="7"/>
  <c r="E9" i="7"/>
  <c r="M9" i="7"/>
  <c r="K135" i="5"/>
  <c r="I124" i="5"/>
  <c r="I244" i="5"/>
  <c r="I364" i="5"/>
  <c r="F149" i="7"/>
  <c r="N149" i="7"/>
  <c r="F114" i="7"/>
  <c r="N114" i="7"/>
  <c r="H79" i="7"/>
  <c r="G9" i="7"/>
  <c r="G32" i="7"/>
  <c r="G149" i="7"/>
  <c r="G114" i="7"/>
  <c r="I79" i="7"/>
  <c r="I102" i="7"/>
  <c r="H9" i="7"/>
  <c r="O124" i="5"/>
  <c r="D124" i="5"/>
  <c r="D244" i="5"/>
  <c r="D364" i="5"/>
  <c r="L124" i="5"/>
  <c r="H218" i="5"/>
  <c r="H338" i="5"/>
  <c r="G52" i="7"/>
  <c r="G96" i="5"/>
  <c r="F50" i="7"/>
  <c r="L113" i="5"/>
  <c r="G108" i="5"/>
  <c r="K107" i="5"/>
  <c r="K227" i="5"/>
  <c r="K347" i="5"/>
  <c r="K124" i="5"/>
  <c r="K136" i="11"/>
  <c r="K257" i="11"/>
  <c r="K377" i="11"/>
  <c r="K131" i="11"/>
  <c r="K252" i="11"/>
  <c r="K372" i="11"/>
  <c r="K132" i="11"/>
  <c r="K253" i="11"/>
  <c r="K373" i="11"/>
  <c r="K135" i="11"/>
  <c r="K256" i="11"/>
  <c r="K376" i="11"/>
  <c r="K133" i="11"/>
  <c r="K254" i="11"/>
  <c r="K374" i="11"/>
  <c r="K130" i="11"/>
  <c r="K251" i="11"/>
  <c r="K371" i="11"/>
  <c r="K129" i="11"/>
  <c r="K250" i="11"/>
  <c r="K370" i="11"/>
  <c r="K137" i="11"/>
  <c r="K258" i="11"/>
  <c r="K378" i="11"/>
  <c r="K134" i="11"/>
  <c r="K255" i="11"/>
  <c r="K375" i="11"/>
  <c r="K129" i="10"/>
  <c r="K250" i="10"/>
  <c r="K370" i="10"/>
  <c r="K130" i="10"/>
  <c r="K251" i="10"/>
  <c r="K371" i="10"/>
  <c r="K133" i="10"/>
  <c r="K254" i="10"/>
  <c r="K374" i="10"/>
  <c r="K137" i="10"/>
  <c r="K258" i="10"/>
  <c r="K378" i="10"/>
  <c r="K134" i="10"/>
  <c r="K255" i="10"/>
  <c r="K375" i="10"/>
  <c r="K135" i="10"/>
  <c r="K256" i="10"/>
  <c r="K376" i="10"/>
  <c r="K131" i="10"/>
  <c r="K252" i="10"/>
  <c r="K372" i="10"/>
  <c r="K132" i="10"/>
  <c r="K253" i="10"/>
  <c r="K373" i="10"/>
  <c r="J129" i="5"/>
  <c r="J249" i="5"/>
  <c r="J369" i="5"/>
  <c r="J131" i="5"/>
  <c r="J133" i="5"/>
  <c r="J135" i="5"/>
  <c r="J137" i="5"/>
  <c r="J130" i="5"/>
  <c r="J132" i="5"/>
  <c r="J252" i="5"/>
  <c r="J372" i="5"/>
  <c r="J134" i="5"/>
  <c r="E111" i="11"/>
  <c r="E232" i="11"/>
  <c r="E352" i="11"/>
  <c r="E108" i="11"/>
  <c r="E229" i="11"/>
  <c r="E349" i="11"/>
  <c r="E114" i="11"/>
  <c r="E235" i="11"/>
  <c r="E355" i="11"/>
  <c r="E107" i="11"/>
  <c r="E228" i="11"/>
  <c r="E348" i="11"/>
  <c r="E110" i="11"/>
  <c r="E231" i="11"/>
  <c r="E351" i="11"/>
  <c r="E115" i="11"/>
  <c r="E236" i="11"/>
  <c r="E356" i="11"/>
  <c r="E109" i="10"/>
  <c r="E230" i="10"/>
  <c r="E350" i="10"/>
  <c r="E112" i="10"/>
  <c r="E233" i="10"/>
  <c r="E353" i="10"/>
  <c r="E115" i="10"/>
  <c r="E236" i="10"/>
  <c r="E356" i="10"/>
  <c r="C89" i="7"/>
  <c r="E110" i="10"/>
  <c r="E231" i="10"/>
  <c r="E351" i="10"/>
  <c r="C87" i="7"/>
  <c r="E112" i="11"/>
  <c r="E233" i="11"/>
  <c r="E353" i="11"/>
  <c r="E113" i="10"/>
  <c r="E234" i="10"/>
  <c r="E354" i="10"/>
  <c r="C91" i="7"/>
  <c r="E111" i="10"/>
  <c r="E232" i="10"/>
  <c r="E352" i="10"/>
  <c r="C93" i="7"/>
  <c r="C92" i="7"/>
  <c r="C90" i="7"/>
  <c r="E109" i="11"/>
  <c r="E230" i="11"/>
  <c r="E350" i="11"/>
  <c r="E113" i="11"/>
  <c r="E234" i="11"/>
  <c r="E354" i="11"/>
  <c r="E107" i="10"/>
  <c r="E228" i="10"/>
  <c r="E348" i="10"/>
  <c r="C85" i="7"/>
  <c r="C88" i="7"/>
  <c r="E108" i="10"/>
  <c r="E229" i="10"/>
  <c r="E349" i="10"/>
  <c r="C86" i="7"/>
  <c r="C97" i="7"/>
  <c r="H93" i="1"/>
  <c r="I96" i="11"/>
  <c r="I217" i="11"/>
  <c r="I337" i="11"/>
  <c r="I100" i="11"/>
  <c r="I221" i="11"/>
  <c r="I341" i="11"/>
  <c r="I103" i="11"/>
  <c r="I224" i="11"/>
  <c r="I344" i="11"/>
  <c r="I99" i="11"/>
  <c r="I220" i="11"/>
  <c r="I340" i="11"/>
  <c r="I104" i="11"/>
  <c r="I225" i="11"/>
  <c r="I345" i="11"/>
  <c r="I98" i="11"/>
  <c r="I219" i="11"/>
  <c r="I339" i="11"/>
  <c r="I102" i="11"/>
  <c r="I223" i="11"/>
  <c r="I343" i="11"/>
  <c r="I97" i="11"/>
  <c r="I218" i="11"/>
  <c r="I338" i="11"/>
  <c r="I97" i="10"/>
  <c r="I218" i="10"/>
  <c r="I338" i="10"/>
  <c r="I101" i="10"/>
  <c r="I222" i="10"/>
  <c r="I342" i="10"/>
  <c r="I101" i="11"/>
  <c r="I222" i="11"/>
  <c r="I342" i="11"/>
  <c r="I99" i="10"/>
  <c r="I220" i="10"/>
  <c r="I340" i="10"/>
  <c r="I98" i="10"/>
  <c r="I219" i="10"/>
  <c r="I339" i="10"/>
  <c r="I104" i="10"/>
  <c r="I225" i="10"/>
  <c r="I345" i="10"/>
  <c r="I102" i="10"/>
  <c r="I223" i="10"/>
  <c r="I343" i="10"/>
  <c r="I96" i="10"/>
  <c r="I217" i="10"/>
  <c r="I337" i="10"/>
  <c r="I100" i="10"/>
  <c r="I221" i="10"/>
  <c r="I341" i="10"/>
  <c r="O102" i="5"/>
  <c r="G102" i="5"/>
  <c r="F56" i="7"/>
  <c r="O98" i="5"/>
  <c r="G98" i="5"/>
  <c r="F52" i="7"/>
  <c r="K97" i="5"/>
  <c r="J51" i="7"/>
  <c r="O96" i="5"/>
  <c r="O216" i="5"/>
  <c r="F96" i="5"/>
  <c r="E50" i="7"/>
  <c r="K113" i="5"/>
  <c r="K109" i="5"/>
  <c r="O108" i="5"/>
  <c r="F108" i="5"/>
  <c r="J107" i="5"/>
  <c r="J227" i="5"/>
  <c r="J347" i="5"/>
  <c r="J124" i="5"/>
  <c r="J244" i="5"/>
  <c r="J364" i="5"/>
  <c r="E120" i="5"/>
  <c r="E118" i="5"/>
  <c r="E238" i="5"/>
  <c r="E358" i="5"/>
  <c r="C135" i="5"/>
  <c r="C255" i="5"/>
  <c r="C375" i="5"/>
  <c r="D135" i="5"/>
  <c r="D255" i="5"/>
  <c r="D375" i="5"/>
  <c r="G131" i="5"/>
  <c r="L129" i="5"/>
  <c r="M4" i="7"/>
  <c r="J79" i="7"/>
  <c r="F74" i="7"/>
  <c r="H108" i="7"/>
  <c r="H145" i="7"/>
  <c r="N31" i="8"/>
  <c r="J31" i="7"/>
  <c r="N26" i="8"/>
  <c r="I32" i="8"/>
  <c r="B32" i="7"/>
  <c r="L32" i="7"/>
  <c r="K28" i="7"/>
  <c r="G26" i="7"/>
  <c r="E32" i="7"/>
  <c r="I21" i="9"/>
  <c r="C27" i="7"/>
  <c r="X48" i="9"/>
  <c r="U43" i="8"/>
  <c r="R47" i="9"/>
  <c r="O42" i="8"/>
  <c r="K21" i="9"/>
  <c r="G66" i="16"/>
  <c r="G67" i="16"/>
  <c r="G73" i="16"/>
  <c r="G21" i="9"/>
  <c r="O71" i="16"/>
  <c r="N138" i="18"/>
  <c r="N149" i="18"/>
  <c r="N160" i="18"/>
  <c r="B74" i="18"/>
  <c r="B85" i="18"/>
  <c r="D73" i="18"/>
  <c r="D84" i="18"/>
  <c r="D95" i="18"/>
  <c r="K67" i="18"/>
  <c r="K78" i="18"/>
  <c r="K89" i="18"/>
  <c r="J134" i="18"/>
  <c r="J145" i="18"/>
  <c r="J156" i="18"/>
  <c r="D71" i="18"/>
  <c r="D82" i="18"/>
  <c r="J138" i="18"/>
  <c r="J149" i="18"/>
  <c r="J160" i="18"/>
  <c r="B67" i="18"/>
  <c r="B78" i="18"/>
  <c r="B89" i="18"/>
  <c r="B68" i="18"/>
  <c r="B79" i="18"/>
  <c r="N141" i="18"/>
  <c r="N152" i="18"/>
  <c r="N163" i="18"/>
  <c r="H71" i="18"/>
  <c r="H82" i="18"/>
  <c r="H141" i="18"/>
  <c r="H152" i="18"/>
  <c r="H163" i="18"/>
  <c r="K147" i="18"/>
  <c r="K158" i="18"/>
  <c r="B150" i="18"/>
  <c r="B161" i="18"/>
  <c r="B70" i="18"/>
  <c r="B81" i="18"/>
  <c r="B69" i="18"/>
  <c r="B80" i="18"/>
  <c r="D151" i="18"/>
  <c r="D162" i="18"/>
  <c r="B134" i="18"/>
  <c r="B145" i="18"/>
  <c r="B156" i="18"/>
  <c r="B71" i="18"/>
  <c r="B82" i="18"/>
  <c r="N139" i="18"/>
  <c r="B73" i="18"/>
  <c r="B84" i="18"/>
  <c r="B95" i="18"/>
  <c r="N147" i="18"/>
  <c r="N158" i="18"/>
  <c r="H148" i="18"/>
  <c r="H159" i="18"/>
  <c r="D136" i="18"/>
  <c r="B137" i="18"/>
  <c r="B133" i="18"/>
  <c r="B144" i="18"/>
  <c r="L145" i="18"/>
  <c r="L156" i="18"/>
  <c r="J148" i="18"/>
  <c r="J159" i="18"/>
  <c r="B135" i="18"/>
  <c r="H139" i="18"/>
  <c r="B66" i="18"/>
  <c r="B77" i="18"/>
  <c r="B136" i="18"/>
  <c r="K134" i="18"/>
  <c r="N137" i="18"/>
  <c r="F69" i="18"/>
  <c r="F80" i="18"/>
  <c r="M133" i="18"/>
  <c r="M144" i="18"/>
  <c r="M135" i="18"/>
  <c r="M137" i="18"/>
  <c r="M139" i="18"/>
  <c r="M141" i="18"/>
  <c r="M136" i="18"/>
  <c r="L135" i="18"/>
  <c r="L133" i="18"/>
  <c r="L139" i="18"/>
  <c r="L137" i="18"/>
  <c r="L141" i="18"/>
  <c r="B138" i="18"/>
  <c r="J133" i="18"/>
  <c r="J139" i="18"/>
  <c r="N133" i="18"/>
  <c r="N144" i="18"/>
  <c r="H135" i="18"/>
  <c r="L140" i="18"/>
  <c r="D72" i="18"/>
  <c r="D83" i="18"/>
  <c r="D94" i="18"/>
  <c r="K69" i="18"/>
  <c r="K80" i="18"/>
  <c r="K91" i="18"/>
  <c r="D69" i="18"/>
  <c r="D80" i="18"/>
  <c r="B140" i="18"/>
  <c r="N134" i="18"/>
  <c r="N140" i="18"/>
  <c r="J140" i="18"/>
  <c r="L136" i="18"/>
  <c r="M138" i="18"/>
  <c r="D139" i="18"/>
  <c r="D137" i="18"/>
  <c r="D133" i="18"/>
  <c r="D144" i="18"/>
  <c r="D141" i="18"/>
  <c r="D135" i="18"/>
  <c r="K74" i="18"/>
  <c r="K85" i="18"/>
  <c r="K96" i="18"/>
  <c r="D68" i="18"/>
  <c r="D79" i="18"/>
  <c r="K133" i="18"/>
  <c r="K135" i="18"/>
  <c r="K137" i="18"/>
  <c r="K139" i="18"/>
  <c r="K141" i="18"/>
  <c r="K68" i="18"/>
  <c r="K79" i="18"/>
  <c r="K90" i="18"/>
  <c r="B141" i="18"/>
  <c r="K140" i="18"/>
  <c r="J135" i="18"/>
  <c r="J141" i="18"/>
  <c r="N135" i="18"/>
  <c r="D66" i="18"/>
  <c r="D77" i="18"/>
  <c r="F67" i="18"/>
  <c r="F78" i="18"/>
  <c r="F89" i="18"/>
  <c r="K73" i="18"/>
  <c r="K84" i="18"/>
  <c r="K95" i="18"/>
  <c r="K70" i="18"/>
  <c r="K81" i="18"/>
  <c r="K92" i="18"/>
  <c r="J136" i="18"/>
  <c r="D138" i="18"/>
  <c r="M134" i="18"/>
  <c r="D70" i="18"/>
  <c r="D81" i="18"/>
  <c r="K66" i="18"/>
  <c r="H140" i="18"/>
  <c r="H136" i="18"/>
  <c r="H134" i="18"/>
  <c r="H138" i="18"/>
  <c r="K72" i="18"/>
  <c r="K83" i="18"/>
  <c r="K94" i="18"/>
  <c r="K138" i="18"/>
  <c r="H133" i="18"/>
  <c r="H144" i="18"/>
  <c r="L138" i="18"/>
  <c r="M140" i="18"/>
  <c r="D74" i="18"/>
  <c r="D85" i="18"/>
  <c r="D134" i="18"/>
  <c r="E77" i="18"/>
  <c r="M70" i="18"/>
  <c r="M81" i="18"/>
  <c r="M92" i="18"/>
  <c r="L67" i="18"/>
  <c r="L78" i="18"/>
  <c r="L89" i="18"/>
  <c r="J69" i="18"/>
  <c r="J80" i="18"/>
  <c r="J91" i="18"/>
  <c r="L72" i="18"/>
  <c r="L83" i="18"/>
  <c r="L94" i="18"/>
  <c r="L74" i="18"/>
  <c r="L85" i="18"/>
  <c r="L96" i="18"/>
  <c r="J68" i="18"/>
  <c r="J79" i="18"/>
  <c r="J90" i="18"/>
  <c r="E73" i="18"/>
  <c r="E84" i="18"/>
  <c r="E95" i="18"/>
  <c r="J66" i="18"/>
  <c r="J77" i="18"/>
  <c r="L71" i="18"/>
  <c r="L82" i="18"/>
  <c r="L93" i="18"/>
  <c r="J70" i="18"/>
  <c r="J81" i="18"/>
  <c r="F74" i="18"/>
  <c r="F85" i="18"/>
  <c r="H72" i="18"/>
  <c r="H83" i="18"/>
  <c r="H94" i="18"/>
  <c r="J71" i="18"/>
  <c r="J82" i="18"/>
  <c r="J72" i="18"/>
  <c r="J83" i="18"/>
  <c r="J94" i="18"/>
  <c r="H67" i="18"/>
  <c r="H78" i="18"/>
  <c r="H89" i="18"/>
  <c r="H66" i="18"/>
  <c r="H77" i="18"/>
  <c r="L73" i="18"/>
  <c r="L84" i="18"/>
  <c r="L95" i="18"/>
  <c r="J67" i="18"/>
  <c r="J78" i="18"/>
  <c r="J89" i="18"/>
  <c r="L66" i="18"/>
  <c r="L77" i="18"/>
  <c r="J74" i="18"/>
  <c r="J85" i="18"/>
  <c r="H73" i="18"/>
  <c r="H84" i="18"/>
  <c r="H95" i="18"/>
  <c r="H74" i="18"/>
  <c r="H85" i="18"/>
  <c r="J73" i="18"/>
  <c r="J84" i="18"/>
  <c r="J95" i="18"/>
  <c r="L70" i="18"/>
  <c r="L81" i="18"/>
  <c r="L92" i="18"/>
  <c r="E71" i="18"/>
  <c r="E82" i="18"/>
  <c r="F77" i="18"/>
  <c r="N67" i="18"/>
  <c r="N78" i="18"/>
  <c r="N89" i="18"/>
  <c r="F73" i="18"/>
  <c r="F84" i="18"/>
  <c r="F95" i="18"/>
  <c r="F71" i="18"/>
  <c r="F82" i="18"/>
  <c r="O4" i="18"/>
  <c r="L68" i="18"/>
  <c r="L79" i="18"/>
  <c r="L90" i="18"/>
  <c r="M69" i="18"/>
  <c r="M80" i="18"/>
  <c r="M91" i="18"/>
  <c r="N71" i="18"/>
  <c r="N82" i="18"/>
  <c r="N93" i="18"/>
  <c r="M74" i="18"/>
  <c r="M85" i="18"/>
  <c r="M96" i="18"/>
  <c r="F68" i="18"/>
  <c r="F79" i="18"/>
  <c r="F72" i="18"/>
  <c r="F83" i="18"/>
  <c r="F94" i="18"/>
  <c r="M73" i="18"/>
  <c r="M84" i="18"/>
  <c r="M95" i="18"/>
  <c r="F70" i="18"/>
  <c r="F81" i="18"/>
  <c r="M66" i="18"/>
  <c r="L69" i="18"/>
  <c r="L80" i="18"/>
  <c r="L91" i="18"/>
  <c r="M68" i="18"/>
  <c r="M79" i="18"/>
  <c r="M90" i="18"/>
  <c r="M72" i="18"/>
  <c r="M83" i="18"/>
  <c r="M94" i="18"/>
  <c r="M67" i="18"/>
  <c r="M78" i="18"/>
  <c r="M89" i="18"/>
  <c r="M71" i="18"/>
  <c r="M82" i="18"/>
  <c r="M93" i="18"/>
  <c r="J104" i="8"/>
  <c r="U75" i="12"/>
  <c r="U86" i="12"/>
  <c r="T75" i="12"/>
  <c r="U94" i="12"/>
  <c r="U122" i="12"/>
  <c r="U208" i="12"/>
  <c r="U93" i="12"/>
  <c r="U112" i="12"/>
  <c r="U198" i="12"/>
  <c r="U132" i="12"/>
  <c r="U169" i="12"/>
  <c r="U255" i="12"/>
  <c r="U141" i="12"/>
  <c r="U150" i="12"/>
  <c r="U236" i="12"/>
  <c r="V70" i="12"/>
  <c r="U159" i="12"/>
  <c r="U245" i="12"/>
  <c r="R21" i="9"/>
  <c r="U117" i="12"/>
  <c r="U203" i="12"/>
  <c r="U136" i="12"/>
  <c r="U222" i="12"/>
  <c r="U127" i="12"/>
  <c r="U213" i="12"/>
  <c r="U145" i="12"/>
  <c r="U231" i="12"/>
  <c r="U164" i="12"/>
  <c r="U250" i="12"/>
  <c r="U155" i="12"/>
  <c r="U241" i="12"/>
  <c r="V84" i="12"/>
  <c r="S113" i="12"/>
  <c r="S199" i="12"/>
  <c r="S134" i="12"/>
  <c r="S220" i="12"/>
  <c r="S152" i="12"/>
  <c r="S238" i="12"/>
  <c r="S143" i="12"/>
  <c r="S229" i="12"/>
  <c r="S161" i="12"/>
  <c r="S247" i="12"/>
  <c r="S171" i="12"/>
  <c r="S257" i="12"/>
  <c r="T111" i="12"/>
  <c r="T197" i="12"/>
  <c r="T121" i="12"/>
  <c r="T140" i="12"/>
  <c r="T168" i="12"/>
  <c r="T149" i="12"/>
  <c r="T131" i="12"/>
  <c r="N32" i="3"/>
  <c r="N33" i="3"/>
  <c r="U121" i="12"/>
  <c r="U111" i="12"/>
  <c r="U140" i="12"/>
  <c r="U226" i="12"/>
  <c r="U149" i="12"/>
  <c r="U131" i="12"/>
  <c r="U217" i="12"/>
  <c r="U168" i="12"/>
  <c r="W116" i="12"/>
  <c r="W202" i="12"/>
  <c r="W123" i="12"/>
  <c r="W209" i="12"/>
  <c r="W133" i="12"/>
  <c r="W219" i="12"/>
  <c r="W142" i="12"/>
  <c r="W228" i="12"/>
  <c r="W160" i="12"/>
  <c r="W151" i="12"/>
  <c r="W237" i="12"/>
  <c r="W170" i="12"/>
  <c r="W256" i="12"/>
  <c r="X72" i="12"/>
  <c r="U125" i="12"/>
  <c r="U211" i="12"/>
  <c r="U115" i="12"/>
  <c r="U201" i="12"/>
  <c r="U135" i="12"/>
  <c r="U221" i="12"/>
  <c r="U154" i="12"/>
  <c r="U240" i="12"/>
  <c r="U163" i="12"/>
  <c r="U249" i="12"/>
  <c r="U173" i="12"/>
  <c r="U259" i="12"/>
  <c r="V79" i="12"/>
  <c r="S86" i="12"/>
  <c r="Q21" i="9"/>
  <c r="T246" i="12"/>
  <c r="R165" i="12"/>
  <c r="R251" i="12"/>
  <c r="R246" i="12"/>
  <c r="S111" i="12"/>
  <c r="S197" i="12"/>
  <c r="S131" i="12"/>
  <c r="S140" i="12"/>
  <c r="S121" i="12"/>
  <c r="S149" i="12"/>
  <c r="S168" i="12"/>
  <c r="U246" i="12"/>
  <c r="V64" i="12"/>
  <c r="U68" i="12"/>
  <c r="V65" i="12"/>
  <c r="V66" i="12"/>
  <c r="U67" i="12"/>
  <c r="R111" i="12"/>
  <c r="R197" i="12"/>
  <c r="R121" i="12"/>
  <c r="R207" i="12"/>
  <c r="R131" i="12"/>
  <c r="R140" i="12"/>
  <c r="R168" i="12"/>
  <c r="R149" i="12"/>
  <c r="V101" i="12"/>
  <c r="U103" i="12"/>
  <c r="S246" i="12"/>
  <c r="V246" i="12"/>
  <c r="B28" i="7"/>
  <c r="D31" i="7"/>
  <c r="H28" i="7"/>
  <c r="L27" i="7"/>
  <c r="Q11" i="3"/>
  <c r="Q14" i="3"/>
  <c r="Q15" i="3"/>
  <c r="P4" i="3"/>
  <c r="P6" i="3"/>
  <c r="P7" i="3"/>
  <c r="P2" i="3"/>
  <c r="P9" i="3"/>
  <c r="P3" i="3"/>
  <c r="P8" i="3"/>
  <c r="P10" i="3"/>
  <c r="P5" i="3"/>
  <c r="O26" i="3"/>
  <c r="O43" i="3"/>
  <c r="I200" i="8"/>
  <c r="I203" i="8"/>
  <c r="D47" i="4"/>
  <c r="T8" i="5"/>
  <c r="D99" i="4"/>
  <c r="E97" i="4"/>
  <c r="D94" i="4"/>
  <c r="E92" i="4"/>
  <c r="C89" i="4"/>
  <c r="D87" i="4"/>
  <c r="V9" i="10"/>
  <c r="C84" i="4"/>
  <c r="D82" i="4"/>
  <c r="D79" i="4"/>
  <c r="E77" i="4"/>
  <c r="D69" i="4"/>
  <c r="E67" i="4"/>
  <c r="C64" i="4"/>
  <c r="D62" i="4"/>
  <c r="C59" i="4"/>
  <c r="D57" i="4"/>
  <c r="C44" i="4"/>
  <c r="D42" i="4"/>
  <c r="D54" i="4"/>
  <c r="E52" i="4"/>
  <c r="D49" i="4"/>
  <c r="D39" i="4"/>
  <c r="E37" i="4"/>
  <c r="C34" i="4"/>
  <c r="D32" i="4"/>
  <c r="V2" i="10"/>
  <c r="D29" i="4"/>
  <c r="E27" i="4"/>
  <c r="G249" i="8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D24" i="4"/>
  <c r="E22" i="4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N221" i="5"/>
  <c r="N341" i="5"/>
  <c r="E244" i="5"/>
  <c r="E364" i="5"/>
  <c r="D252" i="5"/>
  <c r="D372" i="5"/>
  <c r="G232" i="5"/>
  <c r="G352" i="5"/>
  <c r="N104" i="8"/>
  <c r="G79" i="8"/>
  <c r="J231" i="5"/>
  <c r="J351" i="5"/>
  <c r="H255" i="5"/>
  <c r="H375" i="5"/>
  <c r="I250" i="5"/>
  <c r="I370" i="5"/>
  <c r="B104" i="8"/>
  <c r="M104" i="8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E250" i="5"/>
  <c r="E370" i="5"/>
  <c r="G80" i="8"/>
  <c r="G81" i="8"/>
  <c r="I254" i="5"/>
  <c r="I374" i="5"/>
  <c r="D250" i="5"/>
  <c r="D370" i="5"/>
  <c r="E200" i="8"/>
  <c r="E203" i="8"/>
  <c r="O24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K249" i="5"/>
  <c r="K369" i="5"/>
  <c r="D222" i="5"/>
  <c r="D342" i="5"/>
  <c r="H98" i="7"/>
  <c r="I229" i="5"/>
  <c r="I349" i="5"/>
  <c r="G200" i="8"/>
  <c r="G203" i="8"/>
  <c r="I249" i="8"/>
  <c r="L222" i="5"/>
  <c r="L342" i="5"/>
  <c r="G66" i="7"/>
  <c r="H221" i="5"/>
  <c r="H341" i="5"/>
  <c r="H219" i="5"/>
  <c r="H339" i="5"/>
  <c r="L218" i="5"/>
  <c r="L338" i="5"/>
  <c r="C61" i="7"/>
  <c r="D216" i="5"/>
  <c r="D336" i="5"/>
  <c r="I233" i="5"/>
  <c r="I353" i="5"/>
  <c r="D101" i="7"/>
  <c r="E232" i="5"/>
  <c r="E352" i="5"/>
  <c r="M228" i="5"/>
  <c r="M348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N66" i="7"/>
  <c r="O221" i="5"/>
  <c r="F66" i="7"/>
  <c r="G221" i="5"/>
  <c r="G341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N62" i="7"/>
  <c r="O217" i="5"/>
  <c r="F62" i="7"/>
  <c r="G217" i="5"/>
  <c r="G337" i="5"/>
  <c r="K216" i="5"/>
  <c r="K336" i="5"/>
  <c r="C227" i="5"/>
  <c r="C347" i="5"/>
  <c r="B97" i="7"/>
  <c r="C228" i="5"/>
  <c r="C348" i="5"/>
  <c r="H233" i="5"/>
  <c r="H353" i="5"/>
  <c r="L232" i="5"/>
  <c r="L352" i="5"/>
  <c r="C101" i="7"/>
  <c r="D232" i="5"/>
  <c r="D352" i="5"/>
  <c r="H229" i="5"/>
  <c r="H349" i="5"/>
  <c r="K97" i="7"/>
  <c r="L228" i="5"/>
  <c r="L348" i="5"/>
  <c r="D228" i="5"/>
  <c r="D348" i="5"/>
  <c r="I67" i="7"/>
  <c r="J222" i="5"/>
  <c r="J342" i="5"/>
  <c r="F221" i="5"/>
  <c r="F341" i="5"/>
  <c r="J220" i="5"/>
  <c r="J340" i="5"/>
  <c r="N219" i="5"/>
  <c r="N339" i="5"/>
  <c r="I63" i="7"/>
  <c r="J218" i="5"/>
  <c r="J338" i="5"/>
  <c r="F217" i="5"/>
  <c r="F337" i="5"/>
  <c r="F102" i="7"/>
  <c r="K232" i="5"/>
  <c r="K352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J257" i="5"/>
  <c r="J377" i="5"/>
  <c r="J255" i="5"/>
  <c r="J375" i="5"/>
  <c r="N254" i="5"/>
  <c r="N374" i="5"/>
  <c r="F254" i="5"/>
  <c r="F374" i="5"/>
  <c r="J253" i="5"/>
  <c r="J373" i="5"/>
  <c r="N252" i="5"/>
  <c r="N372" i="5"/>
  <c r="J251" i="5"/>
  <c r="J371" i="5"/>
  <c r="N250" i="5"/>
  <c r="N370" i="5"/>
  <c r="F250" i="5"/>
  <c r="F370" i="5"/>
  <c r="F233" i="5"/>
  <c r="F353" i="5"/>
  <c r="C63" i="7"/>
  <c r="D218" i="5"/>
  <c r="D338" i="5"/>
  <c r="E81" i="8"/>
  <c r="I85" i="8"/>
  <c r="E249" i="8"/>
  <c r="B63" i="7"/>
  <c r="C218" i="5"/>
  <c r="C338" i="5"/>
  <c r="I222" i="5"/>
  <c r="I342" i="5"/>
  <c r="M221" i="5"/>
  <c r="M341" i="5"/>
  <c r="D66" i="7"/>
  <c r="E221" i="5"/>
  <c r="E341" i="5"/>
  <c r="I218" i="5"/>
  <c r="I338" i="5"/>
  <c r="M217" i="5"/>
  <c r="M337" i="5"/>
  <c r="D62" i="7"/>
  <c r="E217" i="5"/>
  <c r="E337" i="5"/>
  <c r="H61" i="7"/>
  <c r="I216" i="5"/>
  <c r="I336" i="5"/>
  <c r="N233" i="5"/>
  <c r="N353" i="5"/>
  <c r="J232" i="5"/>
  <c r="J352" i="5"/>
  <c r="N231" i="5"/>
  <c r="N351" i="5"/>
  <c r="F231" i="5"/>
  <c r="F351" i="5"/>
  <c r="J230" i="5"/>
  <c r="J350" i="5"/>
  <c r="F229" i="5"/>
  <c r="F349" i="5"/>
  <c r="J228" i="5"/>
  <c r="J348" i="5"/>
  <c r="N227" i="5"/>
  <c r="N347" i="5"/>
  <c r="F227" i="5"/>
  <c r="F347" i="5"/>
  <c r="K243" i="5"/>
  <c r="K363" i="5"/>
  <c r="F219" i="5"/>
  <c r="F339" i="5"/>
  <c r="C240" i="5"/>
  <c r="C360" i="5"/>
  <c r="B62" i="7"/>
  <c r="C217" i="5"/>
  <c r="C337" i="5"/>
  <c r="C221" i="5"/>
  <c r="C341" i="5"/>
  <c r="C229" i="5"/>
  <c r="C349" i="5"/>
  <c r="M232" i="5"/>
  <c r="M352" i="5"/>
  <c r="D97" i="7"/>
  <c r="E228" i="5"/>
  <c r="E348" i="5"/>
  <c r="C84" i="8"/>
  <c r="C200" i="8"/>
  <c r="C203" i="8"/>
  <c r="C249" i="8"/>
  <c r="G222" i="5"/>
  <c r="G342" i="5"/>
  <c r="J66" i="7"/>
  <c r="K221" i="5"/>
  <c r="K341" i="5"/>
  <c r="O218" i="5"/>
  <c r="K217" i="5"/>
  <c r="K337" i="5"/>
  <c r="C232" i="5"/>
  <c r="C352" i="5"/>
  <c r="L233" i="5"/>
  <c r="L353" i="5"/>
  <c r="D233" i="5"/>
  <c r="D353" i="5"/>
  <c r="H232" i="5"/>
  <c r="H352" i="5"/>
  <c r="H228" i="5"/>
  <c r="H348" i="5"/>
  <c r="D227" i="5"/>
  <c r="D347" i="5"/>
  <c r="C244" i="5"/>
  <c r="C364" i="5"/>
  <c r="G244" i="5"/>
  <c r="G364" i="5"/>
  <c r="I243" i="5"/>
  <c r="I363" i="5"/>
  <c r="G240" i="5"/>
  <c r="G360" i="5"/>
  <c r="L238" i="5"/>
  <c r="L358" i="5"/>
  <c r="N243" i="5"/>
  <c r="N363" i="5"/>
  <c r="N239" i="5"/>
  <c r="N359" i="5"/>
  <c r="H217" i="5"/>
  <c r="H337" i="5"/>
  <c r="J216" i="5"/>
  <c r="J336" i="5"/>
  <c r="N229" i="5"/>
  <c r="N349" i="5"/>
  <c r="G67" i="7"/>
  <c r="K66" i="7"/>
  <c r="G63" i="7"/>
  <c r="K62" i="7"/>
  <c r="L102" i="7"/>
  <c r="M233" i="5"/>
  <c r="M353" i="5"/>
  <c r="I232" i="5"/>
  <c r="I352" i="5"/>
  <c r="K239" i="5"/>
  <c r="K359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O243" i="5"/>
  <c r="K255" i="5"/>
  <c r="K375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O254" i="5"/>
  <c r="K251" i="5"/>
  <c r="K371" i="5"/>
  <c r="O250" i="5"/>
  <c r="G250" i="5"/>
  <c r="G370" i="5"/>
  <c r="E229" i="5"/>
  <c r="E349" i="5"/>
  <c r="I227" i="5"/>
  <c r="I347" i="5"/>
  <c r="G239" i="5"/>
  <c r="G359" i="5"/>
  <c r="N253" i="5"/>
  <c r="N373" i="5"/>
  <c r="N251" i="5"/>
  <c r="N371" i="5"/>
  <c r="K250" i="5"/>
  <c r="K370" i="5"/>
  <c r="M67" i="7"/>
  <c r="N222" i="5"/>
  <c r="N342" i="5"/>
  <c r="E67" i="7"/>
  <c r="F222" i="5"/>
  <c r="F342" i="5"/>
  <c r="I66" i="7"/>
  <c r="J221" i="5"/>
  <c r="J341" i="5"/>
  <c r="F220" i="5"/>
  <c r="F340" i="5"/>
  <c r="N218" i="5"/>
  <c r="N338" i="5"/>
  <c r="E63" i="7"/>
  <c r="F218" i="5"/>
  <c r="F338" i="5"/>
  <c r="I62" i="7"/>
  <c r="J217" i="5"/>
  <c r="J337" i="5"/>
  <c r="N216" i="5"/>
  <c r="N336" i="5"/>
  <c r="I255" i="5"/>
  <c r="I375" i="5"/>
  <c r="M254" i="5"/>
  <c r="M374" i="5"/>
  <c r="I251" i="5"/>
  <c r="I371" i="5"/>
  <c r="M250" i="5"/>
  <c r="M370" i="5"/>
  <c r="C233" i="5"/>
  <c r="C353" i="5"/>
  <c r="F232" i="5"/>
  <c r="F352" i="5"/>
  <c r="M229" i="5"/>
  <c r="M349" i="5"/>
  <c r="N244" i="5"/>
  <c r="N364" i="5"/>
  <c r="E243" i="5"/>
  <c r="E363" i="5"/>
  <c r="L240" i="5"/>
  <c r="L360" i="5"/>
  <c r="O239" i="5"/>
  <c r="O255" i="5"/>
  <c r="L254" i="5"/>
  <c r="L374" i="5"/>
  <c r="H251" i="5"/>
  <c r="H371" i="5"/>
  <c r="H250" i="5"/>
  <c r="H370" i="5"/>
  <c r="H249" i="5"/>
  <c r="H369" i="5"/>
  <c r="L63" i="7"/>
  <c r="E97" i="7"/>
  <c r="F228" i="5"/>
  <c r="F348" i="5"/>
  <c r="G243" i="5"/>
  <c r="G363" i="5"/>
  <c r="M240" i="5"/>
  <c r="M360" i="5"/>
  <c r="E240" i="5"/>
  <c r="E360" i="5"/>
  <c r="C249" i="5"/>
  <c r="C369" i="5"/>
  <c r="C250" i="5"/>
  <c r="C370" i="5"/>
  <c r="D254" i="5"/>
  <c r="D374" i="5"/>
  <c r="H253" i="5"/>
  <c r="H373" i="5"/>
  <c r="L250" i="5"/>
  <c r="L370" i="5"/>
  <c r="L221" i="5"/>
  <c r="L341" i="5"/>
  <c r="O232" i="5"/>
  <c r="O228" i="5"/>
  <c r="M244" i="5"/>
  <c r="M364" i="5"/>
  <c r="K240" i="5"/>
  <c r="K360" i="5"/>
  <c r="C239" i="5"/>
  <c r="C359" i="5"/>
  <c r="N257" i="5"/>
  <c r="N377" i="5"/>
  <c r="M255" i="5"/>
  <c r="M375" i="5"/>
  <c r="J254" i="5"/>
  <c r="J374" i="5"/>
  <c r="G251" i="5"/>
  <c r="G371" i="5"/>
  <c r="F249" i="5"/>
  <c r="F369" i="5"/>
  <c r="K254" i="5"/>
  <c r="K374" i="5"/>
  <c r="O249" i="5"/>
  <c r="I221" i="5"/>
  <c r="I341" i="5"/>
  <c r="M218" i="5"/>
  <c r="M338" i="5"/>
  <c r="E216" i="5"/>
  <c r="E336" i="5"/>
  <c r="K233" i="5"/>
  <c r="K353" i="5"/>
  <c r="N232" i="5"/>
  <c r="N352" i="5"/>
  <c r="E227" i="5"/>
  <c r="E347" i="5"/>
  <c r="L244" i="5"/>
  <c r="L364" i="5"/>
  <c r="M243" i="5"/>
  <c r="M363" i="5"/>
  <c r="C243" i="5"/>
  <c r="C363" i="5"/>
  <c r="M239" i="5"/>
  <c r="M359" i="5"/>
  <c r="F251" i="5"/>
  <c r="F371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N255" i="5"/>
  <c r="N375" i="5"/>
  <c r="F255" i="5"/>
  <c r="F375" i="5"/>
  <c r="F253" i="5"/>
  <c r="F373" i="5"/>
  <c r="J250" i="5"/>
  <c r="J370" i="5"/>
  <c r="H222" i="5"/>
  <c r="H342" i="5"/>
  <c r="D217" i="5"/>
  <c r="D337" i="5"/>
  <c r="J233" i="5"/>
  <c r="J353" i="5"/>
  <c r="J229" i="5"/>
  <c r="J349" i="5"/>
  <c r="K228" i="5"/>
  <c r="K348" i="5"/>
  <c r="K244" i="5"/>
  <c r="K364" i="5"/>
  <c r="L243" i="5"/>
  <c r="L363" i="5"/>
  <c r="I240" i="5"/>
  <c r="I360" i="5"/>
  <c r="L239" i="5"/>
  <c r="L359" i="5"/>
  <c r="H254" i="5"/>
  <c r="H374" i="5"/>
  <c r="D251" i="5"/>
  <c r="D371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E239" i="5"/>
  <c r="E359" i="5"/>
  <c r="G238" i="5"/>
  <c r="G358" i="5"/>
  <c r="E251" i="5"/>
  <c r="E371" i="5"/>
  <c r="E222" i="5"/>
  <c r="E342" i="5"/>
  <c r="M216" i="5"/>
  <c r="M336" i="5"/>
  <c r="I239" i="5"/>
  <c r="I359" i="5"/>
  <c r="G255" i="5"/>
  <c r="G375" i="5"/>
  <c r="G254" i="5"/>
  <c r="G374" i="5"/>
  <c r="C251" i="5"/>
  <c r="C371" i="5"/>
  <c r="M249" i="5"/>
  <c r="M369" i="5"/>
  <c r="N240" i="5"/>
  <c r="N360" i="5"/>
  <c r="C254" i="5"/>
  <c r="C374" i="5"/>
  <c r="L255" i="5"/>
  <c r="L375" i="5"/>
  <c r="L249" i="5"/>
  <c r="L369" i="5"/>
  <c r="D249" i="5"/>
  <c r="D369" i="5"/>
  <c r="L217" i="5"/>
  <c r="L337" i="5"/>
  <c r="I228" i="5"/>
  <c r="I348" i="5"/>
  <c r="E255" i="5"/>
  <c r="E375" i="5"/>
  <c r="E254" i="5"/>
  <c r="E374" i="5"/>
  <c r="O251" i="5"/>
  <c r="M101" i="7"/>
  <c r="K98" i="7"/>
  <c r="L79" i="8"/>
  <c r="D79" i="8"/>
  <c r="H107" i="8"/>
  <c r="L104" i="8"/>
  <c r="K85" i="8"/>
  <c r="C85" i="8"/>
  <c r="K81" i="8"/>
  <c r="F81" i="8"/>
  <c r="M106" i="8"/>
  <c r="E104" i="8"/>
  <c r="G105" i="8"/>
  <c r="L105" i="8"/>
  <c r="H140" i="8"/>
  <c r="D104" i="8"/>
  <c r="J85" i="8"/>
  <c r="N84" i="8"/>
  <c r="F84" i="8"/>
  <c r="N80" i="8"/>
  <c r="F80" i="8"/>
  <c r="M85" i="8"/>
  <c r="I107" i="8"/>
  <c r="D105" i="8"/>
  <c r="H104" i="8"/>
  <c r="G107" i="8"/>
  <c r="K104" i="8"/>
  <c r="C104" i="8"/>
  <c r="N105" i="8"/>
  <c r="F105" i="8"/>
  <c r="N106" i="8"/>
  <c r="F104" i="8"/>
  <c r="M107" i="8"/>
  <c r="E107" i="8"/>
  <c r="M105" i="8"/>
  <c r="E105" i="8"/>
  <c r="B107" i="8"/>
  <c r="I104" i="8"/>
  <c r="K105" i="8"/>
  <c r="C105" i="8"/>
  <c r="J107" i="8"/>
  <c r="E95" i="8"/>
  <c r="N107" i="8"/>
  <c r="F107" i="8"/>
  <c r="H105" i="8"/>
  <c r="M80" i="8"/>
  <c r="M95" i="8"/>
  <c r="L107" i="8"/>
  <c r="D107" i="8"/>
  <c r="B81" i="8"/>
  <c r="D80" i="8"/>
  <c r="K95" i="8"/>
  <c r="C95" i="8"/>
  <c r="J105" i="8"/>
  <c r="B105" i="8"/>
  <c r="G104" i="8"/>
  <c r="G95" i="8"/>
  <c r="I105" i="8"/>
  <c r="N85" i="8"/>
  <c r="J84" i="8"/>
  <c r="J80" i="8"/>
  <c r="H84" i="8"/>
  <c r="D81" i="8"/>
  <c r="H80" i="8"/>
  <c r="M84" i="8"/>
  <c r="L84" i="8"/>
  <c r="D84" i="8"/>
  <c r="B84" i="8"/>
  <c r="H85" i="8"/>
  <c r="B85" i="8"/>
  <c r="N95" i="8"/>
  <c r="F95" i="8"/>
  <c r="K107" i="8"/>
  <c r="C107" i="8"/>
  <c r="L95" i="8"/>
  <c r="D95" i="8"/>
  <c r="J81" i="8"/>
  <c r="J95" i="8"/>
  <c r="B95" i="8"/>
  <c r="I95" i="8"/>
  <c r="H95" i="8"/>
  <c r="M66" i="7"/>
  <c r="E66" i="7"/>
  <c r="I61" i="7"/>
  <c r="B66" i="7"/>
  <c r="K32" i="7"/>
  <c r="M27" i="7"/>
  <c r="C31" i="7"/>
  <c r="H32" i="7"/>
  <c r="K23" i="7"/>
  <c r="C23" i="7"/>
  <c r="G20" i="7"/>
  <c r="G18" i="7"/>
  <c r="G16" i="7"/>
  <c r="K15" i="7"/>
  <c r="C15" i="7"/>
  <c r="C26" i="7"/>
  <c r="M32" i="7"/>
  <c r="I23" i="7"/>
  <c r="I15" i="7"/>
  <c r="I26" i="7"/>
  <c r="K18" i="7"/>
  <c r="C18" i="7"/>
  <c r="J32" i="7"/>
  <c r="N31" i="7"/>
  <c r="F31" i="7"/>
  <c r="J28" i="7"/>
  <c r="N27" i="7"/>
  <c r="F27" i="7"/>
  <c r="I32" i="7"/>
  <c r="I28" i="7"/>
  <c r="E27" i="7"/>
  <c r="N32" i="7"/>
  <c r="N26" i="7"/>
  <c r="F93" i="1"/>
  <c r="D93" i="1"/>
  <c r="S165" i="12"/>
  <c r="S251" i="12"/>
  <c r="O66" i="16"/>
  <c r="O83" i="16"/>
  <c r="M97" i="7"/>
  <c r="L97" i="7"/>
  <c r="L98" i="7"/>
  <c r="O27" i="8"/>
  <c r="K61" i="7"/>
  <c r="J101" i="7"/>
  <c r="G31" i="7"/>
  <c r="H101" i="7"/>
  <c r="I101" i="7"/>
  <c r="H102" i="7"/>
  <c r="O46" i="8"/>
  <c r="O59" i="16"/>
  <c r="O74" i="16"/>
  <c r="F61" i="7"/>
  <c r="O79" i="16"/>
  <c r="O73" i="16"/>
  <c r="C96" i="7"/>
  <c r="D98" i="7"/>
  <c r="K96" i="7"/>
  <c r="K102" i="7"/>
  <c r="O68" i="16"/>
  <c r="I97" i="7"/>
  <c r="G27" i="7"/>
  <c r="E98" i="7"/>
  <c r="E61" i="7"/>
  <c r="C98" i="7"/>
  <c r="O47" i="8"/>
  <c r="B98" i="7"/>
  <c r="B101" i="7"/>
  <c r="U2" i="5"/>
  <c r="V2" i="11"/>
  <c r="V8" i="11"/>
  <c r="V8" i="9"/>
  <c r="AG8" i="9"/>
  <c r="V8" i="10"/>
  <c r="V13" i="5"/>
  <c r="W13" i="10"/>
  <c r="W13" i="9"/>
  <c r="AH13" i="9"/>
  <c r="W13" i="11"/>
  <c r="V2" i="9"/>
  <c r="V9" i="9"/>
  <c r="AG9" i="9"/>
  <c r="W3" i="10"/>
  <c r="V3" i="5"/>
  <c r="W3" i="9"/>
  <c r="W3" i="11"/>
  <c r="U9" i="5"/>
  <c r="V9" i="11"/>
  <c r="U10" i="5"/>
  <c r="V10" i="9"/>
  <c r="AG10" i="9"/>
  <c r="V10" i="10"/>
  <c r="V10" i="11"/>
  <c r="U11" i="5"/>
  <c r="V11" i="11"/>
  <c r="V11" i="9"/>
  <c r="AG11" i="9"/>
  <c r="V11" i="10"/>
  <c r="W12" i="10"/>
  <c r="W12" i="11"/>
  <c r="V12" i="5"/>
  <c r="W12" i="9"/>
  <c r="AH12" i="9"/>
  <c r="V15" i="11"/>
  <c r="V15" i="9"/>
  <c r="AG15" i="9"/>
  <c r="V15" i="10"/>
  <c r="W14" i="9"/>
  <c r="AH14" i="9"/>
  <c r="V14" i="5"/>
  <c r="W14" i="10"/>
  <c r="W14" i="11"/>
  <c r="V7" i="5"/>
  <c r="W7" i="9"/>
  <c r="AH7" i="9"/>
  <c r="W7" i="11"/>
  <c r="W7" i="10"/>
  <c r="M96" i="7"/>
  <c r="N73" i="18"/>
  <c r="N84" i="18"/>
  <c r="N95" i="18"/>
  <c r="O139" i="8"/>
  <c r="O235" i="8"/>
  <c r="N68" i="18"/>
  <c r="N79" i="18"/>
  <c r="N90" i="18"/>
  <c r="O67" i="16"/>
  <c r="O31" i="8"/>
  <c r="O28" i="8"/>
  <c r="N72" i="18"/>
  <c r="N83" i="18"/>
  <c r="N94" i="18"/>
  <c r="N69" i="18"/>
  <c r="N66" i="18"/>
  <c r="N77" i="18"/>
  <c r="N74" i="18"/>
  <c r="N85" i="18"/>
  <c r="N96" i="18"/>
  <c r="O69" i="16"/>
  <c r="O189" i="8"/>
  <c r="O63" i="16"/>
  <c r="C54" i="18"/>
  <c r="C66" i="18"/>
  <c r="C77" i="18"/>
  <c r="G140" i="18"/>
  <c r="G151" i="18"/>
  <c r="G162" i="18"/>
  <c r="G141" i="18"/>
  <c r="G152" i="18"/>
  <c r="G163" i="18"/>
  <c r="G128" i="18"/>
  <c r="G54" i="18"/>
  <c r="O80" i="16"/>
  <c r="C123" i="18"/>
  <c r="O136" i="8"/>
  <c r="I120" i="18"/>
  <c r="I190" i="8"/>
  <c r="O190" i="8"/>
  <c r="E120" i="18"/>
  <c r="I127" i="18"/>
  <c r="H96" i="7"/>
  <c r="O238" i="5"/>
  <c r="B96" i="7"/>
  <c r="K26" i="7"/>
  <c r="L216" i="5"/>
  <c r="L336" i="5"/>
  <c r="G216" i="5"/>
  <c r="G336" i="5"/>
  <c r="C216" i="5"/>
  <c r="C336" i="5"/>
  <c r="I96" i="7"/>
  <c r="O40" i="3"/>
  <c r="O39" i="3"/>
  <c r="E68" i="18"/>
  <c r="E79" i="18"/>
  <c r="E69" i="18"/>
  <c r="E80" i="18"/>
  <c r="E74" i="18"/>
  <c r="E85" i="18"/>
  <c r="E72" i="18"/>
  <c r="E83" i="18"/>
  <c r="E94" i="18"/>
  <c r="E70" i="18"/>
  <c r="E81" i="18"/>
  <c r="E136" i="18"/>
  <c r="C127" i="18"/>
  <c r="E67" i="18"/>
  <c r="E78" i="18"/>
  <c r="E89" i="18"/>
  <c r="I140" i="18"/>
  <c r="I128" i="18"/>
  <c r="C128" i="18"/>
  <c r="E133" i="18"/>
  <c r="E144" i="18"/>
  <c r="F135" i="18"/>
  <c r="G133" i="18"/>
  <c r="G144" i="18"/>
  <c r="G139" i="18"/>
  <c r="G150" i="18"/>
  <c r="G161" i="18"/>
  <c r="F141" i="18"/>
  <c r="F133" i="18"/>
  <c r="F144" i="18"/>
  <c r="F134" i="18"/>
  <c r="F145" i="18"/>
  <c r="F156" i="18"/>
  <c r="F136" i="18"/>
  <c r="F147" i="18"/>
  <c r="F158" i="18"/>
  <c r="F140" i="18"/>
  <c r="E138" i="18"/>
  <c r="E149" i="18"/>
  <c r="E160" i="18"/>
  <c r="G137" i="18"/>
  <c r="G148" i="18"/>
  <c r="G159" i="18"/>
  <c r="F138" i="18"/>
  <c r="G136" i="18"/>
  <c r="G147" i="18"/>
  <c r="G158" i="18"/>
  <c r="E141" i="18"/>
  <c r="E128" i="18"/>
  <c r="G138" i="18"/>
  <c r="G149" i="18"/>
  <c r="G160" i="18"/>
  <c r="E139" i="18"/>
  <c r="F139" i="18"/>
  <c r="G134" i="18"/>
  <c r="G145" i="18"/>
  <c r="G156" i="18"/>
  <c r="O232" i="8"/>
  <c r="T74" i="9"/>
  <c r="G135" i="18"/>
  <c r="G146" i="18"/>
  <c r="G157" i="18"/>
  <c r="C120" i="18"/>
  <c r="I66" i="18"/>
  <c r="I77" i="18"/>
  <c r="I74" i="18"/>
  <c r="I85" i="18"/>
  <c r="I73" i="18"/>
  <c r="I84" i="18"/>
  <c r="I95" i="18"/>
  <c r="I72" i="18"/>
  <c r="I83" i="18"/>
  <c r="I94" i="18"/>
  <c r="I68" i="18"/>
  <c r="I79" i="18"/>
  <c r="I90" i="18"/>
  <c r="I69" i="18"/>
  <c r="I80" i="18"/>
  <c r="I91" i="18"/>
  <c r="I67" i="18"/>
  <c r="I78" i="18"/>
  <c r="I89" i="18"/>
  <c r="I71" i="18"/>
  <c r="I82" i="18"/>
  <c r="I70" i="18"/>
  <c r="I81" i="18"/>
  <c r="G71" i="18"/>
  <c r="G82" i="18"/>
  <c r="G74" i="18"/>
  <c r="G85" i="18"/>
  <c r="G73" i="18"/>
  <c r="G84" i="18"/>
  <c r="G95" i="18"/>
  <c r="G68" i="18"/>
  <c r="G79" i="18"/>
  <c r="G61" i="18"/>
  <c r="G67" i="18"/>
  <c r="G78" i="18"/>
  <c r="G89" i="18"/>
  <c r="G69" i="18"/>
  <c r="G80" i="18"/>
  <c r="G66" i="18"/>
  <c r="G77" i="18"/>
  <c r="C69" i="18"/>
  <c r="C80" i="18"/>
  <c r="C72" i="18"/>
  <c r="C83" i="18"/>
  <c r="C94" i="18"/>
  <c r="C74" i="18"/>
  <c r="C85" i="18"/>
  <c r="C67" i="18"/>
  <c r="C78" i="18"/>
  <c r="C89" i="18"/>
  <c r="C68" i="18"/>
  <c r="C79" i="18"/>
  <c r="C70" i="18"/>
  <c r="C81" i="18"/>
  <c r="C71" i="18"/>
  <c r="C82" i="18"/>
  <c r="D102" i="7"/>
  <c r="E99" i="11"/>
  <c r="E220" i="11"/>
  <c r="E340" i="11"/>
  <c r="M88" i="7"/>
  <c r="N136" i="5"/>
  <c r="N256" i="5"/>
  <c r="N376" i="5"/>
  <c r="O136" i="10"/>
  <c r="O257" i="10"/>
  <c r="O377" i="10"/>
  <c r="G218" i="5"/>
  <c r="G338" i="5"/>
  <c r="K136" i="10"/>
  <c r="K257" i="10"/>
  <c r="K377" i="10"/>
  <c r="G96" i="7"/>
  <c r="D133" i="5"/>
  <c r="D253" i="5"/>
  <c r="D373" i="5"/>
  <c r="H110" i="7"/>
  <c r="F5" i="7"/>
  <c r="F28" i="7"/>
  <c r="O28" i="7"/>
  <c r="L131" i="5"/>
  <c r="L251" i="5"/>
  <c r="L371" i="5"/>
  <c r="J120" i="5"/>
  <c r="J240" i="5"/>
  <c r="J360" i="5"/>
  <c r="K98" i="5"/>
  <c r="M145" i="7"/>
  <c r="G109" i="5"/>
  <c r="G229" i="5"/>
  <c r="G349" i="5"/>
  <c r="B145" i="7"/>
  <c r="L109" i="5"/>
  <c r="L229" i="5"/>
  <c r="L349" i="5"/>
  <c r="J75" i="7"/>
  <c r="O109" i="5"/>
  <c r="D109" i="5"/>
  <c r="D229" i="5"/>
  <c r="D349" i="5"/>
  <c r="J98" i="7"/>
  <c r="I103" i="10"/>
  <c r="I224" i="10"/>
  <c r="I344" i="10"/>
  <c r="E114" i="10"/>
  <c r="E235" i="10"/>
  <c r="E355" i="10"/>
  <c r="J136" i="5"/>
  <c r="J256" i="5"/>
  <c r="J376" i="5"/>
  <c r="O231" i="8"/>
  <c r="I93" i="7"/>
  <c r="H96" i="5"/>
  <c r="N97" i="5"/>
  <c r="H97" i="7"/>
  <c r="F98" i="7"/>
  <c r="G110" i="11"/>
  <c r="G231" i="11"/>
  <c r="G351" i="11"/>
  <c r="O110" i="10"/>
  <c r="O231" i="10"/>
  <c r="O351" i="10"/>
  <c r="G100" i="10"/>
  <c r="G221" i="10"/>
  <c r="G341" i="10"/>
  <c r="N108" i="5"/>
  <c r="N228" i="5"/>
  <c r="N348" i="5"/>
  <c r="H107" i="5"/>
  <c r="H227" i="5"/>
  <c r="H347" i="5"/>
  <c r="G97" i="7"/>
  <c r="O186" i="8"/>
  <c r="O8" i="3"/>
  <c r="G113" i="5"/>
  <c r="G233" i="5"/>
  <c r="G353" i="5"/>
  <c r="O113" i="5"/>
  <c r="K102" i="5"/>
  <c r="C102" i="7"/>
  <c r="O32" i="8"/>
  <c r="R96" i="1"/>
  <c r="K99" i="11"/>
  <c r="K220" i="11"/>
  <c r="K340" i="11"/>
  <c r="O135" i="8"/>
  <c r="O185" i="8"/>
  <c r="O236" i="8"/>
  <c r="I123" i="7"/>
  <c r="I158" i="7"/>
  <c r="N91" i="7"/>
  <c r="N102" i="7"/>
  <c r="F126" i="7"/>
  <c r="F161" i="7"/>
  <c r="J126" i="7"/>
  <c r="J137" i="7"/>
  <c r="J161" i="7"/>
  <c r="J172" i="7"/>
  <c r="M161" i="7"/>
  <c r="M172" i="7"/>
  <c r="M126" i="7"/>
  <c r="M122" i="7"/>
  <c r="M133" i="7"/>
  <c r="M157" i="7"/>
  <c r="L230" i="8"/>
  <c r="P228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P250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L156" i="7"/>
  <c r="L167" i="7"/>
  <c r="L121" i="7"/>
  <c r="L132" i="7"/>
  <c r="P218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D96" i="7"/>
  <c r="N103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N87" i="7"/>
  <c r="N98" i="7"/>
  <c r="P252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P219" i="10"/>
  <c r="C155" i="7"/>
  <c r="C120" i="7"/>
  <c r="E137" i="10"/>
  <c r="E258" i="10"/>
  <c r="E378" i="10"/>
  <c r="E136" i="11"/>
  <c r="E257" i="11"/>
  <c r="E377" i="11"/>
  <c r="I217" i="5"/>
  <c r="I337" i="5"/>
  <c r="H51" i="7"/>
  <c r="H62" i="7"/>
  <c r="E99" i="10"/>
  <c r="E220" i="10"/>
  <c r="E340" i="10"/>
  <c r="G136" i="10"/>
  <c r="G257" i="10"/>
  <c r="G377" i="10"/>
  <c r="E156" i="7"/>
  <c r="E121" i="7"/>
  <c r="K99" i="10"/>
  <c r="K220" i="10"/>
  <c r="K340" i="10"/>
  <c r="J115" i="5"/>
  <c r="J235" i="5"/>
  <c r="J355" i="5"/>
  <c r="G100" i="11"/>
  <c r="G221" i="11"/>
  <c r="G341" i="11"/>
  <c r="G104" i="11"/>
  <c r="G225" i="11"/>
  <c r="G345" i="11"/>
  <c r="I132" i="10"/>
  <c r="I253" i="10"/>
  <c r="I373" i="10"/>
  <c r="I136" i="10"/>
  <c r="I257" i="10"/>
  <c r="I377" i="10"/>
  <c r="G160" i="7"/>
  <c r="G125" i="7"/>
  <c r="I132" i="11"/>
  <c r="I253" i="11"/>
  <c r="I373" i="11"/>
  <c r="P244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N90" i="7"/>
  <c r="N101" i="7"/>
  <c r="P233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N56" i="7"/>
  <c r="N67" i="7"/>
  <c r="F216" i="5"/>
  <c r="F336" i="5"/>
  <c r="O222" i="5"/>
  <c r="J102" i="7"/>
  <c r="I155" i="7"/>
  <c r="I120" i="7"/>
  <c r="P234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P223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D161" i="7"/>
  <c r="D126" i="7"/>
  <c r="H126" i="7"/>
  <c r="H161" i="7"/>
  <c r="P256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M159" i="7"/>
  <c r="M124" i="7"/>
  <c r="O136" i="11"/>
  <c r="O257" i="11"/>
  <c r="O377" i="11"/>
  <c r="P250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F120" i="7"/>
  <c r="F155" i="7"/>
  <c r="K26" i="8"/>
  <c r="O103" i="11"/>
  <c r="O224" i="11"/>
  <c r="O344" i="11"/>
  <c r="G92" i="7"/>
  <c r="G93" i="7"/>
  <c r="P251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L96" i="7"/>
  <c r="E102" i="7"/>
  <c r="J104" i="5"/>
  <c r="J97" i="7"/>
  <c r="P241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E132" i="10"/>
  <c r="E253" i="10"/>
  <c r="E373" i="10"/>
  <c r="E132" i="11"/>
  <c r="E253" i="11"/>
  <c r="E373" i="11"/>
  <c r="G110" i="10"/>
  <c r="G231" i="10"/>
  <c r="G351" i="10"/>
  <c r="E92" i="7"/>
  <c r="G115" i="11"/>
  <c r="G236" i="11"/>
  <c r="G356" i="11"/>
  <c r="E218" i="5"/>
  <c r="E338" i="5"/>
  <c r="D52" i="7"/>
  <c r="D63" i="7"/>
  <c r="F132" i="5"/>
  <c r="F252" i="5"/>
  <c r="F372" i="5"/>
  <c r="M93" i="7"/>
  <c r="O114" i="11"/>
  <c r="O235" i="11"/>
  <c r="O355" i="11"/>
  <c r="N110" i="5"/>
  <c r="N230" i="5"/>
  <c r="N350" i="5"/>
  <c r="D50" i="7"/>
  <c r="D61" i="7"/>
  <c r="G103" i="11"/>
  <c r="G224" i="11"/>
  <c r="G344" i="11"/>
  <c r="G99" i="11"/>
  <c r="G220" i="11"/>
  <c r="G340" i="11"/>
  <c r="G155" i="7"/>
  <c r="G120" i="7"/>
  <c r="N125" i="7"/>
  <c r="N136" i="7"/>
  <c r="N160" i="7"/>
  <c r="N171" i="7"/>
  <c r="F125" i="7"/>
  <c r="F160" i="7"/>
  <c r="I161" i="7"/>
  <c r="I126" i="7"/>
  <c r="I157" i="7"/>
  <c r="I122" i="7"/>
  <c r="P256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K161" i="7"/>
  <c r="K172" i="7"/>
  <c r="K126" i="7"/>
  <c r="K137" i="7"/>
  <c r="L161" i="7"/>
  <c r="L172" i="7"/>
  <c r="L126" i="7"/>
  <c r="M158" i="7"/>
  <c r="M123" i="7"/>
  <c r="L184" i="8"/>
  <c r="L155" i="7"/>
  <c r="L166" i="7"/>
  <c r="L120" i="7"/>
  <c r="N120" i="7"/>
  <c r="N131" i="7"/>
  <c r="N155" i="7"/>
  <c r="N166" i="7"/>
  <c r="L26" i="8"/>
  <c r="J121" i="7"/>
  <c r="J132" i="7"/>
  <c r="J156" i="7"/>
  <c r="J167" i="7"/>
  <c r="F156" i="7"/>
  <c r="F121" i="7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P229" i="10"/>
  <c r="K156" i="7"/>
  <c r="K167" i="7"/>
  <c r="K121" i="7"/>
  <c r="K132" i="7"/>
  <c r="P252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E136" i="10"/>
  <c r="E257" i="10"/>
  <c r="E377" i="10"/>
  <c r="C158" i="7"/>
  <c r="C123" i="7"/>
  <c r="E103" i="11"/>
  <c r="E224" i="11"/>
  <c r="E344" i="11"/>
  <c r="E104" i="10"/>
  <c r="E225" i="10"/>
  <c r="E345" i="10"/>
  <c r="F137" i="5"/>
  <c r="F257" i="5"/>
  <c r="F377" i="5"/>
  <c r="E159" i="7"/>
  <c r="E124" i="7"/>
  <c r="E125" i="7"/>
  <c r="E160" i="7"/>
  <c r="G137" i="11"/>
  <c r="G258" i="11"/>
  <c r="G378" i="11"/>
  <c r="K103" i="10"/>
  <c r="K224" i="10"/>
  <c r="K344" i="10"/>
  <c r="O115" i="10"/>
  <c r="O236" i="10"/>
  <c r="O356" i="10"/>
  <c r="G103" i="10"/>
  <c r="G224" i="10"/>
  <c r="G344" i="10"/>
  <c r="G156" i="7"/>
  <c r="G121" i="7"/>
  <c r="P222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L125" i="7"/>
  <c r="L136" i="7"/>
  <c r="L160" i="7"/>
  <c r="L171" i="7"/>
  <c r="P222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O38" i="3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N50" i="7"/>
  <c r="N61" i="7"/>
  <c r="I128" i="7"/>
  <c r="I163" i="7"/>
  <c r="F97" i="7"/>
  <c r="N126" i="7"/>
  <c r="N137" i="7"/>
  <c r="N161" i="7"/>
  <c r="M156" i="7"/>
  <c r="M167" i="7"/>
  <c r="M121" i="7"/>
  <c r="M132" i="7"/>
  <c r="L131" i="7"/>
  <c r="K230" i="8"/>
  <c r="O230" i="8"/>
  <c r="H155" i="7"/>
  <c r="H120" i="7"/>
  <c r="I107" i="18"/>
  <c r="I129" i="18"/>
  <c r="B107" i="18"/>
  <c r="B129" i="18"/>
  <c r="I62" i="18"/>
  <c r="B62" i="18"/>
  <c r="D10" i="8"/>
  <c r="L10" i="8"/>
  <c r="L33" i="8"/>
  <c r="D63" i="8"/>
  <c r="D86" i="8"/>
  <c r="L63" i="8"/>
  <c r="L86" i="8"/>
  <c r="J107" i="18"/>
  <c r="J129" i="18"/>
  <c r="J62" i="18"/>
  <c r="E10" i="8"/>
  <c r="M10" i="8"/>
  <c r="M33" i="8"/>
  <c r="C107" i="18"/>
  <c r="C129" i="18"/>
  <c r="K107" i="18"/>
  <c r="K129" i="18"/>
  <c r="C62" i="18"/>
  <c r="K62" i="18"/>
  <c r="D107" i="18"/>
  <c r="D129" i="18"/>
  <c r="L107" i="18"/>
  <c r="L129" i="18"/>
  <c r="D62" i="18"/>
  <c r="L62" i="18"/>
  <c r="E107" i="18"/>
  <c r="E129" i="18"/>
  <c r="M107" i="18"/>
  <c r="M129" i="18"/>
  <c r="E62" i="18"/>
  <c r="M62" i="18"/>
  <c r="H10" i="8"/>
  <c r="H63" i="8"/>
  <c r="H86" i="8"/>
  <c r="F107" i="18"/>
  <c r="F129" i="18"/>
  <c r="N107" i="18"/>
  <c r="N129" i="18"/>
  <c r="F62" i="18"/>
  <c r="N62" i="18"/>
  <c r="I10" i="8"/>
  <c r="I33" i="8"/>
  <c r="B10" i="8"/>
  <c r="I63" i="8"/>
  <c r="I86" i="8"/>
  <c r="B63" i="8"/>
  <c r="B86" i="8"/>
  <c r="G107" i="18"/>
  <c r="G129" i="18"/>
  <c r="G62" i="18"/>
  <c r="J10" i="8"/>
  <c r="J33" i="8"/>
  <c r="J63" i="8"/>
  <c r="J86" i="8"/>
  <c r="H107" i="18"/>
  <c r="H129" i="18"/>
  <c r="H62" i="18"/>
  <c r="C10" i="8"/>
  <c r="K10" i="8"/>
  <c r="K33" i="8"/>
  <c r="C63" i="8"/>
  <c r="C86" i="8"/>
  <c r="K63" i="8"/>
  <c r="K86" i="8"/>
  <c r="F10" i="8"/>
  <c r="M63" i="8"/>
  <c r="M86" i="8"/>
  <c r="J45" i="7"/>
  <c r="G10" i="8"/>
  <c r="N63" i="8"/>
  <c r="N86" i="8"/>
  <c r="C45" i="7"/>
  <c r="K45" i="7"/>
  <c r="N10" i="8"/>
  <c r="N33" i="8"/>
  <c r="D45" i="7"/>
  <c r="L45" i="7"/>
  <c r="F45" i="7"/>
  <c r="N45" i="7"/>
  <c r="E63" i="8"/>
  <c r="E86" i="8"/>
  <c r="G45" i="7"/>
  <c r="I45" i="7"/>
  <c r="M45" i="7"/>
  <c r="B45" i="7"/>
  <c r="D136" i="11"/>
  <c r="D257" i="11"/>
  <c r="D377" i="11"/>
  <c r="L136" i="11"/>
  <c r="L257" i="11"/>
  <c r="L377" i="11"/>
  <c r="M136" i="11"/>
  <c r="M257" i="11"/>
  <c r="M377" i="11"/>
  <c r="F63" i="8"/>
  <c r="F86" i="8"/>
  <c r="F136" i="11"/>
  <c r="F257" i="11"/>
  <c r="F377" i="11"/>
  <c r="N136" i="11"/>
  <c r="N257" i="11"/>
  <c r="N377" i="11"/>
  <c r="G63" i="8"/>
  <c r="G86" i="8"/>
  <c r="E45" i="7"/>
  <c r="D125" i="11"/>
  <c r="D246" i="11"/>
  <c r="D366" i="11"/>
  <c r="L125" i="11"/>
  <c r="L246" i="11"/>
  <c r="L366" i="11"/>
  <c r="H103" i="11"/>
  <c r="H224" i="11"/>
  <c r="H344" i="11"/>
  <c r="P103" i="11"/>
  <c r="E125" i="11"/>
  <c r="E246" i="11"/>
  <c r="E366" i="11"/>
  <c r="M125" i="11"/>
  <c r="M246" i="11"/>
  <c r="M366" i="11"/>
  <c r="D114" i="11"/>
  <c r="D235" i="11"/>
  <c r="D355" i="11"/>
  <c r="L114" i="11"/>
  <c r="L235" i="11"/>
  <c r="L355" i="11"/>
  <c r="F125" i="11"/>
  <c r="F246" i="11"/>
  <c r="F366" i="11"/>
  <c r="N125" i="11"/>
  <c r="N246" i="11"/>
  <c r="N366" i="11"/>
  <c r="M114" i="11"/>
  <c r="M235" i="11"/>
  <c r="M355" i="11"/>
  <c r="J103" i="11"/>
  <c r="J224" i="11"/>
  <c r="J344" i="11"/>
  <c r="H136" i="11"/>
  <c r="H257" i="11"/>
  <c r="H377" i="11"/>
  <c r="G125" i="11"/>
  <c r="G246" i="11"/>
  <c r="G366" i="11"/>
  <c r="O125" i="11"/>
  <c r="O246" i="11"/>
  <c r="O366" i="11"/>
  <c r="F114" i="11"/>
  <c r="F235" i="11"/>
  <c r="F355" i="11"/>
  <c r="N114" i="11"/>
  <c r="N235" i="11"/>
  <c r="N355" i="11"/>
  <c r="H125" i="11"/>
  <c r="H246" i="11"/>
  <c r="H366" i="11"/>
  <c r="P125" i="11"/>
  <c r="D103" i="11"/>
  <c r="D224" i="11"/>
  <c r="D344" i="11"/>
  <c r="L103" i="11"/>
  <c r="L224" i="11"/>
  <c r="L344" i="11"/>
  <c r="H45" i="7"/>
  <c r="J125" i="11"/>
  <c r="J246" i="11"/>
  <c r="J366" i="11"/>
  <c r="F103" i="11"/>
  <c r="F224" i="11"/>
  <c r="F344" i="11"/>
  <c r="N103" i="11"/>
  <c r="N224" i="11"/>
  <c r="N344" i="11"/>
  <c r="P136" i="11"/>
  <c r="K125" i="11"/>
  <c r="K246" i="11"/>
  <c r="K366" i="11"/>
  <c r="J136" i="10"/>
  <c r="J257" i="10"/>
  <c r="J377" i="10"/>
  <c r="I125" i="10"/>
  <c r="I246" i="10"/>
  <c r="I366" i="10"/>
  <c r="D114" i="10"/>
  <c r="D235" i="10"/>
  <c r="D355" i="10"/>
  <c r="L114" i="10"/>
  <c r="L235" i="10"/>
  <c r="L355" i="10"/>
  <c r="L92" i="7"/>
  <c r="D92" i="7"/>
  <c r="D136" i="10"/>
  <c r="D257" i="10"/>
  <c r="D377" i="10"/>
  <c r="L136" i="10"/>
  <c r="L257" i="10"/>
  <c r="L377" i="10"/>
  <c r="K125" i="10"/>
  <c r="K246" i="10"/>
  <c r="K366" i="10"/>
  <c r="F114" i="10"/>
  <c r="F235" i="10"/>
  <c r="F355" i="10"/>
  <c r="N114" i="10"/>
  <c r="N235" i="10"/>
  <c r="N355" i="10"/>
  <c r="J92" i="7"/>
  <c r="B92" i="7"/>
  <c r="J114" i="11"/>
  <c r="J235" i="11"/>
  <c r="J355" i="11"/>
  <c r="H136" i="10"/>
  <c r="H257" i="10"/>
  <c r="H377" i="10"/>
  <c r="P136" i="10"/>
  <c r="G125" i="10"/>
  <c r="G246" i="10"/>
  <c r="G366" i="10"/>
  <c r="O125" i="10"/>
  <c r="O246" i="10"/>
  <c r="O366" i="10"/>
  <c r="J114" i="10"/>
  <c r="J235" i="10"/>
  <c r="J355" i="10"/>
  <c r="M103" i="10"/>
  <c r="M224" i="10"/>
  <c r="M344" i="10"/>
  <c r="F92" i="7"/>
  <c r="H114" i="11"/>
  <c r="H235" i="11"/>
  <c r="H355" i="11"/>
  <c r="E125" i="10"/>
  <c r="E246" i="10"/>
  <c r="E366" i="10"/>
  <c r="L103" i="10"/>
  <c r="L224" i="10"/>
  <c r="L344" i="10"/>
  <c r="I214" i="8"/>
  <c r="I237" i="8"/>
  <c r="B214" i="8"/>
  <c r="B237" i="8"/>
  <c r="F168" i="8"/>
  <c r="F191" i="8"/>
  <c r="N168" i="8"/>
  <c r="N191" i="8"/>
  <c r="E118" i="8"/>
  <c r="E141" i="8"/>
  <c r="M118" i="8"/>
  <c r="M141" i="8"/>
  <c r="P114" i="11"/>
  <c r="F125" i="10"/>
  <c r="F246" i="10"/>
  <c r="F366" i="10"/>
  <c r="N103" i="10"/>
  <c r="N224" i="10"/>
  <c r="N344" i="10"/>
  <c r="J214" i="8"/>
  <c r="J237" i="8"/>
  <c r="G168" i="8"/>
  <c r="G191" i="8"/>
  <c r="F118" i="8"/>
  <c r="F141" i="8"/>
  <c r="N118" i="8"/>
  <c r="N141" i="8"/>
  <c r="M136" i="10"/>
  <c r="M257" i="10"/>
  <c r="M377" i="10"/>
  <c r="H125" i="10"/>
  <c r="H246" i="10"/>
  <c r="H366" i="10"/>
  <c r="N136" i="10"/>
  <c r="N257" i="10"/>
  <c r="N377" i="10"/>
  <c r="J125" i="10"/>
  <c r="J246" i="10"/>
  <c r="J366" i="10"/>
  <c r="D103" i="10"/>
  <c r="D224" i="10"/>
  <c r="D344" i="10"/>
  <c r="D214" i="8"/>
  <c r="D237" i="8"/>
  <c r="L214" i="8"/>
  <c r="L237" i="8"/>
  <c r="I168" i="8"/>
  <c r="I191" i="8"/>
  <c r="B168" i="8"/>
  <c r="B191" i="8"/>
  <c r="H118" i="8"/>
  <c r="H141" i="8"/>
  <c r="I125" i="11"/>
  <c r="I246" i="11"/>
  <c r="I366" i="11"/>
  <c r="L125" i="10"/>
  <c r="L246" i="10"/>
  <c r="L366" i="10"/>
  <c r="P114" i="10"/>
  <c r="H103" i="10"/>
  <c r="H224" i="10"/>
  <c r="H344" i="10"/>
  <c r="G214" i="8"/>
  <c r="G237" i="8"/>
  <c r="J168" i="8"/>
  <c r="J191" i="8"/>
  <c r="L118" i="8"/>
  <c r="L141" i="8"/>
  <c r="H92" i="7"/>
  <c r="J136" i="11"/>
  <c r="J257" i="11"/>
  <c r="J377" i="11"/>
  <c r="F136" i="10"/>
  <c r="F257" i="10"/>
  <c r="F377" i="10"/>
  <c r="M125" i="10"/>
  <c r="M246" i="10"/>
  <c r="M366" i="10"/>
  <c r="J103" i="10"/>
  <c r="J224" i="10"/>
  <c r="J344" i="10"/>
  <c r="H214" i="8"/>
  <c r="H237" i="8"/>
  <c r="K168" i="8"/>
  <c r="K191" i="8"/>
  <c r="N125" i="10"/>
  <c r="N246" i="10"/>
  <c r="N366" i="10"/>
  <c r="K214" i="8"/>
  <c r="K237" i="8"/>
  <c r="L168" i="8"/>
  <c r="L191" i="8"/>
  <c r="C118" i="8"/>
  <c r="C141" i="8"/>
  <c r="G118" i="8"/>
  <c r="G141" i="8"/>
  <c r="P125" i="10"/>
  <c r="P103" i="10"/>
  <c r="K92" i="7"/>
  <c r="M214" i="8"/>
  <c r="M237" i="8"/>
  <c r="M168" i="8"/>
  <c r="M191" i="8"/>
  <c r="D118" i="8"/>
  <c r="D141" i="8"/>
  <c r="M103" i="11"/>
  <c r="M224" i="11"/>
  <c r="M344" i="11"/>
  <c r="B118" i="8"/>
  <c r="B141" i="8"/>
  <c r="M114" i="10"/>
  <c r="M235" i="10"/>
  <c r="M355" i="10"/>
  <c r="E214" i="8"/>
  <c r="E237" i="8"/>
  <c r="E168" i="8"/>
  <c r="E191" i="8"/>
  <c r="J118" i="8"/>
  <c r="J141" i="8"/>
  <c r="F214" i="8"/>
  <c r="F237" i="8"/>
  <c r="H168" i="8"/>
  <c r="H191" i="8"/>
  <c r="K118" i="8"/>
  <c r="K141" i="8"/>
  <c r="H114" i="10"/>
  <c r="H235" i="10"/>
  <c r="H355" i="10"/>
  <c r="N214" i="8"/>
  <c r="N237" i="8"/>
  <c r="C168" i="8"/>
  <c r="C191" i="8"/>
  <c r="D125" i="10"/>
  <c r="D246" i="10"/>
  <c r="D366" i="10"/>
  <c r="F103" i="10"/>
  <c r="F224" i="10"/>
  <c r="F344" i="10"/>
  <c r="I118" i="8"/>
  <c r="I141" i="8"/>
  <c r="C214" i="8"/>
  <c r="C237" i="8"/>
  <c r="D168" i="8"/>
  <c r="D191" i="8"/>
  <c r="E150" i="7"/>
  <c r="M150" i="7"/>
  <c r="E115" i="7"/>
  <c r="M115" i="7"/>
  <c r="G80" i="7"/>
  <c r="F10" i="7"/>
  <c r="F33" i="7"/>
  <c r="N10" i="7"/>
  <c r="N33" i="7"/>
  <c r="L136" i="5"/>
  <c r="L256" i="5"/>
  <c r="L376" i="5"/>
  <c r="O125" i="5"/>
  <c r="D125" i="5"/>
  <c r="D245" i="5"/>
  <c r="D365" i="5"/>
  <c r="L125" i="5"/>
  <c r="L245" i="5"/>
  <c r="L365" i="5"/>
  <c r="F150" i="7"/>
  <c r="N150" i="7"/>
  <c r="F115" i="7"/>
  <c r="N115" i="7"/>
  <c r="H80" i="7"/>
  <c r="G10" i="7"/>
  <c r="G33" i="7"/>
  <c r="E136" i="5"/>
  <c r="E256" i="5"/>
  <c r="E376" i="5"/>
  <c r="M136" i="5"/>
  <c r="E125" i="5"/>
  <c r="E245" i="5"/>
  <c r="E365" i="5"/>
  <c r="M125" i="5"/>
  <c r="M245" i="5"/>
  <c r="M365" i="5"/>
  <c r="O9" i="3"/>
  <c r="G150" i="7"/>
  <c r="G115" i="7"/>
  <c r="I80" i="7"/>
  <c r="B80" i="7"/>
  <c r="H10" i="7"/>
  <c r="H33" i="7"/>
  <c r="F125" i="5"/>
  <c r="F245" i="5"/>
  <c r="F365" i="5"/>
  <c r="H150" i="7"/>
  <c r="H115" i="7"/>
  <c r="J80" i="7"/>
  <c r="I10" i="7"/>
  <c r="I33" i="7"/>
  <c r="B10" i="7"/>
  <c r="B33" i="7"/>
  <c r="G136" i="5"/>
  <c r="G256" i="5"/>
  <c r="G376" i="5"/>
  <c r="O136" i="5"/>
  <c r="G125" i="5"/>
  <c r="G245" i="5"/>
  <c r="G365" i="5"/>
  <c r="J150" i="7"/>
  <c r="J115" i="7"/>
  <c r="D80" i="7"/>
  <c r="L80" i="7"/>
  <c r="C10" i="7"/>
  <c r="C33" i="7"/>
  <c r="K10" i="7"/>
  <c r="K33" i="7"/>
  <c r="C150" i="7"/>
  <c r="K150" i="7"/>
  <c r="C115" i="7"/>
  <c r="K115" i="7"/>
  <c r="E80" i="7"/>
  <c r="M80" i="7"/>
  <c r="D10" i="7"/>
  <c r="D33" i="7"/>
  <c r="L10" i="7"/>
  <c r="L33" i="7"/>
  <c r="C136" i="5"/>
  <c r="C256" i="5"/>
  <c r="C376" i="5"/>
  <c r="J125" i="5"/>
  <c r="J245" i="5"/>
  <c r="J365" i="5"/>
  <c r="L150" i="7"/>
  <c r="E10" i="7"/>
  <c r="E33" i="7"/>
  <c r="K136" i="5"/>
  <c r="G114" i="5"/>
  <c r="G234" i="5"/>
  <c r="G354" i="5"/>
  <c r="O114" i="5"/>
  <c r="K103" i="5"/>
  <c r="F80" i="7"/>
  <c r="M10" i="7"/>
  <c r="M33" i="7"/>
  <c r="I114" i="5"/>
  <c r="E103" i="5"/>
  <c r="M103" i="5"/>
  <c r="D115" i="7"/>
  <c r="N80" i="7"/>
  <c r="I125" i="5"/>
  <c r="I245" i="5"/>
  <c r="I365" i="5"/>
  <c r="C125" i="5"/>
  <c r="C245" i="5"/>
  <c r="C365" i="5"/>
  <c r="K114" i="5"/>
  <c r="K234" i="5"/>
  <c r="K354" i="5"/>
  <c r="G103" i="5"/>
  <c r="B115" i="7"/>
  <c r="K80" i="7"/>
  <c r="H125" i="5"/>
  <c r="H245" i="5"/>
  <c r="H365" i="5"/>
  <c r="C114" i="5"/>
  <c r="C234" i="5"/>
  <c r="C354" i="5"/>
  <c r="B150" i="7"/>
  <c r="I115" i="7"/>
  <c r="K125" i="5"/>
  <c r="D114" i="5"/>
  <c r="D234" i="5"/>
  <c r="D354" i="5"/>
  <c r="L114" i="5"/>
  <c r="L234" i="5"/>
  <c r="L354" i="5"/>
  <c r="H114" i="5"/>
  <c r="H234" i="5"/>
  <c r="H354" i="5"/>
  <c r="L103" i="5"/>
  <c r="O103" i="5"/>
  <c r="D150" i="7"/>
  <c r="L115" i="7"/>
  <c r="E114" i="5"/>
  <c r="E234" i="5"/>
  <c r="E354" i="5"/>
  <c r="M114" i="5"/>
  <c r="M234" i="5"/>
  <c r="M354" i="5"/>
  <c r="I103" i="5"/>
  <c r="D103" i="5"/>
  <c r="I150" i="7"/>
  <c r="I136" i="5"/>
  <c r="I256" i="5"/>
  <c r="I376" i="5"/>
  <c r="N125" i="5"/>
  <c r="N245" i="5"/>
  <c r="N365" i="5"/>
  <c r="C103" i="5"/>
  <c r="C80" i="7"/>
  <c r="C103" i="7"/>
  <c r="J10" i="7"/>
  <c r="J33" i="7"/>
  <c r="I114" i="11"/>
  <c r="I235" i="11"/>
  <c r="I355" i="11"/>
  <c r="B121" i="7"/>
  <c r="B156" i="7"/>
  <c r="J114" i="5"/>
  <c r="J234" i="5"/>
  <c r="J354" i="5"/>
  <c r="E108" i="18"/>
  <c r="E130" i="18"/>
  <c r="M108" i="18"/>
  <c r="M130" i="18"/>
  <c r="M63" i="18"/>
  <c r="H11" i="8"/>
  <c r="H64" i="8"/>
  <c r="H87" i="8"/>
  <c r="F108" i="18"/>
  <c r="F130" i="18"/>
  <c r="N108" i="18"/>
  <c r="N130" i="18"/>
  <c r="B108" i="18"/>
  <c r="B130" i="18"/>
  <c r="N63" i="18"/>
  <c r="I11" i="8"/>
  <c r="I34" i="8"/>
  <c r="G108" i="18"/>
  <c r="G130" i="18"/>
  <c r="H108" i="18"/>
  <c r="H130" i="18"/>
  <c r="I108" i="18"/>
  <c r="I130" i="18"/>
  <c r="D11" i="8"/>
  <c r="L11" i="8"/>
  <c r="L34" i="8"/>
  <c r="D64" i="8"/>
  <c r="D87" i="8"/>
  <c r="L64" i="8"/>
  <c r="L87" i="8"/>
  <c r="J108" i="18"/>
  <c r="J130" i="18"/>
  <c r="E11" i="8"/>
  <c r="M11" i="8"/>
  <c r="M34" i="8"/>
  <c r="E64" i="8"/>
  <c r="E87" i="8"/>
  <c r="M64" i="8"/>
  <c r="M87" i="8"/>
  <c r="C108" i="18"/>
  <c r="C130" i="18"/>
  <c r="K108" i="18"/>
  <c r="K130" i="18"/>
  <c r="K63" i="18"/>
  <c r="F11" i="8"/>
  <c r="N11" i="8"/>
  <c r="N34" i="8"/>
  <c r="B11" i="8"/>
  <c r="F64" i="8"/>
  <c r="F87" i="8"/>
  <c r="N64" i="8"/>
  <c r="N87" i="8"/>
  <c r="B64" i="8"/>
  <c r="B87" i="8"/>
  <c r="D108" i="18"/>
  <c r="D130" i="18"/>
  <c r="L108" i="18"/>
  <c r="L130" i="18"/>
  <c r="L63" i="18"/>
  <c r="G11" i="8"/>
  <c r="G64" i="8"/>
  <c r="G87" i="8"/>
  <c r="F46" i="7"/>
  <c r="N46" i="7"/>
  <c r="B46" i="7"/>
  <c r="G46" i="7"/>
  <c r="C64" i="8"/>
  <c r="C87" i="8"/>
  <c r="H46" i="7"/>
  <c r="J11" i="8"/>
  <c r="J34" i="8"/>
  <c r="J64" i="8"/>
  <c r="J87" i="8"/>
  <c r="J46" i="7"/>
  <c r="K11" i="8"/>
  <c r="K34" i="8"/>
  <c r="K64" i="8"/>
  <c r="K87" i="8"/>
  <c r="C46" i="7"/>
  <c r="K46" i="7"/>
  <c r="F137" i="11"/>
  <c r="F258" i="11"/>
  <c r="F378" i="11"/>
  <c r="N137" i="11"/>
  <c r="N258" i="11"/>
  <c r="N378" i="11"/>
  <c r="D46" i="7"/>
  <c r="H137" i="11"/>
  <c r="H258" i="11"/>
  <c r="H378" i="11"/>
  <c r="P137" i="11"/>
  <c r="C11" i="8"/>
  <c r="E46" i="7"/>
  <c r="I46" i="7"/>
  <c r="M46" i="7"/>
  <c r="D137" i="11"/>
  <c r="D258" i="11"/>
  <c r="D378" i="11"/>
  <c r="F126" i="11"/>
  <c r="F247" i="11"/>
  <c r="F367" i="11"/>
  <c r="N126" i="11"/>
  <c r="N247" i="11"/>
  <c r="N367" i="11"/>
  <c r="F115" i="11"/>
  <c r="F236" i="11"/>
  <c r="F356" i="11"/>
  <c r="N115" i="11"/>
  <c r="N236" i="11"/>
  <c r="N356" i="11"/>
  <c r="G126" i="11"/>
  <c r="G247" i="11"/>
  <c r="G367" i="11"/>
  <c r="O126" i="11"/>
  <c r="O247" i="11"/>
  <c r="O367" i="11"/>
  <c r="H104" i="11"/>
  <c r="H225" i="11"/>
  <c r="H345" i="11"/>
  <c r="P104" i="11"/>
  <c r="J137" i="11"/>
  <c r="J258" i="11"/>
  <c r="J378" i="11"/>
  <c r="H126" i="11"/>
  <c r="H247" i="11"/>
  <c r="H367" i="11"/>
  <c r="P126" i="11"/>
  <c r="H115" i="11"/>
  <c r="H236" i="11"/>
  <c r="H356" i="11"/>
  <c r="P115" i="11"/>
  <c r="I64" i="8"/>
  <c r="I87" i="8"/>
  <c r="I126" i="11"/>
  <c r="I247" i="11"/>
  <c r="I367" i="11"/>
  <c r="J104" i="11"/>
  <c r="J225" i="11"/>
  <c r="J345" i="11"/>
  <c r="L137" i="11"/>
  <c r="L258" i="11"/>
  <c r="L378" i="11"/>
  <c r="J126" i="11"/>
  <c r="J247" i="11"/>
  <c r="J367" i="11"/>
  <c r="J115" i="11"/>
  <c r="J236" i="11"/>
  <c r="J356" i="11"/>
  <c r="D126" i="11"/>
  <c r="D247" i="11"/>
  <c r="D367" i="11"/>
  <c r="L126" i="11"/>
  <c r="L247" i="11"/>
  <c r="L367" i="11"/>
  <c r="D115" i="11"/>
  <c r="D236" i="11"/>
  <c r="D356" i="11"/>
  <c r="L115" i="11"/>
  <c r="L236" i="11"/>
  <c r="L356" i="11"/>
  <c r="M104" i="11"/>
  <c r="M225" i="11"/>
  <c r="M345" i="11"/>
  <c r="F104" i="11"/>
  <c r="F225" i="11"/>
  <c r="F345" i="11"/>
  <c r="M137" i="10"/>
  <c r="M258" i="10"/>
  <c r="M378" i="10"/>
  <c r="K126" i="10"/>
  <c r="K247" i="10"/>
  <c r="K367" i="10"/>
  <c r="M115" i="10"/>
  <c r="M236" i="10"/>
  <c r="M356" i="10"/>
  <c r="M104" i="10"/>
  <c r="M225" i="10"/>
  <c r="M345" i="10"/>
  <c r="E126" i="11"/>
  <c r="E247" i="11"/>
  <c r="E367" i="11"/>
  <c r="M115" i="11"/>
  <c r="M236" i="11"/>
  <c r="M356" i="11"/>
  <c r="N104" i="11"/>
  <c r="N225" i="11"/>
  <c r="N345" i="11"/>
  <c r="E126" i="10"/>
  <c r="E247" i="10"/>
  <c r="E367" i="10"/>
  <c r="M126" i="10"/>
  <c r="M247" i="10"/>
  <c r="M367" i="10"/>
  <c r="I126" i="10"/>
  <c r="I247" i="10"/>
  <c r="I367" i="10"/>
  <c r="M126" i="11"/>
  <c r="M247" i="11"/>
  <c r="M367" i="11"/>
  <c r="D126" i="10"/>
  <c r="D247" i="10"/>
  <c r="D367" i="10"/>
  <c r="P126" i="10"/>
  <c r="P115" i="10"/>
  <c r="H104" i="10"/>
  <c r="H225" i="10"/>
  <c r="H345" i="10"/>
  <c r="D93" i="7"/>
  <c r="E215" i="8"/>
  <c r="M215" i="8"/>
  <c r="M238" i="8"/>
  <c r="J169" i="8"/>
  <c r="I119" i="8"/>
  <c r="J137" i="10"/>
  <c r="J258" i="10"/>
  <c r="J378" i="10"/>
  <c r="F126" i="10"/>
  <c r="F247" i="10"/>
  <c r="F367" i="10"/>
  <c r="D115" i="10"/>
  <c r="D236" i="10"/>
  <c r="D356" i="10"/>
  <c r="F215" i="8"/>
  <c r="N215" i="8"/>
  <c r="N238" i="8"/>
  <c r="B215" i="8"/>
  <c r="C169" i="8"/>
  <c r="K169" i="8"/>
  <c r="K192" i="8"/>
  <c r="J119" i="8"/>
  <c r="L137" i="10"/>
  <c r="L258" i="10"/>
  <c r="L378" i="10"/>
  <c r="G126" i="10"/>
  <c r="G247" i="10"/>
  <c r="G367" i="10"/>
  <c r="L46" i="7"/>
  <c r="N137" i="10"/>
  <c r="N258" i="10"/>
  <c r="N378" i="10"/>
  <c r="H126" i="10"/>
  <c r="H247" i="10"/>
  <c r="H367" i="10"/>
  <c r="H115" i="10"/>
  <c r="H236" i="10"/>
  <c r="H356" i="10"/>
  <c r="L104" i="10"/>
  <c r="L225" i="10"/>
  <c r="L345" i="10"/>
  <c r="L93" i="7"/>
  <c r="H215" i="8"/>
  <c r="E169" i="8"/>
  <c r="M169" i="8"/>
  <c r="M192" i="8"/>
  <c r="D119" i="8"/>
  <c r="L119" i="8"/>
  <c r="L142" i="8"/>
  <c r="D104" i="11"/>
  <c r="D225" i="11"/>
  <c r="D345" i="11"/>
  <c r="J104" i="10"/>
  <c r="J225" i="10"/>
  <c r="J345" i="10"/>
  <c r="H93" i="7"/>
  <c r="I215" i="8"/>
  <c r="I169" i="8"/>
  <c r="N119" i="8"/>
  <c r="N142" i="8"/>
  <c r="L104" i="11"/>
  <c r="L225" i="11"/>
  <c r="L345" i="11"/>
  <c r="C215" i="8"/>
  <c r="F115" i="10"/>
  <c r="F236" i="10"/>
  <c r="F356" i="10"/>
  <c r="N104" i="10"/>
  <c r="N225" i="10"/>
  <c r="N345" i="10"/>
  <c r="F93" i="7"/>
  <c r="J215" i="8"/>
  <c r="L169" i="8"/>
  <c r="L192" i="8"/>
  <c r="C119" i="8"/>
  <c r="M137" i="11"/>
  <c r="M258" i="11"/>
  <c r="M378" i="11"/>
  <c r="P104" i="10"/>
  <c r="B93" i="7"/>
  <c r="K215" i="8"/>
  <c r="K238" i="8"/>
  <c r="N169" i="8"/>
  <c r="N192" i="8"/>
  <c r="E119" i="8"/>
  <c r="J115" i="10"/>
  <c r="J236" i="10"/>
  <c r="J356" i="10"/>
  <c r="L215" i="8"/>
  <c r="L238" i="8"/>
  <c r="F119" i="8"/>
  <c r="D137" i="10"/>
  <c r="D258" i="10"/>
  <c r="D378" i="10"/>
  <c r="J126" i="10"/>
  <c r="J247" i="10"/>
  <c r="J367" i="10"/>
  <c r="L115" i="10"/>
  <c r="L236" i="10"/>
  <c r="L356" i="10"/>
  <c r="F137" i="10"/>
  <c r="F258" i="10"/>
  <c r="F378" i="10"/>
  <c r="L126" i="10"/>
  <c r="L247" i="10"/>
  <c r="L367" i="10"/>
  <c r="H137" i="10"/>
  <c r="H258" i="10"/>
  <c r="H378" i="10"/>
  <c r="N126" i="10"/>
  <c r="N247" i="10"/>
  <c r="N367" i="10"/>
  <c r="D104" i="10"/>
  <c r="D225" i="10"/>
  <c r="D345" i="10"/>
  <c r="K93" i="7"/>
  <c r="D215" i="8"/>
  <c r="G169" i="8"/>
  <c r="K119" i="8"/>
  <c r="K142" i="8"/>
  <c r="B169" i="8"/>
  <c r="M119" i="8"/>
  <c r="M142" i="8"/>
  <c r="G119" i="8"/>
  <c r="N115" i="10"/>
  <c r="N236" i="10"/>
  <c r="N356" i="10"/>
  <c r="K126" i="11"/>
  <c r="K247" i="11"/>
  <c r="K367" i="11"/>
  <c r="P137" i="10"/>
  <c r="O126" i="10"/>
  <c r="O247" i="10"/>
  <c r="O367" i="10"/>
  <c r="F104" i="10"/>
  <c r="F225" i="10"/>
  <c r="F345" i="10"/>
  <c r="J93" i="7"/>
  <c r="G215" i="8"/>
  <c r="H169" i="8"/>
  <c r="D169" i="8"/>
  <c r="F169" i="8"/>
  <c r="H119" i="8"/>
  <c r="B119" i="8"/>
  <c r="I151" i="7"/>
  <c r="I116" i="7"/>
  <c r="C81" i="7"/>
  <c r="C104" i="7"/>
  <c r="K81" i="7"/>
  <c r="J11" i="7"/>
  <c r="J34" i="7"/>
  <c r="J151" i="7"/>
  <c r="J116" i="7"/>
  <c r="D81" i="7"/>
  <c r="L81" i="7"/>
  <c r="C11" i="7"/>
  <c r="K11" i="7"/>
  <c r="K34" i="7"/>
  <c r="I137" i="5"/>
  <c r="I257" i="5"/>
  <c r="I377" i="5"/>
  <c r="N126" i="5"/>
  <c r="N246" i="5"/>
  <c r="N366" i="5"/>
  <c r="C151" i="7"/>
  <c r="K151" i="7"/>
  <c r="C116" i="7"/>
  <c r="K116" i="7"/>
  <c r="E81" i="7"/>
  <c r="M81" i="7"/>
  <c r="D11" i="7"/>
  <c r="D34" i="7"/>
  <c r="L11" i="7"/>
  <c r="L34" i="7"/>
  <c r="O126" i="5"/>
  <c r="D126" i="5"/>
  <c r="D246" i="5"/>
  <c r="D366" i="5"/>
  <c r="D151" i="7"/>
  <c r="L151" i="7"/>
  <c r="D116" i="7"/>
  <c r="L116" i="7"/>
  <c r="F81" i="7"/>
  <c r="N81" i="7"/>
  <c r="B81" i="7"/>
  <c r="E11" i="7"/>
  <c r="E34" i="7"/>
  <c r="M11" i="7"/>
  <c r="M34" i="7"/>
  <c r="K137" i="5"/>
  <c r="E126" i="5"/>
  <c r="E246" i="5"/>
  <c r="E366" i="5"/>
  <c r="O10" i="3"/>
  <c r="F151" i="7"/>
  <c r="N151" i="7"/>
  <c r="B151" i="7"/>
  <c r="F116" i="7"/>
  <c r="N116" i="7"/>
  <c r="B116" i="7"/>
  <c r="H81" i="7"/>
  <c r="G151" i="7"/>
  <c r="G116" i="7"/>
  <c r="I81" i="7"/>
  <c r="H11" i="7"/>
  <c r="H34" i="7"/>
  <c r="H116" i="7"/>
  <c r="H126" i="5"/>
  <c r="H246" i="5"/>
  <c r="H366" i="5"/>
  <c r="K115" i="5"/>
  <c r="K235" i="5"/>
  <c r="K355" i="5"/>
  <c r="G104" i="5"/>
  <c r="O104" i="5"/>
  <c r="C104" i="5"/>
  <c r="B11" i="7"/>
  <c r="B34" i="7"/>
  <c r="I126" i="5"/>
  <c r="I246" i="5"/>
  <c r="I366" i="5"/>
  <c r="H104" i="5"/>
  <c r="G115" i="5"/>
  <c r="G235" i="5"/>
  <c r="G355" i="5"/>
  <c r="H151" i="7"/>
  <c r="E137" i="5"/>
  <c r="E257" i="5"/>
  <c r="E377" i="5"/>
  <c r="J126" i="5"/>
  <c r="J246" i="5"/>
  <c r="J366" i="5"/>
  <c r="E115" i="5"/>
  <c r="M115" i="5"/>
  <c r="I104" i="5"/>
  <c r="G11" i="7"/>
  <c r="G34" i="7"/>
  <c r="L137" i="5"/>
  <c r="L257" i="5"/>
  <c r="L377" i="5"/>
  <c r="L126" i="5"/>
  <c r="O115" i="5"/>
  <c r="C115" i="5"/>
  <c r="C235" i="5"/>
  <c r="C355" i="5"/>
  <c r="K104" i="5"/>
  <c r="M151" i="7"/>
  <c r="F11" i="7"/>
  <c r="F34" i="7"/>
  <c r="G137" i="5"/>
  <c r="G257" i="5"/>
  <c r="G377" i="5"/>
  <c r="K126" i="5"/>
  <c r="K246" i="5"/>
  <c r="K366" i="5"/>
  <c r="G81" i="7"/>
  <c r="I11" i="7"/>
  <c r="I34" i="7"/>
  <c r="M137" i="5"/>
  <c r="M126" i="5"/>
  <c r="M246" i="5"/>
  <c r="M366" i="5"/>
  <c r="C126" i="5"/>
  <c r="C246" i="5"/>
  <c r="C366" i="5"/>
  <c r="H115" i="5"/>
  <c r="H235" i="5"/>
  <c r="H355" i="5"/>
  <c r="D104" i="5"/>
  <c r="L104" i="5"/>
  <c r="C137" i="5"/>
  <c r="C257" i="5"/>
  <c r="C377" i="5"/>
  <c r="L115" i="5"/>
  <c r="J81" i="7"/>
  <c r="N11" i="7"/>
  <c r="N34" i="7"/>
  <c r="O137" i="5"/>
  <c r="F126" i="5"/>
  <c r="F246" i="5"/>
  <c r="F366" i="5"/>
  <c r="I115" i="5"/>
  <c r="I235" i="5"/>
  <c r="I355" i="5"/>
  <c r="E104" i="5"/>
  <c r="M104" i="5"/>
  <c r="D115" i="5"/>
  <c r="D235" i="5"/>
  <c r="D355" i="5"/>
  <c r="E116" i="7"/>
  <c r="G126" i="5"/>
  <c r="G246" i="5"/>
  <c r="G366" i="5"/>
  <c r="E151" i="7"/>
  <c r="M116" i="7"/>
  <c r="D137" i="5"/>
  <c r="D257" i="5"/>
  <c r="D377" i="5"/>
  <c r="K115" i="10"/>
  <c r="K236" i="10"/>
  <c r="K356" i="10"/>
  <c r="D136" i="5"/>
  <c r="D256" i="5"/>
  <c r="D376" i="5"/>
  <c r="C157" i="7"/>
  <c r="C122" i="7"/>
  <c r="E161" i="7"/>
  <c r="E126" i="7"/>
  <c r="G137" i="10"/>
  <c r="G258" i="10"/>
  <c r="G378" i="10"/>
  <c r="K104" i="11"/>
  <c r="K225" i="11"/>
  <c r="K345" i="11"/>
  <c r="J103" i="5"/>
  <c r="G157" i="7"/>
  <c r="G122" i="7"/>
  <c r="I137" i="11"/>
  <c r="I258" i="11"/>
  <c r="I378" i="11"/>
  <c r="D221" i="5"/>
  <c r="D341" i="5"/>
  <c r="C55" i="7"/>
  <c r="C66" i="7"/>
  <c r="O66" i="7"/>
  <c r="K125" i="7"/>
  <c r="K136" i="7"/>
  <c r="K160" i="7"/>
  <c r="K171" i="7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P255" i="10"/>
  <c r="P255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Y48" i="9"/>
  <c r="V43" i="8"/>
  <c r="I162" i="7"/>
  <c r="I127" i="7"/>
  <c r="I160" i="7"/>
  <c r="I125" i="7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P245" i="10"/>
  <c r="N134" i="8"/>
  <c r="O134" i="8"/>
  <c r="K155" i="7"/>
  <c r="K166" i="7"/>
  <c r="K120" i="7"/>
  <c r="K131" i="7"/>
  <c r="N85" i="7"/>
  <c r="N96" i="7"/>
  <c r="P239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P217" i="10"/>
  <c r="M26" i="8"/>
  <c r="B102" i="7"/>
  <c r="O104" i="10"/>
  <c r="O225" i="10"/>
  <c r="O345" i="10"/>
  <c r="I115" i="10"/>
  <c r="I236" i="10"/>
  <c r="I356" i="10"/>
  <c r="P240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M98" i="7"/>
  <c r="F115" i="5"/>
  <c r="F235" i="5"/>
  <c r="F355" i="5"/>
  <c r="K56" i="7"/>
  <c r="K67" i="7"/>
  <c r="K157" i="7"/>
  <c r="K168" i="7"/>
  <c r="K122" i="7"/>
  <c r="K133" i="7"/>
  <c r="D157" i="7"/>
  <c r="D122" i="7"/>
  <c r="P230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C159" i="7"/>
  <c r="C124" i="7"/>
  <c r="H136" i="5"/>
  <c r="H256" i="5"/>
  <c r="H376" i="5"/>
  <c r="M222" i="5"/>
  <c r="M342" i="5"/>
  <c r="L56" i="7"/>
  <c r="L67" i="7"/>
  <c r="E103" i="10"/>
  <c r="E224" i="10"/>
  <c r="E344" i="10"/>
  <c r="E104" i="11"/>
  <c r="E225" i="11"/>
  <c r="E345" i="11"/>
  <c r="E155" i="7"/>
  <c r="E120" i="7"/>
  <c r="K104" i="10"/>
  <c r="K225" i="10"/>
  <c r="K345" i="10"/>
  <c r="O114" i="10"/>
  <c r="O235" i="10"/>
  <c r="O355" i="10"/>
  <c r="O115" i="11"/>
  <c r="O236" i="11"/>
  <c r="O356" i="11"/>
  <c r="F104" i="5"/>
  <c r="G124" i="7"/>
  <c r="G159" i="7"/>
  <c r="D125" i="7"/>
  <c r="D160" i="7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P233" i="10"/>
  <c r="O140" i="8"/>
  <c r="I159" i="7"/>
  <c r="I124" i="7"/>
  <c r="M155" i="7"/>
  <c r="M166" i="7"/>
  <c r="M120" i="7"/>
  <c r="M131" i="7"/>
  <c r="M160" i="7"/>
  <c r="M171" i="7"/>
  <c r="M125" i="7"/>
  <c r="M136" i="7"/>
  <c r="D155" i="7"/>
  <c r="D120" i="7"/>
  <c r="I26" i="8"/>
  <c r="L137" i="7"/>
  <c r="O104" i="11"/>
  <c r="O225" i="11"/>
  <c r="O345" i="11"/>
  <c r="I115" i="11"/>
  <c r="I236" i="11"/>
  <c r="I356" i="11"/>
  <c r="P251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N86" i="7"/>
  <c r="P240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N115" i="5"/>
  <c r="N235" i="5"/>
  <c r="N355" i="5"/>
  <c r="I92" i="7"/>
  <c r="K115" i="11"/>
  <c r="K236" i="11"/>
  <c r="K356" i="11"/>
  <c r="K114" i="11"/>
  <c r="K235" i="11"/>
  <c r="K355" i="11"/>
  <c r="N172" i="7"/>
  <c r="H103" i="5"/>
  <c r="B122" i="7"/>
  <c r="B157" i="7"/>
  <c r="L157" i="7"/>
  <c r="L168" i="7"/>
  <c r="L122" i="7"/>
  <c r="L133" i="7"/>
  <c r="C125" i="7"/>
  <c r="C160" i="7"/>
  <c r="E137" i="11"/>
  <c r="E258" i="11"/>
  <c r="E378" i="11"/>
  <c r="G114" i="10"/>
  <c r="G235" i="10"/>
  <c r="G355" i="10"/>
  <c r="E93" i="7"/>
  <c r="M137" i="7"/>
  <c r="C222" i="5"/>
  <c r="C342" i="5"/>
  <c r="B56" i="7"/>
  <c r="B67" i="7"/>
  <c r="E158" i="7"/>
  <c r="E123" i="7"/>
  <c r="K103" i="11"/>
  <c r="K224" i="11"/>
  <c r="K344" i="11"/>
  <c r="M92" i="7"/>
  <c r="J99" i="5"/>
  <c r="N104" i="5"/>
  <c r="G126" i="7"/>
  <c r="G161" i="7"/>
  <c r="H160" i="7"/>
  <c r="H125" i="7"/>
  <c r="K229" i="5"/>
  <c r="K349" i="5"/>
  <c r="G228" i="5"/>
  <c r="G348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N52" i="7"/>
  <c r="N63" i="7"/>
  <c r="I156" i="7"/>
  <c r="I121" i="7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P22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P234" i="11"/>
  <c r="M163" i="7"/>
  <c r="M128" i="7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P228" i="10"/>
  <c r="K184" i="8"/>
  <c r="B120" i="7"/>
  <c r="B155" i="7"/>
  <c r="P217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J26" i="8"/>
  <c r="P218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H121" i="7"/>
  <c r="H156" i="7"/>
  <c r="J157" i="7"/>
  <c r="J168" i="7"/>
  <c r="J122" i="7"/>
  <c r="J133" i="7"/>
  <c r="H122" i="7"/>
  <c r="H157" i="7"/>
  <c r="F122" i="7"/>
  <c r="F157" i="7"/>
  <c r="C161" i="7"/>
  <c r="C126" i="7"/>
  <c r="G115" i="10"/>
  <c r="G236" i="10"/>
  <c r="G356" i="10"/>
  <c r="G114" i="11"/>
  <c r="G235" i="11"/>
  <c r="G355" i="11"/>
  <c r="I103" i="18"/>
  <c r="I125" i="18"/>
  <c r="I58" i="18"/>
  <c r="D6" i="8"/>
  <c r="L6" i="8"/>
  <c r="L29" i="8"/>
  <c r="D59" i="8"/>
  <c r="L59" i="8"/>
  <c r="J103" i="18"/>
  <c r="J125" i="18"/>
  <c r="J58" i="18"/>
  <c r="E6" i="8"/>
  <c r="M6" i="8"/>
  <c r="M29" i="8"/>
  <c r="B6" i="8"/>
  <c r="E59" i="8"/>
  <c r="M59" i="8"/>
  <c r="C103" i="18"/>
  <c r="C125" i="18"/>
  <c r="K103" i="18"/>
  <c r="K125" i="18"/>
  <c r="K58" i="18"/>
  <c r="D103" i="18"/>
  <c r="D125" i="18"/>
  <c r="L103" i="18"/>
  <c r="L125" i="18"/>
  <c r="L58" i="18"/>
  <c r="E103" i="18"/>
  <c r="E125" i="18"/>
  <c r="M103" i="18"/>
  <c r="M125" i="18"/>
  <c r="B103" i="18"/>
  <c r="B125" i="18"/>
  <c r="M58" i="18"/>
  <c r="H6" i="8"/>
  <c r="H59" i="8"/>
  <c r="F103" i="18"/>
  <c r="F125" i="18"/>
  <c r="N103" i="18"/>
  <c r="N125" i="18"/>
  <c r="N58" i="18"/>
  <c r="I6" i="8"/>
  <c r="I29" i="8"/>
  <c r="I59" i="8"/>
  <c r="G103" i="18"/>
  <c r="G125" i="18"/>
  <c r="J6" i="8"/>
  <c r="J29" i="8"/>
  <c r="J59" i="8"/>
  <c r="H103" i="18"/>
  <c r="H125" i="18"/>
  <c r="C6" i="8"/>
  <c r="K6" i="8"/>
  <c r="K29" i="8"/>
  <c r="C59" i="8"/>
  <c r="K59" i="8"/>
  <c r="J41" i="7"/>
  <c r="C41" i="7"/>
  <c r="K41" i="7"/>
  <c r="D41" i="7"/>
  <c r="L41" i="7"/>
  <c r="F6" i="8"/>
  <c r="F41" i="7"/>
  <c r="N41" i="7"/>
  <c r="G6" i="8"/>
  <c r="F59" i="8"/>
  <c r="G41" i="7"/>
  <c r="J132" i="11"/>
  <c r="J253" i="11"/>
  <c r="J373" i="11"/>
  <c r="D132" i="11"/>
  <c r="D253" i="11"/>
  <c r="D373" i="11"/>
  <c r="L132" i="11"/>
  <c r="L253" i="11"/>
  <c r="L373" i="11"/>
  <c r="E41" i="7"/>
  <c r="N6" i="8"/>
  <c r="N29" i="8"/>
  <c r="N59" i="8"/>
  <c r="B59" i="8"/>
  <c r="I41" i="7"/>
  <c r="B41" i="7"/>
  <c r="E121" i="11"/>
  <c r="E242" i="11"/>
  <c r="E362" i="11"/>
  <c r="M121" i="11"/>
  <c r="M242" i="11"/>
  <c r="M362" i="11"/>
  <c r="G59" i="8"/>
  <c r="H41" i="7"/>
  <c r="H132" i="11"/>
  <c r="H253" i="11"/>
  <c r="H373" i="11"/>
  <c r="F121" i="11"/>
  <c r="F242" i="11"/>
  <c r="F362" i="11"/>
  <c r="N121" i="11"/>
  <c r="N242" i="11"/>
  <c r="N362" i="11"/>
  <c r="J110" i="11"/>
  <c r="J231" i="11"/>
  <c r="J351" i="11"/>
  <c r="H99" i="11"/>
  <c r="H220" i="11"/>
  <c r="H340" i="11"/>
  <c r="P99" i="11"/>
  <c r="M41" i="7"/>
  <c r="M132" i="11"/>
  <c r="M253" i="11"/>
  <c r="M373" i="11"/>
  <c r="G121" i="11"/>
  <c r="G242" i="11"/>
  <c r="G362" i="11"/>
  <c r="O121" i="11"/>
  <c r="O242" i="11"/>
  <c r="O362" i="11"/>
  <c r="N132" i="11"/>
  <c r="N253" i="11"/>
  <c r="N373" i="11"/>
  <c r="H121" i="11"/>
  <c r="H242" i="11"/>
  <c r="H362" i="11"/>
  <c r="P121" i="11"/>
  <c r="D110" i="11"/>
  <c r="D231" i="11"/>
  <c r="D351" i="11"/>
  <c r="L110" i="11"/>
  <c r="L231" i="11"/>
  <c r="L351" i="11"/>
  <c r="J99" i="11"/>
  <c r="J220" i="11"/>
  <c r="J340" i="11"/>
  <c r="I121" i="11"/>
  <c r="I242" i="11"/>
  <c r="I362" i="11"/>
  <c r="M110" i="11"/>
  <c r="M231" i="11"/>
  <c r="M351" i="11"/>
  <c r="K121" i="11"/>
  <c r="K242" i="11"/>
  <c r="K362" i="11"/>
  <c r="M99" i="11"/>
  <c r="M220" i="11"/>
  <c r="M340" i="11"/>
  <c r="F132" i="11"/>
  <c r="F253" i="11"/>
  <c r="F373" i="11"/>
  <c r="D121" i="11"/>
  <c r="D242" i="11"/>
  <c r="D362" i="11"/>
  <c r="H110" i="11"/>
  <c r="H231" i="11"/>
  <c r="H351" i="11"/>
  <c r="N99" i="11"/>
  <c r="N220" i="11"/>
  <c r="N340" i="11"/>
  <c r="F132" i="10"/>
  <c r="F253" i="10"/>
  <c r="F373" i="10"/>
  <c r="N132" i="10"/>
  <c r="N253" i="10"/>
  <c r="N373" i="10"/>
  <c r="E121" i="10"/>
  <c r="E242" i="10"/>
  <c r="E362" i="10"/>
  <c r="M121" i="10"/>
  <c r="M242" i="10"/>
  <c r="M362" i="10"/>
  <c r="H88" i="7"/>
  <c r="C210" i="8"/>
  <c r="K210" i="8"/>
  <c r="K233" i="8"/>
  <c r="L121" i="11"/>
  <c r="L242" i="11"/>
  <c r="L362" i="11"/>
  <c r="P110" i="11"/>
  <c r="H132" i="10"/>
  <c r="H253" i="10"/>
  <c r="H373" i="10"/>
  <c r="P132" i="10"/>
  <c r="G121" i="10"/>
  <c r="G242" i="10"/>
  <c r="G362" i="10"/>
  <c r="O121" i="10"/>
  <c r="O242" i="10"/>
  <c r="O362" i="10"/>
  <c r="M110" i="10"/>
  <c r="M231" i="10"/>
  <c r="M351" i="10"/>
  <c r="M99" i="10"/>
  <c r="M220" i="10"/>
  <c r="M340" i="10"/>
  <c r="F88" i="7"/>
  <c r="E210" i="8"/>
  <c r="M210" i="8"/>
  <c r="M233" i="8"/>
  <c r="F99" i="11"/>
  <c r="F220" i="11"/>
  <c r="F340" i="11"/>
  <c r="D132" i="10"/>
  <c r="D253" i="10"/>
  <c r="D373" i="10"/>
  <c r="L132" i="10"/>
  <c r="L253" i="10"/>
  <c r="L373" i="10"/>
  <c r="K121" i="10"/>
  <c r="K242" i="10"/>
  <c r="K362" i="10"/>
  <c r="J88" i="7"/>
  <c r="B88" i="7"/>
  <c r="I210" i="8"/>
  <c r="I233" i="8"/>
  <c r="N110" i="11"/>
  <c r="N231" i="11"/>
  <c r="N351" i="11"/>
  <c r="I121" i="10"/>
  <c r="I242" i="10"/>
  <c r="I362" i="10"/>
  <c r="D110" i="10"/>
  <c r="D231" i="10"/>
  <c r="D351" i="10"/>
  <c r="P110" i="10"/>
  <c r="H99" i="10"/>
  <c r="H220" i="10"/>
  <c r="H340" i="10"/>
  <c r="N210" i="8"/>
  <c r="N233" i="8"/>
  <c r="F164" i="8"/>
  <c r="N164" i="8"/>
  <c r="N187" i="8"/>
  <c r="E114" i="8"/>
  <c r="M114" i="8"/>
  <c r="B114" i="8"/>
  <c r="J121" i="10"/>
  <c r="J242" i="10"/>
  <c r="J362" i="10"/>
  <c r="F110" i="10"/>
  <c r="F231" i="10"/>
  <c r="F351" i="10"/>
  <c r="J99" i="10"/>
  <c r="J220" i="10"/>
  <c r="J340" i="10"/>
  <c r="D88" i="7"/>
  <c r="G164" i="8"/>
  <c r="F114" i="8"/>
  <c r="F120" i="8"/>
  <c r="N114" i="8"/>
  <c r="N137" i="8"/>
  <c r="L121" i="10"/>
  <c r="L242" i="10"/>
  <c r="L362" i="10"/>
  <c r="P132" i="11"/>
  <c r="D99" i="11"/>
  <c r="D220" i="11"/>
  <c r="D340" i="11"/>
  <c r="L99" i="11"/>
  <c r="L220" i="11"/>
  <c r="L340" i="11"/>
  <c r="J132" i="10"/>
  <c r="J253" i="10"/>
  <c r="J373" i="10"/>
  <c r="N121" i="10"/>
  <c r="N242" i="10"/>
  <c r="N362" i="10"/>
  <c r="H110" i="10"/>
  <c r="H231" i="10"/>
  <c r="H351" i="10"/>
  <c r="N99" i="10"/>
  <c r="N220" i="10"/>
  <c r="N340" i="10"/>
  <c r="F210" i="8"/>
  <c r="I164" i="8"/>
  <c r="I187" i="8"/>
  <c r="H114" i="8"/>
  <c r="M132" i="10"/>
  <c r="M253" i="10"/>
  <c r="M373" i="10"/>
  <c r="F99" i="10"/>
  <c r="F220" i="10"/>
  <c r="F340" i="10"/>
  <c r="K88" i="7"/>
  <c r="L210" i="8"/>
  <c r="L233" i="8"/>
  <c r="E164" i="8"/>
  <c r="J114" i="8"/>
  <c r="D121" i="10"/>
  <c r="D242" i="10"/>
  <c r="D362" i="10"/>
  <c r="H164" i="8"/>
  <c r="K114" i="8"/>
  <c r="F110" i="11"/>
  <c r="F231" i="11"/>
  <c r="F351" i="11"/>
  <c r="F121" i="10"/>
  <c r="F242" i="10"/>
  <c r="F362" i="10"/>
  <c r="L99" i="10"/>
  <c r="L220" i="10"/>
  <c r="L340" i="10"/>
  <c r="J164" i="8"/>
  <c r="J187" i="8"/>
  <c r="L114" i="8"/>
  <c r="J121" i="11"/>
  <c r="J242" i="11"/>
  <c r="J362" i="11"/>
  <c r="H121" i="10"/>
  <c r="H242" i="10"/>
  <c r="H362" i="10"/>
  <c r="K164" i="8"/>
  <c r="K187" i="8"/>
  <c r="P121" i="10"/>
  <c r="J110" i="10"/>
  <c r="J231" i="10"/>
  <c r="J351" i="10"/>
  <c r="P99" i="10"/>
  <c r="D210" i="8"/>
  <c r="C114" i="8"/>
  <c r="L110" i="10"/>
  <c r="L231" i="10"/>
  <c r="L351" i="10"/>
  <c r="N110" i="10"/>
  <c r="N231" i="10"/>
  <c r="N351" i="10"/>
  <c r="H210" i="8"/>
  <c r="C164" i="8"/>
  <c r="G114" i="8"/>
  <c r="J210" i="8"/>
  <c r="J233" i="8"/>
  <c r="D164" i="8"/>
  <c r="I114" i="8"/>
  <c r="I137" i="8"/>
  <c r="L164" i="8"/>
  <c r="L187" i="8"/>
  <c r="D99" i="10"/>
  <c r="D220" i="10"/>
  <c r="D340" i="10"/>
  <c r="L88" i="7"/>
  <c r="G210" i="8"/>
  <c r="D114" i="8"/>
  <c r="B164" i="8"/>
  <c r="B210" i="8"/>
  <c r="M164" i="8"/>
  <c r="M187" i="8"/>
  <c r="E146" i="7"/>
  <c r="M146" i="7"/>
  <c r="B146" i="7"/>
  <c r="E111" i="7"/>
  <c r="M111" i="7"/>
  <c r="B111" i="7"/>
  <c r="G76" i="7"/>
  <c r="F6" i="7"/>
  <c r="N6" i="7"/>
  <c r="L132" i="5"/>
  <c r="L252" i="5"/>
  <c r="L372" i="5"/>
  <c r="O121" i="5"/>
  <c r="D121" i="5"/>
  <c r="D241" i="5"/>
  <c r="D361" i="5"/>
  <c r="L121" i="5"/>
  <c r="F146" i="7"/>
  <c r="N146" i="7"/>
  <c r="F111" i="7"/>
  <c r="N111" i="7"/>
  <c r="H76" i="7"/>
  <c r="G6" i="7"/>
  <c r="G29" i="7"/>
  <c r="E132" i="5"/>
  <c r="E252" i="5"/>
  <c r="E372" i="5"/>
  <c r="M132" i="5"/>
  <c r="M252" i="5"/>
  <c r="M372" i="5"/>
  <c r="E121" i="5"/>
  <c r="E241" i="5"/>
  <c r="E361" i="5"/>
  <c r="M121" i="5"/>
  <c r="M241" i="5"/>
  <c r="M361" i="5"/>
  <c r="G146" i="7"/>
  <c r="G111" i="7"/>
  <c r="I76" i="7"/>
  <c r="I99" i="7"/>
  <c r="H6" i="7"/>
  <c r="H29" i="7"/>
  <c r="C132" i="5"/>
  <c r="C252" i="5"/>
  <c r="C372" i="5"/>
  <c r="F121" i="5"/>
  <c r="F241" i="5"/>
  <c r="F361" i="5"/>
  <c r="H146" i="7"/>
  <c r="H111" i="7"/>
  <c r="J76" i="7"/>
  <c r="I6" i="7"/>
  <c r="I29" i="7"/>
  <c r="G132" i="5"/>
  <c r="G252" i="5"/>
  <c r="G372" i="5"/>
  <c r="O132" i="5"/>
  <c r="G121" i="5"/>
  <c r="G241" i="5"/>
  <c r="G361" i="5"/>
  <c r="J146" i="7"/>
  <c r="J111" i="7"/>
  <c r="D76" i="7"/>
  <c r="L76" i="7"/>
  <c r="C6" i="7"/>
  <c r="K6" i="7"/>
  <c r="O5" i="3"/>
  <c r="C146" i="7"/>
  <c r="K146" i="7"/>
  <c r="C111" i="7"/>
  <c r="K111" i="7"/>
  <c r="E76" i="7"/>
  <c r="M76" i="7"/>
  <c r="B76" i="7"/>
  <c r="D6" i="7"/>
  <c r="L6" i="7"/>
  <c r="L29" i="7"/>
  <c r="J121" i="5"/>
  <c r="J241" i="5"/>
  <c r="J361" i="5"/>
  <c r="D111" i="7"/>
  <c r="N76" i="7"/>
  <c r="B6" i="7"/>
  <c r="C121" i="5"/>
  <c r="C241" i="5"/>
  <c r="C361" i="5"/>
  <c r="G110" i="5"/>
  <c r="O110" i="5"/>
  <c r="K99" i="5"/>
  <c r="D146" i="7"/>
  <c r="L111" i="7"/>
  <c r="I110" i="5"/>
  <c r="I230" i="5"/>
  <c r="I350" i="5"/>
  <c r="E99" i="5"/>
  <c r="M99" i="5"/>
  <c r="E6" i="7"/>
  <c r="H132" i="5"/>
  <c r="H252" i="5"/>
  <c r="H372" i="5"/>
  <c r="N121" i="5"/>
  <c r="N241" i="5"/>
  <c r="N361" i="5"/>
  <c r="H121" i="5"/>
  <c r="H241" i="5"/>
  <c r="H361" i="5"/>
  <c r="K110" i="5"/>
  <c r="K230" i="5"/>
  <c r="K350" i="5"/>
  <c r="O99" i="5"/>
  <c r="I146" i="7"/>
  <c r="C99" i="5"/>
  <c r="L146" i="7"/>
  <c r="C76" i="7"/>
  <c r="C99" i="7"/>
  <c r="J6" i="7"/>
  <c r="I132" i="5"/>
  <c r="I252" i="5"/>
  <c r="I372" i="5"/>
  <c r="I121" i="5"/>
  <c r="I241" i="5"/>
  <c r="I361" i="5"/>
  <c r="D110" i="5"/>
  <c r="D230" i="5"/>
  <c r="D350" i="5"/>
  <c r="L110" i="5"/>
  <c r="L230" i="5"/>
  <c r="L350" i="5"/>
  <c r="D99" i="5"/>
  <c r="F76" i="7"/>
  <c r="M6" i="7"/>
  <c r="M29" i="7"/>
  <c r="K132" i="5"/>
  <c r="K121" i="5"/>
  <c r="E110" i="5"/>
  <c r="E230" i="5"/>
  <c r="E350" i="5"/>
  <c r="M110" i="5"/>
  <c r="I99" i="5"/>
  <c r="H110" i="5"/>
  <c r="H230" i="5"/>
  <c r="H350" i="5"/>
  <c r="L99" i="5"/>
  <c r="G99" i="5"/>
  <c r="K76" i="7"/>
  <c r="C110" i="5"/>
  <c r="C230" i="5"/>
  <c r="C350" i="5"/>
  <c r="I111" i="7"/>
  <c r="G136" i="11"/>
  <c r="G257" i="11"/>
  <c r="G377" i="11"/>
  <c r="F114" i="5"/>
  <c r="F234" i="5"/>
  <c r="F354" i="5"/>
  <c r="E104" i="18"/>
  <c r="E126" i="18"/>
  <c r="M104" i="18"/>
  <c r="M126" i="18"/>
  <c r="M59" i="18"/>
  <c r="H7" i="8"/>
  <c r="H60" i="8"/>
  <c r="H83" i="8"/>
  <c r="F104" i="18"/>
  <c r="F126" i="18"/>
  <c r="N104" i="18"/>
  <c r="N126" i="18"/>
  <c r="N59" i="18"/>
  <c r="I7" i="8"/>
  <c r="I30" i="8"/>
  <c r="G104" i="18"/>
  <c r="G126" i="18"/>
  <c r="H104" i="18"/>
  <c r="H126" i="18"/>
  <c r="I104" i="18"/>
  <c r="I126" i="18"/>
  <c r="D7" i="8"/>
  <c r="L7" i="8"/>
  <c r="L30" i="8"/>
  <c r="D60" i="8"/>
  <c r="D83" i="8"/>
  <c r="L60" i="8"/>
  <c r="L83" i="8"/>
  <c r="J104" i="18"/>
  <c r="J126" i="18"/>
  <c r="B104" i="18"/>
  <c r="B126" i="18"/>
  <c r="E7" i="8"/>
  <c r="M7" i="8"/>
  <c r="M30" i="8"/>
  <c r="E60" i="8"/>
  <c r="E83" i="8"/>
  <c r="M60" i="8"/>
  <c r="M83" i="8"/>
  <c r="C104" i="18"/>
  <c r="C126" i="18"/>
  <c r="K104" i="18"/>
  <c r="K126" i="18"/>
  <c r="K59" i="18"/>
  <c r="F7" i="8"/>
  <c r="N7" i="8"/>
  <c r="N30" i="8"/>
  <c r="F60" i="8"/>
  <c r="F83" i="8"/>
  <c r="N60" i="8"/>
  <c r="N83" i="8"/>
  <c r="D104" i="18"/>
  <c r="D126" i="18"/>
  <c r="L104" i="18"/>
  <c r="L126" i="18"/>
  <c r="L59" i="18"/>
  <c r="G7" i="8"/>
  <c r="G60" i="8"/>
  <c r="G83" i="8"/>
  <c r="J7" i="8"/>
  <c r="J30" i="8"/>
  <c r="C60" i="8"/>
  <c r="C83" i="8"/>
  <c r="F42" i="7"/>
  <c r="N42" i="7"/>
  <c r="K7" i="8"/>
  <c r="K30" i="8"/>
  <c r="I60" i="8"/>
  <c r="I83" i="8"/>
  <c r="G42" i="7"/>
  <c r="J60" i="8"/>
  <c r="J83" i="8"/>
  <c r="H42" i="7"/>
  <c r="J42" i="7"/>
  <c r="B42" i="7"/>
  <c r="C42" i="7"/>
  <c r="K42" i="7"/>
  <c r="D42" i="7"/>
  <c r="D133" i="11"/>
  <c r="D254" i="11"/>
  <c r="D374" i="11"/>
  <c r="L133" i="11"/>
  <c r="L254" i="11"/>
  <c r="L374" i="11"/>
  <c r="E42" i="7"/>
  <c r="E65" i="7"/>
  <c r="M133" i="11"/>
  <c r="M254" i="11"/>
  <c r="M374" i="11"/>
  <c r="I42" i="7"/>
  <c r="I65" i="7"/>
  <c r="F133" i="11"/>
  <c r="F254" i="11"/>
  <c r="F374" i="11"/>
  <c r="N133" i="11"/>
  <c r="N254" i="11"/>
  <c r="N374" i="11"/>
  <c r="L42" i="7"/>
  <c r="B7" i="8"/>
  <c r="M42" i="7"/>
  <c r="J133" i="11"/>
  <c r="J254" i="11"/>
  <c r="J374" i="11"/>
  <c r="G122" i="11"/>
  <c r="G243" i="11"/>
  <c r="G363" i="11"/>
  <c r="O122" i="11"/>
  <c r="O243" i="11"/>
  <c r="O363" i="11"/>
  <c r="D111" i="11"/>
  <c r="D232" i="11"/>
  <c r="D352" i="11"/>
  <c r="L111" i="11"/>
  <c r="L232" i="11"/>
  <c r="L352" i="11"/>
  <c r="H100" i="11"/>
  <c r="H221" i="11"/>
  <c r="H341" i="11"/>
  <c r="P100" i="11"/>
  <c r="H122" i="11"/>
  <c r="H243" i="11"/>
  <c r="H363" i="11"/>
  <c r="P122" i="11"/>
  <c r="M111" i="11"/>
  <c r="M232" i="11"/>
  <c r="M352" i="11"/>
  <c r="K60" i="8"/>
  <c r="K83" i="8"/>
  <c r="P133" i="11"/>
  <c r="I122" i="11"/>
  <c r="I243" i="11"/>
  <c r="I363" i="11"/>
  <c r="F111" i="11"/>
  <c r="F232" i="11"/>
  <c r="F352" i="11"/>
  <c r="N111" i="11"/>
  <c r="N232" i="11"/>
  <c r="N352" i="11"/>
  <c r="J100" i="11"/>
  <c r="J221" i="11"/>
  <c r="J341" i="11"/>
  <c r="C7" i="8"/>
  <c r="J122" i="11"/>
  <c r="J243" i="11"/>
  <c r="J363" i="11"/>
  <c r="B60" i="8"/>
  <c r="B83" i="8"/>
  <c r="K122" i="11"/>
  <c r="K243" i="11"/>
  <c r="K363" i="11"/>
  <c r="H111" i="11"/>
  <c r="H232" i="11"/>
  <c r="H352" i="11"/>
  <c r="P111" i="11"/>
  <c r="D100" i="11"/>
  <c r="D221" i="11"/>
  <c r="D341" i="11"/>
  <c r="L100" i="11"/>
  <c r="L221" i="11"/>
  <c r="L341" i="11"/>
  <c r="H133" i="11"/>
  <c r="H254" i="11"/>
  <c r="H374" i="11"/>
  <c r="E122" i="11"/>
  <c r="E243" i="11"/>
  <c r="E363" i="11"/>
  <c r="M122" i="11"/>
  <c r="M243" i="11"/>
  <c r="M363" i="11"/>
  <c r="J111" i="11"/>
  <c r="J232" i="11"/>
  <c r="J352" i="11"/>
  <c r="F100" i="11"/>
  <c r="F221" i="11"/>
  <c r="F341" i="11"/>
  <c r="N100" i="11"/>
  <c r="N221" i="11"/>
  <c r="N341" i="11"/>
  <c r="K122" i="10"/>
  <c r="K243" i="10"/>
  <c r="K363" i="10"/>
  <c r="F111" i="10"/>
  <c r="F232" i="10"/>
  <c r="F352" i="10"/>
  <c r="N111" i="10"/>
  <c r="N232" i="10"/>
  <c r="N352" i="10"/>
  <c r="D100" i="10"/>
  <c r="D221" i="10"/>
  <c r="D341" i="10"/>
  <c r="L100" i="10"/>
  <c r="L221" i="10"/>
  <c r="L341" i="10"/>
  <c r="K89" i="7"/>
  <c r="G211" i="8"/>
  <c r="E122" i="10"/>
  <c r="E243" i="10"/>
  <c r="E363" i="10"/>
  <c r="M122" i="10"/>
  <c r="M243" i="10"/>
  <c r="M363" i="10"/>
  <c r="H111" i="10"/>
  <c r="H232" i="10"/>
  <c r="H352" i="10"/>
  <c r="P111" i="10"/>
  <c r="F100" i="10"/>
  <c r="F221" i="10"/>
  <c r="F341" i="10"/>
  <c r="N100" i="10"/>
  <c r="N221" i="10"/>
  <c r="N341" i="10"/>
  <c r="N122" i="11"/>
  <c r="N243" i="11"/>
  <c r="N363" i="11"/>
  <c r="I122" i="10"/>
  <c r="I243" i="10"/>
  <c r="I363" i="10"/>
  <c r="D111" i="10"/>
  <c r="D232" i="10"/>
  <c r="D352" i="10"/>
  <c r="L111" i="10"/>
  <c r="L232" i="10"/>
  <c r="L352" i="10"/>
  <c r="J100" i="10"/>
  <c r="J221" i="10"/>
  <c r="J341" i="10"/>
  <c r="E211" i="8"/>
  <c r="M211" i="8"/>
  <c r="M234" i="8"/>
  <c r="D122" i="10"/>
  <c r="D243" i="10"/>
  <c r="D363" i="10"/>
  <c r="P122" i="10"/>
  <c r="F89" i="7"/>
  <c r="L211" i="8"/>
  <c r="L234" i="8"/>
  <c r="J165" i="8"/>
  <c r="B165" i="8"/>
  <c r="I115" i="8"/>
  <c r="F133" i="10"/>
  <c r="F254" i="10"/>
  <c r="F374" i="10"/>
  <c r="F122" i="10"/>
  <c r="F243" i="10"/>
  <c r="F363" i="10"/>
  <c r="H100" i="10"/>
  <c r="H221" i="10"/>
  <c r="H341" i="10"/>
  <c r="D89" i="7"/>
  <c r="C211" i="8"/>
  <c r="N211" i="8"/>
  <c r="N234" i="8"/>
  <c r="C165" i="8"/>
  <c r="K165" i="8"/>
  <c r="K188" i="8"/>
  <c r="J115" i="8"/>
  <c r="B115" i="8"/>
  <c r="H133" i="10"/>
  <c r="H254" i="10"/>
  <c r="H374" i="10"/>
  <c r="G122" i="10"/>
  <c r="G243" i="10"/>
  <c r="G363" i="10"/>
  <c r="J133" i="10"/>
  <c r="J254" i="10"/>
  <c r="J374" i="10"/>
  <c r="H122" i="10"/>
  <c r="H243" i="10"/>
  <c r="H363" i="10"/>
  <c r="F211" i="8"/>
  <c r="E165" i="8"/>
  <c r="M165" i="8"/>
  <c r="M188" i="8"/>
  <c r="D115" i="8"/>
  <c r="L115" i="8"/>
  <c r="L138" i="8"/>
  <c r="D122" i="11"/>
  <c r="D243" i="11"/>
  <c r="D363" i="11"/>
  <c r="M100" i="11"/>
  <c r="M221" i="11"/>
  <c r="M341" i="11"/>
  <c r="J122" i="10"/>
  <c r="J243" i="10"/>
  <c r="J363" i="10"/>
  <c r="M100" i="10"/>
  <c r="M221" i="10"/>
  <c r="M341" i="10"/>
  <c r="G165" i="8"/>
  <c r="K115" i="8"/>
  <c r="K138" i="8"/>
  <c r="L122" i="10"/>
  <c r="L243" i="10"/>
  <c r="L363" i="10"/>
  <c r="J111" i="10"/>
  <c r="J232" i="10"/>
  <c r="J352" i="10"/>
  <c r="D211" i="8"/>
  <c r="H165" i="8"/>
  <c r="M115" i="8"/>
  <c r="M138" i="8"/>
  <c r="D133" i="10"/>
  <c r="D254" i="10"/>
  <c r="D374" i="10"/>
  <c r="N122" i="10"/>
  <c r="N243" i="10"/>
  <c r="N363" i="10"/>
  <c r="P100" i="10"/>
  <c r="L89" i="7"/>
  <c r="H211" i="8"/>
  <c r="I165" i="8"/>
  <c r="N115" i="8"/>
  <c r="N138" i="8"/>
  <c r="L133" i="10"/>
  <c r="L254" i="10"/>
  <c r="L374" i="10"/>
  <c r="O122" i="10"/>
  <c r="O243" i="10"/>
  <c r="O363" i="10"/>
  <c r="M111" i="10"/>
  <c r="M232" i="10"/>
  <c r="M352" i="10"/>
  <c r="J89" i="7"/>
  <c r="I211" i="8"/>
  <c r="L165" i="8"/>
  <c r="L188" i="8"/>
  <c r="C115" i="8"/>
  <c r="M133" i="10"/>
  <c r="M254" i="10"/>
  <c r="M374" i="10"/>
  <c r="L122" i="11"/>
  <c r="L243" i="11"/>
  <c r="L363" i="11"/>
  <c r="N133" i="10"/>
  <c r="N254" i="10"/>
  <c r="N374" i="10"/>
  <c r="F122" i="11"/>
  <c r="F243" i="11"/>
  <c r="F363" i="11"/>
  <c r="P133" i="10"/>
  <c r="B89" i="7"/>
  <c r="B211" i="8"/>
  <c r="D165" i="8"/>
  <c r="G115" i="8"/>
  <c r="E115" i="8"/>
  <c r="K211" i="8"/>
  <c r="K234" i="8"/>
  <c r="F165" i="8"/>
  <c r="H115" i="8"/>
  <c r="H89" i="7"/>
  <c r="J211" i="8"/>
  <c r="N165" i="8"/>
  <c r="N188" i="8"/>
  <c r="F115" i="8"/>
  <c r="O6" i="3"/>
  <c r="I147" i="7"/>
  <c r="I112" i="7"/>
  <c r="C77" i="7"/>
  <c r="C100" i="7"/>
  <c r="K77" i="7"/>
  <c r="J7" i="7"/>
  <c r="J30" i="7"/>
  <c r="B7" i="7"/>
  <c r="B30" i="7"/>
  <c r="J122" i="5"/>
  <c r="J242" i="5"/>
  <c r="J362" i="5"/>
  <c r="J147" i="7"/>
  <c r="B147" i="7"/>
  <c r="J112" i="7"/>
  <c r="B112" i="7"/>
  <c r="D77" i="7"/>
  <c r="L77" i="7"/>
  <c r="C7" i="7"/>
  <c r="C30" i="7"/>
  <c r="K7" i="7"/>
  <c r="K30" i="7"/>
  <c r="I133" i="5"/>
  <c r="I253" i="5"/>
  <c r="I373" i="5"/>
  <c r="N122" i="5"/>
  <c r="K122" i="5"/>
  <c r="K242" i="5"/>
  <c r="K362" i="5"/>
  <c r="C147" i="7"/>
  <c r="K147" i="7"/>
  <c r="C112" i="7"/>
  <c r="K112" i="7"/>
  <c r="E77" i="7"/>
  <c r="E100" i="7"/>
  <c r="M77" i="7"/>
  <c r="M100" i="7"/>
  <c r="D7" i="7"/>
  <c r="D30" i="7"/>
  <c r="L7" i="7"/>
  <c r="L30" i="7"/>
  <c r="O122" i="5"/>
  <c r="D122" i="5"/>
  <c r="D242" i="5"/>
  <c r="D362" i="5"/>
  <c r="L122" i="5"/>
  <c r="L242" i="5"/>
  <c r="L362" i="5"/>
  <c r="D147" i="7"/>
  <c r="L147" i="7"/>
  <c r="D112" i="7"/>
  <c r="L112" i="7"/>
  <c r="F77" i="7"/>
  <c r="N77" i="7"/>
  <c r="E7" i="7"/>
  <c r="E30" i="7"/>
  <c r="M7" i="7"/>
  <c r="M30" i="7"/>
  <c r="K133" i="5"/>
  <c r="K253" i="5"/>
  <c r="K373" i="5"/>
  <c r="C133" i="5"/>
  <c r="C253" i="5"/>
  <c r="C373" i="5"/>
  <c r="E122" i="5"/>
  <c r="E242" i="5"/>
  <c r="E362" i="5"/>
  <c r="M122" i="5"/>
  <c r="M242" i="5"/>
  <c r="M362" i="5"/>
  <c r="F147" i="7"/>
  <c r="N147" i="7"/>
  <c r="F112" i="7"/>
  <c r="N112" i="7"/>
  <c r="H77" i="7"/>
  <c r="G7" i="7"/>
  <c r="G30" i="7"/>
  <c r="G147" i="7"/>
  <c r="G112" i="7"/>
  <c r="I77" i="7"/>
  <c r="I100" i="7"/>
  <c r="H7" i="7"/>
  <c r="H30" i="7"/>
  <c r="H122" i="5"/>
  <c r="H242" i="5"/>
  <c r="H362" i="5"/>
  <c r="B77" i="7"/>
  <c r="I7" i="7"/>
  <c r="I30" i="7"/>
  <c r="E133" i="5"/>
  <c r="E253" i="5"/>
  <c r="E373" i="5"/>
  <c r="G122" i="5"/>
  <c r="G242" i="5"/>
  <c r="G362" i="5"/>
  <c r="K111" i="5"/>
  <c r="C111" i="5"/>
  <c r="C231" i="5"/>
  <c r="C351" i="5"/>
  <c r="G100" i="5"/>
  <c r="O100" i="5"/>
  <c r="I122" i="5"/>
  <c r="I242" i="5"/>
  <c r="I362" i="5"/>
  <c r="C122" i="5"/>
  <c r="C242" i="5"/>
  <c r="C362" i="5"/>
  <c r="G111" i="5"/>
  <c r="G231" i="5"/>
  <c r="G351" i="5"/>
  <c r="C100" i="5"/>
  <c r="D111" i="5"/>
  <c r="D231" i="5"/>
  <c r="D351" i="5"/>
  <c r="J77" i="7"/>
  <c r="L133" i="5"/>
  <c r="E111" i="5"/>
  <c r="E231" i="5"/>
  <c r="E351" i="5"/>
  <c r="M111" i="5"/>
  <c r="I100" i="5"/>
  <c r="H112" i="7"/>
  <c r="O133" i="5"/>
  <c r="K100" i="5"/>
  <c r="E112" i="7"/>
  <c r="M133" i="5"/>
  <c r="E147" i="7"/>
  <c r="M112" i="7"/>
  <c r="H111" i="5"/>
  <c r="H231" i="5"/>
  <c r="H351" i="5"/>
  <c r="D100" i="5"/>
  <c r="L100" i="5"/>
  <c r="H100" i="5"/>
  <c r="H147" i="7"/>
  <c r="I111" i="5"/>
  <c r="I231" i="5"/>
  <c r="I351" i="5"/>
  <c r="E100" i="5"/>
  <c r="M100" i="5"/>
  <c r="G133" i="5"/>
  <c r="G253" i="5"/>
  <c r="G373" i="5"/>
  <c r="L111" i="5"/>
  <c r="L231" i="5"/>
  <c r="L351" i="5"/>
  <c r="O111" i="5"/>
  <c r="M147" i="7"/>
  <c r="M170" i="7"/>
  <c r="F7" i="7"/>
  <c r="F30" i="7"/>
  <c r="F122" i="5"/>
  <c r="F242" i="5"/>
  <c r="F362" i="5"/>
  <c r="G77" i="7"/>
  <c r="G100" i="7"/>
  <c r="N7" i="7"/>
  <c r="N30" i="7"/>
  <c r="G99" i="10"/>
  <c r="G220" i="10"/>
  <c r="G340" i="10"/>
  <c r="G104" i="10"/>
  <c r="G225" i="10"/>
  <c r="G345" i="10"/>
  <c r="B160" i="7"/>
  <c r="B125" i="7"/>
  <c r="P244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C34" i="7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N97" i="7"/>
  <c r="P245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B161" i="7"/>
  <c r="B126" i="7"/>
  <c r="J155" i="7"/>
  <c r="J166" i="7"/>
  <c r="J120" i="7"/>
  <c r="J131" i="7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P239" i="11"/>
  <c r="O103" i="10"/>
  <c r="O224" i="10"/>
  <c r="O344" i="10"/>
  <c r="I114" i="10"/>
  <c r="I235" i="10"/>
  <c r="I355" i="10"/>
  <c r="N156" i="7"/>
  <c r="N167" i="7"/>
  <c r="N121" i="7"/>
  <c r="N132" i="7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P229" i="11"/>
  <c r="D156" i="7"/>
  <c r="D121" i="7"/>
  <c r="F103" i="5"/>
  <c r="K114" i="10"/>
  <c r="K235" i="10"/>
  <c r="K355" i="10"/>
  <c r="F96" i="7"/>
  <c r="P230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P241" i="10"/>
  <c r="N157" i="7"/>
  <c r="N168" i="7"/>
  <c r="N122" i="7"/>
  <c r="N133" i="7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P219" i="11"/>
  <c r="C156" i="7"/>
  <c r="C121" i="7"/>
  <c r="F136" i="5"/>
  <c r="F256" i="5"/>
  <c r="F376" i="5"/>
  <c r="E157" i="7"/>
  <c r="E122" i="7"/>
  <c r="G132" i="10"/>
  <c r="G253" i="10"/>
  <c r="G373" i="10"/>
  <c r="G132" i="11"/>
  <c r="G253" i="11"/>
  <c r="G373" i="11"/>
  <c r="O111" i="10"/>
  <c r="O232" i="10"/>
  <c r="O352" i="10"/>
  <c r="O110" i="11"/>
  <c r="O231" i="11"/>
  <c r="O351" i="11"/>
  <c r="N114" i="5"/>
  <c r="N234" i="5"/>
  <c r="N354" i="5"/>
  <c r="N100" i="5"/>
  <c r="I137" i="10"/>
  <c r="I258" i="10"/>
  <c r="I378" i="10"/>
  <c r="I133" i="11"/>
  <c r="I254" i="11"/>
  <c r="I374" i="11"/>
  <c r="F101" i="7"/>
  <c r="J125" i="7"/>
  <c r="J136" i="7"/>
  <c r="J160" i="7"/>
  <c r="J171" i="7"/>
  <c r="S47" i="9"/>
  <c r="P42" i="8"/>
  <c r="D86" i="18"/>
  <c r="H149" i="18"/>
  <c r="H160" i="18"/>
  <c r="D149" i="18"/>
  <c r="D160" i="18"/>
  <c r="F152" i="18"/>
  <c r="F163" i="18"/>
  <c r="K150" i="18"/>
  <c r="K161" i="18"/>
  <c r="D146" i="18"/>
  <c r="J151" i="18"/>
  <c r="J162" i="18"/>
  <c r="L148" i="18"/>
  <c r="L159" i="18"/>
  <c r="M146" i="18"/>
  <c r="M157" i="18"/>
  <c r="K149" i="18"/>
  <c r="K160" i="18"/>
  <c r="H145" i="18"/>
  <c r="H156" i="18"/>
  <c r="J147" i="18"/>
  <c r="J158" i="18"/>
  <c r="N146" i="18"/>
  <c r="N157" i="18"/>
  <c r="K148" i="18"/>
  <c r="K159" i="18"/>
  <c r="D152" i="18"/>
  <c r="D163" i="18"/>
  <c r="F146" i="18"/>
  <c r="F157" i="18"/>
  <c r="J150" i="18"/>
  <c r="J161" i="18"/>
  <c r="L150" i="18"/>
  <c r="L161" i="18"/>
  <c r="D145" i="18"/>
  <c r="D156" i="18"/>
  <c r="J152" i="18"/>
  <c r="J163" i="18"/>
  <c r="N151" i="18"/>
  <c r="N162" i="18"/>
  <c r="B148" i="18"/>
  <c r="B159" i="18"/>
  <c r="E152" i="18"/>
  <c r="E163" i="18"/>
  <c r="H151" i="18"/>
  <c r="J146" i="18"/>
  <c r="J157" i="18"/>
  <c r="K144" i="18"/>
  <c r="K155" i="18"/>
  <c r="D148" i="18"/>
  <c r="D159" i="18"/>
  <c r="N145" i="18"/>
  <c r="N156" i="18"/>
  <c r="L146" i="18"/>
  <c r="L157" i="18"/>
  <c r="K145" i="18"/>
  <c r="K156" i="18"/>
  <c r="D147" i="18"/>
  <c r="D158" i="18"/>
  <c r="E150" i="18"/>
  <c r="E161" i="18"/>
  <c r="K75" i="18"/>
  <c r="F149" i="18"/>
  <c r="F160" i="18"/>
  <c r="K151" i="18"/>
  <c r="K162" i="18"/>
  <c r="D150" i="18"/>
  <c r="D161" i="18"/>
  <c r="B151" i="18"/>
  <c r="B162" i="18"/>
  <c r="B149" i="18"/>
  <c r="B160" i="18"/>
  <c r="M147" i="18"/>
  <c r="M158" i="18"/>
  <c r="B147" i="18"/>
  <c r="B158" i="18"/>
  <c r="B146" i="18"/>
  <c r="F151" i="18"/>
  <c r="F162" i="18"/>
  <c r="H147" i="18"/>
  <c r="H158" i="18"/>
  <c r="K146" i="18"/>
  <c r="K157" i="18"/>
  <c r="J144" i="18"/>
  <c r="L144" i="18"/>
  <c r="H150" i="18"/>
  <c r="H161" i="18"/>
  <c r="M151" i="18"/>
  <c r="M162" i="18"/>
  <c r="B152" i="18"/>
  <c r="B163" i="18"/>
  <c r="M149" i="18"/>
  <c r="M160" i="18"/>
  <c r="I151" i="18"/>
  <c r="I162" i="18"/>
  <c r="L151" i="18"/>
  <c r="L162" i="18"/>
  <c r="M152" i="18"/>
  <c r="M163" i="18"/>
  <c r="E147" i="18"/>
  <c r="E158" i="18"/>
  <c r="B86" i="18"/>
  <c r="H146" i="18"/>
  <c r="H157" i="18"/>
  <c r="M150" i="18"/>
  <c r="M161" i="18"/>
  <c r="N148" i="18"/>
  <c r="N159" i="18"/>
  <c r="N150" i="18"/>
  <c r="N161" i="18"/>
  <c r="B75" i="18"/>
  <c r="L149" i="18"/>
  <c r="L160" i="18"/>
  <c r="M145" i="18"/>
  <c r="M156" i="18"/>
  <c r="K152" i="18"/>
  <c r="K163" i="18"/>
  <c r="L147" i="18"/>
  <c r="L158" i="18"/>
  <c r="F150" i="18"/>
  <c r="F161" i="18"/>
  <c r="L152" i="18"/>
  <c r="L163" i="18"/>
  <c r="M148" i="18"/>
  <c r="M159" i="18"/>
  <c r="O92" i="18"/>
  <c r="O93" i="18"/>
  <c r="O90" i="18"/>
  <c r="K77" i="18"/>
  <c r="K88" i="18"/>
  <c r="L142" i="18"/>
  <c r="D75" i="18"/>
  <c r="O96" i="18"/>
  <c r="J86" i="18"/>
  <c r="M142" i="18"/>
  <c r="J75" i="18"/>
  <c r="N88" i="18"/>
  <c r="K142" i="18"/>
  <c r="B142" i="18"/>
  <c r="H86" i="18"/>
  <c r="F86" i="18"/>
  <c r="L88" i="18"/>
  <c r="L86" i="18"/>
  <c r="H75" i="18"/>
  <c r="D142" i="18"/>
  <c r="H142" i="18"/>
  <c r="J142" i="18"/>
  <c r="N142" i="18"/>
  <c r="M75" i="18"/>
  <c r="M77" i="18"/>
  <c r="L75" i="18"/>
  <c r="F75" i="18"/>
  <c r="N75" i="18"/>
  <c r="N80" i="18"/>
  <c r="N91" i="18"/>
  <c r="V111" i="12"/>
  <c r="V121" i="12"/>
  <c r="V149" i="12"/>
  <c r="V140" i="12"/>
  <c r="V131" i="12"/>
  <c r="V168" i="12"/>
  <c r="S137" i="12"/>
  <c r="S223" i="12"/>
  <c r="S217" i="12"/>
  <c r="V103" i="12"/>
  <c r="W101" i="12"/>
  <c r="U254" i="12"/>
  <c r="U218" i="12"/>
  <c r="U235" i="12"/>
  <c r="V93" i="12"/>
  <c r="U95" i="12"/>
  <c r="U113" i="12"/>
  <c r="U199" i="12"/>
  <c r="U134" i="12"/>
  <c r="U220" i="12"/>
  <c r="U152" i="12"/>
  <c r="U238" i="12"/>
  <c r="U171" i="12"/>
  <c r="U257" i="12"/>
  <c r="U143" i="12"/>
  <c r="U229" i="12"/>
  <c r="U161" i="12"/>
  <c r="S21" i="9"/>
  <c r="R146" i="12"/>
  <c r="R232" i="12"/>
  <c r="R226" i="12"/>
  <c r="S254" i="12"/>
  <c r="S174" i="12"/>
  <c r="S260" i="12"/>
  <c r="T217" i="12"/>
  <c r="R156" i="12"/>
  <c r="R242" i="12"/>
  <c r="R235" i="12"/>
  <c r="R137" i="12"/>
  <c r="R223" i="12"/>
  <c r="R217" i="12"/>
  <c r="V68" i="12"/>
  <c r="W64" i="12"/>
  <c r="W66" i="12"/>
  <c r="V67" i="12"/>
  <c r="W65" i="12"/>
  <c r="S156" i="12"/>
  <c r="S242" i="12"/>
  <c r="S235" i="12"/>
  <c r="U118" i="12"/>
  <c r="U204" i="12"/>
  <c r="U197" i="12"/>
  <c r="T235" i="12"/>
  <c r="R80" i="9"/>
  <c r="R83" i="9"/>
  <c r="R72" i="9"/>
  <c r="R52" i="9"/>
  <c r="R42" i="9"/>
  <c r="P20" i="8"/>
  <c r="R45" i="9"/>
  <c r="P23" i="8"/>
  <c r="R66" i="9"/>
  <c r="R69" i="9"/>
  <c r="R59" i="9"/>
  <c r="R39" i="9"/>
  <c r="P17" i="8"/>
  <c r="R24" i="9"/>
  <c r="R70" i="9"/>
  <c r="R73" i="9"/>
  <c r="R51" i="9"/>
  <c r="R54" i="9"/>
  <c r="R55" i="9"/>
  <c r="R58" i="9"/>
  <c r="R81" i="9"/>
  <c r="R85" i="9"/>
  <c r="R86" i="9"/>
  <c r="R65" i="9"/>
  <c r="R27" i="9"/>
  <c r="R28" i="9"/>
  <c r="R84" i="9"/>
  <c r="R87" i="9"/>
  <c r="R88" i="9"/>
  <c r="R67" i="9"/>
  <c r="R68" i="9"/>
  <c r="R71" i="9"/>
  <c r="R25" i="9"/>
  <c r="R23" i="9"/>
  <c r="R26" i="9"/>
  <c r="R82" i="9"/>
  <c r="R22" i="9"/>
  <c r="R29" i="9"/>
  <c r="R30" i="9"/>
  <c r="R56" i="9"/>
  <c r="R41" i="9"/>
  <c r="P19" i="8"/>
  <c r="R53" i="9"/>
  <c r="R57" i="9"/>
  <c r="R43" i="9"/>
  <c r="P21" i="8"/>
  <c r="R40" i="9"/>
  <c r="P18" i="8"/>
  <c r="R44" i="9"/>
  <c r="P22" i="8"/>
  <c r="R37" i="9"/>
  <c r="P15" i="8"/>
  <c r="R38" i="9"/>
  <c r="P16" i="8"/>
  <c r="V112" i="12"/>
  <c r="V198" i="12"/>
  <c r="V122" i="12"/>
  <c r="V208" i="12"/>
  <c r="V150" i="12"/>
  <c r="V236" i="12"/>
  <c r="V159" i="12"/>
  <c r="V245" i="12"/>
  <c r="V141" i="12"/>
  <c r="V227" i="12"/>
  <c r="V132" i="12"/>
  <c r="V218" i="12"/>
  <c r="W70" i="12"/>
  <c r="V169" i="12"/>
  <c r="V255" i="12"/>
  <c r="V94" i="12"/>
  <c r="W94" i="12"/>
  <c r="T128" i="12"/>
  <c r="T214" i="12"/>
  <c r="T207" i="12"/>
  <c r="W246" i="12"/>
  <c r="S128" i="12"/>
  <c r="S214" i="12"/>
  <c r="S207" i="12"/>
  <c r="V115" i="12"/>
  <c r="V201" i="12"/>
  <c r="V125" i="12"/>
  <c r="V211" i="12"/>
  <c r="V163" i="12"/>
  <c r="V249" i="12"/>
  <c r="V135" i="12"/>
  <c r="V221" i="12"/>
  <c r="V154" i="12"/>
  <c r="V240" i="12"/>
  <c r="V173" i="12"/>
  <c r="V259" i="12"/>
  <c r="W79" i="12"/>
  <c r="U128" i="12"/>
  <c r="U214" i="12"/>
  <c r="R128" i="12"/>
  <c r="R214" i="12"/>
  <c r="U207" i="12"/>
  <c r="T254" i="12"/>
  <c r="V117" i="12"/>
  <c r="V203" i="12"/>
  <c r="V136" i="12"/>
  <c r="V222" i="12"/>
  <c r="V145" i="12"/>
  <c r="V231" i="12"/>
  <c r="V155" i="12"/>
  <c r="V241" i="12"/>
  <c r="V164" i="12"/>
  <c r="V250" i="12"/>
  <c r="V127" i="12"/>
  <c r="V213" i="12"/>
  <c r="W84" i="12"/>
  <c r="T113" i="12"/>
  <c r="T199" i="12"/>
  <c r="T134" i="12"/>
  <c r="T220" i="12"/>
  <c r="T152" i="12"/>
  <c r="T238" i="12"/>
  <c r="T143" i="12"/>
  <c r="T229" i="12"/>
  <c r="T161" i="12"/>
  <c r="T171" i="12"/>
  <c r="T257" i="12"/>
  <c r="T86" i="12"/>
  <c r="V75" i="12"/>
  <c r="R174" i="12"/>
  <c r="R260" i="12"/>
  <c r="R254" i="12"/>
  <c r="S146" i="12"/>
  <c r="S232" i="12"/>
  <c r="S226" i="12"/>
  <c r="Q81" i="9"/>
  <c r="Q67" i="9"/>
  <c r="Q54" i="9"/>
  <c r="Q41" i="9"/>
  <c r="O19" i="8"/>
  <c r="Q82" i="9"/>
  <c r="Q66" i="9"/>
  <c r="Q52" i="9"/>
  <c r="Q38" i="9"/>
  <c r="O16" i="8"/>
  <c r="Q25" i="9"/>
  <c r="Q80" i="9"/>
  <c r="Q65" i="9"/>
  <c r="Q51" i="9"/>
  <c r="Q37" i="9"/>
  <c r="O15" i="8"/>
  <c r="Q24" i="9"/>
  <c r="Q85" i="9"/>
  <c r="Q68" i="9"/>
  <c r="Q44" i="9"/>
  <c r="O22" i="8"/>
  <c r="Q29" i="9"/>
  <c r="Q83" i="9"/>
  <c r="Q57" i="9"/>
  <c r="Q26" i="9"/>
  <c r="Q56" i="9"/>
  <c r="Q71" i="9"/>
  <c r="Q84" i="9"/>
  <c r="Q58" i="9"/>
  <c r="Q43" i="9"/>
  <c r="O21" i="8"/>
  <c r="Q28" i="9"/>
  <c r="Q59" i="9"/>
  <c r="Q27" i="9"/>
  <c r="Q73" i="9"/>
  <c r="Q39" i="9"/>
  <c r="O17" i="8"/>
  <c r="Q23" i="9"/>
  <c r="Q87" i="9"/>
  <c r="Q42" i="9"/>
  <c r="O20" i="8"/>
  <c r="Q40" i="9"/>
  <c r="O18" i="8"/>
  <c r="Q72" i="9"/>
  <c r="Q55" i="9"/>
  <c r="Q69" i="9"/>
  <c r="Q53" i="9"/>
  <c r="Q86" i="9"/>
  <c r="Q45" i="9"/>
  <c r="O23" i="8"/>
  <c r="Q30" i="9"/>
  <c r="Q88" i="9"/>
  <c r="Q70" i="9"/>
  <c r="X133" i="12"/>
  <c r="X219" i="12"/>
  <c r="X123" i="12"/>
  <c r="X209" i="12"/>
  <c r="X116" i="12"/>
  <c r="X202" i="12"/>
  <c r="X151" i="12"/>
  <c r="X237" i="12"/>
  <c r="X142" i="12"/>
  <c r="X228" i="12"/>
  <c r="X160" i="12"/>
  <c r="X170" i="12"/>
  <c r="X256" i="12"/>
  <c r="Y72" i="12"/>
  <c r="T226" i="12"/>
  <c r="U227" i="12"/>
  <c r="O31" i="7"/>
  <c r="O32" i="7"/>
  <c r="O26" i="7"/>
  <c r="O27" i="7"/>
  <c r="P42" i="3"/>
  <c r="P25" i="3"/>
  <c r="P40" i="3"/>
  <c r="R11" i="3"/>
  <c r="R14" i="3"/>
  <c r="R15" i="3"/>
  <c r="Q8" i="3"/>
  <c r="Q10" i="3"/>
  <c r="Q4" i="3"/>
  <c r="Q6" i="3"/>
  <c r="Q2" i="3"/>
  <c r="Q3" i="3"/>
  <c r="Q5" i="3"/>
  <c r="Q7" i="3"/>
  <c r="Q9" i="3"/>
  <c r="P27" i="3"/>
  <c r="P44" i="3"/>
  <c r="P43" i="3"/>
  <c r="P26" i="3"/>
  <c r="P41" i="3"/>
  <c r="P24" i="3"/>
  <c r="P46" i="3"/>
  <c r="P29" i="3"/>
  <c r="P39" i="3"/>
  <c r="P22" i="3"/>
  <c r="P28" i="3"/>
  <c r="P45" i="3"/>
  <c r="P21" i="3"/>
  <c r="P38" i="3"/>
  <c r="O203" i="8"/>
  <c r="E47" i="4"/>
  <c r="E49" i="4"/>
  <c r="U8" i="5"/>
  <c r="D44" i="4"/>
  <c r="E42" i="4"/>
  <c r="U15" i="5"/>
  <c r="E99" i="4"/>
  <c r="F97" i="4"/>
  <c r="E94" i="4"/>
  <c r="F92" i="4"/>
  <c r="D89" i="4"/>
  <c r="E87" i="4"/>
  <c r="W9" i="10"/>
  <c r="D84" i="4"/>
  <c r="E82" i="4"/>
  <c r="E79" i="4"/>
  <c r="F77" i="4"/>
  <c r="E74" i="4"/>
  <c r="F72" i="4"/>
  <c r="E69" i="4"/>
  <c r="F67" i="4"/>
  <c r="D64" i="4"/>
  <c r="E62" i="4"/>
  <c r="D59" i="4"/>
  <c r="E57" i="4"/>
  <c r="E54" i="4"/>
  <c r="F52" i="4"/>
  <c r="E44" i="4"/>
  <c r="F42" i="4"/>
  <c r="E39" i="4"/>
  <c r="F37" i="4"/>
  <c r="D34" i="4"/>
  <c r="E32" i="4"/>
  <c r="W2" i="9"/>
  <c r="E29" i="4"/>
  <c r="F27" i="4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O249" i="8"/>
  <c r="E24" i="4"/>
  <c r="F22" i="4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O104" i="8"/>
  <c r="O80" i="8"/>
  <c r="O84" i="8"/>
  <c r="O79" i="8"/>
  <c r="O81" i="8"/>
  <c r="O105" i="8"/>
  <c r="O106" i="8"/>
  <c r="O107" i="8"/>
  <c r="O85" i="8"/>
  <c r="P2" i="6"/>
  <c r="P4" i="6"/>
  <c r="Q2" i="6"/>
  <c r="Q4" i="6"/>
  <c r="R2" i="6"/>
  <c r="R4" i="6"/>
  <c r="S2" i="6"/>
  <c r="S4" i="6"/>
  <c r="T2" i="6"/>
  <c r="T4" i="6"/>
  <c r="U2" i="6"/>
  <c r="U4" i="6"/>
  <c r="V2" i="6"/>
  <c r="V4" i="6"/>
  <c r="W2" i="6"/>
  <c r="W4" i="6"/>
  <c r="X2" i="6"/>
  <c r="X4" i="6"/>
  <c r="Y2" i="6"/>
  <c r="Y4" i="6"/>
  <c r="Z2" i="6"/>
  <c r="Z4" i="6"/>
  <c r="AA2" i="6"/>
  <c r="AA4" i="6"/>
  <c r="O2" i="6"/>
  <c r="O4" i="6"/>
  <c r="N2" i="6"/>
  <c r="N4" i="6"/>
  <c r="M15" i="3"/>
  <c r="K11" i="3"/>
  <c r="J11" i="3"/>
  <c r="I11" i="3"/>
  <c r="H11" i="3"/>
  <c r="G11" i="3"/>
  <c r="F11" i="3"/>
  <c r="E11" i="3"/>
  <c r="D11" i="3"/>
  <c r="C11" i="3"/>
  <c r="C47" i="3"/>
  <c r="D47" i="3"/>
  <c r="E47" i="3"/>
  <c r="F47" i="3"/>
  <c r="G47" i="3"/>
  <c r="H47" i="3"/>
  <c r="I47" i="3"/>
  <c r="J47" i="3"/>
  <c r="K47" i="3"/>
  <c r="L47" i="3"/>
  <c r="M47" i="3"/>
  <c r="M49" i="3"/>
  <c r="N47" i="3"/>
  <c r="N49" i="3"/>
  <c r="B47" i="3"/>
  <c r="D38" i="2"/>
  <c r="C2" i="6"/>
  <c r="C4" i="6"/>
  <c r="E38" i="2"/>
  <c r="D2" i="6"/>
  <c r="D4" i="6"/>
  <c r="F38" i="2"/>
  <c r="E2" i="6"/>
  <c r="E4" i="6"/>
  <c r="G38" i="2"/>
  <c r="F2" i="6"/>
  <c r="F4" i="6"/>
  <c r="H38" i="2"/>
  <c r="G2" i="6"/>
  <c r="G4" i="6"/>
  <c r="I38" i="2"/>
  <c r="H2" i="6"/>
  <c r="H4" i="6"/>
  <c r="J38" i="2"/>
  <c r="I2" i="6"/>
  <c r="I4" i="6"/>
  <c r="K38" i="2"/>
  <c r="J2" i="6"/>
  <c r="J4" i="6"/>
  <c r="L38" i="2"/>
  <c r="K2" i="6"/>
  <c r="K4" i="6"/>
  <c r="M38" i="2"/>
  <c r="L2" i="6"/>
  <c r="L4" i="6"/>
  <c r="N38" i="2"/>
  <c r="M2" i="6"/>
  <c r="M4" i="6"/>
  <c r="C38" i="2"/>
  <c r="B2" i="6"/>
  <c r="B4" i="6"/>
  <c r="T146" i="12"/>
  <c r="T232" i="12"/>
  <c r="M168" i="7"/>
  <c r="M174" i="7"/>
  <c r="M12" i="8"/>
  <c r="L82" i="7"/>
  <c r="L198" i="8"/>
  <c r="O168" i="7"/>
  <c r="J12" i="8"/>
  <c r="H216" i="8"/>
  <c r="H117" i="7"/>
  <c r="H12" i="8"/>
  <c r="F12" i="8"/>
  <c r="G120" i="8"/>
  <c r="G170" i="8"/>
  <c r="C170" i="8"/>
  <c r="E152" i="7"/>
  <c r="D12" i="8"/>
  <c r="D216" i="8"/>
  <c r="K117" i="7"/>
  <c r="K198" i="8"/>
  <c r="I152" i="7"/>
  <c r="G12" i="8"/>
  <c r="G117" i="7"/>
  <c r="G152" i="7"/>
  <c r="E216" i="8"/>
  <c r="C216" i="8"/>
  <c r="C12" i="8"/>
  <c r="C12" i="7"/>
  <c r="B170" i="8"/>
  <c r="B12" i="8"/>
  <c r="B51" i="8"/>
  <c r="O86" i="8"/>
  <c r="W2" i="10"/>
  <c r="X13" i="9"/>
  <c r="AI13" i="9"/>
  <c r="W13" i="5"/>
  <c r="X13" i="10"/>
  <c r="X13" i="11"/>
  <c r="W12" i="5"/>
  <c r="X12" i="10"/>
  <c r="X12" i="11"/>
  <c r="X12" i="9"/>
  <c r="AI12" i="9"/>
  <c r="V10" i="5"/>
  <c r="W10" i="9"/>
  <c r="AH10" i="9"/>
  <c r="W10" i="10"/>
  <c r="W10" i="11"/>
  <c r="X14" i="11"/>
  <c r="X14" i="9"/>
  <c r="AI14" i="9"/>
  <c r="W14" i="5"/>
  <c r="X14" i="10"/>
  <c r="W9" i="11"/>
  <c r="W15" i="5"/>
  <c r="X15" i="11"/>
  <c r="X15" i="10"/>
  <c r="X15" i="9"/>
  <c r="AI15" i="9"/>
  <c r="V9" i="5"/>
  <c r="W9" i="9"/>
  <c r="AH9" i="9"/>
  <c r="W8" i="10"/>
  <c r="W8" i="11"/>
  <c r="W8" i="9"/>
  <c r="AH8" i="9"/>
  <c r="V15" i="5"/>
  <c r="W15" i="11"/>
  <c r="W15" i="10"/>
  <c r="W15" i="9"/>
  <c r="AH15" i="9"/>
  <c r="W2" i="11"/>
  <c r="X3" i="10"/>
  <c r="W3" i="5"/>
  <c r="X3" i="11"/>
  <c r="X3" i="9"/>
  <c r="V11" i="5"/>
  <c r="W11" i="11"/>
  <c r="W11" i="10"/>
  <c r="W11" i="9"/>
  <c r="AH11" i="9"/>
  <c r="W7" i="5"/>
  <c r="X7" i="11"/>
  <c r="X7" i="9"/>
  <c r="AI7" i="9"/>
  <c r="X7" i="10"/>
  <c r="V2" i="5"/>
  <c r="O171" i="7"/>
  <c r="O132" i="7"/>
  <c r="B103" i="7"/>
  <c r="L103" i="7"/>
  <c r="M104" i="7"/>
  <c r="I104" i="7"/>
  <c r="K99" i="7"/>
  <c r="O102" i="7"/>
  <c r="O87" i="8"/>
  <c r="F103" i="7"/>
  <c r="O98" i="7"/>
  <c r="C73" i="18"/>
  <c r="C84" i="18"/>
  <c r="C95" i="18"/>
  <c r="D103" i="7"/>
  <c r="G104" i="7"/>
  <c r="G103" i="7"/>
  <c r="I137" i="18"/>
  <c r="I148" i="18"/>
  <c r="I159" i="18"/>
  <c r="I141" i="18"/>
  <c r="I152" i="18"/>
  <c r="I163" i="18"/>
  <c r="O101" i="7"/>
  <c r="M169" i="7"/>
  <c r="B104" i="7"/>
  <c r="I134" i="18"/>
  <c r="I145" i="18"/>
  <c r="I156" i="18"/>
  <c r="I139" i="18"/>
  <c r="I150" i="18"/>
  <c r="I161" i="18"/>
  <c r="I136" i="18"/>
  <c r="I147" i="18"/>
  <c r="I158" i="18"/>
  <c r="G70" i="18"/>
  <c r="G81" i="18"/>
  <c r="G86" i="18"/>
  <c r="G72" i="18"/>
  <c r="G83" i="18"/>
  <c r="G94" i="18"/>
  <c r="O94" i="18"/>
  <c r="I133" i="18"/>
  <c r="I144" i="18"/>
  <c r="I155" i="18"/>
  <c r="O97" i="7"/>
  <c r="O83" i="8"/>
  <c r="I135" i="18"/>
  <c r="I146" i="18"/>
  <c r="I157" i="18"/>
  <c r="E134" i="18"/>
  <c r="E145" i="18"/>
  <c r="E156" i="18"/>
  <c r="E140" i="18"/>
  <c r="E151" i="18"/>
  <c r="E162" i="18"/>
  <c r="E137" i="18"/>
  <c r="E148" i="18"/>
  <c r="E159" i="18"/>
  <c r="E135" i="18"/>
  <c r="E146" i="18"/>
  <c r="E157" i="18"/>
  <c r="I138" i="18"/>
  <c r="I149" i="18"/>
  <c r="I160" i="18"/>
  <c r="O166" i="7"/>
  <c r="O96" i="7"/>
  <c r="N50" i="3"/>
  <c r="O33" i="7"/>
  <c r="O30" i="7"/>
  <c r="O34" i="7"/>
  <c r="U174" i="12"/>
  <c r="U260" i="12"/>
  <c r="E75" i="18"/>
  <c r="E86" i="18"/>
  <c r="O95" i="18"/>
  <c r="F142" i="18"/>
  <c r="I75" i="18"/>
  <c r="G153" i="18"/>
  <c r="G142" i="18"/>
  <c r="C86" i="18"/>
  <c r="O188" i="8"/>
  <c r="O184" i="8"/>
  <c r="U74" i="9"/>
  <c r="C138" i="18"/>
  <c r="C149" i="18"/>
  <c r="C160" i="18"/>
  <c r="C140" i="18"/>
  <c r="C151" i="18"/>
  <c r="C162" i="18"/>
  <c r="C137" i="18"/>
  <c r="C148" i="18"/>
  <c r="C159" i="18"/>
  <c r="O159" i="18"/>
  <c r="C134" i="18"/>
  <c r="C145" i="18"/>
  <c r="C156" i="18"/>
  <c r="C136" i="18"/>
  <c r="C147" i="18"/>
  <c r="C158" i="18"/>
  <c r="C133" i="18"/>
  <c r="C135" i="18"/>
  <c r="C146" i="18"/>
  <c r="C157" i="18"/>
  <c r="C139" i="18"/>
  <c r="C150" i="18"/>
  <c r="C161" i="18"/>
  <c r="C141" i="18"/>
  <c r="C152" i="18"/>
  <c r="C163" i="18"/>
  <c r="O163" i="18"/>
  <c r="I86" i="18"/>
  <c r="O91" i="18"/>
  <c r="G75" i="18"/>
  <c r="O89" i="18"/>
  <c r="C75" i="18"/>
  <c r="M170" i="8"/>
  <c r="C152" i="7"/>
  <c r="G216" i="8"/>
  <c r="D170" i="8"/>
  <c r="O27" i="3"/>
  <c r="O44" i="3"/>
  <c r="O167" i="7"/>
  <c r="O67" i="7"/>
  <c r="O131" i="7"/>
  <c r="H170" i="8"/>
  <c r="J47" i="7"/>
  <c r="J52" i="7"/>
  <c r="J63" i="7"/>
  <c r="O63" i="7"/>
  <c r="K218" i="5"/>
  <c r="K338" i="5"/>
  <c r="D100" i="7"/>
  <c r="K100" i="7"/>
  <c r="K12" i="7"/>
  <c r="K103" i="7"/>
  <c r="E103" i="7"/>
  <c r="J103" i="7"/>
  <c r="O172" i="7"/>
  <c r="M51" i="7"/>
  <c r="M62" i="7"/>
  <c r="O62" i="7"/>
  <c r="N217" i="5"/>
  <c r="N337" i="5"/>
  <c r="G50" i="7"/>
  <c r="G61" i="7"/>
  <c r="O61" i="7"/>
  <c r="H216" i="5"/>
  <c r="H336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O229" i="5"/>
  <c r="H120" i="8"/>
  <c r="B216" i="8"/>
  <c r="J56" i="7"/>
  <c r="J67" i="7"/>
  <c r="K222" i="5"/>
  <c r="K342" i="5"/>
  <c r="I82" i="7"/>
  <c r="I117" i="7"/>
  <c r="D117" i="7"/>
  <c r="C117" i="7"/>
  <c r="H152" i="7"/>
  <c r="F152" i="7"/>
  <c r="E170" i="8"/>
  <c r="F216" i="8"/>
  <c r="F170" i="8"/>
  <c r="E12" i="8"/>
  <c r="N120" i="8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O233" i="5"/>
  <c r="D152" i="7"/>
  <c r="O136" i="7"/>
  <c r="O133" i="7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L253" i="5"/>
  <c r="L373" i="5"/>
  <c r="B124" i="7"/>
  <c r="B159" i="7"/>
  <c r="M137" i="8"/>
  <c r="M120" i="8"/>
  <c r="C82" i="8"/>
  <c r="C65" i="8"/>
  <c r="E82" i="8"/>
  <c r="E65" i="8"/>
  <c r="G158" i="7"/>
  <c r="G123" i="7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D58" i="7"/>
  <c r="E224" i="5"/>
  <c r="E344" i="5"/>
  <c r="K58" i="7"/>
  <c r="K69" i="7"/>
  <c r="L224" i="5"/>
  <c r="L344" i="5"/>
  <c r="M54" i="7"/>
  <c r="N220" i="5"/>
  <c r="N340" i="5"/>
  <c r="H12" i="7"/>
  <c r="F100" i="7"/>
  <c r="H124" i="7"/>
  <c r="H159" i="7"/>
  <c r="N124" i="7"/>
  <c r="N135" i="7"/>
  <c r="N159" i="7"/>
  <c r="N170" i="7"/>
  <c r="J124" i="7"/>
  <c r="J135" i="7"/>
  <c r="J159" i="7"/>
  <c r="H53" i="7"/>
  <c r="I219" i="5"/>
  <c r="I339" i="5"/>
  <c r="D53" i="7"/>
  <c r="D64" i="7"/>
  <c r="E219" i="5"/>
  <c r="E339" i="5"/>
  <c r="B12" i="7"/>
  <c r="B29" i="7"/>
  <c r="E82" i="7"/>
  <c r="E99" i="7"/>
  <c r="J82" i="7"/>
  <c r="J99" i="7"/>
  <c r="F117" i="7"/>
  <c r="F12" i="7"/>
  <c r="F29" i="7"/>
  <c r="B123" i="7"/>
  <c r="B158" i="7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P220" i="10"/>
  <c r="N158" i="7"/>
  <c r="N169" i="7"/>
  <c r="N123" i="7"/>
  <c r="N134" i="7"/>
  <c r="J123" i="7"/>
  <c r="J158" i="7"/>
  <c r="J169" i="7"/>
  <c r="E120" i="8"/>
  <c r="I65" i="8"/>
  <c r="I82" i="8"/>
  <c r="I216" i="8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C58" i="7"/>
  <c r="C69" i="7"/>
  <c r="D224" i="5"/>
  <c r="D344" i="5"/>
  <c r="G58" i="7"/>
  <c r="G69" i="7"/>
  <c r="H224" i="5"/>
  <c r="H344" i="5"/>
  <c r="L163" i="7"/>
  <c r="L174" i="7"/>
  <c r="L128" i="7"/>
  <c r="L139" i="7"/>
  <c r="N128" i="7"/>
  <c r="N139" i="7"/>
  <c r="N163" i="7"/>
  <c r="N174" i="7"/>
  <c r="I223" i="5"/>
  <c r="I343" i="5"/>
  <c r="H57" i="7"/>
  <c r="D57" i="7"/>
  <c r="D68" i="7"/>
  <c r="E223" i="5"/>
  <c r="E343" i="5"/>
  <c r="O28" i="3"/>
  <c r="O45" i="3"/>
  <c r="N127" i="7"/>
  <c r="N162" i="7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P235" i="10"/>
  <c r="B162" i="7"/>
  <c r="B127" i="7"/>
  <c r="K216" i="8"/>
  <c r="G162" i="7"/>
  <c r="G127" i="7"/>
  <c r="I58" i="7"/>
  <c r="I69" i="7"/>
  <c r="J224" i="5"/>
  <c r="J344" i="5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L53" i="7"/>
  <c r="M219" i="5"/>
  <c r="M339" i="5"/>
  <c r="M99" i="7"/>
  <c r="M82" i="7"/>
  <c r="L47" i="7"/>
  <c r="L64" i="7"/>
  <c r="M162" i="7"/>
  <c r="M127" i="7"/>
  <c r="G54" i="7"/>
  <c r="H220" i="5"/>
  <c r="H340" i="5"/>
  <c r="O138" i="8"/>
  <c r="P243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P232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E163" i="7"/>
  <c r="E128" i="7"/>
  <c r="L99" i="7"/>
  <c r="M230" i="5"/>
  <c r="M350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N53" i="7"/>
  <c r="O219" i="5"/>
  <c r="N82" i="7"/>
  <c r="D82" i="7"/>
  <c r="D99" i="7"/>
  <c r="G99" i="7"/>
  <c r="G82" i="7"/>
  <c r="J137" i="8"/>
  <c r="J120" i="8"/>
  <c r="O187" i="8"/>
  <c r="K123" i="7"/>
  <c r="K134" i="7"/>
  <c r="K158" i="7"/>
  <c r="K169" i="7"/>
  <c r="O29" i="8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K170" i="8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N12" i="8"/>
  <c r="K82" i="7"/>
  <c r="M139" i="7"/>
  <c r="H58" i="7"/>
  <c r="I224" i="5"/>
  <c r="I344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O246" i="5"/>
  <c r="P258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K163" i="7"/>
  <c r="K174" i="7"/>
  <c r="K128" i="7"/>
  <c r="K139" i="7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P225" i="10"/>
  <c r="B128" i="7"/>
  <c r="B163" i="7"/>
  <c r="F57" i="7"/>
  <c r="F68" i="7"/>
  <c r="G223" i="5"/>
  <c r="G343" i="5"/>
  <c r="H103" i="7"/>
  <c r="I234" i="5"/>
  <c r="I354" i="5"/>
  <c r="N173" i="7"/>
  <c r="D127" i="7"/>
  <c r="D162" i="7"/>
  <c r="O24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P221" i="10"/>
  <c r="B53" i="7"/>
  <c r="B64" i="7"/>
  <c r="C219" i="5"/>
  <c r="C339" i="5"/>
  <c r="N29" i="7"/>
  <c r="N12" i="7"/>
  <c r="M135" i="7"/>
  <c r="N242" i="5"/>
  <c r="N362" i="5"/>
  <c r="E57" i="7"/>
  <c r="F223" i="5"/>
  <c r="F343" i="5"/>
  <c r="G128" i="7"/>
  <c r="G163" i="7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O231" i="5"/>
  <c r="K54" i="7"/>
  <c r="K65" i="7"/>
  <c r="L220" i="5"/>
  <c r="L340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O253" i="5"/>
  <c r="B54" i="7"/>
  <c r="B65" i="7"/>
  <c r="C220" i="5"/>
  <c r="C340" i="5"/>
  <c r="J170" i="7"/>
  <c r="O42" i="3"/>
  <c r="O25" i="3"/>
  <c r="K159" i="7"/>
  <c r="K170" i="7"/>
  <c r="K124" i="7"/>
  <c r="P254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D159" i="7"/>
  <c r="D124" i="7"/>
  <c r="P221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J117" i="7"/>
  <c r="B117" i="7"/>
  <c r="P242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F158" i="7"/>
  <c r="F123" i="7"/>
  <c r="P253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H64" i="7"/>
  <c r="H47" i="7"/>
  <c r="K47" i="7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M58" i="7"/>
  <c r="N224" i="5"/>
  <c r="N344" i="5"/>
  <c r="G12" i="7"/>
  <c r="W43" i="8"/>
  <c r="Z48" i="9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O257" i="5"/>
  <c r="L104" i="7"/>
  <c r="M235" i="5"/>
  <c r="M355" i="5"/>
  <c r="O142" i="8"/>
  <c r="O192" i="8"/>
  <c r="P236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J128" i="7"/>
  <c r="J139" i="7"/>
  <c r="J163" i="7"/>
  <c r="H128" i="7"/>
  <c r="H163" i="7"/>
  <c r="D69" i="7"/>
  <c r="B69" i="7"/>
  <c r="K245" i="5"/>
  <c r="K365" i="5"/>
  <c r="M138" i="7"/>
  <c r="L127" i="7"/>
  <c r="L138" i="7"/>
  <c r="L162" i="7"/>
  <c r="L173" i="7"/>
  <c r="P224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O33" i="8"/>
  <c r="I170" i="8"/>
  <c r="J170" i="8"/>
  <c r="K12" i="8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K29" i="7"/>
  <c r="C54" i="7"/>
  <c r="C65" i="7"/>
  <c r="D220" i="5"/>
  <c r="D340" i="5"/>
  <c r="O234" i="8"/>
  <c r="P232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L159" i="7"/>
  <c r="L170" i="7"/>
  <c r="L124" i="7"/>
  <c r="L135" i="7"/>
  <c r="P254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G65" i="7"/>
  <c r="J134" i="7"/>
  <c r="K241" i="5"/>
  <c r="K361" i="5"/>
  <c r="K152" i="7"/>
  <c r="J152" i="7"/>
  <c r="L241" i="5"/>
  <c r="L361" i="5"/>
  <c r="M117" i="7"/>
  <c r="M134" i="7"/>
  <c r="D120" i="8"/>
  <c r="P253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O233" i="8"/>
  <c r="M64" i="7"/>
  <c r="M47" i="7"/>
  <c r="G82" i="8"/>
  <c r="G65" i="8"/>
  <c r="B65" i="8"/>
  <c r="B82" i="8"/>
  <c r="N64" i="7"/>
  <c r="N47" i="7"/>
  <c r="C47" i="7"/>
  <c r="I53" i="7"/>
  <c r="I64" i="7"/>
  <c r="J219" i="5"/>
  <c r="J339" i="5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O26" i="8"/>
  <c r="E127" i="7"/>
  <c r="E162" i="7"/>
  <c r="C127" i="7"/>
  <c r="C162" i="7"/>
  <c r="I12" i="7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J58" i="7"/>
  <c r="K224" i="5"/>
  <c r="K344" i="5"/>
  <c r="D104" i="7"/>
  <c r="E235" i="5"/>
  <c r="E355" i="5"/>
  <c r="B58" i="7"/>
  <c r="C224" i="5"/>
  <c r="C344" i="5"/>
  <c r="F104" i="7"/>
  <c r="N93" i="7"/>
  <c r="N104" i="7"/>
  <c r="P247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P225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M152" i="7"/>
  <c r="B57" i="7"/>
  <c r="B68" i="7"/>
  <c r="C223" i="5"/>
  <c r="C343" i="5"/>
  <c r="O25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M256" i="5"/>
  <c r="M376" i="5"/>
  <c r="O141" i="8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P246" i="10"/>
  <c r="H68" i="7"/>
  <c r="I47" i="7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J216" i="8"/>
  <c r="F54" i="7"/>
  <c r="F65" i="7"/>
  <c r="G220" i="5"/>
  <c r="G340" i="5"/>
  <c r="P243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C53" i="7"/>
  <c r="C64" i="7"/>
  <c r="D219" i="5"/>
  <c r="D339" i="5"/>
  <c r="F82" i="8"/>
  <c r="F65" i="8"/>
  <c r="J54" i="7"/>
  <c r="K220" i="5"/>
  <c r="K340" i="5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C29" i="7"/>
  <c r="H54" i="7"/>
  <c r="H65" i="7"/>
  <c r="I220" i="5"/>
  <c r="I340" i="5"/>
  <c r="H100" i="7"/>
  <c r="K135" i="7"/>
  <c r="M65" i="7"/>
  <c r="O30" i="8"/>
  <c r="K252" i="5"/>
  <c r="K372" i="5"/>
  <c r="J29" i="7"/>
  <c r="J12" i="7"/>
  <c r="J53" i="7"/>
  <c r="K219" i="5"/>
  <c r="K339" i="5"/>
  <c r="E117" i="7"/>
  <c r="K137" i="8"/>
  <c r="K120" i="8"/>
  <c r="D158" i="7"/>
  <c r="D123" i="7"/>
  <c r="N88" i="7"/>
  <c r="N99" i="7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P231" i="11"/>
  <c r="P220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N82" i="8"/>
  <c r="N65" i="8"/>
  <c r="F47" i="7"/>
  <c r="J82" i="8"/>
  <c r="J65" i="8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G57" i="7"/>
  <c r="H223" i="5"/>
  <c r="H343" i="5"/>
  <c r="I12" i="8"/>
  <c r="C82" i="7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J104" i="7"/>
  <c r="M257" i="5"/>
  <c r="M377" i="5"/>
  <c r="N58" i="7"/>
  <c r="N69" i="7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O224" i="5"/>
  <c r="O29" i="3"/>
  <c r="O46" i="3"/>
  <c r="D163" i="7"/>
  <c r="D128" i="7"/>
  <c r="J69" i="7"/>
  <c r="J57" i="7"/>
  <c r="J68" i="7"/>
  <c r="K223" i="5"/>
  <c r="K343" i="5"/>
  <c r="M173" i="7"/>
  <c r="O191" i="8"/>
  <c r="F127" i="7"/>
  <c r="F162" i="7"/>
  <c r="O237" i="8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P257" i="10"/>
  <c r="K127" i="7"/>
  <c r="K138" i="7"/>
  <c r="K162" i="7"/>
  <c r="K173" i="7"/>
  <c r="E68" i="7"/>
  <c r="D47" i="7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M57" i="7"/>
  <c r="M68" i="7"/>
  <c r="N223" i="5"/>
  <c r="N343" i="5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M253" i="5"/>
  <c r="M373" i="5"/>
  <c r="F124" i="7"/>
  <c r="F159" i="7"/>
  <c r="N117" i="7"/>
  <c r="J100" i="7"/>
  <c r="K231" i="5"/>
  <c r="K351" i="5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N216" i="8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M220" i="5"/>
  <c r="M340" i="5"/>
  <c r="L54" i="7"/>
  <c r="L65" i="7"/>
  <c r="L100" i="7"/>
  <c r="M231" i="5"/>
  <c r="M351" i="5"/>
  <c r="B100" i="7"/>
  <c r="F53" i="7"/>
  <c r="F64" i="7"/>
  <c r="G219" i="5"/>
  <c r="G339" i="5"/>
  <c r="O23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D29" i="7"/>
  <c r="D12" i="7"/>
  <c r="O41" i="3"/>
  <c r="O24" i="3"/>
  <c r="O25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O24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B152" i="7"/>
  <c r="L123" i="7"/>
  <c r="L134" i="7"/>
  <c r="L158" i="7"/>
  <c r="H158" i="7"/>
  <c r="H123" i="7"/>
  <c r="P242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J64" i="7"/>
  <c r="L65" i="8"/>
  <c r="L82" i="8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M12" i="7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K104" i="7"/>
  <c r="L235" i="5"/>
  <c r="L355" i="5"/>
  <c r="O23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F58" i="7"/>
  <c r="F69" i="7"/>
  <c r="G224" i="5"/>
  <c r="G344" i="5"/>
  <c r="H104" i="7"/>
  <c r="E104" i="7"/>
  <c r="O238" i="8"/>
  <c r="P236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O34" i="8"/>
  <c r="N57" i="7"/>
  <c r="N68" i="7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O223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O234" i="5"/>
  <c r="I103" i="7"/>
  <c r="O24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P257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L12" i="8"/>
  <c r="L170" i="8"/>
  <c r="I120" i="8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N170" i="8"/>
  <c r="O137" i="7"/>
  <c r="P231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C163" i="7"/>
  <c r="C128" i="7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E220" i="5"/>
  <c r="E340" i="5"/>
  <c r="D54" i="7"/>
  <c r="D65" i="7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N54" i="7"/>
  <c r="N65" i="7"/>
  <c r="O220" i="5"/>
  <c r="N89" i="7"/>
  <c r="N100" i="7"/>
  <c r="J65" i="7"/>
  <c r="K53" i="7"/>
  <c r="K64" i="7"/>
  <c r="L219" i="5"/>
  <c r="L339" i="5"/>
  <c r="F82" i="7"/>
  <c r="L152" i="7"/>
  <c r="L169" i="7"/>
  <c r="E29" i="7"/>
  <c r="E12" i="7"/>
  <c r="F99" i="7"/>
  <c r="G230" i="5"/>
  <c r="G350" i="5"/>
  <c r="B99" i="7"/>
  <c r="B82" i="7"/>
  <c r="H99" i="7"/>
  <c r="H82" i="7"/>
  <c r="C120" i="8"/>
  <c r="L137" i="8"/>
  <c r="L120" i="8"/>
  <c r="B120" i="8"/>
  <c r="B47" i="7"/>
  <c r="E64" i="7"/>
  <c r="E47" i="7"/>
  <c r="G47" i="7"/>
  <c r="G64" i="7"/>
  <c r="K65" i="8"/>
  <c r="K82" i="8"/>
  <c r="H82" i="8"/>
  <c r="H65" i="8"/>
  <c r="M65" i="8"/>
  <c r="M82" i="8"/>
  <c r="D65" i="8"/>
  <c r="D82" i="8"/>
  <c r="E58" i="7"/>
  <c r="E69" i="7"/>
  <c r="F224" i="5"/>
  <c r="F344" i="5"/>
  <c r="I57" i="7"/>
  <c r="J223" i="5"/>
  <c r="J343" i="5"/>
  <c r="L58" i="7"/>
  <c r="L69" i="7"/>
  <c r="M224" i="5"/>
  <c r="M344" i="5"/>
  <c r="L246" i="5"/>
  <c r="L366" i="5"/>
  <c r="J174" i="7"/>
  <c r="K257" i="5"/>
  <c r="K377" i="5"/>
  <c r="P258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L223" i="5"/>
  <c r="L343" i="5"/>
  <c r="K57" i="7"/>
  <c r="K68" i="7"/>
  <c r="M103" i="7"/>
  <c r="J127" i="7"/>
  <c r="J138" i="7"/>
  <c r="J162" i="7"/>
  <c r="J173" i="7"/>
  <c r="N92" i="7"/>
  <c r="N103" i="7"/>
  <c r="P246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P224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I68" i="7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N152" i="7"/>
  <c r="F128" i="7"/>
  <c r="F163" i="7"/>
  <c r="P247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M69" i="7"/>
  <c r="H69" i="7"/>
  <c r="C57" i="7"/>
  <c r="C68" i="7"/>
  <c r="D223" i="5"/>
  <c r="D343" i="5"/>
  <c r="L57" i="7"/>
  <c r="L68" i="7"/>
  <c r="M223" i="5"/>
  <c r="M343" i="5"/>
  <c r="K256" i="5"/>
  <c r="K376" i="5"/>
  <c r="N138" i="7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P235" i="11"/>
  <c r="H162" i="7"/>
  <c r="H127" i="7"/>
  <c r="G68" i="7"/>
  <c r="M216" i="8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L117" i="7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L216" i="8"/>
  <c r="L12" i="7"/>
  <c r="T47" i="9"/>
  <c r="Q42" i="8"/>
  <c r="D153" i="18"/>
  <c r="B153" i="18"/>
  <c r="L153" i="18"/>
  <c r="J153" i="18"/>
  <c r="H153" i="18"/>
  <c r="H162" i="18"/>
  <c r="J155" i="18"/>
  <c r="B157" i="18"/>
  <c r="D157" i="18"/>
  <c r="F153" i="18"/>
  <c r="L155" i="18"/>
  <c r="K86" i="18"/>
  <c r="N86" i="18"/>
  <c r="M153" i="18"/>
  <c r="N153" i="18"/>
  <c r="K153" i="18"/>
  <c r="M88" i="18"/>
  <c r="O88" i="18"/>
  <c r="M86" i="18"/>
  <c r="T137" i="12"/>
  <c r="T223" i="12"/>
  <c r="T156" i="12"/>
  <c r="T242" i="12"/>
  <c r="T174" i="12"/>
  <c r="T260" i="12"/>
  <c r="U137" i="12"/>
  <c r="U223" i="12"/>
  <c r="T247" i="12"/>
  <c r="T165" i="12"/>
  <c r="T251" i="12"/>
  <c r="U146" i="12"/>
  <c r="U232" i="12"/>
  <c r="U247" i="12"/>
  <c r="U165" i="12"/>
  <c r="U251" i="12"/>
  <c r="U156" i="12"/>
  <c r="U242" i="12"/>
  <c r="V254" i="12"/>
  <c r="W112" i="12"/>
  <c r="W198" i="12"/>
  <c r="W122" i="12"/>
  <c r="W208" i="12"/>
  <c r="W132" i="12"/>
  <c r="W218" i="12"/>
  <c r="W141" i="12"/>
  <c r="W227" i="12"/>
  <c r="W159" i="12"/>
  <c r="W245" i="12"/>
  <c r="W150" i="12"/>
  <c r="W236" i="12"/>
  <c r="W169" i="12"/>
  <c r="W255" i="12"/>
  <c r="X70" i="12"/>
  <c r="V217" i="12"/>
  <c r="W125" i="12"/>
  <c r="W211" i="12"/>
  <c r="W115" i="12"/>
  <c r="W201" i="12"/>
  <c r="W163" i="12"/>
  <c r="W249" i="12"/>
  <c r="W154" i="12"/>
  <c r="W240" i="12"/>
  <c r="W173" i="12"/>
  <c r="W259" i="12"/>
  <c r="X79" i="12"/>
  <c r="W135" i="12"/>
  <c r="W221" i="12"/>
  <c r="V226" i="12"/>
  <c r="W117" i="12"/>
  <c r="W203" i="12"/>
  <c r="W127" i="12"/>
  <c r="W213" i="12"/>
  <c r="W145" i="12"/>
  <c r="W231" i="12"/>
  <c r="W155" i="12"/>
  <c r="W241" i="12"/>
  <c r="W164" i="12"/>
  <c r="W250" i="12"/>
  <c r="W136" i="12"/>
  <c r="W222" i="12"/>
  <c r="X84" i="12"/>
  <c r="V235" i="12"/>
  <c r="W68" i="12"/>
  <c r="X64" i="12"/>
  <c r="W67" i="12"/>
  <c r="X65" i="12"/>
  <c r="X66" i="12"/>
  <c r="W75" i="12"/>
  <c r="S23" i="9"/>
  <c r="S25" i="9"/>
  <c r="S86" i="9"/>
  <c r="S65" i="9"/>
  <c r="S55" i="9"/>
  <c r="S58" i="9"/>
  <c r="S26" i="9"/>
  <c r="S28" i="9"/>
  <c r="S30" i="9"/>
  <c r="S80" i="9"/>
  <c r="S83" i="9"/>
  <c r="S72" i="9"/>
  <c r="S52" i="9"/>
  <c r="S42" i="9"/>
  <c r="Q20" i="8"/>
  <c r="S45" i="9"/>
  <c r="Q23" i="8"/>
  <c r="S53" i="9"/>
  <c r="S56" i="9"/>
  <c r="S57" i="9"/>
  <c r="S37" i="9"/>
  <c r="Q15" i="8"/>
  <c r="S38" i="9"/>
  <c r="Q16" i="8"/>
  <c r="S41" i="9"/>
  <c r="Q19" i="8"/>
  <c r="S84" i="9"/>
  <c r="S87" i="9"/>
  <c r="S67" i="9"/>
  <c r="S68" i="9"/>
  <c r="S71" i="9"/>
  <c r="S24" i="9"/>
  <c r="S22" i="9"/>
  <c r="S27" i="9"/>
  <c r="S66" i="9"/>
  <c r="S69" i="9"/>
  <c r="S70" i="9"/>
  <c r="S73" i="9"/>
  <c r="S51" i="9"/>
  <c r="S54" i="9"/>
  <c r="S88" i="9"/>
  <c r="S81" i="9"/>
  <c r="S85" i="9"/>
  <c r="S82" i="9"/>
  <c r="S39" i="9"/>
  <c r="Q17" i="8"/>
  <c r="S43" i="9"/>
  <c r="Q21" i="8"/>
  <c r="S59" i="9"/>
  <c r="S40" i="9"/>
  <c r="Q18" i="8"/>
  <c r="S44" i="9"/>
  <c r="Q22" i="8"/>
  <c r="S29" i="9"/>
  <c r="W103" i="12"/>
  <c r="X101" i="12"/>
  <c r="V207" i="12"/>
  <c r="V128" i="12"/>
  <c r="V214" i="12"/>
  <c r="V113" i="12"/>
  <c r="V199" i="12"/>
  <c r="V134" i="12"/>
  <c r="V220" i="12"/>
  <c r="V161" i="12"/>
  <c r="V152" i="12"/>
  <c r="V238" i="12"/>
  <c r="V171" i="12"/>
  <c r="V257" i="12"/>
  <c r="V143" i="12"/>
  <c r="V229" i="12"/>
  <c r="W121" i="12"/>
  <c r="W111" i="12"/>
  <c r="W131" i="12"/>
  <c r="W140" i="12"/>
  <c r="W149" i="12"/>
  <c r="W168" i="12"/>
  <c r="X246" i="12"/>
  <c r="L49" i="3"/>
  <c r="M50" i="3"/>
  <c r="L32" i="3"/>
  <c r="M33" i="3" s="1"/>
  <c r="T21" i="9"/>
  <c r="Y116" i="12"/>
  <c r="Y202" i="12"/>
  <c r="Y133" i="12"/>
  <c r="Y219" i="12"/>
  <c r="Y142" i="12"/>
  <c r="Y228" i="12"/>
  <c r="Y170" i="12"/>
  <c r="Y256" i="12"/>
  <c r="Y151" i="12"/>
  <c r="Y237" i="12"/>
  <c r="Z72" i="12"/>
  <c r="Y160" i="12"/>
  <c r="Y123" i="12"/>
  <c r="Y209" i="12"/>
  <c r="V86" i="12"/>
  <c r="W93" i="12"/>
  <c r="V95" i="12"/>
  <c r="V118" i="12"/>
  <c r="V204" i="12"/>
  <c r="V197" i="12"/>
  <c r="P47" i="3"/>
  <c r="P49" i="3"/>
  <c r="Q29" i="3"/>
  <c r="Q46" i="3"/>
  <c r="Q44" i="3"/>
  <c r="Q27" i="3"/>
  <c r="Q43" i="3"/>
  <c r="Q26" i="3"/>
  <c r="R8" i="3"/>
  <c r="R44" i="3"/>
  <c r="R10" i="3"/>
  <c r="R2" i="3"/>
  <c r="R38" i="3"/>
  <c r="R4" i="3"/>
  <c r="R40" i="3"/>
  <c r="R6" i="3"/>
  <c r="R42" i="3"/>
  <c r="R7" i="3"/>
  <c r="R9" i="3"/>
  <c r="R45" i="3"/>
  <c r="S11" i="3"/>
  <c r="S14" i="3"/>
  <c r="S15" i="3"/>
  <c r="R3" i="3"/>
  <c r="R39" i="3"/>
  <c r="R5" i="3"/>
  <c r="R41" i="3"/>
  <c r="Q41" i="3"/>
  <c r="Q24" i="3"/>
  <c r="P30" i="3"/>
  <c r="P32" i="3"/>
  <c r="Q28" i="3"/>
  <c r="Q45" i="3"/>
  <c r="Q22" i="3"/>
  <c r="Q39" i="3"/>
  <c r="Q21" i="3"/>
  <c r="Q38" i="3"/>
  <c r="Q42" i="3"/>
  <c r="Q25" i="3"/>
  <c r="Q40" i="3"/>
  <c r="F47" i="4"/>
  <c r="F49" i="4"/>
  <c r="V8" i="5"/>
  <c r="F99" i="4"/>
  <c r="G97" i="4"/>
  <c r="F94" i="4"/>
  <c r="G92" i="4"/>
  <c r="E89" i="4"/>
  <c r="F87" i="4"/>
  <c r="X9" i="9"/>
  <c r="AI9" i="9"/>
  <c r="E84" i="4"/>
  <c r="F82" i="4"/>
  <c r="F79" i="4"/>
  <c r="G77" i="4"/>
  <c r="F74" i="4"/>
  <c r="G72" i="4"/>
  <c r="F69" i="4"/>
  <c r="G67" i="4"/>
  <c r="E64" i="4"/>
  <c r="F62" i="4"/>
  <c r="E59" i="4"/>
  <c r="F57" i="4"/>
  <c r="F54" i="4"/>
  <c r="G52" i="4"/>
  <c r="F44" i="4"/>
  <c r="G42" i="4"/>
  <c r="F39" i="4"/>
  <c r="G37" i="4"/>
  <c r="E34" i="4"/>
  <c r="F32" i="4"/>
  <c r="X2" i="9"/>
  <c r="F29" i="4"/>
  <c r="G27" i="4"/>
  <c r="F24" i="4"/>
  <c r="G22" i="4"/>
  <c r="W9" i="5"/>
  <c r="X8" i="10"/>
  <c r="X8" i="11"/>
  <c r="X8" i="9"/>
  <c r="AI8" i="9"/>
  <c r="Y3" i="10"/>
  <c r="Y3" i="11"/>
  <c r="Y3" i="9"/>
  <c r="X3" i="5"/>
  <c r="Y14" i="11"/>
  <c r="X14" i="5"/>
  <c r="Y14" i="9"/>
  <c r="AJ14" i="9"/>
  <c r="Y14" i="10"/>
  <c r="X7" i="5"/>
  <c r="Y7" i="10"/>
  <c r="Y7" i="9"/>
  <c r="AJ7" i="9"/>
  <c r="Y7" i="11"/>
  <c r="Y13" i="9"/>
  <c r="AJ13" i="9"/>
  <c r="X13" i="5"/>
  <c r="Y13" i="10"/>
  <c r="Y13" i="11"/>
  <c r="W2" i="5"/>
  <c r="X12" i="5"/>
  <c r="Y12" i="10"/>
  <c r="Y12" i="9"/>
  <c r="AJ12" i="9"/>
  <c r="Y12" i="11"/>
  <c r="X9" i="11"/>
  <c r="X2" i="10"/>
  <c r="X2" i="11"/>
  <c r="W10" i="5"/>
  <c r="X10" i="11"/>
  <c r="X10" i="9"/>
  <c r="AI10" i="9"/>
  <c r="X10" i="10"/>
  <c r="X9" i="10"/>
  <c r="X15" i="5"/>
  <c r="Y15" i="10"/>
  <c r="Y15" i="11"/>
  <c r="Y15" i="9"/>
  <c r="AJ15" i="9"/>
  <c r="W11" i="5"/>
  <c r="X11" i="11"/>
  <c r="X11" i="10"/>
  <c r="X11" i="9"/>
  <c r="AI11" i="9"/>
  <c r="O160" i="18"/>
  <c r="O161" i="18"/>
  <c r="O156" i="18"/>
  <c r="I153" i="18"/>
  <c r="E153" i="18"/>
  <c r="I142" i="18"/>
  <c r="O158" i="18"/>
  <c r="E142" i="18"/>
  <c r="V137" i="12"/>
  <c r="V223" i="12"/>
  <c r="O162" i="18"/>
  <c r="O155" i="18"/>
  <c r="V74" i="9"/>
  <c r="C144" i="18"/>
  <c r="C153" i="18"/>
  <c r="C142" i="18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O138" i="7"/>
  <c r="O139" i="7"/>
  <c r="O82" i="8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O100" i="7"/>
  <c r="O137" i="8"/>
  <c r="O68" i="7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O47" i="3"/>
  <c r="O49" i="3"/>
  <c r="O65" i="7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O103" i="7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A48" i="9"/>
  <c r="X43" i="8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O169" i="7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O173" i="7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R26" i="3"/>
  <c r="S26" i="3"/>
  <c r="T26" i="3"/>
  <c r="V26" i="3"/>
  <c r="W26" i="3"/>
  <c r="X26" i="3"/>
  <c r="Y26" i="3"/>
  <c r="Z26" i="3"/>
  <c r="AA26" i="3"/>
  <c r="R43" i="3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O135" i="7"/>
  <c r="O64" i="7"/>
  <c r="O99" i="7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O29" i="7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O170" i="7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O134" i="7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O69" i="7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O174" i="7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O30" i="3"/>
  <c r="O32" i="3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O104" i="7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U47" i="9"/>
  <c r="R42" i="8"/>
  <c r="O157" i="18"/>
  <c r="V156" i="12"/>
  <c r="V242" i="12"/>
  <c r="V146" i="12"/>
  <c r="V232" i="12"/>
  <c r="V174" i="12"/>
  <c r="V260" i="12"/>
  <c r="V247" i="12"/>
  <c r="V165" i="12"/>
  <c r="V251" i="12"/>
  <c r="X121" i="12"/>
  <c r="X111" i="12"/>
  <c r="X131" i="12"/>
  <c r="X140" i="12"/>
  <c r="X149" i="12"/>
  <c r="X168" i="12"/>
  <c r="W113" i="12"/>
  <c r="W199" i="12"/>
  <c r="W143" i="12"/>
  <c r="W229" i="12"/>
  <c r="W171" i="12"/>
  <c r="W257" i="12"/>
  <c r="W134" i="12"/>
  <c r="W220" i="12"/>
  <c r="W161" i="12"/>
  <c r="W152" i="12"/>
  <c r="W238" i="12"/>
  <c r="W254" i="12"/>
  <c r="Z123" i="12"/>
  <c r="Z209" i="12"/>
  <c r="Z142" i="12"/>
  <c r="Z228" i="12"/>
  <c r="Z116" i="12"/>
  <c r="Z202" i="12"/>
  <c r="Z133" i="12"/>
  <c r="Z219" i="12"/>
  <c r="Z160" i="12"/>
  <c r="Z151" i="12"/>
  <c r="Z237" i="12"/>
  <c r="Z170" i="12"/>
  <c r="Z256" i="12"/>
  <c r="AA72" i="12"/>
  <c r="W156" i="12"/>
  <c r="W242" i="12"/>
  <c r="W235" i="12"/>
  <c r="W86" i="12"/>
  <c r="W95" i="12"/>
  <c r="X93" i="12"/>
  <c r="W128" i="12"/>
  <c r="W214" i="12"/>
  <c r="W207" i="12"/>
  <c r="T68" i="9"/>
  <c r="T71" i="9"/>
  <c r="T38" i="9"/>
  <c r="R16" i="8"/>
  <c r="T41" i="9"/>
  <c r="R19" i="8"/>
  <c r="T23" i="9"/>
  <c r="T86" i="9"/>
  <c r="T65" i="9"/>
  <c r="T55" i="9"/>
  <c r="T58" i="9"/>
  <c r="T26" i="9"/>
  <c r="T28" i="9"/>
  <c r="T30" i="9"/>
  <c r="T59" i="9"/>
  <c r="T39" i="9"/>
  <c r="R17" i="8"/>
  <c r="T40" i="9"/>
  <c r="R18" i="8"/>
  <c r="T43" i="9"/>
  <c r="R21" i="8"/>
  <c r="T44" i="9"/>
  <c r="R22" i="8"/>
  <c r="T69" i="9"/>
  <c r="T51" i="9"/>
  <c r="T54" i="9"/>
  <c r="T80" i="9"/>
  <c r="T83" i="9"/>
  <c r="T84" i="9"/>
  <c r="T87" i="9"/>
  <c r="T67" i="9"/>
  <c r="T25" i="9"/>
  <c r="T85" i="9"/>
  <c r="T22" i="9"/>
  <c r="T27" i="9"/>
  <c r="T72" i="9"/>
  <c r="T52" i="9"/>
  <c r="T53" i="9"/>
  <c r="T56" i="9"/>
  <c r="T57" i="9"/>
  <c r="T37" i="9"/>
  <c r="R15" i="8"/>
  <c r="T73" i="9"/>
  <c r="T88" i="9"/>
  <c r="T82" i="9"/>
  <c r="T66" i="9"/>
  <c r="T70" i="9"/>
  <c r="T24" i="9"/>
  <c r="T81" i="9"/>
  <c r="T42" i="9"/>
  <c r="R20" i="8"/>
  <c r="T45" i="9"/>
  <c r="R23" i="8"/>
  <c r="T29" i="9"/>
  <c r="Y246" i="12"/>
  <c r="X117" i="12"/>
  <c r="X203" i="12"/>
  <c r="X127" i="12"/>
  <c r="X213" i="12"/>
  <c r="X136" i="12"/>
  <c r="X222" i="12"/>
  <c r="X155" i="12"/>
  <c r="X241" i="12"/>
  <c r="X145" i="12"/>
  <c r="X231" i="12"/>
  <c r="X164" i="12"/>
  <c r="X250" i="12"/>
  <c r="Y84" i="12"/>
  <c r="W146" i="12"/>
  <c r="W232" i="12"/>
  <c r="W226" i="12"/>
  <c r="X125" i="12"/>
  <c r="X211" i="12"/>
  <c r="X115" i="12"/>
  <c r="X201" i="12"/>
  <c r="X135" i="12"/>
  <c r="X221" i="12"/>
  <c r="X154" i="12"/>
  <c r="X240" i="12"/>
  <c r="X173" i="12"/>
  <c r="X259" i="12"/>
  <c r="X163" i="12"/>
  <c r="X249" i="12"/>
  <c r="Y79" i="12"/>
  <c r="X112" i="12"/>
  <c r="X198" i="12"/>
  <c r="X122" i="12"/>
  <c r="X208" i="12"/>
  <c r="X132" i="12"/>
  <c r="X218" i="12"/>
  <c r="X169" i="12"/>
  <c r="X255" i="12"/>
  <c r="X141" i="12"/>
  <c r="X227" i="12"/>
  <c r="X159" i="12"/>
  <c r="X245" i="12"/>
  <c r="X150" i="12"/>
  <c r="X236" i="12"/>
  <c r="Y70" i="12"/>
  <c r="W217" i="12"/>
  <c r="Y101" i="12"/>
  <c r="X103" i="12"/>
  <c r="Y65" i="12"/>
  <c r="Y66" i="12"/>
  <c r="Y64" i="12"/>
  <c r="X67" i="12"/>
  <c r="X68" i="12"/>
  <c r="X75" i="12"/>
  <c r="U21" i="9"/>
  <c r="W118" i="12"/>
  <c r="W204" i="12"/>
  <c r="W197" i="12"/>
  <c r="X94" i="12"/>
  <c r="S4" i="3"/>
  <c r="S40" i="3"/>
  <c r="S8" i="3"/>
  <c r="S10" i="3"/>
  <c r="S29" i="3"/>
  <c r="S6" i="3"/>
  <c r="S42" i="3"/>
  <c r="T11" i="3"/>
  <c r="T14" i="3"/>
  <c r="T15" i="3"/>
  <c r="S3" i="3"/>
  <c r="S5" i="3"/>
  <c r="S2" i="3"/>
  <c r="S7" i="3"/>
  <c r="S43" i="3"/>
  <c r="S9" i="3"/>
  <c r="S45" i="3"/>
  <c r="R28" i="3"/>
  <c r="R25" i="3"/>
  <c r="S25" i="3"/>
  <c r="T25" i="3"/>
  <c r="U25" i="3"/>
  <c r="V25" i="3"/>
  <c r="W25" i="3"/>
  <c r="X25" i="3"/>
  <c r="Y25" i="3"/>
  <c r="Z25" i="3"/>
  <c r="AA25" i="3"/>
  <c r="R27" i="3"/>
  <c r="R22" i="3"/>
  <c r="S23" i="3"/>
  <c r="T23" i="3"/>
  <c r="Q47" i="3"/>
  <c r="Q49" i="3"/>
  <c r="R21" i="3"/>
  <c r="Q30" i="3"/>
  <c r="Q32" i="3"/>
  <c r="R24" i="3"/>
  <c r="R46" i="3"/>
  <c r="S46" i="3"/>
  <c r="T46" i="3"/>
  <c r="U46" i="3"/>
  <c r="V46" i="3"/>
  <c r="W46" i="3"/>
  <c r="X46" i="3"/>
  <c r="Y46" i="3"/>
  <c r="Z46" i="3"/>
  <c r="AA46" i="3"/>
  <c r="R29" i="3"/>
  <c r="G47" i="4"/>
  <c r="G49" i="4"/>
  <c r="W8" i="5"/>
  <c r="G99" i="4"/>
  <c r="H97" i="4"/>
  <c r="G94" i="4"/>
  <c r="H92" i="4"/>
  <c r="F89" i="4"/>
  <c r="G87" i="4"/>
  <c r="X9" i="5"/>
  <c r="F84" i="4"/>
  <c r="G82" i="4"/>
  <c r="G79" i="4"/>
  <c r="H77" i="4"/>
  <c r="G74" i="4"/>
  <c r="H72" i="4"/>
  <c r="G69" i="4"/>
  <c r="H67" i="4"/>
  <c r="F64" i="4"/>
  <c r="G62" i="4"/>
  <c r="F59" i="4"/>
  <c r="G57" i="4"/>
  <c r="G54" i="4"/>
  <c r="H52" i="4"/>
  <c r="G44" i="4"/>
  <c r="H42" i="4"/>
  <c r="G39" i="4"/>
  <c r="H37" i="4"/>
  <c r="F34" i="4"/>
  <c r="G32" i="4"/>
  <c r="X2" i="5"/>
  <c r="G29" i="4"/>
  <c r="H27" i="4"/>
  <c r="G24" i="4"/>
  <c r="H22" i="4"/>
  <c r="Y2" i="10"/>
  <c r="Z13" i="11"/>
  <c r="Z13" i="9"/>
  <c r="AK13" i="9"/>
  <c r="Y13" i="5"/>
  <c r="Z13" i="10"/>
  <c r="Y8" i="10"/>
  <c r="Y8" i="9"/>
  <c r="AJ8" i="9"/>
  <c r="Y8" i="11"/>
  <c r="X10" i="5"/>
  <c r="Y10" i="11"/>
  <c r="Y10" i="9"/>
  <c r="AJ10" i="9"/>
  <c r="Y10" i="10"/>
  <c r="Y9" i="11"/>
  <c r="Y2" i="9"/>
  <c r="Y9" i="10"/>
  <c r="X11" i="5"/>
  <c r="Y11" i="10"/>
  <c r="Y11" i="11"/>
  <c r="Y11" i="9"/>
  <c r="AJ11" i="9"/>
  <c r="Z3" i="11"/>
  <c r="Z3" i="9"/>
  <c r="Z3" i="10"/>
  <c r="Y3" i="5"/>
  <c r="Z12" i="9"/>
  <c r="AK12" i="9"/>
  <c r="Z12" i="10"/>
  <c r="Z12" i="11"/>
  <c r="Y12" i="5"/>
  <c r="Z14" i="11"/>
  <c r="Y14" i="5"/>
  <c r="Z14" i="9"/>
  <c r="AK14" i="9"/>
  <c r="Z14" i="10"/>
  <c r="Y2" i="11"/>
  <c r="Y9" i="9"/>
  <c r="AJ9" i="9"/>
  <c r="Y7" i="5"/>
  <c r="Z7" i="10"/>
  <c r="Z7" i="9"/>
  <c r="AK7" i="9"/>
  <c r="Z7" i="11"/>
  <c r="Y15" i="5"/>
  <c r="Z15" i="10"/>
  <c r="Z15" i="11"/>
  <c r="Z15" i="9"/>
  <c r="AK15" i="9"/>
  <c r="U23" i="3"/>
  <c r="V23" i="3"/>
  <c r="W23" i="3"/>
  <c r="X23" i="3"/>
  <c r="Y23" i="3"/>
  <c r="Z23" i="3"/>
  <c r="AA23" i="3"/>
  <c r="O33" i="3"/>
  <c r="Q33" i="3"/>
  <c r="Q50" i="3"/>
  <c r="O50" i="3"/>
  <c r="P50" i="3"/>
  <c r="P33" i="3"/>
  <c r="W137" i="12"/>
  <c r="W223" i="12"/>
  <c r="W74" i="9"/>
  <c r="S24" i="3"/>
  <c r="S41" i="3"/>
  <c r="S21" i="3"/>
  <c r="S38" i="3"/>
  <c r="S22" i="3"/>
  <c r="S39" i="3"/>
  <c r="AB48" i="9"/>
  <c r="Y43" i="8"/>
  <c r="S27" i="3"/>
  <c r="S44" i="3"/>
  <c r="V47" i="9"/>
  <c r="S42" i="8"/>
  <c r="W174" i="12"/>
  <c r="W260" i="12"/>
  <c r="W247" i="12"/>
  <c r="W165" i="12"/>
  <c r="W251" i="12"/>
  <c r="Y94" i="12"/>
  <c r="Z65" i="12"/>
  <c r="Y67" i="12"/>
  <c r="Z64" i="12"/>
  <c r="Z66" i="12"/>
  <c r="Y68" i="12"/>
  <c r="Y75" i="12"/>
  <c r="Y117" i="12"/>
  <c r="Y203" i="12"/>
  <c r="Y136" i="12"/>
  <c r="Y222" i="12"/>
  <c r="Y155" i="12"/>
  <c r="Y241" i="12"/>
  <c r="Y145" i="12"/>
  <c r="Y231" i="12"/>
  <c r="Y164" i="12"/>
  <c r="Y250" i="12"/>
  <c r="Y127" i="12"/>
  <c r="Y213" i="12"/>
  <c r="Z84" i="12"/>
  <c r="X254" i="12"/>
  <c r="V21" i="9"/>
  <c r="X143" i="12"/>
  <c r="X229" i="12"/>
  <c r="X171" i="12"/>
  <c r="X257" i="12"/>
  <c r="X152" i="12"/>
  <c r="X238" i="12"/>
  <c r="X161" i="12"/>
  <c r="X134" i="12"/>
  <c r="X220" i="12"/>
  <c r="X113" i="12"/>
  <c r="X199" i="12"/>
  <c r="AA116" i="12"/>
  <c r="AA202" i="12"/>
  <c r="AA123" i="12"/>
  <c r="AA209" i="12"/>
  <c r="AA133" i="12"/>
  <c r="AA219" i="12"/>
  <c r="AA151" i="12"/>
  <c r="AA237" i="12"/>
  <c r="AA142" i="12"/>
  <c r="AA228" i="12"/>
  <c r="AA170" i="12"/>
  <c r="AA256" i="12"/>
  <c r="AB72" i="12"/>
  <c r="AA160" i="12"/>
  <c r="X137" i="12"/>
  <c r="X223" i="12"/>
  <c r="X217" i="12"/>
  <c r="Z246" i="12"/>
  <c r="Y121" i="12"/>
  <c r="Y131" i="12"/>
  <c r="Y140" i="12"/>
  <c r="Y149" i="12"/>
  <c r="Y111" i="12"/>
  <c r="Y168" i="12"/>
  <c r="X235" i="12"/>
  <c r="Y103" i="12"/>
  <c r="Z101" i="12"/>
  <c r="X86" i="12"/>
  <c r="X197" i="12"/>
  <c r="X95" i="12"/>
  <c r="Y93" i="12"/>
  <c r="U81" i="9"/>
  <c r="U83" i="9"/>
  <c r="U85" i="9"/>
  <c r="U87" i="9"/>
  <c r="U65" i="9"/>
  <c r="U67" i="9"/>
  <c r="U69" i="9"/>
  <c r="U71" i="9"/>
  <c r="U73" i="9"/>
  <c r="U52" i="9"/>
  <c r="U54" i="9"/>
  <c r="U56" i="9"/>
  <c r="U58" i="9"/>
  <c r="U37" i="9"/>
  <c r="S15" i="8"/>
  <c r="U39" i="9"/>
  <c r="S17" i="8"/>
  <c r="U41" i="9"/>
  <c r="S19" i="8"/>
  <c r="U43" i="9"/>
  <c r="S21" i="8"/>
  <c r="U45" i="9"/>
  <c r="S23" i="8"/>
  <c r="U82" i="9"/>
  <c r="U51" i="9"/>
  <c r="U44" i="9"/>
  <c r="S22" i="8"/>
  <c r="U68" i="9"/>
  <c r="U38" i="9"/>
  <c r="S16" i="8"/>
  <c r="U23" i="9"/>
  <c r="U42" i="9"/>
  <c r="S20" i="8"/>
  <c r="U29" i="9"/>
  <c r="U30" i="9"/>
  <c r="U72" i="9"/>
  <c r="U53" i="9"/>
  <c r="U57" i="9"/>
  <c r="U86" i="9"/>
  <c r="U70" i="9"/>
  <c r="U80" i="9"/>
  <c r="U84" i="9"/>
  <c r="U88" i="9"/>
  <c r="U25" i="9"/>
  <c r="U22" i="9"/>
  <c r="U55" i="9"/>
  <c r="U59" i="9"/>
  <c r="U40" i="9"/>
  <c r="S18" i="8"/>
  <c r="U24" i="9"/>
  <c r="U66" i="9"/>
  <c r="U26" i="9"/>
  <c r="U27" i="9"/>
  <c r="U28" i="9"/>
  <c r="X226" i="12"/>
  <c r="Y141" i="12"/>
  <c r="Y227" i="12"/>
  <c r="Y122" i="12"/>
  <c r="Y208" i="12"/>
  <c r="Y150" i="12"/>
  <c r="Y236" i="12"/>
  <c r="Y112" i="12"/>
  <c r="Y198" i="12"/>
  <c r="Y132" i="12"/>
  <c r="Y218" i="12"/>
  <c r="Y159" i="12"/>
  <c r="Y245" i="12"/>
  <c r="Y169" i="12"/>
  <c r="Y255" i="12"/>
  <c r="Z70" i="12"/>
  <c r="Y115" i="12"/>
  <c r="Y201" i="12"/>
  <c r="Y125" i="12"/>
  <c r="Y211" i="12"/>
  <c r="Y135" i="12"/>
  <c r="Y221" i="12"/>
  <c r="Y154" i="12"/>
  <c r="Y240" i="12"/>
  <c r="Y163" i="12"/>
  <c r="Y249" i="12"/>
  <c r="Y173" i="12"/>
  <c r="Y259" i="12"/>
  <c r="Z79" i="12"/>
  <c r="X128" i="12"/>
  <c r="X214" i="12"/>
  <c r="X207" i="12"/>
  <c r="T3" i="3"/>
  <c r="T5" i="3"/>
  <c r="T8" i="3"/>
  <c r="T10" i="3"/>
  <c r="T29" i="3"/>
  <c r="T4" i="3"/>
  <c r="T40" i="3"/>
  <c r="T6" i="3"/>
  <c r="T42" i="3"/>
  <c r="T7" i="3"/>
  <c r="T43" i="3"/>
  <c r="T9" i="3"/>
  <c r="T45" i="3"/>
  <c r="T2" i="3"/>
  <c r="U11" i="3"/>
  <c r="U14" i="3"/>
  <c r="U15" i="3"/>
  <c r="R47" i="3"/>
  <c r="R49" i="3"/>
  <c r="R30" i="3"/>
  <c r="R32" i="3"/>
  <c r="S28" i="3"/>
  <c r="H47" i="4"/>
  <c r="H49" i="4"/>
  <c r="X8" i="5"/>
  <c r="H99" i="4"/>
  <c r="I97" i="4"/>
  <c r="H94" i="4"/>
  <c r="I92" i="4"/>
  <c r="G89" i="4"/>
  <c r="H87" i="4"/>
  <c r="Z9" i="9"/>
  <c r="AK9" i="9"/>
  <c r="G84" i="4"/>
  <c r="H82" i="4"/>
  <c r="H79" i="4"/>
  <c r="I77" i="4"/>
  <c r="H74" i="4"/>
  <c r="I72" i="4"/>
  <c r="H69" i="4"/>
  <c r="I67" i="4"/>
  <c r="G64" i="4"/>
  <c r="H62" i="4"/>
  <c r="G59" i="4"/>
  <c r="H57" i="4"/>
  <c r="H54" i="4"/>
  <c r="I52" i="4"/>
  <c r="H44" i="4"/>
  <c r="I42" i="4"/>
  <c r="H39" i="4"/>
  <c r="I37" i="4"/>
  <c r="G34" i="4"/>
  <c r="H32" i="4"/>
  <c r="Z2" i="10"/>
  <c r="H29" i="4"/>
  <c r="I27" i="4"/>
  <c r="H24" i="4"/>
  <c r="I22" i="4"/>
  <c r="X146" i="12"/>
  <c r="X232" i="12"/>
  <c r="Z9" i="11"/>
  <c r="Y9" i="5"/>
  <c r="Z9" i="10"/>
  <c r="Z8" i="9"/>
  <c r="AK8" i="9"/>
  <c r="Z8" i="10"/>
  <c r="Z8" i="11"/>
  <c r="AA13" i="11"/>
  <c r="Z13" i="5"/>
  <c r="AA13" i="9"/>
  <c r="AL13" i="9"/>
  <c r="AA13" i="10"/>
  <c r="Z2" i="9"/>
  <c r="AA12" i="9"/>
  <c r="AL12" i="9"/>
  <c r="Z12" i="5"/>
  <c r="AA12" i="10"/>
  <c r="AA12" i="11"/>
  <c r="Z2" i="11"/>
  <c r="Y10" i="5"/>
  <c r="Z10" i="11"/>
  <c r="Z10" i="10"/>
  <c r="Z10" i="9"/>
  <c r="AK10" i="9"/>
  <c r="AA14" i="10"/>
  <c r="AA14" i="11"/>
  <c r="AA14" i="9"/>
  <c r="AL14" i="9"/>
  <c r="Z14" i="5"/>
  <c r="Y2" i="5"/>
  <c r="AA3" i="11"/>
  <c r="AA3" i="9"/>
  <c r="Z3" i="5"/>
  <c r="AA3" i="10"/>
  <c r="Z7" i="5"/>
  <c r="AA7" i="10"/>
  <c r="AA7" i="9"/>
  <c r="AL7" i="9"/>
  <c r="AA7" i="11"/>
  <c r="Z15" i="5"/>
  <c r="AA15" i="10"/>
  <c r="AA15" i="9"/>
  <c r="AL15" i="9"/>
  <c r="AA15" i="11"/>
  <c r="AA2" i="9"/>
  <c r="Y11" i="5"/>
  <c r="Z11" i="10"/>
  <c r="Z11" i="11"/>
  <c r="Z11" i="9"/>
  <c r="AK11" i="9"/>
  <c r="R21" i="10"/>
  <c r="R38" i="10"/>
  <c r="Q51" i="11"/>
  <c r="S21" i="11"/>
  <c r="S80" i="11"/>
  <c r="S21" i="10"/>
  <c r="S52" i="10"/>
  <c r="Q21" i="10"/>
  <c r="Q43" i="10"/>
  <c r="S86" i="11"/>
  <c r="S26" i="11"/>
  <c r="S39" i="11"/>
  <c r="S68" i="11"/>
  <c r="S40" i="11"/>
  <c r="S37" i="11"/>
  <c r="S70" i="11"/>
  <c r="S84" i="11"/>
  <c r="S22" i="11"/>
  <c r="S83" i="11"/>
  <c r="S58" i="11"/>
  <c r="S69" i="11"/>
  <c r="S53" i="10"/>
  <c r="S25" i="10"/>
  <c r="Q29" i="11"/>
  <c r="Q71" i="11"/>
  <c r="Q86" i="11"/>
  <c r="Q73" i="11"/>
  <c r="Q52" i="11"/>
  <c r="Q88" i="11"/>
  <c r="Q22" i="11"/>
  <c r="Q55" i="11"/>
  <c r="Q70" i="11"/>
  <c r="Q24" i="11"/>
  <c r="Q85" i="11"/>
  <c r="Q68" i="11"/>
  <c r="Q82" i="11"/>
  <c r="Q56" i="10"/>
  <c r="Q27" i="10"/>
  <c r="Q69" i="10"/>
  <c r="Q73" i="10"/>
  <c r="Q66" i="10"/>
  <c r="Q83" i="10"/>
  <c r="Q80" i="10"/>
  <c r="Q71" i="10"/>
  <c r="Q26" i="10"/>
  <c r="Q24" i="10"/>
  <c r="Q84" i="10"/>
  <c r="Q23" i="10"/>
  <c r="Q30" i="10"/>
  <c r="Q88" i="10"/>
  <c r="Q29" i="10"/>
  <c r="Q87" i="10"/>
  <c r="Q70" i="10"/>
  <c r="Q40" i="10"/>
  <c r="Q85" i="10"/>
  <c r="Q37" i="10"/>
  <c r="Q86" i="10"/>
  <c r="Q67" i="10"/>
  <c r="R33" i="3"/>
  <c r="R50" i="3"/>
  <c r="X174" i="12"/>
  <c r="X260" i="12"/>
  <c r="X118" i="12"/>
  <c r="X204" i="12"/>
  <c r="X74" i="9"/>
  <c r="T27" i="3"/>
  <c r="T44" i="3"/>
  <c r="R71" i="11"/>
  <c r="R22" i="11"/>
  <c r="R82" i="11"/>
  <c r="R26" i="11"/>
  <c r="R51" i="11"/>
  <c r="R88" i="11"/>
  <c r="R43" i="11"/>
  <c r="R67" i="11"/>
  <c r="R73" i="11"/>
  <c r="R85" i="11"/>
  <c r="R58" i="11"/>
  <c r="R44" i="11"/>
  <c r="R86" i="11"/>
  <c r="R29" i="11"/>
  <c r="R69" i="11"/>
  <c r="R37" i="11"/>
  <c r="R42" i="11"/>
  <c r="R53" i="11"/>
  <c r="R45" i="11"/>
  <c r="R38" i="11"/>
  <c r="R52" i="11"/>
  <c r="R87" i="11"/>
  <c r="R30" i="11"/>
  <c r="R28" i="11"/>
  <c r="R55" i="11"/>
  <c r="R81" i="11"/>
  <c r="R68" i="11"/>
  <c r="R84" i="11"/>
  <c r="R23" i="11"/>
  <c r="R70" i="11"/>
  <c r="R24" i="11"/>
  <c r="R54" i="11"/>
  <c r="R57" i="11"/>
  <c r="R72" i="11"/>
  <c r="R40" i="11"/>
  <c r="R66" i="11"/>
  <c r="R41" i="11"/>
  <c r="R39" i="11"/>
  <c r="R56" i="11"/>
  <c r="R65" i="11"/>
  <c r="R25" i="11"/>
  <c r="R80" i="11"/>
  <c r="R59" i="11"/>
  <c r="R27" i="11"/>
  <c r="R83" i="11"/>
  <c r="T21" i="3"/>
  <c r="T38" i="3"/>
  <c r="T24" i="3"/>
  <c r="T41" i="3"/>
  <c r="R44" i="10"/>
  <c r="R65" i="10"/>
  <c r="R66" i="10"/>
  <c r="R81" i="10"/>
  <c r="R88" i="10"/>
  <c r="R73" i="10"/>
  <c r="R28" i="10"/>
  <c r="R54" i="10"/>
  <c r="R67" i="10"/>
  <c r="R69" i="10"/>
  <c r="R86" i="10"/>
  <c r="T22" i="3"/>
  <c r="T39" i="3"/>
  <c r="AC48" i="9"/>
  <c r="AA43" i="8"/>
  <c r="Z43" i="8"/>
  <c r="S30" i="3"/>
  <c r="S32" i="3"/>
  <c r="W47" i="9"/>
  <c r="T42" i="8"/>
  <c r="X247" i="12"/>
  <c r="X165" i="12"/>
  <c r="X251" i="12"/>
  <c r="X156" i="12"/>
  <c r="X242" i="12"/>
  <c r="Y197" i="12"/>
  <c r="Y143" i="12"/>
  <c r="Y229" i="12"/>
  <c r="Y134" i="12"/>
  <c r="Y220" i="12"/>
  <c r="Y152" i="12"/>
  <c r="Y238" i="12"/>
  <c r="Y161" i="12"/>
  <c r="Y171" i="12"/>
  <c r="Y257" i="12"/>
  <c r="Y113" i="12"/>
  <c r="Y199" i="12"/>
  <c r="Z122" i="12"/>
  <c r="Z208" i="12"/>
  <c r="Z112" i="12"/>
  <c r="Z198" i="12"/>
  <c r="Z150" i="12"/>
  <c r="Z236" i="12"/>
  <c r="Z132" i="12"/>
  <c r="Z218" i="12"/>
  <c r="Z159" i="12"/>
  <c r="Z245" i="12"/>
  <c r="Z169" i="12"/>
  <c r="Z255" i="12"/>
  <c r="AA70" i="12"/>
  <c r="Z141" i="12"/>
  <c r="Z227" i="12"/>
  <c r="Y235" i="12"/>
  <c r="AA246" i="12"/>
  <c r="Y226" i="12"/>
  <c r="AA101" i="12"/>
  <c r="Z103" i="12"/>
  <c r="Y217" i="12"/>
  <c r="Y128" i="12"/>
  <c r="Y214" i="12"/>
  <c r="Y207" i="12"/>
  <c r="Y254" i="12"/>
  <c r="V85" i="9"/>
  <c r="V88" i="9"/>
  <c r="V54" i="9"/>
  <c r="V57" i="9"/>
  <c r="V22" i="9"/>
  <c r="V82" i="9"/>
  <c r="V71" i="9"/>
  <c r="V51" i="9"/>
  <c r="V41" i="9"/>
  <c r="T19" i="8"/>
  <c r="V44" i="9"/>
  <c r="T22" i="8"/>
  <c r="V45" i="9"/>
  <c r="T23" i="8"/>
  <c r="V59" i="9"/>
  <c r="V37" i="9"/>
  <c r="T15" i="8"/>
  <c r="V40" i="9"/>
  <c r="T18" i="8"/>
  <c r="V65" i="9"/>
  <c r="V68" i="9"/>
  <c r="V72" i="9"/>
  <c r="V73" i="9"/>
  <c r="V53" i="9"/>
  <c r="V83" i="9"/>
  <c r="V86" i="9"/>
  <c r="V66" i="9"/>
  <c r="V70" i="9"/>
  <c r="V23" i="9"/>
  <c r="V80" i="9"/>
  <c r="V26" i="9"/>
  <c r="V58" i="9"/>
  <c r="V38" i="9"/>
  <c r="T16" i="8"/>
  <c r="V39" i="9"/>
  <c r="T17" i="8"/>
  <c r="V42" i="9"/>
  <c r="T20" i="8"/>
  <c r="V43" i="9"/>
  <c r="T21" i="8"/>
  <c r="V29" i="9"/>
  <c r="V30" i="9"/>
  <c r="V56" i="9"/>
  <c r="V81" i="9"/>
  <c r="V25" i="9"/>
  <c r="V52" i="9"/>
  <c r="V55" i="9"/>
  <c r="V69" i="9"/>
  <c r="V87" i="9"/>
  <c r="V67" i="9"/>
  <c r="V84" i="9"/>
  <c r="V24" i="9"/>
  <c r="V28" i="9"/>
  <c r="V27" i="9"/>
  <c r="Z111" i="12"/>
  <c r="Z121" i="12"/>
  <c r="Z131" i="12"/>
  <c r="Z140" i="12"/>
  <c r="Z149" i="12"/>
  <c r="Z168" i="12"/>
  <c r="AA65" i="12"/>
  <c r="Z67" i="12"/>
  <c r="AA64" i="12"/>
  <c r="AA66" i="12"/>
  <c r="Z68" i="12"/>
  <c r="Z75" i="12"/>
  <c r="Z86" i="12"/>
  <c r="Z94" i="12"/>
  <c r="Z117" i="12"/>
  <c r="Z203" i="12"/>
  <c r="Z127" i="12"/>
  <c r="Z213" i="12"/>
  <c r="Z136" i="12"/>
  <c r="Z222" i="12"/>
  <c r="Z164" i="12"/>
  <c r="Z250" i="12"/>
  <c r="Z145" i="12"/>
  <c r="Z231" i="12"/>
  <c r="Z155" i="12"/>
  <c r="Z241" i="12"/>
  <c r="AA84" i="12"/>
  <c r="Z115" i="12"/>
  <c r="Z201" i="12"/>
  <c r="Z125" i="12"/>
  <c r="Z211" i="12"/>
  <c r="Z135" i="12"/>
  <c r="Z221" i="12"/>
  <c r="Z154" i="12"/>
  <c r="Z240" i="12"/>
  <c r="Z163" i="12"/>
  <c r="Z249" i="12"/>
  <c r="Z173" i="12"/>
  <c r="Z259" i="12"/>
  <c r="AA79" i="12"/>
  <c r="AB116" i="12"/>
  <c r="AB202" i="12"/>
  <c r="AB123" i="12"/>
  <c r="AB209" i="12"/>
  <c r="AB170" i="12"/>
  <c r="AB256" i="12"/>
  <c r="AB151" i="12"/>
  <c r="AB237" i="12"/>
  <c r="AB142" i="12"/>
  <c r="AB228" i="12"/>
  <c r="AB160" i="12"/>
  <c r="AC72" i="12"/>
  <c r="AB133" i="12"/>
  <c r="AB219" i="12"/>
  <c r="W21" i="9"/>
  <c r="Y95" i="12"/>
  <c r="Z93" i="12"/>
  <c r="Y86" i="12"/>
  <c r="T28" i="3"/>
  <c r="S47" i="3"/>
  <c r="S49" i="3"/>
  <c r="V11" i="3"/>
  <c r="V14" i="3"/>
  <c r="V15" i="3"/>
  <c r="U7" i="3"/>
  <c r="U43" i="3"/>
  <c r="U9" i="3"/>
  <c r="U45" i="3"/>
  <c r="U3" i="3"/>
  <c r="U5" i="3"/>
  <c r="U8" i="3"/>
  <c r="U2" i="3"/>
  <c r="U4" i="3"/>
  <c r="U40" i="3"/>
  <c r="U6" i="3"/>
  <c r="U42" i="3"/>
  <c r="U10" i="3"/>
  <c r="U29" i="3"/>
  <c r="I47" i="4"/>
  <c r="I49" i="4"/>
  <c r="Y8" i="5"/>
  <c r="I99" i="4"/>
  <c r="J97" i="4"/>
  <c r="I94" i="4"/>
  <c r="J92" i="4"/>
  <c r="H89" i="4"/>
  <c r="I87" i="4"/>
  <c r="AA9" i="10"/>
  <c r="H84" i="4"/>
  <c r="I82" i="4"/>
  <c r="I79" i="4"/>
  <c r="J77" i="4"/>
  <c r="I74" i="4"/>
  <c r="J72" i="4"/>
  <c r="I69" i="4"/>
  <c r="J67" i="4"/>
  <c r="H64" i="4"/>
  <c r="I62" i="4"/>
  <c r="H59" i="4"/>
  <c r="I57" i="4"/>
  <c r="I54" i="4"/>
  <c r="J52" i="4"/>
  <c r="I44" i="4"/>
  <c r="J42" i="4"/>
  <c r="I39" i="4"/>
  <c r="J37" i="4"/>
  <c r="H34" i="4"/>
  <c r="I32" i="4"/>
  <c r="AA2" i="11"/>
  <c r="I29" i="4"/>
  <c r="J27" i="4"/>
  <c r="I24" i="4"/>
  <c r="J22" i="4"/>
  <c r="AA2" i="10"/>
  <c r="AA9" i="9"/>
  <c r="AL9" i="9"/>
  <c r="Z10" i="5"/>
  <c r="AA10" i="10"/>
  <c r="AA10" i="11"/>
  <c r="AA10" i="9"/>
  <c r="AL10" i="9"/>
  <c r="Z11" i="5"/>
  <c r="AA11" i="10"/>
  <c r="AA11" i="9"/>
  <c r="AL11" i="9"/>
  <c r="AA11" i="11"/>
  <c r="AA15" i="5"/>
  <c r="AB15" i="9"/>
  <c r="AM15" i="9"/>
  <c r="AB15" i="10"/>
  <c r="AB15" i="11"/>
  <c r="AB14" i="10"/>
  <c r="AB14" i="11"/>
  <c r="AB14" i="9"/>
  <c r="AM14" i="9"/>
  <c r="AA14" i="5"/>
  <c r="Z9" i="5"/>
  <c r="AA3" i="5"/>
  <c r="AB3" i="11"/>
  <c r="AB3" i="9"/>
  <c r="AB3" i="10"/>
  <c r="AB12" i="11"/>
  <c r="AB12" i="9"/>
  <c r="AM12" i="9"/>
  <c r="AA12" i="5"/>
  <c r="AB12" i="10"/>
  <c r="AA8" i="9"/>
  <c r="AL8" i="9"/>
  <c r="AA8" i="10"/>
  <c r="AA8" i="11"/>
  <c r="AA9" i="11"/>
  <c r="Z2" i="5"/>
  <c r="AA7" i="5"/>
  <c r="AB7" i="10"/>
  <c r="AB7" i="9"/>
  <c r="AM7" i="9"/>
  <c r="AB7" i="11"/>
  <c r="AB13" i="11"/>
  <c r="AA13" i="5"/>
  <c r="AB13" i="10"/>
  <c r="AB13" i="9"/>
  <c r="AM13" i="9"/>
  <c r="S37" i="10"/>
  <c r="S54" i="10"/>
  <c r="S82" i="11"/>
  <c r="S53" i="11"/>
  <c r="S27" i="11"/>
  <c r="S44" i="11"/>
  <c r="R52" i="10"/>
  <c r="S66" i="10"/>
  <c r="S43" i="11"/>
  <c r="S29" i="11"/>
  <c r="R25" i="10"/>
  <c r="R26" i="10"/>
  <c r="Q69" i="11"/>
  <c r="Q23" i="11"/>
  <c r="S71" i="10"/>
  <c r="S26" i="10"/>
  <c r="S56" i="10"/>
  <c r="S28" i="11"/>
  <c r="S65" i="11"/>
  <c r="S51" i="11"/>
  <c r="S23" i="11"/>
  <c r="S45" i="11"/>
  <c r="S82" i="10"/>
  <c r="S41" i="10"/>
  <c r="S88" i="11"/>
  <c r="R70" i="10"/>
  <c r="S85" i="10"/>
  <c r="S24" i="11"/>
  <c r="R43" i="10"/>
  <c r="R82" i="10"/>
  <c r="Q54" i="11"/>
  <c r="Q72" i="11"/>
  <c r="Q56" i="11"/>
  <c r="S42" i="10"/>
  <c r="S43" i="10"/>
  <c r="S23" i="10"/>
  <c r="S87" i="11"/>
  <c r="S52" i="11"/>
  <c r="S56" i="11"/>
  <c r="S25" i="11"/>
  <c r="S30" i="11"/>
  <c r="S83" i="10"/>
  <c r="S54" i="11"/>
  <c r="R53" i="10"/>
  <c r="S86" i="10"/>
  <c r="S67" i="11"/>
  <c r="S85" i="11"/>
  <c r="S66" i="11"/>
  <c r="R51" i="10"/>
  <c r="R56" i="10"/>
  <c r="Q67" i="11"/>
  <c r="Q58" i="11"/>
  <c r="Q43" i="11"/>
  <c r="S45" i="10"/>
  <c r="S70" i="10"/>
  <c r="S51" i="10"/>
  <c r="S41" i="11"/>
  <c r="S57" i="11"/>
  <c r="S38" i="11"/>
  <c r="S42" i="11"/>
  <c r="S73" i="11"/>
  <c r="S57" i="10"/>
  <c r="S24" i="10"/>
  <c r="S44" i="10"/>
  <c r="S72" i="11"/>
  <c r="S71" i="11"/>
  <c r="S55" i="11"/>
  <c r="S59" i="11"/>
  <c r="S81" i="11"/>
  <c r="S22" i="10"/>
  <c r="R29" i="10"/>
  <c r="R71" i="10"/>
  <c r="R37" i="10"/>
  <c r="R85" i="10"/>
  <c r="R40" i="10"/>
  <c r="R87" i="10"/>
  <c r="Q25" i="10"/>
  <c r="Q81" i="10"/>
  <c r="Q53" i="10"/>
  <c r="Q28" i="10"/>
  <c r="Q68" i="10"/>
  <c r="Q42" i="11"/>
  <c r="Q27" i="11"/>
  <c r="Q25" i="11"/>
  <c r="Q66" i="11"/>
  <c r="Q83" i="11"/>
  <c r="S30" i="10"/>
  <c r="S38" i="10"/>
  <c r="S73" i="10"/>
  <c r="S59" i="10"/>
  <c r="S27" i="10"/>
  <c r="S67" i="10"/>
  <c r="R80" i="10"/>
  <c r="R68" i="10"/>
  <c r="R84" i="10"/>
  <c r="R83" i="10"/>
  <c r="R22" i="10"/>
  <c r="R59" i="10"/>
  <c r="T21" i="11"/>
  <c r="T41" i="11"/>
  <c r="Q57" i="10"/>
  <c r="Q52" i="10"/>
  <c r="Q51" i="10"/>
  <c r="Q55" i="10"/>
  <c r="Q59" i="10"/>
  <c r="Q80" i="11"/>
  <c r="Q45" i="11"/>
  <c r="Q41" i="11"/>
  <c r="Q26" i="11"/>
  <c r="Q30" i="11"/>
  <c r="Q59" i="11"/>
  <c r="S39" i="10"/>
  <c r="S84" i="10"/>
  <c r="S58" i="10"/>
  <c r="S81" i="10"/>
  <c r="S72" i="10"/>
  <c r="S40" i="10"/>
  <c r="T21" i="10"/>
  <c r="T23" i="10"/>
  <c r="R27" i="10"/>
  <c r="R55" i="10"/>
  <c r="R72" i="10"/>
  <c r="R41" i="10"/>
  <c r="R24" i="10"/>
  <c r="R58" i="10"/>
  <c r="R30" i="10"/>
  <c r="R45" i="10"/>
  <c r="Q41" i="10"/>
  <c r="Q38" i="10"/>
  <c r="Q72" i="10"/>
  <c r="Q58" i="10"/>
  <c r="Q45" i="10"/>
  <c r="Q65" i="10"/>
  <c r="Q57" i="11"/>
  <c r="Q40" i="11"/>
  <c r="Q81" i="11"/>
  <c r="Q39" i="11"/>
  <c r="Q53" i="11"/>
  <c r="Q44" i="11"/>
  <c r="S88" i="10"/>
  <c r="S87" i="10"/>
  <c r="S65" i="10"/>
  <c r="S68" i="10"/>
  <c r="S69" i="10"/>
  <c r="R39" i="10"/>
  <c r="R57" i="10"/>
  <c r="R42" i="10"/>
  <c r="R23" i="10"/>
  <c r="Q39" i="10"/>
  <c r="Q44" i="10"/>
  <c r="Q54" i="10"/>
  <c r="Q42" i="10"/>
  <c r="Q82" i="10"/>
  <c r="Q84" i="11"/>
  <c r="Q28" i="11"/>
  <c r="Q37" i="11"/>
  <c r="Q87" i="11"/>
  <c r="Q65" i="11"/>
  <c r="S29" i="10"/>
  <c r="S28" i="10"/>
  <c r="S80" i="10"/>
  <c r="S55" i="10"/>
  <c r="S33" i="3"/>
  <c r="S50" i="3"/>
  <c r="Y146" i="12"/>
  <c r="Y232" i="12"/>
  <c r="Y74" i="9"/>
  <c r="T30" i="3"/>
  <c r="T32" i="3"/>
  <c r="T33" i="3"/>
  <c r="U21" i="3"/>
  <c r="U38" i="3"/>
  <c r="U24" i="3"/>
  <c r="U41" i="3"/>
  <c r="U22" i="3"/>
  <c r="U39" i="3"/>
  <c r="U27" i="3"/>
  <c r="U44" i="3"/>
  <c r="X47" i="9"/>
  <c r="U42" i="8"/>
  <c r="Y137" i="12"/>
  <c r="Y223" i="12"/>
  <c r="Y156" i="12"/>
  <c r="Y242" i="12"/>
  <c r="Y118" i="12"/>
  <c r="Y204" i="12"/>
  <c r="Y174" i="12"/>
  <c r="Y260" i="12"/>
  <c r="Y247" i="12"/>
  <c r="Y165" i="12"/>
  <c r="Y251" i="12"/>
  <c r="Z217" i="12"/>
  <c r="AA125" i="12"/>
  <c r="AA211" i="12"/>
  <c r="AA115" i="12"/>
  <c r="AA201" i="12"/>
  <c r="AA154" i="12"/>
  <c r="AA240" i="12"/>
  <c r="AA163" i="12"/>
  <c r="AA249" i="12"/>
  <c r="AA135" i="12"/>
  <c r="AA221" i="12"/>
  <c r="AA173" i="12"/>
  <c r="AA259" i="12"/>
  <c r="AB79" i="12"/>
  <c r="Z197" i="12"/>
  <c r="Z95" i="12"/>
  <c r="AA93" i="12"/>
  <c r="AC116" i="12"/>
  <c r="AC202" i="12"/>
  <c r="AC123" i="12"/>
  <c r="AC209" i="12"/>
  <c r="AC142" i="12"/>
  <c r="AC228" i="12"/>
  <c r="AC133" i="12"/>
  <c r="AC219" i="12"/>
  <c r="AC151" i="12"/>
  <c r="AC237" i="12"/>
  <c r="AC160" i="12"/>
  <c r="AC170" i="12"/>
  <c r="AC256" i="12"/>
  <c r="AD72" i="12"/>
  <c r="Z235" i="12"/>
  <c r="W22" i="9"/>
  <c r="W24" i="9"/>
  <c r="W67" i="9"/>
  <c r="W70" i="9"/>
  <c r="W37" i="9"/>
  <c r="U15" i="8"/>
  <c r="W40" i="9"/>
  <c r="U18" i="8"/>
  <c r="W25" i="9"/>
  <c r="W27" i="9"/>
  <c r="W29" i="9"/>
  <c r="W85" i="9"/>
  <c r="W88" i="9"/>
  <c r="W54" i="9"/>
  <c r="W57" i="9"/>
  <c r="W28" i="9"/>
  <c r="W30" i="9"/>
  <c r="W52" i="9"/>
  <c r="W56" i="9"/>
  <c r="W65" i="9"/>
  <c r="W69" i="9"/>
  <c r="W72" i="9"/>
  <c r="W73" i="9"/>
  <c r="W82" i="9"/>
  <c r="W83" i="9"/>
  <c r="W86" i="9"/>
  <c r="W87" i="9"/>
  <c r="W66" i="9"/>
  <c r="W23" i="9"/>
  <c r="W41" i="9"/>
  <c r="U19" i="8"/>
  <c r="W44" i="9"/>
  <c r="U22" i="8"/>
  <c r="W45" i="9"/>
  <c r="U23" i="8"/>
  <c r="W38" i="9"/>
  <c r="U16" i="8"/>
  <c r="W42" i="9"/>
  <c r="U20" i="8"/>
  <c r="W71" i="9"/>
  <c r="W59" i="9"/>
  <c r="W68" i="9"/>
  <c r="W58" i="9"/>
  <c r="W39" i="9"/>
  <c r="U17" i="8"/>
  <c r="W43" i="9"/>
  <c r="U21" i="8"/>
  <c r="W51" i="9"/>
  <c r="W55" i="9"/>
  <c r="W53" i="9"/>
  <c r="W80" i="9"/>
  <c r="W26" i="9"/>
  <c r="W81" i="9"/>
  <c r="W84" i="9"/>
  <c r="Z146" i="12"/>
  <c r="Z232" i="12"/>
  <c r="Z226" i="12"/>
  <c r="AA103" i="12"/>
  <c r="AB101" i="12"/>
  <c r="AA117" i="12"/>
  <c r="AA203" i="12"/>
  <c r="AA127" i="12"/>
  <c r="AA213" i="12"/>
  <c r="AA145" i="12"/>
  <c r="AA231" i="12"/>
  <c r="AA136" i="12"/>
  <c r="AA222" i="12"/>
  <c r="AA164" i="12"/>
  <c r="AA250" i="12"/>
  <c r="AA155" i="12"/>
  <c r="AA241" i="12"/>
  <c r="AB84" i="12"/>
  <c r="AB65" i="12"/>
  <c r="AB66" i="12"/>
  <c r="AA68" i="12"/>
  <c r="AB64" i="12"/>
  <c r="AA67" i="12"/>
  <c r="AA75" i="12"/>
  <c r="AA86" i="12"/>
  <c r="AB246" i="12"/>
  <c r="Z113" i="12"/>
  <c r="Z199" i="12"/>
  <c r="Z152" i="12"/>
  <c r="Z238" i="12"/>
  <c r="Z143" i="12"/>
  <c r="Z229" i="12"/>
  <c r="Z134" i="12"/>
  <c r="Z220" i="12"/>
  <c r="Z161" i="12"/>
  <c r="Z171" i="12"/>
  <c r="Z257" i="12"/>
  <c r="AA132" i="12"/>
  <c r="AA218" i="12"/>
  <c r="AA122" i="12"/>
  <c r="AA208" i="12"/>
  <c r="AA141" i="12"/>
  <c r="AA227" i="12"/>
  <c r="AA112" i="12"/>
  <c r="AA198" i="12"/>
  <c r="AA150" i="12"/>
  <c r="AA236" i="12"/>
  <c r="AA159" i="12"/>
  <c r="AA245" i="12"/>
  <c r="AA169" i="12"/>
  <c r="AA255" i="12"/>
  <c r="AB70" i="12"/>
  <c r="AA121" i="12"/>
  <c r="AA111" i="12"/>
  <c r="AA131" i="12"/>
  <c r="AA140" i="12"/>
  <c r="AA149" i="12"/>
  <c r="AA168" i="12"/>
  <c r="Z128" i="12"/>
  <c r="Z214" i="12"/>
  <c r="Z207" i="12"/>
  <c r="X21" i="9"/>
  <c r="AA94" i="12"/>
  <c r="Z254" i="12"/>
  <c r="W11" i="3"/>
  <c r="W14" i="3"/>
  <c r="W15" i="3"/>
  <c r="V7" i="3"/>
  <c r="V43" i="3"/>
  <c r="V9" i="3"/>
  <c r="V45" i="3"/>
  <c r="V3" i="3"/>
  <c r="V5" i="3"/>
  <c r="V8" i="3"/>
  <c r="V10" i="3"/>
  <c r="V29" i="3"/>
  <c r="V2" i="3"/>
  <c r="V4" i="3"/>
  <c r="V40" i="3"/>
  <c r="V6" i="3"/>
  <c r="V42" i="3"/>
  <c r="U28" i="3"/>
  <c r="T47" i="3"/>
  <c r="T49" i="3"/>
  <c r="J47" i="4"/>
  <c r="J49" i="4"/>
  <c r="Z8" i="5"/>
  <c r="J99" i="4"/>
  <c r="K97" i="4"/>
  <c r="K99" i="4"/>
  <c r="J94" i="4"/>
  <c r="K92" i="4"/>
  <c r="I89" i="4"/>
  <c r="J87" i="4"/>
  <c r="AB9" i="11"/>
  <c r="I84" i="4"/>
  <c r="J82" i="4"/>
  <c r="J79" i="4"/>
  <c r="K77" i="4"/>
  <c r="J74" i="4"/>
  <c r="K72" i="4"/>
  <c r="K74" i="4"/>
  <c r="J69" i="4"/>
  <c r="K67" i="4"/>
  <c r="I64" i="4"/>
  <c r="J62" i="4"/>
  <c r="I59" i="4"/>
  <c r="J57" i="4"/>
  <c r="J54" i="4"/>
  <c r="K52" i="4"/>
  <c r="J44" i="4"/>
  <c r="K42" i="4"/>
  <c r="J39" i="4"/>
  <c r="K37" i="4"/>
  <c r="I34" i="4"/>
  <c r="J32" i="4"/>
  <c r="AB2" i="11"/>
  <c r="J29" i="4"/>
  <c r="K27" i="4"/>
  <c r="J24" i="4"/>
  <c r="K22" i="4"/>
  <c r="T69" i="11"/>
  <c r="T67" i="11"/>
  <c r="AC7" i="10"/>
  <c r="AC7" i="11"/>
  <c r="AC7" i="9"/>
  <c r="AN7" i="9"/>
  <c r="K79" i="4"/>
  <c r="AC13" i="10"/>
  <c r="AC13" i="11"/>
  <c r="AC13" i="9"/>
  <c r="AN13" i="9"/>
  <c r="AB13" i="5"/>
  <c r="AB9" i="9"/>
  <c r="AM9" i="9"/>
  <c r="AB15" i="5"/>
  <c r="AC15" i="9"/>
  <c r="AN15" i="9"/>
  <c r="AC15" i="10"/>
  <c r="AC15" i="11"/>
  <c r="AB9" i="10"/>
  <c r="AA2" i="5"/>
  <c r="AA9" i="5"/>
  <c r="AA10" i="5"/>
  <c r="AB10" i="10"/>
  <c r="AB10" i="11"/>
  <c r="AB10" i="9"/>
  <c r="AM10" i="9"/>
  <c r="K24" i="4"/>
  <c r="AA11" i="5"/>
  <c r="AB11" i="9"/>
  <c r="AM11" i="9"/>
  <c r="AB11" i="10"/>
  <c r="AB11" i="11"/>
  <c r="AB2" i="10"/>
  <c r="AB8" i="11"/>
  <c r="AB8" i="9"/>
  <c r="AM8" i="9"/>
  <c r="AB8" i="10"/>
  <c r="K94" i="4"/>
  <c r="AC14" i="10"/>
  <c r="AC14" i="9"/>
  <c r="AN14" i="9"/>
  <c r="AC14" i="11"/>
  <c r="AB14" i="5"/>
  <c r="K29" i="4"/>
  <c r="AC3" i="10"/>
  <c r="AC3" i="9"/>
  <c r="AB3" i="5"/>
  <c r="AC3" i="11"/>
  <c r="K69" i="4"/>
  <c r="AC12" i="11"/>
  <c r="AB12" i="5"/>
  <c r="AC12" i="10"/>
  <c r="AC12" i="9"/>
  <c r="AN12" i="9"/>
  <c r="AB2" i="9"/>
  <c r="T37" i="11"/>
  <c r="T85" i="11"/>
  <c r="T59" i="10"/>
  <c r="T24" i="10"/>
  <c r="T24" i="11"/>
  <c r="T38" i="11"/>
  <c r="T57" i="11"/>
  <c r="T68" i="11"/>
  <c r="T55" i="11"/>
  <c r="T55" i="10"/>
  <c r="T23" i="11"/>
  <c r="T58" i="11"/>
  <c r="T81" i="11"/>
  <c r="T29" i="11"/>
  <c r="T42" i="11"/>
  <c r="T57" i="10"/>
  <c r="T84" i="11"/>
  <c r="T86" i="11"/>
  <c r="T87" i="11"/>
  <c r="T39" i="11"/>
  <c r="T27" i="11"/>
  <c r="T59" i="11"/>
  <c r="T44" i="10"/>
  <c r="T67" i="10"/>
  <c r="T70" i="10"/>
  <c r="T37" i="10"/>
  <c r="T71" i="10"/>
  <c r="T43" i="10"/>
  <c r="T68" i="10"/>
  <c r="T86" i="10"/>
  <c r="T44" i="11"/>
  <c r="T83" i="11"/>
  <c r="T66" i="11"/>
  <c r="T51" i="11"/>
  <c r="T56" i="10"/>
  <c r="T80" i="11"/>
  <c r="T71" i="11"/>
  <c r="T73" i="11"/>
  <c r="T29" i="10"/>
  <c r="T27" i="10"/>
  <c r="T65" i="11"/>
  <c r="T26" i="11"/>
  <c r="T56" i="11"/>
  <c r="T72" i="11"/>
  <c r="T45" i="11"/>
  <c r="T25" i="11"/>
  <c r="T66" i="10"/>
  <c r="T30" i="10"/>
  <c r="T42" i="10"/>
  <c r="T80" i="10"/>
  <c r="T38" i="10"/>
  <c r="T72" i="10"/>
  <c r="T43" i="11"/>
  <c r="T22" i="11"/>
  <c r="T40" i="11"/>
  <c r="T54" i="11"/>
  <c r="T82" i="11"/>
  <c r="T53" i="11"/>
  <c r="T39" i="10"/>
  <c r="T87" i="10"/>
  <c r="T69" i="10"/>
  <c r="T53" i="10"/>
  <c r="T58" i="10"/>
  <c r="T40" i="10"/>
  <c r="T84" i="10"/>
  <c r="T73" i="10"/>
  <c r="T83" i="10"/>
  <c r="T85" i="10"/>
  <c r="T52" i="10"/>
  <c r="T70" i="11"/>
  <c r="T30" i="11"/>
  <c r="T88" i="11"/>
  <c r="T28" i="11"/>
  <c r="T52" i="11"/>
  <c r="T25" i="10"/>
  <c r="T54" i="10"/>
  <c r="T51" i="10"/>
  <c r="T26" i="10"/>
  <c r="T41" i="10"/>
  <c r="T22" i="10"/>
  <c r="T28" i="10"/>
  <c r="T81" i="10"/>
  <c r="T45" i="10"/>
  <c r="T88" i="10"/>
  <c r="T65" i="10"/>
  <c r="T82" i="10"/>
  <c r="V21" i="10"/>
  <c r="V70" i="10"/>
  <c r="S51" i="3"/>
  <c r="U21" i="10"/>
  <c r="U39" i="10"/>
  <c r="U30" i="3"/>
  <c r="U32" i="3"/>
  <c r="U33" i="3"/>
  <c r="U21" i="11"/>
  <c r="U45" i="11"/>
  <c r="T50" i="3"/>
  <c r="Z174" i="12"/>
  <c r="Z260" i="12"/>
  <c r="Z137" i="12"/>
  <c r="Z223" i="12"/>
  <c r="Z74" i="9"/>
  <c r="V24" i="3"/>
  <c r="V41" i="3"/>
  <c r="V27" i="3"/>
  <c r="V44" i="3"/>
  <c r="V22" i="3"/>
  <c r="V39" i="3"/>
  <c r="V21" i="3"/>
  <c r="V38" i="3"/>
  <c r="Y47" i="9"/>
  <c r="V42" i="8"/>
  <c r="Z247" i="12"/>
  <c r="Z165" i="12"/>
  <c r="Z251" i="12"/>
  <c r="Z118" i="12"/>
  <c r="Z204" i="12"/>
  <c r="Z156" i="12"/>
  <c r="Z242" i="12"/>
  <c r="AB122" i="12"/>
  <c r="AB208" i="12"/>
  <c r="AB112" i="12"/>
  <c r="AB198" i="12"/>
  <c r="AB141" i="12"/>
  <c r="AB227" i="12"/>
  <c r="AB150" i="12"/>
  <c r="AB236" i="12"/>
  <c r="AB132" i="12"/>
  <c r="AB218" i="12"/>
  <c r="AB159" i="12"/>
  <c r="AB245" i="12"/>
  <c r="AB169" i="12"/>
  <c r="AB255" i="12"/>
  <c r="AC70" i="12"/>
  <c r="AA235" i="12"/>
  <c r="AC65" i="12"/>
  <c r="AC66" i="12"/>
  <c r="AB67" i="12"/>
  <c r="AB68" i="12"/>
  <c r="AC64" i="12"/>
  <c r="AB75" i="12"/>
  <c r="AB111" i="12"/>
  <c r="AB168" i="12"/>
  <c r="AB131" i="12"/>
  <c r="AB140" i="12"/>
  <c r="AB121" i="12"/>
  <c r="AB149" i="12"/>
  <c r="AC246" i="12"/>
  <c r="AA254" i="12"/>
  <c r="AB103" i="12"/>
  <c r="AC101" i="12"/>
  <c r="AD116" i="12"/>
  <c r="AD202" i="12"/>
  <c r="AD142" i="12"/>
  <c r="AD228" i="12"/>
  <c r="AD133" i="12"/>
  <c r="AD219" i="12"/>
  <c r="AD151" i="12"/>
  <c r="AD237" i="12"/>
  <c r="AD160" i="12"/>
  <c r="AD170" i="12"/>
  <c r="AD256" i="12"/>
  <c r="AD123" i="12"/>
  <c r="AD209" i="12"/>
  <c r="AE72" i="12"/>
  <c r="AB94" i="12"/>
  <c r="AA217" i="12"/>
  <c r="X81" i="9"/>
  <c r="X84" i="9"/>
  <c r="X73" i="9"/>
  <c r="X53" i="9"/>
  <c r="X43" i="9"/>
  <c r="V21" i="8"/>
  <c r="X67" i="9"/>
  <c r="X70" i="9"/>
  <c r="X37" i="9"/>
  <c r="V15" i="8"/>
  <c r="X40" i="9"/>
  <c r="V18" i="8"/>
  <c r="X22" i="9"/>
  <c r="X25" i="9"/>
  <c r="X27" i="9"/>
  <c r="X29" i="9"/>
  <c r="X41" i="9"/>
  <c r="V19" i="8"/>
  <c r="X44" i="9"/>
  <c r="V22" i="8"/>
  <c r="X57" i="9"/>
  <c r="X58" i="9"/>
  <c r="X39" i="9"/>
  <c r="V17" i="8"/>
  <c r="X52" i="9"/>
  <c r="X56" i="9"/>
  <c r="X59" i="9"/>
  <c r="X85" i="9"/>
  <c r="X65" i="9"/>
  <c r="X28" i="9"/>
  <c r="X54" i="9"/>
  <c r="X51" i="9"/>
  <c r="X55" i="9"/>
  <c r="X88" i="9"/>
  <c r="X69" i="9"/>
  <c r="X72" i="9"/>
  <c r="X45" i="9"/>
  <c r="V23" i="8"/>
  <c r="X38" i="9"/>
  <c r="V16" i="8"/>
  <c r="X42" i="9"/>
  <c r="V20" i="8"/>
  <c r="X30" i="9"/>
  <c r="X71" i="9"/>
  <c r="X68" i="9"/>
  <c r="X80" i="9"/>
  <c r="X26" i="9"/>
  <c r="X82" i="9"/>
  <c r="X83" i="9"/>
  <c r="X23" i="9"/>
  <c r="X86" i="9"/>
  <c r="X24" i="9"/>
  <c r="X87" i="9"/>
  <c r="X66" i="9"/>
  <c r="AA197" i="12"/>
  <c r="AA113" i="12"/>
  <c r="AA199" i="12"/>
  <c r="AA161" i="12"/>
  <c r="AA134" i="12"/>
  <c r="AA220" i="12"/>
  <c r="AA143" i="12"/>
  <c r="AA229" i="12"/>
  <c r="AA171" i="12"/>
  <c r="AA257" i="12"/>
  <c r="AA152" i="12"/>
  <c r="AA238" i="12"/>
  <c r="Y21" i="9"/>
  <c r="AB93" i="12"/>
  <c r="AA95" i="12"/>
  <c r="AA226" i="12"/>
  <c r="AA128" i="12"/>
  <c r="AA214" i="12"/>
  <c r="AA207" i="12"/>
  <c r="AB127" i="12"/>
  <c r="AB213" i="12"/>
  <c r="AB117" i="12"/>
  <c r="AB203" i="12"/>
  <c r="AB136" i="12"/>
  <c r="AB222" i="12"/>
  <c r="AB145" i="12"/>
  <c r="AB231" i="12"/>
  <c r="AB155" i="12"/>
  <c r="AB241" i="12"/>
  <c r="AC84" i="12"/>
  <c r="AB164" i="12"/>
  <c r="AB250" i="12"/>
  <c r="AB115" i="12"/>
  <c r="AB201" i="12"/>
  <c r="AB125" i="12"/>
  <c r="AB211" i="12"/>
  <c r="AB154" i="12"/>
  <c r="AB240" i="12"/>
  <c r="AB173" i="12"/>
  <c r="AB259" i="12"/>
  <c r="AC79" i="12"/>
  <c r="AB163" i="12"/>
  <c r="AB249" i="12"/>
  <c r="AB135" i="12"/>
  <c r="AB221" i="12"/>
  <c r="X11" i="3"/>
  <c r="X14" i="3"/>
  <c r="X15" i="3"/>
  <c r="W3" i="3"/>
  <c r="W5" i="3"/>
  <c r="W6" i="3"/>
  <c r="W42" i="3"/>
  <c r="W7" i="3"/>
  <c r="W43" i="3"/>
  <c r="W9" i="3"/>
  <c r="W45" i="3"/>
  <c r="W8" i="3"/>
  <c r="W10" i="3"/>
  <c r="W29" i="3"/>
  <c r="W2" i="3"/>
  <c r="W4" i="3"/>
  <c r="W40" i="3"/>
  <c r="V28" i="3"/>
  <c r="U47" i="3"/>
  <c r="U49" i="3"/>
  <c r="K54" i="4"/>
  <c r="K47" i="4"/>
  <c r="K49" i="4"/>
  <c r="AA8" i="5"/>
  <c r="K39" i="4"/>
  <c r="AB7" i="5"/>
  <c r="J89" i="4"/>
  <c r="K87" i="4"/>
  <c r="K89" i="4"/>
  <c r="J84" i="4"/>
  <c r="K82" i="4"/>
  <c r="K84" i="4"/>
  <c r="J64" i="4"/>
  <c r="K62" i="4"/>
  <c r="J59" i="4"/>
  <c r="K57" i="4"/>
  <c r="K44" i="4"/>
  <c r="J34" i="4"/>
  <c r="K32" i="4"/>
  <c r="K34" i="4"/>
  <c r="AC9" i="11"/>
  <c r="AB9" i="5"/>
  <c r="U86" i="10"/>
  <c r="V59" i="10"/>
  <c r="U72" i="10"/>
  <c r="AC9" i="10"/>
  <c r="AC2" i="10"/>
  <c r="AC10" i="10"/>
  <c r="AC10" i="9"/>
  <c r="AN10" i="9"/>
  <c r="AC10" i="11"/>
  <c r="AC11" i="9"/>
  <c r="AN11" i="9"/>
  <c r="AC11" i="10"/>
  <c r="AC11" i="11"/>
  <c r="AC2" i="9"/>
  <c r="AC2" i="11"/>
  <c r="AB8" i="5"/>
  <c r="AC8" i="11"/>
  <c r="AC8" i="10"/>
  <c r="AC8" i="9"/>
  <c r="AN8" i="9"/>
  <c r="AB2" i="5"/>
  <c r="AC9" i="9"/>
  <c r="AN9" i="9"/>
  <c r="U40" i="11"/>
  <c r="V71" i="10"/>
  <c r="V52" i="10"/>
  <c r="V28" i="10"/>
  <c r="V25" i="10"/>
  <c r="V53" i="10"/>
  <c r="V68" i="10"/>
  <c r="V43" i="10"/>
  <c r="V67" i="10"/>
  <c r="V81" i="10"/>
  <c r="V84" i="10"/>
  <c r="V23" i="10"/>
  <c r="V82" i="10"/>
  <c r="U56" i="10"/>
  <c r="V26" i="10"/>
  <c r="U22" i="10"/>
  <c r="V44" i="10"/>
  <c r="V58" i="10"/>
  <c r="V57" i="10"/>
  <c r="V37" i="10"/>
  <c r="V22" i="10"/>
  <c r="V66" i="10"/>
  <c r="V87" i="10"/>
  <c r="V38" i="10"/>
  <c r="U71" i="10"/>
  <c r="U88" i="10"/>
  <c r="U85" i="11"/>
  <c r="U73" i="11"/>
  <c r="U37" i="11"/>
  <c r="V83" i="10"/>
  <c r="V85" i="10"/>
  <c r="U70" i="10"/>
  <c r="U29" i="10"/>
  <c r="V39" i="10"/>
  <c r="U38" i="11"/>
  <c r="U73" i="10"/>
  <c r="U59" i="10"/>
  <c r="U66" i="11"/>
  <c r="U82" i="11"/>
  <c r="V88" i="10"/>
  <c r="V41" i="10"/>
  <c r="U25" i="10"/>
  <c r="V56" i="10"/>
  <c r="U86" i="11"/>
  <c r="U40" i="10"/>
  <c r="U52" i="10"/>
  <c r="U82" i="10"/>
  <c r="U30" i="11"/>
  <c r="U41" i="10"/>
  <c r="U26" i="10"/>
  <c r="U52" i="11"/>
  <c r="U72" i="11"/>
  <c r="U56" i="11"/>
  <c r="U28" i="11"/>
  <c r="V69" i="10"/>
  <c r="V30" i="10"/>
  <c r="V51" i="10"/>
  <c r="V24" i="10"/>
  <c r="V80" i="10"/>
  <c r="V54" i="10"/>
  <c r="U80" i="11"/>
  <c r="U25" i="11"/>
  <c r="U69" i="11"/>
  <c r="U71" i="11"/>
  <c r="U41" i="11"/>
  <c r="U83" i="11"/>
  <c r="U53" i="11"/>
  <c r="U55" i="11"/>
  <c r="V29" i="10"/>
  <c r="V72" i="10"/>
  <c r="V65" i="10"/>
  <c r="V42" i="10"/>
  <c r="V73" i="10"/>
  <c r="V45" i="10"/>
  <c r="U81" i="11"/>
  <c r="U88" i="11"/>
  <c r="U22" i="11"/>
  <c r="U26" i="11"/>
  <c r="U29" i="11"/>
  <c r="V40" i="10"/>
  <c r="V55" i="10"/>
  <c r="V86" i="10"/>
  <c r="V27" i="10"/>
  <c r="W21" i="10"/>
  <c r="W37" i="10"/>
  <c r="U87" i="10"/>
  <c r="U84" i="10"/>
  <c r="U58" i="10"/>
  <c r="U30" i="10"/>
  <c r="U83" i="10"/>
  <c r="U67" i="10"/>
  <c r="U80" i="10"/>
  <c r="U51" i="10"/>
  <c r="U44" i="10"/>
  <c r="U85" i="10"/>
  <c r="U57" i="10"/>
  <c r="U37" i="10"/>
  <c r="U55" i="10"/>
  <c r="U38" i="10"/>
  <c r="U68" i="10"/>
  <c r="U53" i="10"/>
  <c r="U45" i="10"/>
  <c r="V21" i="11"/>
  <c r="V30" i="11"/>
  <c r="U69" i="10"/>
  <c r="U43" i="10"/>
  <c r="U23" i="10"/>
  <c r="U27" i="10"/>
  <c r="U24" i="10"/>
  <c r="U54" i="10"/>
  <c r="U28" i="10"/>
  <c r="U81" i="10"/>
  <c r="U65" i="10"/>
  <c r="U66" i="10"/>
  <c r="U42" i="10"/>
  <c r="U42" i="11"/>
  <c r="U27" i="11"/>
  <c r="U84" i="11"/>
  <c r="U23" i="11"/>
  <c r="U54" i="11"/>
  <c r="U68" i="11"/>
  <c r="U43" i="11"/>
  <c r="U44" i="11"/>
  <c r="U70" i="11"/>
  <c r="U58" i="11"/>
  <c r="U24" i="11"/>
  <c r="U57" i="11"/>
  <c r="U87" i="11"/>
  <c r="U50" i="3"/>
  <c r="U51" i="11"/>
  <c r="U65" i="11"/>
  <c r="U39" i="11"/>
  <c r="U59" i="11"/>
  <c r="U67" i="11"/>
  <c r="AA137" i="12"/>
  <c r="AA223" i="12"/>
  <c r="AA146" i="12"/>
  <c r="AA232" i="12"/>
  <c r="AA74" i="9"/>
  <c r="V30" i="3"/>
  <c r="V32" i="3"/>
  <c r="W24" i="3"/>
  <c r="W41" i="3"/>
  <c r="W22" i="3"/>
  <c r="W39" i="3"/>
  <c r="W21" i="3"/>
  <c r="W38" i="3"/>
  <c r="W27" i="3"/>
  <c r="W44" i="3"/>
  <c r="Z47" i="9"/>
  <c r="W42" i="8"/>
  <c r="AA247" i="12"/>
  <c r="AA165" i="12"/>
  <c r="AA251" i="12"/>
  <c r="AA156" i="12"/>
  <c r="AA242" i="12"/>
  <c r="AA118" i="12"/>
  <c r="AA204" i="12"/>
  <c r="AA174" i="12"/>
  <c r="AA260" i="12"/>
  <c r="AC121" i="12"/>
  <c r="AC111" i="12"/>
  <c r="AC140" i="12"/>
  <c r="AC131" i="12"/>
  <c r="AC149" i="12"/>
  <c r="AC168" i="12"/>
  <c r="AB254" i="12"/>
  <c r="AD246" i="12"/>
  <c r="AB113" i="12"/>
  <c r="AB199" i="12"/>
  <c r="AB171" i="12"/>
  <c r="AB257" i="12"/>
  <c r="AB134" i="12"/>
  <c r="AB220" i="12"/>
  <c r="AB143" i="12"/>
  <c r="AB229" i="12"/>
  <c r="AB152" i="12"/>
  <c r="AB238" i="12"/>
  <c r="AB161" i="12"/>
  <c r="AD64" i="12"/>
  <c r="AD66" i="12"/>
  <c r="AC67" i="12"/>
  <c r="AD65" i="12"/>
  <c r="AC68" i="12"/>
  <c r="AC75" i="12"/>
  <c r="AB156" i="12"/>
  <c r="AB242" i="12"/>
  <c r="AB235" i="12"/>
  <c r="AC94" i="12"/>
  <c r="AB128" i="12"/>
  <c r="AB214" i="12"/>
  <c r="AB207" i="12"/>
  <c r="Z21" i="9"/>
  <c r="AB95" i="12"/>
  <c r="AC93" i="12"/>
  <c r="AC125" i="12"/>
  <c r="AC211" i="12"/>
  <c r="AC115" i="12"/>
  <c r="AC201" i="12"/>
  <c r="AC135" i="12"/>
  <c r="AC221" i="12"/>
  <c r="AC163" i="12"/>
  <c r="AC249" i="12"/>
  <c r="AD79" i="12"/>
  <c r="AC154" i="12"/>
  <c r="AC240" i="12"/>
  <c r="AC173" i="12"/>
  <c r="AC259" i="12"/>
  <c r="Y80" i="9"/>
  <c r="Y82" i="9"/>
  <c r="Y84" i="9"/>
  <c r="Y86" i="9"/>
  <c r="Y88" i="9"/>
  <c r="Y66" i="9"/>
  <c r="Y68" i="9"/>
  <c r="Y70" i="9"/>
  <c r="Y72" i="9"/>
  <c r="Y51" i="9"/>
  <c r="Y53" i="9"/>
  <c r="Y55" i="9"/>
  <c r="Y57" i="9"/>
  <c r="Y59" i="9"/>
  <c r="Y38" i="9"/>
  <c r="W16" i="8"/>
  <c r="Y40" i="9"/>
  <c r="W18" i="8"/>
  <c r="Y42" i="9"/>
  <c r="W20" i="8"/>
  <c r="Y44" i="9"/>
  <c r="W22" i="8"/>
  <c r="Y87" i="9"/>
  <c r="Y56" i="9"/>
  <c r="Y81" i="9"/>
  <c r="Y73" i="9"/>
  <c r="Y43" i="9"/>
  <c r="W21" i="8"/>
  <c r="Y26" i="9"/>
  <c r="Y27" i="9"/>
  <c r="Y37" i="9"/>
  <c r="W15" i="8"/>
  <c r="Y41" i="9"/>
  <c r="W19" i="8"/>
  <c r="Y54" i="9"/>
  <c r="Y39" i="9"/>
  <c r="W17" i="8"/>
  <c r="Y30" i="9"/>
  <c r="Y67" i="9"/>
  <c r="Y71" i="9"/>
  <c r="Y28" i="9"/>
  <c r="Y58" i="9"/>
  <c r="Y52" i="9"/>
  <c r="Y29" i="9"/>
  <c r="Y45" i="9"/>
  <c r="W23" i="8"/>
  <c r="Y83" i="9"/>
  <c r="Y85" i="9"/>
  <c r="Y65" i="9"/>
  <c r="Y69" i="9"/>
  <c r="Y24" i="9"/>
  <c r="Y23" i="9"/>
  <c r="Y25" i="9"/>
  <c r="Y22" i="9"/>
  <c r="AE116" i="12"/>
  <c r="AE202" i="12"/>
  <c r="AE123" i="12"/>
  <c r="AE209" i="12"/>
  <c r="AE133" i="12"/>
  <c r="AE219" i="12"/>
  <c r="AE142" i="12"/>
  <c r="AE228" i="12"/>
  <c r="AE151" i="12"/>
  <c r="AE237" i="12"/>
  <c r="AE160" i="12"/>
  <c r="AE170" i="12"/>
  <c r="AE256" i="12"/>
  <c r="AF72" i="12"/>
  <c r="AC103" i="12"/>
  <c r="AD101" i="12"/>
  <c r="AB226" i="12"/>
  <c r="AB86" i="12"/>
  <c r="AC122" i="12"/>
  <c r="AC208" i="12"/>
  <c r="AC132" i="12"/>
  <c r="AC218" i="12"/>
  <c r="AC112" i="12"/>
  <c r="AC198" i="12"/>
  <c r="AC141" i="12"/>
  <c r="AC227" i="12"/>
  <c r="AC150" i="12"/>
  <c r="AC236" i="12"/>
  <c r="AC169" i="12"/>
  <c r="AC255" i="12"/>
  <c r="AD70" i="12"/>
  <c r="AC159" i="12"/>
  <c r="AC245" i="12"/>
  <c r="AB197" i="12"/>
  <c r="AC117" i="12"/>
  <c r="AC203" i="12"/>
  <c r="AC136" i="12"/>
  <c r="AC222" i="12"/>
  <c r="AC127" i="12"/>
  <c r="AC213" i="12"/>
  <c r="AC145" i="12"/>
  <c r="AC231" i="12"/>
  <c r="AC164" i="12"/>
  <c r="AC250" i="12"/>
  <c r="AD84" i="12"/>
  <c r="AC155" i="12"/>
  <c r="AC241" i="12"/>
  <c r="AB137" i="12"/>
  <c r="AB223" i="12"/>
  <c r="AB217" i="12"/>
  <c r="W28" i="3"/>
  <c r="V47" i="3"/>
  <c r="V49" i="3"/>
  <c r="Y11" i="3"/>
  <c r="Y14" i="3"/>
  <c r="Y15" i="3"/>
  <c r="X2" i="3"/>
  <c r="X4" i="3"/>
  <c r="X40" i="3"/>
  <c r="X7" i="3"/>
  <c r="X43" i="3"/>
  <c r="X9" i="3"/>
  <c r="X45" i="3"/>
  <c r="X3" i="3"/>
  <c r="X5" i="3"/>
  <c r="X6" i="3"/>
  <c r="X42" i="3"/>
  <c r="X8" i="3"/>
  <c r="X10" i="3"/>
  <c r="X29" i="3"/>
  <c r="K64" i="4"/>
  <c r="AB11" i="5"/>
  <c r="K59" i="4"/>
  <c r="AB10" i="5"/>
  <c r="AB146" i="12"/>
  <c r="AB232" i="12"/>
  <c r="W43" i="10"/>
  <c r="W39" i="10"/>
  <c r="W30" i="10"/>
  <c r="W27" i="10"/>
  <c r="W40" i="10"/>
  <c r="W69" i="10"/>
  <c r="W81" i="10"/>
  <c r="W22" i="10"/>
  <c r="V24" i="11"/>
  <c r="W44" i="10"/>
  <c r="W38" i="10"/>
  <c r="W88" i="10"/>
  <c r="W26" i="10"/>
  <c r="W57" i="10"/>
  <c r="W82" i="10"/>
  <c r="W87" i="10"/>
  <c r="W54" i="10"/>
  <c r="W73" i="10"/>
  <c r="W42" i="10"/>
  <c r="W66" i="10"/>
  <c r="W53" i="10"/>
  <c r="V82" i="11"/>
  <c r="W58" i="10"/>
  <c r="W52" i="10"/>
  <c r="W56" i="10"/>
  <c r="W23" i="10"/>
  <c r="W83" i="10"/>
  <c r="W24" i="10"/>
  <c r="W72" i="10"/>
  <c r="V39" i="11"/>
  <c r="V69" i="11"/>
  <c r="V54" i="11"/>
  <c r="W80" i="10"/>
  <c r="W68" i="10"/>
  <c r="W67" i="10"/>
  <c r="W25" i="10"/>
  <c r="V66" i="11"/>
  <c r="W86" i="10"/>
  <c r="W85" i="10"/>
  <c r="W45" i="10"/>
  <c r="W70" i="10"/>
  <c r="W51" i="10"/>
  <c r="V86" i="11"/>
  <c r="W65" i="10"/>
  <c r="W29" i="10"/>
  <c r="W84" i="10"/>
  <c r="W41" i="10"/>
  <c r="W55" i="10"/>
  <c r="W71" i="10"/>
  <c r="W28" i="10"/>
  <c r="V55" i="11"/>
  <c r="V37" i="11"/>
  <c r="V70" i="11"/>
  <c r="V85" i="11"/>
  <c r="V71" i="11"/>
  <c r="V72" i="11"/>
  <c r="V67" i="11"/>
  <c r="V23" i="11"/>
  <c r="V87" i="11"/>
  <c r="V57" i="11"/>
  <c r="V28" i="11"/>
  <c r="V38" i="11"/>
  <c r="V52" i="11"/>
  <c r="V84" i="11"/>
  <c r="V80" i="11"/>
  <c r="V73" i="11"/>
  <c r="V58" i="11"/>
  <c r="V42" i="11"/>
  <c r="V51" i="11"/>
  <c r="V29" i="11"/>
  <c r="V68" i="11"/>
  <c r="V56" i="11"/>
  <c r="V27" i="11"/>
  <c r="V53" i="11"/>
  <c r="V65" i="11"/>
  <c r="V88" i="11"/>
  <c r="V40" i="11"/>
  <c r="V41" i="11"/>
  <c r="V83" i="11"/>
  <c r="V43" i="11"/>
  <c r="V25" i="11"/>
  <c r="V44" i="11"/>
  <c r="V45" i="11"/>
  <c r="V59" i="11"/>
  <c r="V26" i="11"/>
  <c r="V22" i="11"/>
  <c r="V81" i="11"/>
  <c r="W59" i="10"/>
  <c r="W21" i="11"/>
  <c r="W43" i="11"/>
  <c r="V33" i="3"/>
  <c r="V50" i="3"/>
  <c r="AB74" i="9"/>
  <c r="W30" i="3"/>
  <c r="W32" i="3"/>
  <c r="X22" i="3"/>
  <c r="X39" i="3"/>
  <c r="X27" i="3"/>
  <c r="X44" i="3"/>
  <c r="X21" i="3"/>
  <c r="X38" i="3"/>
  <c r="X24" i="3"/>
  <c r="X41" i="3"/>
  <c r="AA47" i="9"/>
  <c r="X42" i="8"/>
  <c r="AB247" i="12"/>
  <c r="AB165" i="12"/>
  <c r="AB251" i="12"/>
  <c r="AB174" i="12"/>
  <c r="AB260" i="12"/>
  <c r="AB118" i="12"/>
  <c r="AB204" i="12"/>
  <c r="AE246" i="12"/>
  <c r="AD136" i="12"/>
  <c r="AD222" i="12"/>
  <c r="AD145" i="12"/>
  <c r="AD231" i="12"/>
  <c r="AD155" i="12"/>
  <c r="AD241" i="12"/>
  <c r="AD117" i="12"/>
  <c r="AD203" i="12"/>
  <c r="AD164" i="12"/>
  <c r="AD250" i="12"/>
  <c r="AD127" i="12"/>
  <c r="AD213" i="12"/>
  <c r="AE84" i="12"/>
  <c r="AC134" i="12"/>
  <c r="AC220" i="12"/>
  <c r="AC113" i="12"/>
  <c r="AC199" i="12"/>
  <c r="AC152" i="12"/>
  <c r="AC238" i="12"/>
  <c r="AC143" i="12"/>
  <c r="AC229" i="12"/>
  <c r="AC161" i="12"/>
  <c r="AC171" i="12"/>
  <c r="AC257" i="12"/>
  <c r="AC86" i="12"/>
  <c r="AC254" i="12"/>
  <c r="AD112" i="12"/>
  <c r="AD198" i="12"/>
  <c r="AD132" i="12"/>
  <c r="AD218" i="12"/>
  <c r="AD122" i="12"/>
  <c r="AD208" i="12"/>
  <c r="AD159" i="12"/>
  <c r="AD245" i="12"/>
  <c r="AE70" i="12"/>
  <c r="AD141" i="12"/>
  <c r="AD227" i="12"/>
  <c r="AD150" i="12"/>
  <c r="AD236" i="12"/>
  <c r="AD169" i="12"/>
  <c r="AD255" i="12"/>
  <c r="AA21" i="9"/>
  <c r="Z66" i="9"/>
  <c r="Z69" i="9"/>
  <c r="Z59" i="9"/>
  <c r="Z39" i="9"/>
  <c r="X17" i="8"/>
  <c r="Z24" i="9"/>
  <c r="Z84" i="9"/>
  <c r="Z87" i="9"/>
  <c r="Z53" i="9"/>
  <c r="Z56" i="9"/>
  <c r="Z80" i="9"/>
  <c r="Z83" i="9"/>
  <c r="Z23" i="9"/>
  <c r="Z43" i="9"/>
  <c r="X21" i="8"/>
  <c r="Z44" i="9"/>
  <c r="X22" i="8"/>
  <c r="Z28" i="9"/>
  <c r="Z41" i="9"/>
  <c r="X19" i="8"/>
  <c r="Z45" i="9"/>
  <c r="X23" i="8"/>
  <c r="Z70" i="9"/>
  <c r="Z51" i="9"/>
  <c r="Z58" i="9"/>
  <c r="Z26" i="9"/>
  <c r="Z27" i="9"/>
  <c r="Z40" i="9"/>
  <c r="X18" i="8"/>
  <c r="Z29" i="9"/>
  <c r="Z37" i="9"/>
  <c r="X15" i="8"/>
  <c r="Z54" i="9"/>
  <c r="Z30" i="9"/>
  <c r="Z57" i="9"/>
  <c r="Z38" i="9"/>
  <c r="X16" i="8"/>
  <c r="Z42" i="9"/>
  <c r="X20" i="8"/>
  <c r="Z73" i="9"/>
  <c r="Z55" i="9"/>
  <c r="Z22" i="9"/>
  <c r="Z82" i="9"/>
  <c r="Z71" i="9"/>
  <c r="Z52" i="9"/>
  <c r="Z88" i="9"/>
  <c r="Z25" i="9"/>
  <c r="Z72" i="9"/>
  <c r="Z81" i="9"/>
  <c r="Z85" i="9"/>
  <c r="Z65" i="9"/>
  <c r="Z86" i="9"/>
  <c r="Z67" i="9"/>
  <c r="Z68" i="9"/>
  <c r="AC235" i="12"/>
  <c r="AD103" i="12"/>
  <c r="AE101" i="12"/>
  <c r="AC137" i="12"/>
  <c r="AC223" i="12"/>
  <c r="AC217" i="12"/>
  <c r="AC146" i="12"/>
  <c r="AC232" i="12"/>
  <c r="AC226" i="12"/>
  <c r="AD115" i="12"/>
  <c r="AD201" i="12"/>
  <c r="AD135" i="12"/>
  <c r="AD221" i="12"/>
  <c r="AD125" i="12"/>
  <c r="AD211" i="12"/>
  <c r="AD163" i="12"/>
  <c r="AD249" i="12"/>
  <c r="AD154" i="12"/>
  <c r="AD240" i="12"/>
  <c r="AD173" i="12"/>
  <c r="AD259" i="12"/>
  <c r="AE79" i="12"/>
  <c r="AF116" i="12"/>
  <c r="AF202" i="12"/>
  <c r="AF123" i="12"/>
  <c r="AF209" i="12"/>
  <c r="AF133" i="12"/>
  <c r="AF219" i="12"/>
  <c r="AF142" i="12"/>
  <c r="AF228" i="12"/>
  <c r="AF170" i="12"/>
  <c r="AF256" i="12"/>
  <c r="AF151" i="12"/>
  <c r="AF237" i="12"/>
  <c r="AF160" i="12"/>
  <c r="AG72" i="12"/>
  <c r="AD94" i="12"/>
  <c r="AD111" i="12"/>
  <c r="AD121" i="12"/>
  <c r="AD131" i="12"/>
  <c r="AD140" i="12"/>
  <c r="AD149" i="12"/>
  <c r="AD168" i="12"/>
  <c r="AC118" i="12"/>
  <c r="AC204" i="12"/>
  <c r="AC197" i="12"/>
  <c r="AD93" i="12"/>
  <c r="AC95" i="12"/>
  <c r="AD68" i="12"/>
  <c r="AE64" i="12"/>
  <c r="AE66" i="12"/>
  <c r="AD67" i="12"/>
  <c r="AE65" i="12"/>
  <c r="AD75" i="12"/>
  <c r="AD86" i="12"/>
  <c r="AC128" i="12"/>
  <c r="AC214" i="12"/>
  <c r="AC207" i="12"/>
  <c r="Z11" i="3"/>
  <c r="Z14" i="3"/>
  <c r="Z15" i="3"/>
  <c r="Y6" i="3"/>
  <c r="Y42" i="3"/>
  <c r="Y8" i="3"/>
  <c r="Y10" i="3"/>
  <c r="Y29" i="3"/>
  <c r="Y7" i="3"/>
  <c r="Y43" i="3"/>
  <c r="Y2" i="3"/>
  <c r="Y4" i="3"/>
  <c r="Y40" i="3"/>
  <c r="Y9" i="3"/>
  <c r="Y45" i="3"/>
  <c r="Y3" i="3"/>
  <c r="Y5" i="3"/>
  <c r="W47" i="3"/>
  <c r="W49" i="3"/>
  <c r="X28" i="3"/>
  <c r="AC156" i="12"/>
  <c r="AC242" i="12"/>
  <c r="W82" i="11"/>
  <c r="W72" i="11"/>
  <c r="W52" i="11"/>
  <c r="W45" i="11"/>
  <c r="W26" i="11"/>
  <c r="W84" i="11"/>
  <c r="W70" i="11"/>
  <c r="W59" i="11"/>
  <c r="W51" i="11"/>
  <c r="W38" i="11"/>
  <c r="W71" i="11"/>
  <c r="W80" i="11"/>
  <c r="W23" i="11"/>
  <c r="W37" i="11"/>
  <c r="W58" i="11"/>
  <c r="W67" i="11"/>
  <c r="W30" i="11"/>
  <c r="W87" i="11"/>
  <c r="W65" i="11"/>
  <c r="W42" i="11"/>
  <c r="W53" i="11"/>
  <c r="W44" i="11"/>
  <c r="W24" i="11"/>
  <c r="W88" i="11"/>
  <c r="W27" i="11"/>
  <c r="W54" i="11"/>
  <c r="W25" i="11"/>
  <c r="W28" i="11"/>
  <c r="W86" i="11"/>
  <c r="W57" i="11"/>
  <c r="W69" i="11"/>
  <c r="W55" i="11"/>
  <c r="W56" i="11"/>
  <c r="W81" i="11"/>
  <c r="W73" i="11"/>
  <c r="W83" i="11"/>
  <c r="W22" i="11"/>
  <c r="W66" i="11"/>
  <c r="W68" i="11"/>
  <c r="W41" i="11"/>
  <c r="W40" i="11"/>
  <c r="W29" i="11"/>
  <c r="W85" i="11"/>
  <c r="W39" i="11"/>
  <c r="X21" i="11"/>
  <c r="X53" i="11"/>
  <c r="X21" i="10"/>
  <c r="X80" i="10"/>
  <c r="W33" i="3"/>
  <c r="X30" i="3"/>
  <c r="X32" i="3"/>
  <c r="X33" i="3"/>
  <c r="W50" i="3"/>
  <c r="AC74" i="9"/>
  <c r="Y24" i="3"/>
  <c r="Y41" i="3"/>
  <c r="Y27" i="3"/>
  <c r="Y44" i="3"/>
  <c r="Y21" i="3"/>
  <c r="Y38" i="3"/>
  <c r="Y22" i="3"/>
  <c r="Y39" i="3"/>
  <c r="AB47" i="9"/>
  <c r="Y42" i="8"/>
  <c r="AC247" i="12"/>
  <c r="AC165" i="12"/>
  <c r="AC251" i="12"/>
  <c r="AC174" i="12"/>
  <c r="AC260" i="12"/>
  <c r="AE94" i="12"/>
  <c r="AE122" i="12"/>
  <c r="AE208" i="12"/>
  <c r="AE132" i="12"/>
  <c r="AE218" i="12"/>
  <c r="AE141" i="12"/>
  <c r="AE227" i="12"/>
  <c r="AE150" i="12"/>
  <c r="AE236" i="12"/>
  <c r="AE169" i="12"/>
  <c r="AE255" i="12"/>
  <c r="AE112" i="12"/>
  <c r="AE198" i="12"/>
  <c r="AE159" i="12"/>
  <c r="AE245" i="12"/>
  <c r="AF70" i="12"/>
  <c r="AD217" i="12"/>
  <c r="AD128" i="12"/>
  <c r="AD214" i="12"/>
  <c r="AD207" i="12"/>
  <c r="AE117" i="12"/>
  <c r="AE203" i="12"/>
  <c r="AE127" i="12"/>
  <c r="AE213" i="12"/>
  <c r="AE136" i="12"/>
  <c r="AE222" i="12"/>
  <c r="AE145" i="12"/>
  <c r="AE231" i="12"/>
  <c r="AE164" i="12"/>
  <c r="AE250" i="12"/>
  <c r="AE155" i="12"/>
  <c r="AE241" i="12"/>
  <c r="AF84" i="12"/>
  <c r="AE93" i="12"/>
  <c r="AD95" i="12"/>
  <c r="AG123" i="12"/>
  <c r="AG209" i="12"/>
  <c r="AG116" i="12"/>
  <c r="AG202" i="12"/>
  <c r="AG133" i="12"/>
  <c r="AG219" i="12"/>
  <c r="AG170" i="12"/>
  <c r="AG256" i="12"/>
  <c r="AG142" i="12"/>
  <c r="AG228" i="12"/>
  <c r="AH72" i="12"/>
  <c r="AG151" i="12"/>
  <c r="AG237" i="12"/>
  <c r="AG160" i="12"/>
  <c r="AE115" i="12"/>
  <c r="AE201" i="12"/>
  <c r="AE135" i="12"/>
  <c r="AE221" i="12"/>
  <c r="AE125" i="12"/>
  <c r="AE211" i="12"/>
  <c r="AE154" i="12"/>
  <c r="AE240" i="12"/>
  <c r="AE173" i="12"/>
  <c r="AE259" i="12"/>
  <c r="AE163" i="12"/>
  <c r="AE249" i="12"/>
  <c r="AF79" i="12"/>
  <c r="AF101" i="12"/>
  <c r="AE103" i="12"/>
  <c r="AD113" i="12"/>
  <c r="AD199" i="12"/>
  <c r="AD134" i="12"/>
  <c r="AD220" i="12"/>
  <c r="AD143" i="12"/>
  <c r="AD229" i="12"/>
  <c r="AD152" i="12"/>
  <c r="AD238" i="12"/>
  <c r="AD161" i="12"/>
  <c r="AD171" i="12"/>
  <c r="AD257" i="12"/>
  <c r="AD197" i="12"/>
  <c r="AD254" i="12"/>
  <c r="AF246" i="12"/>
  <c r="AB21" i="9"/>
  <c r="AE68" i="12"/>
  <c r="AF65" i="12"/>
  <c r="AE67" i="12"/>
  <c r="AF66" i="12"/>
  <c r="AF64" i="12"/>
  <c r="AE75" i="12"/>
  <c r="AD226" i="12"/>
  <c r="AE121" i="12"/>
  <c r="AE131" i="12"/>
  <c r="AE111" i="12"/>
  <c r="AE140" i="12"/>
  <c r="AE168" i="12"/>
  <c r="AE149" i="12"/>
  <c r="AD235" i="12"/>
  <c r="AA23" i="9"/>
  <c r="AA80" i="9"/>
  <c r="AA83" i="9"/>
  <c r="AA72" i="9"/>
  <c r="AA52" i="9"/>
  <c r="AA42" i="9"/>
  <c r="Y20" i="8"/>
  <c r="AA45" i="9"/>
  <c r="Y23" i="8"/>
  <c r="AA26" i="9"/>
  <c r="AA28" i="9"/>
  <c r="AA30" i="9"/>
  <c r="AA66" i="9"/>
  <c r="AA69" i="9"/>
  <c r="AA59" i="9"/>
  <c r="AA39" i="9"/>
  <c r="Y17" i="8"/>
  <c r="AA24" i="9"/>
  <c r="AA81" i="9"/>
  <c r="AA82" i="9"/>
  <c r="AA85" i="9"/>
  <c r="AA86" i="9"/>
  <c r="AA65" i="9"/>
  <c r="AA22" i="9"/>
  <c r="AA25" i="9"/>
  <c r="AA27" i="9"/>
  <c r="AA43" i="9"/>
  <c r="Y21" i="8"/>
  <c r="AA53" i="9"/>
  <c r="AA56" i="9"/>
  <c r="AA37" i="9"/>
  <c r="Y15" i="8"/>
  <c r="AA41" i="9"/>
  <c r="Y19" i="8"/>
  <c r="AA40" i="9"/>
  <c r="Y18" i="8"/>
  <c r="AA44" i="9"/>
  <c r="Y22" i="8"/>
  <c r="AA57" i="9"/>
  <c r="AA38" i="9"/>
  <c r="Y16" i="8"/>
  <c r="AA29" i="9"/>
  <c r="AA84" i="9"/>
  <c r="AA88" i="9"/>
  <c r="AA68" i="9"/>
  <c r="AA70" i="9"/>
  <c r="AA55" i="9"/>
  <c r="AA71" i="9"/>
  <c r="AA73" i="9"/>
  <c r="AA54" i="9"/>
  <c r="AA58" i="9"/>
  <c r="AA67" i="9"/>
  <c r="AA51" i="9"/>
  <c r="AA87" i="9"/>
  <c r="X47" i="3"/>
  <c r="X49" i="3"/>
  <c r="AA11" i="3"/>
  <c r="AA14" i="3"/>
  <c r="AA15" i="3"/>
  <c r="Z6" i="3"/>
  <c r="Z42" i="3"/>
  <c r="Z8" i="3"/>
  <c r="Z10" i="3"/>
  <c r="Z29" i="3"/>
  <c r="Z2" i="3"/>
  <c r="Z4" i="3"/>
  <c r="Z40" i="3"/>
  <c r="Z7" i="3"/>
  <c r="Z43" i="3"/>
  <c r="Z9" i="3"/>
  <c r="Z45" i="3"/>
  <c r="Z3" i="3"/>
  <c r="Z5" i="3"/>
  <c r="Y28" i="3"/>
  <c r="AD146" i="12"/>
  <c r="AD232" i="12"/>
  <c r="X86" i="11"/>
  <c r="X83" i="11"/>
  <c r="X24" i="11"/>
  <c r="X82" i="11"/>
  <c r="X40" i="10"/>
  <c r="X44" i="10"/>
  <c r="X55" i="11"/>
  <c r="X22" i="11"/>
  <c r="X39" i="11"/>
  <c r="X27" i="11"/>
  <c r="X44" i="11"/>
  <c r="X85" i="11"/>
  <c r="X81" i="11"/>
  <c r="X87" i="11"/>
  <c r="X54" i="11"/>
  <c r="X88" i="11"/>
  <c r="X56" i="11"/>
  <c r="X37" i="11"/>
  <c r="X43" i="11"/>
  <c r="X65" i="11"/>
  <c r="X73" i="11"/>
  <c r="X26" i="11"/>
  <c r="X42" i="11"/>
  <c r="X68" i="11"/>
  <c r="X59" i="11"/>
  <c r="X40" i="11"/>
  <c r="X45" i="11"/>
  <c r="X80" i="11"/>
  <c r="X52" i="11"/>
  <c r="X45" i="10"/>
  <c r="X30" i="11"/>
  <c r="X66" i="11"/>
  <c r="X69" i="11"/>
  <c r="X58" i="11"/>
  <c r="X38" i="11"/>
  <c r="X29" i="11"/>
  <c r="X72" i="10"/>
  <c r="X23" i="11"/>
  <c r="X70" i="11"/>
  <c r="X67" i="11"/>
  <c r="Y21" i="11"/>
  <c r="Y82" i="11"/>
  <c r="X24" i="10"/>
  <c r="X22" i="10"/>
  <c r="X27" i="10"/>
  <c r="X43" i="10"/>
  <c r="X82" i="10"/>
  <c r="X57" i="10"/>
  <c r="X58" i="10"/>
  <c r="X30" i="10"/>
  <c r="X37" i="10"/>
  <c r="X65" i="10"/>
  <c r="Z21" i="10"/>
  <c r="Z57" i="10"/>
  <c r="X55" i="10"/>
  <c r="X42" i="10"/>
  <c r="X59" i="10"/>
  <c r="X28" i="10"/>
  <c r="X23" i="10"/>
  <c r="Y21" i="10"/>
  <c r="Y54" i="10"/>
  <c r="X84" i="11"/>
  <c r="X87" i="10"/>
  <c r="X38" i="10"/>
  <c r="X81" i="10"/>
  <c r="X52" i="10"/>
  <c r="X66" i="10"/>
  <c r="X83" i="10"/>
  <c r="X29" i="10"/>
  <c r="X56" i="10"/>
  <c r="X72" i="11"/>
  <c r="X68" i="10"/>
  <c r="X67" i="10"/>
  <c r="X51" i="10"/>
  <c r="X53" i="10"/>
  <c r="X69" i="10"/>
  <c r="X28" i="11"/>
  <c r="X41" i="11"/>
  <c r="X57" i="11"/>
  <c r="X71" i="11"/>
  <c r="X25" i="11"/>
  <c r="X86" i="10"/>
  <c r="X71" i="10"/>
  <c r="X54" i="10"/>
  <c r="X39" i="10"/>
  <c r="X73" i="10"/>
  <c r="X85" i="10"/>
  <c r="X88" i="10"/>
  <c r="X25" i="10"/>
  <c r="X70" i="10"/>
  <c r="X26" i="10"/>
  <c r="X41" i="10"/>
  <c r="X84" i="10"/>
  <c r="X51" i="11"/>
  <c r="Z41" i="10"/>
  <c r="Z67" i="10"/>
  <c r="Y52" i="11"/>
  <c r="Y28" i="11"/>
  <c r="Y86" i="11"/>
  <c r="Y38" i="10"/>
  <c r="X50" i="3"/>
  <c r="Z85" i="10"/>
  <c r="Z52" i="10"/>
  <c r="Z37" i="10"/>
  <c r="Z38" i="10"/>
  <c r="AD174" i="12"/>
  <c r="AD260" i="12"/>
  <c r="AD137" i="12"/>
  <c r="AD223" i="12"/>
  <c r="Z22" i="10"/>
  <c r="Z23" i="10"/>
  <c r="Z70" i="10"/>
  <c r="Z55" i="10"/>
  <c r="Y30" i="3"/>
  <c r="Y32" i="3"/>
  <c r="Z56" i="10"/>
  <c r="Z73" i="10"/>
  <c r="Z22" i="3"/>
  <c r="Z39" i="3"/>
  <c r="Z21" i="3"/>
  <c r="Z38" i="3"/>
  <c r="Z24" i="3"/>
  <c r="Z41" i="3"/>
  <c r="Z27" i="3"/>
  <c r="Z44" i="3"/>
  <c r="AC47" i="9"/>
  <c r="AA42" i="8"/>
  <c r="Z42" i="8"/>
  <c r="AD247" i="12"/>
  <c r="AD165" i="12"/>
  <c r="AD251" i="12"/>
  <c r="AD118" i="12"/>
  <c r="AD204" i="12"/>
  <c r="AD156" i="12"/>
  <c r="AD242" i="12"/>
  <c r="AE235" i="12"/>
  <c r="AF131" i="12"/>
  <c r="AF111" i="12"/>
  <c r="AF140" i="12"/>
  <c r="AF121" i="12"/>
  <c r="AF149" i="12"/>
  <c r="AF168" i="12"/>
  <c r="AE134" i="12"/>
  <c r="AE220" i="12"/>
  <c r="AE113" i="12"/>
  <c r="AE199" i="12"/>
  <c r="AE143" i="12"/>
  <c r="AE229" i="12"/>
  <c r="AE152" i="12"/>
  <c r="AE238" i="12"/>
  <c r="AE161" i="12"/>
  <c r="AE171" i="12"/>
  <c r="AE257" i="12"/>
  <c r="AE197" i="12"/>
  <c r="AF112" i="12"/>
  <c r="AF198" i="12"/>
  <c r="AF122" i="12"/>
  <c r="AF208" i="12"/>
  <c r="AF132" i="12"/>
  <c r="AF218" i="12"/>
  <c r="AF141" i="12"/>
  <c r="AF227" i="12"/>
  <c r="AF169" i="12"/>
  <c r="AF255" i="12"/>
  <c r="AF150" i="12"/>
  <c r="AF236" i="12"/>
  <c r="AF159" i="12"/>
  <c r="AF245" i="12"/>
  <c r="AG70" i="12"/>
  <c r="AE217" i="12"/>
  <c r="AG101" i="12"/>
  <c r="AF103" i="12"/>
  <c r="AG246" i="12"/>
  <c r="AF94" i="12"/>
  <c r="AF127" i="12"/>
  <c r="AF213" i="12"/>
  <c r="AF117" i="12"/>
  <c r="AF203" i="12"/>
  <c r="AF136" i="12"/>
  <c r="AF222" i="12"/>
  <c r="AF155" i="12"/>
  <c r="AF241" i="12"/>
  <c r="AF145" i="12"/>
  <c r="AF231" i="12"/>
  <c r="AF164" i="12"/>
  <c r="AF250" i="12"/>
  <c r="AG84" i="12"/>
  <c r="AB86" i="9"/>
  <c r="AB65" i="9"/>
  <c r="AB55" i="9"/>
  <c r="AB58" i="9"/>
  <c r="AB80" i="9"/>
  <c r="AB83" i="9"/>
  <c r="AB72" i="9"/>
  <c r="AB52" i="9"/>
  <c r="AB42" i="9"/>
  <c r="Z20" i="8"/>
  <c r="AB45" i="9"/>
  <c r="Z23" i="8"/>
  <c r="AB26" i="9"/>
  <c r="AB28" i="9"/>
  <c r="AB30" i="9"/>
  <c r="AB84" i="9"/>
  <c r="AB87" i="9"/>
  <c r="AB88" i="9"/>
  <c r="AB67" i="9"/>
  <c r="AB68" i="9"/>
  <c r="AB71" i="9"/>
  <c r="AB24" i="9"/>
  <c r="AB39" i="9"/>
  <c r="Z17" i="8"/>
  <c r="AB43" i="9"/>
  <c r="Z21" i="8"/>
  <c r="AB29" i="9"/>
  <c r="AB81" i="9"/>
  <c r="AB82" i="9"/>
  <c r="AB85" i="9"/>
  <c r="AB22" i="9"/>
  <c r="AB23" i="9"/>
  <c r="AB25" i="9"/>
  <c r="AB27" i="9"/>
  <c r="AB59" i="9"/>
  <c r="AB40" i="9"/>
  <c r="Z18" i="8"/>
  <c r="AB44" i="9"/>
  <c r="Z22" i="8"/>
  <c r="AB66" i="9"/>
  <c r="AB51" i="9"/>
  <c r="AB56" i="9"/>
  <c r="AB41" i="9"/>
  <c r="Z19" i="8"/>
  <c r="AB53" i="9"/>
  <c r="AB38" i="9"/>
  <c r="Z16" i="8"/>
  <c r="AB70" i="9"/>
  <c r="AB57" i="9"/>
  <c r="AB69" i="9"/>
  <c r="AB73" i="9"/>
  <c r="AB54" i="9"/>
  <c r="AB37" i="9"/>
  <c r="Z15" i="8"/>
  <c r="AE254" i="12"/>
  <c r="AE226" i="12"/>
  <c r="AE128" i="12"/>
  <c r="AE214" i="12"/>
  <c r="AE207" i="12"/>
  <c r="AE86" i="12"/>
  <c r="AF125" i="12"/>
  <c r="AF211" i="12"/>
  <c r="AF135" i="12"/>
  <c r="AF221" i="12"/>
  <c r="AF173" i="12"/>
  <c r="AF259" i="12"/>
  <c r="AF115" i="12"/>
  <c r="AF201" i="12"/>
  <c r="AF154" i="12"/>
  <c r="AF240" i="12"/>
  <c r="AF163" i="12"/>
  <c r="AF249" i="12"/>
  <c r="AG79" i="12"/>
  <c r="AF68" i="12"/>
  <c r="AG64" i="12"/>
  <c r="AG65" i="12"/>
  <c r="AG66" i="12"/>
  <c r="AF67" i="12"/>
  <c r="AF75" i="12"/>
  <c r="AF86" i="12"/>
  <c r="AC21" i="9"/>
  <c r="AH123" i="12"/>
  <c r="AH209" i="12"/>
  <c r="AH116" i="12"/>
  <c r="AH202" i="12"/>
  <c r="AH133" i="12"/>
  <c r="AH219" i="12"/>
  <c r="AH142" i="12"/>
  <c r="AH228" i="12"/>
  <c r="AH151" i="12"/>
  <c r="AH237" i="12"/>
  <c r="AH160" i="12"/>
  <c r="AI72" i="12"/>
  <c r="AH170" i="12"/>
  <c r="AH256" i="12"/>
  <c r="AE95" i="12"/>
  <c r="AF93" i="12"/>
  <c r="AA2" i="3"/>
  <c r="AA4" i="3"/>
  <c r="AA40" i="3"/>
  <c r="AA6" i="3"/>
  <c r="AA42" i="3"/>
  <c r="AA8" i="3"/>
  <c r="AA10" i="3"/>
  <c r="AA29" i="3"/>
  <c r="AA3" i="3"/>
  <c r="AA5" i="3"/>
  <c r="AA7" i="3"/>
  <c r="AA43" i="3"/>
  <c r="AA9" i="3"/>
  <c r="AA45" i="3"/>
  <c r="Z28" i="3"/>
  <c r="Y47" i="3"/>
  <c r="Y49" i="3"/>
  <c r="AE118" i="12"/>
  <c r="AE204" i="12"/>
  <c r="Z54" i="10"/>
  <c r="Z81" i="10"/>
  <c r="Z68" i="10"/>
  <c r="Z39" i="10"/>
  <c r="Z24" i="10"/>
  <c r="Z28" i="10"/>
  <c r="Z27" i="10"/>
  <c r="Z84" i="10"/>
  <c r="Z88" i="10"/>
  <c r="Z25" i="10"/>
  <c r="Z43" i="10"/>
  <c r="Z44" i="10"/>
  <c r="Z53" i="10"/>
  <c r="Z29" i="10"/>
  <c r="Z83" i="10"/>
  <c r="Z26" i="10"/>
  <c r="Z65" i="10"/>
  <c r="Z86" i="10"/>
  <c r="Z45" i="10"/>
  <c r="Z87" i="10"/>
  <c r="Z71" i="10"/>
  <c r="Z59" i="10"/>
  <c r="Z82" i="10"/>
  <c r="Z80" i="10"/>
  <c r="Z66" i="10"/>
  <c r="Z58" i="10"/>
  <c r="Z30" i="10"/>
  <c r="Z51" i="10"/>
  <c r="Z72" i="10"/>
  <c r="Z69" i="10"/>
  <c r="Z40" i="10"/>
  <c r="Y39" i="11"/>
  <c r="Y51" i="11"/>
  <c r="Y23" i="11"/>
  <c r="Y72" i="11"/>
  <c r="Y81" i="11"/>
  <c r="Y26" i="11"/>
  <c r="Y38" i="11"/>
  <c r="Y71" i="11"/>
  <c r="Y85" i="11"/>
  <c r="Y40" i="11"/>
  <c r="Y65" i="11"/>
  <c r="Y80" i="11"/>
  <c r="Y68" i="11"/>
  <c r="Y30" i="11"/>
  <c r="Y66" i="11"/>
  <c r="Y70" i="11"/>
  <c r="Y53" i="11"/>
  <c r="Y52" i="10"/>
  <c r="Y25" i="10"/>
  <c r="Y56" i="10"/>
  <c r="Y84" i="11"/>
  <c r="Y44" i="11"/>
  <c r="Y55" i="11"/>
  <c r="Y69" i="11"/>
  <c r="Y54" i="11"/>
  <c r="Y29" i="11"/>
  <c r="Y24" i="11"/>
  <c r="Y45" i="11"/>
  <c r="Y57" i="11"/>
  <c r="Y27" i="11"/>
  <c r="Y40" i="10"/>
  <c r="Y73" i="11"/>
  <c r="Y22" i="11"/>
  <c r="Y42" i="11"/>
  <c r="Y37" i="11"/>
  <c r="Y59" i="11"/>
  <c r="Y59" i="10"/>
  <c r="Y83" i="11"/>
  <c r="Y58" i="11"/>
  <c r="Y67" i="11"/>
  <c r="Y88" i="11"/>
  <c r="Y41" i="11"/>
  <c r="Y84" i="10"/>
  <c r="Y28" i="10"/>
  <c r="Y87" i="10"/>
  <c r="Y53" i="10"/>
  <c r="Y27" i="10"/>
  <c r="Y30" i="10"/>
  <c r="Y66" i="10"/>
  <c r="Y26" i="10"/>
  <c r="Y81" i="10"/>
  <c r="Y68" i="10"/>
  <c r="Y83" i="10"/>
  <c r="Y42" i="10"/>
  <c r="Y86" i="10"/>
  <c r="Y43" i="10"/>
  <c r="Y39" i="10"/>
  <c r="Y70" i="10"/>
  <c r="Y72" i="10"/>
  <c r="Y85" i="10"/>
  <c r="Y22" i="10"/>
  <c r="Y37" i="10"/>
  <c r="Y73" i="10"/>
  <c r="Y29" i="10"/>
  <c r="Y82" i="10"/>
  <c r="Y58" i="10"/>
  <c r="Y65" i="10"/>
  <c r="Z42" i="10"/>
  <c r="Y51" i="10"/>
  <c r="Y88" i="10"/>
  <c r="Y69" i="10"/>
  <c r="Y55" i="10"/>
  <c r="Y71" i="10"/>
  <c r="Y24" i="10"/>
  <c r="Y23" i="10"/>
  <c r="Y56" i="11"/>
  <c r="Y87" i="11"/>
  <c r="Y25" i="11"/>
  <c r="Y43" i="11"/>
  <c r="Y57" i="10"/>
  <c r="Y67" i="10"/>
  <c r="Y80" i="10"/>
  <c r="Y44" i="10"/>
  <c r="Y45" i="10"/>
  <c r="Y41" i="10"/>
  <c r="Z21" i="11"/>
  <c r="Z43" i="11"/>
  <c r="Y33" i="3"/>
  <c r="Y50" i="3"/>
  <c r="Z30" i="3"/>
  <c r="Z32" i="3"/>
  <c r="AE146" i="12"/>
  <c r="AE232" i="12"/>
  <c r="AE137" i="12"/>
  <c r="AE223" i="12"/>
  <c r="AA21" i="3"/>
  <c r="AA38" i="3"/>
  <c r="AA24" i="3"/>
  <c r="AA41" i="3"/>
  <c r="AA22" i="3"/>
  <c r="AA39" i="3"/>
  <c r="AA27" i="3"/>
  <c r="AA44" i="3"/>
  <c r="AE247" i="12"/>
  <c r="AE165" i="12"/>
  <c r="AE251" i="12"/>
  <c r="AG94" i="12"/>
  <c r="AE156" i="12"/>
  <c r="AE242" i="12"/>
  <c r="AE174" i="12"/>
  <c r="AE260" i="12"/>
  <c r="AG121" i="12"/>
  <c r="AG111" i="12"/>
  <c r="AG140" i="12"/>
  <c r="AG131" i="12"/>
  <c r="AG168" i="12"/>
  <c r="AG149" i="12"/>
  <c r="AF235" i="12"/>
  <c r="AF128" i="12"/>
  <c r="AF214" i="12"/>
  <c r="AF207" i="12"/>
  <c r="AH101" i="12"/>
  <c r="AG103" i="12"/>
  <c r="AF226" i="12"/>
  <c r="AF254" i="12"/>
  <c r="AH65" i="12"/>
  <c r="AG67" i="12"/>
  <c r="AG68" i="12"/>
  <c r="AH64" i="12"/>
  <c r="AH66" i="12"/>
  <c r="AG75" i="12"/>
  <c r="AF197" i="12"/>
  <c r="AC81" i="9"/>
  <c r="AC83" i="9"/>
  <c r="AC85" i="9"/>
  <c r="AC87" i="9"/>
  <c r="AC65" i="9"/>
  <c r="AC67" i="9"/>
  <c r="AC69" i="9"/>
  <c r="AC71" i="9"/>
  <c r="AC73" i="9"/>
  <c r="AC52" i="9"/>
  <c r="AC54" i="9"/>
  <c r="AC56" i="9"/>
  <c r="AC58" i="9"/>
  <c r="AC37" i="9"/>
  <c r="AA15" i="8"/>
  <c r="AC39" i="9"/>
  <c r="AA17" i="8"/>
  <c r="AC41" i="9"/>
  <c r="AA19" i="8"/>
  <c r="AC43" i="9"/>
  <c r="AA21" i="8"/>
  <c r="AC45" i="9"/>
  <c r="AA23" i="8"/>
  <c r="AC68" i="9"/>
  <c r="AC38" i="9"/>
  <c r="AA16" i="8"/>
  <c r="AC23" i="9"/>
  <c r="AC86" i="9"/>
  <c r="AC55" i="9"/>
  <c r="AC66" i="9"/>
  <c r="AC70" i="9"/>
  <c r="AC51" i="9"/>
  <c r="AC82" i="9"/>
  <c r="AC22" i="9"/>
  <c r="AC26" i="9"/>
  <c r="AC28" i="9"/>
  <c r="AC80" i="9"/>
  <c r="AC84" i="9"/>
  <c r="AC88" i="9"/>
  <c r="AC24" i="9"/>
  <c r="AC27" i="9"/>
  <c r="AC42" i="9"/>
  <c r="AA20" i="8"/>
  <c r="AC25" i="9"/>
  <c r="AC72" i="9"/>
  <c r="AC53" i="9"/>
  <c r="AC57" i="9"/>
  <c r="AC30" i="9"/>
  <c r="AC40" i="9"/>
  <c r="AA18" i="8"/>
  <c r="AC59" i="9"/>
  <c r="AC44" i="9"/>
  <c r="AA22" i="8"/>
  <c r="AC29" i="9"/>
  <c r="AG125" i="12"/>
  <c r="AG211" i="12"/>
  <c r="AG115" i="12"/>
  <c r="AG201" i="12"/>
  <c r="AG135" i="12"/>
  <c r="AG221" i="12"/>
  <c r="AG154" i="12"/>
  <c r="AG240" i="12"/>
  <c r="AG163" i="12"/>
  <c r="AG249" i="12"/>
  <c r="AG173" i="12"/>
  <c r="AG259" i="12"/>
  <c r="AH79" i="12"/>
  <c r="AF137" i="12"/>
  <c r="AF223" i="12"/>
  <c r="AF217" i="12"/>
  <c r="AG93" i="12"/>
  <c r="AF95" i="12"/>
  <c r="AH246" i="12"/>
  <c r="AF113" i="12"/>
  <c r="AF199" i="12"/>
  <c r="AF143" i="12"/>
  <c r="AF229" i="12"/>
  <c r="AF134" i="12"/>
  <c r="AF220" i="12"/>
  <c r="AF171" i="12"/>
  <c r="AF257" i="12"/>
  <c r="AF161" i="12"/>
  <c r="AF152" i="12"/>
  <c r="AF238" i="12"/>
  <c r="AG112" i="12"/>
  <c r="AG198" i="12"/>
  <c r="AG122" i="12"/>
  <c r="AG208" i="12"/>
  <c r="AG141" i="12"/>
  <c r="AG227" i="12"/>
  <c r="AG132" i="12"/>
  <c r="AG218" i="12"/>
  <c r="AG150" i="12"/>
  <c r="AG236" i="12"/>
  <c r="AG159" i="12"/>
  <c r="AG245" i="12"/>
  <c r="AG169" i="12"/>
  <c r="AG255" i="12"/>
  <c r="AH70" i="12"/>
  <c r="AG136" i="12"/>
  <c r="AG222" i="12"/>
  <c r="AG155" i="12"/>
  <c r="AG241" i="12"/>
  <c r="AG117" i="12"/>
  <c r="AG203" i="12"/>
  <c r="AG164" i="12"/>
  <c r="AG250" i="12"/>
  <c r="AG127" i="12"/>
  <c r="AG213" i="12"/>
  <c r="AH84" i="12"/>
  <c r="AG145" i="12"/>
  <c r="AG231" i="12"/>
  <c r="AI116" i="12"/>
  <c r="AI123" i="12"/>
  <c r="AI133" i="12"/>
  <c r="AI160" i="12"/>
  <c r="AI151" i="12"/>
  <c r="AI170" i="12"/>
  <c r="AJ72" i="12"/>
  <c r="AI142" i="12"/>
  <c r="AA28" i="3"/>
  <c r="Z47" i="3"/>
  <c r="Z49" i="3"/>
  <c r="AH94" i="12"/>
  <c r="AF118" i="12"/>
  <c r="AF204" i="12"/>
  <c r="Z57" i="11"/>
  <c r="Z70" i="11"/>
  <c r="Z71" i="11"/>
  <c r="Z84" i="11"/>
  <c r="Z28" i="11"/>
  <c r="Z27" i="11"/>
  <c r="Z51" i="11"/>
  <c r="Z83" i="11"/>
  <c r="Z29" i="11"/>
  <c r="Z52" i="11"/>
  <c r="Z88" i="11"/>
  <c r="Z80" i="11"/>
  <c r="Z73" i="11"/>
  <c r="Z59" i="11"/>
  <c r="Z53" i="11"/>
  <c r="Z42" i="11"/>
  <c r="Z41" i="11"/>
  <c r="Z55" i="11"/>
  <c r="Z44" i="11"/>
  <c r="Z67" i="11"/>
  <c r="Z30" i="11"/>
  <c r="Z40" i="11"/>
  <c r="Z58" i="11"/>
  <c r="Z87" i="11"/>
  <c r="Z45" i="11"/>
  <c r="Z56" i="11"/>
  <c r="Z85" i="11"/>
  <c r="Z66" i="11"/>
  <c r="Z68" i="11"/>
  <c r="Z37" i="11"/>
  <c r="Z72" i="11"/>
  <c r="Z38" i="11"/>
  <c r="Z24" i="11"/>
  <c r="Z82" i="11"/>
  <c r="Z65" i="11"/>
  <c r="Z81" i="11"/>
  <c r="Z69" i="11"/>
  <c r="Z23" i="11"/>
  <c r="Z86" i="11"/>
  <c r="Z39" i="11"/>
  <c r="Z54" i="11"/>
  <c r="Z22" i="11"/>
  <c r="Z26" i="11"/>
  <c r="Z25" i="11"/>
  <c r="AA21" i="10"/>
  <c r="AA30" i="10"/>
  <c r="AA21" i="11"/>
  <c r="AA56" i="11"/>
  <c r="AA30" i="3"/>
  <c r="AA32" i="3"/>
  <c r="Z50" i="3"/>
  <c r="Z33" i="3"/>
  <c r="AF174" i="12"/>
  <c r="AF260" i="12"/>
  <c r="AA47" i="3"/>
  <c r="AA49" i="3"/>
  <c r="AA50" i="3"/>
  <c r="AF247" i="12"/>
  <c r="AF165" i="12"/>
  <c r="AF251" i="12"/>
  <c r="AF156" i="12"/>
  <c r="AF242" i="12"/>
  <c r="AF146" i="12"/>
  <c r="AF232" i="12"/>
  <c r="AG95" i="12"/>
  <c r="AH93" i="12"/>
  <c r="AI65" i="12"/>
  <c r="AH67" i="12"/>
  <c r="AI64" i="12"/>
  <c r="AH68" i="12"/>
  <c r="AI66" i="12"/>
  <c r="AH75" i="12"/>
  <c r="AH86" i="12"/>
  <c r="AG254" i="12"/>
  <c r="AH111" i="12"/>
  <c r="AH121" i="12"/>
  <c r="AH131" i="12"/>
  <c r="AH140" i="12"/>
  <c r="AH149" i="12"/>
  <c r="AH168" i="12"/>
  <c r="AG137" i="12"/>
  <c r="AG223" i="12"/>
  <c r="AG217" i="12"/>
  <c r="AI101" i="12"/>
  <c r="AH103" i="12"/>
  <c r="AG226" i="12"/>
  <c r="AG113" i="12"/>
  <c r="AG199" i="12"/>
  <c r="AG143" i="12"/>
  <c r="AG229" i="12"/>
  <c r="AG134" i="12"/>
  <c r="AG220" i="12"/>
  <c r="AG152" i="12"/>
  <c r="AG238" i="12"/>
  <c r="AG161" i="12"/>
  <c r="AG171" i="12"/>
  <c r="AG257" i="12"/>
  <c r="AH115" i="12"/>
  <c r="AH201" i="12"/>
  <c r="AH125" i="12"/>
  <c r="AH211" i="12"/>
  <c r="AH135" i="12"/>
  <c r="AH221" i="12"/>
  <c r="AH154" i="12"/>
  <c r="AH240" i="12"/>
  <c r="AH163" i="12"/>
  <c r="AH249" i="12"/>
  <c r="AI79" i="12"/>
  <c r="AH173" i="12"/>
  <c r="AH259" i="12"/>
  <c r="AG197" i="12"/>
  <c r="AG235" i="12"/>
  <c r="AH122" i="12"/>
  <c r="AH208" i="12"/>
  <c r="AH112" i="12"/>
  <c r="AH198" i="12"/>
  <c r="AH150" i="12"/>
  <c r="AH236" i="12"/>
  <c r="AH132" i="12"/>
  <c r="AH218" i="12"/>
  <c r="AH141" i="12"/>
  <c r="AH227" i="12"/>
  <c r="AH159" i="12"/>
  <c r="AH245" i="12"/>
  <c r="AH169" i="12"/>
  <c r="AH255" i="12"/>
  <c r="AI70" i="12"/>
  <c r="AJ123" i="12"/>
  <c r="AJ133" i="12"/>
  <c r="AJ116" i="12"/>
  <c r="AJ170" i="12"/>
  <c r="AJ160" i="12"/>
  <c r="AJ142" i="12"/>
  <c r="AK72" i="12"/>
  <c r="AJ151" i="12"/>
  <c r="AH117" i="12"/>
  <c r="AH203" i="12"/>
  <c r="AH127" i="12"/>
  <c r="AH213" i="12"/>
  <c r="AH155" i="12"/>
  <c r="AH241" i="12"/>
  <c r="AH164" i="12"/>
  <c r="AH250" i="12"/>
  <c r="AH136" i="12"/>
  <c r="AH222" i="12"/>
  <c r="AH145" i="12"/>
  <c r="AH231" i="12"/>
  <c r="AI84" i="12"/>
  <c r="AG86" i="12"/>
  <c r="AG128" i="12"/>
  <c r="AG214" i="12"/>
  <c r="AG207" i="12"/>
  <c r="AI94" i="12"/>
  <c r="AG156" i="12"/>
  <c r="AG242" i="12"/>
  <c r="AA23" i="10"/>
  <c r="AA84" i="10"/>
  <c r="AA24" i="10"/>
  <c r="AA51" i="10"/>
  <c r="AA71" i="10"/>
  <c r="AA85" i="10"/>
  <c r="AA57" i="10"/>
  <c r="AA65" i="10"/>
  <c r="AA25" i="11"/>
  <c r="AA66" i="10"/>
  <c r="AA39" i="10"/>
  <c r="AA67" i="10"/>
  <c r="AA83" i="10"/>
  <c r="AA43" i="10"/>
  <c r="AA42" i="10"/>
  <c r="AA82" i="10"/>
  <c r="AA41" i="10"/>
  <c r="AA53" i="10"/>
  <c r="AA87" i="10"/>
  <c r="AA25" i="10"/>
  <c r="AA22" i="10"/>
  <c r="AA52" i="10"/>
  <c r="AA56" i="10"/>
  <c r="AA68" i="10"/>
  <c r="AA37" i="10"/>
  <c r="AA58" i="11"/>
  <c r="AA54" i="10"/>
  <c r="AA26" i="10"/>
  <c r="AA88" i="11"/>
  <c r="AA88" i="10"/>
  <c r="AA70" i="11"/>
  <c r="AA45" i="10"/>
  <c r="AA72" i="10"/>
  <c r="AA70" i="10"/>
  <c r="AA80" i="10"/>
  <c r="AA81" i="10"/>
  <c r="AA58" i="10"/>
  <c r="AA69" i="10"/>
  <c r="AA40" i="10"/>
  <c r="AA29" i="11"/>
  <c r="AA37" i="11"/>
  <c r="AA28" i="10"/>
  <c r="AA73" i="10"/>
  <c r="AA38" i="10"/>
  <c r="AA44" i="10"/>
  <c r="AA59" i="10"/>
  <c r="AA29" i="10"/>
  <c r="AA55" i="10"/>
  <c r="AA86" i="10"/>
  <c r="AA27" i="10"/>
  <c r="AA59" i="11"/>
  <c r="AA81" i="11"/>
  <c r="AA73" i="11"/>
  <c r="AA27" i="11"/>
  <c r="AA55" i="11"/>
  <c r="AA80" i="11"/>
  <c r="AA68" i="11"/>
  <c r="AB21" i="11"/>
  <c r="AB68" i="11"/>
  <c r="AA72" i="11"/>
  <c r="AA26" i="11"/>
  <c r="AA23" i="11"/>
  <c r="AA83" i="11"/>
  <c r="AA54" i="11"/>
  <c r="AA71" i="11"/>
  <c r="AA40" i="11"/>
  <c r="AA44" i="11"/>
  <c r="AA38" i="11"/>
  <c r="AA86" i="11"/>
  <c r="AA67" i="11"/>
  <c r="AA28" i="11"/>
  <c r="AA22" i="11"/>
  <c r="AC21" i="11"/>
  <c r="AC28" i="11"/>
  <c r="AA69" i="11"/>
  <c r="AA42" i="11"/>
  <c r="AA65" i="11"/>
  <c r="AA85" i="11"/>
  <c r="AA39" i="11"/>
  <c r="AB21" i="10"/>
  <c r="AB25" i="10"/>
  <c r="AA30" i="11"/>
  <c r="AA84" i="11"/>
  <c r="AA24" i="11"/>
  <c r="AA43" i="11"/>
  <c r="AA52" i="11"/>
  <c r="AA66" i="11"/>
  <c r="AA45" i="11"/>
  <c r="AA57" i="11"/>
  <c r="AA87" i="11"/>
  <c r="AA82" i="11"/>
  <c r="AA53" i="11"/>
  <c r="AA41" i="11"/>
  <c r="AA51" i="11"/>
  <c r="AB24" i="11"/>
  <c r="AA33" i="3"/>
  <c r="AG118" i="12"/>
  <c r="AG204" i="12"/>
  <c r="AG146" i="12"/>
  <c r="AG232" i="12"/>
  <c r="AG174" i="12"/>
  <c r="AG260" i="12"/>
  <c r="AG247" i="12"/>
  <c r="AG165" i="12"/>
  <c r="AG251" i="12"/>
  <c r="AI121" i="12"/>
  <c r="AI111" i="12"/>
  <c r="AI131" i="12"/>
  <c r="AI149" i="12"/>
  <c r="AI168" i="12"/>
  <c r="AI140" i="12"/>
  <c r="AH235" i="12"/>
  <c r="AJ101" i="12"/>
  <c r="AI103" i="12"/>
  <c r="AJ64" i="12"/>
  <c r="AI86" i="12"/>
  <c r="AI68" i="12"/>
  <c r="AJ65" i="12"/>
  <c r="AJ66" i="12"/>
  <c r="AI67" i="12"/>
  <c r="AI75" i="12"/>
  <c r="AH128" i="12"/>
  <c r="AH214" i="12"/>
  <c r="AH207" i="12"/>
  <c r="AH217" i="12"/>
  <c r="AI112" i="12"/>
  <c r="AI122" i="12"/>
  <c r="AI132" i="12"/>
  <c r="AI141" i="12"/>
  <c r="AI159" i="12"/>
  <c r="AI150" i="12"/>
  <c r="AI169" i="12"/>
  <c r="AJ70" i="12"/>
  <c r="AH197" i="12"/>
  <c r="AH226" i="12"/>
  <c r="AK116" i="12"/>
  <c r="AK123" i="12"/>
  <c r="AK142" i="12"/>
  <c r="AK151" i="12"/>
  <c r="AK133" i="12"/>
  <c r="AK160" i="12"/>
  <c r="AK170" i="12"/>
  <c r="AL72" i="12"/>
  <c r="AI93" i="12"/>
  <c r="AH95" i="12"/>
  <c r="AI125" i="12"/>
  <c r="AI163" i="12"/>
  <c r="AI135" i="12"/>
  <c r="AI154" i="12"/>
  <c r="AI173" i="12"/>
  <c r="AJ79" i="12"/>
  <c r="AI115" i="12"/>
  <c r="AI117" i="12"/>
  <c r="AI127" i="12"/>
  <c r="AI136" i="12"/>
  <c r="AI145" i="12"/>
  <c r="AI164" i="12"/>
  <c r="AI155" i="12"/>
  <c r="AJ84" i="12"/>
  <c r="AH174" i="12"/>
  <c r="AH260" i="12"/>
  <c r="AH254" i="12"/>
  <c r="AH113" i="12"/>
  <c r="AH199" i="12"/>
  <c r="AH143" i="12"/>
  <c r="AH229" i="12"/>
  <c r="AH152" i="12"/>
  <c r="AH238" i="12"/>
  <c r="AH134" i="12"/>
  <c r="AH220" i="12"/>
  <c r="AH161" i="12"/>
  <c r="AH171" i="12"/>
  <c r="AH257" i="12"/>
  <c r="AJ94" i="12"/>
  <c r="AC80" i="11"/>
  <c r="AB25" i="11"/>
  <c r="AC84" i="11"/>
  <c r="AB40" i="10"/>
  <c r="AB26" i="10"/>
  <c r="AB68" i="10"/>
  <c r="AB82" i="10"/>
  <c r="AB58" i="10"/>
  <c r="AC65" i="11"/>
  <c r="AC56" i="11"/>
  <c r="AC67" i="11"/>
  <c r="AB39" i="10"/>
  <c r="AC72" i="11"/>
  <c r="AC83" i="11"/>
  <c r="AC85" i="11"/>
  <c r="AB24" i="10"/>
  <c r="AB85" i="11"/>
  <c r="AB55" i="11"/>
  <c r="AB26" i="11"/>
  <c r="AB22" i="11"/>
  <c r="AC52" i="11"/>
  <c r="AB37" i="11"/>
  <c r="AC24" i="11"/>
  <c r="AC54" i="11"/>
  <c r="AB28" i="10"/>
  <c r="AB27" i="10"/>
  <c r="AB53" i="11"/>
  <c r="AB56" i="11"/>
  <c r="AC55" i="11"/>
  <c r="AB88" i="10"/>
  <c r="AB41" i="11"/>
  <c r="AB72" i="11"/>
  <c r="AC23" i="11"/>
  <c r="AC41" i="11"/>
  <c r="AC51" i="11"/>
  <c r="AC26" i="11"/>
  <c r="AB83" i="10"/>
  <c r="AB69" i="11"/>
  <c r="AB45" i="11"/>
  <c r="AB65" i="11"/>
  <c r="AC40" i="11"/>
  <c r="AC66" i="11"/>
  <c r="AC45" i="11"/>
  <c r="AB38" i="10"/>
  <c r="AC27" i="11"/>
  <c r="AB72" i="10"/>
  <c r="AC42" i="11"/>
  <c r="AC88" i="11"/>
  <c r="AB85" i="10"/>
  <c r="AB71" i="10"/>
  <c r="AB81" i="11"/>
  <c r="AB44" i="10"/>
  <c r="AB51" i="10"/>
  <c r="AB87" i="10"/>
  <c r="AB56" i="10"/>
  <c r="AB69" i="10"/>
  <c r="AB67" i="10"/>
  <c r="AB57" i="10"/>
  <c r="AB53" i="10"/>
  <c r="AB29" i="10"/>
  <c r="AB37" i="10"/>
  <c r="AB59" i="10"/>
  <c r="AB52" i="10"/>
  <c r="AB42" i="10"/>
  <c r="AB30" i="10"/>
  <c r="AB73" i="10"/>
  <c r="AB22" i="10"/>
  <c r="AB23" i="10"/>
  <c r="AB43" i="10"/>
  <c r="AB66" i="10"/>
  <c r="AB54" i="10"/>
  <c r="AB55" i="10"/>
  <c r="AB65" i="10"/>
  <c r="AB41" i="10"/>
  <c r="AB84" i="10"/>
  <c r="AB80" i="10"/>
  <c r="AB45" i="10"/>
  <c r="AB81" i="10"/>
  <c r="AB70" i="10"/>
  <c r="AB86" i="10"/>
  <c r="AB43" i="11"/>
  <c r="AB87" i="11"/>
  <c r="AB54" i="11"/>
  <c r="AC73" i="11"/>
  <c r="AB80" i="11"/>
  <c r="AB42" i="11"/>
  <c r="AB58" i="11"/>
  <c r="AB86" i="11"/>
  <c r="AB27" i="11"/>
  <c r="AB66" i="11"/>
  <c r="AB38" i="11"/>
  <c r="AB23" i="11"/>
  <c r="AC86" i="11"/>
  <c r="AC68" i="11"/>
  <c r="AC53" i="11"/>
  <c r="AC44" i="11"/>
  <c r="AC37" i="11"/>
  <c r="AC82" i="11"/>
  <c r="AC58" i="11"/>
  <c r="AC39" i="11"/>
  <c r="AC43" i="11"/>
  <c r="AC69" i="11"/>
  <c r="AC30" i="11"/>
  <c r="AB82" i="11"/>
  <c r="AB29" i="11"/>
  <c r="AB70" i="11"/>
  <c r="AB51" i="11"/>
  <c r="AB40" i="11"/>
  <c r="AC21" i="10"/>
  <c r="AC84" i="10"/>
  <c r="AC25" i="11"/>
  <c r="AC87" i="11"/>
  <c r="AC81" i="11"/>
  <c r="AC59" i="11"/>
  <c r="AC29" i="11"/>
  <c r="AC22" i="11"/>
  <c r="AB88" i="11"/>
  <c r="AB59" i="11"/>
  <c r="AB44" i="11"/>
  <c r="AB73" i="11"/>
  <c r="AB84" i="11"/>
  <c r="AB39" i="11"/>
  <c r="AB71" i="11"/>
  <c r="AB30" i="11"/>
  <c r="AC71" i="11"/>
  <c r="AC57" i="11"/>
  <c r="AC70" i="11"/>
  <c r="AC38" i="11"/>
  <c r="AB83" i="11"/>
  <c r="AB57" i="11"/>
  <c r="AB52" i="11"/>
  <c r="AB28" i="11"/>
  <c r="AB67" i="11"/>
  <c r="AC70" i="10"/>
  <c r="AH137" i="12"/>
  <c r="AH223" i="12"/>
  <c r="AH146" i="12"/>
  <c r="AH232" i="12"/>
  <c r="AH156" i="12"/>
  <c r="AH242" i="12"/>
  <c r="AH247" i="12"/>
  <c r="AH165" i="12"/>
  <c r="AH251" i="12"/>
  <c r="AH118" i="12"/>
  <c r="AH204" i="12"/>
  <c r="AJ111" i="12"/>
  <c r="AJ121" i="12"/>
  <c r="AJ131" i="12"/>
  <c r="AJ140" i="12"/>
  <c r="AJ168" i="12"/>
  <c r="AJ149" i="12"/>
  <c r="AJ122" i="12"/>
  <c r="AJ112" i="12"/>
  <c r="AJ141" i="12"/>
  <c r="AJ132" i="12"/>
  <c r="AJ150" i="12"/>
  <c r="AJ169" i="12"/>
  <c r="AJ159" i="12"/>
  <c r="AK70" i="12"/>
  <c r="AK94" i="12"/>
  <c r="AJ117" i="12"/>
  <c r="AJ127" i="12"/>
  <c r="AJ136" i="12"/>
  <c r="AJ145" i="12"/>
  <c r="AJ155" i="12"/>
  <c r="AK84" i="12"/>
  <c r="AJ164" i="12"/>
  <c r="AI156" i="12"/>
  <c r="AJ115" i="12"/>
  <c r="AJ135" i="12"/>
  <c r="AJ154" i="12"/>
  <c r="AJ125" i="12"/>
  <c r="AJ163" i="12"/>
  <c r="AJ173" i="12"/>
  <c r="AK79" i="12"/>
  <c r="AI137" i="12"/>
  <c r="AJ93" i="12"/>
  <c r="AI95" i="12"/>
  <c r="AL116" i="12"/>
  <c r="AL151" i="12"/>
  <c r="AL133" i="12"/>
  <c r="AL142" i="12"/>
  <c r="AL160" i="12"/>
  <c r="AL170" i="12"/>
  <c r="AL123" i="12"/>
  <c r="AM72" i="12"/>
  <c r="AK64" i="12"/>
  <c r="AJ67" i="12"/>
  <c r="AK65" i="12"/>
  <c r="AJ68" i="12"/>
  <c r="AK66" i="12"/>
  <c r="AJ75" i="12"/>
  <c r="AJ86" i="12"/>
  <c r="AI113" i="12"/>
  <c r="AI118" i="12"/>
  <c r="AI143" i="12"/>
  <c r="AI146" i="12"/>
  <c r="AI161" i="12"/>
  <c r="AI165" i="12"/>
  <c r="AI134" i="12"/>
  <c r="AI152" i="12"/>
  <c r="AI171" i="12"/>
  <c r="AI174" i="12"/>
  <c r="AJ103" i="12"/>
  <c r="AK101" i="12"/>
  <c r="AI128" i="12"/>
  <c r="AC86" i="10"/>
  <c r="AC57" i="10"/>
  <c r="AC73" i="10"/>
  <c r="AC69" i="10"/>
  <c r="AC30" i="10"/>
  <c r="AC44" i="10"/>
  <c r="AC59" i="10"/>
  <c r="AC81" i="10"/>
  <c r="AC55" i="10"/>
  <c r="AC41" i="10"/>
  <c r="AC53" i="10"/>
  <c r="AC58" i="10"/>
  <c r="AC56" i="10"/>
  <c r="AC65" i="10"/>
  <c r="AC42" i="10"/>
  <c r="AC82" i="10"/>
  <c r="AC24" i="10"/>
  <c r="AC52" i="10"/>
  <c r="AC26" i="10"/>
  <c r="AC66" i="10"/>
  <c r="AC27" i="10"/>
  <c r="AC40" i="10"/>
  <c r="AC71" i="10"/>
  <c r="AC37" i="10"/>
  <c r="AC54" i="10"/>
  <c r="AC23" i="10"/>
  <c r="AC85" i="10"/>
  <c r="AC22" i="10"/>
  <c r="AC43" i="10"/>
  <c r="AC83" i="10"/>
  <c r="AC38" i="10"/>
  <c r="AC51" i="10"/>
  <c r="AC88" i="10"/>
  <c r="AC25" i="10"/>
  <c r="AC68" i="10"/>
  <c r="AC39" i="10"/>
  <c r="AC45" i="10"/>
  <c r="AC72" i="10"/>
  <c r="AC80" i="10"/>
  <c r="AC67" i="10"/>
  <c r="AC29" i="10"/>
  <c r="AC28" i="10"/>
  <c r="AC87" i="10"/>
  <c r="AK117" i="12"/>
  <c r="AK136" i="12"/>
  <c r="AK145" i="12"/>
  <c r="AK127" i="12"/>
  <c r="AK164" i="12"/>
  <c r="AK155" i="12"/>
  <c r="AL84" i="12"/>
  <c r="AK125" i="12"/>
  <c r="AK115" i="12"/>
  <c r="AK135" i="12"/>
  <c r="AK154" i="12"/>
  <c r="AK163" i="12"/>
  <c r="AK173" i="12"/>
  <c r="AL79" i="12"/>
  <c r="AL64" i="12"/>
  <c r="AL66" i="12"/>
  <c r="AL65" i="12"/>
  <c r="AK67" i="12"/>
  <c r="AK68" i="12"/>
  <c r="AK75" i="12"/>
  <c r="AK121" i="12"/>
  <c r="AK111" i="12"/>
  <c r="AK140" i="12"/>
  <c r="AK149" i="12"/>
  <c r="AK168" i="12"/>
  <c r="AK131" i="12"/>
  <c r="AK122" i="12"/>
  <c r="AK132" i="12"/>
  <c r="AK141" i="12"/>
  <c r="AK112" i="12"/>
  <c r="AK150" i="12"/>
  <c r="AK169" i="12"/>
  <c r="AK159" i="12"/>
  <c r="AL70" i="12"/>
  <c r="AK103" i="12"/>
  <c r="AL101" i="12"/>
  <c r="AM116" i="12"/>
  <c r="AM123" i="12"/>
  <c r="AM133" i="12"/>
  <c r="AM142" i="12"/>
  <c r="AM151" i="12"/>
  <c r="AM160" i="12"/>
  <c r="AM170" i="12"/>
  <c r="AN72" i="12"/>
  <c r="AJ128" i="12"/>
  <c r="AJ113" i="12"/>
  <c r="AJ134" i="12"/>
  <c r="AJ137" i="12"/>
  <c r="AJ143" i="12"/>
  <c r="AJ146" i="12"/>
  <c r="AJ152" i="12"/>
  <c r="AJ156" i="12"/>
  <c r="AJ161" i="12"/>
  <c r="AJ165" i="12"/>
  <c r="AJ171" i="12"/>
  <c r="AJ174" i="12"/>
  <c r="AJ95" i="12"/>
  <c r="AK93" i="12"/>
  <c r="AJ118" i="12"/>
  <c r="AK128" i="12"/>
  <c r="AL68" i="12"/>
  <c r="AM64" i="12"/>
  <c r="AM66" i="12"/>
  <c r="AM65" i="12"/>
  <c r="AL67" i="12"/>
  <c r="AL75" i="12"/>
  <c r="AK134" i="12"/>
  <c r="AK137" i="12"/>
  <c r="AK113" i="12"/>
  <c r="AK118" i="12"/>
  <c r="AK171" i="12"/>
  <c r="AK174" i="12"/>
  <c r="AK143" i="12"/>
  <c r="AK146" i="12"/>
  <c r="AK152" i="12"/>
  <c r="AK156" i="12"/>
  <c r="AK161" i="12"/>
  <c r="AK165" i="12"/>
  <c r="AL111" i="12"/>
  <c r="AL121" i="12"/>
  <c r="AL149" i="12"/>
  <c r="AL168" i="12"/>
  <c r="AL140" i="12"/>
  <c r="AL131" i="12"/>
  <c r="AN123" i="12"/>
  <c r="AN142" i="12"/>
  <c r="AN133" i="12"/>
  <c r="AN151" i="12"/>
  <c r="AN116" i="12"/>
  <c r="AN160" i="12"/>
  <c r="AO72" i="12"/>
  <c r="AN170" i="12"/>
  <c r="AL115" i="12"/>
  <c r="AL135" i="12"/>
  <c r="AL154" i="12"/>
  <c r="AL163" i="12"/>
  <c r="AL125" i="12"/>
  <c r="AL173" i="12"/>
  <c r="AM79" i="12"/>
  <c r="AL112" i="12"/>
  <c r="AL132" i="12"/>
  <c r="AL122" i="12"/>
  <c r="AL141" i="12"/>
  <c r="AL150" i="12"/>
  <c r="AL159" i="12"/>
  <c r="AM70" i="12"/>
  <c r="AL169" i="12"/>
  <c r="AL94" i="12"/>
  <c r="AL117" i="12"/>
  <c r="AL136" i="12"/>
  <c r="AL145" i="12"/>
  <c r="AL155" i="12"/>
  <c r="AL127" i="12"/>
  <c r="AL164" i="12"/>
  <c r="AM84" i="12"/>
  <c r="AK86" i="12"/>
  <c r="AL93" i="12"/>
  <c r="AK95" i="12"/>
  <c r="AL103" i="12"/>
  <c r="AM101" i="12"/>
  <c r="AM94" i="12"/>
  <c r="AL128" i="12"/>
  <c r="AL113" i="12"/>
  <c r="AL118" i="12"/>
  <c r="AL134" i="12"/>
  <c r="AL137" i="12"/>
  <c r="AL161" i="12"/>
  <c r="AL165" i="12"/>
  <c r="AL171" i="12"/>
  <c r="AL174" i="12"/>
  <c r="AL143" i="12"/>
  <c r="AL152" i="12"/>
  <c r="AL156" i="12"/>
  <c r="AL86" i="12"/>
  <c r="AM121" i="12"/>
  <c r="AM131" i="12"/>
  <c r="AM111" i="12"/>
  <c r="AM149" i="12"/>
  <c r="AM168" i="12"/>
  <c r="AM140" i="12"/>
  <c r="AO133" i="12"/>
  <c r="AO116" i="12"/>
  <c r="AO123" i="12"/>
  <c r="AO142" i="12"/>
  <c r="AO151" i="12"/>
  <c r="AO170" i="12"/>
  <c r="AP72" i="12"/>
  <c r="AO160" i="12"/>
  <c r="AL146" i="12"/>
  <c r="AM68" i="12"/>
  <c r="AM67" i="12"/>
  <c r="AN65" i="12"/>
  <c r="AN66" i="12"/>
  <c r="AN64" i="12"/>
  <c r="AM75" i="12"/>
  <c r="AM86" i="12"/>
  <c r="AL95" i="12"/>
  <c r="AM93" i="12"/>
  <c r="AM117" i="12"/>
  <c r="AM127" i="12"/>
  <c r="AM145" i="12"/>
  <c r="AM136" i="12"/>
  <c r="AM164" i="12"/>
  <c r="AM155" i="12"/>
  <c r="AN84" i="12"/>
  <c r="AM115" i="12"/>
  <c r="AM125" i="12"/>
  <c r="AM135" i="12"/>
  <c r="AM154" i="12"/>
  <c r="AM163" i="12"/>
  <c r="AM173" i="12"/>
  <c r="AN79" i="12"/>
  <c r="AM132" i="12"/>
  <c r="AM112" i="12"/>
  <c r="AM150" i="12"/>
  <c r="AM122" i="12"/>
  <c r="AM159" i="12"/>
  <c r="AM141" i="12"/>
  <c r="AN70" i="12"/>
  <c r="AM169" i="12"/>
  <c r="AN101" i="12"/>
  <c r="AM103" i="12"/>
  <c r="AM137" i="12"/>
  <c r="AN131" i="12"/>
  <c r="AN121" i="12"/>
  <c r="AN140" i="12"/>
  <c r="AN168" i="12"/>
  <c r="AN149" i="12"/>
  <c r="AN111" i="12"/>
  <c r="AN115" i="12"/>
  <c r="AN125" i="12"/>
  <c r="AN173" i="12"/>
  <c r="AN135" i="12"/>
  <c r="AN163" i="12"/>
  <c r="AO79" i="12"/>
  <c r="AN154" i="12"/>
  <c r="AO66" i="12"/>
  <c r="AN67" i="12"/>
  <c r="AN86" i="12"/>
  <c r="AO65" i="12"/>
  <c r="AO64" i="12"/>
  <c r="AN68" i="12"/>
  <c r="AN75" i="12"/>
  <c r="AP116" i="12"/>
  <c r="AP133" i="12"/>
  <c r="AP123" i="12"/>
  <c r="AP142" i="12"/>
  <c r="AP160" i="12"/>
  <c r="AQ72" i="12"/>
  <c r="AP151" i="12"/>
  <c r="AP170" i="12"/>
  <c r="AM134" i="12"/>
  <c r="AM152" i="12"/>
  <c r="AM156" i="12"/>
  <c r="AM143" i="12"/>
  <c r="AM146" i="12"/>
  <c r="AM113" i="12"/>
  <c r="AM118" i="12"/>
  <c r="AM171" i="12"/>
  <c r="AM161" i="12"/>
  <c r="AM165" i="12"/>
  <c r="AN112" i="12"/>
  <c r="AN122" i="12"/>
  <c r="AN132" i="12"/>
  <c r="AN169" i="12"/>
  <c r="AN159" i="12"/>
  <c r="AN141" i="12"/>
  <c r="AN150" i="12"/>
  <c r="AO70" i="12"/>
  <c r="AM174" i="12"/>
  <c r="AM128" i="12"/>
  <c r="AM95" i="12"/>
  <c r="AN93" i="12"/>
  <c r="AO101" i="12"/>
  <c r="AN103" i="12"/>
  <c r="AN117" i="12"/>
  <c r="AN127" i="12"/>
  <c r="AN136" i="12"/>
  <c r="AN155" i="12"/>
  <c r="AN145" i="12"/>
  <c r="AO84" i="12"/>
  <c r="AN164" i="12"/>
  <c r="AN94" i="12"/>
  <c r="AO94" i="12"/>
  <c r="AO127" i="12"/>
  <c r="AO136" i="12"/>
  <c r="AO145" i="12"/>
  <c r="AO155" i="12"/>
  <c r="AO164" i="12"/>
  <c r="AO117" i="12"/>
  <c r="AP84" i="12"/>
  <c r="AO103" i="12"/>
  <c r="AP101" i="12"/>
  <c r="AO121" i="12"/>
  <c r="AO111" i="12"/>
  <c r="AO140" i="12"/>
  <c r="AO131" i="12"/>
  <c r="AO168" i="12"/>
  <c r="AO149" i="12"/>
  <c r="AO112" i="12"/>
  <c r="AO122" i="12"/>
  <c r="AO141" i="12"/>
  <c r="AO150" i="12"/>
  <c r="AO132" i="12"/>
  <c r="AO159" i="12"/>
  <c r="AO169" i="12"/>
  <c r="AP70" i="12"/>
  <c r="AQ116" i="12"/>
  <c r="AQ123" i="12"/>
  <c r="AQ133" i="12"/>
  <c r="AQ142" i="12"/>
  <c r="AQ151" i="12"/>
  <c r="AQ170" i="12"/>
  <c r="AQ160" i="12"/>
  <c r="AR72" i="12"/>
  <c r="AP65" i="12"/>
  <c r="AO67" i="12"/>
  <c r="AO68" i="12"/>
  <c r="AP64" i="12"/>
  <c r="AP66" i="12"/>
  <c r="AO75" i="12"/>
  <c r="AN128" i="12"/>
  <c r="AN95" i="12"/>
  <c r="AO93" i="12"/>
  <c r="AN113" i="12"/>
  <c r="AN118" i="12"/>
  <c r="AN171" i="12"/>
  <c r="AN174" i="12"/>
  <c r="AN134" i="12"/>
  <c r="AN137" i="12"/>
  <c r="AN152" i="12"/>
  <c r="AN156" i="12"/>
  <c r="AN161" i="12"/>
  <c r="AN165" i="12"/>
  <c r="AN143" i="12"/>
  <c r="AN146" i="12"/>
  <c r="AO115" i="12"/>
  <c r="AO125" i="12"/>
  <c r="AO135" i="12"/>
  <c r="AO154" i="12"/>
  <c r="AO163" i="12"/>
  <c r="AO173" i="12"/>
  <c r="AP79" i="12"/>
  <c r="AP115" i="12"/>
  <c r="AP125" i="12"/>
  <c r="AP135" i="12"/>
  <c r="AP154" i="12"/>
  <c r="AP163" i="12"/>
  <c r="AP173" i="12"/>
  <c r="AQ79" i="12"/>
  <c r="AO113" i="12"/>
  <c r="AO118" i="12"/>
  <c r="AO143" i="12"/>
  <c r="AO146" i="12"/>
  <c r="AO134" i="12"/>
  <c r="AO137" i="12"/>
  <c r="AO152" i="12"/>
  <c r="AO156" i="12"/>
  <c r="AO161" i="12"/>
  <c r="AO165" i="12"/>
  <c r="AO171" i="12"/>
  <c r="AO174" i="12"/>
  <c r="AP111" i="12"/>
  <c r="AP121" i="12"/>
  <c r="AP140" i="12"/>
  <c r="AP131" i="12"/>
  <c r="AP149" i="12"/>
  <c r="AP168" i="12"/>
  <c r="AO128" i="12"/>
  <c r="AP127" i="12"/>
  <c r="AP136" i="12"/>
  <c r="AP117" i="12"/>
  <c r="AP145" i="12"/>
  <c r="AP155" i="12"/>
  <c r="AP164" i="12"/>
  <c r="AQ84" i="12"/>
  <c r="AQ65" i="12"/>
  <c r="AQ66" i="12"/>
  <c r="AP67" i="12"/>
  <c r="AP68" i="12"/>
  <c r="AQ64" i="12"/>
  <c r="AP75" i="12"/>
  <c r="AP86" i="12"/>
  <c r="AO95" i="12"/>
  <c r="AP93" i="12"/>
  <c r="AO86" i="12"/>
  <c r="AQ101" i="12"/>
  <c r="AP103" i="12"/>
  <c r="AR116" i="12"/>
  <c r="AR133" i="12"/>
  <c r="AR123" i="12"/>
  <c r="AR170" i="12"/>
  <c r="AR151" i="12"/>
  <c r="AR142" i="12"/>
  <c r="AR160" i="12"/>
  <c r="AS72" i="12"/>
  <c r="AP122" i="12"/>
  <c r="AP112" i="12"/>
  <c r="AP132" i="12"/>
  <c r="AP150" i="12"/>
  <c r="AP159" i="12"/>
  <c r="AP169" i="12"/>
  <c r="AP141" i="12"/>
  <c r="AQ70" i="12"/>
  <c r="AP94" i="12"/>
  <c r="AQ94" i="12"/>
  <c r="AQ121" i="12"/>
  <c r="AQ111" i="12"/>
  <c r="AQ140" i="12"/>
  <c r="AQ149" i="12"/>
  <c r="AQ168" i="12"/>
  <c r="AQ131" i="12"/>
  <c r="AP95" i="12"/>
  <c r="AQ93" i="12"/>
  <c r="AP113" i="12"/>
  <c r="AP143" i="12"/>
  <c r="AP146" i="12"/>
  <c r="AP152" i="12"/>
  <c r="AP156" i="12"/>
  <c r="AP161" i="12"/>
  <c r="AP165" i="12"/>
  <c r="AP134" i="12"/>
  <c r="AP137" i="12"/>
  <c r="AP171" i="12"/>
  <c r="AP174" i="12"/>
  <c r="AQ117" i="12"/>
  <c r="AQ127" i="12"/>
  <c r="AQ136" i="12"/>
  <c r="AQ145" i="12"/>
  <c r="AQ155" i="12"/>
  <c r="AQ164" i="12"/>
  <c r="AR84" i="12"/>
  <c r="AQ68" i="12"/>
  <c r="AQ67" i="12"/>
  <c r="AR64" i="12"/>
  <c r="AR65" i="12"/>
  <c r="AR66" i="12"/>
  <c r="AQ75" i="12"/>
  <c r="AQ86" i="12"/>
  <c r="AQ125" i="12"/>
  <c r="AQ135" i="12"/>
  <c r="AQ115" i="12"/>
  <c r="AQ163" i="12"/>
  <c r="AQ154" i="12"/>
  <c r="AQ173" i="12"/>
  <c r="AR79" i="12"/>
  <c r="AQ132" i="12"/>
  <c r="AQ112" i="12"/>
  <c r="AQ159" i="12"/>
  <c r="AQ169" i="12"/>
  <c r="AQ141" i="12"/>
  <c r="AQ122" i="12"/>
  <c r="AQ150" i="12"/>
  <c r="AR70" i="12"/>
  <c r="AR94" i="12"/>
  <c r="AS116" i="12"/>
  <c r="AS123" i="12"/>
  <c r="AS142" i="12"/>
  <c r="AS133" i="12"/>
  <c r="AS151" i="12"/>
  <c r="AS160" i="12"/>
  <c r="AS170" i="12"/>
  <c r="AT72" i="12"/>
  <c r="AP128" i="12"/>
  <c r="AQ103" i="12"/>
  <c r="AR101" i="12"/>
  <c r="AP118" i="12"/>
  <c r="AR111" i="12"/>
  <c r="AR131" i="12"/>
  <c r="AR121" i="12"/>
  <c r="AR168" i="12"/>
  <c r="AR149" i="12"/>
  <c r="AR140" i="12"/>
  <c r="AT123" i="12"/>
  <c r="AT116" i="12"/>
  <c r="AT133" i="12"/>
  <c r="AT151" i="12"/>
  <c r="AT160" i="12"/>
  <c r="AT170" i="12"/>
  <c r="AT142" i="12"/>
  <c r="AU72" i="12"/>
  <c r="AR117" i="12"/>
  <c r="AR136" i="12"/>
  <c r="AR127" i="12"/>
  <c r="AR155" i="12"/>
  <c r="AS84" i="12"/>
  <c r="AR164" i="12"/>
  <c r="AR145" i="12"/>
  <c r="AQ113" i="12"/>
  <c r="AQ118" i="12"/>
  <c r="AQ134" i="12"/>
  <c r="AQ137" i="12"/>
  <c r="AQ143" i="12"/>
  <c r="AQ146" i="12"/>
  <c r="AQ152" i="12"/>
  <c r="AQ161" i="12"/>
  <c r="AQ165" i="12"/>
  <c r="AQ171" i="12"/>
  <c r="AQ174" i="12"/>
  <c r="AQ156" i="12"/>
  <c r="AR93" i="12"/>
  <c r="AQ95" i="12"/>
  <c r="AR122" i="12"/>
  <c r="AR112" i="12"/>
  <c r="AR150" i="12"/>
  <c r="AR141" i="12"/>
  <c r="AR132" i="12"/>
  <c r="AR159" i="12"/>
  <c r="AR169" i="12"/>
  <c r="AS70" i="12"/>
  <c r="AR115" i="12"/>
  <c r="AR125" i="12"/>
  <c r="AR135" i="12"/>
  <c r="AS79" i="12"/>
  <c r="AR163" i="12"/>
  <c r="AR154" i="12"/>
  <c r="AR173" i="12"/>
  <c r="AR68" i="12"/>
  <c r="AR67" i="12"/>
  <c r="AS64" i="12"/>
  <c r="AS65" i="12"/>
  <c r="AS66" i="12"/>
  <c r="AR75" i="12"/>
  <c r="AR103" i="12"/>
  <c r="AS101" i="12"/>
  <c r="AQ128" i="12"/>
  <c r="AR128" i="12"/>
  <c r="AS121" i="12"/>
  <c r="AS140" i="12"/>
  <c r="AS111" i="12"/>
  <c r="AS131" i="12"/>
  <c r="AS149" i="12"/>
  <c r="AS168" i="12"/>
  <c r="AR113" i="12"/>
  <c r="AR118" i="12"/>
  <c r="AR134" i="12"/>
  <c r="AR137" i="12"/>
  <c r="AR143" i="12"/>
  <c r="AR146" i="12"/>
  <c r="AR161" i="12"/>
  <c r="AR165" i="12"/>
  <c r="AR171" i="12"/>
  <c r="AR152" i="12"/>
  <c r="AR156" i="12"/>
  <c r="AS117" i="12"/>
  <c r="AS136" i="12"/>
  <c r="AS145" i="12"/>
  <c r="AS127" i="12"/>
  <c r="AS164" i="12"/>
  <c r="AS155" i="12"/>
  <c r="AT84" i="12"/>
  <c r="AU116" i="12"/>
  <c r="AU123" i="12"/>
  <c r="AU133" i="12"/>
  <c r="AU160" i="12"/>
  <c r="AU142" i="12"/>
  <c r="AU151" i="12"/>
  <c r="AU170" i="12"/>
  <c r="AV72" i="12"/>
  <c r="AR174" i="12"/>
  <c r="AT101" i="12"/>
  <c r="AS103" i="12"/>
  <c r="AS93" i="12"/>
  <c r="AR95" i="12"/>
  <c r="AT64" i="12"/>
  <c r="AT66" i="12"/>
  <c r="AT65" i="12"/>
  <c r="AS68" i="12"/>
  <c r="AS67" i="12"/>
  <c r="AS75" i="12"/>
  <c r="AS125" i="12"/>
  <c r="AS135" i="12"/>
  <c r="AS115" i="12"/>
  <c r="AS154" i="12"/>
  <c r="AS163" i="12"/>
  <c r="AT79" i="12"/>
  <c r="AS173" i="12"/>
  <c r="AR86" i="12"/>
  <c r="AS112" i="12"/>
  <c r="AS122" i="12"/>
  <c r="AS141" i="12"/>
  <c r="AS169" i="12"/>
  <c r="AS132" i="12"/>
  <c r="AS150" i="12"/>
  <c r="AT70" i="12"/>
  <c r="AS159" i="12"/>
  <c r="AS94" i="12"/>
  <c r="AT103" i="12"/>
  <c r="AU101" i="12"/>
  <c r="AS113" i="12"/>
  <c r="AS118" i="12"/>
  <c r="AS134" i="12"/>
  <c r="AS137" i="12"/>
  <c r="AS171" i="12"/>
  <c r="AS174" i="12"/>
  <c r="AS152" i="12"/>
  <c r="AS156" i="12"/>
  <c r="AS161" i="12"/>
  <c r="AS165" i="12"/>
  <c r="AS143" i="12"/>
  <c r="AS146" i="12"/>
  <c r="AT115" i="12"/>
  <c r="AT135" i="12"/>
  <c r="AT154" i="12"/>
  <c r="AT163" i="12"/>
  <c r="AT173" i="12"/>
  <c r="AT125" i="12"/>
  <c r="AU79" i="12"/>
  <c r="AT111" i="12"/>
  <c r="AT121" i="12"/>
  <c r="AT131" i="12"/>
  <c r="AT149" i="12"/>
  <c r="AT140" i="12"/>
  <c r="AT168" i="12"/>
  <c r="AT136" i="12"/>
  <c r="AT127" i="12"/>
  <c r="AT145" i="12"/>
  <c r="AT155" i="12"/>
  <c r="AT164" i="12"/>
  <c r="AT117" i="12"/>
  <c r="AU84" i="12"/>
  <c r="AT94" i="12"/>
  <c r="AT112" i="12"/>
  <c r="AT122" i="12"/>
  <c r="AT141" i="12"/>
  <c r="AT132" i="12"/>
  <c r="AT159" i="12"/>
  <c r="AT169" i="12"/>
  <c r="AU70" i="12"/>
  <c r="AT150" i="12"/>
  <c r="AT93" i="12"/>
  <c r="AS95" i="12"/>
  <c r="AS86" i="12"/>
  <c r="AV123" i="12"/>
  <c r="AV142" i="12"/>
  <c r="AV133" i="12"/>
  <c r="AV116" i="12"/>
  <c r="AV151" i="12"/>
  <c r="AV170" i="12"/>
  <c r="AV160" i="12"/>
  <c r="AW72" i="12"/>
  <c r="AT68" i="12"/>
  <c r="AU64" i="12"/>
  <c r="AT67" i="12"/>
  <c r="AU65" i="12"/>
  <c r="AU66" i="12"/>
  <c r="AT75" i="12"/>
  <c r="AT86" i="12"/>
  <c r="AS128" i="12"/>
  <c r="AT128" i="12"/>
  <c r="AU94" i="12"/>
  <c r="AU121" i="12"/>
  <c r="AU111" i="12"/>
  <c r="AU131" i="12"/>
  <c r="AU140" i="12"/>
  <c r="AU149" i="12"/>
  <c r="AU168" i="12"/>
  <c r="AU117" i="12"/>
  <c r="AU127" i="12"/>
  <c r="AU145" i="12"/>
  <c r="AU164" i="12"/>
  <c r="AU155" i="12"/>
  <c r="AU136" i="12"/>
  <c r="AV84" i="12"/>
  <c r="AU68" i="12"/>
  <c r="AV64" i="12"/>
  <c r="AV65" i="12"/>
  <c r="AU67" i="12"/>
  <c r="AV66" i="12"/>
  <c r="AU75" i="12"/>
  <c r="AU112" i="12"/>
  <c r="AU122" i="12"/>
  <c r="AU132" i="12"/>
  <c r="AU141" i="12"/>
  <c r="AU150" i="12"/>
  <c r="AU169" i="12"/>
  <c r="AV70" i="12"/>
  <c r="AU159" i="12"/>
  <c r="AW133" i="12"/>
  <c r="AW116" i="12"/>
  <c r="AW142" i="12"/>
  <c r="AW123" i="12"/>
  <c r="AW151" i="12"/>
  <c r="AW170" i="12"/>
  <c r="AW160" i="12"/>
  <c r="AX72" i="12"/>
  <c r="AT113" i="12"/>
  <c r="AT118" i="12"/>
  <c r="AT134" i="12"/>
  <c r="AT137" i="12"/>
  <c r="AT143" i="12"/>
  <c r="AT146" i="12"/>
  <c r="AT152" i="12"/>
  <c r="AT156" i="12"/>
  <c r="AT161" i="12"/>
  <c r="AT165" i="12"/>
  <c r="AT171" i="12"/>
  <c r="AT174" i="12"/>
  <c r="AV101" i="12"/>
  <c r="AU103" i="12"/>
  <c r="AU93" i="12"/>
  <c r="AT95" i="12"/>
  <c r="AU115" i="12"/>
  <c r="AU154" i="12"/>
  <c r="AU125" i="12"/>
  <c r="AU135" i="12"/>
  <c r="AU173" i="12"/>
  <c r="AV79" i="12"/>
  <c r="AU163" i="12"/>
  <c r="AV94" i="12"/>
  <c r="AU95" i="12"/>
  <c r="AV93" i="12"/>
  <c r="AX133" i="12"/>
  <c r="AX142" i="12"/>
  <c r="AX151" i="12"/>
  <c r="AX160" i="12"/>
  <c r="AX123" i="12"/>
  <c r="AY72" i="12"/>
  <c r="AX170" i="12"/>
  <c r="AV125" i="12"/>
  <c r="AV115" i="12"/>
  <c r="AV173" i="12"/>
  <c r="AV154" i="12"/>
  <c r="AV135" i="12"/>
  <c r="AW79" i="12"/>
  <c r="AV163" i="12"/>
  <c r="AV127" i="12"/>
  <c r="AV117" i="12"/>
  <c r="AV145" i="12"/>
  <c r="AV164" i="12"/>
  <c r="AV136" i="12"/>
  <c r="AW84" i="12"/>
  <c r="AV155" i="12"/>
  <c r="AW101" i="12"/>
  <c r="AW103" i="12"/>
  <c r="AV103" i="12"/>
  <c r="AU113" i="12"/>
  <c r="AU118" i="12"/>
  <c r="AU134" i="12"/>
  <c r="AU137" i="12"/>
  <c r="AU143" i="12"/>
  <c r="AU146" i="12"/>
  <c r="AU161" i="12"/>
  <c r="AU165" i="12"/>
  <c r="AU152" i="12"/>
  <c r="AU156" i="12"/>
  <c r="AU171" i="12"/>
  <c r="AU174" i="12"/>
  <c r="AV121" i="12"/>
  <c r="AV111" i="12"/>
  <c r="AV131" i="12"/>
  <c r="AV140" i="12"/>
  <c r="AV149" i="12"/>
  <c r="AV168" i="12"/>
  <c r="AV112" i="12"/>
  <c r="AV122" i="12"/>
  <c r="AV132" i="12"/>
  <c r="AV141" i="12"/>
  <c r="AV169" i="12"/>
  <c r="AV150" i="12"/>
  <c r="AV159" i="12"/>
  <c r="AW70" i="12"/>
  <c r="AU86" i="12"/>
  <c r="AW64" i="12"/>
  <c r="AW65" i="12"/>
  <c r="AV67" i="12"/>
  <c r="AV68" i="12"/>
  <c r="AW66" i="12"/>
  <c r="AV75" i="12"/>
  <c r="AV86" i="12"/>
  <c r="AU128" i="12"/>
  <c r="AW115" i="12"/>
  <c r="AW135" i="12"/>
  <c r="AW125" i="12"/>
  <c r="AW154" i="12"/>
  <c r="AW163" i="12"/>
  <c r="AW173" i="12"/>
  <c r="AX79" i="12"/>
  <c r="AZ38" i="12"/>
  <c r="AW93" i="12"/>
  <c r="AV95" i="12"/>
  <c r="AW117" i="12"/>
  <c r="AW136" i="12"/>
  <c r="AW127" i="12"/>
  <c r="AW145" i="12"/>
  <c r="AW164" i="12"/>
  <c r="AW155" i="12"/>
  <c r="AX84" i="12"/>
  <c r="AW86" i="12"/>
  <c r="AX65" i="12"/>
  <c r="AW67" i="12"/>
  <c r="AX66" i="12"/>
  <c r="AX64" i="12"/>
  <c r="AW68" i="12"/>
  <c r="AW75" i="12"/>
  <c r="AW121" i="12"/>
  <c r="AW111" i="12"/>
  <c r="AW131" i="12"/>
  <c r="AW140" i="12"/>
  <c r="AW149" i="12"/>
  <c r="AW168" i="12"/>
  <c r="AV113" i="12"/>
  <c r="AV118" i="12"/>
  <c r="AV171" i="12"/>
  <c r="AV174" i="12"/>
  <c r="AV143" i="12"/>
  <c r="AV146" i="12"/>
  <c r="AV134" i="12"/>
  <c r="AV137" i="12"/>
  <c r="AV161" i="12"/>
  <c r="AV165" i="12"/>
  <c r="AV152" i="12"/>
  <c r="AV156" i="12"/>
  <c r="AW112" i="12"/>
  <c r="AW122" i="12"/>
  <c r="AW141" i="12"/>
  <c r="AW150" i="12"/>
  <c r="AW159" i="12"/>
  <c r="AW169" i="12"/>
  <c r="AW132" i="12"/>
  <c r="AX70" i="12"/>
  <c r="AV128" i="12"/>
  <c r="AY123" i="12"/>
  <c r="AY151" i="12"/>
  <c r="AY160" i="12"/>
  <c r="AY133" i="12"/>
  <c r="AY142" i="12"/>
  <c r="AY170" i="12"/>
  <c r="AZ72" i="12"/>
  <c r="AW94" i="12"/>
  <c r="AW95" i="12"/>
  <c r="AW128" i="12"/>
  <c r="AY65" i="12"/>
  <c r="AY66" i="12"/>
  <c r="AX67" i="12"/>
  <c r="AY64" i="12"/>
  <c r="AX68" i="12"/>
  <c r="AX75" i="12"/>
  <c r="AX122" i="12"/>
  <c r="AX112" i="12"/>
  <c r="AX150" i="12"/>
  <c r="AX141" i="12"/>
  <c r="AX159" i="12"/>
  <c r="AX169" i="12"/>
  <c r="AX132" i="12"/>
  <c r="AY70" i="12"/>
  <c r="AZ123" i="12"/>
  <c r="AZ133" i="12"/>
  <c r="AZ170" i="12"/>
  <c r="AZ142" i="12"/>
  <c r="AZ160" i="12"/>
  <c r="BA72" i="12"/>
  <c r="AZ151" i="12"/>
  <c r="AX115" i="12"/>
  <c r="AX135" i="12"/>
  <c r="AX125" i="12"/>
  <c r="AX154" i="12"/>
  <c r="AX163" i="12"/>
  <c r="AX173" i="12"/>
  <c r="AY79" i="12"/>
  <c r="AX117" i="12"/>
  <c r="AX136" i="12"/>
  <c r="AX155" i="12"/>
  <c r="AX127" i="12"/>
  <c r="AX164" i="12"/>
  <c r="AX145" i="12"/>
  <c r="AY84" i="12"/>
  <c r="AX111" i="12"/>
  <c r="AX121" i="12"/>
  <c r="AX131" i="12"/>
  <c r="AX140" i="12"/>
  <c r="AX149" i="12"/>
  <c r="AX168" i="12"/>
  <c r="AW143" i="12"/>
  <c r="AW146" i="12"/>
  <c r="AW134" i="12"/>
  <c r="AW137" i="12"/>
  <c r="AW113" i="12"/>
  <c r="AW118" i="12"/>
  <c r="AW152" i="12"/>
  <c r="AW156" i="12"/>
  <c r="AW161" i="12"/>
  <c r="AW165" i="12"/>
  <c r="AW171" i="12"/>
  <c r="AW174" i="12"/>
  <c r="AX128" i="12"/>
  <c r="AY121" i="12"/>
  <c r="AY140" i="12"/>
  <c r="AY168" i="12"/>
  <c r="AY131" i="12"/>
  <c r="AY111" i="12"/>
  <c r="AY149" i="12"/>
  <c r="AY115" i="12"/>
  <c r="AY125" i="12"/>
  <c r="AY135" i="12"/>
  <c r="AY163" i="12"/>
  <c r="AZ79" i="12"/>
  <c r="AY154" i="12"/>
  <c r="AY173" i="12"/>
  <c r="AY117" i="12"/>
  <c r="AY127" i="12"/>
  <c r="AY155" i="12"/>
  <c r="AY136" i="12"/>
  <c r="AY145" i="12"/>
  <c r="AY164" i="12"/>
  <c r="AZ84" i="12"/>
  <c r="AY67" i="12"/>
  <c r="AZ66" i="12"/>
  <c r="AZ64" i="12"/>
  <c r="AY68" i="12"/>
  <c r="AZ65" i="12"/>
  <c r="AY75" i="12"/>
  <c r="AX113" i="12"/>
  <c r="AX118" i="12"/>
  <c r="AX152" i="12"/>
  <c r="AX156" i="12"/>
  <c r="AX161" i="12"/>
  <c r="AX165" i="12"/>
  <c r="AX171" i="12"/>
  <c r="AX174" i="12"/>
  <c r="AX134" i="12"/>
  <c r="AX137" i="12"/>
  <c r="AX143" i="12"/>
  <c r="AX146" i="12"/>
  <c r="BA123" i="12"/>
  <c r="BA142" i="12"/>
  <c r="BA133" i="12"/>
  <c r="BA151" i="12"/>
  <c r="BA160" i="12"/>
  <c r="BA170" i="12"/>
  <c r="BB72" i="12"/>
  <c r="AY132" i="12"/>
  <c r="AY122" i="12"/>
  <c r="AY112" i="12"/>
  <c r="AY141" i="12"/>
  <c r="AY150" i="12"/>
  <c r="AY159" i="12"/>
  <c r="AY169" i="12"/>
  <c r="AZ70" i="12"/>
  <c r="AX86" i="12"/>
  <c r="BB123" i="12"/>
  <c r="BB151" i="12"/>
  <c r="BB142" i="12"/>
  <c r="BB160" i="12"/>
  <c r="BB170" i="12"/>
  <c r="BB133" i="12"/>
  <c r="BC72" i="12"/>
  <c r="AZ111" i="12"/>
  <c r="AZ121" i="12"/>
  <c r="AZ140" i="12"/>
  <c r="AZ131" i="12"/>
  <c r="AZ168" i="12"/>
  <c r="AZ149" i="12"/>
  <c r="AZ117" i="12"/>
  <c r="AZ145" i="12"/>
  <c r="AZ127" i="12"/>
  <c r="AZ155" i="12"/>
  <c r="BA84" i="12"/>
  <c r="AZ136" i="12"/>
  <c r="AZ164" i="12"/>
  <c r="AY143" i="12"/>
  <c r="AY146" i="12"/>
  <c r="AY113" i="12"/>
  <c r="AY118" i="12"/>
  <c r="AY134" i="12"/>
  <c r="AY137" i="12"/>
  <c r="AY152" i="12"/>
  <c r="AY156" i="12"/>
  <c r="AY161" i="12"/>
  <c r="AY165" i="12"/>
  <c r="AY171" i="12"/>
  <c r="AZ115" i="12"/>
  <c r="AZ125" i="12"/>
  <c r="AZ135" i="12"/>
  <c r="AZ163" i="12"/>
  <c r="AZ154" i="12"/>
  <c r="BA79" i="12"/>
  <c r="AZ173" i="12"/>
  <c r="AY174" i="12"/>
  <c r="AZ122" i="12"/>
  <c r="AZ132" i="12"/>
  <c r="AZ112" i="12"/>
  <c r="AZ141" i="12"/>
  <c r="AZ169" i="12"/>
  <c r="AZ159" i="12"/>
  <c r="AZ150" i="12"/>
  <c r="BA70" i="12"/>
  <c r="AZ68" i="12"/>
  <c r="AZ67" i="12"/>
  <c r="BA64" i="12"/>
  <c r="BA65" i="12"/>
  <c r="BA66" i="12"/>
  <c r="AZ75" i="12"/>
  <c r="AY86" i="12"/>
  <c r="AY128" i="12"/>
  <c r="BA121" i="12"/>
  <c r="BA131" i="12"/>
  <c r="BA140" i="12"/>
  <c r="BA149" i="12"/>
  <c r="BA111" i="12"/>
  <c r="BA168" i="12"/>
  <c r="BB64" i="12"/>
  <c r="BB66" i="12"/>
  <c r="BA68" i="12"/>
  <c r="BA67" i="12"/>
  <c r="BB65" i="12"/>
  <c r="BA75" i="12"/>
  <c r="BC123" i="12"/>
  <c r="BC142" i="12"/>
  <c r="BC160" i="12"/>
  <c r="BC170" i="12"/>
  <c r="BC151" i="12"/>
  <c r="BD72" i="12"/>
  <c r="BC133" i="12"/>
  <c r="BA112" i="12"/>
  <c r="BA132" i="12"/>
  <c r="BA169" i="12"/>
  <c r="BA150" i="12"/>
  <c r="BA141" i="12"/>
  <c r="BB70" i="12"/>
  <c r="BA159" i="12"/>
  <c r="BA122" i="12"/>
  <c r="AZ113" i="12"/>
  <c r="AZ118" i="12"/>
  <c r="AZ143" i="12"/>
  <c r="AZ146" i="12"/>
  <c r="AZ152" i="12"/>
  <c r="AZ156" i="12"/>
  <c r="AZ134" i="12"/>
  <c r="AZ137" i="12"/>
  <c r="AZ171" i="12"/>
  <c r="AZ174" i="12"/>
  <c r="AZ161" i="12"/>
  <c r="AZ165" i="12"/>
  <c r="AZ86" i="12"/>
  <c r="BA117" i="12"/>
  <c r="BA127" i="12"/>
  <c r="BA136" i="12"/>
  <c r="BA145" i="12"/>
  <c r="BA164" i="12"/>
  <c r="BB84" i="12"/>
  <c r="BA155" i="12"/>
  <c r="BA115" i="12"/>
  <c r="BA125" i="12"/>
  <c r="BA135" i="12"/>
  <c r="BA154" i="12"/>
  <c r="BA163" i="12"/>
  <c r="BA173" i="12"/>
  <c r="BB79" i="12"/>
  <c r="AZ128" i="12"/>
  <c r="BB111" i="12"/>
  <c r="BB131" i="12"/>
  <c r="BB149" i="12"/>
  <c r="BB140" i="12"/>
  <c r="BB121" i="12"/>
  <c r="BB168" i="12"/>
  <c r="BA113" i="12"/>
  <c r="BA118" i="12"/>
  <c r="BA134" i="12"/>
  <c r="BA137" i="12"/>
  <c r="BA143" i="12"/>
  <c r="BA146" i="12"/>
  <c r="BA152" i="12"/>
  <c r="BA171" i="12"/>
  <c r="BA161" i="12"/>
  <c r="BA165" i="12"/>
  <c r="BB68" i="12"/>
  <c r="BC64" i="12"/>
  <c r="BC66" i="12"/>
  <c r="BC65" i="12"/>
  <c r="BB67" i="12"/>
  <c r="BB75" i="12"/>
  <c r="BA156" i="12"/>
  <c r="BA174" i="12"/>
  <c r="BD123" i="12"/>
  <c r="BD133" i="12"/>
  <c r="BD142" i="12"/>
  <c r="BD151" i="12"/>
  <c r="BD160" i="12"/>
  <c r="BD170" i="12"/>
  <c r="BE72" i="12"/>
  <c r="BB112" i="12"/>
  <c r="BB122" i="12"/>
  <c r="BB141" i="12"/>
  <c r="BB132" i="12"/>
  <c r="BB150" i="12"/>
  <c r="BB159" i="12"/>
  <c r="BC70" i="12"/>
  <c r="BB169" i="12"/>
  <c r="BB115" i="12"/>
  <c r="BB125" i="12"/>
  <c r="BB163" i="12"/>
  <c r="BB154" i="12"/>
  <c r="BB135" i="12"/>
  <c r="BC79" i="12"/>
  <c r="BB173" i="12"/>
  <c r="BB117" i="12"/>
  <c r="BB127" i="12"/>
  <c r="BB136" i="12"/>
  <c r="BB145" i="12"/>
  <c r="BB155" i="12"/>
  <c r="BB164" i="12"/>
  <c r="BC84" i="12"/>
  <c r="BA86" i="12"/>
  <c r="BA128" i="12"/>
  <c r="BC121" i="12"/>
  <c r="BC131" i="12"/>
  <c r="BC111" i="12"/>
  <c r="BC168" i="12"/>
  <c r="BC140" i="12"/>
  <c r="BC149" i="12"/>
  <c r="BC115" i="12"/>
  <c r="BC125" i="12"/>
  <c r="BC135" i="12"/>
  <c r="BC154" i="12"/>
  <c r="BC163" i="12"/>
  <c r="BC173" i="12"/>
  <c r="BD79" i="12"/>
  <c r="BB128" i="12"/>
  <c r="BC112" i="12"/>
  <c r="BC122" i="12"/>
  <c r="BC141" i="12"/>
  <c r="BC132" i="12"/>
  <c r="BC159" i="12"/>
  <c r="BC150" i="12"/>
  <c r="BC169" i="12"/>
  <c r="BD70" i="12"/>
  <c r="BC68" i="12"/>
  <c r="BD64" i="12"/>
  <c r="BC67" i="12"/>
  <c r="BD65" i="12"/>
  <c r="BD66" i="12"/>
  <c r="BC75" i="12"/>
  <c r="BE133" i="12"/>
  <c r="BE142" i="12"/>
  <c r="BE170" i="12"/>
  <c r="BE123" i="12"/>
  <c r="BE151" i="12"/>
  <c r="BF72" i="12"/>
  <c r="BE160" i="12"/>
  <c r="BC117" i="12"/>
  <c r="BC127" i="12"/>
  <c r="BC136" i="12"/>
  <c r="BC145" i="12"/>
  <c r="BC164" i="12"/>
  <c r="BD84" i="12"/>
  <c r="BC155" i="12"/>
  <c r="BB113" i="12"/>
  <c r="BB118" i="12"/>
  <c r="BB134" i="12"/>
  <c r="BB137" i="12"/>
  <c r="BB161" i="12"/>
  <c r="BB165" i="12"/>
  <c r="BB143" i="12"/>
  <c r="BB146" i="12"/>
  <c r="BB171" i="12"/>
  <c r="BB174" i="12"/>
  <c r="BB152" i="12"/>
  <c r="BB156" i="12"/>
  <c r="BB86" i="12"/>
  <c r="BC113" i="12"/>
  <c r="BC143" i="12"/>
  <c r="BC146" i="12"/>
  <c r="BC152" i="12"/>
  <c r="BC156" i="12"/>
  <c r="BC171" i="12"/>
  <c r="BC174" i="12"/>
  <c r="BC161" i="12"/>
  <c r="BC165" i="12"/>
  <c r="BC134" i="12"/>
  <c r="BC137" i="12"/>
  <c r="BD121" i="12"/>
  <c r="BD128" i="12"/>
  <c r="BD111" i="12"/>
  <c r="BD131" i="12"/>
  <c r="BD168" i="12"/>
  <c r="BD140" i="12"/>
  <c r="BD149" i="12"/>
  <c r="BD125" i="12"/>
  <c r="BD115" i="12"/>
  <c r="BD135" i="12"/>
  <c r="BD154" i="12"/>
  <c r="BD173" i="12"/>
  <c r="BE79" i="12"/>
  <c r="BD163" i="12"/>
  <c r="BF123" i="12"/>
  <c r="BF133" i="12"/>
  <c r="BF142" i="12"/>
  <c r="BF160" i="12"/>
  <c r="BF151" i="12"/>
  <c r="BF170" i="12"/>
  <c r="BG72" i="12"/>
  <c r="BD112" i="12"/>
  <c r="BD122" i="12"/>
  <c r="BD132" i="12"/>
  <c r="BD141" i="12"/>
  <c r="BD169" i="12"/>
  <c r="BD159" i="12"/>
  <c r="BD150" i="12"/>
  <c r="BE70" i="12"/>
  <c r="BD127" i="12"/>
  <c r="BD136" i="12"/>
  <c r="BD117" i="12"/>
  <c r="BD145" i="12"/>
  <c r="BD155" i="12"/>
  <c r="BD164" i="12"/>
  <c r="BE84" i="12"/>
  <c r="BC86" i="12"/>
  <c r="BC118" i="12"/>
  <c r="BE65" i="12"/>
  <c r="BE66" i="12"/>
  <c r="BD68" i="12"/>
  <c r="BD67" i="12"/>
  <c r="BE64" i="12"/>
  <c r="BD75" i="12"/>
  <c r="BD86" i="12"/>
  <c r="BC128" i="12"/>
  <c r="BE121" i="12"/>
  <c r="BE140" i="12"/>
  <c r="BE149" i="12"/>
  <c r="BE131" i="12"/>
  <c r="BE111" i="12"/>
  <c r="BE168" i="12"/>
  <c r="BD134" i="12"/>
  <c r="BD113" i="12"/>
  <c r="BD118" i="12"/>
  <c r="BD171" i="12"/>
  <c r="BD174" i="12"/>
  <c r="BD152" i="12"/>
  <c r="BD156" i="12"/>
  <c r="BD161" i="12"/>
  <c r="BD165" i="12"/>
  <c r="BD143" i="12"/>
  <c r="BE141" i="12"/>
  <c r="BE132" i="12"/>
  <c r="BE112" i="12"/>
  <c r="BE150" i="12"/>
  <c r="BE122" i="12"/>
  <c r="BE159" i="12"/>
  <c r="BE169" i="12"/>
  <c r="BF70" i="12"/>
  <c r="BE117" i="12"/>
  <c r="BE136" i="12"/>
  <c r="BE127" i="12"/>
  <c r="BE145" i="12"/>
  <c r="BE155" i="12"/>
  <c r="BE164" i="12"/>
  <c r="BF84" i="12"/>
  <c r="BD146" i="12"/>
  <c r="BG123" i="12"/>
  <c r="BG133" i="12"/>
  <c r="BG142" i="12"/>
  <c r="BG151" i="12"/>
  <c r="BG170" i="12"/>
  <c r="BG160" i="12"/>
  <c r="BH72" i="12"/>
  <c r="BF65" i="12"/>
  <c r="BF66" i="12"/>
  <c r="BE67" i="12"/>
  <c r="BF64" i="12"/>
  <c r="BE68" i="12"/>
  <c r="BE75" i="12"/>
  <c r="BE86" i="12"/>
  <c r="BE135" i="12"/>
  <c r="BE125" i="12"/>
  <c r="BE115" i="12"/>
  <c r="BE163" i="12"/>
  <c r="BE154" i="12"/>
  <c r="BE173" i="12"/>
  <c r="BF79" i="12"/>
  <c r="BD137" i="12"/>
  <c r="BF111" i="12"/>
  <c r="BF131" i="12"/>
  <c r="BF149" i="12"/>
  <c r="BF121" i="12"/>
  <c r="BF140" i="12"/>
  <c r="BF168" i="12"/>
  <c r="BG65" i="12"/>
  <c r="BG66" i="12"/>
  <c r="BF67" i="12"/>
  <c r="BG64" i="12"/>
  <c r="BF68" i="12"/>
  <c r="BF75" i="12"/>
  <c r="BF86" i="12"/>
  <c r="BF122" i="12"/>
  <c r="BF112" i="12"/>
  <c r="BF150" i="12"/>
  <c r="BF159" i="12"/>
  <c r="BF169" i="12"/>
  <c r="BF141" i="12"/>
  <c r="BF132" i="12"/>
  <c r="BG70" i="12"/>
  <c r="BF117" i="12"/>
  <c r="BF127" i="12"/>
  <c r="BF136" i="12"/>
  <c r="BF164" i="12"/>
  <c r="BF155" i="12"/>
  <c r="BF145" i="12"/>
  <c r="BG84" i="12"/>
  <c r="BE113" i="12"/>
  <c r="BE118" i="12"/>
  <c r="BE143" i="12"/>
  <c r="BE146" i="12"/>
  <c r="BE134" i="12"/>
  <c r="BE137" i="12"/>
  <c r="BE152" i="12"/>
  <c r="BE156" i="12"/>
  <c r="BE161" i="12"/>
  <c r="BE165" i="12"/>
  <c r="BE171" i="12"/>
  <c r="BE174" i="12"/>
  <c r="BH123" i="12"/>
  <c r="BH133" i="12"/>
  <c r="BH170" i="12"/>
  <c r="BH151" i="12"/>
  <c r="BH142" i="12"/>
  <c r="BH160" i="12"/>
  <c r="BI72" i="12"/>
  <c r="BF115" i="12"/>
  <c r="BF135" i="12"/>
  <c r="BF154" i="12"/>
  <c r="BF163" i="12"/>
  <c r="BF173" i="12"/>
  <c r="BF125" i="12"/>
  <c r="BG79" i="12"/>
  <c r="BE128" i="12"/>
  <c r="BG111" i="12"/>
  <c r="BG121" i="12"/>
  <c r="BG131" i="12"/>
  <c r="BG149" i="12"/>
  <c r="BG168" i="12"/>
  <c r="BG140" i="12"/>
  <c r="BF113" i="12"/>
  <c r="BF118" i="12"/>
  <c r="BF134" i="12"/>
  <c r="BF137" i="12"/>
  <c r="BF152" i="12"/>
  <c r="BF156" i="12"/>
  <c r="BF161" i="12"/>
  <c r="BF165" i="12"/>
  <c r="BF171" i="12"/>
  <c r="BF174" i="12"/>
  <c r="BF143" i="12"/>
  <c r="BF146" i="12"/>
  <c r="BG115" i="12"/>
  <c r="BG135" i="12"/>
  <c r="BG154" i="12"/>
  <c r="BG163" i="12"/>
  <c r="BG173" i="12"/>
  <c r="BG125" i="12"/>
  <c r="BH79" i="12"/>
  <c r="BG117" i="12"/>
  <c r="BG127" i="12"/>
  <c r="BG155" i="12"/>
  <c r="BG136" i="12"/>
  <c r="BH84" i="12"/>
  <c r="BG164" i="12"/>
  <c r="BG145" i="12"/>
  <c r="BI123" i="12"/>
  <c r="BI142" i="12"/>
  <c r="BI133" i="12"/>
  <c r="BI151" i="12"/>
  <c r="BI160" i="12"/>
  <c r="BI170" i="12"/>
  <c r="BJ72" i="12"/>
  <c r="BF128" i="12"/>
  <c r="BH65" i="12"/>
  <c r="BH66" i="12"/>
  <c r="BG68" i="12"/>
  <c r="BH64" i="12"/>
  <c r="BG67" i="12"/>
  <c r="BG75" i="12"/>
  <c r="BG86" i="12"/>
  <c r="BG112" i="12"/>
  <c r="BG132" i="12"/>
  <c r="BG122" i="12"/>
  <c r="BG150" i="12"/>
  <c r="BG159" i="12"/>
  <c r="BG169" i="12"/>
  <c r="BG141" i="12"/>
  <c r="BH70" i="12"/>
  <c r="BH111" i="12"/>
  <c r="BH121" i="12"/>
  <c r="BH131" i="12"/>
  <c r="BH140" i="12"/>
  <c r="BH168" i="12"/>
  <c r="BH149" i="12"/>
  <c r="BI65" i="12"/>
  <c r="BI66" i="12"/>
  <c r="BI64" i="12"/>
  <c r="BH68" i="12"/>
  <c r="BH67" i="12"/>
  <c r="BH75" i="12"/>
  <c r="BH86" i="12"/>
  <c r="BH115" i="12"/>
  <c r="BH125" i="12"/>
  <c r="BH154" i="12"/>
  <c r="BH173" i="12"/>
  <c r="BI79" i="12"/>
  <c r="BH135" i="12"/>
  <c r="BH163" i="12"/>
  <c r="BJ151" i="12"/>
  <c r="BJ123" i="12"/>
  <c r="BJ160" i="12"/>
  <c r="BJ170" i="12"/>
  <c r="BJ142" i="12"/>
  <c r="BJ133" i="12"/>
  <c r="BK72" i="12"/>
  <c r="BG128" i="12"/>
  <c r="BH122" i="12"/>
  <c r="BH112" i="12"/>
  <c r="BH132" i="12"/>
  <c r="BH150" i="12"/>
  <c r="BH159" i="12"/>
  <c r="BH141" i="12"/>
  <c r="BH169" i="12"/>
  <c r="BI70" i="12"/>
  <c r="BG113" i="12"/>
  <c r="BG118" i="12"/>
  <c r="BG134" i="12"/>
  <c r="BG137" i="12"/>
  <c r="BG143" i="12"/>
  <c r="BG146" i="12"/>
  <c r="BG161" i="12"/>
  <c r="BG165" i="12"/>
  <c r="BG152" i="12"/>
  <c r="BG156" i="12"/>
  <c r="BG171" i="12"/>
  <c r="BG174" i="12"/>
  <c r="BH117" i="12"/>
  <c r="BH127" i="12"/>
  <c r="BH136" i="12"/>
  <c r="BH155" i="12"/>
  <c r="BH145" i="12"/>
  <c r="BI84" i="12"/>
  <c r="BH164" i="12"/>
  <c r="BI121" i="12"/>
  <c r="BI111" i="12"/>
  <c r="BI140" i="12"/>
  <c r="BI149" i="12"/>
  <c r="BI131" i="12"/>
  <c r="BI168" i="12"/>
  <c r="BI122" i="12"/>
  <c r="BI112" i="12"/>
  <c r="BI132" i="12"/>
  <c r="BI141" i="12"/>
  <c r="BI150" i="12"/>
  <c r="BI169" i="12"/>
  <c r="BJ70" i="12"/>
  <c r="BI159" i="12"/>
  <c r="BK123" i="12"/>
  <c r="BK133" i="12"/>
  <c r="BK151" i="12"/>
  <c r="BK160" i="12"/>
  <c r="BK142" i="12"/>
  <c r="BK170" i="12"/>
  <c r="BL72" i="12"/>
  <c r="BH113" i="12"/>
  <c r="BH118" i="12"/>
  <c r="BH143" i="12"/>
  <c r="BH146" i="12"/>
  <c r="BH152" i="12"/>
  <c r="BH156" i="12"/>
  <c r="BH171" i="12"/>
  <c r="BH174" i="12"/>
  <c r="BH134" i="12"/>
  <c r="BH137" i="12"/>
  <c r="BH161" i="12"/>
  <c r="BH165" i="12"/>
  <c r="BI125" i="12"/>
  <c r="BI135" i="12"/>
  <c r="BI115" i="12"/>
  <c r="BI163" i="12"/>
  <c r="BI173" i="12"/>
  <c r="BI154" i="12"/>
  <c r="BJ79" i="12"/>
  <c r="BJ64" i="12"/>
  <c r="BJ66" i="12"/>
  <c r="BI67" i="12"/>
  <c r="BJ65" i="12"/>
  <c r="BI68" i="12"/>
  <c r="BI75" i="12"/>
  <c r="BI86" i="12"/>
  <c r="BH128" i="12"/>
  <c r="BI117" i="12"/>
  <c r="BI136" i="12"/>
  <c r="BI145" i="12"/>
  <c r="BI127" i="12"/>
  <c r="BI164" i="12"/>
  <c r="BI155" i="12"/>
  <c r="BJ84" i="12"/>
  <c r="BJ68" i="12"/>
  <c r="BK64" i="12"/>
  <c r="BK66" i="12"/>
  <c r="BJ67" i="12"/>
  <c r="BK65" i="12"/>
  <c r="BJ75" i="12"/>
  <c r="BJ86" i="12"/>
  <c r="BL123" i="12"/>
  <c r="BL133" i="12"/>
  <c r="BL170" i="12"/>
  <c r="BL160" i="12"/>
  <c r="BL142" i="12"/>
  <c r="BM72" i="12"/>
  <c r="BL151" i="12"/>
  <c r="BJ112" i="12"/>
  <c r="BJ122" i="12"/>
  <c r="BJ132" i="12"/>
  <c r="BJ141" i="12"/>
  <c r="BJ159" i="12"/>
  <c r="BK70" i="12"/>
  <c r="BJ169" i="12"/>
  <c r="BJ150" i="12"/>
  <c r="BJ115" i="12"/>
  <c r="BJ125" i="12"/>
  <c r="BJ135" i="12"/>
  <c r="BJ154" i="12"/>
  <c r="BJ163" i="12"/>
  <c r="BJ173" i="12"/>
  <c r="BK79" i="12"/>
  <c r="BJ111" i="12"/>
  <c r="BJ121" i="12"/>
  <c r="BJ131" i="12"/>
  <c r="BJ140" i="12"/>
  <c r="BJ149" i="12"/>
  <c r="BJ168" i="12"/>
  <c r="BJ117" i="12"/>
  <c r="BJ136" i="12"/>
  <c r="BJ145" i="12"/>
  <c r="BJ155" i="12"/>
  <c r="BJ164" i="12"/>
  <c r="BJ127" i="12"/>
  <c r="BK84" i="12"/>
  <c r="BI113" i="12"/>
  <c r="BI118" i="12"/>
  <c r="BI134" i="12"/>
  <c r="BI137" i="12"/>
  <c r="BI143" i="12"/>
  <c r="BI146" i="12"/>
  <c r="BI152" i="12"/>
  <c r="BI156" i="12"/>
  <c r="BI161" i="12"/>
  <c r="BI165" i="12"/>
  <c r="BI171" i="12"/>
  <c r="BI174" i="12"/>
  <c r="BI128" i="12"/>
  <c r="BJ128" i="12"/>
  <c r="BM123" i="12"/>
  <c r="BM133" i="12"/>
  <c r="BM170" i="12"/>
  <c r="BM151" i="12"/>
  <c r="BN72" i="12"/>
  <c r="BM142" i="12"/>
  <c r="BM160" i="12"/>
  <c r="BK141" i="12"/>
  <c r="BK112" i="12"/>
  <c r="BK122" i="12"/>
  <c r="BK132" i="12"/>
  <c r="BK169" i="12"/>
  <c r="BK150" i="12"/>
  <c r="BL70" i="12"/>
  <c r="BK159" i="12"/>
  <c r="BK121" i="12"/>
  <c r="BK131" i="12"/>
  <c r="BK111" i="12"/>
  <c r="BK140" i="12"/>
  <c r="BK149" i="12"/>
  <c r="BK168" i="12"/>
  <c r="BJ113" i="12"/>
  <c r="BJ134" i="12"/>
  <c r="BJ137" i="12"/>
  <c r="BJ143" i="12"/>
  <c r="BJ146" i="12"/>
  <c r="BJ152" i="12"/>
  <c r="BJ156" i="12"/>
  <c r="BJ161" i="12"/>
  <c r="BJ165" i="12"/>
  <c r="BJ171" i="12"/>
  <c r="BJ174" i="12"/>
  <c r="BK115" i="12"/>
  <c r="BK125" i="12"/>
  <c r="BK135" i="12"/>
  <c r="BK173" i="12"/>
  <c r="BK163" i="12"/>
  <c r="BL79" i="12"/>
  <c r="BK154" i="12"/>
  <c r="BK117" i="12"/>
  <c r="BK127" i="12"/>
  <c r="BK145" i="12"/>
  <c r="BK136" i="12"/>
  <c r="BK164" i="12"/>
  <c r="BK155" i="12"/>
  <c r="BL84" i="12"/>
  <c r="BK68" i="12"/>
  <c r="BL65" i="12"/>
  <c r="BL66" i="12"/>
  <c r="BK67" i="12"/>
  <c r="BL64" i="12"/>
  <c r="BK75" i="12"/>
  <c r="BJ118" i="12"/>
  <c r="BK128" i="12"/>
  <c r="BL121" i="12"/>
  <c r="BL131" i="12"/>
  <c r="BL149" i="12"/>
  <c r="BL140" i="12"/>
  <c r="BL111" i="12"/>
  <c r="BL168" i="12"/>
  <c r="BN133" i="12"/>
  <c r="BN142" i="12"/>
  <c r="BN123" i="12"/>
  <c r="BN151" i="12"/>
  <c r="BN160" i="12"/>
  <c r="BO72" i="12"/>
  <c r="BN170" i="12"/>
  <c r="BL68" i="12"/>
  <c r="BM64" i="12"/>
  <c r="BL67" i="12"/>
  <c r="BM65" i="12"/>
  <c r="BM66" i="12"/>
  <c r="BL75" i="12"/>
  <c r="BL86" i="12"/>
  <c r="BL112" i="12"/>
  <c r="BL122" i="12"/>
  <c r="BL141" i="12"/>
  <c r="BL169" i="12"/>
  <c r="BL132" i="12"/>
  <c r="BL150" i="12"/>
  <c r="BL159" i="12"/>
  <c r="BM70" i="12"/>
  <c r="BK134" i="12"/>
  <c r="BK137" i="12"/>
  <c r="BK143" i="12"/>
  <c r="BK146" i="12"/>
  <c r="BK152" i="12"/>
  <c r="BK156" i="12"/>
  <c r="BK161" i="12"/>
  <c r="BK165" i="12"/>
  <c r="BK171" i="12"/>
  <c r="BK174" i="12"/>
  <c r="BK113" i="12"/>
  <c r="BK118" i="12"/>
  <c r="BK86" i="12"/>
  <c r="BL117" i="12"/>
  <c r="BL127" i="12"/>
  <c r="BL136" i="12"/>
  <c r="BL164" i="12"/>
  <c r="BL145" i="12"/>
  <c r="BM84" i="12"/>
  <c r="BL155" i="12"/>
  <c r="BL115" i="12"/>
  <c r="BL125" i="12"/>
  <c r="BL173" i="12"/>
  <c r="BL135" i="12"/>
  <c r="BL154" i="12"/>
  <c r="BL163" i="12"/>
  <c r="BM79" i="12"/>
  <c r="BM121" i="12"/>
  <c r="BM111" i="12"/>
  <c r="BM131" i="12"/>
  <c r="BM140" i="12"/>
  <c r="BM168" i="12"/>
  <c r="BM149" i="12"/>
  <c r="BN65" i="12"/>
  <c r="BM67" i="12"/>
  <c r="BM68" i="12"/>
  <c r="BN66" i="12"/>
  <c r="BN64" i="12"/>
  <c r="BM75" i="12"/>
  <c r="BM122" i="12"/>
  <c r="BM132" i="12"/>
  <c r="BM141" i="12"/>
  <c r="BM150" i="12"/>
  <c r="BM112" i="12"/>
  <c r="BM159" i="12"/>
  <c r="BM169" i="12"/>
  <c r="BN70" i="12"/>
  <c r="BL134" i="12"/>
  <c r="BL137" i="12"/>
  <c r="BL113" i="12"/>
  <c r="BL118" i="12"/>
  <c r="BL171" i="12"/>
  <c r="BL174" i="12"/>
  <c r="BL143" i="12"/>
  <c r="BL146" i="12"/>
  <c r="BL161" i="12"/>
  <c r="BL165" i="12"/>
  <c r="BL152" i="12"/>
  <c r="BL156" i="12"/>
  <c r="BO123" i="12"/>
  <c r="BO142" i="12"/>
  <c r="BO133" i="12"/>
  <c r="BO160" i="12"/>
  <c r="BO151" i="12"/>
  <c r="BO170" i="12"/>
  <c r="BP72" i="12"/>
  <c r="BM117" i="12"/>
  <c r="BM136" i="12"/>
  <c r="BM155" i="12"/>
  <c r="BM164" i="12"/>
  <c r="BM127" i="12"/>
  <c r="BN84" i="12"/>
  <c r="BM145" i="12"/>
  <c r="BM115" i="12"/>
  <c r="BM135" i="12"/>
  <c r="BM125" i="12"/>
  <c r="BM154" i="12"/>
  <c r="BM163" i="12"/>
  <c r="BM173" i="12"/>
  <c r="BN79" i="12"/>
  <c r="BL128" i="12"/>
  <c r="BN122" i="12"/>
  <c r="BN112" i="12"/>
  <c r="BN132" i="12"/>
  <c r="BN150" i="12"/>
  <c r="BN141" i="12"/>
  <c r="BN159" i="12"/>
  <c r="BN169" i="12"/>
  <c r="BO70" i="12"/>
  <c r="BO65" i="12"/>
  <c r="BN67" i="12"/>
  <c r="BO64" i="12"/>
  <c r="BN68" i="12"/>
  <c r="BO66" i="12"/>
  <c r="BN75" i="12"/>
  <c r="BM174" i="12"/>
  <c r="BM113" i="12"/>
  <c r="BM118" i="12"/>
  <c r="BM143" i="12"/>
  <c r="BM134" i="12"/>
  <c r="BM137" i="12"/>
  <c r="BM152" i="12"/>
  <c r="BM156" i="12"/>
  <c r="BM161" i="12"/>
  <c r="BM165" i="12"/>
  <c r="BM171" i="12"/>
  <c r="BP142" i="12"/>
  <c r="BP170" i="12"/>
  <c r="BP123" i="12"/>
  <c r="BP133" i="12"/>
  <c r="BP160" i="12"/>
  <c r="BP151" i="12"/>
  <c r="BQ72" i="12"/>
  <c r="BN111" i="12"/>
  <c r="BN121" i="12"/>
  <c r="BN140" i="12"/>
  <c r="BN149" i="12"/>
  <c r="BN131" i="12"/>
  <c r="BN168" i="12"/>
  <c r="BM146" i="12"/>
  <c r="BN127" i="12"/>
  <c r="BN117" i="12"/>
  <c r="BN145" i="12"/>
  <c r="BN136" i="12"/>
  <c r="BN164" i="12"/>
  <c r="BN155" i="12"/>
  <c r="BO84" i="12"/>
  <c r="BM86" i="12"/>
  <c r="BN115" i="12"/>
  <c r="BN135" i="12"/>
  <c r="BN154" i="12"/>
  <c r="BN125" i="12"/>
  <c r="BN163" i="12"/>
  <c r="BN173" i="12"/>
  <c r="BO79" i="12"/>
  <c r="BM128" i="12"/>
  <c r="BN128" i="12"/>
  <c r="BO132" i="12"/>
  <c r="BO112" i="12"/>
  <c r="BO122" i="12"/>
  <c r="BO141" i="12"/>
  <c r="BO159" i="12"/>
  <c r="BO169" i="12"/>
  <c r="BO150" i="12"/>
  <c r="BP70" i="12"/>
  <c r="BO111" i="12"/>
  <c r="BO131" i="12"/>
  <c r="BO149" i="12"/>
  <c r="BO140" i="12"/>
  <c r="BO168" i="12"/>
  <c r="BO121" i="12"/>
  <c r="BQ123" i="12"/>
  <c r="BQ142" i="12"/>
  <c r="BQ133" i="12"/>
  <c r="BQ151" i="12"/>
  <c r="BQ160" i="12"/>
  <c r="BQ170" i="12"/>
  <c r="BP64" i="12"/>
  <c r="BO67" i="12"/>
  <c r="BP65" i="12"/>
  <c r="BP66" i="12"/>
  <c r="BO68" i="12"/>
  <c r="BO75" i="12"/>
  <c r="BO86" i="12"/>
  <c r="BO115" i="12"/>
  <c r="BO125" i="12"/>
  <c r="BO154" i="12"/>
  <c r="BO135" i="12"/>
  <c r="BO163" i="12"/>
  <c r="BO173" i="12"/>
  <c r="BP79" i="12"/>
  <c r="BO117" i="12"/>
  <c r="BO127" i="12"/>
  <c r="BO136" i="12"/>
  <c r="BO145" i="12"/>
  <c r="BO164" i="12"/>
  <c r="BO155" i="12"/>
  <c r="BP84" i="12"/>
  <c r="BN113" i="12"/>
  <c r="BN118" i="12"/>
  <c r="BN152" i="12"/>
  <c r="BN156" i="12"/>
  <c r="BN134" i="12"/>
  <c r="BN137" i="12"/>
  <c r="BN161" i="12"/>
  <c r="BN165" i="12"/>
  <c r="BN143" i="12"/>
  <c r="BN146" i="12"/>
  <c r="BN171" i="12"/>
  <c r="BN174" i="12"/>
  <c r="BN86" i="12"/>
  <c r="BP111" i="12"/>
  <c r="BP121" i="12"/>
  <c r="BP168" i="12"/>
  <c r="BP149" i="12"/>
  <c r="BP140" i="12"/>
  <c r="BP131" i="12"/>
  <c r="BP122" i="12"/>
  <c r="BP112" i="12"/>
  <c r="BP132" i="12"/>
  <c r="BP169" i="12"/>
  <c r="BP141" i="12"/>
  <c r="BP150" i="12"/>
  <c r="BQ70" i="12"/>
  <c r="BP159" i="12"/>
  <c r="BQ64" i="12"/>
  <c r="BQ65" i="12"/>
  <c r="BQ66" i="12"/>
  <c r="BP68" i="12"/>
  <c r="BP67" i="12"/>
  <c r="BP75" i="12"/>
  <c r="BO128" i="12"/>
  <c r="BO174" i="12"/>
  <c r="BO113" i="12"/>
  <c r="BO118" i="12"/>
  <c r="BO134" i="12"/>
  <c r="BO137" i="12"/>
  <c r="BO161" i="12"/>
  <c r="BO165" i="12"/>
  <c r="BO143" i="12"/>
  <c r="BO146" i="12"/>
  <c r="BO152" i="12"/>
  <c r="BO156" i="12"/>
  <c r="BO171" i="12"/>
  <c r="BP115" i="12"/>
  <c r="BP125" i="12"/>
  <c r="BP135" i="12"/>
  <c r="BP154" i="12"/>
  <c r="BP163" i="12"/>
  <c r="BP173" i="12"/>
  <c r="BQ79" i="12"/>
  <c r="BP127" i="12"/>
  <c r="BP136" i="12"/>
  <c r="BP117" i="12"/>
  <c r="BP155" i="12"/>
  <c r="BP145" i="12"/>
  <c r="BQ84" i="12"/>
  <c r="BP164" i="12"/>
  <c r="BQ121" i="12"/>
  <c r="BQ111" i="12"/>
  <c r="BQ140" i="12"/>
  <c r="BQ149" i="12"/>
  <c r="BQ131" i="12"/>
  <c r="BQ168" i="12"/>
  <c r="BQ68" i="12"/>
  <c r="BQ67" i="12"/>
  <c r="BQ75" i="12"/>
  <c r="BQ125" i="12"/>
  <c r="BQ135" i="12"/>
  <c r="BQ115" i="12"/>
  <c r="BQ163" i="12"/>
  <c r="BQ173" i="12"/>
  <c r="BQ154" i="12"/>
  <c r="BQ112" i="12"/>
  <c r="BQ122" i="12"/>
  <c r="BQ132" i="12"/>
  <c r="BQ150" i="12"/>
  <c r="BQ169" i="12"/>
  <c r="BQ159" i="12"/>
  <c r="BQ141" i="12"/>
  <c r="BP113" i="12"/>
  <c r="BP118" i="12"/>
  <c r="BP134" i="12"/>
  <c r="BP137" i="12"/>
  <c r="BP143" i="12"/>
  <c r="BP146" i="12"/>
  <c r="BP152" i="12"/>
  <c r="BP156" i="12"/>
  <c r="BP161" i="12"/>
  <c r="BP165" i="12"/>
  <c r="BP171" i="12"/>
  <c r="BP174" i="12"/>
  <c r="BP86" i="12"/>
  <c r="BP128" i="12"/>
  <c r="BQ117" i="12"/>
  <c r="BQ136" i="12"/>
  <c r="BQ145" i="12"/>
  <c r="BQ127" i="12"/>
  <c r="BQ164" i="12"/>
  <c r="BQ155" i="12"/>
  <c r="BQ134" i="12"/>
  <c r="BQ137" i="12"/>
  <c r="BQ113" i="12"/>
  <c r="BQ118" i="12"/>
  <c r="BQ143" i="12"/>
  <c r="BQ146" i="12"/>
  <c r="BQ152" i="12"/>
  <c r="BQ156" i="12"/>
  <c r="BQ171" i="12"/>
  <c r="BQ174" i="12"/>
  <c r="BQ161" i="12"/>
  <c r="BQ165" i="12"/>
  <c r="BQ86" i="12"/>
  <c r="BQ128" i="12"/>
  <c r="O9" i="19"/>
  <c r="O26" i="19"/>
  <c r="O4" i="19"/>
  <c r="O21" i="19"/>
  <c r="O3" i="19"/>
  <c r="O20" i="19"/>
  <c r="O6" i="19"/>
  <c r="O23" i="19"/>
  <c r="O7" i="19"/>
  <c r="O24" i="19"/>
  <c r="O10" i="19"/>
  <c r="O44" i="19"/>
  <c r="O8" i="19"/>
  <c r="O25" i="19"/>
  <c r="O42" i="19"/>
  <c r="O5" i="19"/>
  <c r="O39" i="19"/>
  <c r="O2" i="19"/>
  <c r="O19" i="19"/>
  <c r="P6" i="19"/>
  <c r="O27" i="19"/>
  <c r="P4" i="19"/>
  <c r="P38" i="19"/>
  <c r="P14" i="19"/>
  <c r="O22" i="19"/>
  <c r="O28" i="19"/>
  <c r="O30" i="19"/>
  <c r="O31" i="19"/>
  <c r="O40" i="19"/>
  <c r="O38" i="19"/>
  <c r="P40" i="19"/>
  <c r="P23" i="19"/>
  <c r="O41" i="19"/>
  <c r="P8" i="19"/>
  <c r="P21" i="19"/>
  <c r="P3" i="19"/>
  <c r="O36" i="19"/>
  <c r="P10" i="19"/>
  <c r="O43" i="19"/>
  <c r="P9" i="19"/>
  <c r="O37" i="19"/>
  <c r="P5" i="19"/>
  <c r="P2" i="19"/>
  <c r="P7" i="19"/>
  <c r="O45" i="19"/>
  <c r="O47" i="19"/>
  <c r="O48" i="19"/>
  <c r="Q5" i="19"/>
  <c r="Q4" i="19"/>
  <c r="Q9" i="19"/>
  <c r="Q10" i="19"/>
  <c r="Q7" i="19"/>
  <c r="Q6" i="19"/>
  <c r="Q8" i="19"/>
  <c r="Q3" i="19"/>
  <c r="Q2" i="19"/>
  <c r="P24" i="19"/>
  <c r="P41" i="19"/>
  <c r="P39" i="19"/>
  <c r="P22" i="19"/>
  <c r="P37" i="19"/>
  <c r="P20" i="19"/>
  <c r="P26" i="19"/>
  <c r="P43" i="19"/>
  <c r="P42" i="19"/>
  <c r="P25" i="19"/>
  <c r="P19" i="19"/>
  <c r="P36" i="19"/>
  <c r="P27" i="19"/>
  <c r="P44" i="19"/>
  <c r="P28" i="19"/>
  <c r="P30" i="19"/>
  <c r="P31" i="19"/>
  <c r="Q25" i="19"/>
  <c r="Q42" i="19"/>
  <c r="Q14" i="19"/>
  <c r="P45" i="19"/>
  <c r="P47" i="19"/>
  <c r="P48" i="19"/>
  <c r="Q23" i="19"/>
  <c r="Q40" i="19"/>
  <c r="Q24" i="19"/>
  <c r="Q41" i="19"/>
  <c r="Q44" i="19"/>
  <c r="Q27" i="19"/>
  <c r="R8" i="19"/>
  <c r="R2" i="19"/>
  <c r="R5" i="19"/>
  <c r="R3" i="19"/>
  <c r="R6" i="19"/>
  <c r="R4" i="19"/>
  <c r="R7" i="19"/>
  <c r="R10" i="19"/>
  <c r="R9" i="19"/>
  <c r="Q43" i="19"/>
  <c r="Q26" i="19"/>
  <c r="Q19" i="19"/>
  <c r="Q36" i="19"/>
  <c r="Q38" i="19"/>
  <c r="Q21" i="19"/>
  <c r="Q20" i="19"/>
  <c r="Q37" i="19"/>
  <c r="Q39" i="19"/>
  <c r="Q22" i="19"/>
  <c r="R36" i="19"/>
  <c r="R19" i="19"/>
  <c r="R14" i="19"/>
  <c r="R44" i="19"/>
  <c r="S44" i="19"/>
  <c r="T44" i="19"/>
  <c r="U44" i="19"/>
  <c r="V44" i="19"/>
  <c r="W44" i="19"/>
  <c r="X44" i="19"/>
  <c r="Y44" i="19"/>
  <c r="Z44" i="19"/>
  <c r="AA44" i="19"/>
  <c r="R27" i="19"/>
  <c r="R42" i="19"/>
  <c r="R25" i="19"/>
  <c r="Q45" i="19"/>
  <c r="Q47" i="19"/>
  <c r="Q48" i="19"/>
  <c r="R23" i="19"/>
  <c r="S23" i="19"/>
  <c r="T23" i="19"/>
  <c r="U23" i="19"/>
  <c r="V23" i="19"/>
  <c r="W23" i="19"/>
  <c r="X23" i="19"/>
  <c r="Y23" i="19"/>
  <c r="Z23" i="19"/>
  <c r="AA23" i="19"/>
  <c r="R40" i="19"/>
  <c r="R20" i="19"/>
  <c r="R37" i="19"/>
  <c r="R26" i="19"/>
  <c r="R43" i="19"/>
  <c r="S3" i="19"/>
  <c r="S10" i="19"/>
  <c r="S27" i="19"/>
  <c r="S7" i="19"/>
  <c r="S41" i="19"/>
  <c r="S9" i="19"/>
  <c r="S8" i="19"/>
  <c r="S6" i="19"/>
  <c r="S40" i="19"/>
  <c r="S5" i="19"/>
  <c r="S2" i="19"/>
  <c r="S4" i="19"/>
  <c r="S38" i="19"/>
  <c r="R24" i="19"/>
  <c r="S24" i="19"/>
  <c r="T24" i="19"/>
  <c r="U24" i="19"/>
  <c r="V24" i="19"/>
  <c r="W24" i="19"/>
  <c r="X24" i="19"/>
  <c r="Y24" i="19"/>
  <c r="Z24" i="19"/>
  <c r="AA24" i="19"/>
  <c r="R41" i="19"/>
  <c r="R38" i="19"/>
  <c r="R21" i="19"/>
  <c r="S21" i="19"/>
  <c r="T21" i="19"/>
  <c r="U21" i="19"/>
  <c r="V21" i="19"/>
  <c r="W21" i="19"/>
  <c r="X21" i="19"/>
  <c r="Y21" i="19"/>
  <c r="Z21" i="19"/>
  <c r="AA21" i="19"/>
  <c r="Q28" i="19"/>
  <c r="Q30" i="19"/>
  <c r="Q31" i="19"/>
  <c r="R39" i="19"/>
  <c r="R22" i="19"/>
  <c r="S42" i="19"/>
  <c r="S25" i="19"/>
  <c r="S26" i="19"/>
  <c r="S43" i="19"/>
  <c r="S22" i="19"/>
  <c r="S39" i="19"/>
  <c r="T9" i="19"/>
  <c r="T2" i="19"/>
  <c r="T7" i="19"/>
  <c r="T41" i="19"/>
  <c r="T10" i="19"/>
  <c r="T27" i="19"/>
  <c r="T3" i="19"/>
  <c r="T5" i="19"/>
  <c r="T4" i="19"/>
  <c r="T38" i="19"/>
  <c r="T8" i="19"/>
  <c r="T6" i="19"/>
  <c r="T40" i="19"/>
  <c r="R28" i="19"/>
  <c r="R30" i="19"/>
  <c r="R31" i="19"/>
  <c r="S36" i="19"/>
  <c r="S19" i="19"/>
  <c r="S14" i="19"/>
  <c r="S37" i="19"/>
  <c r="S20" i="19"/>
  <c r="R45" i="19"/>
  <c r="R47" i="19"/>
  <c r="R48" i="19"/>
  <c r="T36" i="19"/>
  <c r="T19" i="19"/>
  <c r="T26" i="19"/>
  <c r="T43" i="19"/>
  <c r="T39" i="19"/>
  <c r="T22" i="19"/>
  <c r="S28" i="19"/>
  <c r="S30" i="19"/>
  <c r="S31" i="19"/>
  <c r="T37" i="19"/>
  <c r="T20" i="19"/>
  <c r="U10" i="19"/>
  <c r="U27" i="19"/>
  <c r="U9" i="19"/>
  <c r="U7" i="19"/>
  <c r="U41" i="19"/>
  <c r="U2" i="19"/>
  <c r="U8" i="19"/>
  <c r="U5" i="19"/>
  <c r="U4" i="19"/>
  <c r="U38" i="19"/>
  <c r="U3" i="19"/>
  <c r="U6" i="19"/>
  <c r="U40" i="19"/>
  <c r="T42" i="19"/>
  <c r="T25" i="19"/>
  <c r="S45" i="19"/>
  <c r="S47" i="19"/>
  <c r="S48" i="19"/>
  <c r="S49" i="19"/>
  <c r="T14" i="19"/>
  <c r="U14" i="19"/>
  <c r="V6" i="19"/>
  <c r="V40" i="19"/>
  <c r="V7" i="19"/>
  <c r="V41" i="19"/>
  <c r="V8" i="19"/>
  <c r="V9" i="19"/>
  <c r="V10" i="19"/>
  <c r="V27" i="19"/>
  <c r="V3" i="19"/>
  <c r="V2" i="19"/>
  <c r="V4" i="19"/>
  <c r="V38" i="19"/>
  <c r="V5" i="19"/>
  <c r="U20" i="19"/>
  <c r="U37" i="19"/>
  <c r="U43" i="19"/>
  <c r="U26" i="19"/>
  <c r="T28" i="19"/>
  <c r="T30" i="19"/>
  <c r="T31" i="19"/>
  <c r="U25" i="19"/>
  <c r="U42" i="19"/>
  <c r="U19" i="19"/>
  <c r="U36" i="19"/>
  <c r="U39" i="19"/>
  <c r="U22" i="19"/>
  <c r="T45" i="19"/>
  <c r="T47" i="19"/>
  <c r="T48" i="19"/>
  <c r="U45" i="19"/>
  <c r="U47" i="19"/>
  <c r="U48" i="19"/>
  <c r="U28" i="19"/>
  <c r="U30" i="19"/>
  <c r="U31" i="19"/>
  <c r="V25" i="19"/>
  <c r="V42" i="19"/>
  <c r="W9" i="19"/>
  <c r="W8" i="19"/>
  <c r="W7" i="19"/>
  <c r="W41" i="19"/>
  <c r="W4" i="19"/>
  <c r="W38" i="19"/>
  <c r="W2" i="19"/>
  <c r="W5" i="19"/>
  <c r="W6" i="19"/>
  <c r="W40" i="19"/>
  <c r="W3" i="19"/>
  <c r="W10" i="19"/>
  <c r="W27" i="19"/>
  <c r="V39" i="19"/>
  <c r="V22" i="19"/>
  <c r="V19" i="19"/>
  <c r="V36" i="19"/>
  <c r="V26" i="19"/>
  <c r="V43" i="19"/>
  <c r="V37" i="19"/>
  <c r="V20" i="19"/>
  <c r="V14" i="19"/>
  <c r="V28" i="19"/>
  <c r="V30" i="19"/>
  <c r="V31" i="19"/>
  <c r="W39" i="19"/>
  <c r="W22" i="19"/>
  <c r="W19" i="19"/>
  <c r="W36" i="19"/>
  <c r="X3" i="19"/>
  <c r="X4" i="19"/>
  <c r="X38" i="19"/>
  <c r="X8" i="19"/>
  <c r="X6" i="19"/>
  <c r="X40" i="19"/>
  <c r="X2" i="19"/>
  <c r="X10" i="19"/>
  <c r="X27" i="19"/>
  <c r="X9" i="19"/>
  <c r="X5" i="19"/>
  <c r="X7" i="19"/>
  <c r="X41" i="19"/>
  <c r="W42" i="19"/>
  <c r="W25" i="19"/>
  <c r="W43" i="19"/>
  <c r="W26" i="19"/>
  <c r="W20" i="19"/>
  <c r="W37" i="19"/>
  <c r="W14" i="19"/>
  <c r="V45" i="19"/>
  <c r="V47" i="19"/>
  <c r="V48" i="19"/>
  <c r="X43" i="19"/>
  <c r="X26" i="19"/>
  <c r="X20" i="19"/>
  <c r="X37" i="19"/>
  <c r="W45" i="19"/>
  <c r="W47" i="19"/>
  <c r="W48" i="19"/>
  <c r="X39" i="19"/>
  <c r="X22" i="19"/>
  <c r="W28" i="19"/>
  <c r="W30" i="19"/>
  <c r="W31" i="19"/>
  <c r="X42" i="19"/>
  <c r="X25" i="19"/>
  <c r="X19" i="19"/>
  <c r="X36" i="19"/>
  <c r="Y3" i="19"/>
  <c r="Y7" i="19"/>
  <c r="Y41" i="19"/>
  <c r="Y2" i="19"/>
  <c r="Y6" i="19"/>
  <c r="Y40" i="19"/>
  <c r="Y8" i="19"/>
  <c r="Y4" i="19"/>
  <c r="Y38" i="19"/>
  <c r="Y9" i="19"/>
  <c r="Y5" i="19"/>
  <c r="Y10" i="19"/>
  <c r="Y27" i="19"/>
  <c r="X14" i="19"/>
  <c r="Z5" i="19"/>
  <c r="Z7" i="19"/>
  <c r="Z41" i="19"/>
  <c r="Z4" i="19"/>
  <c r="Z38" i="19"/>
  <c r="Z2" i="19"/>
  <c r="Z9" i="19"/>
  <c r="Z10" i="19"/>
  <c r="Z27" i="19"/>
  <c r="Z3" i="19"/>
  <c r="Z8" i="19"/>
  <c r="Z6" i="19"/>
  <c r="Z40" i="19"/>
  <c r="Y39" i="19"/>
  <c r="Y22" i="19"/>
  <c r="Y25" i="19"/>
  <c r="Y42" i="19"/>
  <c r="Y19" i="19"/>
  <c r="Y28" i="19"/>
  <c r="Y30" i="19"/>
  <c r="Y36" i="19"/>
  <c r="Y43" i="19"/>
  <c r="Y26" i="19"/>
  <c r="Y37" i="19"/>
  <c r="Y20" i="19"/>
  <c r="X45" i="19"/>
  <c r="X47" i="19"/>
  <c r="X48" i="19"/>
  <c r="X28" i="19"/>
  <c r="X30" i="19"/>
  <c r="X31" i="19"/>
  <c r="Y14" i="19"/>
  <c r="Y31" i="19"/>
  <c r="Z14" i="19"/>
  <c r="Z26" i="19"/>
  <c r="Z43" i="19"/>
  <c r="Z25" i="19"/>
  <c r="Z42" i="19"/>
  <c r="Z36" i="19"/>
  <c r="Z19" i="19"/>
  <c r="AA3" i="19"/>
  <c r="AA10" i="19"/>
  <c r="AA27" i="19"/>
  <c r="AA9" i="19"/>
  <c r="AA7" i="19"/>
  <c r="AA41" i="19"/>
  <c r="AA2" i="19"/>
  <c r="AA4" i="19"/>
  <c r="AA38" i="19"/>
  <c r="AA8" i="19"/>
  <c r="AA5" i="19"/>
  <c r="AA6" i="19"/>
  <c r="AA40" i="19"/>
  <c r="Y45" i="19"/>
  <c r="Y47" i="19"/>
  <c r="Y48" i="19"/>
  <c r="Z37" i="19"/>
  <c r="Z20" i="19"/>
  <c r="Z39" i="19"/>
  <c r="Z22" i="19"/>
  <c r="Z45" i="19"/>
  <c r="Z47" i="19"/>
  <c r="Z48" i="19"/>
  <c r="AA19" i="19"/>
  <c r="AA36" i="19"/>
  <c r="AA26" i="19"/>
  <c r="AA43" i="19"/>
  <c r="AA14" i="19"/>
  <c r="AA39" i="19"/>
  <c r="AA22" i="19"/>
  <c r="AA20" i="19"/>
  <c r="AA37" i="19"/>
  <c r="AA25" i="19"/>
  <c r="AA42" i="19"/>
  <c r="Z28" i="19"/>
  <c r="Z30" i="19"/>
  <c r="Z31" i="19"/>
  <c r="AA45" i="19"/>
  <c r="AA47" i="19"/>
  <c r="AA48" i="19"/>
  <c r="AA28" i="19"/>
  <c r="AA30" i="19"/>
  <c r="AA31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L13" authorId="0" shapeId="0" xr:uid="{8425198E-0343-4776-9B2D-257B1D986D23}">
      <text>
        <r>
          <rPr>
            <b/>
            <sz val="9"/>
            <color indexed="81"/>
            <rFont val="Tahoma"/>
            <family val="2"/>
          </rPr>
          <t>DATO DEL PLANMICC</t>
        </r>
      </text>
    </comment>
    <comment ref="L31" authorId="0" shapeId="0" xr:uid="{E0B58EA4-F81A-4E2D-9EEB-8A29BE77E79E}">
      <text>
        <r>
          <rPr>
            <b/>
            <sz val="9"/>
            <color indexed="81"/>
            <rFont val="Tahoma"/>
            <family val="2"/>
          </rPr>
          <t>DATO DEL PLANMICC</t>
        </r>
      </text>
    </comment>
    <comment ref="L48" authorId="0" shapeId="0" xr:uid="{D1B0E17B-D85A-4773-A8DB-29097FB7A295}">
      <text>
        <r>
          <rPr>
            <b/>
            <sz val="9"/>
            <color indexed="81"/>
            <rFont val="Tahoma"/>
            <family val="2"/>
          </rPr>
          <t>DATO DEL PLANMICC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L12" authorId="0" shapeId="0" xr:uid="{24E014AA-0F05-466B-A2E9-3E8D8203353B}">
      <text>
        <r>
          <rPr>
            <b/>
            <sz val="9"/>
            <color indexed="81"/>
            <rFont val="Tahoma"/>
            <family val="2"/>
          </rPr>
          <t>DATO DEL PLANMICC</t>
        </r>
      </text>
    </comment>
    <comment ref="L29" authorId="0" shapeId="0" xr:uid="{9CDD90AC-90E4-44D0-B48D-31B90B30B79B}">
      <text>
        <r>
          <rPr>
            <b/>
            <sz val="9"/>
            <color indexed="81"/>
            <rFont val="Tahoma"/>
            <family val="2"/>
          </rPr>
          <t>DATO DEL PLANMICC</t>
        </r>
      </text>
    </comment>
    <comment ref="L46" authorId="0" shapeId="0" xr:uid="{AF1B71AF-983D-4664-BDEE-8D1F08A1EF2E}">
      <text>
        <r>
          <rPr>
            <b/>
            <sz val="9"/>
            <color indexed="81"/>
            <rFont val="Tahoma"/>
            <family val="2"/>
          </rPr>
          <t>DATO DEL PLANMICC</t>
        </r>
      </text>
    </comment>
  </commentList>
</comments>
</file>

<file path=xl/sharedStrings.xml><?xml version="1.0" encoding="utf-8"?>
<sst xmlns="http://schemas.openxmlformats.org/spreadsheetml/2006/main" count="5197" uniqueCount="550">
  <si>
    <t>Uso inicial</t>
  </si>
  <si>
    <t>Uso final</t>
  </si>
  <si>
    <t>Tierras Forestales</t>
  </si>
  <si>
    <t>Tierra de Cultivo</t>
  </si>
  <si>
    <t>Pastizales</t>
  </si>
  <si>
    <t>Humedales</t>
  </si>
  <si>
    <t>Asentamientos</t>
  </si>
  <si>
    <t xml:space="preserve">Otras Tierras </t>
  </si>
  <si>
    <t>Tierras de Cultivo</t>
  </si>
  <si>
    <t>NE</t>
  </si>
  <si>
    <t>Otras Tierras</t>
  </si>
  <si>
    <t>NA</t>
  </si>
  <si>
    <t>tierras de Cultivo</t>
  </si>
  <si>
    <t>humedales</t>
  </si>
  <si>
    <t>Total</t>
  </si>
  <si>
    <t>Superficie de tierras convertidas en Tierras de cultivo</t>
  </si>
  <si>
    <t>Uso del suelo inicial</t>
  </si>
  <si>
    <t>Uso del suelo en el año del inventario</t>
  </si>
  <si>
    <t>B. Seco Andino</t>
  </si>
  <si>
    <t>Tierras de cultivo</t>
  </si>
  <si>
    <t>B. Seco Pluvioestacional</t>
  </si>
  <si>
    <t>B. Siempre verde andino Montano</t>
  </si>
  <si>
    <t>B. Siempre verde andino Pie montano</t>
  </si>
  <si>
    <t>B. Siempre verde andino de Ceja Andina</t>
  </si>
  <si>
    <t>B. Siempre verde de tierras bajas de la Amazonía</t>
  </si>
  <si>
    <t>B. Siempre verde de tierras bajas del Chocó</t>
  </si>
  <si>
    <t>Manglar</t>
  </si>
  <si>
    <t>Moretal</t>
  </si>
  <si>
    <t xml:space="preserve">Plantación forestal </t>
  </si>
  <si>
    <t>Otras tierras</t>
  </si>
  <si>
    <t>Superficie de tierras convertidas en Pastizales</t>
  </si>
  <si>
    <t>Superficie de tierras convertidas en Humedales</t>
  </si>
  <si>
    <t>Superficie de tierras convertidas en Asentamientos</t>
  </si>
  <si>
    <t>Superficie de tierras convertidas en Otras tierras</t>
  </si>
  <si>
    <t>Superficie de bosque</t>
  </si>
  <si>
    <t>Andino Protected</t>
  </si>
  <si>
    <t>Seco Pluvioestacional Protected</t>
  </si>
  <si>
    <t>Siempre verde andino Montano Protected</t>
  </si>
  <si>
    <t>Siempre verde andino Pie montano Protected</t>
  </si>
  <si>
    <t>Siempre verde andino de Ceja Andina Protected</t>
  </si>
  <si>
    <t>Siempre verde de tierras bajas de la Amazonía Protected</t>
  </si>
  <si>
    <t>Siempre verde de tierras bajas del Chocó Protected</t>
  </si>
  <si>
    <t>Mangrove Protected</t>
  </si>
  <si>
    <t>Moretal Protected</t>
  </si>
  <si>
    <t>Cobertura BAU (miles de ha)</t>
  </si>
  <si>
    <t>Cobertura condicional (miles de ha)</t>
  </si>
  <si>
    <t>Cobertura incondicional (miles de ha)</t>
  </si>
  <si>
    <t>Medida</t>
  </si>
  <si>
    <t>Tipo de bosque</t>
  </si>
  <si>
    <t>Aumento de cobertura (Ha)</t>
  </si>
  <si>
    <t xml:space="preserve">Tasa de deforestación </t>
  </si>
  <si>
    <t>Escenario</t>
  </si>
  <si>
    <t>1. PNRP</t>
  </si>
  <si>
    <t>No especifica</t>
  </si>
  <si>
    <t>Condicional</t>
  </si>
  <si>
    <t>2. DMCO</t>
  </si>
  <si>
    <t>3. Taita Imbaura</t>
  </si>
  <si>
    <t>Siempre verde andino de ceja andina</t>
  </si>
  <si>
    <t>Incondicional</t>
  </si>
  <si>
    <t>Siempre verde andino montano</t>
  </si>
  <si>
    <t>4. Bosques protectores</t>
  </si>
  <si>
    <t>Siempre verde tierras bajas de la amazonía</t>
  </si>
  <si>
    <t>Moretales</t>
  </si>
  <si>
    <t xml:space="preserve">Bosque Siempre Verde Andino Pie 
Montano </t>
  </si>
  <si>
    <t xml:space="preserve">Bosque Siempre Verde de Tierras 
Bajas del Chocó </t>
  </si>
  <si>
    <t>5. Socio Bosque</t>
  </si>
  <si>
    <t>BOSQUE SECO ANDINO</t>
  </si>
  <si>
    <t>BOSQUE SECO PLUVIESTACIONAL</t>
  </si>
  <si>
    <t>BOSQUE SIEMPRE VERDE ANDINO MONTANO</t>
  </si>
  <si>
    <t>BOSQUE SIEMPRE VERDE ANDINO PIE MONTANO</t>
  </si>
  <si>
    <t>BOSQUE SIEMPRE VERDE ANDINO DE CEJA ANDINA</t>
  </si>
  <si>
    <t>BOSQUE SIEMPRE VERDE TIERRAS BAJAS DE LA AMAZONIA</t>
  </si>
  <si>
    <t>BOSQUE SIEMPRE VERDE DE TIERRAS BAJAS DEL CHOCO</t>
  </si>
  <si>
    <t>MANGLAR</t>
  </si>
  <si>
    <t>6. WWF</t>
  </si>
  <si>
    <t>BOSQUE SIEMPRE VERDE DE TIERRAS BAJAS DE LA AMAZONÍA</t>
  </si>
  <si>
    <t>E5MEDAMA</t>
  </si>
  <si>
    <t>E5MEDPIE</t>
  </si>
  <si>
    <t>E5MEDCHO</t>
  </si>
  <si>
    <t>E5MEDAND</t>
  </si>
  <si>
    <t>E5MEDPLU</t>
  </si>
  <si>
    <t>E5MEDMON</t>
  </si>
  <si>
    <t>E5MEDCEJ</t>
  </si>
  <si>
    <t>E5MEDMAN</t>
  </si>
  <si>
    <t>E5MEDMOR</t>
  </si>
  <si>
    <t>E5MEDREST</t>
  </si>
  <si>
    <t xml:space="preserve">Definición </t>
  </si>
  <si>
    <t>Cambio medidas tierras bajas de la amazonía</t>
  </si>
  <si>
    <t>Cambio medidas tandino pie montano</t>
  </si>
  <si>
    <t>Cambio medidas tierras bajas del chocó</t>
  </si>
  <si>
    <t>Cambio medidas andino</t>
  </si>
  <si>
    <t>Cambio medidas pluviestacional</t>
  </si>
  <si>
    <t>Cambio medidas montano</t>
  </si>
  <si>
    <t>Cambio medidas ceja andiona</t>
  </si>
  <si>
    <t xml:space="preserve">Cambio medidas manglar </t>
  </si>
  <si>
    <t>Cambio medidas moretal</t>
  </si>
  <si>
    <t>Medida 1: Externa</t>
  </si>
  <si>
    <t>Cambio condicional (miles de ha)</t>
  </si>
  <si>
    <t>BAU</t>
  </si>
  <si>
    <t>INGEI</t>
  </si>
  <si>
    <t>Modelo</t>
  </si>
  <si>
    <t>Cambio incondicional (miles de ha)</t>
  </si>
  <si>
    <t>E5MEDCEJINC</t>
  </si>
  <si>
    <t>E5MEDMONINC</t>
  </si>
  <si>
    <t xml:space="preserve">Cambio medidas ceja andina </t>
  </si>
  <si>
    <t>Cobertura inicial</t>
  </si>
  <si>
    <t>Cobertura final</t>
  </si>
  <si>
    <t>Categoría de uso del suelo</t>
  </si>
  <si>
    <t>Área de tierra convertida (ha)</t>
  </si>
  <si>
    <t>Uso inicial de la tierra</t>
  </si>
  <si>
    <t>Uso de la tierra durante el año de reporte</t>
  </si>
  <si>
    <t>-</t>
  </si>
  <si>
    <t xml:space="preserve">% del total </t>
  </si>
  <si>
    <t>Otros usos</t>
  </si>
  <si>
    <t>Escenario BAU (ha)</t>
  </si>
  <si>
    <t>Escenario Condicional (ha)</t>
  </si>
  <si>
    <t>Escenario Incondicional (ha)</t>
  </si>
  <si>
    <t>Tierras forestales</t>
  </si>
  <si>
    <t>Cobertura</t>
  </si>
  <si>
    <t>EAR</t>
  </si>
  <si>
    <t>T5NPRAND</t>
  </si>
  <si>
    <t>T5NPRPLU</t>
  </si>
  <si>
    <t>T5NPRMON</t>
  </si>
  <si>
    <t>T5NPRPIE</t>
  </si>
  <si>
    <t>T5NPRCEJ</t>
  </si>
  <si>
    <t>T5NPRAMA</t>
  </si>
  <si>
    <t>T5NPRCHO</t>
  </si>
  <si>
    <t>T5NPRMAN</t>
  </si>
  <si>
    <t>T5NPRMOR</t>
  </si>
  <si>
    <t>Emisiones(miles de tonCO2e)</t>
  </si>
  <si>
    <t>Cropland a FOR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</si>
  <si>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</si>
  <si>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</si>
  <si>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</si>
  <si>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</si>
  <si>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</si>
  <si>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</si>
  <si>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</si>
  <si>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</si>
  <si>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</si>
  <si>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HUM a FOR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</si>
  <si>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</si>
  <si>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</si>
  <si>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</si>
  <si>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</si>
  <si>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</si>
  <si>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</si>
  <si>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</si>
  <si>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</si>
  <si>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</si>
  <si>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SET a FOR</t>
  </si>
  <si>
    <t>OTI a FOR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</si>
  <si>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</si>
  <si>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</si>
  <si>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</si>
  <si>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</si>
  <si>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</si>
  <si>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</si>
  <si>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</si>
  <si>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</si>
  <si>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</si>
  <si>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SUPCAMASEAND</t>
  </si>
  <si>
    <t>SUPCAMASEPLU</t>
  </si>
  <si>
    <t>SUPCAMASEMON</t>
  </si>
  <si>
    <t>SUPCAMASEPIE</t>
  </si>
  <si>
    <t>SUPCAMASECEJ</t>
  </si>
  <si>
    <t>SUPCAMASEAMA</t>
  </si>
  <si>
    <t>SUPCAMASECHO</t>
  </si>
  <si>
    <t>SUPCAMASEMAN</t>
  </si>
  <si>
    <t>SUPCAMASEMOR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</si>
  <si>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</si>
  <si>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</si>
  <si>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</si>
  <si>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</si>
  <si>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</si>
  <si>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</si>
  <si>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</si>
  <si>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</si>
  <si>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</si>
  <si>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Otros usos a Cropland (incluye cultivos y pasturas)</t>
  </si>
  <si>
    <t>SUPCAMHUMCRO</t>
  </si>
  <si>
    <t>SUPCAMASECRO</t>
  </si>
  <si>
    <t>SUPCAMOTICRO</t>
  </si>
  <si>
    <t>SUPCAMCROGRA</t>
  </si>
  <si>
    <t>FOR a WET</t>
  </si>
  <si>
    <t>Otros usos a Wetland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</si>
  <si>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</si>
  <si>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</si>
  <si>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</si>
  <si>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</si>
  <si>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</si>
  <si>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</si>
  <si>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</si>
  <si>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</si>
  <si>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</si>
  <si>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Cultivos (incluye pastizales)</t>
  </si>
  <si>
    <t>FOR a ASE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</si>
  <si>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</si>
  <si>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</si>
  <si>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</si>
  <si>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</si>
  <si>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</si>
  <si>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</si>
  <si>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</si>
  <si>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</si>
  <si>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</si>
  <si>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SUPCAMCROASE</t>
  </si>
  <si>
    <t>Otros usos a ASE</t>
  </si>
  <si>
    <t>FOR a OTI</t>
  </si>
  <si>
    <t>Otros usos a OTI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</si>
  <si>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</si>
  <si>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</si>
  <si>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</si>
  <si>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</si>
  <si>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</si>
  <si>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</si>
  <si>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</si>
  <si>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</si>
  <si>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</si>
  <si>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SUPCAMCROOTI</t>
  </si>
  <si>
    <t>Superficie ejemplo</t>
  </si>
  <si>
    <t>Deforestacion neta</t>
  </si>
  <si>
    <t>Valor anualizado de deforestación evitada</t>
  </si>
  <si>
    <t>%</t>
  </si>
  <si>
    <t>Total protegido</t>
  </si>
  <si>
    <t>Tottal sin proteger</t>
  </si>
  <si>
    <t>Pérdidas de área</t>
  </si>
  <si>
    <t>TOTAL FORESTAL</t>
  </si>
  <si>
    <t>TOTAL Tierras de cultivo</t>
  </si>
  <si>
    <t>Referencia</t>
  </si>
  <si>
    <t>Ecuador</t>
  </si>
  <si>
    <t xml:space="preserve">DATOS PARA CALIBRAR PROYECCIONES </t>
  </si>
  <si>
    <t>GRÁFICO UTCUTS-1</t>
  </si>
  <si>
    <t>TABLA UTCUTS - 1: Cobertura uso de suelos</t>
  </si>
  <si>
    <t>Uso de suelos [ha]</t>
  </si>
  <si>
    <t>ESPAC</t>
  </si>
  <si>
    <t>Montes y bosques [ha]</t>
  </si>
  <si>
    <t>Cultivos permanentes [ha]</t>
  </si>
  <si>
    <t>Cultivos transitorios y barbechos [ha]</t>
  </si>
  <si>
    <t>Descanso [ha]</t>
  </si>
  <si>
    <t>Otros usos [ha]</t>
  </si>
  <si>
    <t>Páramos [ha]</t>
  </si>
  <si>
    <t>Pastos cultivados [ha]</t>
  </si>
  <si>
    <t>Pastos permanentes [ha]</t>
  </si>
  <si>
    <t>Uso de suelos [Mha]</t>
  </si>
  <si>
    <t>Montes y bosques [Mha]</t>
  </si>
  <si>
    <t>Cultivos permanentes [Mha]</t>
  </si>
  <si>
    <t>Cultivos transitorios y barbechos [Mha]</t>
  </si>
  <si>
    <t>Descanso [Mha]</t>
  </si>
  <si>
    <t>Otros usos [Mha]</t>
  </si>
  <si>
    <t>Páramos [Mha]</t>
  </si>
  <si>
    <t>Pastos cultivados [Mha]</t>
  </si>
  <si>
    <t>Pastos permanentes [Mha]</t>
  </si>
  <si>
    <t>TOTAL COBERTURAS [Mha]</t>
  </si>
  <si>
    <t>DATOS ÁREAS PROTEGIDAS</t>
  </si>
  <si>
    <t>GRÁFICO UTCUTS-2</t>
  </si>
  <si>
    <t>TABLA UTCUTS - 2: Cobertura áreas protegidas</t>
  </si>
  <si>
    <t>Áreas protegidas [Mha]</t>
  </si>
  <si>
    <t>SNAP</t>
  </si>
  <si>
    <t>Galápagos [Mha]</t>
  </si>
  <si>
    <t>Bosques protegidos/Protected forest [Mha]</t>
  </si>
  <si>
    <t>Pradera protegida/Protected grassland [Mha]</t>
  </si>
  <si>
    <t>Manglares  [Mha]</t>
  </si>
  <si>
    <t>DATOS PARA MODELO OSEMOSYS</t>
  </si>
  <si>
    <t>DRIVERS</t>
  </si>
  <si>
    <t xml:space="preserve">TABLA UTCUTS - 3: Coberturas generales - MAG + MAATE </t>
  </si>
  <si>
    <t>Coberturas generales [ha]</t>
  </si>
  <si>
    <t>MAG+MAATE</t>
  </si>
  <si>
    <t>Bosque</t>
  </si>
  <si>
    <t>Bosque nativo [ha]</t>
  </si>
  <si>
    <t>Plantación forestal [ha]</t>
  </si>
  <si>
    <t>Tierra agropecuaria</t>
  </si>
  <si>
    <t>Cultivo anual [ha]</t>
  </si>
  <si>
    <t>Cultivo semipermanente [ha]</t>
  </si>
  <si>
    <t>Cultivo permanente [ha]</t>
  </si>
  <si>
    <t>Pastizal [ha]</t>
  </si>
  <si>
    <t>Mosaico agropecuario [ha]</t>
  </si>
  <si>
    <t>Vegetación arbustiva</t>
  </si>
  <si>
    <t>Vegetación arbustiva [ha]</t>
  </si>
  <si>
    <t>Vegetación herbácea [ha]</t>
  </si>
  <si>
    <t>Páramo [ha]</t>
  </si>
  <si>
    <t>Cuerpo de agua</t>
  </si>
  <si>
    <t>Cuerpo de agua natural [ha]</t>
  </si>
  <si>
    <t>Cuerpo de agua artificial [ha]</t>
  </si>
  <si>
    <t>Zona antrópica</t>
  </si>
  <si>
    <t>Área poblada [ha]</t>
  </si>
  <si>
    <t>Infraestructura [ha]</t>
  </si>
  <si>
    <t>Área sin cobertura vegetal [ha]</t>
  </si>
  <si>
    <t>Glaciar [ha]</t>
  </si>
  <si>
    <t>Sin información [ha]</t>
  </si>
  <si>
    <t>TOTAL COBERTURAS [ha]</t>
  </si>
  <si>
    <t>Coberturas generales [Mha]</t>
  </si>
  <si>
    <t>Leyendas usadas en INGEI 2018 (NIVEL I IPCC)</t>
  </si>
  <si>
    <t>Leyendas usadas por MAATE en los mapas interactivos y reportes de deforestacion (Nivel I IPCC)</t>
  </si>
  <si>
    <t>Niveles para OSEMOSYS</t>
  </si>
  <si>
    <t>Tasa de deforestación neta 2018 y 2019 con (-0.46%) a partir de 2020 con tasa de def. neta de -0.76% de acuerdo a información entregada por MAATE</t>
  </si>
  <si>
    <t>Bosque nativo con deforestacion neta [Mha]</t>
  </si>
  <si>
    <t>Se usa una tasa de deforestacion bruta de -0.75% para 2019 y a partir de 2020 se usa -0.78%, de acuerdo a tasas de deforestación emitidas por MAATE</t>
  </si>
  <si>
    <t>Bosque proyectado con def. bruta [Mha]</t>
  </si>
  <si>
    <t>Def. bruta anual [Mha]</t>
  </si>
  <si>
    <t>Bosque regenerado [Mha]</t>
  </si>
  <si>
    <t>Bosque nativo no protegido [Mha]</t>
  </si>
  <si>
    <t>Bosque nativo bajo régimen de proteccion legal [Mha]</t>
  </si>
  <si>
    <t>El sector silvicultura aporta en 1 % al PIB Nacional, entonces se proyecta que el sector crezca a un 1% del crecimiento del PIB</t>
  </si>
  <si>
    <t>Plantación forestal [Mha]</t>
  </si>
  <si>
    <t>Driver: la superficie destinada a cultivos crece con el PIB sectorial, se estima que el PIB Agricultura, silvicultura y pesca incide en un 34% en la expansion de suelo agricola</t>
  </si>
  <si>
    <t>Tierra de cultivo</t>
  </si>
  <si>
    <t>Cultivos [Mha]</t>
  </si>
  <si>
    <t>Flexible</t>
  </si>
  <si>
    <t>Pastura [Mha]</t>
  </si>
  <si>
    <t>Decrece con la tasa de crecimiento de cultivos y ganaderia</t>
  </si>
  <si>
    <t>Pastizales (grasslands)</t>
  </si>
  <si>
    <t>Vegetación arbustiva y herbácea (incluye páramo)</t>
  </si>
  <si>
    <t>Pastizales (grasslands)  [Mha]</t>
  </si>
  <si>
    <t>se mantiene con la tasa 2016-2018</t>
  </si>
  <si>
    <t>Humedal</t>
  </si>
  <si>
    <t>Cuerpo de agua/humedal</t>
  </si>
  <si>
    <t>Humedal [Mha]</t>
  </si>
  <si>
    <t>Asentamientos [Mha]</t>
  </si>
  <si>
    <t>Glaciares representan el 6% de la cobertura otras tierras y se estima que se reducen en 1 % anual hasta el 2050. El otro 94% de tierra sin cobertura vegetal se estima que aumentara debido a procesos erosivos en una tasa del  1.4% anual hasta 2050</t>
  </si>
  <si>
    <t>Otras tierras [Mha]</t>
  </si>
  <si>
    <t>Extraccion de Madera de áreas protegidas</t>
  </si>
  <si>
    <t xml:space="preserve"> MAATE/ INGEI</t>
  </si>
  <si>
    <t xml:space="preserve"> Bosque nativo bajo un regimen de protección legal (PSB, SNAP, Bosques Protectores) </t>
  </si>
  <si>
    <t>Extracción de Madera (m3.ha-1.año-1)</t>
  </si>
  <si>
    <t>Crece con la tasa de crecimiento de las plantaciones forestales</t>
  </si>
  <si>
    <t xml:space="preserve"> B. nativo</t>
  </si>
  <si>
    <t xml:space="preserve"> Plantaciones forestales  </t>
  </si>
  <si>
    <t>TOTAL MADERA EXTRAIDA [m3.ha-1.año-1]</t>
  </si>
  <si>
    <t>Extraccion de leña de áreas protegidas</t>
  </si>
  <si>
    <t>Balance Energético Nacional, 2020/ INGEI</t>
  </si>
  <si>
    <t>Extracción de Leña (m3.ha-1.año-1)</t>
  </si>
  <si>
    <t>Crece con la tasa de crecimiento de la poblacion</t>
  </si>
  <si>
    <t>TOTAL LEÑA EXTRAIDA [m3.ha-1.año-1]</t>
  </si>
  <si>
    <t xml:space="preserve">DATOS PARA EMISIONES </t>
  </si>
  <si>
    <t>% del total de has que cambian de cobertura</t>
  </si>
  <si>
    <t> </t>
  </si>
  <si>
    <t>Uso inicial del suelo</t>
  </si>
  <si>
    <t>TABLA UTCUTS - 4: Cambios de uso de suelos</t>
  </si>
  <si>
    <t>Superficie de tierras convertidas en tierras de cultivo [Mha]</t>
  </si>
  <si>
    <t>Datos 2010 al 2018 INGEI</t>
  </si>
  <si>
    <t>Bosque nativo</t>
  </si>
  <si>
    <t>Tierras de cultivo [Mha]</t>
  </si>
  <si>
    <t>Pastura</t>
  </si>
  <si>
    <t>Pastizal (grassland)</t>
  </si>
  <si>
    <t>Superficie de tierras convertidas en Pasturas [Mha]</t>
  </si>
  <si>
    <t>Pasturas [Mha]</t>
  </si>
  <si>
    <t>Superficie de tierras convertidas en pastizales [Mha]</t>
  </si>
  <si>
    <t>Pastizal (grassland)[Mha]</t>
  </si>
  <si>
    <t>Superficie de tierras convertidas en humedales [Mha]</t>
  </si>
  <si>
    <t>Humedales [Mha]</t>
  </si>
  <si>
    <t>Pasturas</t>
  </si>
  <si>
    <t>Superficie de tierras convertidas en asentamientos [Mha]</t>
  </si>
  <si>
    <t>Superficie de tierras convertidas en Plantaciones Forestales [Mha]</t>
  </si>
  <si>
    <t>Plantaciones Forestales [Mha]</t>
  </si>
  <si>
    <t>Superficie de tierras convertidas en otras tierras [Mha]</t>
  </si>
  <si>
    <t>Referencias Bibliográficas</t>
  </si>
  <si>
    <t>Ejemplo de como calcular los % de cambio entre cobertura</t>
  </si>
  <si>
    <t>CIFRAS OFICIALES - Información MAATE - Descarbonización, Fuente: INEC - ESPAC 2022-2021, Actualización: Mayo 2022</t>
  </si>
  <si>
    <t>CIFRAS OFICIALES - Reporte Sistema Nacional de Áreas Protegidas SNAP - Periodo 2021</t>
  </si>
  <si>
    <t>Cobertura: Pastizal</t>
  </si>
  <si>
    <t>CIFRAS PROYECTADAS - Información ELENA</t>
  </si>
  <si>
    <t>Delta 2018 (Superfcie Mha)</t>
  </si>
  <si>
    <t>% de Plantaciones forestales que cambia a otros usos</t>
  </si>
  <si>
    <t>CIFRAS OFICIALES - Información MAATE - Descarbonización, Comercio exterior de los principales productos agropecuarios, Fuente: Banco Central del Ecuador, Actualización: 2021</t>
  </si>
  <si>
    <t>CIFRAS OFICIALES - MAG+ MAATE, Cobertura y uso de la tierra, Folder: Uscuss, Datos enviados por Alejandra 10SEP2022</t>
  </si>
  <si>
    <t>CIFRAS OFICIALES - MAG Agrocalidad - Campañas de vacunación, Fuente: Sandra Barriga, Información recibida: 27SEP2022</t>
  </si>
  <si>
    <t>ESPAC - Publicaciones por año, Censos del INEC - Fecha de consulta: 09SEP2022 - Documentos; Archivos ESPAC</t>
  </si>
  <si>
    <t>Asentamiento</t>
  </si>
  <si>
    <t xml:space="preserve">INGEI </t>
  </si>
  <si>
    <t>Plantaciones Forestales</t>
  </si>
  <si>
    <t>Tierras de cultivo [k ha]</t>
  </si>
  <si>
    <t>TOTAL COBERTURAS [k ha]</t>
  </si>
  <si>
    <t>Superficie de tierras convertidas en Pasturas [k ha]</t>
  </si>
  <si>
    <t>Pasturas [k ha]</t>
  </si>
  <si>
    <t>Superficie de tierras convertidas en pastizales [k ha]</t>
  </si>
  <si>
    <t>Pastizal (grassland)[k ha]</t>
  </si>
  <si>
    <t>Superficie de tierras convertidas en humedales [k ha]</t>
  </si>
  <si>
    <t>Humedales [k ha]</t>
  </si>
  <si>
    <t>Superficie de tierras convertidas en asentamientos [k ha]</t>
  </si>
  <si>
    <t>Asentamientos [k ha]</t>
  </si>
  <si>
    <t>Superficie de tierras convertidas en Plantaciones Forestales [k ha]</t>
  </si>
  <si>
    <t>Plantaciones Forestales [k ha]</t>
  </si>
  <si>
    <t>Superficie de tierras convertidas en otras tierras [k ha]</t>
  </si>
  <si>
    <t>Otras tierras [k ha]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</si>
  <si>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</si>
  <si>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</si>
  <si>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</si>
  <si>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</si>
  <si>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</si>
  <si>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</si>
  <si>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</si>
  <si>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</si>
  <si>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</si>
  <si>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E5CAMCROHUM</t>
  </si>
  <si>
    <t>E5CAMCROGRA</t>
  </si>
  <si>
    <t>E5CAMCROASE</t>
  </si>
  <si>
    <t>E5CAMCROOTI</t>
  </si>
  <si>
    <t>E5CAMHUMCRO</t>
  </si>
  <si>
    <t>E5CAMHUMGRA</t>
  </si>
  <si>
    <t>E5CAMHUMASE</t>
  </si>
  <si>
    <t>E5CAMHUMOTI</t>
  </si>
  <si>
    <t>E5CAMOTICRO</t>
  </si>
  <si>
    <t>E5CAMOTIGRA</t>
  </si>
  <si>
    <t>E5CAMOTIHUM</t>
  </si>
  <si>
    <t>E5CAMOTIASE</t>
  </si>
  <si>
    <t>E5CAMGRACRO</t>
  </si>
  <si>
    <t>E5CAMASECRO</t>
  </si>
  <si>
    <t>E5CAMGRAHUM</t>
  </si>
  <si>
    <t>E5CAMGRAOTI</t>
  </si>
  <si>
    <t>cOBERTURAS Miles de ha</t>
  </si>
  <si>
    <t>SUPCAMCROHUM</t>
  </si>
  <si>
    <t>SUPCAMHUMGRA</t>
  </si>
  <si>
    <t>SUPCAMHUMASE</t>
  </si>
  <si>
    <t>SUPCAMHUMOTI</t>
  </si>
  <si>
    <t>SUPCAMOTIGRA</t>
  </si>
  <si>
    <t>SUPCAMOTIHUM</t>
  </si>
  <si>
    <t>SUPCAMOTIASE</t>
  </si>
  <si>
    <t>SUPCAMGRACRO</t>
  </si>
  <si>
    <t>SUPCAMGRAHUM</t>
  </si>
  <si>
    <t>SUPCAMGRAOTI</t>
  </si>
  <si>
    <t>FOR a PAS</t>
  </si>
  <si>
    <t>FOR a CROP</t>
  </si>
  <si>
    <t>Cultivos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</si>
  <si>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</si>
  <si>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</si>
  <si>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</si>
  <si>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</si>
  <si>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</si>
  <si>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</si>
  <si>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</si>
  <si>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</si>
  <si>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</si>
  <si>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</si>
  <si>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</si>
  <si>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</si>
  <si>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</si>
  <si>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Convertidas a cultivos</t>
  </si>
  <si>
    <t>Convertidas a otros usos</t>
  </si>
  <si>
    <t>Convertido a asentamientos</t>
  </si>
  <si>
    <t>Convertido a humedales</t>
  </si>
  <si>
    <t>Convertido a pastizales</t>
  </si>
  <si>
    <t>Convertidas a tierras forestales</t>
  </si>
  <si>
    <t>Emisiones</t>
  </si>
  <si>
    <t xml:space="preserve">PFO convertidas a pastizales </t>
  </si>
  <si>
    <t>emisiones</t>
  </si>
  <si>
    <t>Cober</t>
  </si>
  <si>
    <t>emisiones recalculadas</t>
  </si>
  <si>
    <t>Nuevos convenios (2026 - 2035)</t>
  </si>
  <si>
    <t>Hectáreas</t>
  </si>
  <si>
    <t>Estrato</t>
  </si>
  <si>
    <t>INGEI + Estimación externa</t>
  </si>
  <si>
    <t>% de diferencia</t>
  </si>
  <si>
    <t>Resultados INGEI (resumen)</t>
  </si>
  <si>
    <t>Resultados del modelo</t>
  </si>
  <si>
    <t>Emisiones humedales</t>
  </si>
  <si>
    <t>Coberturas humedales</t>
  </si>
  <si>
    <t>EAR humedales</t>
  </si>
  <si>
    <t>Emisiones PFO a HUM</t>
  </si>
  <si>
    <t>Cobertura PFO a HUM</t>
  </si>
  <si>
    <t>EAR PFO a HUM</t>
  </si>
  <si>
    <t>Emisiones PFO a OTI</t>
  </si>
  <si>
    <t>Cobertura PFO a OTI</t>
  </si>
  <si>
    <t>Emisiones PFO a GRA</t>
  </si>
  <si>
    <t>Cobertura PFO a GRA</t>
  </si>
  <si>
    <t>Totales netas</t>
  </si>
  <si>
    <t>Resultados INGEI (% diferencia)</t>
  </si>
  <si>
    <t>INCONDICIONAL</t>
  </si>
  <si>
    <t>DIFERENCIA ENTRE INCONDICIONAL Y TENDENCIAL</t>
  </si>
  <si>
    <t>DIFERENCIA ENTRE INCONDICIONAL Y TENDENCIAL [%]</t>
  </si>
  <si>
    <t>Year</t>
  </si>
  <si>
    <t>Annual Technology Emission</t>
  </si>
  <si>
    <t>Tendencial</t>
  </si>
  <si>
    <t>TENDENCIAL 4TA</t>
  </si>
  <si>
    <t>TENDENCIAL 5TA</t>
  </si>
  <si>
    <t>1 ndc - GCI - solo FE</t>
  </si>
  <si>
    <t>2 ndc</t>
  </si>
  <si>
    <t>total</t>
  </si>
  <si>
    <t>medidas:</t>
  </si>
  <si>
    <t>Emisiones [Gg CO2eq]</t>
  </si>
  <si>
    <t>CROP a FOR</t>
  </si>
  <si>
    <t>PAS a FOR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</si>
  <si>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</si>
  <si>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</si>
  <si>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</si>
  <si>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</si>
  <si>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</si>
  <si>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</si>
  <si>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</si>
  <si>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</si>
  <si>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</si>
  <si>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Según mi suma</t>
  </si>
  <si>
    <t>Suma INGEI</t>
  </si>
  <si>
    <t>ASE a FOR</t>
  </si>
  <si>
    <t>CROP a ASE</t>
  </si>
  <si>
    <t>PAS a ASE</t>
  </si>
  <si>
    <t>FOR a HUM</t>
  </si>
  <si>
    <t>PFO a HUM</t>
  </si>
  <si>
    <t>CROP a HUM</t>
  </si>
  <si>
    <t>GRA a HUM</t>
  </si>
  <si>
    <t>SUPCAMPFOHUM</t>
  </si>
  <si>
    <t>Iniciativas</t>
  </si>
  <si>
    <t>Tipo</t>
  </si>
  <si>
    <r>
      <t>POTENCIAL DE MITIGACIÓN (GgCO</t>
    </r>
    <r>
      <rPr>
        <b/>
        <vertAlign val="subscript"/>
        <sz val="11"/>
        <color theme="1"/>
        <rFont val="Calibri"/>
        <family val="2"/>
        <scheme val="minor"/>
      </rPr>
      <t>2-eq</t>
    </r>
    <r>
      <rPr>
        <b/>
        <sz val="11"/>
        <color theme="1"/>
        <rFont val="Calibri"/>
        <family val="2"/>
        <scheme val="minor"/>
      </rPr>
      <t>)
2026-2035</t>
    </r>
  </si>
  <si>
    <t>Ver pestaña: 3. Taita_Imbabura</t>
  </si>
  <si>
    <t>Ver pestaña_ 6. WWF_Proyecto_Selva</t>
  </si>
  <si>
    <t>Ver pestaña: 1.PNRP</t>
  </si>
  <si>
    <t>condicional</t>
  </si>
  <si>
    <t>Ver pestaña: 2.DMCO</t>
  </si>
  <si>
    <t>Ver pestaña: 4.Bosques_protectores</t>
  </si>
  <si>
    <t>Ver pestaña: 5.Socio_Bosque</t>
  </si>
  <si>
    <t>Toneladas</t>
  </si>
  <si>
    <t>Ceja andina</t>
  </si>
  <si>
    <t>Montano</t>
  </si>
  <si>
    <t>Amazonia</t>
  </si>
  <si>
    <t>Restauracion</t>
  </si>
  <si>
    <t>Pie montano</t>
  </si>
  <si>
    <t>Choco</t>
  </si>
  <si>
    <t>Seco andino</t>
  </si>
  <si>
    <t>PLU</t>
  </si>
  <si>
    <t>Ceja</t>
  </si>
  <si>
    <t xml:space="preserve">Tipo de bosque </t>
  </si>
  <si>
    <t>Hectareas</t>
  </si>
  <si>
    <t>Disminucion</t>
  </si>
  <si>
    <t>E5MEDAMAZ</t>
  </si>
  <si>
    <t>Cambio medidas amazonia</t>
  </si>
  <si>
    <t>Restauración</t>
  </si>
  <si>
    <t>CO2 (ton/total)</t>
  </si>
  <si>
    <t>Año</t>
  </si>
  <si>
    <t>Emision</t>
  </si>
  <si>
    <t>Taita Imbaura</t>
  </si>
  <si>
    <t>2025-2026</t>
  </si>
  <si>
    <t>Bosques protectores</t>
  </si>
  <si>
    <t>Pie Montano</t>
  </si>
  <si>
    <t>Pie Montano 2</t>
  </si>
  <si>
    <t>Andino montano</t>
  </si>
  <si>
    <t>Socio bosque</t>
  </si>
  <si>
    <t>WWF</t>
  </si>
  <si>
    <t>Amazonía</t>
  </si>
  <si>
    <t>MEDREST</t>
  </si>
  <si>
    <t>Total (ton CO2e)</t>
  </si>
  <si>
    <t>PAS a OTI</t>
  </si>
  <si>
    <t>PFO ASE</t>
  </si>
  <si>
    <t>PFO a GRA</t>
  </si>
  <si>
    <t>CROP a GRA</t>
  </si>
  <si>
    <t>HUM a GRA</t>
  </si>
  <si>
    <t>OTI a GRA</t>
  </si>
  <si>
    <t>Total INC</t>
  </si>
  <si>
    <t>Total WWF</t>
  </si>
  <si>
    <t>Total Taita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</si>
</sst>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0"/>
    <numFmt numFmtId="165" formatCode="_-* #,##0.00_-;\-* #,##0.00_-;_-* &quot;-&quot;??_-;_-@_-"/>
    <numFmt numFmtId="166" formatCode="#,##0.0000"/>
    <numFmt numFmtId="167" formatCode="#,##0.000"/>
    <numFmt numFmtId="168" formatCode="_(* #,##0.0_);_(* \(#,##0.0\);_(* &quot;-&quot;??_);_(@_)"/>
    <numFmt numFmtId="169" formatCode="_-* #,##0.000_-;\-* #,##0.000_-;_-* &quot;-&quot;??_-;_-@_-"/>
    <numFmt numFmtId="170" formatCode="0.0000"/>
    <numFmt numFmtId="171" formatCode="_-* #,##0.0_-;\-* #,##0.0_-;_-* &quot;-&quot;??_-;_-@_-"/>
    <numFmt numFmtId="172" formatCode="0.0%"/>
    <numFmt numFmtId="173" formatCode="0.000%"/>
    <numFmt numFmtId="174" formatCode="#,##0.00000"/>
    <numFmt numFmtId="175" formatCode="0.00000"/>
    <numFmt numFmtId="176" formatCode="0.000000"/>
    <numFmt numFmtId="177" formatCode="0.0000000"/>
    <numFmt numFmtId="178" formatCode="#,##0.000000"/>
    <numFmt numFmtId="179" formatCode="0.0000%"/>
    <numFmt numFmtId="180" formatCode="#,##0.0"/>
    <numFmt numFmtId="181" formatCode="0.0"/>
    <numFmt numFmtId="182" formatCode="_-* #,##0.0000_-;\-* #,##0.0000_-;_-* &quot;-&quot;??_-;_-@_-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</font>
    <font>
      <b/>
      <sz val="8"/>
      <color theme="0"/>
      <name val="Calibri"/>
      <family val="2"/>
    </font>
    <font>
      <sz val="8"/>
      <color theme="0"/>
      <name val="Calibri"/>
      <family val="2"/>
    </font>
    <font>
      <b/>
      <sz val="8"/>
      <name val="Calibri"/>
      <family val="2"/>
    </font>
    <font>
      <sz val="9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8"/>
      <color theme="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5B9BD5"/>
      <name val="Calibri"/>
      <family val="2"/>
      <scheme val="minor"/>
    </font>
    <font>
      <sz val="9"/>
      <color theme="1"/>
      <name val="Arial"/>
      <family val="2"/>
    </font>
    <font>
      <sz val="11"/>
      <color rgb="FFFFFFFF"/>
      <name val="Calibri"/>
      <family val="2"/>
      <scheme val="minor"/>
    </font>
    <font>
      <b/>
      <sz val="10"/>
      <color rgb="FF000000"/>
      <name val="Arial Narrow"/>
      <family val="2"/>
    </font>
    <font>
      <b/>
      <sz val="9"/>
      <name val="Arial Narrow"/>
      <family val="2"/>
    </font>
    <font>
      <sz val="11"/>
      <color rgb="FF444444"/>
      <name val="Calibri"/>
      <family val="2"/>
      <charset val="1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rgb="FFFF000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4E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9" tint="0.79998168889431442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rgb="FFE2EFD9"/>
      </patternFill>
    </fill>
    <fill>
      <patternFill patternType="solid">
        <fgColor rgb="FFFFFF00"/>
        <bgColor rgb="FFE2EFD9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DDEBF7"/>
        <bgColor indexed="64"/>
      </patternFill>
    </fill>
    <fill>
      <patternFill patternType="solid">
        <fgColor theme="9"/>
        <bgColor rgb="FFC5E0B3"/>
      </patternFill>
    </fill>
    <fill>
      <patternFill patternType="solid">
        <fgColor rgb="FF70AD47"/>
        <bgColor rgb="FFC5E0B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8EFEE"/>
        <bgColor indexed="64"/>
      </patternFill>
    </fill>
    <fill>
      <patternFill patternType="solid">
        <fgColor rgb="FFB9E0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</fills>
  <borders count="1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medium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165" fontId="1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0"/>
    <xf numFmtId="0" fontId="23" fillId="0" borderId="0"/>
    <xf numFmtId="0" fontId="19" fillId="0" borderId="0"/>
    <xf numFmtId="0" fontId="2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" fillId="0" borderId="0"/>
    <xf numFmtId="0" fontId="24" fillId="0" borderId="0" applyNumberFormat="0" applyFill="0" applyBorder="0" applyAlignment="0" applyProtection="0"/>
    <xf numFmtId="0" fontId="23" fillId="0" borderId="0"/>
    <xf numFmtId="0" fontId="1" fillId="0" borderId="0"/>
    <xf numFmtId="0" fontId="2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0" fontId="19" fillId="0" borderId="0"/>
  </cellStyleXfs>
  <cellXfs count="680">
    <xf numFmtId="0" fontId="0" fillId="0" borderId="0" xfId="0"/>
    <xf numFmtId="0" fontId="16" fillId="0" borderId="0" xfId="0" applyFont="1" applyAlignment="1">
      <alignment horizontal="center"/>
    </xf>
    <xf numFmtId="0" fontId="19" fillId="34" borderId="13" xfId="45" applyFill="1" applyBorder="1"/>
    <xf numFmtId="0" fontId="19" fillId="34" borderId="12" xfId="45" applyFill="1" applyBorder="1"/>
    <xf numFmtId="0" fontId="19" fillId="34" borderId="14" xfId="44" applyFill="1" applyBorder="1" applyAlignment="1">
      <alignment wrapText="1"/>
    </xf>
    <xf numFmtId="0" fontId="19" fillId="34" borderId="10" xfId="45" applyFill="1" applyBorder="1"/>
    <xf numFmtId="0" fontId="19" fillId="34" borderId="14" xfId="45" applyFill="1" applyBorder="1"/>
    <xf numFmtId="0" fontId="19" fillId="34" borderId="20" xfId="45" applyFill="1" applyBorder="1"/>
    <xf numFmtId="0" fontId="19" fillId="34" borderId="17" xfId="45" applyFill="1" applyBorder="1"/>
    <xf numFmtId="0" fontId="19" fillId="35" borderId="13" xfId="45" applyFill="1" applyBorder="1"/>
    <xf numFmtId="0" fontId="19" fillId="35" borderId="12" xfId="45" applyFill="1" applyBorder="1"/>
    <xf numFmtId="0" fontId="19" fillId="35" borderId="14" xfId="45" applyFill="1" applyBorder="1"/>
    <xf numFmtId="0" fontId="19" fillId="35" borderId="10" xfId="45" applyFill="1" applyBorder="1"/>
    <xf numFmtId="0" fontId="19" fillId="35" borderId="15" xfId="45" applyFill="1" applyBorder="1"/>
    <xf numFmtId="0" fontId="19" fillId="35" borderId="16" xfId="45" applyFill="1" applyBorder="1"/>
    <xf numFmtId="164" fontId="19" fillId="34" borderId="12" xfId="45" applyNumberFormat="1" applyFill="1" applyBorder="1"/>
    <xf numFmtId="164" fontId="19" fillId="34" borderId="10" xfId="45" applyNumberFormat="1" applyFill="1" applyBorder="1"/>
    <xf numFmtId="164" fontId="19" fillId="34" borderId="17" xfId="45" applyNumberFormat="1" applyFill="1" applyBorder="1"/>
    <xf numFmtId="164" fontId="19" fillId="35" borderId="12" xfId="45" applyNumberFormat="1" applyFill="1" applyBorder="1" applyAlignment="1">
      <alignment horizontal="right"/>
    </xf>
    <xf numFmtId="164" fontId="19" fillId="35" borderId="10" xfId="45" applyNumberFormat="1" applyFill="1" applyBorder="1"/>
    <xf numFmtId="164" fontId="19" fillId="35" borderId="16" xfId="45" applyNumberFormat="1" applyFill="1" applyBorder="1"/>
    <xf numFmtId="0" fontId="21" fillId="36" borderId="11" xfId="45" applyFont="1" applyFill="1" applyBorder="1" applyAlignment="1">
      <alignment horizontal="center"/>
    </xf>
    <xf numFmtId="0" fontId="16" fillId="36" borderId="19" xfId="0" applyFont="1" applyFill="1" applyBorder="1" applyAlignment="1">
      <alignment horizontal="center"/>
    </xf>
    <xf numFmtId="164" fontId="16" fillId="36" borderId="19" xfId="0" applyNumberFormat="1" applyFont="1" applyFill="1" applyBorder="1" applyAlignment="1">
      <alignment horizontal="center"/>
    </xf>
    <xf numFmtId="0" fontId="19" fillId="36" borderId="14" xfId="45" applyFill="1" applyBorder="1"/>
    <xf numFmtId="0" fontId="19" fillId="36" borderId="10" xfId="45" applyFill="1" applyBorder="1"/>
    <xf numFmtId="164" fontId="19" fillId="36" borderId="10" xfId="45" applyNumberFormat="1" applyFill="1" applyBorder="1"/>
    <xf numFmtId="0" fontId="0" fillId="37" borderId="14" xfId="0" applyFill="1" applyBorder="1"/>
    <xf numFmtId="0" fontId="0" fillId="37" borderId="15" xfId="0" applyFill="1" applyBorder="1"/>
    <xf numFmtId="0" fontId="0" fillId="37" borderId="13" xfId="0" applyFill="1" applyBorder="1"/>
    <xf numFmtId="164" fontId="19" fillId="34" borderId="24" xfId="45" applyNumberFormat="1" applyFill="1" applyBorder="1"/>
    <xf numFmtId="164" fontId="19" fillId="34" borderId="25" xfId="45" applyNumberFormat="1" applyFill="1" applyBorder="1"/>
    <xf numFmtId="164" fontId="19" fillId="34" borderId="26" xfId="45" applyNumberFormat="1" applyFill="1" applyBorder="1"/>
    <xf numFmtId="164" fontId="19" fillId="35" borderId="24" xfId="45" applyNumberFormat="1" applyFill="1" applyBorder="1" applyAlignment="1">
      <alignment horizontal="right"/>
    </xf>
    <xf numFmtId="164" fontId="19" fillId="35" borderId="25" xfId="45" applyNumberFormat="1" applyFill="1" applyBorder="1"/>
    <xf numFmtId="164" fontId="19" fillId="36" borderId="25" xfId="45" applyNumberFormat="1" applyFill="1" applyBorder="1"/>
    <xf numFmtId="164" fontId="19" fillId="35" borderId="27" xfId="45" applyNumberFormat="1" applyFill="1" applyBorder="1"/>
    <xf numFmtId="0" fontId="0" fillId="37" borderId="10" xfId="0" applyFill="1" applyBorder="1"/>
    <xf numFmtId="0" fontId="16" fillId="37" borderId="17" xfId="0" applyFont="1" applyFill="1" applyBorder="1" applyAlignment="1">
      <alignment horizontal="center"/>
    </xf>
    <xf numFmtId="0" fontId="0" fillId="37" borderId="17" xfId="0" applyFill="1" applyBorder="1"/>
    <xf numFmtId="0" fontId="0" fillId="37" borderId="12" xfId="0" applyFill="1" applyBorder="1"/>
    <xf numFmtId="0" fontId="0" fillId="37" borderId="21" xfId="0" applyFill="1" applyBorder="1"/>
    <xf numFmtId="0" fontId="0" fillId="37" borderId="28" xfId="0" applyFill="1" applyBorder="1"/>
    <xf numFmtId="0" fontId="0" fillId="37" borderId="16" xfId="0" applyFill="1" applyBorder="1"/>
    <xf numFmtId="0" fontId="0" fillId="37" borderId="29" xfId="0" applyFill="1" applyBorder="1"/>
    <xf numFmtId="0" fontId="0" fillId="37" borderId="30" xfId="0" applyFill="1" applyBorder="1"/>
    <xf numFmtId="0" fontId="0" fillId="37" borderId="31" xfId="0" applyFill="1" applyBorder="1"/>
    <xf numFmtId="2" fontId="0" fillId="37" borderId="11" xfId="0" applyNumberFormat="1" applyFill="1" applyBorder="1" applyAlignment="1">
      <alignment horizontal="center"/>
    </xf>
    <xf numFmtId="2" fontId="0" fillId="37" borderId="30" xfId="0" applyNumberFormat="1" applyFill="1" applyBorder="1" applyAlignment="1">
      <alignment horizontal="center"/>
    </xf>
    <xf numFmtId="165" fontId="27" fillId="40" borderId="18" xfId="43" applyNumberFormat="1" applyFont="1" applyFill="1" applyBorder="1" applyAlignment="1">
      <alignment vertical="center"/>
    </xf>
    <xf numFmtId="0" fontId="27" fillId="40" borderId="18" xfId="43" applyFont="1" applyFill="1" applyBorder="1" applyAlignment="1">
      <alignment vertical="center"/>
    </xf>
    <xf numFmtId="0" fontId="27" fillId="40" borderId="18" xfId="43" applyFont="1" applyFill="1" applyBorder="1" applyAlignment="1">
      <alignment horizontal="center" vertical="center"/>
    </xf>
    <xf numFmtId="0" fontId="27" fillId="40" borderId="18" xfId="43" applyFont="1" applyFill="1" applyBorder="1" applyAlignment="1">
      <alignment horizontal="center" vertical="center" wrapText="1"/>
    </xf>
    <xf numFmtId="0" fontId="26" fillId="33" borderId="18" xfId="44" applyFont="1" applyFill="1" applyBorder="1" applyAlignment="1">
      <alignment vertical="center" wrapText="1"/>
    </xf>
    <xf numFmtId="0" fontId="26" fillId="33" borderId="18" xfId="43" applyFont="1" applyFill="1" applyBorder="1" applyAlignment="1">
      <alignment horizontal="center" vertical="center" wrapText="1"/>
    </xf>
    <xf numFmtId="165" fontId="26" fillId="33" borderId="18" xfId="43" applyNumberFormat="1" applyFont="1" applyFill="1" applyBorder="1" applyAlignment="1">
      <alignment vertical="center" wrapText="1"/>
    </xf>
    <xf numFmtId="0" fontId="26" fillId="33" borderId="18" xfId="43" applyFont="1" applyFill="1" applyBorder="1" applyAlignment="1">
      <alignment vertical="center"/>
    </xf>
    <xf numFmtId="0" fontId="29" fillId="38" borderId="18" xfId="43" applyFont="1" applyFill="1" applyBorder="1" applyAlignment="1">
      <alignment vertical="center"/>
    </xf>
    <xf numFmtId="0" fontId="26" fillId="38" borderId="18" xfId="43" applyFont="1" applyFill="1" applyBorder="1" applyAlignment="1">
      <alignment horizontal="center" vertical="center" wrapText="1"/>
    </xf>
    <xf numFmtId="165" fontId="29" fillId="38" borderId="18" xfId="43" applyNumberFormat="1" applyFont="1" applyFill="1" applyBorder="1" applyAlignment="1">
      <alignment vertical="center"/>
    </xf>
    <xf numFmtId="4" fontId="26" fillId="33" borderId="18" xfId="43" applyNumberFormat="1" applyFont="1" applyFill="1" applyBorder="1" applyAlignment="1">
      <alignment vertical="center" wrapText="1"/>
    </xf>
    <xf numFmtId="4" fontId="29" fillId="38" borderId="18" xfId="43" applyNumberFormat="1" applyFont="1" applyFill="1" applyBorder="1" applyAlignment="1">
      <alignment vertical="center"/>
    </xf>
    <xf numFmtId="0" fontId="28" fillId="40" borderId="18" xfId="43" applyFont="1" applyFill="1" applyBorder="1" applyAlignment="1">
      <alignment vertical="center" wrapText="1"/>
    </xf>
    <xf numFmtId="166" fontId="26" fillId="33" borderId="18" xfId="43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0" fillId="35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" fontId="0" fillId="35" borderId="0" xfId="0" applyNumberForma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9" fontId="0" fillId="0" borderId="0" xfId="68" applyFont="1" applyAlignment="1">
      <alignment horizontal="center"/>
    </xf>
    <xf numFmtId="0" fontId="31" fillId="0" borderId="0" xfId="0" applyFont="1"/>
    <xf numFmtId="0" fontId="16" fillId="42" borderId="0" xfId="0" applyFont="1" applyFill="1"/>
    <xf numFmtId="168" fontId="0" fillId="0" borderId="0" xfId="0" applyNumberFormat="1" applyAlignment="1">
      <alignment horizontal="center"/>
    </xf>
    <xf numFmtId="166" fontId="0" fillId="0" borderId="0" xfId="0" applyNumberFormat="1"/>
    <xf numFmtId="165" fontId="26" fillId="33" borderId="18" xfId="43" applyNumberFormat="1" applyFont="1" applyFill="1" applyBorder="1" applyAlignment="1">
      <alignment horizontal="center" vertical="center" wrapText="1"/>
    </xf>
    <xf numFmtId="169" fontId="26" fillId="33" borderId="18" xfId="43" applyNumberFormat="1" applyFont="1" applyFill="1" applyBorder="1" applyAlignment="1">
      <alignment horizontal="center" vertical="center" wrapText="1"/>
    </xf>
    <xf numFmtId="0" fontId="32" fillId="33" borderId="18" xfId="44" applyFont="1" applyFill="1" applyBorder="1" applyAlignment="1">
      <alignment vertical="center" wrapText="1"/>
    </xf>
    <xf numFmtId="0" fontId="33" fillId="33" borderId="18" xfId="43" applyFont="1" applyFill="1" applyBorder="1" applyAlignment="1">
      <alignment horizontal="center" vertical="center" wrapText="1"/>
    </xf>
    <xf numFmtId="0" fontId="33" fillId="33" borderId="18" xfId="43" applyFont="1" applyFill="1" applyBorder="1" applyAlignment="1">
      <alignment vertical="center"/>
    </xf>
    <xf numFmtId="4" fontId="33" fillId="33" borderId="18" xfId="43" applyNumberFormat="1" applyFont="1" applyFill="1" applyBorder="1" applyAlignment="1">
      <alignment vertical="center" wrapText="1"/>
    </xf>
    <xf numFmtId="165" fontId="33" fillId="33" borderId="18" xfId="43" applyNumberFormat="1" applyFont="1" applyFill="1" applyBorder="1" applyAlignment="1">
      <alignment horizontal="center" vertical="center" wrapText="1"/>
    </xf>
    <xf numFmtId="169" fontId="33" fillId="33" borderId="18" xfId="43" applyNumberFormat="1" applyFont="1" applyFill="1" applyBorder="1" applyAlignment="1">
      <alignment horizontal="center" vertical="center" wrapText="1"/>
    </xf>
    <xf numFmtId="0" fontId="34" fillId="43" borderId="17" xfId="0" applyFont="1" applyFill="1" applyBorder="1" applyAlignment="1">
      <alignment horizontal="center" vertical="center"/>
    </xf>
    <xf numFmtId="0" fontId="34" fillId="43" borderId="17" xfId="0" applyFont="1" applyFill="1" applyBorder="1" applyAlignment="1">
      <alignment horizontal="center" vertical="center" wrapText="1"/>
    </xf>
    <xf numFmtId="0" fontId="35" fillId="44" borderId="17" xfId="0" applyFont="1" applyFill="1" applyBorder="1" applyAlignment="1">
      <alignment horizontal="center"/>
    </xf>
    <xf numFmtId="0" fontId="34" fillId="43" borderId="10" xfId="0" applyFont="1" applyFill="1" applyBorder="1" applyAlignment="1">
      <alignment horizontal="center"/>
    </xf>
    <xf numFmtId="0" fontId="34" fillId="44" borderId="10" xfId="0" applyFont="1" applyFill="1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36" fillId="0" borderId="10" xfId="0" applyFont="1" applyBorder="1"/>
    <xf numFmtId="0" fontId="37" fillId="0" borderId="10" xfId="0" applyFont="1" applyBorder="1" applyAlignment="1">
      <alignment horizontal="right"/>
    </xf>
    <xf numFmtId="0" fontId="38" fillId="0" borderId="10" xfId="0" applyFont="1" applyBorder="1"/>
    <xf numFmtId="0" fontId="36" fillId="0" borderId="10" xfId="0" applyFont="1" applyBorder="1" applyAlignment="1">
      <alignment horizontal="left" wrapText="1"/>
    </xf>
    <xf numFmtId="4" fontId="37" fillId="0" borderId="10" xfId="0" applyNumberFormat="1" applyFont="1" applyBorder="1" applyAlignment="1">
      <alignment horizontal="right"/>
    </xf>
    <xf numFmtId="4" fontId="38" fillId="0" borderId="10" xfId="0" applyNumberFormat="1" applyFont="1" applyBorder="1"/>
    <xf numFmtId="4" fontId="20" fillId="0" borderId="10" xfId="0" applyNumberFormat="1" applyFont="1" applyBorder="1" applyAlignment="1">
      <alignment horizontal="right"/>
    </xf>
    <xf numFmtId="4" fontId="37" fillId="0" borderId="10" xfId="0" applyNumberFormat="1" applyFont="1" applyBorder="1"/>
    <xf numFmtId="0" fontId="20" fillId="0" borderId="10" xfId="0" applyFont="1" applyBorder="1" applyAlignment="1">
      <alignment horizontal="right"/>
    </xf>
    <xf numFmtId="0" fontId="37" fillId="0" borderId="10" xfId="0" applyFont="1" applyBorder="1"/>
    <xf numFmtId="0" fontId="39" fillId="0" borderId="10" xfId="0" applyFont="1" applyBorder="1" applyAlignment="1">
      <alignment horizontal="right"/>
    </xf>
    <xf numFmtId="0" fontId="19" fillId="0" borderId="23" xfId="0" applyFont="1" applyBorder="1" applyAlignment="1">
      <alignment horizontal="left"/>
    </xf>
    <xf numFmtId="0" fontId="40" fillId="40" borderId="18" xfId="43" applyFont="1" applyFill="1" applyBorder="1" applyAlignment="1">
      <alignment vertical="center" wrapText="1"/>
    </xf>
    <xf numFmtId="0" fontId="26" fillId="33" borderId="34" xfId="44" applyFont="1" applyFill="1" applyBorder="1" applyAlignment="1">
      <alignment vertical="center" wrapText="1"/>
    </xf>
    <xf numFmtId="170" fontId="0" fillId="0" borderId="0" xfId="0" applyNumberFormat="1" applyAlignment="1">
      <alignment horizontal="center" vertical="center"/>
    </xf>
    <xf numFmtId="0" fontId="33" fillId="33" borderId="0" xfId="43" applyFont="1" applyFill="1" applyAlignment="1">
      <alignment vertical="center"/>
    </xf>
    <xf numFmtId="0" fontId="33" fillId="33" borderId="0" xfId="43" applyFont="1" applyFill="1" applyAlignment="1">
      <alignment horizontal="center" vertical="center" wrapText="1"/>
    </xf>
    <xf numFmtId="4" fontId="26" fillId="33" borderId="0" xfId="43" applyNumberFormat="1" applyFont="1" applyFill="1" applyAlignment="1">
      <alignment vertical="center" wrapText="1"/>
    </xf>
    <xf numFmtId="165" fontId="33" fillId="33" borderId="0" xfId="43" applyNumberFormat="1" applyFont="1" applyFill="1" applyAlignment="1">
      <alignment horizontal="center" vertical="center" wrapText="1"/>
    </xf>
    <xf numFmtId="4" fontId="33" fillId="33" borderId="0" xfId="43" applyNumberFormat="1" applyFont="1" applyFill="1" applyAlignment="1">
      <alignment vertical="center" wrapText="1"/>
    </xf>
    <xf numFmtId="169" fontId="33" fillId="33" borderId="0" xfId="43" applyNumberFormat="1" applyFont="1" applyFill="1" applyAlignment="1">
      <alignment horizontal="center" vertical="center" wrapText="1"/>
    </xf>
    <xf numFmtId="0" fontId="41" fillId="0" borderId="0" xfId="0" applyFont="1"/>
    <xf numFmtId="0" fontId="42" fillId="33" borderId="18" xfId="44" applyFont="1" applyFill="1" applyBorder="1" applyAlignment="1">
      <alignment vertical="center" wrapText="1"/>
    </xf>
    <xf numFmtId="0" fontId="43" fillId="33" borderId="0" xfId="44" applyFont="1" applyFill="1" applyAlignment="1">
      <alignment vertical="center" wrapText="1"/>
    </xf>
    <xf numFmtId="170" fontId="16" fillId="0" borderId="0" xfId="0" applyNumberFormat="1" applyFont="1" applyAlignment="1">
      <alignment horizontal="center" vertical="center"/>
    </xf>
    <xf numFmtId="0" fontId="42" fillId="33" borderId="0" xfId="44" applyFont="1" applyFill="1" applyAlignment="1">
      <alignment vertical="center" wrapText="1"/>
    </xf>
    <xf numFmtId="0" fontId="0" fillId="45" borderId="35" xfId="0" applyFill="1" applyBorder="1"/>
    <xf numFmtId="0" fontId="0" fillId="45" borderId="10" xfId="0" applyFill="1" applyBorder="1"/>
    <xf numFmtId="170" fontId="0" fillId="0" borderId="0" xfId="0" applyNumberFormat="1" applyAlignment="1">
      <alignment horizontal="center"/>
    </xf>
    <xf numFmtId="170" fontId="0" fillId="0" borderId="0" xfId="0" applyNumberFormat="1"/>
    <xf numFmtId="0" fontId="0" fillId="46" borderId="14" xfId="0" applyFill="1" applyBorder="1"/>
    <xf numFmtId="0" fontId="0" fillId="37" borderId="20" xfId="0" applyFill="1" applyBorder="1"/>
    <xf numFmtId="0" fontId="42" fillId="47" borderId="18" xfId="44" applyFont="1" applyFill="1" applyBorder="1" applyAlignment="1">
      <alignment vertical="center" wrapText="1"/>
    </xf>
    <xf numFmtId="164" fontId="0" fillId="47" borderId="0" xfId="0" applyNumberFormat="1" applyFill="1" applyAlignment="1">
      <alignment horizontal="center" vertical="center"/>
    </xf>
    <xf numFmtId="0" fontId="0" fillId="47" borderId="0" xfId="0" applyFill="1"/>
    <xf numFmtId="0" fontId="0" fillId="48" borderId="0" xfId="0" applyFill="1"/>
    <xf numFmtId="1" fontId="0" fillId="0" borderId="0" xfId="0" applyNumberFormat="1" applyAlignment="1">
      <alignment horizontal="center" wrapText="1"/>
    </xf>
    <xf numFmtId="0" fontId="0" fillId="35" borderId="0" xfId="0" applyFill="1" applyAlignment="1">
      <alignment horizontal="center"/>
    </xf>
    <xf numFmtId="4" fontId="0" fillId="48" borderId="0" xfId="0" applyNumberFormat="1" applyFill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wrapText="1"/>
    </xf>
    <xf numFmtId="4" fontId="0" fillId="0" borderId="0" xfId="0" applyNumberFormat="1"/>
    <xf numFmtId="3" fontId="0" fillId="48" borderId="0" xfId="0" applyNumberFormat="1" applyFill="1"/>
    <xf numFmtId="0" fontId="0" fillId="34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0" fontId="0" fillId="34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2" fontId="0" fillId="0" borderId="41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3" fontId="25" fillId="37" borderId="11" xfId="0" applyNumberFormat="1" applyFont="1" applyFill="1" applyBorder="1" applyAlignment="1">
      <alignment horizontal="center" vertical="center" wrapText="1"/>
    </xf>
    <xf numFmtId="3" fontId="25" fillId="37" borderId="30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18" fillId="0" borderId="14" xfId="0" applyNumberFormat="1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25" fillId="0" borderId="10" xfId="0" applyNumberFormat="1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/>
    </xf>
    <xf numFmtId="4" fontId="0" fillId="41" borderId="10" xfId="0" applyNumberFormat="1" applyFill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3" fontId="25" fillId="37" borderId="10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0" fontId="45" fillId="0" borderId="0" xfId="0" applyFont="1" applyAlignment="1">
      <alignment horizontal="center"/>
    </xf>
    <xf numFmtId="10" fontId="0" fillId="0" borderId="0" xfId="68" applyNumberFormat="1" applyFont="1"/>
    <xf numFmtId="9" fontId="16" fillId="41" borderId="0" xfId="68" applyFont="1" applyFill="1" applyAlignment="1">
      <alignment horizontal="center"/>
    </xf>
    <xf numFmtId="10" fontId="26" fillId="41" borderId="18" xfId="68" applyNumberFormat="1" applyFont="1" applyFill="1" applyBorder="1" applyAlignment="1">
      <alignment horizontal="center" vertical="center" wrapText="1"/>
    </xf>
    <xf numFmtId="171" fontId="16" fillId="49" borderId="0" xfId="0" applyNumberFormat="1" applyFont="1" applyFill="1" applyAlignment="1">
      <alignment horizontal="center"/>
    </xf>
    <xf numFmtId="165" fontId="26" fillId="37" borderId="18" xfId="43" applyNumberFormat="1" applyFont="1" applyFill="1" applyBorder="1" applyAlignment="1">
      <alignment horizontal="center" vertical="center" wrapText="1"/>
    </xf>
    <xf numFmtId="0" fontId="26" fillId="50" borderId="18" xfId="44" applyFont="1" applyFill="1" applyBorder="1" applyAlignment="1">
      <alignment vertical="center" wrapText="1"/>
    </xf>
    <xf numFmtId="0" fontId="26" fillId="50" borderId="18" xfId="43" applyFont="1" applyFill="1" applyBorder="1" applyAlignment="1">
      <alignment horizontal="center" vertical="center" wrapText="1"/>
    </xf>
    <xf numFmtId="165" fontId="26" fillId="50" borderId="18" xfId="43" applyNumberFormat="1" applyFont="1" applyFill="1" applyBorder="1" applyAlignment="1">
      <alignment horizontal="center" vertical="center" wrapText="1"/>
    </xf>
    <xf numFmtId="0" fontId="26" fillId="36" borderId="18" xfId="43" applyFont="1" applyFill="1" applyBorder="1" applyAlignment="1">
      <alignment vertical="center"/>
    </xf>
    <xf numFmtId="0" fontId="26" fillId="36" borderId="18" xfId="43" applyFont="1" applyFill="1" applyBorder="1" applyAlignment="1">
      <alignment horizontal="center" vertical="center" wrapText="1"/>
    </xf>
    <xf numFmtId="165" fontId="26" fillId="36" borderId="18" xfId="43" applyNumberFormat="1" applyFont="1" applyFill="1" applyBorder="1" applyAlignment="1">
      <alignment horizontal="center" vertical="center" wrapText="1"/>
    </xf>
    <xf numFmtId="165" fontId="26" fillId="51" borderId="18" xfId="43" applyNumberFormat="1" applyFont="1" applyFill="1" applyBorder="1" applyAlignment="1">
      <alignment horizontal="center" vertical="center" wrapText="1"/>
    </xf>
    <xf numFmtId="0" fontId="32" fillId="50" borderId="18" xfId="44" applyFont="1" applyFill="1" applyBorder="1" applyAlignment="1">
      <alignment vertical="center" wrapText="1"/>
    </xf>
    <xf numFmtId="0" fontId="0" fillId="52" borderId="0" xfId="0" applyFill="1"/>
    <xf numFmtId="0" fontId="0" fillId="52" borderId="0" xfId="0" applyFill="1" applyAlignment="1">
      <alignment wrapText="1"/>
    </xf>
    <xf numFmtId="0" fontId="26" fillId="41" borderId="18" xfId="44" applyFont="1" applyFill="1" applyBorder="1" applyAlignment="1">
      <alignment vertical="center" wrapText="1"/>
    </xf>
    <xf numFmtId="165" fontId="29" fillId="51" borderId="18" xfId="43" applyNumberFormat="1" applyFont="1" applyFill="1" applyBorder="1" applyAlignment="1">
      <alignment horizontal="center" vertical="center" wrapText="1"/>
    </xf>
    <xf numFmtId="165" fontId="29" fillId="36" borderId="18" xfId="43" applyNumberFormat="1" applyFont="1" applyFill="1" applyBorder="1" applyAlignment="1">
      <alignment horizontal="center" vertical="center" wrapText="1"/>
    </xf>
    <xf numFmtId="0" fontId="32" fillId="41" borderId="18" xfId="44" applyFont="1" applyFill="1" applyBorder="1" applyAlignment="1">
      <alignment vertical="center" wrapText="1"/>
    </xf>
    <xf numFmtId="3" fontId="25" fillId="0" borderId="17" xfId="0" applyNumberFormat="1" applyFont="1" applyBorder="1" applyAlignment="1">
      <alignment horizontal="center" vertical="center" wrapText="1"/>
    </xf>
    <xf numFmtId="3" fontId="0" fillId="0" borderId="17" xfId="0" applyNumberFormat="1" applyBorder="1" applyAlignment="1">
      <alignment horizontal="center"/>
    </xf>
    <xf numFmtId="3" fontId="0" fillId="0" borderId="10" xfId="0" applyNumberFormat="1" applyBorder="1" applyAlignment="1">
      <alignment vertical="center"/>
    </xf>
    <xf numFmtId="3" fontId="16" fillId="0" borderId="10" xfId="0" applyNumberFormat="1" applyFont="1" applyBorder="1" applyAlignment="1">
      <alignment horizontal="center" vertical="center"/>
    </xf>
    <xf numFmtId="3" fontId="25" fillId="0" borderId="25" xfId="0" applyNumberFormat="1" applyFont="1" applyBorder="1" applyAlignment="1">
      <alignment horizontal="center" vertical="center" wrapText="1"/>
    </xf>
    <xf numFmtId="3" fontId="0" fillId="0" borderId="17" xfId="0" applyNumberFormat="1" applyBorder="1" applyAlignment="1">
      <alignment horizontal="center" vertical="center" wrapText="1"/>
    </xf>
    <xf numFmtId="3" fontId="0" fillId="0" borderId="35" xfId="0" applyNumberFormat="1" applyBorder="1" applyAlignment="1">
      <alignment horizontal="center"/>
    </xf>
    <xf numFmtId="4" fontId="0" fillId="41" borderId="35" xfId="0" applyNumberFormat="1" applyFill="1" applyBorder="1" applyAlignment="1">
      <alignment horizontal="center"/>
    </xf>
    <xf numFmtId="4" fontId="0" fillId="0" borderId="35" xfId="0" applyNumberFormat="1" applyBorder="1" applyAlignment="1">
      <alignment horizontal="center"/>
    </xf>
    <xf numFmtId="4" fontId="0" fillId="0" borderId="35" xfId="0" applyNumberFormat="1" applyBorder="1" applyAlignment="1">
      <alignment horizontal="center" vertical="center"/>
    </xf>
    <xf numFmtId="3" fontId="18" fillId="0" borderId="46" xfId="0" applyNumberFormat="1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/>
    </xf>
    <xf numFmtId="0" fontId="16" fillId="0" borderId="37" xfId="0" applyFont="1" applyBorder="1" applyAlignment="1">
      <alignment horizontal="center" wrapText="1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33" fillId="33" borderId="47" xfId="43" applyFont="1" applyFill="1" applyBorder="1" applyAlignment="1">
      <alignment horizontal="center" vertical="center" wrapText="1"/>
    </xf>
    <xf numFmtId="165" fontId="33" fillId="33" borderId="48" xfId="43" applyNumberFormat="1" applyFont="1" applyFill="1" applyBorder="1" applyAlignment="1">
      <alignment horizontal="center" vertical="center" wrapText="1"/>
    </xf>
    <xf numFmtId="0" fontId="33" fillId="33" borderId="49" xfId="43" applyFont="1" applyFill="1" applyBorder="1" applyAlignment="1">
      <alignment horizontal="center" vertical="center" wrapText="1"/>
    </xf>
    <xf numFmtId="0" fontId="32" fillId="33" borderId="50" xfId="44" applyFont="1" applyFill="1" applyBorder="1" applyAlignment="1">
      <alignment vertical="center" wrapText="1"/>
    </xf>
    <xf numFmtId="165" fontId="33" fillId="33" borderId="50" xfId="43" applyNumberFormat="1" applyFont="1" applyFill="1" applyBorder="1" applyAlignment="1">
      <alignment horizontal="center" vertical="center" wrapText="1"/>
    </xf>
    <xf numFmtId="165" fontId="33" fillId="33" borderId="51" xfId="43" applyNumberFormat="1" applyFont="1" applyFill="1" applyBorder="1" applyAlignment="1">
      <alignment horizontal="center" vertical="center" wrapText="1"/>
    </xf>
    <xf numFmtId="0" fontId="26" fillId="33" borderId="0" xfId="43" applyFont="1" applyFill="1" applyAlignment="1">
      <alignment vertical="center"/>
    </xf>
    <xf numFmtId="0" fontId="26" fillId="33" borderId="0" xfId="43" applyFont="1" applyFill="1" applyAlignment="1">
      <alignment horizontal="center" vertical="center" wrapText="1"/>
    </xf>
    <xf numFmtId="165" fontId="26" fillId="33" borderId="0" xfId="43" applyNumberFormat="1" applyFont="1" applyFill="1" applyAlignment="1">
      <alignment horizontal="center" vertical="center" wrapText="1"/>
    </xf>
    <xf numFmtId="169" fontId="26" fillId="33" borderId="0" xfId="43" applyNumberFormat="1" applyFont="1" applyFill="1" applyAlignment="1">
      <alignment horizontal="center" vertical="center" wrapText="1"/>
    </xf>
    <xf numFmtId="0" fontId="26" fillId="33" borderId="47" xfId="43" applyFont="1" applyFill="1" applyBorder="1" applyAlignment="1">
      <alignment horizontal="center" vertical="center" wrapText="1"/>
    </xf>
    <xf numFmtId="165" fontId="26" fillId="33" borderId="48" xfId="43" applyNumberFormat="1" applyFont="1" applyFill="1" applyBorder="1" applyAlignment="1">
      <alignment horizontal="center" vertical="center" wrapText="1"/>
    </xf>
    <xf numFmtId="0" fontId="26" fillId="33" borderId="49" xfId="43" applyFont="1" applyFill="1" applyBorder="1" applyAlignment="1">
      <alignment horizontal="center" vertical="center" wrapText="1"/>
    </xf>
    <xf numFmtId="165" fontId="26" fillId="33" borderId="50" xfId="43" applyNumberFormat="1" applyFont="1" applyFill="1" applyBorder="1" applyAlignment="1">
      <alignment horizontal="center" vertical="center" wrapText="1"/>
    </xf>
    <xf numFmtId="165" fontId="26" fillId="33" borderId="51" xfId="43" applyNumberFormat="1" applyFont="1" applyFill="1" applyBorder="1" applyAlignment="1">
      <alignment horizontal="center" vertical="center" wrapText="1"/>
    </xf>
    <xf numFmtId="0" fontId="23" fillId="0" borderId="0" xfId="62"/>
    <xf numFmtId="0" fontId="46" fillId="0" borderId="0" xfId="62" applyFont="1"/>
    <xf numFmtId="0" fontId="0" fillId="0" borderId="0" xfId="62" applyFont="1"/>
    <xf numFmtId="0" fontId="47" fillId="0" borderId="0" xfId="62" applyFont="1"/>
    <xf numFmtId="0" fontId="23" fillId="0" borderId="0" xfId="62" applyAlignment="1">
      <alignment horizontal="left"/>
    </xf>
    <xf numFmtId="0" fontId="0" fillId="0" borderId="0" xfId="62" applyFont="1" applyAlignment="1">
      <alignment horizontal="center" vertical="center"/>
    </xf>
    <xf numFmtId="0" fontId="23" fillId="0" borderId="0" xfId="62" applyAlignment="1">
      <alignment horizontal="center"/>
    </xf>
    <xf numFmtId="0" fontId="48" fillId="0" borderId="0" xfId="62" applyFont="1" applyAlignment="1">
      <alignment horizontal="center" vertical="center"/>
    </xf>
    <xf numFmtId="0" fontId="48" fillId="53" borderId="52" xfId="62" applyFont="1" applyFill="1" applyBorder="1" applyAlignment="1">
      <alignment horizontal="center" vertical="center"/>
    </xf>
    <xf numFmtId="0" fontId="48" fillId="53" borderId="53" xfId="62" applyFont="1" applyFill="1" applyBorder="1" applyAlignment="1">
      <alignment horizontal="center" vertical="center"/>
    </xf>
    <xf numFmtId="0" fontId="48" fillId="53" borderId="53" xfId="62" applyFont="1" applyFill="1" applyBorder="1" applyAlignment="1">
      <alignment vertical="center"/>
    </xf>
    <xf numFmtId="0" fontId="48" fillId="53" borderId="54" xfId="62" applyFont="1" applyFill="1" applyBorder="1" applyAlignment="1">
      <alignment horizontal="left" vertical="center"/>
    </xf>
    <xf numFmtId="0" fontId="48" fillId="54" borderId="54" xfId="62" applyFont="1" applyFill="1" applyBorder="1" applyAlignment="1">
      <alignment horizontal="left" vertical="center"/>
    </xf>
    <xf numFmtId="0" fontId="48" fillId="53" borderId="53" xfId="62" applyFont="1" applyFill="1" applyBorder="1" applyAlignment="1">
      <alignment horizontal="left" vertical="center"/>
    </xf>
    <xf numFmtId="0" fontId="0" fillId="0" borderId="0" xfId="62" applyFont="1" applyAlignment="1">
      <alignment horizontal="left" vertical="center"/>
    </xf>
    <xf numFmtId="167" fontId="0" fillId="0" borderId="0" xfId="62" applyNumberFormat="1" applyFont="1" applyAlignment="1">
      <alignment horizontal="left" vertical="center"/>
    </xf>
    <xf numFmtId="0" fontId="0" fillId="55" borderId="45" xfId="62" applyFont="1" applyFill="1" applyBorder="1" applyAlignment="1">
      <alignment horizontal="center" vertical="center"/>
    </xf>
    <xf numFmtId="0" fontId="0" fillId="55" borderId="37" xfId="62" applyFont="1" applyFill="1" applyBorder="1" applyAlignment="1">
      <alignment horizontal="center" vertical="center"/>
    </xf>
    <xf numFmtId="0" fontId="0" fillId="55" borderId="37" xfId="62" applyFont="1" applyFill="1" applyBorder="1" applyAlignment="1">
      <alignment horizontal="left" vertical="center"/>
    </xf>
    <xf numFmtId="0" fontId="0" fillId="55" borderId="38" xfId="62" applyFont="1" applyFill="1" applyBorder="1" applyAlignment="1">
      <alignment horizontal="left" vertical="center"/>
    </xf>
    <xf numFmtId="0" fontId="0" fillId="55" borderId="55" xfId="62" applyFont="1" applyFill="1" applyBorder="1" applyAlignment="1">
      <alignment horizontal="center" vertical="center"/>
    </xf>
    <xf numFmtId="0" fontId="50" fillId="56" borderId="0" xfId="62" applyFont="1" applyFill="1" applyAlignment="1">
      <alignment horizontal="left" vertical="center"/>
    </xf>
    <xf numFmtId="0" fontId="0" fillId="57" borderId="0" xfId="62" applyFont="1" applyFill="1" applyAlignment="1">
      <alignment horizontal="left" vertical="center"/>
    </xf>
    <xf numFmtId="0" fontId="0" fillId="55" borderId="39" xfId="62" applyFont="1" applyFill="1" applyBorder="1" applyAlignment="1">
      <alignment horizontal="left" vertical="center"/>
    </xf>
    <xf numFmtId="0" fontId="0" fillId="55" borderId="0" xfId="62" applyFont="1" applyFill="1" applyAlignment="1">
      <alignment horizontal="center" vertical="center"/>
    </xf>
    <xf numFmtId="0" fontId="51" fillId="56" borderId="0" xfId="62" applyFont="1" applyFill="1" applyAlignment="1">
      <alignment horizontal="left" vertical="center"/>
    </xf>
    <xf numFmtId="0" fontId="0" fillId="58" borderId="0" xfId="62" applyFont="1" applyFill="1" applyAlignment="1">
      <alignment horizontal="left" vertical="center"/>
    </xf>
    <xf numFmtId="3" fontId="0" fillId="58" borderId="0" xfId="62" applyNumberFormat="1" applyFont="1" applyFill="1" applyAlignment="1">
      <alignment horizontal="left" vertical="center"/>
    </xf>
    <xf numFmtId="3" fontId="0" fillId="59" borderId="0" xfId="62" applyNumberFormat="1" applyFont="1" applyFill="1" applyAlignment="1">
      <alignment horizontal="left" vertical="center"/>
    </xf>
    <xf numFmtId="1" fontId="0" fillId="59" borderId="0" xfId="62" applyNumberFormat="1" applyFont="1" applyFill="1" applyAlignment="1">
      <alignment horizontal="left" vertical="center"/>
    </xf>
    <xf numFmtId="1" fontId="0" fillId="58" borderId="0" xfId="62" applyNumberFormat="1" applyFont="1" applyFill="1" applyAlignment="1">
      <alignment horizontal="left" vertical="center"/>
    </xf>
    <xf numFmtId="1" fontId="0" fillId="60" borderId="0" xfId="62" applyNumberFormat="1" applyFont="1" applyFill="1" applyAlignment="1">
      <alignment horizontal="left" vertical="center"/>
    </xf>
    <xf numFmtId="0" fontId="0" fillId="0" borderId="0" xfId="62" applyFont="1" applyAlignment="1">
      <alignment horizontal="left"/>
    </xf>
    <xf numFmtId="173" fontId="0" fillId="0" borderId="0" xfId="57" applyNumberFormat="1" applyFont="1" applyAlignment="1">
      <alignment horizontal="left"/>
    </xf>
    <xf numFmtId="1" fontId="0" fillId="61" borderId="0" xfId="62" applyNumberFormat="1" applyFont="1" applyFill="1" applyAlignment="1">
      <alignment horizontal="left"/>
    </xf>
    <xf numFmtId="167" fontId="0" fillId="58" borderId="0" xfId="62" applyNumberFormat="1" applyFont="1" applyFill="1" applyAlignment="1">
      <alignment horizontal="left" vertical="center"/>
    </xf>
    <xf numFmtId="0" fontId="52" fillId="0" borderId="0" xfId="62" applyFont="1" applyAlignment="1">
      <alignment horizontal="center" vertical="center"/>
    </xf>
    <xf numFmtId="0" fontId="52" fillId="55" borderId="55" xfId="62" applyFont="1" applyFill="1" applyBorder="1" applyAlignment="1">
      <alignment horizontal="center" vertical="center"/>
    </xf>
    <xf numFmtId="0" fontId="52" fillId="55" borderId="0" xfId="62" applyFont="1" applyFill="1" applyAlignment="1">
      <alignment horizontal="center" vertical="center"/>
    </xf>
    <xf numFmtId="0" fontId="52" fillId="58" borderId="0" xfId="62" applyFont="1" applyFill="1" applyAlignment="1">
      <alignment horizontal="left" vertical="center"/>
    </xf>
    <xf numFmtId="170" fontId="52" fillId="58" borderId="0" xfId="62" applyNumberFormat="1" applyFont="1" applyFill="1" applyAlignment="1">
      <alignment horizontal="left" vertical="center"/>
    </xf>
    <xf numFmtId="0" fontId="52" fillId="55" borderId="39" xfId="62" applyFont="1" applyFill="1" applyBorder="1" applyAlignment="1">
      <alignment horizontal="left" vertical="center"/>
    </xf>
    <xf numFmtId="0" fontId="47" fillId="0" borderId="0" xfId="62" applyFont="1" applyAlignment="1">
      <alignment horizontal="left"/>
    </xf>
    <xf numFmtId="0" fontId="0" fillId="55" borderId="56" xfId="62" applyFont="1" applyFill="1" applyBorder="1" applyAlignment="1">
      <alignment horizontal="center" vertical="center"/>
    </xf>
    <xf numFmtId="0" fontId="0" fillId="55" borderId="41" xfId="62" applyFont="1" applyFill="1" applyBorder="1" applyAlignment="1">
      <alignment horizontal="center" vertical="center"/>
    </xf>
    <xf numFmtId="0" fontId="0" fillId="55" borderId="41" xfId="62" applyFont="1" applyFill="1" applyBorder="1" applyAlignment="1">
      <alignment horizontal="left" vertical="center"/>
    </xf>
    <xf numFmtId="0" fontId="0" fillId="55" borderId="42" xfId="62" applyFont="1" applyFill="1" applyBorder="1" applyAlignment="1">
      <alignment horizontal="left" vertical="center"/>
    </xf>
    <xf numFmtId="0" fontId="0" fillId="0" borderId="41" xfId="62" applyFont="1" applyBorder="1" applyAlignment="1">
      <alignment horizontal="center" vertical="center"/>
    </xf>
    <xf numFmtId="0" fontId="0" fillId="0" borderId="41" xfId="62" applyFont="1" applyBorder="1" applyAlignment="1">
      <alignment horizontal="left" vertical="center"/>
    </xf>
    <xf numFmtId="170" fontId="0" fillId="58" borderId="0" xfId="62" applyNumberFormat="1" applyFont="1" applyFill="1" applyAlignment="1">
      <alignment horizontal="left" vertical="center"/>
    </xf>
    <xf numFmtId="174" fontId="23" fillId="0" borderId="0" xfId="62" applyNumberFormat="1" applyAlignment="1">
      <alignment horizontal="left"/>
    </xf>
    <xf numFmtId="170" fontId="0" fillId="0" borderId="0" xfId="62" applyNumberFormat="1" applyFont="1" applyAlignment="1">
      <alignment horizontal="left" vertical="center"/>
    </xf>
    <xf numFmtId="174" fontId="0" fillId="0" borderId="0" xfId="62" applyNumberFormat="1" applyFont="1" applyAlignment="1">
      <alignment horizontal="left" vertical="center"/>
    </xf>
    <xf numFmtId="166" fontId="0" fillId="0" borderId="0" xfId="62" applyNumberFormat="1" applyFont="1" applyAlignment="1">
      <alignment horizontal="left" vertical="center"/>
    </xf>
    <xf numFmtId="0" fontId="0" fillId="55" borderId="58" xfId="62" applyFont="1" applyFill="1" applyBorder="1" applyAlignment="1">
      <alignment horizontal="center" vertical="center"/>
    </xf>
    <xf numFmtId="0" fontId="0" fillId="55" borderId="59" xfId="62" applyFont="1" applyFill="1" applyBorder="1" applyAlignment="1">
      <alignment horizontal="center" vertical="center"/>
    </xf>
    <xf numFmtId="0" fontId="0" fillId="55" borderId="59" xfId="62" applyFont="1" applyFill="1" applyBorder="1" applyAlignment="1">
      <alignment horizontal="left" vertical="center"/>
    </xf>
    <xf numFmtId="0" fontId="0" fillId="55" borderId="60" xfId="62" applyFont="1" applyFill="1" applyBorder="1" applyAlignment="1">
      <alignment horizontal="left" vertical="center"/>
    </xf>
    <xf numFmtId="0" fontId="0" fillId="55" borderId="61" xfId="62" applyFont="1" applyFill="1" applyBorder="1" applyAlignment="1">
      <alignment horizontal="center" vertical="center"/>
    </xf>
    <xf numFmtId="0" fontId="52" fillId="55" borderId="0" xfId="62" applyFont="1" applyFill="1"/>
    <xf numFmtId="0" fontId="0" fillId="55" borderId="62" xfId="62" applyFont="1" applyFill="1" applyBorder="1" applyAlignment="1">
      <alignment horizontal="left" vertical="center"/>
    </xf>
    <xf numFmtId="0" fontId="0" fillId="62" borderId="63" xfId="62" applyFont="1" applyFill="1" applyBorder="1" applyAlignment="1">
      <alignment horizontal="center" vertical="center"/>
    </xf>
    <xf numFmtId="173" fontId="0" fillId="58" borderId="0" xfId="62" applyNumberFormat="1" applyFont="1" applyFill="1" applyAlignment="1">
      <alignment horizontal="left" vertical="center"/>
    </xf>
    <xf numFmtId="0" fontId="0" fillId="0" borderId="61" xfId="62" applyFont="1" applyBorder="1" applyAlignment="1">
      <alignment horizontal="center" vertical="center"/>
    </xf>
    <xf numFmtId="0" fontId="52" fillId="50" borderId="61" xfId="62" applyFont="1" applyFill="1" applyBorder="1" applyAlignment="1">
      <alignment horizontal="center" vertical="center"/>
    </xf>
    <xf numFmtId="0" fontId="52" fillId="55" borderId="61" xfId="62" applyFont="1" applyFill="1" applyBorder="1" applyAlignment="1">
      <alignment horizontal="center" vertical="center"/>
    </xf>
    <xf numFmtId="3" fontId="52" fillId="58" borderId="0" xfId="62" applyNumberFormat="1" applyFont="1" applyFill="1" applyAlignment="1">
      <alignment horizontal="left" vertical="center"/>
    </xf>
    <xf numFmtId="174" fontId="0" fillId="57" borderId="0" xfId="62" applyNumberFormat="1" applyFont="1" applyFill="1" applyAlignment="1">
      <alignment horizontal="left" vertical="center"/>
    </xf>
    <xf numFmtId="0" fontId="53" fillId="62" borderId="63" xfId="62" applyFont="1" applyFill="1" applyBorder="1" applyAlignment="1">
      <alignment horizontal="center" vertical="center" wrapText="1"/>
    </xf>
    <xf numFmtId="0" fontId="54" fillId="58" borderId="66" xfId="62" applyFont="1" applyFill="1" applyBorder="1" applyAlignment="1">
      <alignment horizontal="left" vertical="center"/>
    </xf>
    <xf numFmtId="174" fontId="0" fillId="58" borderId="0" xfId="62" applyNumberFormat="1" applyFont="1" applyFill="1" applyAlignment="1">
      <alignment horizontal="left" vertical="center" wrapText="1"/>
    </xf>
    <xf numFmtId="0" fontId="30" fillId="0" borderId="0" xfId="62" applyFont="1" applyAlignment="1">
      <alignment wrapText="1"/>
    </xf>
    <xf numFmtId="0" fontId="55" fillId="0" borderId="0" xfId="62" applyFont="1" applyAlignment="1">
      <alignment wrapText="1"/>
    </xf>
    <xf numFmtId="0" fontId="55" fillId="0" borderId="0" xfId="62" applyFont="1"/>
    <xf numFmtId="174" fontId="0" fillId="58" borderId="0" xfId="62" applyNumberFormat="1" applyFont="1" applyFill="1" applyAlignment="1">
      <alignment horizontal="left" vertical="center"/>
    </xf>
    <xf numFmtId="174" fontId="0" fillId="0" borderId="0" xfId="62" applyNumberFormat="1" applyFont="1"/>
    <xf numFmtId="174" fontId="0" fillId="58" borderId="0" xfId="62" applyNumberFormat="1" applyFont="1" applyFill="1" applyAlignment="1">
      <alignment vertical="center"/>
    </xf>
    <xf numFmtId="0" fontId="0" fillId="58" borderId="81" xfId="62" applyFont="1" applyFill="1" applyBorder="1" applyAlignment="1">
      <alignment vertical="center"/>
    </xf>
    <xf numFmtId="0" fontId="0" fillId="58" borderId="81" xfId="62" applyFont="1" applyFill="1" applyBorder="1" applyAlignment="1">
      <alignment horizontal="left" vertical="center"/>
    </xf>
    <xf numFmtId="0" fontId="0" fillId="55" borderId="84" xfId="62" applyFont="1" applyFill="1" applyBorder="1" applyAlignment="1">
      <alignment horizontal="center" vertical="center"/>
    </xf>
    <xf numFmtId="0" fontId="0" fillId="55" borderId="54" xfId="62" applyFont="1" applyFill="1" applyBorder="1" applyAlignment="1">
      <alignment horizontal="center" vertical="center"/>
    </xf>
    <xf numFmtId="0" fontId="0" fillId="55" borderId="54" xfId="62" applyFont="1" applyFill="1" applyBorder="1" applyAlignment="1">
      <alignment horizontal="left" vertical="center"/>
    </xf>
    <xf numFmtId="0" fontId="0" fillId="55" borderId="85" xfId="62" applyFont="1" applyFill="1" applyBorder="1" applyAlignment="1">
      <alignment horizontal="left" vertical="center"/>
    </xf>
    <xf numFmtId="0" fontId="56" fillId="0" borderId="0" xfId="62" applyFont="1" applyAlignment="1">
      <alignment horizontal="left" vertical="center"/>
    </xf>
    <xf numFmtId="4" fontId="0" fillId="0" borderId="0" xfId="62" applyNumberFormat="1" applyFont="1" applyAlignment="1">
      <alignment horizontal="left" vertical="center"/>
    </xf>
    <xf numFmtId="0" fontId="58" fillId="49" borderId="88" xfId="62" applyFont="1" applyFill="1" applyBorder="1" applyAlignment="1">
      <alignment horizontal="center" vertical="center" wrapText="1"/>
    </xf>
    <xf numFmtId="0" fontId="52" fillId="0" borderId="0" xfId="62" applyFont="1" applyAlignment="1">
      <alignment horizontal="left" vertical="center"/>
    </xf>
    <xf numFmtId="0" fontId="59" fillId="0" borderId="0" xfId="62" applyFont="1" applyAlignment="1">
      <alignment horizontal="center" vertical="center" wrapText="1"/>
    </xf>
    <xf numFmtId="0" fontId="58" fillId="49" borderId="90" xfId="62" applyFont="1" applyFill="1" applyBorder="1" applyAlignment="1">
      <alignment horizontal="center" vertical="center" wrapText="1"/>
    </xf>
    <xf numFmtId="0" fontId="38" fillId="0" borderId="0" xfId="62" applyFont="1"/>
    <xf numFmtId="0" fontId="38" fillId="55" borderId="45" xfId="62" applyFont="1" applyFill="1" applyBorder="1"/>
    <xf numFmtId="0" fontId="38" fillId="55" borderId="37" xfId="62" applyFont="1" applyFill="1" applyBorder="1"/>
    <xf numFmtId="0" fontId="38" fillId="55" borderId="37" xfId="62" applyFont="1" applyFill="1" applyBorder="1" applyAlignment="1">
      <alignment horizontal="left"/>
    </xf>
    <xf numFmtId="0" fontId="38" fillId="55" borderId="38" xfId="62" applyFont="1" applyFill="1" applyBorder="1"/>
    <xf numFmtId="0" fontId="50" fillId="56" borderId="55" xfId="62" applyFont="1" applyFill="1" applyBorder="1" applyAlignment="1">
      <alignment horizontal="left" vertical="center"/>
    </xf>
    <xf numFmtId="0" fontId="38" fillId="55" borderId="0" xfId="62" applyFont="1" applyFill="1"/>
    <xf numFmtId="10" fontId="38" fillId="0" borderId="0" xfId="62" applyNumberFormat="1" applyFont="1"/>
    <xf numFmtId="0" fontId="38" fillId="58" borderId="0" xfId="62" applyFont="1" applyFill="1"/>
    <xf numFmtId="0" fontId="38" fillId="58" borderId="0" xfId="62" applyFont="1" applyFill="1" applyAlignment="1">
      <alignment horizontal="left"/>
    </xf>
    <xf numFmtId="175" fontId="38" fillId="58" borderId="0" xfId="62" applyNumberFormat="1" applyFont="1" applyFill="1" applyAlignment="1">
      <alignment horizontal="left"/>
    </xf>
    <xf numFmtId="174" fontId="38" fillId="58" borderId="0" xfId="62" applyNumberFormat="1" applyFont="1" applyFill="1" applyAlignment="1">
      <alignment horizontal="left"/>
    </xf>
    <xf numFmtId="0" fontId="52" fillId="0" borderId="0" xfId="62" applyFont="1"/>
    <xf numFmtId="0" fontId="52" fillId="55" borderId="55" xfId="62" applyFont="1" applyFill="1" applyBorder="1"/>
    <xf numFmtId="0" fontId="52" fillId="58" borderId="0" xfId="62" applyFont="1" applyFill="1"/>
    <xf numFmtId="0" fontId="52" fillId="58" borderId="0" xfId="62" applyFont="1" applyFill="1" applyAlignment="1">
      <alignment horizontal="left"/>
    </xf>
    <xf numFmtId="2" fontId="52" fillId="58" borderId="0" xfId="62" applyNumberFormat="1" applyFont="1" applyFill="1" applyAlignment="1">
      <alignment horizontal="left"/>
    </xf>
    <xf numFmtId="175" fontId="52" fillId="58" borderId="0" xfId="62" applyNumberFormat="1" applyFont="1" applyFill="1" applyAlignment="1">
      <alignment horizontal="left"/>
    </xf>
    <xf numFmtId="0" fontId="52" fillId="55" borderId="0" xfId="62" applyFont="1" applyFill="1" applyAlignment="1">
      <alignment horizontal="left"/>
    </xf>
    <xf numFmtId="174" fontId="38" fillId="58" borderId="0" xfId="62" applyNumberFormat="1" applyFont="1" applyFill="1"/>
    <xf numFmtId="176" fontId="52" fillId="58" borderId="0" xfId="62" applyNumberFormat="1" applyFont="1" applyFill="1" applyAlignment="1">
      <alignment horizontal="left"/>
    </xf>
    <xf numFmtId="2" fontId="0" fillId="57" borderId="0" xfId="62" applyNumberFormat="1" applyFont="1" applyFill="1" applyAlignment="1">
      <alignment horizontal="left" vertical="center"/>
    </xf>
    <xf numFmtId="172" fontId="38" fillId="0" borderId="0" xfId="62" applyNumberFormat="1" applyFont="1"/>
    <xf numFmtId="9" fontId="38" fillId="0" borderId="0" xfId="62" applyNumberFormat="1" applyFont="1"/>
    <xf numFmtId="176" fontId="38" fillId="58" borderId="0" xfId="62" applyNumberFormat="1" applyFont="1" applyFill="1" applyAlignment="1">
      <alignment horizontal="left"/>
    </xf>
    <xf numFmtId="177" fontId="52" fillId="58" borderId="0" xfId="62" applyNumberFormat="1" applyFont="1" applyFill="1" applyAlignment="1">
      <alignment horizontal="left"/>
    </xf>
    <xf numFmtId="0" fontId="38" fillId="55" borderId="56" xfId="62" applyFont="1" applyFill="1" applyBorder="1"/>
    <xf numFmtId="0" fontId="38" fillId="55" borderId="41" xfId="62" applyFont="1" applyFill="1" applyBorder="1"/>
    <xf numFmtId="0" fontId="38" fillId="55" borderId="41" xfId="62" applyFont="1" applyFill="1" applyBorder="1" applyAlignment="1">
      <alignment horizontal="left"/>
    </xf>
    <xf numFmtId="0" fontId="38" fillId="0" borderId="0" xfId="62" applyFont="1" applyAlignment="1">
      <alignment horizontal="left"/>
    </xf>
    <xf numFmtId="0" fontId="60" fillId="0" borderId="0" xfId="62" applyFont="1" applyAlignment="1">
      <alignment horizontal="left"/>
    </xf>
    <xf numFmtId="0" fontId="61" fillId="0" borderId="0" xfId="62" applyFont="1" applyAlignment="1">
      <alignment horizontal="left"/>
    </xf>
    <xf numFmtId="0" fontId="61" fillId="0" borderId="82" xfId="62" applyFont="1" applyBorder="1" applyAlignment="1">
      <alignment horizontal="left"/>
    </xf>
    <xf numFmtId="178" fontId="38" fillId="0" borderId="61" xfId="62" applyNumberFormat="1" applyFont="1" applyBorder="1" applyAlignment="1">
      <alignment horizontal="left"/>
    </xf>
    <xf numFmtId="0" fontId="38" fillId="0" borderId="61" xfId="62" applyFont="1" applyBorder="1" applyAlignment="1">
      <alignment horizontal="left"/>
    </xf>
    <xf numFmtId="0" fontId="38" fillId="0" borderId="94" xfId="62" applyFont="1" applyBorder="1" applyAlignment="1">
      <alignment horizontal="left"/>
    </xf>
    <xf numFmtId="174" fontId="38" fillId="0" borderId="82" xfId="62" applyNumberFormat="1" applyFont="1" applyBorder="1" applyAlignment="1">
      <alignment horizontal="left"/>
    </xf>
    <xf numFmtId="0" fontId="38" fillId="0" borderId="82" xfId="62" applyFont="1" applyBorder="1" applyAlignment="1">
      <alignment horizontal="left"/>
    </xf>
    <xf numFmtId="0" fontId="38" fillId="0" borderId="84" xfId="62" applyFont="1" applyBorder="1" applyAlignment="1">
      <alignment horizontal="left"/>
    </xf>
    <xf numFmtId="0" fontId="23" fillId="0" borderId="54" xfId="62" applyBorder="1" applyAlignment="1">
      <alignment horizontal="left"/>
    </xf>
    <xf numFmtId="0" fontId="38" fillId="0" borderId="95" xfId="62" applyFont="1" applyBorder="1" applyAlignment="1">
      <alignment horizontal="left"/>
    </xf>
    <xf numFmtId="0" fontId="0" fillId="0" borderId="45" xfId="62" applyFont="1" applyBorder="1" applyAlignment="1">
      <alignment horizontal="center" vertical="center"/>
    </xf>
    <xf numFmtId="0" fontId="0" fillId="0" borderId="37" xfId="62" applyFont="1" applyBorder="1" applyAlignment="1">
      <alignment horizontal="center" vertical="center"/>
    </xf>
    <xf numFmtId="0" fontId="0" fillId="0" borderId="37" xfId="62" applyFont="1" applyBorder="1" applyAlignment="1">
      <alignment horizontal="left" vertical="center"/>
    </xf>
    <xf numFmtId="0" fontId="48" fillId="53" borderId="96" xfId="62" applyFont="1" applyFill="1" applyBorder="1" applyAlignment="1">
      <alignment horizontal="left" vertical="center"/>
    </xf>
    <xf numFmtId="0" fontId="48" fillId="54" borderId="96" xfId="62" applyFont="1" applyFill="1" applyBorder="1" applyAlignment="1">
      <alignment horizontal="left" vertical="center"/>
    </xf>
    <xf numFmtId="0" fontId="48" fillId="53" borderId="97" xfId="62" applyFont="1" applyFill="1" applyBorder="1" applyAlignment="1">
      <alignment horizontal="left" vertical="center"/>
    </xf>
    <xf numFmtId="0" fontId="38" fillId="55" borderId="38" xfId="62" applyFont="1" applyFill="1" applyBorder="1" applyAlignment="1">
      <alignment horizontal="left"/>
    </xf>
    <xf numFmtId="0" fontId="0" fillId="57" borderId="39" xfId="62" applyFont="1" applyFill="1" applyBorder="1" applyAlignment="1">
      <alignment horizontal="left" vertical="center"/>
    </xf>
    <xf numFmtId="2" fontId="38" fillId="58" borderId="0" xfId="62" applyNumberFormat="1" applyFont="1" applyFill="1" applyAlignment="1">
      <alignment horizontal="left"/>
    </xf>
    <xf numFmtId="2" fontId="38" fillId="58" borderId="39" xfId="62" applyNumberFormat="1" applyFont="1" applyFill="1" applyBorder="1" applyAlignment="1">
      <alignment horizontal="left"/>
    </xf>
    <xf numFmtId="2" fontId="52" fillId="58" borderId="39" xfId="62" applyNumberFormat="1" applyFont="1" applyFill="1" applyBorder="1" applyAlignment="1">
      <alignment horizontal="left"/>
    </xf>
    <xf numFmtId="2" fontId="52" fillId="55" borderId="0" xfId="62" applyNumberFormat="1" applyFont="1" applyFill="1" applyAlignment="1">
      <alignment horizontal="left"/>
    </xf>
    <xf numFmtId="2" fontId="52" fillId="55" borderId="39" xfId="62" applyNumberFormat="1" applyFont="1" applyFill="1" applyBorder="1" applyAlignment="1">
      <alignment horizontal="left"/>
    </xf>
    <xf numFmtId="2" fontId="0" fillId="57" borderId="39" xfId="62" applyNumberFormat="1" applyFont="1" applyFill="1" applyBorder="1" applyAlignment="1">
      <alignment horizontal="left" vertical="center"/>
    </xf>
    <xf numFmtId="2" fontId="38" fillId="55" borderId="41" xfId="62" applyNumberFormat="1" applyFont="1" applyFill="1" applyBorder="1" applyAlignment="1">
      <alignment horizontal="left"/>
    </xf>
    <xf numFmtId="2" fontId="38" fillId="55" borderId="42" xfId="62" applyNumberFormat="1" applyFont="1" applyFill="1" applyBorder="1" applyAlignment="1">
      <alignment horizontal="left"/>
    </xf>
    <xf numFmtId="171" fontId="0" fillId="0" borderId="0" xfId="0" applyNumberFormat="1" applyAlignment="1">
      <alignment wrapText="1"/>
    </xf>
    <xf numFmtId="164" fontId="0" fillId="47" borderId="0" xfId="0" applyNumberFormat="1" applyFill="1"/>
    <xf numFmtId="0" fontId="0" fillId="35" borderId="10" xfId="0" applyFill="1" applyBorder="1"/>
    <xf numFmtId="0" fontId="0" fillId="35" borderId="12" xfId="0" applyFill="1" applyBorder="1" applyAlignment="1">
      <alignment horizontal="left" vertical="center" wrapText="1"/>
    </xf>
    <xf numFmtId="0" fontId="0" fillId="35" borderId="10" xfId="0" applyFill="1" applyBorder="1" applyAlignment="1">
      <alignment horizontal="left" vertical="center" wrapText="1"/>
    </xf>
    <xf numFmtId="0" fontId="0" fillId="65" borderId="10" xfId="0" applyFill="1" applyBorder="1"/>
    <xf numFmtId="0" fontId="0" fillId="65" borderId="17" xfId="0" applyFill="1" applyBorder="1"/>
    <xf numFmtId="0" fontId="0" fillId="34" borderId="10" xfId="0" applyFill="1" applyBorder="1"/>
    <xf numFmtId="0" fontId="0" fillId="35" borderId="23" xfId="0" applyFill="1" applyBorder="1"/>
    <xf numFmtId="0" fontId="0" fillId="34" borderId="23" xfId="0" applyFill="1" applyBorder="1"/>
    <xf numFmtId="0" fontId="0" fillId="34" borderId="16" xfId="0" applyFill="1" applyBorder="1"/>
    <xf numFmtId="0" fontId="0" fillId="34" borderId="98" xfId="0" applyFill="1" applyBorder="1"/>
    <xf numFmtId="165" fontId="26" fillId="36" borderId="34" xfId="43" applyNumberFormat="1" applyFont="1" applyFill="1" applyBorder="1" applyAlignment="1">
      <alignment horizontal="center" vertical="center" wrapText="1"/>
    </xf>
    <xf numFmtId="0" fontId="21" fillId="34" borderId="99" xfId="45" applyFont="1" applyFill="1" applyBorder="1"/>
    <xf numFmtId="0" fontId="21" fillId="34" borderId="35" xfId="45" applyFont="1" applyFill="1" applyBorder="1"/>
    <xf numFmtId="164" fontId="21" fillId="34" borderId="35" xfId="45" applyNumberFormat="1" applyFont="1" applyFill="1" applyBorder="1"/>
    <xf numFmtId="0" fontId="21" fillId="34" borderId="22" xfId="45" applyFont="1" applyFill="1" applyBorder="1"/>
    <xf numFmtId="0" fontId="21" fillId="34" borderId="23" xfId="45" applyFont="1" applyFill="1" applyBorder="1"/>
    <xf numFmtId="164" fontId="21" fillId="34" borderId="23" xfId="45" applyNumberFormat="1" applyFont="1" applyFill="1" applyBorder="1"/>
    <xf numFmtId="164" fontId="0" fillId="0" borderId="0" xfId="0" applyNumberFormat="1"/>
    <xf numFmtId="0" fontId="42" fillId="47" borderId="0" xfId="44" applyFont="1" applyFill="1" applyAlignment="1">
      <alignment vertical="center" wrapText="1"/>
    </xf>
    <xf numFmtId="0" fontId="0" fillId="37" borderId="0" xfId="0" applyFill="1"/>
    <xf numFmtId="4" fontId="30" fillId="0" borderId="0" xfId="0" applyNumberFormat="1" applyFont="1" applyAlignment="1">
      <alignment horizontal="center" vertical="center"/>
    </xf>
    <xf numFmtId="4" fontId="0" fillId="41" borderId="0" xfId="0" applyNumberFormat="1" applyFill="1" applyAlignment="1">
      <alignment horizontal="center"/>
    </xf>
    <xf numFmtId="0" fontId="30" fillId="0" borderId="0" xfId="0" quotePrefix="1" applyFont="1" applyAlignment="1">
      <alignment horizontal="center"/>
    </xf>
    <xf numFmtId="174" fontId="26" fillId="33" borderId="18" xfId="43" applyNumberFormat="1" applyFont="1" applyFill="1" applyBorder="1" applyAlignment="1">
      <alignment vertical="center" wrapText="1"/>
    </xf>
    <xf numFmtId="174" fontId="26" fillId="33" borderId="18" xfId="43" applyNumberFormat="1" applyFont="1" applyFill="1" applyBorder="1" applyAlignment="1">
      <alignment horizontal="center" vertical="center" wrapText="1"/>
    </xf>
    <xf numFmtId="0" fontId="0" fillId="41" borderId="0" xfId="0" applyFill="1"/>
    <xf numFmtId="164" fontId="26" fillId="50" borderId="18" xfId="43" applyNumberFormat="1" applyFont="1" applyFill="1" applyBorder="1" applyAlignment="1">
      <alignment horizontal="center" vertical="center" wrapText="1"/>
    </xf>
    <xf numFmtId="0" fontId="0" fillId="35" borderId="0" xfId="0" applyFill="1"/>
    <xf numFmtId="176" fontId="0" fillId="0" borderId="0" xfId="0" applyNumberFormat="1"/>
    <xf numFmtId="170" fontId="0" fillId="35" borderId="0" xfId="0" applyNumberFormat="1" applyFill="1"/>
    <xf numFmtId="1" fontId="0" fillId="0" borderId="0" xfId="0" applyNumberFormat="1" applyAlignment="1">
      <alignment horizontal="center" vertical="center"/>
    </xf>
    <xf numFmtId="0" fontId="32" fillId="0" borderId="18" xfId="44" applyFont="1" applyBorder="1" applyAlignment="1">
      <alignment vertical="center" wrapText="1"/>
    </xf>
    <xf numFmtId="0" fontId="32" fillId="0" borderId="0" xfId="44" applyFont="1" applyAlignment="1">
      <alignment vertical="center" wrapText="1"/>
    </xf>
    <xf numFmtId="0" fontId="34" fillId="0" borderId="10" xfId="0" applyFont="1" applyBorder="1"/>
    <xf numFmtId="1" fontId="0" fillId="0" borderId="35" xfId="0" applyNumberFormat="1" applyBorder="1" applyAlignment="1">
      <alignment horizontal="center"/>
    </xf>
    <xf numFmtId="0" fontId="0" fillId="35" borderId="26" xfId="0" applyFill="1" applyBorder="1" applyAlignment="1">
      <alignment horizontal="center"/>
    </xf>
    <xf numFmtId="1" fontId="0" fillId="35" borderId="100" xfId="0" applyNumberFormat="1" applyFill="1" applyBorder="1" applyAlignment="1">
      <alignment horizontal="center" wrapText="1"/>
    </xf>
    <xf numFmtId="0" fontId="0" fillId="35" borderId="100" xfId="0" applyFill="1" applyBorder="1" applyAlignment="1">
      <alignment horizontal="center" wrapText="1"/>
    </xf>
    <xf numFmtId="0" fontId="0" fillId="35" borderId="80" xfId="0" applyFill="1" applyBorder="1" applyAlignment="1">
      <alignment horizontal="center" wrapText="1"/>
    </xf>
    <xf numFmtId="0" fontId="0" fillId="35" borderId="81" xfId="0" applyFill="1" applyBorder="1" applyAlignment="1">
      <alignment horizontal="center"/>
    </xf>
    <xf numFmtId="0" fontId="0" fillId="35" borderId="83" xfId="0" applyFill="1" applyBorder="1" applyAlignment="1">
      <alignment horizontal="center" wrapText="1"/>
    </xf>
    <xf numFmtId="0" fontId="0" fillId="35" borderId="101" xfId="0" applyFill="1" applyBorder="1" applyAlignment="1">
      <alignment horizontal="center"/>
    </xf>
    <xf numFmtId="1" fontId="0" fillId="35" borderId="102" xfId="0" applyNumberFormat="1" applyFill="1" applyBorder="1" applyAlignment="1">
      <alignment horizontal="center" wrapText="1"/>
    </xf>
    <xf numFmtId="0" fontId="0" fillId="35" borderId="102" xfId="0" applyFill="1" applyBorder="1" applyAlignment="1">
      <alignment horizontal="center" wrapText="1"/>
    </xf>
    <xf numFmtId="0" fontId="0" fillId="35" borderId="78" xfId="0" applyFill="1" applyBorder="1" applyAlignment="1">
      <alignment horizontal="center" wrapText="1"/>
    </xf>
    <xf numFmtId="0" fontId="0" fillId="35" borderId="17" xfId="0" applyFill="1" applyBorder="1" applyAlignment="1">
      <alignment horizontal="center" wrapText="1"/>
    </xf>
    <xf numFmtId="0" fontId="0" fillId="35" borderId="23" xfId="0" applyFill="1" applyBorder="1" applyAlignment="1">
      <alignment horizontal="center" wrapText="1"/>
    </xf>
    <xf numFmtId="0" fontId="0" fillId="35" borderId="35" xfId="0" applyFill="1" applyBorder="1" applyAlignment="1">
      <alignment horizontal="center" wrapText="1"/>
    </xf>
    <xf numFmtId="4" fontId="0" fillId="0" borderId="10" xfId="0" applyNumberFormat="1" applyBorder="1" applyAlignment="1">
      <alignment horizontal="center" vertical="center" wrapText="1"/>
    </xf>
    <xf numFmtId="172" fontId="65" fillId="0" borderId="0" xfId="68" applyNumberFormat="1" applyFont="1" applyBorder="1"/>
    <xf numFmtId="172" fontId="65" fillId="0" borderId="39" xfId="68" applyNumberFormat="1" applyFont="1" applyBorder="1"/>
    <xf numFmtId="172" fontId="19" fillId="0" borderId="41" xfId="68" applyNumberFormat="1" applyFont="1" applyFill="1" applyBorder="1"/>
    <xf numFmtId="172" fontId="19" fillId="0" borderId="42" xfId="68" applyNumberFormat="1" applyFont="1" applyFill="1" applyBorder="1"/>
    <xf numFmtId="3" fontId="30" fillId="0" borderId="0" xfId="0" applyNumberFormat="1" applyFont="1" applyAlignment="1">
      <alignment vertical="center"/>
    </xf>
    <xf numFmtId="0" fontId="0" fillId="36" borderId="12" xfId="0" applyFill="1" applyBorder="1" applyAlignment="1">
      <alignment horizontal="left" vertical="center" wrapText="1"/>
    </xf>
    <xf numFmtId="0" fontId="0" fillId="36" borderId="10" xfId="0" applyFill="1" applyBorder="1" applyAlignment="1">
      <alignment horizontal="left" vertical="center" wrapText="1"/>
    </xf>
    <xf numFmtId="0" fontId="0" fillId="36" borderId="17" xfId="0" applyFill="1" applyBorder="1" applyAlignment="1">
      <alignment horizontal="left" vertical="center" wrapText="1"/>
    </xf>
    <xf numFmtId="164" fontId="0" fillId="65" borderId="17" xfId="0" applyNumberFormat="1" applyFill="1" applyBorder="1" applyAlignment="1">
      <alignment horizontal="center"/>
    </xf>
    <xf numFmtId="164" fontId="0" fillId="65" borderId="10" xfId="0" applyNumberFormat="1" applyFill="1" applyBorder="1" applyAlignment="1">
      <alignment horizontal="center"/>
    </xf>
    <xf numFmtId="164" fontId="0" fillId="65" borderId="12" xfId="0" applyNumberFormat="1" applyFill="1" applyBorder="1" applyAlignment="1">
      <alignment horizontal="center"/>
    </xf>
    <xf numFmtId="164" fontId="26" fillId="34" borderId="10" xfId="43" applyNumberFormat="1" applyFont="1" applyFill="1" applyBorder="1" applyAlignment="1">
      <alignment horizontal="center" vertical="center" wrapText="1"/>
    </xf>
    <xf numFmtId="164" fontId="0" fillId="34" borderId="10" xfId="0" applyNumberFormat="1" applyFill="1" applyBorder="1" applyAlignment="1">
      <alignment horizontal="center"/>
    </xf>
    <xf numFmtId="165" fontId="26" fillId="33" borderId="103" xfId="43" applyNumberFormat="1" applyFont="1" applyFill="1" applyBorder="1" applyAlignment="1">
      <alignment horizontal="center" vertical="center" wrapText="1"/>
    </xf>
    <xf numFmtId="174" fontId="26" fillId="33" borderId="103" xfId="43" applyNumberFormat="1" applyFont="1" applyFill="1" applyBorder="1" applyAlignment="1">
      <alignment vertical="center" wrapText="1"/>
    </xf>
    <xf numFmtId="4" fontId="26" fillId="33" borderId="103" xfId="43" applyNumberFormat="1" applyFont="1" applyFill="1" applyBorder="1" applyAlignment="1">
      <alignment vertical="center" wrapText="1"/>
    </xf>
    <xf numFmtId="4" fontId="33" fillId="33" borderId="103" xfId="43" applyNumberFormat="1" applyFont="1" applyFill="1" applyBorder="1" applyAlignment="1">
      <alignment vertical="center" wrapText="1"/>
    </xf>
    <xf numFmtId="165" fontId="26" fillId="37" borderId="104" xfId="43" applyNumberFormat="1" applyFont="1" applyFill="1" applyBorder="1" applyAlignment="1">
      <alignment horizontal="center" vertical="center" wrapText="1"/>
    </xf>
    <xf numFmtId="165" fontId="26" fillId="33" borderId="105" xfId="43" applyNumberFormat="1" applyFont="1" applyFill="1" applyBorder="1" applyAlignment="1">
      <alignment horizontal="center" vertical="center" wrapText="1"/>
    </xf>
    <xf numFmtId="165" fontId="26" fillId="50" borderId="105" xfId="43" applyNumberFormat="1" applyFont="1" applyFill="1" applyBorder="1" applyAlignment="1">
      <alignment horizontal="center" vertical="center" wrapText="1"/>
    </xf>
    <xf numFmtId="4" fontId="26" fillId="33" borderId="105" xfId="43" applyNumberFormat="1" applyFont="1" applyFill="1" applyBorder="1" applyAlignment="1">
      <alignment vertical="center" wrapText="1"/>
    </xf>
    <xf numFmtId="4" fontId="33" fillId="33" borderId="105" xfId="43" applyNumberFormat="1" applyFont="1" applyFill="1" applyBorder="1" applyAlignment="1">
      <alignment vertical="center" wrapText="1"/>
    </xf>
    <xf numFmtId="165" fontId="26" fillId="33" borderId="106" xfId="43" applyNumberFormat="1" applyFont="1" applyFill="1" applyBorder="1" applyAlignment="1">
      <alignment horizontal="center" vertical="center" wrapText="1"/>
    </xf>
    <xf numFmtId="165" fontId="26" fillId="33" borderId="107" xfId="43" applyNumberFormat="1" applyFont="1" applyFill="1" applyBorder="1" applyAlignment="1">
      <alignment horizontal="center" vertical="center" wrapText="1"/>
    </xf>
    <xf numFmtId="165" fontId="26" fillId="33" borderId="108" xfId="43" applyNumberFormat="1" applyFont="1" applyFill="1" applyBorder="1" applyAlignment="1">
      <alignment horizontal="center" vertical="center" wrapText="1"/>
    </xf>
    <xf numFmtId="174" fontId="26" fillId="33" borderId="106" xfId="43" applyNumberFormat="1" applyFont="1" applyFill="1" applyBorder="1" applyAlignment="1">
      <alignment vertical="center" wrapText="1"/>
    </xf>
    <xf numFmtId="174" fontId="26" fillId="33" borderId="107" xfId="43" applyNumberFormat="1" applyFont="1" applyFill="1" applyBorder="1" applyAlignment="1">
      <alignment vertical="center" wrapText="1"/>
    </xf>
    <xf numFmtId="174" fontId="26" fillId="33" borderId="108" xfId="43" applyNumberFormat="1" applyFont="1" applyFill="1" applyBorder="1" applyAlignment="1">
      <alignment vertical="center" wrapText="1"/>
    </xf>
    <xf numFmtId="4" fontId="26" fillId="33" borderId="106" xfId="43" applyNumberFormat="1" applyFont="1" applyFill="1" applyBorder="1" applyAlignment="1">
      <alignment vertical="center" wrapText="1"/>
    </xf>
    <xf numFmtId="4" fontId="26" fillId="33" borderId="107" xfId="43" applyNumberFormat="1" applyFont="1" applyFill="1" applyBorder="1" applyAlignment="1">
      <alignment vertical="center" wrapText="1"/>
    </xf>
    <xf numFmtId="4" fontId="26" fillId="33" borderId="108" xfId="43" applyNumberFormat="1" applyFont="1" applyFill="1" applyBorder="1" applyAlignment="1">
      <alignment vertical="center" wrapText="1"/>
    </xf>
    <xf numFmtId="4" fontId="33" fillId="33" borderId="106" xfId="43" applyNumberFormat="1" applyFont="1" applyFill="1" applyBorder="1" applyAlignment="1">
      <alignment vertical="center" wrapText="1"/>
    </xf>
    <xf numFmtId="4" fontId="33" fillId="33" borderId="107" xfId="43" applyNumberFormat="1" applyFont="1" applyFill="1" applyBorder="1" applyAlignment="1">
      <alignment vertical="center" wrapText="1"/>
    </xf>
    <xf numFmtId="4" fontId="33" fillId="33" borderId="108" xfId="43" applyNumberFormat="1" applyFont="1" applyFill="1" applyBorder="1" applyAlignment="1">
      <alignment vertical="center" wrapText="1"/>
    </xf>
    <xf numFmtId="173" fontId="0" fillId="0" borderId="0" xfId="68" applyNumberFormat="1" applyFont="1"/>
    <xf numFmtId="179" fontId="0" fillId="0" borderId="0" xfId="68" applyNumberFormat="1" applyFont="1"/>
    <xf numFmtId="10" fontId="0" fillId="0" borderId="0" xfId="68" applyNumberFormat="1" applyFont="1" applyAlignment="1">
      <alignment horizontal="center"/>
    </xf>
    <xf numFmtId="172" fontId="61" fillId="0" borderId="0" xfId="68" applyNumberFormat="1" applyFont="1" applyFill="1" applyBorder="1"/>
    <xf numFmtId="172" fontId="61" fillId="0" borderId="39" xfId="68" applyNumberFormat="1" applyFont="1" applyFill="1" applyBorder="1"/>
    <xf numFmtId="172" fontId="65" fillId="0" borderId="0" xfId="68" applyNumberFormat="1" applyFont="1" applyFill="1" applyBorder="1"/>
    <xf numFmtId="172" fontId="65" fillId="0" borderId="39" xfId="68" applyNumberFormat="1" applyFont="1" applyFill="1" applyBorder="1"/>
    <xf numFmtId="172" fontId="21" fillId="0" borderId="41" xfId="68" applyNumberFormat="1" applyFont="1" applyFill="1" applyBorder="1"/>
    <xf numFmtId="172" fontId="21" fillId="0" borderId="42" xfId="68" applyNumberFormat="1" applyFont="1" applyFill="1" applyBorder="1"/>
    <xf numFmtId="3" fontId="1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49" borderId="10" xfId="0" applyNumberFormat="1" applyFill="1" applyBorder="1" applyAlignment="1">
      <alignment horizontal="center"/>
    </xf>
    <xf numFmtId="180" fontId="62" fillId="0" borderId="45" xfId="0" quotePrefix="1" applyNumberFormat="1" applyFont="1" applyBorder="1" applyAlignment="1">
      <alignment horizontal="left"/>
    </xf>
    <xf numFmtId="180" fontId="63" fillId="0" borderId="37" xfId="0" quotePrefix="1" applyNumberFormat="1" applyFont="1" applyBorder="1" applyAlignment="1">
      <alignment horizontal="center"/>
    </xf>
    <xf numFmtId="180" fontId="63" fillId="0" borderId="38" xfId="0" quotePrefix="1" applyNumberFormat="1" applyFont="1" applyBorder="1" applyAlignment="1">
      <alignment horizontal="center"/>
    </xf>
    <xf numFmtId="180" fontId="63" fillId="0" borderId="55" xfId="0" quotePrefix="1" applyNumberFormat="1" applyFont="1" applyBorder="1" applyAlignment="1">
      <alignment horizontal="left" vertical="top"/>
    </xf>
    <xf numFmtId="180" fontId="63" fillId="0" borderId="0" xfId="0" applyNumberFormat="1" applyFont="1" applyAlignment="1">
      <alignment vertical="center"/>
    </xf>
    <xf numFmtId="180" fontId="63" fillId="0" borderId="39" xfId="0" applyNumberFormat="1" applyFont="1" applyBorder="1" applyAlignment="1">
      <alignment vertical="center"/>
    </xf>
    <xf numFmtId="180" fontId="61" fillId="0" borderId="56" xfId="0" quotePrefix="1" applyNumberFormat="1" applyFont="1" applyBorder="1"/>
    <xf numFmtId="180" fontId="63" fillId="0" borderId="41" xfId="0" applyNumberFormat="1" applyFont="1" applyBorder="1" applyAlignment="1">
      <alignment vertical="center"/>
    </xf>
    <xf numFmtId="180" fontId="63" fillId="0" borderId="42" xfId="0" applyNumberFormat="1" applyFont="1" applyBorder="1" applyAlignment="1">
      <alignment vertical="center"/>
    </xf>
    <xf numFmtId="180" fontId="61" fillId="0" borderId="0" xfId="0" applyNumberFormat="1" applyFont="1"/>
    <xf numFmtId="180" fontId="62" fillId="0" borderId="45" xfId="0" applyNumberFormat="1" applyFont="1" applyBorder="1" applyAlignment="1">
      <alignment horizontal="left" vertical="top"/>
    </xf>
    <xf numFmtId="180" fontId="61" fillId="0" borderId="39" xfId="0" applyNumberFormat="1" applyFont="1" applyBorder="1"/>
    <xf numFmtId="180" fontId="61" fillId="0" borderId="56" xfId="0" applyNumberFormat="1" applyFont="1" applyBorder="1"/>
    <xf numFmtId="180" fontId="61" fillId="0" borderId="41" xfId="0" applyNumberFormat="1" applyFont="1" applyBorder="1"/>
    <xf numFmtId="180" fontId="61" fillId="0" borderId="42" xfId="0" applyNumberFormat="1" applyFont="1" applyBorder="1"/>
    <xf numFmtId="180" fontId="64" fillId="0" borderId="55" xfId="0" quotePrefix="1" applyNumberFormat="1" applyFont="1" applyBorder="1" applyAlignment="1">
      <alignment horizontal="left" vertical="top"/>
    </xf>
    <xf numFmtId="180" fontId="19" fillId="0" borderId="56" xfId="0" applyNumberFormat="1" applyFont="1" applyBorder="1"/>
    <xf numFmtId="180" fontId="21" fillId="0" borderId="56" xfId="0" applyNumberFormat="1" applyFont="1" applyBorder="1"/>
    <xf numFmtId="0" fontId="68" fillId="0" borderId="45" xfId="0" applyFont="1" applyBorder="1"/>
    <xf numFmtId="0" fontId="0" fillId="0" borderId="37" xfId="0" applyBorder="1"/>
    <xf numFmtId="0" fontId="0" fillId="0" borderId="38" xfId="0" applyBorder="1"/>
    <xf numFmtId="0" fontId="0" fillId="0" borderId="55" xfId="0" applyBorder="1"/>
    <xf numFmtId="0" fontId="0" fillId="0" borderId="39" xfId="0" applyBorder="1"/>
    <xf numFmtId="0" fontId="0" fillId="0" borderId="56" xfId="0" applyBorder="1"/>
    <xf numFmtId="0" fontId="0" fillId="0" borderId="41" xfId="0" applyBorder="1"/>
    <xf numFmtId="0" fontId="0" fillId="0" borderId="42" xfId="0" applyBorder="1"/>
    <xf numFmtId="0" fontId="66" fillId="66" borderId="10" xfId="0" applyFont="1" applyFill="1" applyBorder="1" applyAlignment="1">
      <alignment horizontal="center" vertical="center" wrapText="1" readingOrder="1"/>
    </xf>
    <xf numFmtId="0" fontId="67" fillId="66" borderId="10" xfId="0" applyFont="1" applyFill="1" applyBorder="1" applyAlignment="1">
      <alignment horizontal="center" vertical="center" wrapText="1" readingOrder="1"/>
    </xf>
    <xf numFmtId="9" fontId="67" fillId="66" borderId="10" xfId="0" applyNumberFormat="1" applyFont="1" applyFill="1" applyBorder="1" applyAlignment="1">
      <alignment horizontal="center" vertical="center" wrapText="1" readingOrder="1"/>
    </xf>
    <xf numFmtId="10" fontId="67" fillId="67" borderId="10" xfId="0" applyNumberFormat="1" applyFont="1" applyFill="1" applyBorder="1" applyAlignment="1">
      <alignment horizontal="center" vertical="center" wrapText="1" readingOrder="1"/>
    </xf>
    <xf numFmtId="4" fontId="67" fillId="66" borderId="10" xfId="0" applyNumberFormat="1" applyFont="1" applyFill="1" applyBorder="1" applyAlignment="1">
      <alignment horizontal="center" vertical="center" wrapText="1" readingOrder="1"/>
    </xf>
    <xf numFmtId="4" fontId="67" fillId="67" borderId="10" xfId="0" applyNumberFormat="1" applyFont="1" applyFill="1" applyBorder="1" applyAlignment="1">
      <alignment horizontal="center" vertical="center" wrapText="1" readingOrder="1"/>
    </xf>
    <xf numFmtId="0" fontId="69" fillId="66" borderId="10" xfId="0" applyFont="1" applyFill="1" applyBorder="1" applyAlignment="1">
      <alignment horizontal="center" vertical="center" wrapText="1" readingOrder="1"/>
    </xf>
    <xf numFmtId="0" fontId="69" fillId="67" borderId="10" xfId="0" applyFont="1" applyFill="1" applyBorder="1" applyAlignment="1">
      <alignment horizontal="center" vertical="center" wrapText="1" readingOrder="1"/>
    </xf>
    <xf numFmtId="166" fontId="17" fillId="68" borderId="10" xfId="0" applyNumberFormat="1" applyFont="1" applyFill="1" applyBorder="1" applyAlignment="1">
      <alignment horizontal="center" vertical="center"/>
    </xf>
    <xf numFmtId="0" fontId="42" fillId="33" borderId="18" xfId="44" applyFont="1" applyFill="1" applyBorder="1" applyAlignment="1">
      <alignment vertical="center"/>
    </xf>
    <xf numFmtId="0" fontId="43" fillId="33" borderId="0" xfId="44" applyFont="1" applyFill="1" applyAlignment="1">
      <alignment vertical="center"/>
    </xf>
    <xf numFmtId="0" fontId="42" fillId="33" borderId="0" xfId="44" applyFont="1" applyFill="1" applyAlignment="1">
      <alignment vertical="center"/>
    </xf>
    <xf numFmtId="167" fontId="30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36" borderId="0" xfId="0" applyFill="1"/>
    <xf numFmtId="177" fontId="0" fillId="0" borderId="0" xfId="0" applyNumberFormat="1" applyAlignment="1">
      <alignment horizontal="center"/>
    </xf>
    <xf numFmtId="0" fontId="0" fillId="36" borderId="12" xfId="0" applyFill="1" applyBorder="1"/>
    <xf numFmtId="0" fontId="0" fillId="36" borderId="10" xfId="0" applyFill="1" applyBorder="1"/>
    <xf numFmtId="0" fontId="0" fillId="36" borderId="17" xfId="0" applyFill="1" applyBorder="1"/>
    <xf numFmtId="0" fontId="0" fillId="69" borderId="12" xfId="0" applyFill="1" applyBorder="1" applyAlignment="1">
      <alignment horizontal="left" vertical="center"/>
    </xf>
    <xf numFmtId="0" fontId="0" fillId="69" borderId="10" xfId="0" applyFill="1" applyBorder="1" applyAlignment="1">
      <alignment horizontal="left" vertical="center"/>
    </xf>
    <xf numFmtId="0" fontId="0" fillId="69" borderId="16" xfId="0" applyFill="1" applyBorder="1" applyAlignment="1">
      <alignment horizontal="left" vertical="center"/>
    </xf>
    <xf numFmtId="0" fontId="0" fillId="34" borderId="12" xfId="0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34" borderId="16" xfId="0" applyFill="1" applyBorder="1" applyAlignment="1">
      <alignment horizontal="left" vertical="center"/>
    </xf>
    <xf numFmtId="0" fontId="0" fillId="36" borderId="35" xfId="0" applyFill="1" applyBorder="1"/>
    <xf numFmtId="167" fontId="30" fillId="0" borderId="0" xfId="0" applyNumberFormat="1" applyFont="1" applyAlignment="1">
      <alignment vertical="center"/>
    </xf>
    <xf numFmtId="167" fontId="66" fillId="0" borderId="0" xfId="0" applyNumberFormat="1" applyFont="1" applyAlignment="1">
      <alignment horizontal="center" vertical="center"/>
    </xf>
    <xf numFmtId="167" fontId="70" fillId="0" borderId="0" xfId="0" applyNumberFormat="1" applyFont="1" applyAlignment="1">
      <alignment horizontal="center" vertical="center"/>
    </xf>
    <xf numFmtId="4" fontId="63" fillId="0" borderId="41" xfId="0" applyNumberFormat="1" applyFont="1" applyBorder="1" applyAlignment="1">
      <alignment vertical="center"/>
    </xf>
    <xf numFmtId="4" fontId="63" fillId="0" borderId="42" xfId="0" applyNumberFormat="1" applyFont="1" applyBorder="1" applyAlignment="1">
      <alignment vertical="center"/>
    </xf>
    <xf numFmtId="180" fontId="30" fillId="0" borderId="0" xfId="0" applyNumberFormat="1" applyFont="1" applyAlignment="1">
      <alignment vertical="center"/>
    </xf>
    <xf numFmtId="167" fontId="0" fillId="0" borderId="0" xfId="0" applyNumberFormat="1" applyAlignment="1">
      <alignment horizontal="center" vertical="center"/>
    </xf>
    <xf numFmtId="0" fontId="32" fillId="33" borderId="0" xfId="44" applyFont="1" applyFill="1" applyAlignment="1">
      <alignment vertical="center" wrapText="1"/>
    </xf>
    <xf numFmtId="0" fontId="33" fillId="33" borderId="55" xfId="43" applyFont="1" applyFill="1" applyBorder="1" applyAlignment="1">
      <alignment horizontal="center" vertical="center" wrapText="1"/>
    </xf>
    <xf numFmtId="165" fontId="33" fillId="33" borderId="39" xfId="43" applyNumberFormat="1" applyFont="1" applyFill="1" applyBorder="1" applyAlignment="1">
      <alignment horizontal="center" vertical="center" wrapText="1"/>
    </xf>
    <xf numFmtId="169" fontId="33" fillId="33" borderId="50" xfId="43" applyNumberFormat="1" applyFont="1" applyFill="1" applyBorder="1" applyAlignment="1">
      <alignment horizontal="center" vertical="center" wrapText="1"/>
    </xf>
    <xf numFmtId="0" fontId="16" fillId="0" borderId="45" xfId="0" applyFont="1" applyBorder="1"/>
    <xf numFmtId="0" fontId="16" fillId="0" borderId="37" xfId="0" applyFont="1" applyBorder="1" applyAlignment="1">
      <alignment wrapText="1"/>
    </xf>
    <xf numFmtId="0" fontId="16" fillId="0" borderId="37" xfId="0" applyFont="1" applyBorder="1"/>
    <xf numFmtId="0" fontId="16" fillId="0" borderId="38" xfId="0" applyFont="1" applyBorder="1"/>
    <xf numFmtId="0" fontId="33" fillId="33" borderId="47" xfId="43" applyFont="1" applyFill="1" applyBorder="1" applyAlignment="1">
      <alignment vertical="center" wrapText="1"/>
    </xf>
    <xf numFmtId="0" fontId="33" fillId="33" borderId="49" xfId="43" applyFont="1" applyFill="1" applyBorder="1" applyAlignment="1">
      <alignment vertical="center" wrapText="1"/>
    </xf>
    <xf numFmtId="182" fontId="33" fillId="33" borderId="18" xfId="43" applyNumberFormat="1" applyFont="1" applyFill="1" applyBorder="1" applyAlignment="1">
      <alignment vertical="center" wrapText="1"/>
    </xf>
    <xf numFmtId="182" fontId="33" fillId="33" borderId="50" xfId="43" applyNumberFormat="1" applyFont="1" applyFill="1" applyBorder="1" applyAlignment="1">
      <alignment vertical="center" wrapText="1"/>
    </xf>
    <xf numFmtId="164" fontId="33" fillId="33" borderId="18" xfId="43" applyNumberFormat="1" applyFont="1" applyFill="1" applyBorder="1" applyAlignment="1">
      <alignment vertical="center" wrapText="1"/>
    </xf>
    <xf numFmtId="164" fontId="33" fillId="33" borderId="50" xfId="43" applyNumberFormat="1" applyFont="1" applyFill="1" applyBorder="1" applyAlignment="1">
      <alignment vertical="center" wrapText="1"/>
    </xf>
    <xf numFmtId="0" fontId="30" fillId="0" borderId="0" xfId="0" quotePrefix="1" applyFont="1" applyAlignment="1">
      <alignment horizontal="left" vertical="top"/>
    </xf>
    <xf numFmtId="0" fontId="30" fillId="41" borderId="0" xfId="0" quotePrefix="1" applyFont="1" applyFill="1" applyAlignment="1">
      <alignment horizontal="left" vertical="top"/>
    </xf>
    <xf numFmtId="167" fontId="0" fillId="41" borderId="0" xfId="0" applyNumberFormat="1" applyFill="1" applyAlignment="1">
      <alignment horizontal="center" vertical="center"/>
    </xf>
    <xf numFmtId="0" fontId="68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0" fillId="0" borderId="99" xfId="0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110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3" fillId="71" borderId="111" xfId="0" applyFont="1" applyFill="1" applyBorder="1" applyAlignment="1">
      <alignment horizontal="center" vertical="center" wrapText="1"/>
    </xf>
    <xf numFmtId="2" fontId="0" fillId="0" borderId="111" xfId="0" applyNumberFormat="1" applyBorder="1"/>
    <xf numFmtId="181" fontId="72" fillId="70" borderId="10" xfId="0" applyNumberFormat="1" applyFont="1" applyFill="1" applyBorder="1" applyAlignment="1">
      <alignment horizontal="center" vertical="center" wrapText="1"/>
    </xf>
    <xf numFmtId="2" fontId="72" fillId="70" borderId="10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81" fontId="73" fillId="35" borderId="10" xfId="0" applyNumberFormat="1" applyFont="1" applyFill="1" applyBorder="1" applyAlignment="1">
      <alignment horizontal="center" vertical="center" wrapText="1"/>
    </xf>
    <xf numFmtId="0" fontId="0" fillId="50" borderId="0" xfId="0" applyFill="1"/>
    <xf numFmtId="164" fontId="0" fillId="0" borderId="12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" fontId="0" fillId="0" borderId="1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15" xfId="0" applyBorder="1"/>
    <xf numFmtId="2" fontId="0" fillId="0" borderId="0" xfId="0" applyNumberFormat="1"/>
    <xf numFmtId="0" fontId="0" fillId="0" borderId="13" xfId="0" applyBorder="1"/>
    <xf numFmtId="0" fontId="0" fillId="0" borderId="14" xfId="0" applyBorder="1"/>
    <xf numFmtId="164" fontId="0" fillId="65" borderId="0" xfId="0" applyNumberFormat="1" applyFill="1" applyAlignment="1">
      <alignment horizontal="center" vertical="center"/>
    </xf>
    <xf numFmtId="164" fontId="0" fillId="65" borderId="37" xfId="0" applyNumberFormat="1" applyFill="1" applyBorder="1" applyAlignment="1">
      <alignment horizontal="center" vertical="center"/>
    </xf>
    <xf numFmtId="164" fontId="0" fillId="65" borderId="41" xfId="0" applyNumberFormat="1" applyFill="1" applyBorder="1" applyAlignment="1">
      <alignment horizontal="center" vertical="center"/>
    </xf>
    <xf numFmtId="164" fontId="0" fillId="37" borderId="109" xfId="0" applyNumberFormat="1" applyFill="1" applyBorder="1" applyAlignment="1">
      <alignment horizontal="center"/>
    </xf>
    <xf numFmtId="164" fontId="0" fillId="37" borderId="37" xfId="0" applyNumberFormat="1" applyFill="1" applyBorder="1" applyAlignment="1">
      <alignment horizontal="center"/>
    </xf>
    <xf numFmtId="164" fontId="0" fillId="37" borderId="98" xfId="0" applyNumberFormat="1" applyFill="1" applyBorder="1" applyAlignment="1">
      <alignment horizontal="center"/>
    </xf>
    <xf numFmtId="164" fontId="0" fillId="37" borderId="41" xfId="0" applyNumberFormat="1" applyFill="1" applyBorder="1" applyAlignment="1">
      <alignment horizontal="center"/>
    </xf>
    <xf numFmtId="0" fontId="16" fillId="50" borderId="19" xfId="0" applyFont="1" applyFill="1" applyBorder="1" applyAlignment="1">
      <alignment horizontal="center"/>
    </xf>
    <xf numFmtId="1" fontId="16" fillId="50" borderId="112" xfId="0" applyNumberFormat="1" applyFont="1" applyFill="1" applyBorder="1" applyAlignment="1">
      <alignment horizontal="center"/>
    </xf>
    <xf numFmtId="0" fontId="16" fillId="50" borderId="44" xfId="0" applyFont="1" applyFill="1" applyBorder="1" applyAlignment="1">
      <alignment horizontal="center"/>
    </xf>
    <xf numFmtId="0" fontId="16" fillId="46" borderId="0" xfId="0" applyFont="1" applyFill="1" applyAlignment="1">
      <alignment horizontal="center"/>
    </xf>
    <xf numFmtId="0" fontId="16" fillId="0" borderId="10" xfId="0" applyFont="1" applyBorder="1"/>
    <xf numFmtId="2" fontId="0" fillId="0" borderId="10" xfId="0" applyNumberFormat="1" applyBorder="1"/>
    <xf numFmtId="0" fontId="16" fillId="46" borderId="0" xfId="0" applyFont="1" applyFill="1" applyAlignment="1">
      <alignment horizont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25" fillId="46" borderId="0" xfId="0" applyFont="1" applyFill="1" applyAlignment="1">
      <alignment horizontal="center" wrapText="1"/>
    </xf>
    <xf numFmtId="0" fontId="16" fillId="50" borderId="43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2" fontId="0" fillId="0" borderId="10" xfId="0" applyNumberFormat="1" applyBorder="1" applyAlignment="1">
      <alignment horizontal="center"/>
    </xf>
    <xf numFmtId="0" fontId="16" fillId="0" borderId="0" xfId="0" applyFont="1" applyAlignment="1">
      <alignment wrapText="1"/>
    </xf>
    <xf numFmtId="2" fontId="0" fillId="46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174" fontId="0" fillId="0" borderId="0" xfId="0" applyNumberFormat="1"/>
    <xf numFmtId="174" fontId="0" fillId="0" borderId="0" xfId="0" applyNumberFormat="1" applyAlignment="1">
      <alignment horizontal="center" vertical="center"/>
    </xf>
    <xf numFmtId="2" fontId="0" fillId="37" borderId="0" xfId="0" applyNumberFormat="1" applyFill="1" applyAlignment="1">
      <alignment horizontal="center" vertical="center"/>
    </xf>
    <xf numFmtId="0" fontId="0" fillId="37" borderId="0" xfId="0" applyFill="1" applyAlignment="1">
      <alignment horizontal="center"/>
    </xf>
    <xf numFmtId="170" fontId="16" fillId="37" borderId="0" xfId="0" applyNumberFormat="1" applyFont="1" applyFill="1" applyAlignment="1">
      <alignment horizontal="center" vertical="center"/>
    </xf>
    <xf numFmtId="0" fontId="16" fillId="37" borderId="0" xfId="0" applyFont="1" applyFill="1" applyAlignment="1">
      <alignment horizontal="center"/>
    </xf>
    <xf numFmtId="3" fontId="0" fillId="37" borderId="0" xfId="0" applyNumberFormat="1" applyFill="1"/>
    <xf numFmtId="164" fontId="0" fillId="0" borderId="12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 wrapText="1"/>
    </xf>
    <xf numFmtId="164" fontId="18" fillId="33" borderId="18" xfId="43" applyNumberFormat="1" applyFont="1" applyFill="1" applyBorder="1" applyAlignment="1">
      <alignment horizontal="center" vertical="center" wrapText="1"/>
    </xf>
    <xf numFmtId="0" fontId="34" fillId="43" borderId="25" xfId="0" applyFont="1" applyFill="1" applyBorder="1" applyAlignment="1">
      <alignment horizontal="center"/>
    </xf>
    <xf numFmtId="0" fontId="34" fillId="43" borderId="32" xfId="0" applyFont="1" applyFill="1" applyBorder="1" applyAlignment="1">
      <alignment horizontal="center"/>
    </xf>
    <xf numFmtId="0" fontId="34" fillId="43" borderId="33" xfId="0" applyFont="1" applyFill="1" applyBorder="1" applyAlignment="1">
      <alignment horizontal="center"/>
    </xf>
    <xf numFmtId="0" fontId="27" fillId="39" borderId="18" xfId="43" applyFont="1" applyFill="1" applyBorder="1" applyAlignment="1">
      <alignment horizontal="left" vertical="center" wrapText="1"/>
    </xf>
    <xf numFmtId="0" fontId="28" fillId="40" borderId="18" xfId="43" applyFont="1" applyFill="1" applyBorder="1" applyAlignment="1">
      <alignment horizontal="left" vertical="center" wrapText="1"/>
    </xf>
    <xf numFmtId="0" fontId="38" fillId="0" borderId="17" xfId="0" applyFont="1" applyBorder="1"/>
    <xf numFmtId="0" fontId="38" fillId="0" borderId="35" xfId="0" applyFont="1" applyBorder="1"/>
    <xf numFmtId="0" fontId="34" fillId="0" borderId="26" xfId="0" applyFont="1" applyBorder="1" applyAlignment="1">
      <alignment horizontal="center" wrapText="1"/>
    </xf>
    <xf numFmtId="0" fontId="34" fillId="0" borderId="100" xfId="0" applyFont="1" applyBorder="1" applyAlignment="1">
      <alignment horizontal="center" wrapText="1"/>
    </xf>
    <xf numFmtId="0" fontId="34" fillId="0" borderId="80" xfId="0" applyFont="1" applyBorder="1" applyAlignment="1">
      <alignment horizontal="center" wrapText="1"/>
    </xf>
    <xf numFmtId="0" fontId="34" fillId="0" borderId="101" xfId="0" applyFont="1" applyBorder="1" applyAlignment="1">
      <alignment horizontal="center" wrapText="1"/>
    </xf>
    <xf numFmtId="0" fontId="34" fillId="0" borderId="102" xfId="0" applyFont="1" applyBorder="1" applyAlignment="1">
      <alignment horizontal="center" wrapText="1"/>
    </xf>
    <xf numFmtId="0" fontId="34" fillId="0" borderId="78" xfId="0" applyFont="1" applyBorder="1" applyAlignment="1">
      <alignment horizontal="center" wrapText="1"/>
    </xf>
    <xf numFmtId="1" fontId="0" fillId="58" borderId="0" xfId="62" applyNumberFormat="1" applyFont="1" applyFill="1" applyAlignment="1">
      <alignment horizontal="left" vertical="center"/>
    </xf>
    <xf numFmtId="0" fontId="0" fillId="63" borderId="64" xfId="62" applyFont="1" applyFill="1" applyBorder="1" applyAlignment="1">
      <alignment horizontal="center" vertical="center" wrapText="1"/>
    </xf>
    <xf numFmtId="0" fontId="0" fillId="63" borderId="10" xfId="62" applyFont="1" applyFill="1" applyBorder="1" applyAlignment="1">
      <alignment horizontal="center" vertical="center" wrapText="1"/>
    </xf>
    <xf numFmtId="0" fontId="0" fillId="62" borderId="57" xfId="62" applyFont="1" applyFill="1" applyBorder="1" applyAlignment="1">
      <alignment horizontal="center" vertical="center"/>
    </xf>
    <xf numFmtId="0" fontId="0" fillId="62" borderId="61" xfId="62" applyFont="1" applyFill="1" applyBorder="1" applyAlignment="1">
      <alignment horizontal="center" vertical="center"/>
    </xf>
    <xf numFmtId="0" fontId="0" fillId="0" borderId="0" xfId="62" applyFont="1" applyAlignment="1">
      <alignment horizontal="center" vertical="center"/>
    </xf>
    <xf numFmtId="0" fontId="0" fillId="63" borderId="64" xfId="62" applyFont="1" applyFill="1" applyBorder="1" applyAlignment="1">
      <alignment horizontal="center" vertical="center"/>
    </xf>
    <xf numFmtId="0" fontId="0" fillId="63" borderId="10" xfId="62" applyFont="1" applyFill="1" applyBorder="1" applyAlignment="1">
      <alignment horizontal="center" vertical="center"/>
    </xf>
    <xf numFmtId="0" fontId="0" fillId="0" borderId="61" xfId="62" applyFont="1" applyBorder="1" applyAlignment="1">
      <alignment horizontal="center" vertical="center"/>
    </xf>
    <xf numFmtId="0" fontId="49" fillId="0" borderId="0" xfId="62" applyFont="1" applyAlignment="1">
      <alignment horizontal="center" vertical="center"/>
    </xf>
    <xf numFmtId="0" fontId="55" fillId="0" borderId="0" xfId="62" applyFont="1" applyAlignment="1">
      <alignment horizontal="center" wrapText="1"/>
    </xf>
    <xf numFmtId="0" fontId="23" fillId="62" borderId="63" xfId="62" applyFill="1" applyBorder="1" applyAlignment="1">
      <alignment horizontal="center" vertical="center"/>
    </xf>
    <xf numFmtId="0" fontId="0" fillId="63" borderId="68" xfId="62" applyFont="1" applyFill="1" applyBorder="1" applyAlignment="1">
      <alignment horizontal="center" vertical="center" wrapText="1"/>
    </xf>
    <xf numFmtId="0" fontId="0" fillId="63" borderId="17" xfId="62" applyFont="1" applyFill="1" applyBorder="1" applyAlignment="1">
      <alignment horizontal="center" vertical="center" wrapText="1"/>
    </xf>
    <xf numFmtId="0" fontId="0" fillId="62" borderId="63" xfId="62" applyFont="1" applyFill="1" applyBorder="1" applyAlignment="1">
      <alignment horizontal="center" vertical="center" wrapText="1"/>
    </xf>
    <xf numFmtId="0" fontId="0" fillId="63" borderId="69" xfId="62" applyFont="1" applyFill="1" applyBorder="1" applyAlignment="1">
      <alignment horizontal="center" vertical="center" wrapText="1"/>
    </xf>
    <xf numFmtId="0" fontId="0" fillId="63" borderId="70" xfId="62" applyFont="1" applyFill="1" applyBorder="1" applyAlignment="1">
      <alignment horizontal="center" vertical="center" wrapText="1"/>
    </xf>
    <xf numFmtId="0" fontId="0" fillId="63" borderId="71" xfId="62" applyFont="1" applyFill="1" applyBorder="1" applyAlignment="1">
      <alignment horizontal="center" vertical="center" wrapText="1"/>
    </xf>
    <xf numFmtId="0" fontId="0" fillId="63" borderId="72" xfId="62" applyFont="1" applyFill="1" applyBorder="1" applyAlignment="1">
      <alignment horizontal="center" vertical="center" wrapText="1"/>
    </xf>
    <xf numFmtId="0" fontId="0" fillId="63" borderId="73" xfId="62" applyFont="1" applyFill="1" applyBorder="1" applyAlignment="1">
      <alignment horizontal="center" vertical="center" wrapText="1"/>
    </xf>
    <xf numFmtId="174" fontId="0" fillId="58" borderId="0" xfId="62" applyNumberFormat="1" applyFont="1" applyFill="1" applyAlignment="1">
      <alignment horizontal="left" vertical="center"/>
    </xf>
    <xf numFmtId="0" fontId="53" fillId="55" borderId="63" xfId="62" applyFont="1" applyFill="1" applyBorder="1" applyAlignment="1">
      <alignment horizontal="center" vertical="center" wrapText="1"/>
    </xf>
    <xf numFmtId="0" fontId="53" fillId="55" borderId="65" xfId="62" applyFont="1" applyFill="1" applyBorder="1" applyAlignment="1">
      <alignment horizontal="center" vertical="center" wrapText="1"/>
    </xf>
    <xf numFmtId="0" fontId="23" fillId="62" borderId="74" xfId="62" applyFill="1" applyBorder="1" applyAlignment="1">
      <alignment horizontal="center" vertical="center" wrapText="1"/>
    </xf>
    <xf numFmtId="0" fontId="23" fillId="62" borderId="76" xfId="62" applyFill="1" applyBorder="1" applyAlignment="1">
      <alignment horizontal="center" vertical="center" wrapText="1"/>
    </xf>
    <xf numFmtId="0" fontId="23" fillId="63" borderId="57" xfId="62" applyFill="1" applyBorder="1" applyAlignment="1">
      <alignment horizontal="center" vertical="center" wrapText="1"/>
    </xf>
    <xf numFmtId="0" fontId="23" fillId="63" borderId="75" xfId="62" applyFill="1" applyBorder="1" applyAlignment="1">
      <alignment horizontal="center" vertical="center" wrapText="1"/>
    </xf>
    <xf numFmtId="0" fontId="23" fillId="63" borderId="77" xfId="62" applyFill="1" applyBorder="1" applyAlignment="1">
      <alignment horizontal="center" vertical="center" wrapText="1"/>
    </xf>
    <xf numFmtId="0" fontId="23" fillId="63" borderId="78" xfId="62" applyFill="1" applyBorder="1" applyAlignment="1">
      <alignment horizontal="center" vertical="center" wrapText="1"/>
    </xf>
    <xf numFmtId="0" fontId="23" fillId="62" borderId="74" xfId="62" applyFill="1" applyBorder="1" applyAlignment="1">
      <alignment horizontal="center" vertical="center"/>
    </xf>
    <xf numFmtId="0" fontId="23" fillId="62" borderId="76" xfId="62" applyFill="1" applyBorder="1" applyAlignment="1">
      <alignment horizontal="center" vertical="center"/>
    </xf>
    <xf numFmtId="0" fontId="23" fillId="63" borderId="79" xfId="62" applyFill="1" applyBorder="1" applyAlignment="1">
      <alignment horizontal="center" vertical="center" wrapText="1"/>
    </xf>
    <xf numFmtId="0" fontId="23" fillId="63" borderId="80" xfId="62" applyFill="1" applyBorder="1" applyAlignment="1">
      <alignment horizontal="center" vertical="center" wrapText="1"/>
    </xf>
    <xf numFmtId="0" fontId="0" fillId="63" borderId="67" xfId="62" applyFont="1" applyFill="1" applyBorder="1" applyAlignment="1">
      <alignment horizontal="center" vertical="center"/>
    </xf>
    <xf numFmtId="0" fontId="0" fillId="63" borderId="35" xfId="62" applyFont="1" applyFill="1" applyBorder="1" applyAlignment="1">
      <alignment horizontal="center" vertical="center"/>
    </xf>
    <xf numFmtId="0" fontId="59" fillId="0" borderId="0" xfId="62" applyFont="1" applyAlignment="1">
      <alignment horizontal="center" vertical="center" wrapText="1"/>
    </xf>
    <xf numFmtId="0" fontId="57" fillId="49" borderId="86" xfId="62" applyFont="1" applyFill="1" applyBorder="1" applyAlignment="1">
      <alignment horizontal="center" wrapText="1"/>
    </xf>
    <xf numFmtId="0" fontId="57" fillId="49" borderId="88" xfId="62" applyFont="1" applyFill="1" applyBorder="1" applyAlignment="1">
      <alignment horizontal="center" wrapText="1"/>
    </xf>
    <xf numFmtId="0" fontId="0" fillId="63" borderId="89" xfId="62" applyFont="1" applyFill="1" applyBorder="1" applyAlignment="1">
      <alignment horizontal="center" vertical="center"/>
    </xf>
    <xf numFmtId="0" fontId="0" fillId="63" borderId="66" xfId="62" applyFont="1" applyFill="1" applyBorder="1" applyAlignment="1">
      <alignment horizontal="center" vertical="center"/>
    </xf>
    <xf numFmtId="0" fontId="23" fillId="62" borderId="82" xfId="62" applyFill="1" applyBorder="1" applyAlignment="1">
      <alignment horizontal="center" vertical="center"/>
    </xf>
    <xf numFmtId="0" fontId="23" fillId="63" borderId="79" xfId="62" applyFill="1" applyBorder="1" applyAlignment="1">
      <alignment horizontal="center" vertical="center"/>
    </xf>
    <xf numFmtId="0" fontId="23" fillId="63" borderId="80" xfId="62" applyFill="1" applyBorder="1" applyAlignment="1">
      <alignment horizontal="center" vertical="center"/>
    </xf>
    <xf numFmtId="0" fontId="23" fillId="63" borderId="61" xfId="62" applyFill="1" applyBorder="1" applyAlignment="1">
      <alignment horizontal="center" vertical="center"/>
    </xf>
    <xf numFmtId="0" fontId="23" fillId="63" borderId="83" xfId="62" applyFill="1" applyBorder="1" applyAlignment="1">
      <alignment horizontal="center" vertical="center"/>
    </xf>
    <xf numFmtId="0" fontId="23" fillId="63" borderId="77" xfId="62" applyFill="1" applyBorder="1" applyAlignment="1">
      <alignment horizontal="center" vertical="center"/>
    </xf>
    <xf numFmtId="0" fontId="23" fillId="63" borderId="78" xfId="62" applyFill="1" applyBorder="1" applyAlignment="1">
      <alignment horizontal="center" vertical="center"/>
    </xf>
    <xf numFmtId="0" fontId="52" fillId="0" borderId="0" xfId="62" applyFont="1" applyAlignment="1">
      <alignment horizontal="center" vertical="center" wrapText="1"/>
    </xf>
    <xf numFmtId="0" fontId="57" fillId="49" borderId="87" xfId="62" applyFont="1" applyFill="1" applyBorder="1" applyAlignment="1">
      <alignment horizontal="center" wrapText="1"/>
    </xf>
    <xf numFmtId="0" fontId="38" fillId="0" borderId="0" xfId="62" applyFont="1" applyAlignment="1">
      <alignment horizontal="center" vertical="center" wrapText="1"/>
    </xf>
    <xf numFmtId="0" fontId="38" fillId="64" borderId="46" xfId="62" applyFont="1" applyFill="1" applyBorder="1" applyAlignment="1">
      <alignment wrapText="1"/>
    </xf>
    <xf numFmtId="0" fontId="38" fillId="64" borderId="91" xfId="62" applyFont="1" applyFill="1" applyBorder="1" applyAlignment="1">
      <alignment wrapText="1"/>
    </xf>
    <xf numFmtId="0" fontId="38" fillId="64" borderId="92" xfId="62" applyFont="1" applyFill="1" applyBorder="1" applyAlignment="1">
      <alignment wrapText="1"/>
    </xf>
    <xf numFmtId="0" fontId="38" fillId="64" borderId="46" xfId="62" applyFont="1" applyFill="1" applyBorder="1" applyAlignment="1">
      <alignment horizontal="left" wrapText="1"/>
    </xf>
    <xf numFmtId="0" fontId="38" fillId="64" borderId="91" xfId="62" applyFont="1" applyFill="1" applyBorder="1" applyAlignment="1">
      <alignment horizontal="left" wrapText="1"/>
    </xf>
    <xf numFmtId="0" fontId="23" fillId="0" borderId="52" xfId="62" applyBorder="1" applyAlignment="1">
      <alignment horizontal="left"/>
    </xf>
    <xf numFmtId="0" fontId="23" fillId="0" borderId="53" xfId="62" applyBorder="1" applyAlignment="1">
      <alignment horizontal="left"/>
    </xf>
    <xf numFmtId="0" fontId="23" fillId="0" borderId="93" xfId="62" applyBorder="1" applyAlignment="1">
      <alignment horizontal="left"/>
    </xf>
    <xf numFmtId="0" fontId="61" fillId="0" borderId="61" xfId="62" applyFont="1" applyBorder="1" applyAlignment="1">
      <alignment horizontal="left"/>
    </xf>
    <xf numFmtId="0" fontId="61" fillId="0" borderId="0" xfId="62" applyFont="1" applyAlignment="1">
      <alignment horizontal="left"/>
    </xf>
  </cellXfs>
  <cellStyles count="7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3" xr:uid="{7952CFC7-FA93-42E3-9D45-27E0AF45294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vínculo 2" xfId="42" xr:uid="{5C106948-87FA-4F1F-828E-5DC5EF59DB50}"/>
    <cellStyle name="Hipervínculo 2 2" xfId="59" xr:uid="{940EE7AB-FDAB-48EB-BB6F-179015B2CACF}"/>
    <cellStyle name="Hipervínculo 2 3" xfId="64" xr:uid="{FBB5A1EB-7A6D-4547-BE69-EF832A93286B}"/>
    <cellStyle name="Hipervínculo 2 4" xfId="67" xr:uid="{8453E5D1-B3E7-49BC-B1C5-D3659DBF89BA}"/>
    <cellStyle name="Hipervínculo 2 5" xfId="56" xr:uid="{B19A24F2-7B60-4C1B-8EF9-9B11BFA56258}"/>
    <cellStyle name="Hyperlink 2" xfId="48" xr:uid="{60E32D62-EC37-43A6-96DC-C9835E86FBA8}"/>
    <cellStyle name="Input" xfId="9" builtinId="20" customBuiltin="1"/>
    <cellStyle name="Linked Cell" xfId="12" builtinId="24" customBuiltin="1"/>
    <cellStyle name="Millares 2" xfId="47" xr:uid="{4274E4A9-B14E-4913-909B-8C9F3519DEA4}"/>
    <cellStyle name="Millares 2 2" xfId="54" xr:uid="{400A21DA-DFC2-42C4-9E4B-C9D1FA43ECA9}"/>
    <cellStyle name="Neutral" xfId="8" builtinId="28" customBuiltin="1"/>
    <cellStyle name="Normal" xfId="0" builtinId="0"/>
    <cellStyle name="Normal 2" xfId="46" xr:uid="{DFC1DBAE-B1A0-497A-AE6F-90F1C6C76B35}"/>
    <cellStyle name="Normal 2 2" xfId="61" xr:uid="{E99F740B-25B8-4990-8F53-9E19E6B65034}"/>
    <cellStyle name="Normal 2 3" xfId="63" xr:uid="{42FF1793-C253-4E96-99C5-D25F6212CD3C}"/>
    <cellStyle name="Normal 2 4" xfId="66" xr:uid="{707DA7E1-720C-4888-8720-8D40990C09DB}"/>
    <cellStyle name="Normal 2 5" xfId="55" xr:uid="{277E16E7-3A4D-4B3B-8060-F2E3DEAEA9F6}"/>
    <cellStyle name="Normal 3" xfId="45" xr:uid="{0F9C197F-AFC5-4D77-B4CD-6270184FF06A}"/>
    <cellStyle name="Normal 3 2" xfId="43" xr:uid="{A6E4D6EF-9471-45BA-9312-72A3AF713186}"/>
    <cellStyle name="Normal 3 3" xfId="49" xr:uid="{E2E023EC-E8E7-4471-9C1E-7AD2AF6CEDF6}"/>
    <cellStyle name="Normal 3 3 2" xfId="52" xr:uid="{FBD76D82-682F-4A0C-AF27-FEC70E5CB8A9}"/>
    <cellStyle name="Normal 3 3 3" xfId="51" xr:uid="{1DA73487-9318-43E5-8CA4-A682C74B4481}"/>
    <cellStyle name="Normal 3 4" xfId="60" xr:uid="{38AAFB04-AE47-4713-91AE-72A30557C31B}"/>
    <cellStyle name="Normal 3 4 2" xfId="70" xr:uid="{2B95A2DB-18C5-4008-A640-564799E23F2C}"/>
    <cellStyle name="Normal 3 4 3" xfId="69" xr:uid="{94F35367-4942-48A6-AEB3-7C67DC9AB60D}"/>
    <cellStyle name="Normal 3 5" xfId="62" xr:uid="{436F7BFA-63BE-4274-9B98-416844524BBD}"/>
    <cellStyle name="Normal 3 6" xfId="65" xr:uid="{D6AA6007-0670-4405-823D-EAD7FEC1781F}"/>
    <cellStyle name="Normal 3 7" xfId="50" xr:uid="{7D09D4BE-D637-4501-8ABC-7EC4D63F53FD}"/>
    <cellStyle name="Normal 4" xfId="58" xr:uid="{055DB1F7-0567-43C8-BF33-898345A70FD9}"/>
    <cellStyle name="Normal_all-ws" xfId="44" xr:uid="{F63BC2CF-E130-4406-BAEC-A1811D4123D1}"/>
    <cellStyle name="Note" xfId="15" builtinId="10" customBuiltin="1"/>
    <cellStyle name="Output" xfId="10" builtinId="21" customBuiltin="1"/>
    <cellStyle name="Percent" xfId="68" builtinId="5"/>
    <cellStyle name="Porcentaje 2" xfId="57" xr:uid="{2CBB48E8-F9A3-43EE-AF6A-850513A0A6C3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v>Bosque protegido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Coberturas!$L$1:$AA$1</c:f>
              <c:numCache>
                <c:formatCode>#,##0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Coberturas!$L$11:$AA$11</c:f>
              <c:numCache>
                <c:formatCode>#,##0</c:formatCode>
                <c:ptCount val="16"/>
                <c:pt idx="0">
                  <c:v>5959.8926200000005</c:v>
                </c:pt>
                <c:pt idx="1">
                  <c:v>5841.0949999999993</c:v>
                </c:pt>
                <c:pt idx="2">
                  <c:v>5841.0949999999993</c:v>
                </c:pt>
                <c:pt idx="3">
                  <c:v>5838.2328634499991</c:v>
                </c:pt>
                <c:pt idx="4">
                  <c:v>5835.3721293469089</c:v>
                </c:pt>
                <c:pt idx="5">
                  <c:v>5832.5127970035292</c:v>
                </c:pt>
                <c:pt idx="6">
                  <c:v>5829.6548657329977</c:v>
                </c:pt>
                <c:pt idx="7">
                  <c:v>5826.7983348487887</c:v>
                </c:pt>
                <c:pt idx="8">
                  <c:v>5823.9432036647131</c:v>
                </c:pt>
                <c:pt idx="9">
                  <c:v>5821.0894714949172</c:v>
                </c:pt>
                <c:pt idx="10">
                  <c:v>5818.2371376538849</c:v>
                </c:pt>
                <c:pt idx="11">
                  <c:v>5815.3862014564347</c:v>
                </c:pt>
                <c:pt idx="12">
                  <c:v>5812.5366622177207</c:v>
                </c:pt>
                <c:pt idx="13">
                  <c:v>5809.6885192532336</c:v>
                </c:pt>
                <c:pt idx="14">
                  <c:v>5806.8417718787996</c:v>
                </c:pt>
                <c:pt idx="15">
                  <c:v>5803.9964194105787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A-4C24-95DF-7A95AFF9B156}"/>
            </c:ext>
          </c:extLst>
        </c:ser>
        <c:ser>
          <c:idx val="1"/>
          <c:order val="1"/>
          <c:tx>
            <c:v>Bosque sin proteger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Coberturas!$L$1:$AA$1</c:f>
              <c:numCache>
                <c:formatCode>#,##0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cat>
          <c:val>
            <c:numRef>
              <c:f>Coberturas!$L$12:$AA$12</c:f>
              <c:numCache>
                <c:formatCode>#,##0</c:formatCode>
                <c:ptCount val="16"/>
                <c:pt idx="0">
                  <c:v>6402.21</c:v>
                </c:pt>
                <c:pt idx="1">
                  <c:v>6308.2599999999993</c:v>
                </c:pt>
                <c:pt idx="2">
                  <c:v>6215.02</c:v>
                </c:pt>
                <c:pt idx="3">
                  <c:v>6122.49</c:v>
                </c:pt>
                <c:pt idx="4">
                  <c:v>6030.66</c:v>
                </c:pt>
                <c:pt idx="5">
                  <c:v>5939.54</c:v>
                </c:pt>
                <c:pt idx="6">
                  <c:v>5849.1</c:v>
                </c:pt>
                <c:pt idx="7">
                  <c:v>5759.35</c:v>
                </c:pt>
                <c:pt idx="8">
                  <c:v>5670.29</c:v>
                </c:pt>
                <c:pt idx="9">
                  <c:v>5581.9</c:v>
                </c:pt>
                <c:pt idx="10">
                  <c:v>5494.18</c:v>
                </c:pt>
                <c:pt idx="11">
                  <c:v>5407.13</c:v>
                </c:pt>
                <c:pt idx="12">
                  <c:v>5320.74</c:v>
                </c:pt>
                <c:pt idx="13">
                  <c:v>5235.01</c:v>
                </c:pt>
                <c:pt idx="14">
                  <c:v>5149.92</c:v>
                </c:pt>
                <c:pt idx="15">
                  <c:v>5065.49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A-4C24-95DF-7A95AFF9B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638976"/>
        <c:axId val="1036639456"/>
      </c:areaChart>
      <c:catAx>
        <c:axId val="1036638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36639456"/>
        <c:crosses val="autoZero"/>
        <c:auto val="1"/>
        <c:lblAlgn val="ctr"/>
        <c:lblOffset val="100"/>
        <c:noMultiLvlLbl val="0"/>
      </c:catAx>
      <c:valAx>
        <c:axId val="10366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Área [miles de Ha]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3663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133349</xdr:colOff>
      <xdr:row>3</xdr:row>
      <xdr:rowOff>158750</xdr:rowOff>
    </xdr:from>
    <xdr:to>
      <xdr:col>72</xdr:col>
      <xdr:colOff>126999</xdr:colOff>
      <xdr:row>21</xdr:row>
      <xdr:rowOff>342900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97D34-97A1-32CF-F34D-341290618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9525</xdr:colOff>
      <xdr:row>12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631CB1-248C-DE55-4417-D6F75367755D}"/>
            </a:ext>
          </a:extLst>
        </xdr:cNvPr>
        <xdr:cNvSpPr txBox="1"/>
      </xdr:nvSpPr>
      <xdr:spPr>
        <a:xfrm>
          <a:off x="34731325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LID4096" sz="1100" kern="12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fernando\Downloads\Plantilla_EscenarioTendencial_USCUSS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ción-UTCUTS_Osemosys"/>
      <sheetName val="Calibración-UTCUTS2"/>
      <sheetName val="Drivers_macroeconómicos_USCUSS"/>
      <sheetName val="Calibración_BAU_USCUSS"/>
      <sheetName val="Emisiones_USCUSS"/>
      <sheetName val="Costos_USCUSS"/>
      <sheetName val="Beneficios_USCUSS"/>
      <sheetName val="Proyecciones BAU - Agricultura"/>
      <sheetName val="Emisiones UTCUTS-OseMOSYS"/>
      <sheetName val="Gráficos Agricultura-OseMOSYS"/>
      <sheetName val="Gráficos UTCUTS-OseMOSYS"/>
      <sheetName val="Drivers Económicos"/>
    </sheetNames>
    <sheetDataSet>
      <sheetData sheetId="0"/>
      <sheetData sheetId="1"/>
      <sheetData sheetId="2">
        <row r="8">
          <cell r="E8">
            <v>1.4367158444419589E-2</v>
          </cell>
          <cell r="F8">
            <v>1.4052420473354565E-2</v>
          </cell>
          <cell r="G8">
            <v>1.374215669864322E-2</v>
          </cell>
          <cell r="H8">
            <v>1.3443258194889302E-2</v>
          </cell>
          <cell r="I8">
            <v>1.3151815306267202E-2</v>
          </cell>
          <cell r="J8">
            <v>1.2861703874005075E-2</v>
          </cell>
          <cell r="K8">
            <v>1.2578127132882103E-2</v>
          </cell>
          <cell r="L8">
            <v>1.2289214118120338E-2</v>
          </cell>
          <cell r="M8">
            <v>1.2004366780842476E-2</v>
          </cell>
          <cell r="N8">
            <v>1.1719412735892039E-2</v>
          </cell>
          <cell r="O8">
            <v>1.1441100154182458E-2</v>
          </cell>
          <cell r="P8">
            <v>1.1158029145882145E-2</v>
          </cell>
          <cell r="Q8">
            <v>1.0877039331322946E-2</v>
          </cell>
          <cell r="R8">
            <v>1.0596300313729809E-2</v>
          </cell>
          <cell r="S8">
            <v>1.0314565267007006E-2</v>
          </cell>
          <cell r="T8">
            <v>1.0036167324643337E-2</v>
          </cell>
          <cell r="U8">
            <v>9.7578079940218582E-3</v>
          </cell>
          <cell r="V8">
            <v>9.4823850380971013E-3</v>
          </cell>
          <cell r="W8">
            <v>9.2058609226263726E-3</v>
          </cell>
          <cell r="X8">
            <v>8.9329899633746653E-3</v>
          </cell>
          <cell r="Y8">
            <v>8.6608441688919881E-3</v>
          </cell>
          <cell r="Z8">
            <v>8.3910585947992999E-3</v>
          </cell>
          <cell r="AA8">
            <v>8.1263866125794136E-3</v>
          </cell>
          <cell r="AB8">
            <v>7.8648286590899275E-3</v>
          </cell>
          <cell r="AC8">
            <v>7.6041043740423392E-3</v>
          </cell>
          <cell r="AD8">
            <v>7.3478859195515696E-3</v>
          </cell>
          <cell r="AE8">
            <v>7.0921484396833222E-3</v>
          </cell>
          <cell r="AF8">
            <v>6.8402955996710651E-3</v>
          </cell>
          <cell r="AG8">
            <v>6.5943833922416442E-3</v>
          </cell>
          <cell r="AH8">
            <v>6.3474286183294653E-3</v>
          </cell>
          <cell r="AI8">
            <v>6.1066126023095278E-3</v>
          </cell>
          <cell r="AJ8">
            <v>5.8720949269734759E-3</v>
          </cell>
          <cell r="AK8">
            <v>5.637577251637424E-3</v>
          </cell>
          <cell r="AL8">
            <v>5.4030595763013721E-3</v>
          </cell>
          <cell r="AM8">
            <v>5.1685419009653202E-3</v>
          </cell>
          <cell r="AN8">
            <v>4.9340242256292683E-3</v>
          </cell>
          <cell r="AO8">
            <v>4.6995065502932164E-3</v>
          </cell>
          <cell r="AP8">
            <v>4.4649888749571645E-3</v>
          </cell>
          <cell r="AQ8">
            <v>4.2304711996211126E-3</v>
          </cell>
          <cell r="AR8">
            <v>3.9959535242850607E-3</v>
          </cell>
          <cell r="AS8">
            <v>3.7614358489490088E-3</v>
          </cell>
          <cell r="AT8">
            <v>3.5269181736129569E-3</v>
          </cell>
          <cell r="AU8">
            <v>3.292400498276905E-3</v>
          </cell>
          <cell r="AV8">
            <v>3.0578828229408531E-3</v>
          </cell>
          <cell r="AW8">
            <v>2.8233651476048012E-3</v>
          </cell>
          <cell r="AX8">
            <v>2.5888474722687493E-3</v>
          </cell>
          <cell r="AY8">
            <v>2.3543297969326974E-3</v>
          </cell>
          <cell r="AZ8">
            <v>2.1198121215966455E-3</v>
          </cell>
          <cell r="BA8">
            <v>1.8852944462605936E-3</v>
          </cell>
          <cell r="BB8">
            <v>1.6507767709245417E-3</v>
          </cell>
          <cell r="BC8">
            <v>1.4162590955884898E-3</v>
          </cell>
          <cell r="BD8">
            <v>1.1817414202524379E-3</v>
          </cell>
        </row>
        <row r="17">
          <cell r="E17">
            <v>1.2105102847670362E-4</v>
          </cell>
          <cell r="F17">
            <v>-7.7876070909342163E-2</v>
          </cell>
          <cell r="G17">
            <v>4.2352512417256946E-2</v>
          </cell>
          <cell r="H17">
            <v>2.6999999999999899E-2</v>
          </cell>
          <cell r="I17">
            <v>3.0999999999999878E-2</v>
          </cell>
          <cell r="J17">
            <v>3.0000000000000037E-2</v>
          </cell>
          <cell r="K17">
            <v>2.6999999999999951E-2</v>
          </cell>
          <cell r="L17">
            <v>2.2999999999999916E-2</v>
          </cell>
          <cell r="M17">
            <v>3.1848225941702696E-2</v>
          </cell>
          <cell r="N17">
            <v>2.8461724666800917E-2</v>
          </cell>
          <cell r="O17">
            <v>2.1959772088564766E-2</v>
          </cell>
          <cell r="P17">
            <v>2.3820424150676402E-2</v>
          </cell>
          <cell r="Q17">
            <v>3.1678202740444431E-2</v>
          </cell>
          <cell r="R17">
            <v>2.46686231798234E-2</v>
          </cell>
          <cell r="S17">
            <v>2.8914332369927402E-2</v>
          </cell>
          <cell r="T17">
            <v>2.3666559688566621E-2</v>
          </cell>
          <cell r="U17">
            <v>2.3644563428100032E-2</v>
          </cell>
          <cell r="V17">
            <v>2.553786741394963E-2</v>
          </cell>
          <cell r="W17">
            <v>2.2691248606760143E-2</v>
          </cell>
          <cell r="X17">
            <v>2.3426989166337061E-2</v>
          </cell>
          <cell r="Y17">
            <v>2.5210937736164583E-2</v>
          </cell>
          <cell r="Z17">
            <v>2.2714646091597963E-2</v>
          </cell>
          <cell r="AA17">
            <v>2.2825748292072491E-2</v>
          </cell>
          <cell r="AB17">
            <v>2.2280909082021228E-2</v>
          </cell>
          <cell r="AC17">
            <v>1.7492826725490636E-2</v>
          </cell>
          <cell r="AD17">
            <v>2.1916425565384295E-2</v>
          </cell>
          <cell r="AE17">
            <v>1.8590676348854761E-2</v>
          </cell>
          <cell r="AF17">
            <v>2.286128729732069E-2</v>
          </cell>
          <cell r="AG17">
            <v>1.8430279383399691E-2</v>
          </cell>
          <cell r="AH17">
            <v>1.79198216109599E-2</v>
          </cell>
          <cell r="AI17">
            <v>1.8253092740425594E-2</v>
          </cell>
          <cell r="AJ17">
            <v>1.8059847732198486E-2</v>
          </cell>
          <cell r="AK17">
            <v>2.0139298723034566E-2</v>
          </cell>
          <cell r="AL17">
            <v>1.7984242429442909E-2</v>
          </cell>
          <cell r="AM17">
            <v>1.7675658627153683E-2</v>
          </cell>
          <cell r="AN17">
            <v>1.7926946927887023E-2</v>
          </cell>
          <cell r="AO17">
            <v>1.7775320168139885E-2</v>
          </cell>
          <cell r="AP17">
            <v>1.79467626211612E-2</v>
          </cell>
          <cell r="AQ17">
            <v>1.7077545149086635E-2</v>
          </cell>
          <cell r="AR17">
            <v>1.6952187103437769E-2</v>
          </cell>
          <cell r="AS17">
            <v>1.6821774262078596E-2</v>
          </cell>
          <cell r="AT17">
            <v>1.6617719393973225E-2</v>
          </cell>
          <cell r="AU17">
            <v>1.6350119346162113E-2</v>
          </cell>
          <cell r="AV17">
            <v>1.6133049669836908E-2</v>
          </cell>
          <cell r="AW17">
            <v>1.5938075983272425E-2</v>
          </cell>
          <cell r="AX17">
            <v>1.5750621368159932E-2</v>
          </cell>
          <cell r="AY17">
            <v>1.5523528923025654E-2</v>
          </cell>
          <cell r="AZ17">
            <v>1.529919336285376E-2</v>
          </cell>
          <cell r="BA17">
            <v>1.5060105293446285E-2</v>
          </cell>
          <cell r="BB17">
            <v>1.4856821927481943E-2</v>
          </cell>
          <cell r="BC17">
            <v>1.4647421182699604E-2</v>
          </cell>
          <cell r="BD17">
            <v>1.4432888467761857E-2</v>
          </cell>
        </row>
        <row r="31">
          <cell r="E31">
            <v>1.6174816953867625E-2</v>
          </cell>
          <cell r="F31">
            <v>3.5757596085640286E-3</v>
          </cell>
          <cell r="G31">
            <v>3.386402385045819E-2</v>
          </cell>
          <cell r="H31">
            <v>3.4438320097123581E-2</v>
          </cell>
          <cell r="I31">
            <v>2.9415818563404118E-2</v>
          </cell>
          <cell r="J31">
            <v>3.1147751184182157E-2</v>
          </cell>
          <cell r="K31">
            <v>2.362375826118801E-2</v>
          </cell>
          <cell r="L31">
            <v>1.9499323779814441E-2</v>
          </cell>
          <cell r="M31">
            <v>2.5409155305889646E-2</v>
          </cell>
          <cell r="N31">
            <v>2.1533112997947419E-2</v>
          </cell>
          <cell r="O31">
            <v>1.2499167821047793E-2</v>
          </cell>
          <cell r="P31">
            <v>1.4523638648411493E-2</v>
          </cell>
          <cell r="Q31">
            <v>2.0908162130826944E-2</v>
          </cell>
          <cell r="R31">
            <v>1.3488719209899693E-2</v>
          </cell>
          <cell r="S31">
            <v>1.7197376510217716E-2</v>
          </cell>
          <cell r="T31">
            <v>1.1970435140424522E-2</v>
          </cell>
          <cell r="U31">
            <v>1.2421047219409613E-2</v>
          </cell>
          <cell r="V31">
            <v>1.4850992801873342E-2</v>
          </cell>
          <cell r="W31">
            <v>1.3227721219412418E-2</v>
          </cell>
          <cell r="X31">
            <v>1.4997547836772892E-2</v>
          </cell>
          <cell r="Y31">
            <v>1.840246173575846E-2</v>
          </cell>
          <cell r="Z31">
            <v>1.7202388777811231E-2</v>
          </cell>
          <cell r="AA31">
            <v>1.9097720006880505E-2</v>
          </cell>
          <cell r="AB31">
            <v>1.9822354163706684E-2</v>
          </cell>
          <cell r="AC31">
            <v>1.6682757869844887E-2</v>
          </cell>
          <cell r="AD31">
            <v>2.2152455120520536E-2</v>
          </cell>
          <cell r="AE31">
            <v>2.0135555061796817E-2</v>
          </cell>
          <cell r="AF31">
            <v>2.5117957740826726E-2</v>
          </cell>
          <cell r="AG31">
            <v>2.1558838667869919E-2</v>
          </cell>
          <cell r="AH31">
            <v>2.1354362868312163E-2</v>
          </cell>
          <cell r="AI31">
            <v>2.2126832405681061E-2</v>
          </cell>
          <cell r="AJ31">
            <v>2.1863658702184544E-2</v>
          </cell>
          <cell r="AK31">
            <v>1.8813415762416363E-2</v>
          </cell>
          <cell r="AL31">
            <v>1.9212938796354283E-2</v>
          </cell>
          <cell r="AM31">
            <v>1.9485560421009341E-2</v>
          </cell>
          <cell r="AN31">
            <v>1.987667537110915E-2</v>
          </cell>
          <cell r="AO31">
            <v>2.0181620842005168E-2</v>
          </cell>
          <cell r="AP31">
            <v>2.0292818286145584E-2</v>
          </cell>
          <cell r="AQ31">
            <v>2.0485970130416482E-2</v>
          </cell>
          <cell r="AR31">
            <v>2.0572735763137479E-2</v>
          </cell>
          <cell r="AS31">
            <v>2.0619634613101907E-2</v>
          </cell>
          <cell r="AT31">
            <v>2.0865689409555473E-2</v>
          </cell>
          <cell r="AU31">
            <v>2.0785266552620155E-2</v>
          </cell>
          <cell r="AV31">
            <v>2.0825873520796609E-2</v>
          </cell>
          <cell r="AW31">
            <v>2.0557618257044732E-2</v>
          </cell>
          <cell r="AX31">
            <v>2.0495041981368155E-2</v>
          </cell>
          <cell r="AY31">
            <v>2.0441334425934155E-2</v>
          </cell>
          <cell r="AZ31">
            <v>2.0335990802199971E-2</v>
          </cell>
          <cell r="BA31">
            <v>2.0240511558450934E-2</v>
          </cell>
          <cell r="BB31">
            <v>2.0329705045703094E-2</v>
          </cell>
          <cell r="BC31">
            <v>2.0399502936287398E-2</v>
          </cell>
          <cell r="BD31">
            <v>2.0456624343492276E-2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B4BE-82E4-4B1C-9FEC-71BF0EDA75CF}">
  <dimension ref="A1:AD38"/>
  <sheetViews>
    <sheetView workbookViewId="0">
      <selection activeCell="H15" sqref="H15"/>
    </sheetView>
  </sheetViews>
  <sheetFormatPr defaultColWidth="8.85546875" defaultRowHeight="15" x14ac:dyDescent="0.25"/>
  <cols>
    <col min="1" max="1" width="16.85546875" customWidth="1"/>
    <col min="2" max="2" width="18.5703125" customWidth="1"/>
    <col min="3" max="15" width="15.140625" customWidth="1"/>
  </cols>
  <sheetData>
    <row r="1" spans="1:30" ht="15.75" thickBot="1" x14ac:dyDescent="0.3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38">
        <v>2023</v>
      </c>
      <c r="Q1" s="38">
        <v>2024</v>
      </c>
      <c r="R1" s="38">
        <v>2025</v>
      </c>
      <c r="S1" s="38">
        <v>2026</v>
      </c>
      <c r="T1" s="38">
        <v>2027</v>
      </c>
      <c r="U1" s="38">
        <v>2028</v>
      </c>
      <c r="V1" s="38">
        <v>2029</v>
      </c>
      <c r="W1" s="38">
        <v>2030</v>
      </c>
      <c r="X1" s="38">
        <v>2031</v>
      </c>
      <c r="Y1" s="38">
        <v>2032</v>
      </c>
      <c r="Z1" s="38">
        <v>2033</v>
      </c>
      <c r="AA1" s="38">
        <v>2034</v>
      </c>
      <c r="AB1" s="38">
        <v>2035</v>
      </c>
      <c r="AC1" s="39"/>
      <c r="AD1" s="39"/>
    </row>
    <row r="2" spans="1:30" x14ac:dyDescent="0.25">
      <c r="A2" s="2" t="s">
        <v>2</v>
      </c>
      <c r="B2" s="3" t="s">
        <v>2</v>
      </c>
      <c r="C2" s="15">
        <v>-19217573.96002011</v>
      </c>
      <c r="D2" s="15">
        <f>+(C2+E2)/2</f>
        <v>-20027828.785399288</v>
      </c>
      <c r="E2" s="15">
        <v>-20838083.61077847</v>
      </c>
      <c r="F2" s="15">
        <f>+(E2+G2)/2</f>
        <v>-22648214.15768446</v>
      </c>
      <c r="G2" s="15">
        <v>-24458344.704590455</v>
      </c>
      <c r="H2" s="15">
        <f>+(G2+I2)/2</f>
        <v>-22793711.41722884</v>
      </c>
      <c r="I2" s="15">
        <v>-21129078.129867222</v>
      </c>
      <c r="J2" s="15">
        <f>+(I2+K2)/2</f>
        <v>-22396709.921292119</v>
      </c>
      <c r="K2" s="15">
        <v>-23664341.712717015</v>
      </c>
      <c r="L2" s="15">
        <v>-24349407.6349594</v>
      </c>
      <c r="M2" s="15">
        <v>-23879007.32801044</v>
      </c>
      <c r="N2" s="15">
        <v>-21069337.086863667</v>
      </c>
      <c r="O2" s="30">
        <v>-18652838.444170143</v>
      </c>
      <c r="P2" s="29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1"/>
    </row>
    <row r="3" spans="1:30" x14ac:dyDescent="0.25">
      <c r="A3" s="4" t="s">
        <v>3</v>
      </c>
      <c r="B3" s="5" t="s">
        <v>2</v>
      </c>
      <c r="C3" s="16">
        <v>-260988.33777499993</v>
      </c>
      <c r="D3" s="16">
        <f t="shared" ref="D3:F37" si="0">+(C3+E3)/2</f>
        <v>-260988.33777499993</v>
      </c>
      <c r="E3" s="16">
        <v>-260988.33777499993</v>
      </c>
      <c r="F3" s="16">
        <f t="shared" si="0"/>
        <v>-260988.33777499993</v>
      </c>
      <c r="G3" s="16">
        <v>-260988.33777499993</v>
      </c>
      <c r="H3" s="16">
        <f t="shared" ref="H3" si="1">+(G3+I3)/2</f>
        <v>-184466.62315491663</v>
      </c>
      <c r="I3" s="16">
        <v>-107944.90853483332</v>
      </c>
      <c r="J3" s="16">
        <f t="shared" ref="J3" si="2">+(I3+K3)/2</f>
        <v>-142695.69859874999</v>
      </c>
      <c r="K3" s="16">
        <v>-177446.4886626667</v>
      </c>
      <c r="L3" s="16">
        <v>-39273.680204916658</v>
      </c>
      <c r="M3" s="16">
        <v>-39273.680204916658</v>
      </c>
      <c r="N3" s="16">
        <v>-47774.419629750002</v>
      </c>
      <c r="O3" s="31">
        <v>-47774.419629750002</v>
      </c>
      <c r="P3" s="2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42"/>
    </row>
    <row r="4" spans="1:30" x14ac:dyDescent="0.25">
      <c r="A4" s="6" t="s">
        <v>4</v>
      </c>
      <c r="B4" s="5" t="s">
        <v>2</v>
      </c>
      <c r="C4" s="16">
        <v>-37381.3033</v>
      </c>
      <c r="D4" s="16">
        <f t="shared" si="0"/>
        <v>-37381.3033</v>
      </c>
      <c r="E4" s="16">
        <v>-37381.3033</v>
      </c>
      <c r="F4" s="16">
        <f t="shared" si="0"/>
        <v>-37381.3033</v>
      </c>
      <c r="G4" s="16">
        <v>-37381.3033</v>
      </c>
      <c r="H4" s="16">
        <f t="shared" ref="H4" si="3">+(G4+I4)/2</f>
        <v>-50955.234336874993</v>
      </c>
      <c r="I4" s="16">
        <v>-64529.165373749987</v>
      </c>
      <c r="J4" s="16">
        <f t="shared" ref="J4" si="4">+(I4+K4)/2</f>
        <v>-77357.533330458333</v>
      </c>
      <c r="K4" s="16">
        <v>-90185.901287166664</v>
      </c>
      <c r="L4" s="16">
        <v>-4884.1189604166666</v>
      </c>
      <c r="M4" s="16">
        <v>-4884.1189604166666</v>
      </c>
      <c r="N4" s="16">
        <v>-1165.999593</v>
      </c>
      <c r="O4" s="31">
        <v>-1165.999593</v>
      </c>
      <c r="P4" s="2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42"/>
    </row>
    <row r="5" spans="1:30" x14ac:dyDescent="0.25">
      <c r="A5" s="6" t="s">
        <v>5</v>
      </c>
      <c r="B5" s="5" t="s">
        <v>2</v>
      </c>
      <c r="C5" s="16">
        <v>-763.30475833333333</v>
      </c>
      <c r="D5" s="16">
        <f t="shared" si="0"/>
        <v>-763.30475833333333</v>
      </c>
      <c r="E5" s="16">
        <v>-763.30475833333333</v>
      </c>
      <c r="F5" s="16">
        <f t="shared" si="0"/>
        <v>-763.30475833333333</v>
      </c>
      <c r="G5" s="16">
        <v>-763.30475833333333</v>
      </c>
      <c r="H5" s="16">
        <f t="shared" ref="H5" si="5">+(G5+I5)/2</f>
        <v>-807.2463565833333</v>
      </c>
      <c r="I5" s="16">
        <v>-851.18795483333327</v>
      </c>
      <c r="J5" s="16">
        <f t="shared" ref="J5" si="6">+(I5+K5)/2</f>
        <v>-610.33435879166666</v>
      </c>
      <c r="K5" s="16">
        <v>-369.48076275</v>
      </c>
      <c r="L5" s="16">
        <v>-412.39086808333332</v>
      </c>
      <c r="M5" s="16">
        <v>-412.39086808333332</v>
      </c>
      <c r="N5" s="16">
        <v>-250.65277874999998</v>
      </c>
      <c r="O5" s="31">
        <v>-250.65277874999998</v>
      </c>
      <c r="P5" s="2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42"/>
    </row>
    <row r="6" spans="1:30" x14ac:dyDescent="0.25">
      <c r="A6" s="6" t="s">
        <v>6</v>
      </c>
      <c r="B6" s="5" t="s">
        <v>2</v>
      </c>
      <c r="C6" s="16">
        <v>0</v>
      </c>
      <c r="D6" s="16">
        <f t="shared" si="0"/>
        <v>0</v>
      </c>
      <c r="E6" s="16">
        <v>0</v>
      </c>
      <c r="F6" s="16">
        <f t="shared" si="0"/>
        <v>0</v>
      </c>
      <c r="G6" s="16">
        <v>0</v>
      </c>
      <c r="H6" s="16">
        <f t="shared" ref="H6" si="7">+(G6+I6)/2</f>
        <v>0</v>
      </c>
      <c r="I6" s="16">
        <v>0</v>
      </c>
      <c r="J6" s="16">
        <f t="shared" ref="J6" si="8">+(I6+K6)/2</f>
        <v>-1820.4818486249999</v>
      </c>
      <c r="K6" s="16">
        <v>-3640.9636972499998</v>
      </c>
      <c r="L6" s="16">
        <v>-1102.8722264999999</v>
      </c>
      <c r="M6" s="16">
        <v>-1102.8722264999999</v>
      </c>
      <c r="N6" s="16">
        <v>0</v>
      </c>
      <c r="O6" s="31">
        <v>0</v>
      </c>
      <c r="P6" s="2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42"/>
    </row>
    <row r="7" spans="1:30" ht="15.75" thickBot="1" x14ac:dyDescent="0.3">
      <c r="A7" s="7" t="s">
        <v>7</v>
      </c>
      <c r="B7" s="8" t="s">
        <v>2</v>
      </c>
      <c r="C7" s="17">
        <v>-165.03886666666668</v>
      </c>
      <c r="D7" s="17">
        <f t="shared" si="0"/>
        <v>-165.03886666666668</v>
      </c>
      <c r="E7" s="17">
        <v>-165.03886666666668</v>
      </c>
      <c r="F7" s="17">
        <f t="shared" si="0"/>
        <v>-165.03886666666668</v>
      </c>
      <c r="G7" s="17">
        <v>-165.03886666666668</v>
      </c>
      <c r="H7" s="17">
        <f t="shared" ref="H7" si="9">+(G7+I7)/2</f>
        <v>-321.61949141666668</v>
      </c>
      <c r="I7" s="17">
        <v>-478.20011616666665</v>
      </c>
      <c r="J7" s="17">
        <f t="shared" ref="J7" si="10">+(I7+K7)/2</f>
        <v>-2141.7918921666665</v>
      </c>
      <c r="K7" s="17">
        <v>-3805.3836681666662</v>
      </c>
      <c r="L7" s="17">
        <v>-152.24835449999998</v>
      </c>
      <c r="M7" s="17">
        <v>-152.24835449999998</v>
      </c>
      <c r="N7" s="17">
        <v>-788.16566262499998</v>
      </c>
      <c r="O7" s="32">
        <v>-788.16566262499998</v>
      </c>
      <c r="P7" s="2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42"/>
    </row>
    <row r="8" spans="1:30" x14ac:dyDescent="0.25">
      <c r="A8" s="9" t="s">
        <v>8</v>
      </c>
      <c r="B8" s="10" t="s">
        <v>8</v>
      </c>
      <c r="C8" s="18">
        <v>0</v>
      </c>
      <c r="D8" s="18">
        <f t="shared" si="0"/>
        <v>0</v>
      </c>
      <c r="E8" s="18">
        <v>0</v>
      </c>
      <c r="F8" s="18">
        <f t="shared" si="0"/>
        <v>0</v>
      </c>
      <c r="G8" s="18">
        <v>0</v>
      </c>
      <c r="H8" s="18">
        <f t="shared" ref="H8" si="11">+(G8+I8)/2</f>
        <v>0</v>
      </c>
      <c r="I8" s="18">
        <v>0</v>
      </c>
      <c r="J8" s="18">
        <f t="shared" ref="J8" si="12">+(I8+K8)/2</f>
        <v>0</v>
      </c>
      <c r="K8" s="18">
        <v>0</v>
      </c>
      <c r="L8" s="18">
        <v>0</v>
      </c>
      <c r="M8" s="18">
        <v>0</v>
      </c>
      <c r="N8" s="18">
        <v>0</v>
      </c>
      <c r="O8" s="33">
        <v>0</v>
      </c>
      <c r="P8" s="29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1"/>
    </row>
    <row r="9" spans="1:30" x14ac:dyDescent="0.25">
      <c r="A9" s="11" t="s">
        <v>2</v>
      </c>
      <c r="B9" s="12" t="s">
        <v>8</v>
      </c>
      <c r="C9" s="19">
        <v>37427636.205522507</v>
      </c>
      <c r="D9" s="19">
        <f t="shared" si="0"/>
        <v>37427636.205522507</v>
      </c>
      <c r="E9" s="19">
        <v>37427636.205522507</v>
      </c>
      <c r="F9" s="19">
        <f t="shared" si="0"/>
        <v>37427636.205522507</v>
      </c>
      <c r="G9" s="19">
        <v>37427636.205522507</v>
      </c>
      <c r="H9" s="19">
        <f t="shared" ref="H9" si="13">+(G9+I9)/2</f>
        <v>38419761.528193757</v>
      </c>
      <c r="I9" s="19">
        <v>39411886.850864999</v>
      </c>
      <c r="J9" s="19">
        <f t="shared" ref="J9" si="14">+(I9+K9)/2</f>
        <v>36724892.198872909</v>
      </c>
      <c r="K9" s="19">
        <v>34037897.546880826</v>
      </c>
      <c r="L9" s="19">
        <v>33489303.921204999</v>
      </c>
      <c r="M9" s="19">
        <v>33489303.921204999</v>
      </c>
      <c r="N9" s="19">
        <v>37228401.432620004</v>
      </c>
      <c r="O9" s="34">
        <v>37228401.432620004</v>
      </c>
      <c r="P9" s="2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42"/>
    </row>
    <row r="10" spans="1:30" x14ac:dyDescent="0.25">
      <c r="A10" s="24" t="s">
        <v>4</v>
      </c>
      <c r="B10" s="25" t="s">
        <v>8</v>
      </c>
      <c r="C10" s="26">
        <v>-64379.01360000002</v>
      </c>
      <c r="D10" s="26">
        <f t="shared" si="0"/>
        <v>-64379.01360000002</v>
      </c>
      <c r="E10" s="26">
        <v>-64379.01360000002</v>
      </c>
      <c r="F10" s="26">
        <f t="shared" si="0"/>
        <v>-64379.01360000002</v>
      </c>
      <c r="G10" s="26">
        <v>-64379.01360000002</v>
      </c>
      <c r="H10" s="26">
        <f t="shared" ref="H10" si="15">+(G10+I10)/2</f>
        <v>-102872.36520000003</v>
      </c>
      <c r="I10" s="26">
        <v>-141365.71680000002</v>
      </c>
      <c r="J10" s="26">
        <f t="shared" ref="J10" si="16">+(I10+K10)/2</f>
        <v>-90297.332400000014</v>
      </c>
      <c r="K10" s="26">
        <v>-39228.947999999997</v>
      </c>
      <c r="L10" s="26">
        <v>-85642.68240000002</v>
      </c>
      <c r="M10" s="26">
        <v>-85642.68240000002</v>
      </c>
      <c r="N10" s="26">
        <v>-61290.345600000015</v>
      </c>
      <c r="O10" s="35">
        <v>-61290.345600000015</v>
      </c>
      <c r="P10" s="2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42"/>
    </row>
    <row r="11" spans="1:30" x14ac:dyDescent="0.25">
      <c r="A11" s="11" t="s">
        <v>5</v>
      </c>
      <c r="B11" s="12" t="s">
        <v>8</v>
      </c>
      <c r="C11" s="19">
        <v>-79317.237999999998</v>
      </c>
      <c r="D11" s="19">
        <f t="shared" si="0"/>
        <v>-79317.237999999998</v>
      </c>
      <c r="E11" s="19">
        <v>-79317.237999999998</v>
      </c>
      <c r="F11" s="19">
        <f t="shared" si="0"/>
        <v>-79317.237999999998</v>
      </c>
      <c r="G11" s="19">
        <v>-79317.237999999998</v>
      </c>
      <c r="H11" s="19">
        <f t="shared" ref="H11" si="17">+(G11+I11)/2</f>
        <v>-88356.983000000007</v>
      </c>
      <c r="I11" s="19">
        <v>-97396.728000000003</v>
      </c>
      <c r="J11" s="19">
        <f t="shared" ref="J11" si="18">+(I11+K11)/2</f>
        <v>-80781.796333333332</v>
      </c>
      <c r="K11" s="19">
        <v>-64166.864666666661</v>
      </c>
      <c r="L11" s="19">
        <v>-7582.6226666666671</v>
      </c>
      <c r="M11" s="19">
        <v>-7582.6226666666671</v>
      </c>
      <c r="N11" s="19">
        <v>-24433.695</v>
      </c>
      <c r="O11" s="34">
        <v>-24433.695</v>
      </c>
      <c r="P11" s="2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42"/>
    </row>
    <row r="12" spans="1:30" x14ac:dyDescent="0.25">
      <c r="A12" s="11" t="s">
        <v>6</v>
      </c>
      <c r="B12" s="12" t="s">
        <v>8</v>
      </c>
      <c r="C12" s="19">
        <v>0</v>
      </c>
      <c r="D12" s="19">
        <f t="shared" si="0"/>
        <v>0</v>
      </c>
      <c r="E12" s="19">
        <v>0</v>
      </c>
      <c r="F12" s="19">
        <f t="shared" si="0"/>
        <v>0</v>
      </c>
      <c r="G12" s="19">
        <v>0</v>
      </c>
      <c r="H12" s="19">
        <f t="shared" ref="H12" si="19">+(G12+I12)/2</f>
        <v>0</v>
      </c>
      <c r="I12" s="19">
        <v>0</v>
      </c>
      <c r="J12" s="19">
        <f t="shared" ref="J12" si="20">+(I12+K12)/2</f>
        <v>0</v>
      </c>
      <c r="K12" s="19">
        <v>0</v>
      </c>
      <c r="L12" s="19">
        <v>0</v>
      </c>
      <c r="M12" s="19">
        <v>0</v>
      </c>
      <c r="N12" s="19">
        <v>-2501.0700000000002</v>
      </c>
      <c r="O12" s="34">
        <v>-2501.0700000000002</v>
      </c>
      <c r="P12" s="2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42"/>
    </row>
    <row r="13" spans="1:30" ht="15.75" thickBot="1" x14ac:dyDescent="0.3">
      <c r="A13" s="13" t="s">
        <v>7</v>
      </c>
      <c r="B13" s="14" t="s">
        <v>8</v>
      </c>
      <c r="C13" s="20">
        <v>-12207.624</v>
      </c>
      <c r="D13" s="20">
        <f t="shared" si="0"/>
        <v>-12207.624</v>
      </c>
      <c r="E13" s="20">
        <v>-12207.624</v>
      </c>
      <c r="F13" s="20">
        <f t="shared" si="0"/>
        <v>-12207.624</v>
      </c>
      <c r="G13" s="20">
        <v>-12207.624</v>
      </c>
      <c r="H13" s="20">
        <f t="shared" ref="H13" si="21">+(G13+I13)/2</f>
        <v>-50096.260499999997</v>
      </c>
      <c r="I13" s="20">
        <v>-87984.896999999997</v>
      </c>
      <c r="J13" s="20">
        <f t="shared" ref="J13" si="22">+(I13+K13)/2</f>
        <v>-51382.640833333331</v>
      </c>
      <c r="K13" s="20">
        <v>-14780.384666666669</v>
      </c>
      <c r="L13" s="20">
        <v>-5803.1306666666669</v>
      </c>
      <c r="M13" s="20">
        <v>-5803.1306666666669</v>
      </c>
      <c r="N13" s="20">
        <v>-32062.172999999995</v>
      </c>
      <c r="O13" s="36">
        <v>-32062.172999999995</v>
      </c>
      <c r="P13" s="28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4"/>
    </row>
    <row r="14" spans="1:30" x14ac:dyDescent="0.25">
      <c r="A14" s="2" t="s">
        <v>4</v>
      </c>
      <c r="B14" s="3" t="s">
        <v>4</v>
      </c>
      <c r="C14" s="15" t="s">
        <v>9</v>
      </c>
      <c r="D14" s="15" t="s">
        <v>9</v>
      </c>
      <c r="E14" s="15" t="s">
        <v>9</v>
      </c>
      <c r="F14" s="15" t="s">
        <v>9</v>
      </c>
      <c r="G14" s="15" t="s">
        <v>9</v>
      </c>
      <c r="H14" s="15" t="s">
        <v>9</v>
      </c>
      <c r="I14" s="15" t="s">
        <v>9</v>
      </c>
      <c r="J14" s="15" t="s">
        <v>9</v>
      </c>
      <c r="K14" s="15" t="s">
        <v>9</v>
      </c>
      <c r="L14" s="15" t="s">
        <v>9</v>
      </c>
      <c r="M14" s="15" t="s">
        <v>9</v>
      </c>
      <c r="N14" s="15" t="s">
        <v>9</v>
      </c>
      <c r="O14" s="15" t="s">
        <v>9</v>
      </c>
      <c r="P14" s="2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42"/>
    </row>
    <row r="15" spans="1:30" x14ac:dyDescent="0.25">
      <c r="A15" s="4" t="s">
        <v>2</v>
      </c>
      <c r="B15" s="5" t="s">
        <v>4</v>
      </c>
      <c r="C15" s="16">
        <v>1034352.7479633333</v>
      </c>
      <c r="D15" s="16">
        <f t="shared" si="0"/>
        <v>1034352.7479633333</v>
      </c>
      <c r="E15" s="16">
        <v>1034352.7479633333</v>
      </c>
      <c r="F15" s="16">
        <f t="shared" si="0"/>
        <v>1034352.7479633333</v>
      </c>
      <c r="G15" s="16">
        <v>1034352.7479633333</v>
      </c>
      <c r="H15" s="16">
        <f t="shared" ref="H15" si="23">+(G15+I15)/2</f>
        <v>551831.9794533333</v>
      </c>
      <c r="I15" s="16">
        <v>69311.210943333339</v>
      </c>
      <c r="J15" s="16">
        <f t="shared" ref="J15" si="24">+(I15+K15)/2</f>
        <v>1692292.2638658334</v>
      </c>
      <c r="K15" s="16">
        <v>3315273.3167883335</v>
      </c>
      <c r="L15" s="16">
        <v>1577555.1570166668</v>
      </c>
      <c r="M15" s="16">
        <v>1577555.1570166668</v>
      </c>
      <c r="N15" s="16">
        <v>466865.18823333329</v>
      </c>
      <c r="O15" s="31">
        <v>466865.18823333329</v>
      </c>
      <c r="P15" s="2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42"/>
    </row>
    <row r="16" spans="1:30" x14ac:dyDescent="0.25">
      <c r="A16" s="24" t="s">
        <v>8</v>
      </c>
      <c r="B16" s="25" t="s">
        <v>4</v>
      </c>
      <c r="C16" s="26">
        <v>-14.666666666666666</v>
      </c>
      <c r="D16" s="26">
        <f t="shared" si="0"/>
        <v>-14.666666666666666</v>
      </c>
      <c r="E16" s="26">
        <v>-14.666666666666666</v>
      </c>
      <c r="F16" s="26">
        <f t="shared" si="0"/>
        <v>-14.666666666666666</v>
      </c>
      <c r="G16" s="26">
        <v>-14.666666666666666</v>
      </c>
      <c r="H16" s="26">
        <f t="shared" ref="H16" si="25">+(G16+I16)/2</f>
        <v>-14.666666666666666</v>
      </c>
      <c r="I16" s="26">
        <v>-14.666666666666666</v>
      </c>
      <c r="J16" s="26">
        <f t="shared" ref="J16" si="26">+(I16+K16)/2</f>
        <v>-14.666666666666666</v>
      </c>
      <c r="K16" s="26">
        <v>-14.666666666666666</v>
      </c>
      <c r="L16" s="26">
        <v>-14.666666666666666</v>
      </c>
      <c r="M16" s="26">
        <v>-14.666666666666666</v>
      </c>
      <c r="N16" s="26">
        <v>-14.666666666666666</v>
      </c>
      <c r="O16" s="35">
        <v>-14.666666666666666</v>
      </c>
      <c r="P16" s="2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42"/>
    </row>
    <row r="17" spans="1:30" x14ac:dyDescent="0.25">
      <c r="A17" s="6" t="s">
        <v>5</v>
      </c>
      <c r="B17" s="5" t="s">
        <v>4</v>
      </c>
      <c r="C17" s="16">
        <v>-14.666666666666666</v>
      </c>
      <c r="D17" s="16">
        <f t="shared" si="0"/>
        <v>-14.666666666666666</v>
      </c>
      <c r="E17" s="16">
        <v>-14.666666666666666</v>
      </c>
      <c r="F17" s="16">
        <f t="shared" si="0"/>
        <v>-14.666666666666666</v>
      </c>
      <c r="G17" s="16">
        <v>-14.666666666666666</v>
      </c>
      <c r="H17" s="16">
        <f t="shared" ref="H17" si="27">+(G17+I17)/2</f>
        <v>-14.666666666666666</v>
      </c>
      <c r="I17" s="16">
        <v>-14.666666666666666</v>
      </c>
      <c r="J17" s="16">
        <f t="shared" ref="J17" si="28">+(I17+K17)/2</f>
        <v>-14.666666666666666</v>
      </c>
      <c r="K17" s="16">
        <v>-14.666666666666666</v>
      </c>
      <c r="L17" s="16">
        <v>-14.666666666666666</v>
      </c>
      <c r="M17" s="16">
        <v>-14.666666666666666</v>
      </c>
      <c r="N17" s="16">
        <v>-14.666666666666666</v>
      </c>
      <c r="O17" s="31">
        <v>-14.666666666666666</v>
      </c>
      <c r="P17" s="2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42"/>
    </row>
    <row r="18" spans="1:30" x14ac:dyDescent="0.25">
      <c r="A18" s="6" t="s">
        <v>6</v>
      </c>
      <c r="B18" s="5" t="s">
        <v>4</v>
      </c>
      <c r="C18" s="16">
        <v>0</v>
      </c>
      <c r="D18" s="16">
        <f t="shared" si="0"/>
        <v>0</v>
      </c>
      <c r="E18" s="16">
        <v>0</v>
      </c>
      <c r="F18" s="16">
        <f t="shared" si="0"/>
        <v>0</v>
      </c>
      <c r="G18" s="16">
        <v>0</v>
      </c>
      <c r="H18" s="16">
        <f t="shared" ref="H18" si="29">+(G18+I18)/2</f>
        <v>0</v>
      </c>
      <c r="I18" s="16">
        <v>0</v>
      </c>
      <c r="J18" s="16">
        <f t="shared" ref="J18" si="30">+(I18+K18)/2</f>
        <v>0</v>
      </c>
      <c r="K18" s="16">
        <v>0</v>
      </c>
      <c r="L18" s="16">
        <v>0</v>
      </c>
      <c r="M18" s="16">
        <v>0</v>
      </c>
      <c r="N18" s="16">
        <v>0</v>
      </c>
      <c r="O18" s="31">
        <v>0</v>
      </c>
      <c r="P18" s="2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42"/>
    </row>
    <row r="19" spans="1:30" ht="15.75" thickBot="1" x14ac:dyDescent="0.3">
      <c r="A19" s="7" t="s">
        <v>7</v>
      </c>
      <c r="B19" s="8" t="s">
        <v>4</v>
      </c>
      <c r="C19" s="17">
        <v>-14.666666666666666</v>
      </c>
      <c r="D19" s="17">
        <f t="shared" si="0"/>
        <v>-14.666666666666666</v>
      </c>
      <c r="E19" s="17">
        <v>-14.666666666666666</v>
      </c>
      <c r="F19" s="17">
        <f t="shared" si="0"/>
        <v>-14.666666666666666</v>
      </c>
      <c r="G19" s="17">
        <v>-14.666666666666666</v>
      </c>
      <c r="H19" s="17">
        <f t="shared" ref="H19" si="31">+(G19+I19)/2</f>
        <v>-14.666666666666666</v>
      </c>
      <c r="I19" s="17">
        <v>-14.666666666666666</v>
      </c>
      <c r="J19" s="17">
        <f t="shared" ref="J19" si="32">+(I19+K19)/2</f>
        <v>-14.666666666666666</v>
      </c>
      <c r="K19" s="17">
        <v>-14.666666666666666</v>
      </c>
      <c r="L19" s="17">
        <v>-14.666666666666666</v>
      </c>
      <c r="M19" s="17">
        <v>-14.666666666666666</v>
      </c>
      <c r="N19" s="17">
        <v>-14.666666666666666</v>
      </c>
      <c r="O19" s="32">
        <v>-14.666666666666666</v>
      </c>
      <c r="P19" s="2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42"/>
    </row>
    <row r="20" spans="1:30" x14ac:dyDescent="0.25">
      <c r="A20" s="9" t="s">
        <v>5</v>
      </c>
      <c r="B20" s="10" t="s">
        <v>5</v>
      </c>
      <c r="C20" s="18" t="s">
        <v>9</v>
      </c>
      <c r="D20" s="18" t="s">
        <v>9</v>
      </c>
      <c r="E20" s="18" t="s">
        <v>9</v>
      </c>
      <c r="F20" s="18" t="s">
        <v>9</v>
      </c>
      <c r="G20" s="18" t="s">
        <v>9</v>
      </c>
      <c r="H20" s="18" t="s">
        <v>9</v>
      </c>
      <c r="I20" s="18" t="s">
        <v>9</v>
      </c>
      <c r="J20" s="18" t="s">
        <v>9</v>
      </c>
      <c r="K20" s="18" t="s">
        <v>9</v>
      </c>
      <c r="L20" s="18" t="s">
        <v>9</v>
      </c>
      <c r="M20" s="18" t="s">
        <v>9</v>
      </c>
      <c r="N20" s="18" t="s">
        <v>9</v>
      </c>
      <c r="O20" s="18" t="s">
        <v>9</v>
      </c>
      <c r="P20" s="2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1"/>
    </row>
    <row r="21" spans="1:30" x14ac:dyDescent="0.25">
      <c r="A21" s="11" t="s">
        <v>2</v>
      </c>
      <c r="B21" s="12" t="s">
        <v>5</v>
      </c>
      <c r="C21" s="19">
        <v>257830.15640799995</v>
      </c>
      <c r="D21" s="19">
        <f t="shared" si="0"/>
        <v>257830.15640799995</v>
      </c>
      <c r="E21" s="19">
        <v>257830.15640799995</v>
      </c>
      <c r="F21" s="19">
        <f t="shared" si="0"/>
        <v>257830.15640799995</v>
      </c>
      <c r="G21" s="19">
        <v>257830.15640799995</v>
      </c>
      <c r="H21" s="19">
        <f t="shared" ref="H21" si="33">+(G21+I21)/2</f>
        <v>317097.99265099998</v>
      </c>
      <c r="I21" s="19">
        <v>376365.82889399998</v>
      </c>
      <c r="J21" s="19">
        <f t="shared" ref="J21" si="34">+(I21+K21)/2</f>
        <v>359780.1308475</v>
      </c>
      <c r="K21" s="19">
        <v>343194.43280100002</v>
      </c>
      <c r="L21" s="19">
        <v>2678956.2014269996</v>
      </c>
      <c r="M21" s="19">
        <v>2678956.2014269996</v>
      </c>
      <c r="N21" s="19">
        <v>3822773.4308939991</v>
      </c>
      <c r="O21" s="34">
        <v>3822773.4308939991</v>
      </c>
      <c r="P21" s="2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42"/>
    </row>
    <row r="22" spans="1:30" x14ac:dyDescent="0.25">
      <c r="A22" s="11" t="s">
        <v>8</v>
      </c>
      <c r="B22" s="12" t="s">
        <v>5</v>
      </c>
      <c r="C22" s="19">
        <v>280075.85759999993</v>
      </c>
      <c r="D22" s="19">
        <f t="shared" si="0"/>
        <v>280075.85759999993</v>
      </c>
      <c r="E22" s="19">
        <v>280075.85759999993</v>
      </c>
      <c r="F22" s="19">
        <f t="shared" si="0"/>
        <v>280075.85759999993</v>
      </c>
      <c r="G22" s="19">
        <v>280075.85759999993</v>
      </c>
      <c r="H22" s="19">
        <f t="shared" ref="H22" si="35">+(G22+I22)/2</f>
        <v>276337.79249999998</v>
      </c>
      <c r="I22" s="19">
        <v>272599.72739999997</v>
      </c>
      <c r="J22" s="19">
        <f t="shared" ref="J22" si="36">+(I22+K22)/2</f>
        <v>287145.21219999995</v>
      </c>
      <c r="K22" s="19">
        <v>301690.69699999993</v>
      </c>
      <c r="L22" s="19">
        <v>256322.55109999995</v>
      </c>
      <c r="M22" s="19">
        <v>256322.55109999995</v>
      </c>
      <c r="N22" s="19">
        <v>54708.061099999999</v>
      </c>
      <c r="O22" s="34">
        <v>54708.061099999999</v>
      </c>
      <c r="P22" s="2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42"/>
    </row>
    <row r="23" spans="1:30" x14ac:dyDescent="0.25">
      <c r="A23" s="11" t="s">
        <v>4</v>
      </c>
      <c r="B23" s="12" t="s">
        <v>5</v>
      </c>
      <c r="C23" s="19">
        <v>2896.9577999999997</v>
      </c>
      <c r="D23" s="19">
        <f t="shared" si="0"/>
        <v>2896.9577999999997</v>
      </c>
      <c r="E23" s="19">
        <v>2896.9577999999997</v>
      </c>
      <c r="F23" s="19">
        <f t="shared" si="0"/>
        <v>2896.9577999999997</v>
      </c>
      <c r="G23" s="19">
        <v>2896.9577999999997</v>
      </c>
      <c r="H23" s="19">
        <f t="shared" ref="H23" si="37">+(G23+I23)/2</f>
        <v>4512.8068333333331</v>
      </c>
      <c r="I23" s="19">
        <v>6128.655866666667</v>
      </c>
      <c r="J23" s="19">
        <f t="shared" ref="J23" si="38">+(I23+K23)/2</f>
        <v>3655.8793333333333</v>
      </c>
      <c r="K23" s="19">
        <v>1183.1027999999999</v>
      </c>
      <c r="L23" s="19">
        <v>7290.3203999999987</v>
      </c>
      <c r="M23" s="19">
        <v>7290.3203999999987</v>
      </c>
      <c r="N23" s="19">
        <v>947.69546666666645</v>
      </c>
      <c r="O23" s="34">
        <v>947.69546666666645</v>
      </c>
      <c r="P23" s="2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42"/>
    </row>
    <row r="24" spans="1:30" x14ac:dyDescent="0.25">
      <c r="A24" s="11" t="s">
        <v>6</v>
      </c>
      <c r="B24" s="12" t="s">
        <v>5</v>
      </c>
      <c r="C24" s="19">
        <v>0</v>
      </c>
      <c r="D24" s="19">
        <f t="shared" si="0"/>
        <v>0</v>
      </c>
      <c r="E24" s="19">
        <v>0</v>
      </c>
      <c r="F24" s="19">
        <f t="shared" si="0"/>
        <v>0</v>
      </c>
      <c r="G24" s="19">
        <v>0</v>
      </c>
      <c r="H24" s="19">
        <f t="shared" ref="H24" si="39">+(G24+I24)/2</f>
        <v>0</v>
      </c>
      <c r="I24" s="19">
        <v>0</v>
      </c>
      <c r="J24" s="19">
        <f t="shared" ref="J24" si="40">+(I24+K24)/2</f>
        <v>0</v>
      </c>
      <c r="K24" s="19">
        <v>0</v>
      </c>
      <c r="L24" s="19">
        <v>0</v>
      </c>
      <c r="M24" s="19">
        <v>0</v>
      </c>
      <c r="N24" s="19">
        <v>0</v>
      </c>
      <c r="O24" s="34">
        <v>0</v>
      </c>
      <c r="P24" s="2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42"/>
    </row>
    <row r="25" spans="1:30" ht="15.75" thickBot="1" x14ac:dyDescent="0.3">
      <c r="A25" s="13" t="s">
        <v>7</v>
      </c>
      <c r="B25" s="14" t="s">
        <v>5</v>
      </c>
      <c r="C25" s="20">
        <v>0</v>
      </c>
      <c r="D25" s="20">
        <f t="shared" si="0"/>
        <v>0</v>
      </c>
      <c r="E25" s="20">
        <v>0</v>
      </c>
      <c r="F25" s="20">
        <f t="shared" si="0"/>
        <v>0</v>
      </c>
      <c r="G25" s="20">
        <v>0</v>
      </c>
      <c r="H25" s="20">
        <f t="shared" ref="H25" si="41">+(G25+I25)/2</f>
        <v>0</v>
      </c>
      <c r="I25" s="20">
        <v>0</v>
      </c>
      <c r="J25" s="20">
        <f t="shared" ref="J25" si="42">+(I25+K25)/2</f>
        <v>0</v>
      </c>
      <c r="K25" s="20">
        <v>0</v>
      </c>
      <c r="L25" s="20">
        <v>0</v>
      </c>
      <c r="M25" s="20">
        <v>0</v>
      </c>
      <c r="N25" s="20">
        <v>0</v>
      </c>
      <c r="O25" s="36">
        <v>0</v>
      </c>
      <c r="P25" s="28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4"/>
    </row>
    <row r="26" spans="1:30" x14ac:dyDescent="0.25">
      <c r="A26" s="2" t="s">
        <v>6</v>
      </c>
      <c r="B26" s="3" t="s">
        <v>6</v>
      </c>
      <c r="C26" s="15" t="s">
        <v>9</v>
      </c>
      <c r="D26" s="15" t="s">
        <v>9</v>
      </c>
      <c r="E26" s="15" t="s">
        <v>9</v>
      </c>
      <c r="F26" s="15" t="s">
        <v>9</v>
      </c>
      <c r="G26" s="15" t="s">
        <v>9</v>
      </c>
      <c r="H26" s="15" t="s">
        <v>9</v>
      </c>
      <c r="I26" s="15" t="s">
        <v>9</v>
      </c>
      <c r="J26" s="15" t="s">
        <v>9</v>
      </c>
      <c r="K26" s="15" t="s">
        <v>9</v>
      </c>
      <c r="L26" s="15" t="s">
        <v>9</v>
      </c>
      <c r="M26" s="15" t="s">
        <v>9</v>
      </c>
      <c r="N26" s="15" t="s">
        <v>9</v>
      </c>
      <c r="O26" s="30" t="s">
        <v>9</v>
      </c>
      <c r="P26" s="2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42"/>
    </row>
    <row r="27" spans="1:30" x14ac:dyDescent="0.25">
      <c r="A27" s="4" t="s">
        <v>2</v>
      </c>
      <c r="B27" s="5" t="s">
        <v>6</v>
      </c>
      <c r="C27" s="16">
        <v>163507.27278</v>
      </c>
      <c r="D27" s="16">
        <f t="shared" si="0"/>
        <v>163507.27278</v>
      </c>
      <c r="E27" s="16">
        <v>163507.27278</v>
      </c>
      <c r="F27" s="16">
        <f t="shared" si="0"/>
        <v>163507.27278</v>
      </c>
      <c r="G27" s="16">
        <v>163507.27278</v>
      </c>
      <c r="H27" s="16">
        <f t="shared" ref="H27" si="43">+(G27+I27)/2</f>
        <v>153956.31157833332</v>
      </c>
      <c r="I27" s="16">
        <v>144405.35037666667</v>
      </c>
      <c r="J27" s="16">
        <f t="shared" ref="J27" si="44">+(I27+K27)/2</f>
        <v>202538.1865458333</v>
      </c>
      <c r="K27" s="16">
        <v>260671.02271499997</v>
      </c>
      <c r="L27" s="16">
        <v>973099.72290999989</v>
      </c>
      <c r="M27" s="16">
        <v>973099.72290999989</v>
      </c>
      <c r="N27" s="16">
        <v>710135.93529666681</v>
      </c>
      <c r="O27" s="31">
        <v>710135.93529666681</v>
      </c>
      <c r="P27" s="2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42"/>
    </row>
    <row r="28" spans="1:30" x14ac:dyDescent="0.25">
      <c r="A28" s="6" t="s">
        <v>8</v>
      </c>
      <c r="B28" s="5" t="s">
        <v>6</v>
      </c>
      <c r="C28" s="16">
        <v>350768.67979999998</v>
      </c>
      <c r="D28" s="16">
        <f t="shared" si="0"/>
        <v>350768.67979999998</v>
      </c>
      <c r="E28" s="16">
        <v>350768.67979999998</v>
      </c>
      <c r="F28" s="16">
        <f t="shared" si="0"/>
        <v>350768.67979999998</v>
      </c>
      <c r="G28" s="16">
        <v>350768.67979999998</v>
      </c>
      <c r="H28" s="16">
        <f t="shared" ref="H28" si="45">+(G28+I28)/2</f>
        <v>217366.73035</v>
      </c>
      <c r="I28" s="16">
        <v>83964.780899999998</v>
      </c>
      <c r="J28" s="16">
        <f t="shared" ref="J28" si="46">+(I28+K28)/2</f>
        <v>299275.19545</v>
      </c>
      <c r="K28" s="16">
        <v>514585.61</v>
      </c>
      <c r="L28" s="16">
        <v>114868.14569999999</v>
      </c>
      <c r="M28" s="16">
        <v>114868.14569999999</v>
      </c>
      <c r="N28" s="16">
        <v>434189.52499999997</v>
      </c>
      <c r="O28" s="31">
        <v>434189.52499999997</v>
      </c>
      <c r="P28" s="2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42"/>
    </row>
    <row r="29" spans="1:30" x14ac:dyDescent="0.25">
      <c r="A29" s="6" t="s">
        <v>4</v>
      </c>
      <c r="B29" s="5" t="s">
        <v>6</v>
      </c>
      <c r="C29" s="16">
        <v>4236.7115999999996</v>
      </c>
      <c r="D29" s="16">
        <f t="shared" si="0"/>
        <v>4236.7115999999996</v>
      </c>
      <c r="E29" s="16">
        <v>4236.7115999999996</v>
      </c>
      <c r="F29" s="16">
        <f t="shared" si="0"/>
        <v>4236.7115999999996</v>
      </c>
      <c r="G29" s="16">
        <v>4236.7115999999996</v>
      </c>
      <c r="H29" s="16">
        <f t="shared" ref="H29" si="47">+(G29+I29)/2</f>
        <v>3321.7939333333334</v>
      </c>
      <c r="I29" s="16">
        <v>2406.8762666666667</v>
      </c>
      <c r="J29" s="16">
        <f t="shared" ref="J29" si="48">+(I29+K29)/2</f>
        <v>2170.1936666666666</v>
      </c>
      <c r="K29" s="16">
        <v>1933.5110666666665</v>
      </c>
      <c r="L29" s="16">
        <v>1592.2910666666664</v>
      </c>
      <c r="M29" s="16">
        <v>1592.2910666666664</v>
      </c>
      <c r="N29" s="16">
        <v>13344.183599999998</v>
      </c>
      <c r="O29" s="31">
        <v>13344.183599999998</v>
      </c>
      <c r="P29" s="2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42"/>
    </row>
    <row r="30" spans="1:30" x14ac:dyDescent="0.25">
      <c r="A30" s="6" t="s">
        <v>5</v>
      </c>
      <c r="B30" s="5" t="s">
        <v>6</v>
      </c>
      <c r="C30" s="16">
        <v>0</v>
      </c>
      <c r="D30" s="16">
        <f t="shared" si="0"/>
        <v>0</v>
      </c>
      <c r="E30" s="16">
        <v>0</v>
      </c>
      <c r="F30" s="16">
        <f t="shared" si="0"/>
        <v>0</v>
      </c>
      <c r="G30" s="16">
        <v>0</v>
      </c>
      <c r="H30" s="16">
        <f t="shared" ref="H30" si="49">+(G30+I30)/2</f>
        <v>0</v>
      </c>
      <c r="I30" s="16">
        <v>0</v>
      </c>
      <c r="J30" s="16">
        <f t="shared" ref="J30" si="50">+(I30+K30)/2</f>
        <v>0</v>
      </c>
      <c r="K30" s="16">
        <v>0</v>
      </c>
      <c r="L30" s="16">
        <v>0</v>
      </c>
      <c r="M30" s="16">
        <v>0</v>
      </c>
      <c r="N30" s="16">
        <v>0</v>
      </c>
      <c r="O30" s="31">
        <v>0</v>
      </c>
      <c r="P30" s="2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42"/>
    </row>
    <row r="31" spans="1:30" ht="15.75" thickBot="1" x14ac:dyDescent="0.3">
      <c r="A31" s="7" t="s">
        <v>7</v>
      </c>
      <c r="B31" s="8" t="s">
        <v>6</v>
      </c>
      <c r="C31" s="17">
        <v>0</v>
      </c>
      <c r="D31" s="17">
        <f t="shared" si="0"/>
        <v>0</v>
      </c>
      <c r="E31" s="17">
        <v>0</v>
      </c>
      <c r="F31" s="17">
        <f t="shared" si="0"/>
        <v>0</v>
      </c>
      <c r="G31" s="17">
        <v>0</v>
      </c>
      <c r="H31" s="17">
        <f t="shared" ref="H31" si="51">+(G31+I31)/2</f>
        <v>0</v>
      </c>
      <c r="I31" s="17">
        <v>0</v>
      </c>
      <c r="J31" s="17">
        <f t="shared" ref="J31" si="52">+(I31+K31)/2</f>
        <v>0</v>
      </c>
      <c r="K31" s="17">
        <v>0</v>
      </c>
      <c r="L31" s="17">
        <v>0</v>
      </c>
      <c r="M31" s="17">
        <v>0</v>
      </c>
      <c r="N31" s="17">
        <v>0</v>
      </c>
      <c r="O31" s="32">
        <v>0</v>
      </c>
      <c r="P31" s="2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42"/>
    </row>
    <row r="32" spans="1:30" x14ac:dyDescent="0.25">
      <c r="A32" s="9" t="s">
        <v>7</v>
      </c>
      <c r="B32" s="10" t="s">
        <v>10</v>
      </c>
      <c r="C32" s="18" t="s">
        <v>11</v>
      </c>
      <c r="D32" s="18" t="s">
        <v>11</v>
      </c>
      <c r="E32" s="18" t="s">
        <v>11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11</v>
      </c>
      <c r="K32" s="18" t="s">
        <v>11</v>
      </c>
      <c r="L32" s="18" t="s">
        <v>11</v>
      </c>
      <c r="M32" s="18" t="s">
        <v>11</v>
      </c>
      <c r="N32" s="18" t="s">
        <v>11</v>
      </c>
      <c r="O32" s="18" t="s">
        <v>11</v>
      </c>
      <c r="P32" s="29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1"/>
    </row>
    <row r="33" spans="1:30" x14ac:dyDescent="0.25">
      <c r="A33" s="11" t="s">
        <v>2</v>
      </c>
      <c r="B33" s="12" t="s">
        <v>10</v>
      </c>
      <c r="C33" s="19">
        <v>236927.221475</v>
      </c>
      <c r="D33" s="19">
        <f t="shared" si="0"/>
        <v>236927.221475</v>
      </c>
      <c r="E33" s="19">
        <v>236927.221475</v>
      </c>
      <c r="F33" s="19">
        <f t="shared" si="0"/>
        <v>236927.221475</v>
      </c>
      <c r="G33" s="19">
        <v>236927.221475</v>
      </c>
      <c r="H33" s="19">
        <f t="shared" ref="H33" si="53">+(G33+I33)/2</f>
        <v>549772.31590824982</v>
      </c>
      <c r="I33" s="19">
        <v>862617.41034149972</v>
      </c>
      <c r="J33" s="19">
        <f t="shared" ref="J33" si="54">+(I33+K33)/2</f>
        <v>843084.09634308307</v>
      </c>
      <c r="K33" s="19">
        <v>823550.78234466643</v>
      </c>
      <c r="L33" s="19">
        <v>706285.94081933319</v>
      </c>
      <c r="M33" s="19">
        <v>706285.94081933319</v>
      </c>
      <c r="N33" s="19">
        <v>286005.97291899996</v>
      </c>
      <c r="O33" s="34">
        <v>286005.97291899996</v>
      </c>
      <c r="P33" s="2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42"/>
    </row>
    <row r="34" spans="1:30" x14ac:dyDescent="0.25">
      <c r="A34" s="11" t="s">
        <v>12</v>
      </c>
      <c r="B34" s="12" t="s">
        <v>10</v>
      </c>
      <c r="C34" s="19">
        <v>122388.24674999999</v>
      </c>
      <c r="D34" s="19">
        <f t="shared" si="0"/>
        <v>122388.24674999999</v>
      </c>
      <c r="E34" s="19">
        <v>122388.24674999999</v>
      </c>
      <c r="F34" s="19">
        <f t="shared" si="0"/>
        <v>122388.24674999999</v>
      </c>
      <c r="G34" s="19">
        <v>122388.24674999999</v>
      </c>
      <c r="H34" s="19">
        <f t="shared" ref="H34" si="55">+(G34+I34)/2</f>
        <v>99837.172049999994</v>
      </c>
      <c r="I34" s="19">
        <v>77286.097349999996</v>
      </c>
      <c r="J34" s="19">
        <f t="shared" ref="J34" si="56">+(I34+K34)/2</f>
        <v>134836.06867499999</v>
      </c>
      <c r="K34" s="19">
        <v>192386.03999999998</v>
      </c>
      <c r="L34" s="19">
        <v>7108.8016999999991</v>
      </c>
      <c r="M34" s="19">
        <v>7108.8016999999991</v>
      </c>
      <c r="N34" s="19">
        <v>84797.150899999993</v>
      </c>
      <c r="O34" s="34">
        <v>84797.150899999993</v>
      </c>
      <c r="P34" s="2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42"/>
    </row>
    <row r="35" spans="1:30" x14ac:dyDescent="0.25">
      <c r="A35" s="11" t="s">
        <v>4</v>
      </c>
      <c r="B35" s="12" t="s">
        <v>10</v>
      </c>
      <c r="C35" s="19">
        <v>7995.232666666665</v>
      </c>
      <c r="D35" s="19">
        <f t="shared" si="0"/>
        <v>7995.232666666665</v>
      </c>
      <c r="E35" s="19">
        <v>7995.232666666665</v>
      </c>
      <c r="F35" s="19">
        <f t="shared" si="0"/>
        <v>7995.232666666665</v>
      </c>
      <c r="G35" s="19">
        <v>7995.232666666665</v>
      </c>
      <c r="H35" s="19">
        <f t="shared" ref="H35" si="57">+(G35+I35)/2</f>
        <v>12347.269733333331</v>
      </c>
      <c r="I35" s="19">
        <v>16699.306799999998</v>
      </c>
      <c r="J35" s="19">
        <f t="shared" ref="J35" si="58">+(I35+K35)/2</f>
        <v>11708.361133333332</v>
      </c>
      <c r="K35" s="19">
        <v>6717.4154666666655</v>
      </c>
      <c r="L35" s="19">
        <v>3198.7824000000001</v>
      </c>
      <c r="M35" s="19">
        <v>3198.7824000000001</v>
      </c>
      <c r="N35" s="19">
        <v>3210.2942666666663</v>
      </c>
      <c r="O35" s="34">
        <v>3210.2942666666663</v>
      </c>
      <c r="P35" s="2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42"/>
    </row>
    <row r="36" spans="1:30" x14ac:dyDescent="0.25">
      <c r="A36" s="11" t="s">
        <v>13</v>
      </c>
      <c r="B36" s="12" t="s">
        <v>10</v>
      </c>
      <c r="C36" s="19">
        <v>0</v>
      </c>
      <c r="D36" s="19">
        <f t="shared" si="0"/>
        <v>0</v>
      </c>
      <c r="E36" s="19">
        <v>0</v>
      </c>
      <c r="F36" s="19">
        <f t="shared" si="0"/>
        <v>0</v>
      </c>
      <c r="G36" s="19">
        <v>0</v>
      </c>
      <c r="H36" s="19">
        <f t="shared" ref="H36" si="59">+(G36+I36)/2</f>
        <v>0</v>
      </c>
      <c r="I36" s="19">
        <v>0</v>
      </c>
      <c r="J36" s="19">
        <f t="shared" ref="J36" si="60">+(I36+K36)/2</f>
        <v>0</v>
      </c>
      <c r="K36" s="19">
        <v>0</v>
      </c>
      <c r="L36" s="19">
        <v>0</v>
      </c>
      <c r="M36" s="19">
        <v>0</v>
      </c>
      <c r="N36" s="19">
        <v>0</v>
      </c>
      <c r="O36" s="34">
        <v>0</v>
      </c>
      <c r="P36" s="2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42"/>
    </row>
    <row r="37" spans="1:30" ht="15.75" thickBot="1" x14ac:dyDescent="0.3">
      <c r="A37" s="13" t="s">
        <v>6</v>
      </c>
      <c r="B37" s="14" t="s">
        <v>10</v>
      </c>
      <c r="C37" s="20">
        <v>0</v>
      </c>
      <c r="D37" s="20">
        <f t="shared" si="0"/>
        <v>0</v>
      </c>
      <c r="E37" s="20">
        <v>0</v>
      </c>
      <c r="F37" s="20">
        <f t="shared" si="0"/>
        <v>0</v>
      </c>
      <c r="G37" s="20">
        <v>0</v>
      </c>
      <c r="H37" s="20">
        <f t="shared" ref="H37" si="61">+(G37+I37)/2</f>
        <v>0</v>
      </c>
      <c r="I37" s="20">
        <v>0</v>
      </c>
      <c r="J37" s="20">
        <f t="shared" ref="J37" si="62">+(I37+K37)/2</f>
        <v>0</v>
      </c>
      <c r="K37" s="20">
        <v>0</v>
      </c>
      <c r="L37" s="20">
        <v>0</v>
      </c>
      <c r="M37" s="20">
        <v>0</v>
      </c>
      <c r="N37" s="20">
        <v>0</v>
      </c>
      <c r="O37" s="36">
        <v>0</v>
      </c>
      <c r="P37" s="2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42"/>
    </row>
    <row r="38" spans="1:30" ht="15.75" thickBot="1" x14ac:dyDescent="0.3">
      <c r="A38" s="21" t="s">
        <v>540</v>
      </c>
      <c r="B38" s="22"/>
      <c r="C38" s="23">
        <f>+SUM(C2:C37)</f>
        <v>20215795.470045395</v>
      </c>
      <c r="D38" s="23">
        <f t="shared" ref="D38:N38" si="63">+SUM(D2:D37)</f>
        <v>19405540.644666217</v>
      </c>
      <c r="E38" s="23">
        <f t="shared" si="63"/>
        <v>18595285.819287039</v>
      </c>
      <c r="F38" s="23">
        <f t="shared" si="63"/>
        <v>16785155.272381052</v>
      </c>
      <c r="G38" s="23">
        <f t="shared" si="63"/>
        <v>14975024.72547506</v>
      </c>
      <c r="H38" s="23">
        <f t="shared" si="63"/>
        <v>17334511.943916041</v>
      </c>
      <c r="I38" s="23">
        <f t="shared" si="63"/>
        <v>19693999.162357032</v>
      </c>
      <c r="J38" s="23">
        <f t="shared" si="63"/>
        <v>17717536.256045919</v>
      </c>
      <c r="K38" s="23">
        <f t="shared" si="63"/>
        <v>15741073.349734809</v>
      </c>
      <c r="L38" s="23">
        <f t="shared" si="63"/>
        <v>15321276.45443752</v>
      </c>
      <c r="M38" s="23">
        <f t="shared" si="63"/>
        <v>15791676.76138648</v>
      </c>
      <c r="N38" s="23">
        <f t="shared" si="63"/>
        <v>21865731.262168545</v>
      </c>
      <c r="O38" s="23">
        <f>+SUM(O2:O37)</f>
        <v>24282229.904862061</v>
      </c>
      <c r="P38" s="47">
        <v>22678.280319469199</v>
      </c>
      <c r="Q38" s="48">
        <v>22302.116189196349</v>
      </c>
      <c r="R38" s="48">
        <v>21807.316163019022</v>
      </c>
      <c r="S38" s="48">
        <v>21358.544206442708</v>
      </c>
      <c r="T38" s="48">
        <v>21046.288462247394</v>
      </c>
      <c r="U38" s="48">
        <v>20606.864204669193</v>
      </c>
      <c r="V38" s="48">
        <v>20099.052443939196</v>
      </c>
      <c r="W38" s="48">
        <v>19743.604910603437</v>
      </c>
      <c r="X38" s="48">
        <v>19451.86290455352</v>
      </c>
      <c r="Y38" s="48">
        <v>18973.818222904585</v>
      </c>
      <c r="Z38" s="48">
        <v>18651.84004872297</v>
      </c>
      <c r="AA38" s="48">
        <v>18208.765628068144</v>
      </c>
      <c r="AB38" s="48">
        <v>17847.329574451884</v>
      </c>
      <c r="AC38" s="45"/>
      <c r="AD3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DDD7-FA3E-4E8C-927F-51510C2E9391}">
  <dimension ref="A1:BK76"/>
  <sheetViews>
    <sheetView topLeftCell="O1" workbookViewId="0"/>
  </sheetViews>
  <sheetFormatPr defaultColWidth="8.85546875" defaultRowHeight="15" x14ac:dyDescent="0.25"/>
  <cols>
    <col min="1" max="1" width="29.42578125" bestFit="1" customWidth="1"/>
    <col min="2" max="2" width="18.5703125" customWidth="1"/>
    <col min="3" max="15" width="15.140625" customWidth="1"/>
  </cols>
  <sheetData>
    <row r="1" spans="1:15" ht="15.75" thickBot="1" x14ac:dyDescent="0.3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</row>
    <row r="2" spans="1:15" x14ac:dyDescent="0.25">
      <c r="A2" s="2" t="s">
        <v>2</v>
      </c>
      <c r="B2" s="3" t="s">
        <v>2</v>
      </c>
      <c r="C2" s="15">
        <f>+INGEI!C2</f>
        <v>-19217573.96002011</v>
      </c>
      <c r="D2" s="15">
        <f>+INGEI!D2</f>
        <v>-20027828.785399288</v>
      </c>
      <c r="E2" s="15">
        <f>+INGEI!E2</f>
        <v>-20838083.61077847</v>
      </c>
      <c r="F2" s="15">
        <f>+INGEI!F2</f>
        <v>-22648214.15768446</v>
      </c>
      <c r="G2" s="15">
        <f>+INGEI!G2</f>
        <v>-24458344.704590455</v>
      </c>
      <c r="H2" s="15">
        <f>+INGEI!H2</f>
        <v>-22793711.41722884</v>
      </c>
      <c r="I2" s="15">
        <f>+INGEI!I2</f>
        <v>-21129078.129867222</v>
      </c>
      <c r="J2" s="15">
        <f>+INGEI!J2</f>
        <v>-22396709.921292119</v>
      </c>
      <c r="K2" s="15">
        <f>+INGEI!K2</f>
        <v>-23664341.712717015</v>
      </c>
      <c r="L2" s="15">
        <f>+INGEI!L2</f>
        <v>-24349407.6349594</v>
      </c>
      <c r="M2" s="15">
        <f>+INGEI!M2</f>
        <v>-23879007.32801044</v>
      </c>
      <c r="N2" s="15">
        <f>+INGEI!N2</f>
        <v>-21069337.086863667</v>
      </c>
      <c r="O2" s="15">
        <f>+INGEI!O2</f>
        <v>-18652838.444170143</v>
      </c>
    </row>
    <row r="3" spans="1:15" s="73" customFormat="1" x14ac:dyDescent="0.25">
      <c r="A3" s="382"/>
      <c r="B3" s="383"/>
      <c r="C3" s="384">
        <f>+C2/1000000</f>
        <v>-19.217573960020111</v>
      </c>
      <c r="D3" s="384">
        <f t="shared" ref="D3:O3" si="0">+D2/1000000</f>
        <v>-20.027828785399286</v>
      </c>
      <c r="E3" s="384">
        <f t="shared" si="0"/>
        <v>-20.838083610778469</v>
      </c>
      <c r="F3" s="384">
        <f t="shared" si="0"/>
        <v>-22.64821415768446</v>
      </c>
      <c r="G3" s="384">
        <f t="shared" si="0"/>
        <v>-24.458344704590456</v>
      </c>
      <c r="H3" s="384">
        <f t="shared" si="0"/>
        <v>-22.793711417228842</v>
      </c>
      <c r="I3" s="384">
        <f t="shared" si="0"/>
        <v>-21.129078129867221</v>
      </c>
      <c r="J3" s="384">
        <f t="shared" si="0"/>
        <v>-22.396709921292118</v>
      </c>
      <c r="K3" s="384">
        <f t="shared" si="0"/>
        <v>-23.664341712717015</v>
      </c>
      <c r="L3" s="384">
        <f t="shared" si="0"/>
        <v>-24.349407634959398</v>
      </c>
      <c r="M3" s="384">
        <f t="shared" si="0"/>
        <v>-23.879007328010442</v>
      </c>
      <c r="N3" s="384">
        <f t="shared" si="0"/>
        <v>-21.069337086863666</v>
      </c>
      <c r="O3" s="384">
        <f t="shared" si="0"/>
        <v>-18.652838444170143</v>
      </c>
    </row>
    <row r="4" spans="1:15" x14ac:dyDescent="0.25">
      <c r="A4" s="4" t="s">
        <v>3</v>
      </c>
      <c r="B4" s="5" t="s">
        <v>2</v>
      </c>
      <c r="C4" s="16">
        <f>+INGEI!C3</f>
        <v>-260988.33777499993</v>
      </c>
      <c r="D4" s="16">
        <f>+INGEI!D3</f>
        <v>-260988.33777499993</v>
      </c>
      <c r="E4" s="16">
        <f>+INGEI!E3</f>
        <v>-260988.33777499993</v>
      </c>
      <c r="F4" s="16">
        <f>+INGEI!F3</f>
        <v>-260988.33777499993</v>
      </c>
      <c r="G4" s="16">
        <f>+INGEI!G3</f>
        <v>-260988.33777499993</v>
      </c>
      <c r="H4" s="16">
        <f>+INGEI!H3</f>
        <v>-184466.62315491663</v>
      </c>
      <c r="I4" s="16">
        <f>+INGEI!I3</f>
        <v>-107944.90853483332</v>
      </c>
      <c r="J4" s="16">
        <f>+INGEI!J3</f>
        <v>-142695.69859874999</v>
      </c>
      <c r="K4" s="16">
        <f>+INGEI!K3</f>
        <v>-177446.4886626667</v>
      </c>
      <c r="L4" s="16">
        <f>+INGEI!L3</f>
        <v>-39273.680204916658</v>
      </c>
      <c r="M4" s="16">
        <f>+INGEI!M3</f>
        <v>-39273.680204916658</v>
      </c>
      <c r="N4" s="16">
        <f>+INGEI!N3</f>
        <v>-47774.419629750002</v>
      </c>
      <c r="O4" s="16">
        <f>+INGEI!O3</f>
        <v>-47774.419629750002</v>
      </c>
    </row>
    <row r="5" spans="1:15" x14ac:dyDescent="0.25">
      <c r="A5" s="6" t="s">
        <v>4</v>
      </c>
      <c r="B5" s="5" t="s">
        <v>2</v>
      </c>
      <c r="C5" s="16">
        <f>+INGEI!C4</f>
        <v>-37381.3033</v>
      </c>
      <c r="D5" s="16">
        <f>+INGEI!D4</f>
        <v>-37381.3033</v>
      </c>
      <c r="E5" s="16">
        <f>+INGEI!E4</f>
        <v>-37381.3033</v>
      </c>
      <c r="F5" s="16">
        <f>+INGEI!F4</f>
        <v>-37381.3033</v>
      </c>
      <c r="G5" s="16">
        <f>+INGEI!G4</f>
        <v>-37381.3033</v>
      </c>
      <c r="H5" s="16">
        <f>+INGEI!H4</f>
        <v>-50955.234336874993</v>
      </c>
      <c r="I5" s="16">
        <f>+INGEI!I4</f>
        <v>-64529.165373749987</v>
      </c>
      <c r="J5" s="16">
        <f>+INGEI!J4</f>
        <v>-77357.533330458333</v>
      </c>
      <c r="K5" s="16">
        <f>+INGEI!K4</f>
        <v>-90185.901287166664</v>
      </c>
      <c r="L5" s="16">
        <f>+INGEI!L4</f>
        <v>-4884.1189604166666</v>
      </c>
      <c r="M5" s="16">
        <f>+INGEI!M4</f>
        <v>-4884.1189604166666</v>
      </c>
      <c r="N5" s="16">
        <f>+INGEI!N4</f>
        <v>-1165.999593</v>
      </c>
      <c r="O5" s="16">
        <f>+INGEI!O4</f>
        <v>-1165.999593</v>
      </c>
    </row>
    <row r="6" spans="1:15" x14ac:dyDescent="0.25">
      <c r="A6" s="6" t="s">
        <v>5</v>
      </c>
      <c r="B6" s="5" t="s">
        <v>2</v>
      </c>
      <c r="C6" s="16">
        <f>+INGEI!C5</f>
        <v>-763.30475833333333</v>
      </c>
      <c r="D6" s="16">
        <f>+INGEI!D5</f>
        <v>-763.30475833333333</v>
      </c>
      <c r="E6" s="16">
        <f>+INGEI!E5</f>
        <v>-763.30475833333333</v>
      </c>
      <c r="F6" s="16">
        <f>+INGEI!F5</f>
        <v>-763.30475833333333</v>
      </c>
      <c r="G6" s="16">
        <f>+INGEI!G5</f>
        <v>-763.30475833333333</v>
      </c>
      <c r="H6" s="16">
        <f>+INGEI!H5</f>
        <v>-807.2463565833333</v>
      </c>
      <c r="I6" s="16">
        <f>+INGEI!I5</f>
        <v>-851.18795483333327</v>
      </c>
      <c r="J6" s="16">
        <f>+INGEI!J5</f>
        <v>-610.33435879166666</v>
      </c>
      <c r="K6" s="16">
        <f>+INGEI!K5</f>
        <v>-369.48076275</v>
      </c>
      <c r="L6" s="16">
        <f>+INGEI!L5</f>
        <v>-412.39086808333332</v>
      </c>
      <c r="M6" s="16">
        <f>+INGEI!M5</f>
        <v>-412.39086808333332</v>
      </c>
      <c r="N6" s="16">
        <f>+INGEI!N5</f>
        <v>-250.65277874999998</v>
      </c>
      <c r="O6" s="16">
        <f>+INGEI!O5</f>
        <v>-250.65277874999998</v>
      </c>
    </row>
    <row r="7" spans="1:15" x14ac:dyDescent="0.25">
      <c r="A7" s="6" t="s">
        <v>6</v>
      </c>
      <c r="B7" s="5" t="s">
        <v>2</v>
      </c>
      <c r="C7" s="16">
        <f>+INGEI!C6</f>
        <v>0</v>
      </c>
      <c r="D7" s="16">
        <f>+INGEI!D6</f>
        <v>0</v>
      </c>
      <c r="E7" s="16">
        <f>+INGEI!E6</f>
        <v>0</v>
      </c>
      <c r="F7" s="16">
        <f>+INGEI!F6</f>
        <v>0</v>
      </c>
      <c r="G7" s="16">
        <f>+INGEI!G6</f>
        <v>0</v>
      </c>
      <c r="H7" s="16">
        <f>+INGEI!H6</f>
        <v>0</v>
      </c>
      <c r="I7" s="16">
        <f>+INGEI!I6</f>
        <v>0</v>
      </c>
      <c r="J7" s="16">
        <f>+INGEI!J6</f>
        <v>-1820.4818486249999</v>
      </c>
      <c r="K7" s="16">
        <f>+INGEI!K6</f>
        <v>-3640.9636972499998</v>
      </c>
      <c r="L7" s="16">
        <f>+INGEI!L6</f>
        <v>-1102.8722264999999</v>
      </c>
      <c r="M7" s="16">
        <f>+INGEI!M6</f>
        <v>-1102.8722264999999</v>
      </c>
      <c r="N7" s="16">
        <f>+INGEI!N6</f>
        <v>0</v>
      </c>
      <c r="O7" s="16">
        <f>+INGEI!O6</f>
        <v>0</v>
      </c>
    </row>
    <row r="8" spans="1:15" x14ac:dyDescent="0.25">
      <c r="A8" s="7" t="s">
        <v>7</v>
      </c>
      <c r="B8" s="8" t="s">
        <v>2</v>
      </c>
      <c r="C8" s="16">
        <f>+INGEI!C7</f>
        <v>-165.03886666666668</v>
      </c>
      <c r="D8" s="16">
        <f>+INGEI!D7</f>
        <v>-165.03886666666668</v>
      </c>
      <c r="E8" s="16">
        <f>+INGEI!E7</f>
        <v>-165.03886666666668</v>
      </c>
      <c r="F8" s="16">
        <f>+INGEI!F7</f>
        <v>-165.03886666666668</v>
      </c>
      <c r="G8" s="16">
        <f>+INGEI!G7</f>
        <v>-165.03886666666668</v>
      </c>
      <c r="H8" s="16">
        <f>+INGEI!H7</f>
        <v>-321.61949141666668</v>
      </c>
      <c r="I8" s="16">
        <f>+INGEI!I7</f>
        <v>-478.20011616666665</v>
      </c>
      <c r="J8" s="16">
        <f>+INGEI!J7</f>
        <v>-2141.7918921666665</v>
      </c>
      <c r="K8" s="16">
        <f>+INGEI!K7</f>
        <v>-3805.3836681666662</v>
      </c>
      <c r="L8" s="16">
        <f>+INGEI!L7</f>
        <v>-152.24835449999998</v>
      </c>
      <c r="M8" s="16">
        <f>+INGEI!M7</f>
        <v>-152.24835449999998</v>
      </c>
      <c r="N8" s="16">
        <f>+INGEI!N7</f>
        <v>-788.16566262499998</v>
      </c>
      <c r="O8" s="16">
        <f>+INGEI!O7</f>
        <v>-788.16566262499998</v>
      </c>
    </row>
    <row r="9" spans="1:15" s="73" customFormat="1" ht="15.75" thickBot="1" x14ac:dyDescent="0.3">
      <c r="A9" s="385"/>
      <c r="B9" s="386"/>
      <c r="C9" s="387">
        <f>+SUM(C4:C8)/1000</f>
        <v>-299.29798469999992</v>
      </c>
      <c r="D9" s="387">
        <f t="shared" ref="D9:O9" si="1">+SUM(D4:D8)/1000</f>
        <v>-299.29798469999992</v>
      </c>
      <c r="E9" s="387">
        <f t="shared" si="1"/>
        <v>-299.29798469999992</v>
      </c>
      <c r="F9" s="387">
        <f t="shared" si="1"/>
        <v>-299.29798469999992</v>
      </c>
      <c r="G9" s="387">
        <f t="shared" si="1"/>
        <v>-299.29798469999992</v>
      </c>
      <c r="H9" s="387">
        <f t="shared" si="1"/>
        <v>-236.55072333979163</v>
      </c>
      <c r="I9" s="387">
        <f t="shared" si="1"/>
        <v>-173.80346197958332</v>
      </c>
      <c r="J9" s="387">
        <f t="shared" si="1"/>
        <v>-224.62584002879166</v>
      </c>
      <c r="K9" s="387">
        <f t="shared" si="1"/>
        <v>-275.44821807800008</v>
      </c>
      <c r="L9" s="387">
        <f t="shared" si="1"/>
        <v>-45.825310614416658</v>
      </c>
      <c r="M9" s="387">
        <f t="shared" si="1"/>
        <v>-45.825310614416658</v>
      </c>
      <c r="N9" s="387">
        <f t="shared" si="1"/>
        <v>-49.979237664125002</v>
      </c>
      <c r="O9" s="387">
        <f t="shared" si="1"/>
        <v>-49.979237664125002</v>
      </c>
    </row>
    <row r="10" spans="1:15" x14ac:dyDescent="0.25">
      <c r="A10" s="9" t="s">
        <v>8</v>
      </c>
      <c r="B10" s="10" t="s">
        <v>8</v>
      </c>
      <c r="C10" s="18">
        <f>+INGEI!C8</f>
        <v>0</v>
      </c>
      <c r="D10" s="18">
        <f>+INGEI!D8</f>
        <v>0</v>
      </c>
      <c r="E10" s="18">
        <f>+INGEI!E8</f>
        <v>0</v>
      </c>
      <c r="F10" s="18">
        <f>+INGEI!F8</f>
        <v>0</v>
      </c>
      <c r="G10" s="18">
        <f>+INGEI!G8</f>
        <v>0</v>
      </c>
      <c r="H10" s="18">
        <f>+INGEI!H8</f>
        <v>0</v>
      </c>
      <c r="I10" s="18">
        <f>+INGEI!I8</f>
        <v>0</v>
      </c>
      <c r="J10" s="18">
        <f>+INGEI!J8</f>
        <v>0</v>
      </c>
      <c r="K10" s="18">
        <f>+INGEI!K8</f>
        <v>0</v>
      </c>
      <c r="L10" s="18">
        <f>+INGEI!L8</f>
        <v>0</v>
      </c>
      <c r="M10" s="18">
        <f>+INGEI!M8</f>
        <v>0</v>
      </c>
      <c r="N10" s="18">
        <f>+INGEI!N8</f>
        <v>0</v>
      </c>
      <c r="O10" s="18">
        <f>+INGEI!O8</f>
        <v>0</v>
      </c>
    </row>
    <row r="11" spans="1:15" x14ac:dyDescent="0.25">
      <c r="A11" s="11" t="s">
        <v>2</v>
      </c>
      <c r="B11" s="12" t="s">
        <v>8</v>
      </c>
      <c r="C11" s="19">
        <f>+INGEI!C9</f>
        <v>37427636.205522507</v>
      </c>
      <c r="D11" s="19">
        <f>+INGEI!D9</f>
        <v>37427636.205522507</v>
      </c>
      <c r="E11" s="19">
        <f>+INGEI!E9</f>
        <v>37427636.205522507</v>
      </c>
      <c r="F11" s="19">
        <f>+INGEI!F9</f>
        <v>37427636.205522507</v>
      </c>
      <c r="G11" s="19">
        <f>+INGEI!G9</f>
        <v>37427636.205522507</v>
      </c>
      <c r="H11" s="19">
        <f>+INGEI!H9</f>
        <v>38419761.528193757</v>
      </c>
      <c r="I11" s="19">
        <f>+INGEI!I9</f>
        <v>39411886.850864999</v>
      </c>
      <c r="J11" s="19">
        <f>+INGEI!J9</f>
        <v>36724892.198872909</v>
      </c>
      <c r="K11" s="19">
        <f>+INGEI!K9</f>
        <v>34037897.546880826</v>
      </c>
      <c r="L11" s="19">
        <f>+INGEI!L9</f>
        <v>33489303.921204999</v>
      </c>
      <c r="M11" s="19">
        <f>+INGEI!M9</f>
        <v>33489303.921204999</v>
      </c>
      <c r="N11" s="19">
        <f>+INGEI!N9</f>
        <v>37228401.432620004</v>
      </c>
      <c r="O11" s="19">
        <f>+INGEI!O9</f>
        <v>37228401.432620004</v>
      </c>
    </row>
    <row r="12" spans="1:15" x14ac:dyDescent="0.25">
      <c r="A12" s="24" t="s">
        <v>4</v>
      </c>
      <c r="B12" s="25" t="s">
        <v>8</v>
      </c>
      <c r="C12" s="26">
        <f>+INGEI!C10</f>
        <v>-64379.01360000002</v>
      </c>
      <c r="D12" s="26">
        <f>+INGEI!D10</f>
        <v>-64379.01360000002</v>
      </c>
      <c r="E12" s="26">
        <f>+INGEI!E10</f>
        <v>-64379.01360000002</v>
      </c>
      <c r="F12" s="26">
        <f>+INGEI!F10</f>
        <v>-64379.01360000002</v>
      </c>
      <c r="G12" s="26">
        <f>+INGEI!G10</f>
        <v>-64379.01360000002</v>
      </c>
      <c r="H12" s="26">
        <f>+INGEI!H10</f>
        <v>-102872.36520000003</v>
      </c>
      <c r="I12" s="26">
        <f>+INGEI!I10</f>
        <v>-141365.71680000002</v>
      </c>
      <c r="J12" s="26">
        <f>+INGEI!J10</f>
        <v>-90297.332400000014</v>
      </c>
      <c r="K12" s="26">
        <f>+INGEI!K10</f>
        <v>-39228.947999999997</v>
      </c>
      <c r="L12" s="26">
        <f>+INGEI!L10</f>
        <v>-85642.68240000002</v>
      </c>
      <c r="M12" s="26">
        <f>+INGEI!M10</f>
        <v>-85642.68240000002</v>
      </c>
      <c r="N12" s="26">
        <f>+INGEI!N10</f>
        <v>-61290.345600000015</v>
      </c>
      <c r="O12" s="26">
        <f>+INGEI!O10</f>
        <v>-61290.345600000015</v>
      </c>
    </row>
    <row r="13" spans="1:15" x14ac:dyDescent="0.25">
      <c r="A13" s="11" t="s">
        <v>5</v>
      </c>
      <c r="B13" s="12" t="s">
        <v>8</v>
      </c>
      <c r="C13" s="19">
        <f>+INGEI!C11</f>
        <v>-79317.237999999998</v>
      </c>
      <c r="D13" s="19">
        <f>+INGEI!D11</f>
        <v>-79317.237999999998</v>
      </c>
      <c r="E13" s="19">
        <f>+INGEI!E11</f>
        <v>-79317.237999999998</v>
      </c>
      <c r="F13" s="19">
        <f>+INGEI!F11</f>
        <v>-79317.237999999998</v>
      </c>
      <c r="G13" s="19">
        <f>+INGEI!G11</f>
        <v>-79317.237999999998</v>
      </c>
      <c r="H13" s="19">
        <f>+INGEI!H11</f>
        <v>-88356.983000000007</v>
      </c>
      <c r="I13" s="19">
        <f>+INGEI!I11</f>
        <v>-97396.728000000003</v>
      </c>
      <c r="J13" s="19">
        <f>+INGEI!J11</f>
        <v>-80781.796333333332</v>
      </c>
      <c r="K13" s="19">
        <f>+INGEI!K11</f>
        <v>-64166.864666666661</v>
      </c>
      <c r="L13" s="19">
        <f>+INGEI!L11</f>
        <v>-7582.6226666666671</v>
      </c>
      <c r="M13" s="19">
        <f>+INGEI!M11</f>
        <v>-7582.6226666666671</v>
      </c>
      <c r="N13" s="19">
        <f>+INGEI!N11</f>
        <v>-24433.695</v>
      </c>
      <c r="O13" s="19">
        <f>+INGEI!O11</f>
        <v>-24433.695</v>
      </c>
    </row>
    <row r="14" spans="1:15" x14ac:dyDescent="0.25">
      <c r="A14" s="11" t="s">
        <v>6</v>
      </c>
      <c r="B14" s="12" t="s">
        <v>8</v>
      </c>
      <c r="C14" s="19">
        <f>+INGEI!C12</f>
        <v>0</v>
      </c>
      <c r="D14" s="19">
        <f>+INGEI!D12</f>
        <v>0</v>
      </c>
      <c r="E14" s="19">
        <f>+INGEI!E12</f>
        <v>0</v>
      </c>
      <c r="F14" s="19">
        <f>+INGEI!F12</f>
        <v>0</v>
      </c>
      <c r="G14" s="19">
        <f>+INGEI!G12</f>
        <v>0</v>
      </c>
      <c r="H14" s="19">
        <f>+INGEI!H12</f>
        <v>0</v>
      </c>
      <c r="I14" s="19">
        <f>+INGEI!I12</f>
        <v>0</v>
      </c>
      <c r="J14" s="19">
        <f>+INGEI!J12</f>
        <v>0</v>
      </c>
      <c r="K14" s="19">
        <f>+INGEI!K12</f>
        <v>0</v>
      </c>
      <c r="L14" s="19">
        <f>+INGEI!L12</f>
        <v>0</v>
      </c>
      <c r="M14" s="19">
        <f>+INGEI!M12</f>
        <v>0</v>
      </c>
      <c r="N14" s="19">
        <f>+INGEI!N12</f>
        <v>-2501.0700000000002</v>
      </c>
      <c r="O14" s="19">
        <f>+INGEI!O12</f>
        <v>-2501.0700000000002</v>
      </c>
    </row>
    <row r="15" spans="1:15" ht="15.75" thickBot="1" x14ac:dyDescent="0.3">
      <c r="A15" s="13" t="s">
        <v>7</v>
      </c>
      <c r="B15" s="14" t="s">
        <v>8</v>
      </c>
      <c r="C15" s="20">
        <f>+INGEI!C13</f>
        <v>-12207.624</v>
      </c>
      <c r="D15" s="20">
        <f>+INGEI!D13</f>
        <v>-12207.624</v>
      </c>
      <c r="E15" s="20">
        <f>+INGEI!E13</f>
        <v>-12207.624</v>
      </c>
      <c r="F15" s="20">
        <f>+INGEI!F13</f>
        <v>-12207.624</v>
      </c>
      <c r="G15" s="20">
        <f>+INGEI!G13</f>
        <v>-12207.624</v>
      </c>
      <c r="H15" s="20">
        <f>+INGEI!H13</f>
        <v>-50096.260499999997</v>
      </c>
      <c r="I15" s="20">
        <f>+INGEI!I13</f>
        <v>-87984.896999999997</v>
      </c>
      <c r="J15" s="20">
        <f>+INGEI!J13</f>
        <v>-51382.640833333331</v>
      </c>
      <c r="K15" s="20">
        <f>+INGEI!K13</f>
        <v>-14780.384666666669</v>
      </c>
      <c r="L15" s="20">
        <f>+INGEI!L13</f>
        <v>-5803.1306666666669</v>
      </c>
      <c r="M15" s="20">
        <f>+INGEI!M13</f>
        <v>-5803.1306666666669</v>
      </c>
      <c r="N15" s="20">
        <f>+INGEI!N13</f>
        <v>-32062.172999999995</v>
      </c>
      <c r="O15" s="20">
        <f>+INGEI!O13</f>
        <v>-32062.172999999995</v>
      </c>
    </row>
    <row r="16" spans="1:15" s="73" customFormat="1" ht="15.75" thickBot="1" x14ac:dyDescent="0.3">
      <c r="A16" s="385"/>
      <c r="B16" s="387"/>
      <c r="C16" s="387">
        <f>+SUM(C11:C15)/1000</f>
        <v>37271.73232992251</v>
      </c>
      <c r="D16" s="387">
        <f t="shared" ref="D16:O16" si="2">+SUM(D11:D15)/1000</f>
        <v>37271.73232992251</v>
      </c>
      <c r="E16" s="387">
        <f t="shared" si="2"/>
        <v>37271.73232992251</v>
      </c>
      <c r="F16" s="387">
        <f t="shared" si="2"/>
        <v>37271.73232992251</v>
      </c>
      <c r="G16" s="387">
        <f t="shared" si="2"/>
        <v>37271.73232992251</v>
      </c>
      <c r="H16" s="387">
        <f t="shared" si="2"/>
        <v>38178.435919493757</v>
      </c>
      <c r="I16" s="387">
        <f t="shared" si="2"/>
        <v>39085.139509065004</v>
      </c>
      <c r="J16" s="387">
        <f t="shared" si="2"/>
        <v>36502.430429306238</v>
      </c>
      <c r="K16" s="387">
        <f t="shared" si="2"/>
        <v>33919.721349547501</v>
      </c>
      <c r="L16" s="387">
        <f t="shared" si="2"/>
        <v>33390.275485471662</v>
      </c>
      <c r="M16" s="387">
        <f t="shared" si="2"/>
        <v>33390.275485471662</v>
      </c>
      <c r="N16" s="387">
        <f t="shared" si="2"/>
        <v>37108.114149020003</v>
      </c>
      <c r="O16" s="387">
        <f t="shared" si="2"/>
        <v>37108.114149020003</v>
      </c>
    </row>
    <row r="17" spans="1:15" x14ac:dyDescent="0.25">
      <c r="A17" s="2" t="s">
        <v>4</v>
      </c>
      <c r="B17" s="3" t="s">
        <v>4</v>
      </c>
      <c r="C17" s="15" t="str">
        <f>+INGEI!C14</f>
        <v>NE</v>
      </c>
      <c r="D17" s="15" t="str">
        <f>+INGEI!D14</f>
        <v>NE</v>
      </c>
      <c r="E17" s="15" t="str">
        <f>+INGEI!E14</f>
        <v>NE</v>
      </c>
      <c r="F17" s="15" t="str">
        <f>+INGEI!F14</f>
        <v>NE</v>
      </c>
      <c r="G17" s="15" t="str">
        <f>+INGEI!G14</f>
        <v>NE</v>
      </c>
      <c r="H17" s="15" t="str">
        <f>+INGEI!H14</f>
        <v>NE</v>
      </c>
      <c r="I17" s="15" t="str">
        <f>+INGEI!I14</f>
        <v>NE</v>
      </c>
      <c r="J17" s="15" t="str">
        <f>+INGEI!J14</f>
        <v>NE</v>
      </c>
      <c r="K17" s="15" t="str">
        <f>+INGEI!K14</f>
        <v>NE</v>
      </c>
      <c r="L17" s="15" t="str">
        <f>+INGEI!L14</f>
        <v>NE</v>
      </c>
      <c r="M17" s="15" t="str">
        <f>+INGEI!M14</f>
        <v>NE</v>
      </c>
      <c r="N17" s="15" t="str">
        <f>+INGEI!N14</f>
        <v>NE</v>
      </c>
      <c r="O17" s="15" t="str">
        <f>+INGEI!O14</f>
        <v>NE</v>
      </c>
    </row>
    <row r="18" spans="1:15" x14ac:dyDescent="0.25">
      <c r="A18" s="4" t="s">
        <v>2</v>
      </c>
      <c r="B18" s="5" t="s">
        <v>4</v>
      </c>
      <c r="C18" s="16">
        <f>+INGEI!C15</f>
        <v>1034352.7479633333</v>
      </c>
      <c r="D18" s="16">
        <f>+INGEI!D15</f>
        <v>1034352.7479633333</v>
      </c>
      <c r="E18" s="16">
        <f>+INGEI!E15</f>
        <v>1034352.7479633333</v>
      </c>
      <c r="F18" s="16">
        <f>+INGEI!F15</f>
        <v>1034352.7479633333</v>
      </c>
      <c r="G18" s="16">
        <f>+INGEI!G15</f>
        <v>1034352.7479633333</v>
      </c>
      <c r="H18" s="16">
        <f>+INGEI!H15</f>
        <v>551831.9794533333</v>
      </c>
      <c r="I18" s="16">
        <f>+INGEI!I15</f>
        <v>69311.210943333339</v>
      </c>
      <c r="J18" s="16">
        <f>+INGEI!J15</f>
        <v>1692292.2638658334</v>
      </c>
      <c r="K18" s="16">
        <f>+INGEI!K15</f>
        <v>3315273.3167883335</v>
      </c>
      <c r="L18" s="16">
        <f>+INGEI!L15</f>
        <v>1577555.1570166668</v>
      </c>
      <c r="M18" s="16">
        <f>+INGEI!M15</f>
        <v>1577555.1570166668</v>
      </c>
      <c r="N18" s="16">
        <f>+INGEI!N15</f>
        <v>466865.18823333329</v>
      </c>
      <c r="O18" s="16">
        <f>+INGEI!O15</f>
        <v>466865.18823333329</v>
      </c>
    </row>
    <row r="19" spans="1:15" x14ac:dyDescent="0.25">
      <c r="A19" s="24" t="s">
        <v>8</v>
      </c>
      <c r="B19" s="25" t="s">
        <v>4</v>
      </c>
      <c r="C19" s="26">
        <f>+INGEI!C16</f>
        <v>-14.666666666666666</v>
      </c>
      <c r="D19" s="26">
        <f>+INGEI!D16</f>
        <v>-14.666666666666666</v>
      </c>
      <c r="E19" s="26">
        <f>+INGEI!E16</f>
        <v>-14.666666666666666</v>
      </c>
      <c r="F19" s="26">
        <f>+INGEI!F16</f>
        <v>-14.666666666666666</v>
      </c>
      <c r="G19" s="26">
        <f>+INGEI!G16</f>
        <v>-14.666666666666666</v>
      </c>
      <c r="H19" s="26">
        <f>+INGEI!H16</f>
        <v>-14.666666666666666</v>
      </c>
      <c r="I19" s="26">
        <f>+INGEI!I16</f>
        <v>-14.666666666666666</v>
      </c>
      <c r="J19" s="26">
        <f>+INGEI!J16</f>
        <v>-14.666666666666666</v>
      </c>
      <c r="K19" s="26">
        <f>+INGEI!K16</f>
        <v>-14.666666666666666</v>
      </c>
      <c r="L19" s="26">
        <f>+INGEI!L16</f>
        <v>-14.666666666666666</v>
      </c>
      <c r="M19" s="26">
        <f>+INGEI!M16</f>
        <v>-14.666666666666666</v>
      </c>
      <c r="N19" s="26">
        <f>+INGEI!N16</f>
        <v>-14.666666666666666</v>
      </c>
      <c r="O19" s="26">
        <f>+INGEI!O16</f>
        <v>-14.666666666666666</v>
      </c>
    </row>
    <row r="20" spans="1:15" x14ac:dyDescent="0.25">
      <c r="A20" s="6" t="s">
        <v>5</v>
      </c>
      <c r="B20" s="5" t="s">
        <v>4</v>
      </c>
      <c r="C20" s="16">
        <f>+INGEI!C17</f>
        <v>-14.666666666666666</v>
      </c>
      <c r="D20" s="16">
        <f>+INGEI!D17</f>
        <v>-14.666666666666666</v>
      </c>
      <c r="E20" s="16">
        <f>+INGEI!E17</f>
        <v>-14.666666666666666</v>
      </c>
      <c r="F20" s="16">
        <f>+INGEI!F17</f>
        <v>-14.666666666666666</v>
      </c>
      <c r="G20" s="16">
        <f>+INGEI!G17</f>
        <v>-14.666666666666666</v>
      </c>
      <c r="H20" s="16">
        <f>+INGEI!H17</f>
        <v>-14.666666666666666</v>
      </c>
      <c r="I20" s="16">
        <f>+INGEI!I17</f>
        <v>-14.666666666666666</v>
      </c>
      <c r="J20" s="16">
        <f>+INGEI!J17</f>
        <v>-14.666666666666666</v>
      </c>
      <c r="K20" s="16">
        <f>+INGEI!K17</f>
        <v>-14.666666666666666</v>
      </c>
      <c r="L20" s="16">
        <f>+INGEI!L17</f>
        <v>-14.666666666666666</v>
      </c>
      <c r="M20" s="16">
        <f>+INGEI!M17</f>
        <v>-14.666666666666666</v>
      </c>
      <c r="N20" s="16">
        <f>+INGEI!N17</f>
        <v>-14.666666666666666</v>
      </c>
      <c r="O20" s="16">
        <f>+INGEI!O17</f>
        <v>-14.666666666666666</v>
      </c>
    </row>
    <row r="21" spans="1:15" x14ac:dyDescent="0.25">
      <c r="A21" s="6" t="s">
        <v>6</v>
      </c>
      <c r="B21" s="5" t="s">
        <v>4</v>
      </c>
      <c r="C21" s="16">
        <f>+INGEI!C18</f>
        <v>0</v>
      </c>
      <c r="D21" s="16">
        <f>+INGEI!D18</f>
        <v>0</v>
      </c>
      <c r="E21" s="16">
        <f>+INGEI!E18</f>
        <v>0</v>
      </c>
      <c r="F21" s="16">
        <f>+INGEI!F18</f>
        <v>0</v>
      </c>
      <c r="G21" s="16">
        <f>+INGEI!G18</f>
        <v>0</v>
      </c>
      <c r="H21" s="16">
        <f>+INGEI!H18</f>
        <v>0</v>
      </c>
      <c r="I21" s="16">
        <f>+INGEI!I18</f>
        <v>0</v>
      </c>
      <c r="J21" s="16">
        <f>+INGEI!J18</f>
        <v>0</v>
      </c>
      <c r="K21" s="16">
        <f>+INGEI!K18</f>
        <v>0</v>
      </c>
      <c r="L21" s="16">
        <f>+INGEI!L18</f>
        <v>0</v>
      </c>
      <c r="M21" s="16">
        <f>+INGEI!M18</f>
        <v>0</v>
      </c>
      <c r="N21" s="16">
        <f>+INGEI!N18</f>
        <v>0</v>
      </c>
      <c r="O21" s="16">
        <f>+INGEI!O18</f>
        <v>0</v>
      </c>
    </row>
    <row r="22" spans="1:15" x14ac:dyDescent="0.25">
      <c r="A22" s="7" t="s">
        <v>7</v>
      </c>
      <c r="B22" s="8" t="s">
        <v>4</v>
      </c>
      <c r="C22" s="17">
        <f>+INGEI!C19</f>
        <v>-14.666666666666666</v>
      </c>
      <c r="D22" s="17">
        <f>+INGEI!D19</f>
        <v>-14.666666666666666</v>
      </c>
      <c r="E22" s="17">
        <f>+INGEI!E19</f>
        <v>-14.666666666666666</v>
      </c>
      <c r="F22" s="17">
        <f>+INGEI!F19</f>
        <v>-14.666666666666666</v>
      </c>
      <c r="G22" s="17">
        <f>+INGEI!G19</f>
        <v>-14.666666666666666</v>
      </c>
      <c r="H22" s="17">
        <f>+INGEI!H19</f>
        <v>-14.666666666666666</v>
      </c>
      <c r="I22" s="17">
        <f>+INGEI!I19</f>
        <v>-14.666666666666666</v>
      </c>
      <c r="J22" s="17">
        <f>+INGEI!J19</f>
        <v>-14.666666666666666</v>
      </c>
      <c r="K22" s="17">
        <f>+INGEI!K19</f>
        <v>-14.666666666666666</v>
      </c>
      <c r="L22" s="17">
        <f>+INGEI!L19</f>
        <v>-14.666666666666666</v>
      </c>
      <c r="M22" s="17">
        <f>+INGEI!M19</f>
        <v>-14.666666666666666</v>
      </c>
      <c r="N22" s="17">
        <f>+INGEI!N19</f>
        <v>-14.666666666666666</v>
      </c>
      <c r="O22" s="17">
        <f>+INGEI!O19</f>
        <v>-14.666666666666666</v>
      </c>
    </row>
    <row r="23" spans="1:15" s="73" customFormat="1" ht="15.75" thickBot="1" x14ac:dyDescent="0.3">
      <c r="A23" s="385"/>
      <c r="B23" s="386">
        <f>+C18/1000</f>
        <v>1034.3527479633333</v>
      </c>
      <c r="C23" s="387">
        <f>+SUM(C18:C22)/1000</f>
        <v>1034.3087479633334</v>
      </c>
      <c r="D23" s="387">
        <f t="shared" ref="D23:O23" si="3">+SUM(D18:D22)/1000</f>
        <v>1034.3087479633334</v>
      </c>
      <c r="E23" s="387">
        <f t="shared" si="3"/>
        <v>1034.3087479633334</v>
      </c>
      <c r="F23" s="387">
        <f t="shared" si="3"/>
        <v>1034.3087479633334</v>
      </c>
      <c r="G23" s="387">
        <f t="shared" si="3"/>
        <v>1034.3087479633334</v>
      </c>
      <c r="H23" s="387">
        <f t="shared" si="3"/>
        <v>551.78797945333338</v>
      </c>
      <c r="I23" s="387">
        <f t="shared" si="3"/>
        <v>69.267210943333325</v>
      </c>
      <c r="J23" s="387">
        <f t="shared" si="3"/>
        <v>1692.2482638658332</v>
      </c>
      <c r="K23" s="387">
        <f t="shared" si="3"/>
        <v>3315.229316788334</v>
      </c>
      <c r="L23" s="387">
        <f t="shared" si="3"/>
        <v>1577.5111570166666</v>
      </c>
      <c r="M23" s="387">
        <f t="shared" si="3"/>
        <v>1577.5111570166666</v>
      </c>
      <c r="N23" s="387">
        <f t="shared" si="3"/>
        <v>466.82118823333326</v>
      </c>
      <c r="O23" s="387">
        <f t="shared" si="3"/>
        <v>466.82118823333326</v>
      </c>
    </row>
    <row r="24" spans="1:15" x14ac:dyDescent="0.25">
      <c r="A24" s="9" t="s">
        <v>5</v>
      </c>
      <c r="B24" s="10" t="s">
        <v>5</v>
      </c>
      <c r="C24" s="18" t="str">
        <f>+INGEI!C20</f>
        <v>NE</v>
      </c>
      <c r="D24" s="18" t="str">
        <f>+INGEI!D20</f>
        <v>NE</v>
      </c>
      <c r="E24" s="18" t="str">
        <f>+INGEI!E20</f>
        <v>NE</v>
      </c>
      <c r="F24" s="18" t="str">
        <f>+INGEI!F20</f>
        <v>NE</v>
      </c>
      <c r="G24" s="18" t="str">
        <f>+INGEI!G20</f>
        <v>NE</v>
      </c>
      <c r="H24" s="18" t="str">
        <f>+INGEI!H20</f>
        <v>NE</v>
      </c>
      <c r="I24" s="18" t="str">
        <f>+INGEI!I20</f>
        <v>NE</v>
      </c>
      <c r="J24" s="18" t="str">
        <f>+INGEI!J20</f>
        <v>NE</v>
      </c>
      <c r="K24" s="18" t="str">
        <f>+INGEI!K20</f>
        <v>NE</v>
      </c>
      <c r="L24" s="18" t="str">
        <f>+INGEI!L20</f>
        <v>NE</v>
      </c>
      <c r="M24" s="18" t="str">
        <f>+INGEI!M20</f>
        <v>NE</v>
      </c>
      <c r="N24" s="18" t="str">
        <f>+INGEI!N20</f>
        <v>NE</v>
      </c>
      <c r="O24" s="18" t="str">
        <f>+INGEI!O20</f>
        <v>NE</v>
      </c>
    </row>
    <row r="25" spans="1:15" x14ac:dyDescent="0.25">
      <c r="A25" s="11" t="s">
        <v>2</v>
      </c>
      <c r="B25" s="12" t="s">
        <v>5</v>
      </c>
      <c r="C25" s="19">
        <f>+INGEI!C21</f>
        <v>257830.15640799995</v>
      </c>
      <c r="D25" s="19">
        <f>+INGEI!D21</f>
        <v>257830.15640799995</v>
      </c>
      <c r="E25" s="19">
        <f>+INGEI!E21</f>
        <v>257830.15640799995</v>
      </c>
      <c r="F25" s="19">
        <f>+INGEI!F21</f>
        <v>257830.15640799995</v>
      </c>
      <c r="G25" s="19">
        <f>+INGEI!G21</f>
        <v>257830.15640799995</v>
      </c>
      <c r="H25" s="19">
        <f>+INGEI!H21</f>
        <v>317097.99265099998</v>
      </c>
      <c r="I25" s="19">
        <f>+INGEI!I21</f>
        <v>376365.82889399998</v>
      </c>
      <c r="J25" s="19">
        <f>+INGEI!J21</f>
        <v>359780.1308475</v>
      </c>
      <c r="K25" s="19">
        <f>+INGEI!K21</f>
        <v>343194.43280100002</v>
      </c>
      <c r="L25" s="19">
        <f>+INGEI!L21</f>
        <v>2678956.2014269996</v>
      </c>
      <c r="M25" s="19">
        <f>+INGEI!M21</f>
        <v>2678956.2014269996</v>
      </c>
      <c r="N25" s="19">
        <f>+INGEI!N21</f>
        <v>3822773.4308939991</v>
      </c>
      <c r="O25" s="19">
        <f>+INGEI!O21</f>
        <v>3822773.4308939991</v>
      </c>
    </row>
    <row r="26" spans="1:15" x14ac:dyDescent="0.25">
      <c r="A26" s="11" t="s">
        <v>8</v>
      </c>
      <c r="B26" s="12" t="s">
        <v>5</v>
      </c>
      <c r="C26" s="19">
        <f>+INGEI!C22</f>
        <v>280075.85759999993</v>
      </c>
      <c r="D26" s="19">
        <f>+INGEI!D22</f>
        <v>280075.85759999993</v>
      </c>
      <c r="E26" s="19">
        <f>+INGEI!E22</f>
        <v>280075.85759999993</v>
      </c>
      <c r="F26" s="19">
        <f>+INGEI!F22</f>
        <v>280075.85759999993</v>
      </c>
      <c r="G26" s="19">
        <f>+INGEI!G22</f>
        <v>280075.85759999993</v>
      </c>
      <c r="H26" s="19">
        <f>+INGEI!H22</f>
        <v>276337.79249999998</v>
      </c>
      <c r="I26" s="19">
        <f>+INGEI!I22</f>
        <v>272599.72739999997</v>
      </c>
      <c r="J26" s="19">
        <f>+INGEI!J22</f>
        <v>287145.21219999995</v>
      </c>
      <c r="K26" s="19">
        <f>+INGEI!K22</f>
        <v>301690.69699999993</v>
      </c>
      <c r="L26" s="19">
        <f>+INGEI!L22</f>
        <v>256322.55109999995</v>
      </c>
      <c r="M26" s="19">
        <f>+INGEI!M22</f>
        <v>256322.55109999995</v>
      </c>
      <c r="N26" s="19">
        <f>+INGEI!N22</f>
        <v>54708.061099999999</v>
      </c>
      <c r="O26" s="19">
        <f>+INGEI!O22</f>
        <v>54708.061099999999</v>
      </c>
    </row>
    <row r="27" spans="1:15" x14ac:dyDescent="0.25">
      <c r="A27" s="11" t="s">
        <v>4</v>
      </c>
      <c r="B27" s="12" t="s">
        <v>5</v>
      </c>
      <c r="C27" s="19">
        <f>+INGEI!C23</f>
        <v>2896.9577999999997</v>
      </c>
      <c r="D27" s="19">
        <f>+INGEI!D23</f>
        <v>2896.9577999999997</v>
      </c>
      <c r="E27" s="19">
        <f>+INGEI!E23</f>
        <v>2896.9577999999997</v>
      </c>
      <c r="F27" s="19">
        <f>+INGEI!F23</f>
        <v>2896.9577999999997</v>
      </c>
      <c r="G27" s="19">
        <f>+INGEI!G23</f>
        <v>2896.9577999999997</v>
      </c>
      <c r="H27" s="19">
        <f>+INGEI!H23</f>
        <v>4512.8068333333331</v>
      </c>
      <c r="I27" s="19">
        <f>+INGEI!I23</f>
        <v>6128.655866666667</v>
      </c>
      <c r="J27" s="19">
        <f>+INGEI!J23</f>
        <v>3655.8793333333333</v>
      </c>
      <c r="K27" s="19">
        <f>+INGEI!K23</f>
        <v>1183.1027999999999</v>
      </c>
      <c r="L27" s="19">
        <f>+INGEI!L23</f>
        <v>7290.3203999999987</v>
      </c>
      <c r="M27" s="19">
        <f>+INGEI!M23</f>
        <v>7290.3203999999987</v>
      </c>
      <c r="N27" s="19">
        <f>+INGEI!N23</f>
        <v>947.69546666666645</v>
      </c>
      <c r="O27" s="19">
        <f>+INGEI!O23</f>
        <v>947.69546666666645</v>
      </c>
    </row>
    <row r="28" spans="1:15" x14ac:dyDescent="0.25">
      <c r="A28" s="11" t="s">
        <v>6</v>
      </c>
      <c r="B28" s="12" t="s">
        <v>5</v>
      </c>
      <c r="C28" s="19">
        <f>+INGEI!C24</f>
        <v>0</v>
      </c>
      <c r="D28" s="19">
        <f>+INGEI!D24</f>
        <v>0</v>
      </c>
      <c r="E28" s="19">
        <f>+INGEI!E24</f>
        <v>0</v>
      </c>
      <c r="F28" s="19">
        <f>+INGEI!F24</f>
        <v>0</v>
      </c>
      <c r="G28" s="19">
        <f>+INGEI!G24</f>
        <v>0</v>
      </c>
      <c r="H28" s="19">
        <f>+INGEI!H24</f>
        <v>0</v>
      </c>
      <c r="I28" s="19">
        <f>+INGEI!I24</f>
        <v>0</v>
      </c>
      <c r="J28" s="19">
        <f>+INGEI!J24</f>
        <v>0</v>
      </c>
      <c r="K28" s="19">
        <f>+INGEI!K24</f>
        <v>0</v>
      </c>
      <c r="L28" s="19">
        <f>+INGEI!L24</f>
        <v>0</v>
      </c>
      <c r="M28" s="19">
        <f>+INGEI!M24</f>
        <v>0</v>
      </c>
      <c r="N28" s="19">
        <f>+INGEI!N24</f>
        <v>0</v>
      </c>
      <c r="O28" s="19">
        <f>+INGEI!O24</f>
        <v>0</v>
      </c>
    </row>
    <row r="29" spans="1:15" ht="15.75" thickBot="1" x14ac:dyDescent="0.3">
      <c r="A29" s="13" t="s">
        <v>7</v>
      </c>
      <c r="B29" s="14" t="s">
        <v>5</v>
      </c>
      <c r="C29" s="20">
        <f>+INGEI!C25</f>
        <v>0</v>
      </c>
      <c r="D29" s="20">
        <f>+INGEI!D25</f>
        <v>0</v>
      </c>
      <c r="E29" s="20">
        <f>+INGEI!E25</f>
        <v>0</v>
      </c>
      <c r="F29" s="20">
        <f>+INGEI!F25</f>
        <v>0</v>
      </c>
      <c r="G29" s="20">
        <f>+INGEI!G25</f>
        <v>0</v>
      </c>
      <c r="H29" s="20">
        <f>+INGEI!H25</f>
        <v>0</v>
      </c>
      <c r="I29" s="20">
        <f>+INGEI!I25</f>
        <v>0</v>
      </c>
      <c r="J29" s="20">
        <f>+INGEI!J25</f>
        <v>0</v>
      </c>
      <c r="K29" s="20">
        <f>+INGEI!K25</f>
        <v>0</v>
      </c>
      <c r="L29" s="20">
        <f>+INGEI!L25</f>
        <v>0</v>
      </c>
      <c r="M29" s="20">
        <f>+INGEI!M25</f>
        <v>0</v>
      </c>
      <c r="N29" s="20">
        <f>+INGEI!N25</f>
        <v>0</v>
      </c>
      <c r="O29" s="20">
        <f>+INGEI!O25</f>
        <v>0</v>
      </c>
    </row>
    <row r="30" spans="1:15" s="73" customFormat="1" ht="15.75" thickBot="1" x14ac:dyDescent="0.3">
      <c r="A30" s="385"/>
      <c r="B30" s="386"/>
      <c r="C30" s="387">
        <f>+SUM(C25:C29)/1000</f>
        <v>540.80297180799994</v>
      </c>
      <c r="D30" s="387">
        <f t="shared" ref="D30:O30" si="4">+SUM(D25:D29)/1000</f>
        <v>540.80297180799994</v>
      </c>
      <c r="E30" s="387">
        <f t="shared" si="4"/>
        <v>540.80297180799994</v>
      </c>
      <c r="F30" s="387">
        <f t="shared" si="4"/>
        <v>540.80297180799994</v>
      </c>
      <c r="G30" s="387">
        <f t="shared" si="4"/>
        <v>540.80297180799994</v>
      </c>
      <c r="H30" s="387">
        <f t="shared" si="4"/>
        <v>597.94859198433323</v>
      </c>
      <c r="I30" s="387">
        <f t="shared" si="4"/>
        <v>655.09421216066676</v>
      </c>
      <c r="J30" s="387">
        <f t="shared" si="4"/>
        <v>650.5812223808332</v>
      </c>
      <c r="K30" s="387">
        <f t="shared" si="4"/>
        <v>646.06823260099998</v>
      </c>
      <c r="L30" s="387">
        <f t="shared" si="4"/>
        <v>2942.5690729269995</v>
      </c>
      <c r="M30" s="387">
        <f t="shared" si="4"/>
        <v>2942.5690729269995</v>
      </c>
      <c r="N30" s="387">
        <f t="shared" si="4"/>
        <v>3878.4291874606656</v>
      </c>
      <c r="O30" s="387">
        <f t="shared" si="4"/>
        <v>3878.4291874606656</v>
      </c>
    </row>
    <row r="31" spans="1:15" x14ac:dyDescent="0.25">
      <c r="A31" s="2" t="s">
        <v>6</v>
      </c>
      <c r="B31" s="3" t="s">
        <v>6</v>
      </c>
      <c r="C31" s="15" t="str">
        <f>+INGEI!C26</f>
        <v>NE</v>
      </c>
      <c r="D31" s="15" t="str">
        <f>+INGEI!D26</f>
        <v>NE</v>
      </c>
      <c r="E31" s="15" t="str">
        <f>+INGEI!E26</f>
        <v>NE</v>
      </c>
      <c r="F31" s="15" t="str">
        <f>+INGEI!F26</f>
        <v>NE</v>
      </c>
      <c r="G31" s="15" t="str">
        <f>+INGEI!G26</f>
        <v>NE</v>
      </c>
      <c r="H31" s="15" t="str">
        <f>+INGEI!H26</f>
        <v>NE</v>
      </c>
      <c r="I31" s="15" t="str">
        <f>+INGEI!I26</f>
        <v>NE</v>
      </c>
      <c r="J31" s="15" t="str">
        <f>+INGEI!J26</f>
        <v>NE</v>
      </c>
      <c r="K31" s="15" t="str">
        <f>+INGEI!K26</f>
        <v>NE</v>
      </c>
      <c r="L31" s="15" t="str">
        <f>+INGEI!L26</f>
        <v>NE</v>
      </c>
      <c r="M31" s="15" t="str">
        <f>+INGEI!M26</f>
        <v>NE</v>
      </c>
      <c r="N31" s="15" t="str">
        <f>+INGEI!N26</f>
        <v>NE</v>
      </c>
      <c r="O31" s="15" t="str">
        <f>+INGEI!O26</f>
        <v>NE</v>
      </c>
    </row>
    <row r="32" spans="1:15" x14ac:dyDescent="0.25">
      <c r="A32" s="4" t="s">
        <v>2</v>
      </c>
      <c r="B32" s="5" t="s">
        <v>6</v>
      </c>
      <c r="C32" s="16">
        <f>+INGEI!C27</f>
        <v>163507.27278</v>
      </c>
      <c r="D32" s="16">
        <f>+INGEI!D27</f>
        <v>163507.27278</v>
      </c>
      <c r="E32" s="16">
        <f>+INGEI!E27</f>
        <v>163507.27278</v>
      </c>
      <c r="F32" s="16">
        <f>+INGEI!F27</f>
        <v>163507.27278</v>
      </c>
      <c r="G32" s="16">
        <f>+INGEI!G27</f>
        <v>163507.27278</v>
      </c>
      <c r="H32" s="16">
        <f>+INGEI!H27</f>
        <v>153956.31157833332</v>
      </c>
      <c r="I32" s="16">
        <f>+INGEI!I27</f>
        <v>144405.35037666667</v>
      </c>
      <c r="J32" s="16">
        <f>+INGEI!J27</f>
        <v>202538.1865458333</v>
      </c>
      <c r="K32" s="16">
        <f>+INGEI!K27</f>
        <v>260671.02271499997</v>
      </c>
      <c r="L32" s="16">
        <f>+INGEI!L27</f>
        <v>973099.72290999989</v>
      </c>
      <c r="M32" s="16">
        <f>+INGEI!M27</f>
        <v>973099.72290999989</v>
      </c>
      <c r="N32" s="16">
        <f>+INGEI!N27</f>
        <v>710135.93529666681</v>
      </c>
      <c r="O32" s="16">
        <f>+INGEI!O27</f>
        <v>710135.93529666681</v>
      </c>
    </row>
    <row r="33" spans="1:15" x14ac:dyDescent="0.25">
      <c r="A33" s="6" t="s">
        <v>8</v>
      </c>
      <c r="B33" s="5" t="s">
        <v>6</v>
      </c>
      <c r="C33" s="16">
        <f>+INGEI!C28</f>
        <v>350768.67979999998</v>
      </c>
      <c r="D33" s="16">
        <f>+INGEI!D28</f>
        <v>350768.67979999998</v>
      </c>
      <c r="E33" s="16">
        <f>+INGEI!E28</f>
        <v>350768.67979999998</v>
      </c>
      <c r="F33" s="16">
        <f>+INGEI!F28</f>
        <v>350768.67979999998</v>
      </c>
      <c r="G33" s="16">
        <f>+INGEI!G28</f>
        <v>350768.67979999998</v>
      </c>
      <c r="H33" s="16">
        <f>+INGEI!H28</f>
        <v>217366.73035</v>
      </c>
      <c r="I33" s="16">
        <f>+INGEI!I28</f>
        <v>83964.780899999998</v>
      </c>
      <c r="J33" s="16">
        <f>+INGEI!J28</f>
        <v>299275.19545</v>
      </c>
      <c r="K33" s="16">
        <f>+INGEI!K28</f>
        <v>514585.61</v>
      </c>
      <c r="L33" s="16">
        <f>+INGEI!L28</f>
        <v>114868.14569999999</v>
      </c>
      <c r="M33" s="16">
        <f>+INGEI!M28</f>
        <v>114868.14569999999</v>
      </c>
      <c r="N33" s="16">
        <f>+INGEI!N28</f>
        <v>434189.52499999997</v>
      </c>
      <c r="O33" s="16">
        <f>+INGEI!O28</f>
        <v>434189.52499999997</v>
      </c>
    </row>
    <row r="34" spans="1:15" x14ac:dyDescent="0.25">
      <c r="A34" s="6" t="s">
        <v>4</v>
      </c>
      <c r="B34" s="5" t="s">
        <v>6</v>
      </c>
      <c r="C34" s="16">
        <f>+INGEI!C29</f>
        <v>4236.7115999999996</v>
      </c>
      <c r="D34" s="16">
        <f>+INGEI!D29</f>
        <v>4236.7115999999996</v>
      </c>
      <c r="E34" s="16">
        <f>+INGEI!E29</f>
        <v>4236.7115999999996</v>
      </c>
      <c r="F34" s="16">
        <f>+INGEI!F29</f>
        <v>4236.7115999999996</v>
      </c>
      <c r="G34" s="16">
        <f>+INGEI!G29</f>
        <v>4236.7115999999996</v>
      </c>
      <c r="H34" s="16">
        <f>+INGEI!H29</f>
        <v>3321.7939333333334</v>
      </c>
      <c r="I34" s="16">
        <f>+INGEI!I29</f>
        <v>2406.8762666666667</v>
      </c>
      <c r="J34" s="16">
        <f>+INGEI!J29</f>
        <v>2170.1936666666666</v>
      </c>
      <c r="K34" s="16">
        <f>+INGEI!K29</f>
        <v>1933.5110666666665</v>
      </c>
      <c r="L34" s="16">
        <f>+INGEI!L29</f>
        <v>1592.2910666666664</v>
      </c>
      <c r="M34" s="16">
        <f>+INGEI!M29</f>
        <v>1592.2910666666664</v>
      </c>
      <c r="N34" s="16">
        <f>+INGEI!N29</f>
        <v>13344.183599999998</v>
      </c>
      <c r="O34" s="16">
        <f>+INGEI!O29</f>
        <v>13344.183599999998</v>
      </c>
    </row>
    <row r="35" spans="1:15" x14ac:dyDescent="0.25">
      <c r="A35" s="6" t="s">
        <v>5</v>
      </c>
      <c r="B35" s="5" t="s">
        <v>6</v>
      </c>
      <c r="C35" s="16">
        <f>+INGEI!C30</f>
        <v>0</v>
      </c>
      <c r="D35" s="16">
        <f>+INGEI!D30</f>
        <v>0</v>
      </c>
      <c r="E35" s="16">
        <f>+INGEI!E30</f>
        <v>0</v>
      </c>
      <c r="F35" s="16">
        <f>+INGEI!F30</f>
        <v>0</v>
      </c>
      <c r="G35" s="16">
        <f>+INGEI!G30</f>
        <v>0</v>
      </c>
      <c r="H35" s="16">
        <f>+INGEI!H30</f>
        <v>0</v>
      </c>
      <c r="I35" s="16">
        <f>+INGEI!I30</f>
        <v>0</v>
      </c>
      <c r="J35" s="16">
        <f>+INGEI!J30</f>
        <v>0</v>
      </c>
      <c r="K35" s="16">
        <f>+INGEI!K30</f>
        <v>0</v>
      </c>
      <c r="L35" s="16">
        <f>+INGEI!L30</f>
        <v>0</v>
      </c>
      <c r="M35" s="16">
        <f>+INGEI!M30</f>
        <v>0</v>
      </c>
      <c r="N35" s="16">
        <f>+INGEI!N30</f>
        <v>0</v>
      </c>
      <c r="O35" s="16">
        <f>+INGEI!O30</f>
        <v>0</v>
      </c>
    </row>
    <row r="36" spans="1:15" x14ac:dyDescent="0.25">
      <c r="A36" s="7" t="s">
        <v>7</v>
      </c>
      <c r="B36" s="8" t="s">
        <v>6</v>
      </c>
      <c r="C36" s="17">
        <f>+INGEI!C31</f>
        <v>0</v>
      </c>
      <c r="D36" s="17">
        <f>+INGEI!D31</f>
        <v>0</v>
      </c>
      <c r="E36" s="17">
        <f>+INGEI!E31</f>
        <v>0</v>
      </c>
      <c r="F36" s="17">
        <f>+INGEI!F31</f>
        <v>0</v>
      </c>
      <c r="G36" s="17">
        <f>+INGEI!G31</f>
        <v>0</v>
      </c>
      <c r="H36" s="17">
        <f>+INGEI!H31</f>
        <v>0</v>
      </c>
      <c r="I36" s="17">
        <f>+INGEI!I31</f>
        <v>0</v>
      </c>
      <c r="J36" s="17">
        <f>+INGEI!J31</f>
        <v>0</v>
      </c>
      <c r="K36" s="17">
        <f>+INGEI!K31</f>
        <v>0</v>
      </c>
      <c r="L36" s="17">
        <f>+INGEI!L31</f>
        <v>0</v>
      </c>
      <c r="M36" s="17">
        <f>+INGEI!M31</f>
        <v>0</v>
      </c>
      <c r="N36" s="17">
        <f>+INGEI!N31</f>
        <v>0</v>
      </c>
      <c r="O36" s="17">
        <f>+INGEI!O31</f>
        <v>0</v>
      </c>
    </row>
    <row r="37" spans="1:15" s="73" customFormat="1" ht="15.75" thickBot="1" x14ac:dyDescent="0.3">
      <c r="A37" s="385"/>
      <c r="B37" s="386"/>
      <c r="C37" s="387">
        <f>+SUM(C32:C36)/1000</f>
        <v>518.51266418</v>
      </c>
      <c r="D37" s="387">
        <f t="shared" ref="D37:O37" si="5">+SUM(D32:D36)/1000</f>
        <v>518.51266418</v>
      </c>
      <c r="E37" s="387">
        <f t="shared" si="5"/>
        <v>518.51266418</v>
      </c>
      <c r="F37" s="387">
        <f t="shared" si="5"/>
        <v>518.51266418</v>
      </c>
      <c r="G37" s="387">
        <f t="shared" si="5"/>
        <v>518.51266418</v>
      </c>
      <c r="H37" s="387">
        <f t="shared" si="5"/>
        <v>374.64483586166665</v>
      </c>
      <c r="I37" s="387">
        <f t="shared" si="5"/>
        <v>230.7770075433333</v>
      </c>
      <c r="J37" s="387">
        <f t="shared" si="5"/>
        <v>503.98357566250002</v>
      </c>
      <c r="K37" s="387">
        <f t="shared" si="5"/>
        <v>777.19014378166662</v>
      </c>
      <c r="L37" s="387">
        <f t="shared" si="5"/>
        <v>1089.5601596766664</v>
      </c>
      <c r="M37" s="387">
        <f t="shared" si="5"/>
        <v>1089.5601596766664</v>
      </c>
      <c r="N37" s="387">
        <f t="shared" si="5"/>
        <v>1157.6696438966669</v>
      </c>
      <c r="O37" s="387">
        <f t="shared" si="5"/>
        <v>1157.6696438966669</v>
      </c>
    </row>
    <row r="38" spans="1:15" x14ac:dyDescent="0.25">
      <c r="A38" s="9" t="s">
        <v>7</v>
      </c>
      <c r="B38" s="10" t="s">
        <v>10</v>
      </c>
      <c r="C38" s="18" t="str">
        <f>+INGEI!C32</f>
        <v>NA</v>
      </c>
      <c r="D38" s="18" t="str">
        <f>+INGEI!D32</f>
        <v>NA</v>
      </c>
      <c r="E38" s="18" t="str">
        <f>+INGEI!E32</f>
        <v>NA</v>
      </c>
      <c r="F38" s="18" t="str">
        <f>+INGEI!F32</f>
        <v>NA</v>
      </c>
      <c r="G38" s="18" t="str">
        <f>+INGEI!G32</f>
        <v>NA</v>
      </c>
      <c r="H38" s="18" t="str">
        <f>+INGEI!H32</f>
        <v>NA</v>
      </c>
      <c r="I38" s="18" t="str">
        <f>+INGEI!I32</f>
        <v>NA</v>
      </c>
      <c r="J38" s="18" t="str">
        <f>+INGEI!J32</f>
        <v>NA</v>
      </c>
      <c r="K38" s="18" t="str">
        <f>+INGEI!K32</f>
        <v>NA</v>
      </c>
      <c r="L38" s="18" t="str">
        <f>+INGEI!L32</f>
        <v>NA</v>
      </c>
      <c r="M38" s="18" t="str">
        <f>+INGEI!M32</f>
        <v>NA</v>
      </c>
      <c r="N38" s="18" t="str">
        <f>+INGEI!N32</f>
        <v>NA</v>
      </c>
      <c r="O38" s="18" t="str">
        <f>+INGEI!O32</f>
        <v>NA</v>
      </c>
    </row>
    <row r="39" spans="1:15" x14ac:dyDescent="0.25">
      <c r="A39" s="11" t="s">
        <v>2</v>
      </c>
      <c r="B39" s="12" t="s">
        <v>10</v>
      </c>
      <c r="C39" s="19">
        <f>+INGEI!C33</f>
        <v>236927.221475</v>
      </c>
      <c r="D39" s="19">
        <f>+INGEI!D33</f>
        <v>236927.221475</v>
      </c>
      <c r="E39" s="19">
        <f>+INGEI!E33</f>
        <v>236927.221475</v>
      </c>
      <c r="F39" s="19">
        <f>+INGEI!F33</f>
        <v>236927.221475</v>
      </c>
      <c r="G39" s="19">
        <f>+INGEI!G33</f>
        <v>236927.221475</v>
      </c>
      <c r="H39" s="19">
        <f>+INGEI!H33</f>
        <v>549772.31590824982</v>
      </c>
      <c r="I39" s="19">
        <f>+INGEI!I33</f>
        <v>862617.41034149972</v>
      </c>
      <c r="J39" s="19">
        <f>+INGEI!J33</f>
        <v>843084.09634308307</v>
      </c>
      <c r="K39" s="19">
        <f>+INGEI!K33</f>
        <v>823550.78234466643</v>
      </c>
      <c r="L39" s="19">
        <f>+INGEI!L33</f>
        <v>706285.94081933319</v>
      </c>
      <c r="M39" s="19">
        <f>+INGEI!M33</f>
        <v>706285.94081933319</v>
      </c>
      <c r="N39" s="19">
        <f>+INGEI!N33</f>
        <v>286005.97291899996</v>
      </c>
      <c r="O39" s="19">
        <f>+INGEI!O33</f>
        <v>286005.97291899996</v>
      </c>
    </row>
    <row r="40" spans="1:15" x14ac:dyDescent="0.25">
      <c r="A40" s="11" t="s">
        <v>12</v>
      </c>
      <c r="B40" s="12" t="s">
        <v>10</v>
      </c>
      <c r="C40" s="19">
        <f>+INGEI!C34</f>
        <v>122388.24674999999</v>
      </c>
      <c r="D40" s="19">
        <f>+INGEI!D34</f>
        <v>122388.24674999999</v>
      </c>
      <c r="E40" s="19">
        <f>+INGEI!E34</f>
        <v>122388.24674999999</v>
      </c>
      <c r="F40" s="19">
        <f>+INGEI!F34</f>
        <v>122388.24674999999</v>
      </c>
      <c r="G40" s="19">
        <f>+INGEI!G34</f>
        <v>122388.24674999999</v>
      </c>
      <c r="H40" s="19">
        <f>+INGEI!H34</f>
        <v>99837.172049999994</v>
      </c>
      <c r="I40" s="19">
        <f>+INGEI!I34</f>
        <v>77286.097349999996</v>
      </c>
      <c r="J40" s="19">
        <f>+INGEI!J34</f>
        <v>134836.06867499999</v>
      </c>
      <c r="K40" s="19">
        <f>+INGEI!K34</f>
        <v>192386.03999999998</v>
      </c>
      <c r="L40" s="19">
        <f>+INGEI!L34</f>
        <v>7108.8016999999991</v>
      </c>
      <c r="M40" s="19">
        <f>+INGEI!M34</f>
        <v>7108.8016999999991</v>
      </c>
      <c r="N40" s="19">
        <f>+INGEI!N34</f>
        <v>84797.150899999993</v>
      </c>
      <c r="O40" s="19">
        <f>+INGEI!O34</f>
        <v>84797.150899999993</v>
      </c>
    </row>
    <row r="41" spans="1:15" x14ac:dyDescent="0.25">
      <c r="A41" s="11" t="s">
        <v>4</v>
      </c>
      <c r="B41" s="12" t="s">
        <v>10</v>
      </c>
      <c r="C41" s="19">
        <f>+INGEI!C35</f>
        <v>7995.232666666665</v>
      </c>
      <c r="D41" s="19">
        <f>+INGEI!D35</f>
        <v>7995.232666666665</v>
      </c>
      <c r="E41" s="19">
        <f>+INGEI!E35</f>
        <v>7995.232666666665</v>
      </c>
      <c r="F41" s="19">
        <f>+INGEI!F35</f>
        <v>7995.232666666665</v>
      </c>
      <c r="G41" s="19">
        <f>+INGEI!G35</f>
        <v>7995.232666666665</v>
      </c>
      <c r="H41" s="19">
        <f>+INGEI!H35</f>
        <v>12347.269733333331</v>
      </c>
      <c r="I41" s="19">
        <f>+INGEI!I35</f>
        <v>16699.306799999998</v>
      </c>
      <c r="J41" s="19">
        <f>+INGEI!J35</f>
        <v>11708.361133333332</v>
      </c>
      <c r="K41" s="19">
        <f>+INGEI!K35</f>
        <v>6717.4154666666655</v>
      </c>
      <c r="L41" s="19">
        <f>+INGEI!L35</f>
        <v>3198.7824000000001</v>
      </c>
      <c r="M41" s="19">
        <f>+INGEI!M35</f>
        <v>3198.7824000000001</v>
      </c>
      <c r="N41" s="19">
        <f>+INGEI!N35</f>
        <v>3210.2942666666663</v>
      </c>
      <c r="O41" s="19">
        <f>+INGEI!O35</f>
        <v>3210.2942666666663</v>
      </c>
    </row>
    <row r="42" spans="1:15" x14ac:dyDescent="0.25">
      <c r="A42" s="11" t="s">
        <v>13</v>
      </c>
      <c r="B42" s="12" t="s">
        <v>10</v>
      </c>
      <c r="C42" s="19">
        <f>+INGEI!C36</f>
        <v>0</v>
      </c>
      <c r="D42" s="19">
        <f>+INGEI!D36</f>
        <v>0</v>
      </c>
      <c r="E42" s="19">
        <f>+INGEI!E36</f>
        <v>0</v>
      </c>
      <c r="F42" s="19">
        <f>+INGEI!F36</f>
        <v>0</v>
      </c>
      <c r="G42" s="19">
        <f>+INGEI!G36</f>
        <v>0</v>
      </c>
      <c r="H42" s="19">
        <f>+INGEI!H36</f>
        <v>0</v>
      </c>
      <c r="I42" s="19">
        <f>+INGEI!I36</f>
        <v>0</v>
      </c>
      <c r="J42" s="19">
        <f>+INGEI!J36</f>
        <v>0</v>
      </c>
      <c r="K42" s="19">
        <f>+INGEI!K36</f>
        <v>0</v>
      </c>
      <c r="L42" s="19">
        <f>+INGEI!L36</f>
        <v>0</v>
      </c>
      <c r="M42" s="19">
        <f>+INGEI!M36</f>
        <v>0</v>
      </c>
      <c r="N42" s="19">
        <f>+INGEI!N36</f>
        <v>0</v>
      </c>
      <c r="O42" s="19">
        <f>+INGEI!O36</f>
        <v>0</v>
      </c>
    </row>
    <row r="43" spans="1:15" ht="15.75" thickBot="1" x14ac:dyDescent="0.3">
      <c r="A43" s="13" t="s">
        <v>6</v>
      </c>
      <c r="B43" s="14" t="s">
        <v>10</v>
      </c>
      <c r="C43" s="20">
        <f>+INGEI!C37</f>
        <v>0</v>
      </c>
      <c r="D43" s="20">
        <f>+INGEI!D37</f>
        <v>0</v>
      </c>
      <c r="E43" s="20">
        <f>+INGEI!E37</f>
        <v>0</v>
      </c>
      <c r="F43" s="20">
        <f>+INGEI!F37</f>
        <v>0</v>
      </c>
      <c r="G43" s="20">
        <f>+INGEI!G37</f>
        <v>0</v>
      </c>
      <c r="H43" s="20">
        <f>+INGEI!H37</f>
        <v>0</v>
      </c>
      <c r="I43" s="20">
        <f>+INGEI!I37</f>
        <v>0</v>
      </c>
      <c r="J43" s="20">
        <f>+INGEI!J37</f>
        <v>0</v>
      </c>
      <c r="K43" s="20">
        <f>+INGEI!K37</f>
        <v>0</v>
      </c>
      <c r="L43" s="20">
        <f>+INGEI!L37</f>
        <v>0</v>
      </c>
      <c r="M43" s="20">
        <f>+INGEI!M37</f>
        <v>0</v>
      </c>
      <c r="N43" s="20">
        <f>+INGEI!N37</f>
        <v>0</v>
      </c>
      <c r="O43" s="20">
        <f>+INGEI!O37</f>
        <v>0</v>
      </c>
    </row>
    <row r="44" spans="1:15" s="73" customFormat="1" ht="15.75" thickBot="1" x14ac:dyDescent="0.3">
      <c r="A44" s="385"/>
      <c r="B44" s="386">
        <f>+O39/1000</f>
        <v>286.00597291899999</v>
      </c>
      <c r="C44" s="387">
        <f>+SUM(C39:C43)/1000</f>
        <v>367.31070089166661</v>
      </c>
      <c r="D44" s="387">
        <f t="shared" ref="D44:O44" si="6">+SUM(D39:D43)/1000</f>
        <v>367.31070089166661</v>
      </c>
      <c r="E44" s="387">
        <f t="shared" si="6"/>
        <v>367.31070089166661</v>
      </c>
      <c r="F44" s="387">
        <f t="shared" si="6"/>
        <v>367.31070089166661</v>
      </c>
      <c r="G44" s="387">
        <f t="shared" si="6"/>
        <v>367.31070089166661</v>
      </c>
      <c r="H44" s="387">
        <f t="shared" si="6"/>
        <v>661.95675769158322</v>
      </c>
      <c r="I44" s="387">
        <f t="shared" si="6"/>
        <v>956.60281449149977</v>
      </c>
      <c r="J44" s="387">
        <f t="shared" si="6"/>
        <v>989.62852615141639</v>
      </c>
      <c r="K44" s="387">
        <f t="shared" si="6"/>
        <v>1022.654237811333</v>
      </c>
      <c r="L44" s="387">
        <f t="shared" si="6"/>
        <v>716.59352491933316</v>
      </c>
      <c r="M44" s="387">
        <f t="shared" si="6"/>
        <v>716.59352491933316</v>
      </c>
      <c r="N44" s="387">
        <f t="shared" si="6"/>
        <v>374.01341808566667</v>
      </c>
      <c r="O44" s="387">
        <f t="shared" si="6"/>
        <v>374.01341808566667</v>
      </c>
    </row>
    <row r="45" spans="1:15" ht="15.75" thickBot="1" x14ac:dyDescent="0.3">
      <c r="A45" s="21" t="s">
        <v>14</v>
      </c>
      <c r="B45" s="22"/>
      <c r="C45" s="23">
        <f>+SUM(C2:C43)</f>
        <v>20254842.311200608</v>
      </c>
      <c r="D45" s="23">
        <f t="shared" ref="D45:N45" si="7">+SUM(D2:D43)</f>
        <v>19444586.675566602</v>
      </c>
      <c r="E45" s="23">
        <f t="shared" si="7"/>
        <v>18634331.039932601</v>
      </c>
      <c r="F45" s="23">
        <f t="shared" si="7"/>
        <v>16824198.68289607</v>
      </c>
      <c r="G45" s="23">
        <f t="shared" si="7"/>
        <v>15014066.325859528</v>
      </c>
      <c r="H45" s="23">
        <f t="shared" si="7"/>
        <v>17373955.416808076</v>
      </c>
      <c r="I45" s="23">
        <f t="shared" si="7"/>
        <v>19733844.507756628</v>
      </c>
      <c r="J45" s="23">
        <f t="shared" si="7"/>
        <v>17756638.476987179</v>
      </c>
      <c r="K45" s="23">
        <f t="shared" si="7"/>
        <v>15779432.446217736</v>
      </c>
      <c r="L45" s="23">
        <f t="shared" si="7"/>
        <v>15360206.195594361</v>
      </c>
      <c r="M45" s="23">
        <f t="shared" si="7"/>
        <v>15830606.972943628</v>
      </c>
      <c r="N45" s="23">
        <f t="shared" si="7"/>
        <v>21908271.247762404</v>
      </c>
      <c r="O45" s="23">
        <f>+SUM(O2:O43)</f>
        <v>24324772.306954566</v>
      </c>
    </row>
    <row r="46" spans="1:15" x14ac:dyDescent="0.25">
      <c r="C46" s="388">
        <f>+C3+C9+C16+C23+C30+C37+C44</f>
        <v>39414.151856105484</v>
      </c>
      <c r="D46" s="388">
        <f t="shared" ref="D46:O46" si="8">+D3+D9+D16+D23+D30+D37+D44</f>
        <v>39413.34160128011</v>
      </c>
      <c r="E46" s="388">
        <f t="shared" si="8"/>
        <v>39412.531346454729</v>
      </c>
      <c r="F46" s="388">
        <f t="shared" si="8"/>
        <v>39410.721215907819</v>
      </c>
      <c r="G46" s="388">
        <f t="shared" si="8"/>
        <v>39408.911085360916</v>
      </c>
      <c r="H46" s="388">
        <f t="shared" si="8"/>
        <v>40105.429649727659</v>
      </c>
      <c r="I46" s="388">
        <f t="shared" si="8"/>
        <v>40801.94821409438</v>
      </c>
      <c r="J46" s="388">
        <f t="shared" si="8"/>
        <v>40091.849467416738</v>
      </c>
      <c r="K46" s="388">
        <f t="shared" si="8"/>
        <v>39381.75072073911</v>
      </c>
      <c r="L46" s="388">
        <f t="shared" si="8"/>
        <v>39646.334681761953</v>
      </c>
      <c r="M46" s="388">
        <f t="shared" si="8"/>
        <v>39646.805082068902</v>
      </c>
      <c r="N46" s="388">
        <f t="shared" si="8"/>
        <v>42913.999011945351</v>
      </c>
      <c r="O46" s="388">
        <f t="shared" si="8"/>
        <v>42916.415510588042</v>
      </c>
    </row>
    <row r="47" spans="1:15" ht="15.75" thickBot="1" x14ac:dyDescent="0.3"/>
    <row r="48" spans="1:15" x14ac:dyDescent="0.25">
      <c r="A48" s="467" t="s">
        <v>454</v>
      </c>
      <c r="B48" s="468" t="s">
        <v>424</v>
      </c>
      <c r="C48" s="468" t="s">
        <v>425</v>
      </c>
      <c r="D48" s="468" t="s">
        <v>426</v>
      </c>
      <c r="E48" s="468" t="s">
        <v>427</v>
      </c>
      <c r="F48" s="468" t="s">
        <v>428</v>
      </c>
      <c r="G48" s="468" t="s">
        <v>429</v>
      </c>
      <c r="H48" s="468" t="s">
        <v>430</v>
      </c>
      <c r="I48" s="468" t="s">
        <v>431</v>
      </c>
      <c r="J48" s="468" t="s">
        <v>432</v>
      </c>
      <c r="K48" s="468" t="s">
        <v>433</v>
      </c>
      <c r="L48" s="468" t="s">
        <v>434</v>
      </c>
      <c r="M48" s="468" t="s">
        <v>435</v>
      </c>
      <c r="N48" s="469" t="s">
        <v>436</v>
      </c>
      <c r="O48" s="393"/>
    </row>
    <row r="49" spans="1:63" x14ac:dyDescent="0.25">
      <c r="A49" s="470" t="s">
        <v>437</v>
      </c>
      <c r="B49" s="471">
        <v>37271.83</v>
      </c>
      <c r="C49" s="471">
        <v>37271.83</v>
      </c>
      <c r="D49" s="471">
        <v>37271.83</v>
      </c>
      <c r="E49" s="471">
        <v>37271.83</v>
      </c>
      <c r="F49" s="471">
        <v>37271.83</v>
      </c>
      <c r="G49" s="471">
        <v>38178.65</v>
      </c>
      <c r="H49" s="471">
        <v>39084.980000000003</v>
      </c>
      <c r="I49" s="471">
        <v>36502.53</v>
      </c>
      <c r="J49" s="471">
        <v>33919.72</v>
      </c>
      <c r="K49" s="471">
        <v>33390.160000000003</v>
      </c>
      <c r="L49" s="471">
        <v>33390.160000000003</v>
      </c>
      <c r="M49" s="471">
        <v>37108.120000000003</v>
      </c>
      <c r="N49" s="472">
        <v>37108.120000000003</v>
      </c>
      <c r="O49" s="424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</row>
    <row r="50" spans="1:63" x14ac:dyDescent="0.25">
      <c r="A50" s="470" t="s">
        <v>438</v>
      </c>
      <c r="B50" s="471">
        <v>367.82</v>
      </c>
      <c r="C50" s="471">
        <v>367.82</v>
      </c>
      <c r="D50" s="471">
        <v>367.82</v>
      </c>
      <c r="E50" s="471">
        <v>367.82</v>
      </c>
      <c r="F50" s="471">
        <v>367.82</v>
      </c>
      <c r="G50" s="471">
        <v>663.17</v>
      </c>
      <c r="H50" s="471">
        <v>958.46</v>
      </c>
      <c r="I50" s="471">
        <v>993.89</v>
      </c>
      <c r="J50" s="471">
        <v>1029.01</v>
      </c>
      <c r="K50" s="471">
        <v>718.55</v>
      </c>
      <c r="L50" s="471">
        <v>718.55</v>
      </c>
      <c r="M50" s="471">
        <v>374.43</v>
      </c>
      <c r="N50" s="472">
        <v>374.43</v>
      </c>
      <c r="O50" s="424"/>
    </row>
    <row r="51" spans="1:63" x14ac:dyDescent="0.25">
      <c r="A51" s="470" t="s">
        <v>439</v>
      </c>
      <c r="B51" s="471">
        <v>517.20000000000005</v>
      </c>
      <c r="C51" s="471">
        <v>517.20000000000005</v>
      </c>
      <c r="D51" s="471">
        <v>517.20000000000005</v>
      </c>
      <c r="E51" s="471">
        <v>517.20000000000005</v>
      </c>
      <c r="F51" s="471">
        <v>517.20000000000005</v>
      </c>
      <c r="G51" s="471">
        <v>371.74</v>
      </c>
      <c r="H51" s="471">
        <v>226.3</v>
      </c>
      <c r="I51" s="471">
        <v>496.06</v>
      </c>
      <c r="J51" s="471">
        <v>765.82</v>
      </c>
      <c r="K51" s="471">
        <v>1086.06</v>
      </c>
      <c r="L51" s="471">
        <v>1086.06</v>
      </c>
      <c r="M51" s="471">
        <v>1156.8</v>
      </c>
      <c r="N51" s="472">
        <v>1156.8</v>
      </c>
      <c r="O51" s="161"/>
    </row>
    <row r="52" spans="1:63" x14ac:dyDescent="0.25">
      <c r="A52" s="470" t="s">
        <v>440</v>
      </c>
      <c r="B52" s="471">
        <v>539.92999999999995</v>
      </c>
      <c r="C52" s="471">
        <v>539.92999999999995</v>
      </c>
      <c r="D52" s="471">
        <v>539.92999999999995</v>
      </c>
      <c r="E52" s="471">
        <v>539.92999999999995</v>
      </c>
      <c r="F52" s="471">
        <v>539.92999999999995</v>
      </c>
      <c r="G52" s="471">
        <v>596.91</v>
      </c>
      <c r="H52" s="471">
        <v>653.86</v>
      </c>
      <c r="I52" s="471">
        <v>567.61</v>
      </c>
      <c r="J52" s="471">
        <v>643.22</v>
      </c>
      <c r="K52" s="471">
        <v>2943.61</v>
      </c>
      <c r="L52" s="471">
        <v>2943.61</v>
      </c>
      <c r="M52" s="471">
        <v>3881.36</v>
      </c>
      <c r="N52" s="472">
        <v>3881.06</v>
      </c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</row>
    <row r="53" spans="1:63" s="396" customFormat="1" x14ac:dyDescent="0.25">
      <c r="A53" s="470" t="s">
        <v>441</v>
      </c>
      <c r="B53" s="471">
        <v>1034.3</v>
      </c>
      <c r="C53" s="471">
        <v>1034.3</v>
      </c>
      <c r="D53" s="471">
        <v>1034.3</v>
      </c>
      <c r="E53" s="471">
        <v>1034.3</v>
      </c>
      <c r="F53" s="471">
        <v>1034.3</v>
      </c>
      <c r="G53" s="471">
        <v>551.79999999999995</v>
      </c>
      <c r="H53" s="471">
        <v>69.2</v>
      </c>
      <c r="I53" s="471">
        <v>1691.4</v>
      </c>
      <c r="J53" s="471">
        <v>3313.5</v>
      </c>
      <c r="K53" s="471">
        <v>1577.6</v>
      </c>
      <c r="L53" s="471">
        <v>1577.6</v>
      </c>
      <c r="M53" s="471">
        <v>442.1</v>
      </c>
      <c r="N53" s="472">
        <v>442.1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</row>
    <row r="54" spans="1:63" x14ac:dyDescent="0.25">
      <c r="A54" s="470" t="s">
        <v>117</v>
      </c>
      <c r="B54" s="471">
        <v>-19205.099999999999</v>
      </c>
      <c r="C54" s="471">
        <v>-20014.400000000001</v>
      </c>
      <c r="D54" s="471">
        <v>-20823.599999999999</v>
      </c>
      <c r="E54" s="471">
        <v>-22633.5</v>
      </c>
      <c r="F54" s="471">
        <v>-24443.8</v>
      </c>
      <c r="G54" s="471">
        <v>-22778.9</v>
      </c>
      <c r="H54" s="471">
        <v>-21114.400000000001</v>
      </c>
      <c r="I54" s="471">
        <v>-22381.9</v>
      </c>
      <c r="J54" s="471">
        <v>-23649.4</v>
      </c>
      <c r="K54" s="471">
        <v>-24334.7</v>
      </c>
      <c r="L54" s="471">
        <v>-23864.3</v>
      </c>
      <c r="M54" s="471">
        <v>-21055.7</v>
      </c>
      <c r="N54" s="472">
        <v>-18639.3</v>
      </c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</row>
    <row r="55" spans="1:63" ht="15.75" thickBot="1" x14ac:dyDescent="0.3">
      <c r="A55" s="473" t="s">
        <v>442</v>
      </c>
      <c r="B55" s="522">
        <v>-299.22000000000003</v>
      </c>
      <c r="C55" s="522">
        <v>-299.22000000000003</v>
      </c>
      <c r="D55" s="522">
        <v>-299.22000000000003</v>
      </c>
      <c r="E55" s="522">
        <v>-299.22000000000003</v>
      </c>
      <c r="F55" s="522">
        <v>-299.22000000000003</v>
      </c>
      <c r="G55" s="522">
        <v>-236.46</v>
      </c>
      <c r="H55" s="522">
        <v>-173.78</v>
      </c>
      <c r="I55" s="522">
        <v>-222.78</v>
      </c>
      <c r="J55" s="522">
        <v>-275.44</v>
      </c>
      <c r="K55" s="522">
        <v>-45.81</v>
      </c>
      <c r="L55" s="522">
        <v>-45.81</v>
      </c>
      <c r="M55" s="522">
        <v>-49.87</v>
      </c>
      <c r="N55" s="523">
        <v>-49.87</v>
      </c>
    </row>
    <row r="56" spans="1:63" ht="15.75" thickBot="1" x14ac:dyDescent="0.3">
      <c r="A56" s="473" t="s">
        <v>465</v>
      </c>
      <c r="B56" s="474">
        <f>+SUM(B49:B55)</f>
        <v>20226.760000000002</v>
      </c>
      <c r="C56" s="474">
        <f t="shared" ref="C56:N56" si="9">+SUM(C49:C55)</f>
        <v>19417.46</v>
      </c>
      <c r="D56" s="474">
        <f t="shared" si="9"/>
        <v>18608.260000000002</v>
      </c>
      <c r="E56" s="474">
        <f t="shared" si="9"/>
        <v>16798.36</v>
      </c>
      <c r="F56" s="474">
        <f t="shared" si="9"/>
        <v>14988.060000000003</v>
      </c>
      <c r="G56" s="474">
        <f t="shared" si="9"/>
        <v>17346.910000000003</v>
      </c>
      <c r="H56" s="474">
        <f t="shared" si="9"/>
        <v>19704.620000000003</v>
      </c>
      <c r="I56" s="474">
        <f t="shared" si="9"/>
        <v>17646.809999999998</v>
      </c>
      <c r="J56" s="474">
        <f t="shared" si="9"/>
        <v>15746.430000000002</v>
      </c>
      <c r="K56" s="474">
        <f t="shared" si="9"/>
        <v>15335.470000000003</v>
      </c>
      <c r="L56" s="474">
        <f t="shared" si="9"/>
        <v>15805.870000000004</v>
      </c>
      <c r="M56" s="474">
        <f t="shared" si="9"/>
        <v>21857.240000000005</v>
      </c>
      <c r="N56" s="474">
        <f t="shared" si="9"/>
        <v>24273.340000000004</v>
      </c>
    </row>
    <row r="57" spans="1:63" ht="15.75" thickBot="1" x14ac:dyDescent="0.3">
      <c r="A57" s="476"/>
      <c r="B57" s="476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</row>
    <row r="58" spans="1:63" x14ac:dyDescent="0.25">
      <c r="A58" s="477" t="s">
        <v>453</v>
      </c>
      <c r="B58" s="468" t="s">
        <v>424</v>
      </c>
      <c r="C58" s="468" t="s">
        <v>425</v>
      </c>
      <c r="D58" s="468" t="s">
        <v>426</v>
      </c>
      <c r="E58" s="468" t="s">
        <v>427</v>
      </c>
      <c r="F58" s="468" t="s">
        <v>428</v>
      </c>
      <c r="G58" s="468" t="s">
        <v>429</v>
      </c>
      <c r="H58" s="468" t="s">
        <v>430</v>
      </c>
      <c r="I58" s="468" t="s">
        <v>431</v>
      </c>
      <c r="J58" s="468" t="s">
        <v>432</v>
      </c>
      <c r="K58" s="468" t="s">
        <v>433</v>
      </c>
      <c r="L58" s="468" t="s">
        <v>434</v>
      </c>
      <c r="M58" s="468" t="s">
        <v>435</v>
      </c>
      <c r="N58" s="469" t="s">
        <v>436</v>
      </c>
    </row>
    <row r="59" spans="1:63" x14ac:dyDescent="0.25">
      <c r="A59" s="470" t="s">
        <v>437</v>
      </c>
      <c r="B59" s="476">
        <f>+SUM(C10:C15)/1000</f>
        <v>37271.73232992251</v>
      </c>
      <c r="C59" s="476">
        <f t="shared" ref="C59:M59" si="10">+SUM(D10:D15)/1000</f>
        <v>37271.73232992251</v>
      </c>
      <c r="D59" s="476">
        <f t="shared" si="10"/>
        <v>37271.73232992251</v>
      </c>
      <c r="E59" s="476">
        <f t="shared" si="10"/>
        <v>37271.73232992251</v>
      </c>
      <c r="F59" s="476">
        <f t="shared" si="10"/>
        <v>37271.73232992251</v>
      </c>
      <c r="G59" s="476">
        <f t="shared" si="10"/>
        <v>38178.435919493757</v>
      </c>
      <c r="H59" s="476">
        <f t="shared" si="10"/>
        <v>39085.139509065004</v>
      </c>
      <c r="I59" s="476">
        <f t="shared" si="10"/>
        <v>36502.430429306238</v>
      </c>
      <c r="J59" s="476">
        <f t="shared" si="10"/>
        <v>33919.721349547501</v>
      </c>
      <c r="K59" s="476">
        <f t="shared" si="10"/>
        <v>33390.275485471662</v>
      </c>
      <c r="L59" s="476">
        <f t="shared" si="10"/>
        <v>33390.275485471662</v>
      </c>
      <c r="M59" s="476">
        <f t="shared" si="10"/>
        <v>37108.114149020003</v>
      </c>
      <c r="N59" s="478">
        <f>+SUM(O10:O15)/1000</f>
        <v>37108.114149020003</v>
      </c>
    </row>
    <row r="60" spans="1:63" x14ac:dyDescent="0.25">
      <c r="A60" s="470" t="s">
        <v>438</v>
      </c>
      <c r="B60" s="476">
        <f>+SUM(C38:C43)/1000</f>
        <v>367.31070089166661</v>
      </c>
      <c r="C60" s="476">
        <f t="shared" ref="C60:M60" si="11">+SUM(D38:D43)/1000</f>
        <v>367.31070089166661</v>
      </c>
      <c r="D60" s="476">
        <f t="shared" si="11"/>
        <v>367.31070089166661</v>
      </c>
      <c r="E60" s="476">
        <f t="shared" si="11"/>
        <v>367.31070089166661</v>
      </c>
      <c r="F60" s="476">
        <f t="shared" si="11"/>
        <v>367.31070089166661</v>
      </c>
      <c r="G60" s="476">
        <f t="shared" si="11"/>
        <v>661.95675769158322</v>
      </c>
      <c r="H60" s="476">
        <f t="shared" si="11"/>
        <v>956.60281449149977</v>
      </c>
      <c r="I60" s="476">
        <f t="shared" si="11"/>
        <v>989.62852615141639</v>
      </c>
      <c r="J60" s="476">
        <f t="shared" si="11"/>
        <v>1022.654237811333</v>
      </c>
      <c r="K60" s="476">
        <f t="shared" si="11"/>
        <v>716.59352491933316</v>
      </c>
      <c r="L60" s="476">
        <f t="shared" si="11"/>
        <v>716.59352491933316</v>
      </c>
      <c r="M60" s="476">
        <f t="shared" si="11"/>
        <v>374.01341808566667</v>
      </c>
      <c r="N60" s="478">
        <f>+SUM(O38:O43)/1000</f>
        <v>374.01341808566667</v>
      </c>
    </row>
    <row r="61" spans="1:63" x14ac:dyDescent="0.25">
      <c r="A61" s="470" t="s">
        <v>439</v>
      </c>
      <c r="B61" s="476">
        <f>+SUM(C31:C36)/1000</f>
        <v>518.51266418</v>
      </c>
      <c r="C61" s="476">
        <f t="shared" ref="C61:N61" si="12">+SUM(D31:D36)/1000</f>
        <v>518.51266418</v>
      </c>
      <c r="D61" s="476">
        <f t="shared" si="12"/>
        <v>518.51266418</v>
      </c>
      <c r="E61" s="476">
        <f t="shared" si="12"/>
        <v>518.51266418</v>
      </c>
      <c r="F61" s="476">
        <f t="shared" si="12"/>
        <v>518.51266418</v>
      </c>
      <c r="G61" s="476">
        <f t="shared" si="12"/>
        <v>374.64483586166665</v>
      </c>
      <c r="H61" s="476">
        <f t="shared" si="12"/>
        <v>230.7770075433333</v>
      </c>
      <c r="I61" s="476">
        <f t="shared" si="12"/>
        <v>503.98357566250002</v>
      </c>
      <c r="J61" s="476">
        <f t="shared" si="12"/>
        <v>777.19014378166662</v>
      </c>
      <c r="K61" s="476">
        <f t="shared" si="12"/>
        <v>1089.5601596766664</v>
      </c>
      <c r="L61" s="476">
        <f t="shared" si="12"/>
        <v>1089.5601596766664</v>
      </c>
      <c r="M61" s="476">
        <f t="shared" si="12"/>
        <v>1157.6696438966669</v>
      </c>
      <c r="N61" s="478">
        <f t="shared" si="12"/>
        <v>1157.6696438966669</v>
      </c>
    </row>
    <row r="62" spans="1:63" x14ac:dyDescent="0.25">
      <c r="A62" s="470" t="s">
        <v>440</v>
      </c>
      <c r="B62" s="476">
        <f>+SUM(C24:C29)/1000</f>
        <v>540.80297180799994</v>
      </c>
      <c r="C62" s="476">
        <f t="shared" ref="C62:M62" si="13">+SUM(D24:D29)/1000</f>
        <v>540.80297180799994</v>
      </c>
      <c r="D62" s="476">
        <f t="shared" si="13"/>
        <v>540.80297180799994</v>
      </c>
      <c r="E62" s="476">
        <f t="shared" si="13"/>
        <v>540.80297180799994</v>
      </c>
      <c r="F62" s="476">
        <f t="shared" si="13"/>
        <v>540.80297180799994</v>
      </c>
      <c r="G62" s="476">
        <f t="shared" si="13"/>
        <v>597.94859198433323</v>
      </c>
      <c r="H62" s="476">
        <f t="shared" si="13"/>
        <v>655.09421216066676</v>
      </c>
      <c r="I62" s="476">
        <f>+SUM(J24:J29)/1000</f>
        <v>650.5812223808332</v>
      </c>
      <c r="J62" s="476">
        <f>+SUM(K24:K29)/1000</f>
        <v>646.06823260099998</v>
      </c>
      <c r="K62" s="476">
        <f t="shared" si="13"/>
        <v>2942.5690729269995</v>
      </c>
      <c r="L62" s="476">
        <f t="shared" si="13"/>
        <v>2942.5690729269995</v>
      </c>
      <c r="M62" s="476">
        <f t="shared" si="13"/>
        <v>3878.4291874606656</v>
      </c>
      <c r="N62" s="478">
        <f>+SUM(O24:O29)/1000</f>
        <v>3878.4291874606656</v>
      </c>
    </row>
    <row r="63" spans="1:63" x14ac:dyDescent="0.25">
      <c r="A63" s="470" t="s">
        <v>441</v>
      </c>
      <c r="B63" s="476">
        <f>+SUM(C17:C22)/1000</f>
        <v>1034.3087479633334</v>
      </c>
      <c r="C63" s="476">
        <f t="shared" ref="C63:M63" si="14">+SUM(D17:D22)/1000</f>
        <v>1034.3087479633334</v>
      </c>
      <c r="D63" s="476">
        <f t="shared" si="14"/>
        <v>1034.3087479633334</v>
      </c>
      <c r="E63" s="476">
        <f t="shared" si="14"/>
        <v>1034.3087479633334</v>
      </c>
      <c r="F63" s="476">
        <f t="shared" si="14"/>
        <v>1034.3087479633334</v>
      </c>
      <c r="G63" s="476">
        <f t="shared" si="14"/>
        <v>551.78797945333338</v>
      </c>
      <c r="H63" s="476">
        <f t="shared" si="14"/>
        <v>69.267210943333325</v>
      </c>
      <c r="I63" s="476">
        <f t="shared" si="14"/>
        <v>1692.2482638658332</v>
      </c>
      <c r="J63" s="476">
        <f t="shared" si="14"/>
        <v>3315.229316788334</v>
      </c>
      <c r="K63" s="476">
        <f t="shared" si="14"/>
        <v>1577.5111570166666</v>
      </c>
      <c r="L63" s="476">
        <f>+SUM(M17:M22)/1000</f>
        <v>1577.5111570166666</v>
      </c>
      <c r="M63" s="476">
        <f t="shared" si="14"/>
        <v>466.82118823333326</v>
      </c>
      <c r="N63" s="478">
        <f>+SUM(O17:O22)/1000</f>
        <v>466.82118823333326</v>
      </c>
    </row>
    <row r="64" spans="1:63" x14ac:dyDescent="0.25">
      <c r="A64" s="470" t="s">
        <v>117</v>
      </c>
      <c r="B64" s="476">
        <f>+C2/1000</f>
        <v>-19217.573960020109</v>
      </c>
      <c r="C64" s="476">
        <f t="shared" ref="C64:N64" si="15">+D2/1000</f>
        <v>-20027.828785399288</v>
      </c>
      <c r="D64" s="476">
        <f t="shared" si="15"/>
        <v>-20838.083610778471</v>
      </c>
      <c r="E64" s="476">
        <f t="shared" si="15"/>
        <v>-22648.214157684459</v>
      </c>
      <c r="F64" s="476">
        <f t="shared" si="15"/>
        <v>-24458.344704590454</v>
      </c>
      <c r="G64" s="476">
        <f t="shared" si="15"/>
        <v>-22793.711417228842</v>
      </c>
      <c r="H64" s="476">
        <f t="shared" si="15"/>
        <v>-21129.078129867223</v>
      </c>
      <c r="I64" s="476">
        <f t="shared" si="15"/>
        <v>-22396.70992129212</v>
      </c>
      <c r="J64" s="476">
        <f t="shared" si="15"/>
        <v>-23664.341712717014</v>
      </c>
      <c r="K64" s="476">
        <f t="shared" si="15"/>
        <v>-24349.4076349594</v>
      </c>
      <c r="L64" s="476">
        <f t="shared" si="15"/>
        <v>-23879.007328010441</v>
      </c>
      <c r="M64" s="476">
        <f t="shared" si="15"/>
        <v>-21069.337086863667</v>
      </c>
      <c r="N64" s="478">
        <f t="shared" si="15"/>
        <v>-18652.838444170142</v>
      </c>
    </row>
    <row r="65" spans="1:14" ht="15.75" thickBot="1" x14ac:dyDescent="0.3">
      <c r="A65" s="479" t="s">
        <v>442</v>
      </c>
      <c r="B65" s="480">
        <f>+SUM(C4:C8)/1000</f>
        <v>-299.29798469999992</v>
      </c>
      <c r="C65" s="480">
        <f t="shared" ref="C65:M65" si="16">+SUM(D4:D8)/1000</f>
        <v>-299.29798469999992</v>
      </c>
      <c r="D65" s="480">
        <f t="shared" si="16"/>
        <v>-299.29798469999992</v>
      </c>
      <c r="E65" s="480">
        <f t="shared" si="16"/>
        <v>-299.29798469999992</v>
      </c>
      <c r="F65" s="480">
        <f t="shared" si="16"/>
        <v>-299.29798469999992</v>
      </c>
      <c r="G65" s="480">
        <f t="shared" si="16"/>
        <v>-236.55072333979163</v>
      </c>
      <c r="H65" s="480">
        <f t="shared" si="16"/>
        <v>-173.80346197958332</v>
      </c>
      <c r="I65" s="480">
        <f t="shared" si="16"/>
        <v>-224.62584002879166</v>
      </c>
      <c r="J65" s="480">
        <f>+SUM(K4:K8)/1000</f>
        <v>-275.44821807800008</v>
      </c>
      <c r="K65" s="480">
        <f t="shared" si="16"/>
        <v>-45.825310614416658</v>
      </c>
      <c r="L65" s="480">
        <f t="shared" si="16"/>
        <v>-45.825310614416658</v>
      </c>
      <c r="M65" s="480">
        <f t="shared" si="16"/>
        <v>-49.979237664125002</v>
      </c>
      <c r="N65" s="481">
        <f>+SUM(O4:O8)/1000</f>
        <v>-49.979237664125002</v>
      </c>
    </row>
    <row r="66" spans="1:14" ht="15.75" thickBot="1" x14ac:dyDescent="0.3">
      <c r="A66" s="473" t="s">
        <v>465</v>
      </c>
      <c r="B66" s="474">
        <f>+SUM(B59:B65)</f>
        <v>20215.795470045399</v>
      </c>
      <c r="C66" s="474">
        <f t="shared" ref="C66" si="17">+SUM(C59:C65)</f>
        <v>19405.54064466622</v>
      </c>
      <c r="D66" s="474">
        <f t="shared" ref="D66" si="18">+SUM(D59:D65)</f>
        <v>18595.285819287037</v>
      </c>
      <c r="E66" s="474">
        <f t="shared" ref="E66" si="19">+SUM(E59:E65)</f>
        <v>16785.155272381049</v>
      </c>
      <c r="F66" s="474">
        <f t="shared" ref="F66" si="20">+SUM(F59:F65)</f>
        <v>14975.024725475052</v>
      </c>
      <c r="G66" s="474">
        <f t="shared" ref="G66" si="21">+SUM(G59:G65)</f>
        <v>17334.511943916044</v>
      </c>
      <c r="H66" s="474">
        <f t="shared" ref="H66" si="22">+SUM(H59:H65)</f>
        <v>19693.999162357028</v>
      </c>
      <c r="I66" s="474">
        <f t="shared" ref="I66" si="23">+SUM(I59:I65)</f>
        <v>17717.536256045907</v>
      </c>
      <c r="J66" s="474">
        <f t="shared" ref="J66" si="24">+SUM(J59:J65)</f>
        <v>15741.073349734812</v>
      </c>
      <c r="K66" s="474">
        <f t="shared" ref="K66" si="25">+SUM(K59:K65)</f>
        <v>15321.276454437515</v>
      </c>
      <c r="L66" s="474">
        <f t="shared" ref="L66" si="26">+SUM(L59:L65)</f>
        <v>15791.676761386474</v>
      </c>
      <c r="M66" s="474">
        <f t="shared" ref="M66" si="27">+SUM(M59:M65)</f>
        <v>21865.731262168549</v>
      </c>
      <c r="N66" s="475">
        <f t="shared" ref="N66" si="28">+SUM(N59:N65)</f>
        <v>24282.229904862073</v>
      </c>
    </row>
    <row r="67" spans="1:14" ht="15.75" thickBot="1" x14ac:dyDescent="0.3">
      <c r="A67" s="476"/>
      <c r="B67" s="476"/>
      <c r="C67" s="476"/>
      <c r="D67" s="476"/>
      <c r="E67" s="476"/>
      <c r="F67" s="476"/>
      <c r="G67" s="476"/>
      <c r="H67" s="476"/>
      <c r="I67" s="476"/>
      <c r="J67" s="476"/>
      <c r="K67" s="476"/>
      <c r="L67" s="476"/>
      <c r="M67" s="476"/>
      <c r="N67" s="476"/>
    </row>
    <row r="68" spans="1:14" x14ac:dyDescent="0.25">
      <c r="A68" s="477" t="s">
        <v>466</v>
      </c>
      <c r="B68" s="468" t="s">
        <v>424</v>
      </c>
      <c r="C68" s="468" t="s">
        <v>425</v>
      </c>
      <c r="D68" s="468" t="s">
        <v>426</v>
      </c>
      <c r="E68" s="468" t="s">
        <v>427</v>
      </c>
      <c r="F68" s="468" t="s">
        <v>428</v>
      </c>
      <c r="G68" s="468" t="s">
        <v>429</v>
      </c>
      <c r="H68" s="468" t="s">
        <v>430</v>
      </c>
      <c r="I68" s="468" t="s">
        <v>431</v>
      </c>
      <c r="J68" s="468" t="s">
        <v>432</v>
      </c>
      <c r="K68" s="468" t="s">
        <v>433</v>
      </c>
      <c r="L68" s="468" t="s">
        <v>434</v>
      </c>
      <c r="M68" s="468" t="s">
        <v>435</v>
      </c>
      <c r="N68" s="469" t="s">
        <v>436</v>
      </c>
    </row>
    <row r="69" spans="1:14" x14ac:dyDescent="0.25">
      <c r="A69" s="482" t="s">
        <v>437</v>
      </c>
      <c r="B69" s="420">
        <f t="shared" ref="B69:N69" si="29">+(B59-B49)/B49</f>
        <v>-2.6204797964517563E-6</v>
      </c>
      <c r="C69" s="420">
        <f t="shared" si="29"/>
        <v>-2.6204797964517563E-6</v>
      </c>
      <c r="D69" s="420">
        <f t="shared" si="29"/>
        <v>-2.6204797964517563E-6</v>
      </c>
      <c r="E69" s="420">
        <f t="shared" si="29"/>
        <v>-2.6204797964517563E-6</v>
      </c>
      <c r="F69" s="420">
        <f t="shared" si="29"/>
        <v>-2.6204797964517563E-6</v>
      </c>
      <c r="G69" s="420">
        <f t="shared" si="29"/>
        <v>-5.607335676994857E-6</v>
      </c>
      <c r="H69" s="420">
        <f t="shared" si="29"/>
        <v>4.0810834494669762E-6</v>
      </c>
      <c r="I69" s="420">
        <f t="shared" si="29"/>
        <v>-2.7277751367111294E-6</v>
      </c>
      <c r="J69" s="420">
        <f t="shared" si="29"/>
        <v>3.978651650302411E-8</v>
      </c>
      <c r="K69" s="420">
        <f t="shared" si="29"/>
        <v>3.4586678128753464E-6</v>
      </c>
      <c r="L69" s="420">
        <f t="shared" si="29"/>
        <v>3.4586678128753464E-6</v>
      </c>
      <c r="M69" s="420">
        <f t="shared" si="29"/>
        <v>-1.5767384605053434E-7</v>
      </c>
      <c r="N69" s="421">
        <f t="shared" si="29"/>
        <v>-1.5767384605053434E-7</v>
      </c>
    </row>
    <row r="70" spans="1:14" x14ac:dyDescent="0.25">
      <c r="A70" s="470" t="s">
        <v>438</v>
      </c>
      <c r="B70" s="457">
        <f>+(B60-B50)/B50</f>
        <v>-1.384642238957588E-3</v>
      </c>
      <c r="C70" s="457">
        <f t="shared" ref="C70:N70" si="30">+(C60-C50)/C50</f>
        <v>-1.384642238957588E-3</v>
      </c>
      <c r="D70" s="457">
        <f t="shared" si="30"/>
        <v>-1.384642238957588E-3</v>
      </c>
      <c r="E70" s="457">
        <f t="shared" si="30"/>
        <v>-1.384642238957588E-3</v>
      </c>
      <c r="F70" s="457">
        <f t="shared" si="30"/>
        <v>-1.384642238957588E-3</v>
      </c>
      <c r="G70" s="457">
        <f t="shared" si="30"/>
        <v>-1.8294589749487139E-3</v>
      </c>
      <c r="H70" s="457">
        <f t="shared" si="30"/>
        <v>-1.9376765942243446E-3</v>
      </c>
      <c r="I70" s="457">
        <f t="shared" si="30"/>
        <v>-4.2876715215804479E-3</v>
      </c>
      <c r="J70" s="457">
        <f t="shared" si="30"/>
        <v>-6.1765796140630042E-3</v>
      </c>
      <c r="K70" s="457">
        <f t="shared" si="30"/>
        <v>-2.7228099376060007E-3</v>
      </c>
      <c r="L70" s="457">
        <f t="shared" si="30"/>
        <v>-2.7228099376060007E-3</v>
      </c>
      <c r="M70" s="457">
        <f t="shared" si="30"/>
        <v>-1.1125762207444252E-3</v>
      </c>
      <c r="N70" s="458">
        <f t="shared" si="30"/>
        <v>-1.1125762207444252E-3</v>
      </c>
    </row>
    <row r="71" spans="1:14" x14ac:dyDescent="0.25">
      <c r="A71" s="470" t="s">
        <v>439</v>
      </c>
      <c r="B71" s="457">
        <f t="shared" ref="B71:M71" si="31">+(B61-B51)/B51</f>
        <v>2.5380204563030858E-3</v>
      </c>
      <c r="C71" s="457">
        <f t="shared" si="31"/>
        <v>2.5380204563030858E-3</v>
      </c>
      <c r="D71" s="457">
        <f t="shared" si="31"/>
        <v>2.5380204563030858E-3</v>
      </c>
      <c r="E71" s="457">
        <f t="shared" si="31"/>
        <v>2.5380204563030858E-3</v>
      </c>
      <c r="F71" s="457">
        <f t="shared" si="31"/>
        <v>2.5380204563030858E-3</v>
      </c>
      <c r="G71" s="457">
        <f t="shared" si="31"/>
        <v>7.8141600625884766E-3</v>
      </c>
      <c r="H71" s="457">
        <f t="shared" si="31"/>
        <v>1.9783506598909793E-2</v>
      </c>
      <c r="I71" s="457">
        <f t="shared" si="31"/>
        <v>1.5973018712454167E-2</v>
      </c>
      <c r="J71" s="457">
        <f t="shared" si="31"/>
        <v>1.4847018596623971E-2</v>
      </c>
      <c r="K71" s="457">
        <f>+(K61-K51)/K51</f>
        <v>3.2228050721566938E-3</v>
      </c>
      <c r="L71" s="457">
        <f t="shared" si="31"/>
        <v>3.2228050721566938E-3</v>
      </c>
      <c r="M71" s="457">
        <f t="shared" si="31"/>
        <v>7.517668539652123E-4</v>
      </c>
      <c r="N71" s="458">
        <f>+(N61-N51)/N51</f>
        <v>7.517668539652123E-4</v>
      </c>
    </row>
    <row r="72" spans="1:14" x14ac:dyDescent="0.25">
      <c r="A72" s="470" t="s">
        <v>440</v>
      </c>
      <c r="B72" s="457">
        <f t="shared" ref="B72:M72" si="32">+(B62-B52)/B52</f>
        <v>1.6168240475616996E-3</v>
      </c>
      <c r="C72" s="457">
        <f t="shared" si="32"/>
        <v>1.6168240475616996E-3</v>
      </c>
      <c r="D72" s="457">
        <f t="shared" si="32"/>
        <v>1.6168240475616996E-3</v>
      </c>
      <c r="E72" s="457">
        <f t="shared" si="32"/>
        <v>1.6168240475616996E-3</v>
      </c>
      <c r="F72" s="457">
        <f t="shared" si="32"/>
        <v>1.6168240475616996E-3</v>
      </c>
      <c r="G72" s="457">
        <f t="shared" si="32"/>
        <v>1.7399473695084114E-3</v>
      </c>
      <c r="H72" s="457">
        <f t="shared" si="32"/>
        <v>1.8875786264135187E-3</v>
      </c>
      <c r="I72" s="457">
        <f>+(I62-I52)/I52</f>
        <v>0.14617646338301507</v>
      </c>
      <c r="J72" s="457">
        <f>+(J62-J52)/J52</f>
        <v>4.4280846382263447E-3</v>
      </c>
      <c r="K72" s="457">
        <f t="shared" si="32"/>
        <v>-3.5362261746651314E-4</v>
      </c>
      <c r="L72" s="457">
        <f t="shared" si="32"/>
        <v>-3.5362261746651314E-4</v>
      </c>
      <c r="M72" s="457">
        <f t="shared" si="32"/>
        <v>-7.5509938251914555E-4</v>
      </c>
      <c r="N72" s="458">
        <f>+(N62-N52)/N52</f>
        <v>-6.7785928054045258E-4</v>
      </c>
    </row>
    <row r="73" spans="1:14" s="73" customFormat="1" x14ac:dyDescent="0.25">
      <c r="A73" s="482" t="s">
        <v>441</v>
      </c>
      <c r="B73" s="459">
        <f t="shared" ref="B73:N73" si="33">+(B63-B53)/B53</f>
        <v>8.4578587773976547E-6</v>
      </c>
      <c r="C73" s="459">
        <f t="shared" si="33"/>
        <v>8.4578587773976547E-6</v>
      </c>
      <c r="D73" s="459">
        <f t="shared" si="33"/>
        <v>8.4578587773976547E-6</v>
      </c>
      <c r="E73" s="459">
        <f t="shared" si="33"/>
        <v>8.4578587773976547E-6</v>
      </c>
      <c r="F73" s="459">
        <f t="shared" si="33"/>
        <v>8.4578587773976547E-6</v>
      </c>
      <c r="G73" s="459">
        <f t="shared" si="33"/>
        <v>-2.1784245499413906E-5</v>
      </c>
      <c r="H73" s="459">
        <f>+(H63-H53)/H53</f>
        <v>9.7125640655089439E-4</v>
      </c>
      <c r="I73" s="459">
        <f t="shared" si="33"/>
        <v>5.0151582466189694E-4</v>
      </c>
      <c r="J73" s="459">
        <f t="shared" si="33"/>
        <v>5.2190034354429376E-4</v>
      </c>
      <c r="K73" s="459">
        <f t="shared" si="33"/>
        <v>-5.6315278482048265E-5</v>
      </c>
      <c r="L73" s="459">
        <f t="shared" si="33"/>
        <v>-5.6315278482048265E-5</v>
      </c>
      <c r="M73" s="459">
        <f t="shared" si="33"/>
        <v>5.5917639071099833E-2</v>
      </c>
      <c r="N73" s="460">
        <f t="shared" si="33"/>
        <v>5.5917639071099833E-2</v>
      </c>
    </row>
    <row r="74" spans="1:14" x14ac:dyDescent="0.25">
      <c r="A74" s="482" t="s">
        <v>117</v>
      </c>
      <c r="B74" s="459">
        <f>+(B64-B54)/B54</f>
        <v>6.4951289085243499E-4</v>
      </c>
      <c r="C74" s="459">
        <f t="shared" ref="C74:N74" si="34">+(C64-C54)/C54</f>
        <v>6.7095618151363139E-4</v>
      </c>
      <c r="D74" s="459">
        <f t="shared" si="34"/>
        <v>6.9553827284774071E-4</v>
      </c>
      <c r="E74" s="459">
        <f t="shared" si="34"/>
        <v>6.5010527247039867E-4</v>
      </c>
      <c r="F74" s="459">
        <f t="shared" si="34"/>
        <v>5.9502632939456167E-4</v>
      </c>
      <c r="G74" s="459">
        <f t="shared" si="34"/>
        <v>6.5022530626327791E-4</v>
      </c>
      <c r="H74" s="459">
        <f t="shared" si="34"/>
        <v>6.9517153540812361E-4</v>
      </c>
      <c r="I74" s="459">
        <f t="shared" si="34"/>
        <v>6.6169187120480454E-4</v>
      </c>
      <c r="J74" s="459">
        <f t="shared" si="34"/>
        <v>6.318009216729687E-4</v>
      </c>
      <c r="K74" s="459">
        <f t="shared" si="34"/>
        <v>6.043894093372428E-4</v>
      </c>
      <c r="L74" s="459">
        <f t="shared" si="34"/>
        <v>6.1628993980302859E-4</v>
      </c>
      <c r="M74" s="459">
        <f t="shared" si="34"/>
        <v>6.4766722852557259E-4</v>
      </c>
      <c r="N74" s="460">
        <f t="shared" si="34"/>
        <v>7.2633865918476611E-4</v>
      </c>
    </row>
    <row r="75" spans="1:14" ht="15.75" thickBot="1" x14ac:dyDescent="0.3">
      <c r="A75" s="483" t="s">
        <v>442</v>
      </c>
      <c r="B75" s="422">
        <f>+(B65-B55)/B55</f>
        <v>2.6062662923563969E-4</v>
      </c>
      <c r="C75" s="422">
        <f t="shared" ref="B75:N76" si="35">+(C65-C55)/C55</f>
        <v>2.6062662923563969E-4</v>
      </c>
      <c r="D75" s="422">
        <f t="shared" si="35"/>
        <v>2.6062662923563969E-4</v>
      </c>
      <c r="E75" s="422">
        <f t="shared" si="35"/>
        <v>2.6062662923563969E-4</v>
      </c>
      <c r="F75" s="422">
        <f t="shared" si="35"/>
        <v>2.6062662923563969E-4</v>
      </c>
      <c r="G75" s="422">
        <f t="shared" si="35"/>
        <v>3.8367309393395476E-4</v>
      </c>
      <c r="H75" s="422">
        <f t="shared" si="35"/>
        <v>1.3500966499779525E-4</v>
      </c>
      <c r="I75" s="422">
        <f t="shared" si="35"/>
        <v>8.2854835658122631E-3</v>
      </c>
      <c r="J75" s="422">
        <f>+(J65-J55)/J55</f>
        <v>2.9836182108931186E-5</v>
      </c>
      <c r="K75" s="422">
        <f t="shared" si="35"/>
        <v>3.3421991741226174E-4</v>
      </c>
      <c r="L75" s="422">
        <f t="shared" si="35"/>
        <v>3.3421991741226174E-4</v>
      </c>
      <c r="M75" s="422">
        <f t="shared" si="35"/>
        <v>2.1904484484660948E-3</v>
      </c>
      <c r="N75" s="423">
        <f t="shared" si="35"/>
        <v>2.1904484484660948E-3</v>
      </c>
    </row>
    <row r="76" spans="1:14" ht="15.75" thickBot="1" x14ac:dyDescent="0.3">
      <c r="A76" s="484" t="s">
        <v>465</v>
      </c>
      <c r="B76" s="461">
        <f t="shared" si="35"/>
        <v>-5.4208039026531021E-4</v>
      </c>
      <c r="C76" s="461">
        <f t="shared" si="35"/>
        <v>-6.1384729690593391E-4</v>
      </c>
      <c r="D76" s="461">
        <f t="shared" si="35"/>
        <v>-6.9722696872060472E-4</v>
      </c>
      <c r="E76" s="461">
        <f t="shared" si="35"/>
        <v>-7.860724272459596E-4</v>
      </c>
      <c r="F76" s="461">
        <f t="shared" si="35"/>
        <v>-8.6971059129407598E-4</v>
      </c>
      <c r="G76" s="461">
        <f t="shared" si="35"/>
        <v>-7.1471265395157339E-4</v>
      </c>
      <c r="H76" s="461">
        <f t="shared" si="35"/>
        <v>-5.3900240872317999E-4</v>
      </c>
      <c r="I76" s="461">
        <f t="shared" si="35"/>
        <v>4.0078776870102533E-3</v>
      </c>
      <c r="J76" s="461">
        <f t="shared" si="35"/>
        <v>-3.4018188663653806E-4</v>
      </c>
      <c r="K76" s="461">
        <f t="shared" si="35"/>
        <v>-9.2553704336991274E-4</v>
      </c>
      <c r="L76" s="461">
        <f t="shared" si="35"/>
        <v>-8.9797262748146146E-4</v>
      </c>
      <c r="M76" s="461">
        <f t="shared" si="35"/>
        <v>3.8848739221161819E-4</v>
      </c>
      <c r="N76" s="462">
        <f>+(N66-N56)/N56</f>
        <v>3.6624151690989657E-4</v>
      </c>
    </row>
  </sheetData>
  <conditionalFormatting sqref="B69:N7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4F23-CE16-4516-AF4D-509ECA0948C6}">
  <dimension ref="A1:U97"/>
  <sheetViews>
    <sheetView topLeftCell="A43" workbookViewId="0">
      <selection activeCell="B26" sqref="B26:N34"/>
    </sheetView>
  </sheetViews>
  <sheetFormatPr defaultColWidth="10.85546875" defaultRowHeight="15" x14ac:dyDescent="0.25"/>
  <cols>
    <col min="1" max="1" width="48.5703125" customWidth="1"/>
    <col min="8" max="8" width="15.140625" customWidth="1"/>
    <col min="9" max="10" width="11.5703125" style="390"/>
  </cols>
  <sheetData>
    <row r="1" spans="1:21" x14ac:dyDescent="0.25">
      <c r="A1" t="s">
        <v>443</v>
      </c>
      <c r="B1">
        <f>+INGEI_diffs!C18/1000</f>
        <v>1034.3527479633333</v>
      </c>
      <c r="C1">
        <f>+INGEI_diffs!D18/1000</f>
        <v>1034.3527479633333</v>
      </c>
      <c r="D1">
        <f>+INGEI_diffs!E18/1000</f>
        <v>1034.3527479633333</v>
      </c>
      <c r="E1">
        <f>+INGEI_diffs!F18/1000</f>
        <v>1034.3527479633333</v>
      </c>
      <c r="F1">
        <f>+INGEI_diffs!G18/1000</f>
        <v>1034.3527479633333</v>
      </c>
      <c r="G1">
        <f>+INGEI_diffs!H18/1000</f>
        <v>551.83197945333336</v>
      </c>
      <c r="H1">
        <f>+INGEI_diffs!I18/1000</f>
        <v>69.311210943333336</v>
      </c>
      <c r="I1" s="390">
        <f>+INGEI_diffs!J18/1000</f>
        <v>1692.2922638658333</v>
      </c>
      <c r="J1" s="390">
        <f>+INGEI_diffs!K18/1000</f>
        <v>3315.2733167883334</v>
      </c>
      <c r="K1">
        <f>+INGEI_diffs!L18/1000</f>
        <v>1577.5551570166667</v>
      </c>
      <c r="L1">
        <f>+INGEI_diffs!M18/1000</f>
        <v>1577.5551570166667</v>
      </c>
      <c r="M1">
        <f>+INGEI_diffs!N18/1000</f>
        <v>466.8651882333333</v>
      </c>
      <c r="N1">
        <f>+INGEI_diffs!O18/1000</f>
        <v>466.8651882333333</v>
      </c>
    </row>
    <row r="2" spans="1:21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601">
        <v>2017</v>
      </c>
      <c r="J2" s="60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21" ht="15.75" x14ac:dyDescent="0.25">
      <c r="A3" s="502" t="s">
        <v>18</v>
      </c>
      <c r="B3" s="75">
        <f>+'5ta'!$R87*B$1</f>
        <v>2.5353084681780169</v>
      </c>
      <c r="C3" s="75">
        <f>+'5ta'!$R87*C$1</f>
        <v>2.5353084681780169</v>
      </c>
      <c r="D3" s="75">
        <f>+'5ta'!$R87*D$1</f>
        <v>2.5353084681780169</v>
      </c>
      <c r="E3" s="75">
        <f>+'5ta'!$R87*E$1</f>
        <v>2.5353084681780169</v>
      </c>
      <c r="F3" s="75">
        <f>+'5ta'!$R87*F$1</f>
        <v>2.5353084681780169</v>
      </c>
      <c r="G3" s="75">
        <f>+'5ta'!$R87*G$1</f>
        <v>1.35259880468657</v>
      </c>
      <c r="H3" s="75">
        <f>+'5ta'!$R87*H$1</f>
        <v>0.16988914119512266</v>
      </c>
      <c r="I3" s="598">
        <f>+'5ta'!$R87*I$1</f>
        <v>4.1479881168772099</v>
      </c>
      <c r="J3" s="598">
        <f>+'5ta'!$R87*J$1</f>
        <v>8.126087092559299</v>
      </c>
      <c r="K3" s="75">
        <f>+'5ta'!$R87*K$1</f>
        <v>3.8667552790646598</v>
      </c>
      <c r="L3" s="75">
        <f>+'5ta'!$R87*L$1</f>
        <v>3.8667552790646598</v>
      </c>
      <c r="M3" s="75">
        <f>+'5ta'!$R87*M$1</f>
        <v>1.1443361730861403</v>
      </c>
      <c r="N3" s="75">
        <f>+'5ta'!$R87*N$1</f>
        <v>1.1443361730861403</v>
      </c>
      <c r="P3" s="524"/>
      <c r="Q3" s="524"/>
      <c r="R3" s="524"/>
      <c r="S3" s="524"/>
      <c r="T3" s="524"/>
      <c r="U3" s="524"/>
    </row>
    <row r="4" spans="1:21" ht="15.75" x14ac:dyDescent="0.25">
      <c r="A4" s="502" t="s">
        <v>20</v>
      </c>
      <c r="B4" s="75">
        <f>+'5ta'!$R88*B$1</f>
        <v>24.757758433190062</v>
      </c>
      <c r="C4" s="75">
        <f>+'5ta'!$R88*C$1</f>
        <v>24.757758433190062</v>
      </c>
      <c r="D4" s="75">
        <f>+'5ta'!$R88*D$1</f>
        <v>24.757758433190062</v>
      </c>
      <c r="E4" s="75">
        <f>+'5ta'!$R88*E$1</f>
        <v>24.757758433190062</v>
      </c>
      <c r="F4" s="75">
        <f>+'5ta'!$R88*F$1</f>
        <v>24.757758433190062</v>
      </c>
      <c r="G4" s="75">
        <f>+'5ta'!$R88*G$1</f>
        <v>13.208378737249738</v>
      </c>
      <c r="H4" s="75">
        <f>+'5ta'!$R88*H$1</f>
        <v>1.6589990413094124</v>
      </c>
      <c r="I4" s="598">
        <f>+'5ta'!$R88*I$1</f>
        <v>40.505874953823636</v>
      </c>
      <c r="J4" s="598">
        <f>+'5ta'!$R88*J$1</f>
        <v>79.352750866337871</v>
      </c>
      <c r="K4" s="75">
        <f>+'5ta'!$R88*K$1</f>
        <v>37.759584019431998</v>
      </c>
      <c r="L4" s="75">
        <f>+'5ta'!$R88*L$1</f>
        <v>37.759584019431998</v>
      </c>
      <c r="M4" s="75">
        <f>+'5ta'!$R88*M$1</f>
        <v>11.174655429596646</v>
      </c>
      <c r="N4" s="75">
        <f>+'5ta'!$R88*N$1</f>
        <v>11.174655429596646</v>
      </c>
      <c r="P4" s="524"/>
      <c r="Q4" s="524"/>
      <c r="R4" s="524"/>
      <c r="S4" s="524"/>
      <c r="T4" s="524"/>
      <c r="U4" s="524"/>
    </row>
    <row r="5" spans="1:21" ht="15.75" x14ac:dyDescent="0.25">
      <c r="A5" s="502" t="s">
        <v>21</v>
      </c>
      <c r="B5" s="75">
        <f>+'5ta'!$R89*B$1</f>
        <v>236.73610770153169</v>
      </c>
      <c r="C5" s="75">
        <f>+'5ta'!$R89*C$1</f>
        <v>236.73610770153169</v>
      </c>
      <c r="D5" s="75">
        <f>+'5ta'!$R89*D$1</f>
        <v>236.73610770153169</v>
      </c>
      <c r="E5" s="75">
        <f>+'5ta'!$R89*E$1</f>
        <v>236.73610770153169</v>
      </c>
      <c r="F5" s="75">
        <f>+'5ta'!$R89*F$1</f>
        <v>236.73610770153169</v>
      </c>
      <c r="G5" s="75">
        <f>+'5ta'!$R89*G$1</f>
        <v>126.29980940084934</v>
      </c>
      <c r="H5" s="75">
        <f>+'5ta'!$R89*H$1</f>
        <v>15.863511100166967</v>
      </c>
      <c r="I5" s="598">
        <f>+'5ta'!$R89*I$1</f>
        <v>387.32113819956965</v>
      </c>
      <c r="J5" s="598">
        <f>+'5ta'!$R89*J$1</f>
        <v>758.7787652989723</v>
      </c>
      <c r="K5" s="75">
        <f>+'5ta'!$R89*K$1</f>
        <v>361.0608356694222</v>
      </c>
      <c r="L5" s="75">
        <f>+'5ta'!$R89*L$1</f>
        <v>361.0608356694222</v>
      </c>
      <c r="M5" s="75">
        <f>+'5ta'!$R89*M$1</f>
        <v>106.85314821401742</v>
      </c>
      <c r="N5" s="75">
        <f>+'5ta'!$R89*N$1</f>
        <v>106.85314821401742</v>
      </c>
      <c r="P5" s="524"/>
      <c r="Q5" s="524"/>
      <c r="R5" s="524"/>
      <c r="S5" s="524"/>
      <c r="T5" s="524"/>
      <c r="U5" s="524"/>
    </row>
    <row r="6" spans="1:21" ht="15.75" x14ac:dyDescent="0.25">
      <c r="A6" s="502" t="s">
        <v>22</v>
      </c>
      <c r="B6" s="75">
        <f>+'5ta'!$R90*B$1</f>
        <v>96.231701124329234</v>
      </c>
      <c r="C6" s="75">
        <f>+'5ta'!$R90*C$1</f>
        <v>96.231701124329234</v>
      </c>
      <c r="D6" s="75">
        <f>+'5ta'!$R90*D$1</f>
        <v>96.231701124329234</v>
      </c>
      <c r="E6" s="75">
        <f>+'5ta'!$R90*E$1</f>
        <v>96.231701124329234</v>
      </c>
      <c r="F6" s="75">
        <f>+'5ta'!$R90*F$1</f>
        <v>96.231701124329234</v>
      </c>
      <c r="G6" s="75">
        <f>+'5ta'!$R90*G$1</f>
        <v>51.340058043218576</v>
      </c>
      <c r="H6" s="75">
        <f>+'5ta'!$R90*H$1</f>
        <v>6.4484149621079112</v>
      </c>
      <c r="I6" s="598">
        <f>+'5ta'!$R90*I$1</f>
        <v>157.44354493378725</v>
      </c>
      <c r="J6" s="598">
        <f>+'5ta'!$R90*J$1</f>
        <v>308.4386749054666</v>
      </c>
      <c r="K6" s="75">
        <f>+'5ta'!$R90*K$1</f>
        <v>146.7689013018929</v>
      </c>
      <c r="L6" s="75">
        <f>+'5ta'!$R90*L$1</f>
        <v>146.7689013018929</v>
      </c>
      <c r="M6" s="75">
        <f>+'5ta'!$R90*M$1</f>
        <v>43.435115677786612</v>
      </c>
      <c r="N6" s="75">
        <f>+'5ta'!$R90*N$1</f>
        <v>43.435115677786612</v>
      </c>
      <c r="P6" s="524"/>
      <c r="Q6" s="524"/>
      <c r="R6" s="524"/>
      <c r="S6" s="524"/>
      <c r="T6" s="524"/>
      <c r="U6" s="524"/>
    </row>
    <row r="7" spans="1:21" ht="15.75" x14ac:dyDescent="0.25">
      <c r="A7" s="502" t="s">
        <v>23</v>
      </c>
      <c r="B7" s="75">
        <f>+'5ta'!$R91*B$1</f>
        <v>66.27228072332143</v>
      </c>
      <c r="C7" s="75">
        <f>+'5ta'!$R91*C$1</f>
        <v>66.27228072332143</v>
      </c>
      <c r="D7" s="75">
        <f>+'5ta'!$R91*D$1</f>
        <v>66.27228072332143</v>
      </c>
      <c r="E7" s="75">
        <f>+'5ta'!$R91*E$1</f>
        <v>66.27228072332143</v>
      </c>
      <c r="F7" s="75">
        <f>+'5ta'!$R91*F$1</f>
        <v>66.27228072332143</v>
      </c>
      <c r="G7" s="75">
        <f>+'5ta'!$R91*G$1</f>
        <v>35.356568565653255</v>
      </c>
      <c r="H7" s="75">
        <f>+'5ta'!$R91*H$1</f>
        <v>4.4408564079850708</v>
      </c>
      <c r="I7" s="598">
        <f>+'5ta'!$R91*I$1</f>
        <v>108.42729252438485</v>
      </c>
      <c r="J7" s="598">
        <f>+'5ta'!$R91*J$1</f>
        <v>212.41372864078465</v>
      </c>
      <c r="K7" s="75">
        <f>+'5ta'!$R91*K$1</f>
        <v>101.07594186624434</v>
      </c>
      <c r="L7" s="75">
        <f>+'5ta'!$R91*L$1</f>
        <v>101.07594186624434</v>
      </c>
      <c r="M7" s="75">
        <f>+'5ta'!$R91*M$1</f>
        <v>29.912639450581867</v>
      </c>
      <c r="N7" s="75">
        <f>+'5ta'!$R91*N$1</f>
        <v>29.912639450581867</v>
      </c>
      <c r="P7" s="524"/>
      <c r="Q7" s="524"/>
      <c r="R7" s="524"/>
      <c r="S7" s="524"/>
      <c r="T7" s="524"/>
      <c r="U7" s="524"/>
    </row>
    <row r="8" spans="1:21" ht="15.75" x14ac:dyDescent="0.25">
      <c r="A8" s="502" t="s">
        <v>24</v>
      </c>
      <c r="B8" s="75">
        <f>+'5ta'!$R92*B$1</f>
        <v>484.94722554850421</v>
      </c>
      <c r="C8" s="75">
        <f>+'5ta'!$R92*C$1</f>
        <v>484.94722554850421</v>
      </c>
      <c r="D8" s="75">
        <f>+'5ta'!$R92*D$1</f>
        <v>484.94722554850421</v>
      </c>
      <c r="E8" s="75">
        <f>+'5ta'!$R92*E$1</f>
        <v>484.94722554850421</v>
      </c>
      <c r="F8" s="75">
        <f>+'5ta'!$R92*F$1</f>
        <v>484.94722554850421</v>
      </c>
      <c r="G8" s="75">
        <f>+'5ta'!$R92*G$1</f>
        <v>258.72158983650678</v>
      </c>
      <c r="H8" s="75">
        <f>+'5ta'!$R92*H$1</f>
        <v>32.495954124509318</v>
      </c>
      <c r="I8" s="598">
        <f>+'5ta'!$R92*I$1</f>
        <v>793.41640440831998</v>
      </c>
      <c r="J8" s="598">
        <f>+'5ta'!$R92*J$1</f>
        <v>1554.3368546921306</v>
      </c>
      <c r="K8" s="75">
        <f>+'5ta'!$R92*K$1</f>
        <v>739.62291689303561</v>
      </c>
      <c r="L8" s="75">
        <f>+'5ta'!$R92*L$1</f>
        <v>739.62291689303561</v>
      </c>
      <c r="M8" s="75">
        <f>+'5ta'!$R92*M$1</f>
        <v>218.88565403314516</v>
      </c>
      <c r="N8" s="75">
        <f>+'5ta'!$R92*N$1</f>
        <v>218.88565403314516</v>
      </c>
      <c r="P8" s="524"/>
      <c r="Q8" s="524"/>
      <c r="R8" s="524"/>
      <c r="S8" s="524"/>
      <c r="T8" s="524"/>
      <c r="U8" s="524"/>
    </row>
    <row r="9" spans="1:21" ht="15.75" x14ac:dyDescent="0.25">
      <c r="A9" s="502" t="s">
        <v>25</v>
      </c>
      <c r="B9" s="75">
        <f>+'5ta'!$R93*B$1</f>
        <v>53.728360241270025</v>
      </c>
      <c r="C9" s="75">
        <f>+'5ta'!$R93*C$1</f>
        <v>53.728360241270025</v>
      </c>
      <c r="D9" s="75">
        <f>+'5ta'!$R93*D$1</f>
        <v>53.728360241270025</v>
      </c>
      <c r="E9" s="75">
        <f>+'5ta'!$R93*E$1</f>
        <v>53.728360241270025</v>
      </c>
      <c r="F9" s="75">
        <f>+'5ta'!$R93*F$1</f>
        <v>53.728360241270025</v>
      </c>
      <c r="G9" s="75">
        <f>+'5ta'!$R93*G$1</f>
        <v>28.664328917868204</v>
      </c>
      <c r="H9" s="75">
        <f>+'5ta'!$R93*H$1</f>
        <v>3.6002975944663724</v>
      </c>
      <c r="I9" s="598">
        <f>+'5ta'!$R93*I$1</f>
        <v>87.904332990393954</v>
      </c>
      <c r="J9" s="598">
        <f>+'5ta'!$R93*J$1</f>
        <v>172.20836838632155</v>
      </c>
      <c r="K9" s="75">
        <f>+'5ta'!$R93*K$1</f>
        <v>81.944435245672494</v>
      </c>
      <c r="L9" s="75">
        <f>+'5ta'!$R93*L$1</f>
        <v>81.944435245672494</v>
      </c>
      <c r="M9" s="75">
        <f>+'5ta'!$R93*M$1</f>
        <v>24.250818752983164</v>
      </c>
      <c r="N9" s="75">
        <f>+'5ta'!$R93*N$1</f>
        <v>24.250818752983164</v>
      </c>
      <c r="P9" s="524"/>
      <c r="Q9" s="524"/>
      <c r="R9" s="524"/>
      <c r="S9" s="524"/>
      <c r="T9" s="524"/>
      <c r="U9" s="524"/>
    </row>
    <row r="10" spans="1:21" ht="15.75" x14ac:dyDescent="0.25">
      <c r="A10" s="502" t="s">
        <v>26</v>
      </c>
      <c r="B10" s="75">
        <f>+'5ta'!$R94*B$1</f>
        <v>13.343552640312998</v>
      </c>
      <c r="C10" s="75">
        <f>+'5ta'!$R94*C$1</f>
        <v>13.343552640312998</v>
      </c>
      <c r="D10" s="75">
        <f>+'5ta'!$R94*D$1</f>
        <v>13.343552640312998</v>
      </c>
      <c r="E10" s="75">
        <f>+'5ta'!$R94*E$1</f>
        <v>13.343552640312998</v>
      </c>
      <c r="F10" s="75">
        <f>+'5ta'!$R94*F$1</f>
        <v>13.343552640312998</v>
      </c>
      <c r="G10" s="75">
        <f>+'5ta'!$R94*G$1</f>
        <v>7.1188471060210299</v>
      </c>
      <c r="H10" s="75">
        <f>+'5ta'!$R94*H$1</f>
        <v>0.89414157172905961</v>
      </c>
      <c r="I10" s="598">
        <f>+'5ta'!$R94*I$1</f>
        <v>21.831228224753247</v>
      </c>
      <c r="J10" s="598">
        <f>+'5ta'!$R94*J$1</f>
        <v>42.768314877777435</v>
      </c>
      <c r="K10" s="75">
        <f>+'5ta'!$R94*K$1</f>
        <v>20.351074932703071</v>
      </c>
      <c r="L10" s="75">
        <f>+'5ta'!$R94*L$1</f>
        <v>20.351074932703071</v>
      </c>
      <c r="M10" s="75">
        <f>+'5ta'!$R94*M$1</f>
        <v>6.0227424613000142</v>
      </c>
      <c r="N10" s="75">
        <f>+'5ta'!$R94*N$1</f>
        <v>6.0227424613000142</v>
      </c>
      <c r="P10" s="524"/>
      <c r="Q10" s="524"/>
      <c r="R10" s="524"/>
      <c r="S10" s="524"/>
      <c r="T10" s="524"/>
      <c r="U10" s="524"/>
    </row>
    <row r="11" spans="1:21" ht="15.75" x14ac:dyDescent="0.25">
      <c r="A11" s="502" t="s">
        <v>27</v>
      </c>
      <c r="B11" s="75">
        <f>+'5ta'!$R95*B$1</f>
        <v>55.800453082695491</v>
      </c>
      <c r="C11" s="75">
        <f>+'5ta'!$R95*C$1</f>
        <v>55.800453082695491</v>
      </c>
      <c r="D11" s="75">
        <f>+'5ta'!$R95*D$1</f>
        <v>55.800453082695491</v>
      </c>
      <c r="E11" s="75">
        <f>+'5ta'!$R95*E$1</f>
        <v>55.800453082695491</v>
      </c>
      <c r="F11" s="75">
        <f>+'5ta'!$R95*F$1</f>
        <v>55.800453082695491</v>
      </c>
      <c r="G11" s="75">
        <f>+'5ta'!$R95*G$1</f>
        <v>29.769800041279797</v>
      </c>
      <c r="H11" s="75">
        <f>+'5ta'!$R95*H$1</f>
        <v>3.7391469998640972</v>
      </c>
      <c r="I11" s="598">
        <f>+'5ta'!$R95*I$1</f>
        <v>91.294459513923428</v>
      </c>
      <c r="J11" s="598">
        <f>+'5ta'!$R95*J$1</f>
        <v>178.84977202798277</v>
      </c>
      <c r="K11" s="75">
        <f>+'5ta'!$R95*K$1</f>
        <v>85.104711809199301</v>
      </c>
      <c r="L11" s="75">
        <f>+'5ta'!$R95*L$1</f>
        <v>85.104711809199301</v>
      </c>
      <c r="M11" s="75">
        <f>+'5ta'!$R95*M$1</f>
        <v>25.186078040836225</v>
      </c>
      <c r="N11" s="75">
        <f>+'5ta'!$R95*N$1</f>
        <v>25.186078040836225</v>
      </c>
      <c r="P11" s="524"/>
      <c r="Q11" s="524"/>
      <c r="R11" s="524"/>
      <c r="S11" s="524"/>
      <c r="T11" s="524"/>
      <c r="U11" s="524"/>
    </row>
    <row r="12" spans="1:21" ht="15.75" x14ac:dyDescent="0.25">
      <c r="A12" s="503" t="s">
        <v>14</v>
      </c>
      <c r="B12" s="122">
        <f t="shared" ref="B12:N12" si="0">+SUM(B3:B11)</f>
        <v>1034.3527479633331</v>
      </c>
      <c r="C12" s="122">
        <f t="shared" si="0"/>
        <v>1034.3527479633331</v>
      </c>
      <c r="D12" s="122">
        <f t="shared" si="0"/>
        <v>1034.3527479633331</v>
      </c>
      <c r="E12" s="122">
        <f t="shared" si="0"/>
        <v>1034.3527479633331</v>
      </c>
      <c r="F12" s="122">
        <f t="shared" si="0"/>
        <v>1034.3527479633331</v>
      </c>
      <c r="G12" s="122">
        <f t="shared" si="0"/>
        <v>551.83197945333336</v>
      </c>
      <c r="H12" s="122">
        <f t="shared" si="0"/>
        <v>69.311210943333322</v>
      </c>
      <c r="I12" s="600">
        <f t="shared" si="0"/>
        <v>1692.2922638658331</v>
      </c>
      <c r="J12" s="600">
        <f t="shared" si="0"/>
        <v>3315.2733167883334</v>
      </c>
      <c r="K12" s="122">
        <f t="shared" si="0"/>
        <v>1577.5551570166665</v>
      </c>
      <c r="L12" s="122">
        <f t="shared" si="0"/>
        <v>1577.5551570166665</v>
      </c>
      <c r="M12" s="122">
        <f>+SUM(M3:M11)</f>
        <v>466.86518823333324</v>
      </c>
      <c r="N12" s="122">
        <f t="shared" si="0"/>
        <v>466.86518823333324</v>
      </c>
    </row>
    <row r="14" spans="1:21" ht="15.75" x14ac:dyDescent="0.25">
      <c r="A14" s="119" t="s">
        <v>118</v>
      </c>
    </row>
    <row r="15" spans="1:21" ht="15.75" x14ac:dyDescent="0.25">
      <c r="A15" s="502" t="s">
        <v>18</v>
      </c>
      <c r="B15" s="606">
        <v>0</v>
      </c>
      <c r="C15" s="606">
        <v>0</v>
      </c>
      <c r="D15" s="606">
        <v>0</v>
      </c>
      <c r="E15" s="606">
        <v>0</v>
      </c>
      <c r="F15" s="606">
        <v>0</v>
      </c>
      <c r="G15" s="606">
        <v>0</v>
      </c>
      <c r="H15" s="606">
        <v>0</v>
      </c>
      <c r="I15" s="606">
        <v>0.08</v>
      </c>
      <c r="J15" s="606">
        <v>0.16</v>
      </c>
      <c r="K15" s="606">
        <v>0.02</v>
      </c>
      <c r="L15" s="606">
        <v>2.3940000000000003E-2</v>
      </c>
      <c r="M15" s="606">
        <v>0</v>
      </c>
      <c r="N15" s="606">
        <v>0</v>
      </c>
    </row>
    <row r="16" spans="1:21" ht="15.75" x14ac:dyDescent="0.25">
      <c r="A16" s="502" t="s">
        <v>20</v>
      </c>
      <c r="B16" s="606">
        <v>0</v>
      </c>
      <c r="C16" s="606">
        <v>0</v>
      </c>
      <c r="D16" s="606">
        <v>0</v>
      </c>
      <c r="E16" s="606">
        <v>0</v>
      </c>
      <c r="F16" s="606">
        <v>0</v>
      </c>
      <c r="G16" s="606">
        <v>0</v>
      </c>
      <c r="H16" s="606">
        <v>0</v>
      </c>
      <c r="I16" s="606">
        <v>0.3</v>
      </c>
      <c r="J16" s="606">
        <v>0.61</v>
      </c>
      <c r="K16" s="606">
        <v>0.19</v>
      </c>
      <c r="L16" s="606">
        <v>0.19</v>
      </c>
      <c r="M16" s="606">
        <v>0.47</v>
      </c>
      <c r="N16" s="606">
        <v>0.47</v>
      </c>
    </row>
    <row r="17" spans="1:14" ht="15.75" x14ac:dyDescent="0.25">
      <c r="A17" s="502" t="s">
        <v>21</v>
      </c>
      <c r="B17" s="606">
        <v>0</v>
      </c>
      <c r="C17" s="606">
        <v>0</v>
      </c>
      <c r="D17" s="606">
        <v>0</v>
      </c>
      <c r="E17" s="606">
        <v>0</v>
      </c>
      <c r="F17" s="606">
        <v>0</v>
      </c>
      <c r="G17" s="606">
        <v>0</v>
      </c>
      <c r="H17" s="606">
        <v>0</v>
      </c>
      <c r="I17" s="606">
        <v>0.2</v>
      </c>
      <c r="J17" s="606">
        <v>0.39</v>
      </c>
      <c r="K17" s="606">
        <v>0.85</v>
      </c>
      <c r="L17" s="606">
        <v>0.85</v>
      </c>
      <c r="M17" s="606">
        <v>0.08</v>
      </c>
      <c r="N17" s="606">
        <v>0.08</v>
      </c>
    </row>
    <row r="18" spans="1:14" ht="15.75" x14ac:dyDescent="0.25">
      <c r="A18" s="502" t="s">
        <v>22</v>
      </c>
      <c r="B18" s="606">
        <v>0</v>
      </c>
      <c r="C18" s="606">
        <v>0</v>
      </c>
      <c r="D18" s="606">
        <v>0</v>
      </c>
      <c r="E18" s="606">
        <v>0</v>
      </c>
      <c r="F18" s="606">
        <v>0</v>
      </c>
      <c r="G18" s="606">
        <v>0</v>
      </c>
      <c r="H18" s="606">
        <v>0</v>
      </c>
      <c r="I18" s="606">
        <v>0.03</v>
      </c>
      <c r="J18" s="606">
        <v>7.0000000000000007E-2</v>
      </c>
      <c r="K18" s="606">
        <v>0.15</v>
      </c>
      <c r="L18" s="606">
        <v>0.15</v>
      </c>
      <c r="M18" s="606">
        <v>0.02</v>
      </c>
      <c r="N18" s="606">
        <v>0.02</v>
      </c>
    </row>
    <row r="19" spans="1:14" ht="15.75" x14ac:dyDescent="0.25">
      <c r="A19" s="502" t="s">
        <v>23</v>
      </c>
      <c r="B19" s="606">
        <v>0</v>
      </c>
      <c r="C19" s="606">
        <v>0</v>
      </c>
      <c r="D19" s="606">
        <v>0</v>
      </c>
      <c r="E19" s="606">
        <v>0</v>
      </c>
      <c r="F19" s="606">
        <v>0</v>
      </c>
      <c r="G19" s="606">
        <v>0</v>
      </c>
      <c r="H19" s="606">
        <v>0</v>
      </c>
      <c r="I19" s="606">
        <v>0.19121000000000002</v>
      </c>
      <c r="J19" s="606">
        <v>0.38241000000000003</v>
      </c>
      <c r="K19" s="606">
        <v>1.3352899999999999</v>
      </c>
      <c r="L19" s="606">
        <v>1.3352899999999999</v>
      </c>
      <c r="M19" s="606">
        <v>4.0460000000000003E-2</v>
      </c>
      <c r="N19" s="606">
        <v>4.0460000000000003E-2</v>
      </c>
    </row>
    <row r="20" spans="1:14" ht="15.75" x14ac:dyDescent="0.25">
      <c r="A20" s="502" t="s">
        <v>24</v>
      </c>
      <c r="B20" s="606">
        <v>0</v>
      </c>
      <c r="C20" s="606">
        <v>0</v>
      </c>
      <c r="D20" s="606">
        <v>0</v>
      </c>
      <c r="E20" s="606">
        <v>0</v>
      </c>
      <c r="F20" s="606">
        <v>0</v>
      </c>
      <c r="G20" s="606">
        <v>0</v>
      </c>
      <c r="H20" s="606">
        <v>0</v>
      </c>
      <c r="I20" s="606">
        <v>2.0320000000000001E-2</v>
      </c>
      <c r="J20" s="606">
        <v>4.0640000000000003E-2</v>
      </c>
      <c r="K20" s="606">
        <v>0.34286</v>
      </c>
      <c r="L20" s="606">
        <v>0.34286</v>
      </c>
      <c r="M20" s="606">
        <v>1.9760000000000003E-2</v>
      </c>
      <c r="N20" s="606">
        <v>1.9760000000000003E-2</v>
      </c>
    </row>
    <row r="21" spans="1:14" ht="15.75" x14ac:dyDescent="0.25">
      <c r="A21" s="502" t="s">
        <v>25</v>
      </c>
      <c r="B21" s="606">
        <v>0</v>
      </c>
      <c r="C21" s="606">
        <v>0</v>
      </c>
      <c r="D21" s="606">
        <v>0</v>
      </c>
      <c r="E21" s="606">
        <v>0</v>
      </c>
      <c r="F21" s="606">
        <v>0</v>
      </c>
      <c r="G21" s="606">
        <v>0</v>
      </c>
      <c r="H21" s="606">
        <v>0</v>
      </c>
      <c r="I21" s="606">
        <v>7.0000000000000007E-2</v>
      </c>
      <c r="J21" s="606">
        <v>0.13046000000000002</v>
      </c>
      <c r="K21" s="606">
        <v>0.57999999999999996</v>
      </c>
      <c r="L21" s="606">
        <v>0.57999999999999996</v>
      </c>
      <c r="M21" s="606">
        <v>0.04</v>
      </c>
      <c r="N21" s="606">
        <v>0.04</v>
      </c>
    </row>
    <row r="22" spans="1:14" ht="15.75" x14ac:dyDescent="0.25">
      <c r="A22" s="502" t="s">
        <v>26</v>
      </c>
      <c r="B22" s="606">
        <v>0</v>
      </c>
      <c r="C22" s="606">
        <v>0</v>
      </c>
      <c r="D22" s="606">
        <v>0</v>
      </c>
      <c r="E22" s="606">
        <v>0</v>
      </c>
      <c r="F22" s="606">
        <v>0</v>
      </c>
      <c r="G22" s="606">
        <v>0</v>
      </c>
      <c r="H22" s="606">
        <v>0</v>
      </c>
      <c r="I22" s="606">
        <v>0.01</v>
      </c>
      <c r="J22" s="606">
        <v>0.02</v>
      </c>
      <c r="K22" s="606">
        <v>0.1</v>
      </c>
      <c r="L22" s="606">
        <v>0.1</v>
      </c>
      <c r="M22" s="606">
        <v>0.14000000000000001</v>
      </c>
      <c r="N22" s="606">
        <v>0.14000000000000001</v>
      </c>
    </row>
    <row r="23" spans="1:14" ht="15.75" x14ac:dyDescent="0.25">
      <c r="A23" s="502" t="s">
        <v>27</v>
      </c>
      <c r="B23" s="606">
        <v>0</v>
      </c>
      <c r="C23" s="606">
        <v>0</v>
      </c>
      <c r="D23" s="606">
        <v>0</v>
      </c>
      <c r="E23" s="606">
        <v>0</v>
      </c>
      <c r="F23" s="606">
        <v>0</v>
      </c>
      <c r="G23" s="606">
        <v>0</v>
      </c>
      <c r="H23" s="606">
        <v>0</v>
      </c>
      <c r="I23" s="606">
        <v>0</v>
      </c>
      <c r="J23" s="606">
        <v>0</v>
      </c>
      <c r="K23" s="606">
        <v>0.02</v>
      </c>
      <c r="L23" s="606">
        <v>0.02</v>
      </c>
      <c r="M23" s="606">
        <v>3.5999999999999997E-4</v>
      </c>
      <c r="N23" s="606">
        <v>3.5999999999999997E-4</v>
      </c>
    </row>
    <row r="25" spans="1:14" ht="15.75" x14ac:dyDescent="0.25">
      <c r="A25" s="119" t="s">
        <v>119</v>
      </c>
    </row>
    <row r="26" spans="1:14" ht="15.75" x14ac:dyDescent="0.25">
      <c r="A26" s="502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390">
        <f t="shared" ref="I26:L26" si="1">+I3/I15</f>
        <v>51.84985146096512</v>
      </c>
      <c r="J26" s="390">
        <f t="shared" si="1"/>
        <v>50.788044328495616</v>
      </c>
      <c r="K26">
        <f t="shared" si="1"/>
        <v>193.33776395323298</v>
      </c>
      <c r="L26">
        <f t="shared" si="1"/>
        <v>161.51859979384542</v>
      </c>
      <c r="M26">
        <v>0</v>
      </c>
      <c r="N26">
        <v>0</v>
      </c>
    </row>
    <row r="27" spans="1:14" ht="15.75" x14ac:dyDescent="0.25">
      <c r="A27" s="502" t="s">
        <v>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390">
        <f t="shared" ref="I27:N34" si="2">+I4/I16</f>
        <v>135.01958317941214</v>
      </c>
      <c r="J27" s="390">
        <f t="shared" si="2"/>
        <v>130.08647683006208</v>
      </c>
      <c r="K27">
        <f t="shared" si="2"/>
        <v>198.73465273385261</v>
      </c>
      <c r="L27">
        <f t="shared" si="2"/>
        <v>198.73465273385261</v>
      </c>
      <c r="M27">
        <f t="shared" si="2"/>
        <v>23.775862616163078</v>
      </c>
      <c r="N27">
        <f t="shared" si="2"/>
        <v>23.775862616163078</v>
      </c>
    </row>
    <row r="28" spans="1:14" ht="15.75" x14ac:dyDescent="0.25">
      <c r="A28" s="502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390">
        <f t="shared" si="2"/>
        <v>1936.6056909978481</v>
      </c>
      <c r="J28" s="390">
        <f t="shared" si="2"/>
        <v>1945.5865776896726</v>
      </c>
      <c r="K28">
        <f t="shared" si="2"/>
        <v>424.77745372873204</v>
      </c>
      <c r="L28">
        <f t="shared" si="2"/>
        <v>424.77745372873204</v>
      </c>
      <c r="M28">
        <f t="shared" si="2"/>
        <v>1335.6643526752177</v>
      </c>
      <c r="N28">
        <f t="shared" si="2"/>
        <v>1335.6643526752177</v>
      </c>
    </row>
    <row r="29" spans="1:14" ht="15.75" x14ac:dyDescent="0.25">
      <c r="A29" s="502" t="s">
        <v>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390">
        <f t="shared" si="2"/>
        <v>5248.1181644595754</v>
      </c>
      <c r="J29" s="390">
        <f t="shared" si="2"/>
        <v>4406.2667843638083</v>
      </c>
      <c r="K29">
        <f t="shared" si="2"/>
        <v>978.45934201261935</v>
      </c>
      <c r="L29">
        <f t="shared" si="2"/>
        <v>978.45934201261935</v>
      </c>
      <c r="M29">
        <f t="shared" si="2"/>
        <v>2171.7557838893304</v>
      </c>
      <c r="N29">
        <f t="shared" si="2"/>
        <v>2171.7557838893304</v>
      </c>
    </row>
    <row r="30" spans="1:14" ht="15.75" x14ac:dyDescent="0.25">
      <c r="A30" s="502" t="s">
        <v>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390">
        <f t="shared" si="2"/>
        <v>567.05869214154507</v>
      </c>
      <c r="J30" s="390">
        <f t="shared" si="2"/>
        <v>555.46070615513361</v>
      </c>
      <c r="K30">
        <f t="shared" si="2"/>
        <v>75.695872706486483</v>
      </c>
      <c r="L30">
        <f t="shared" si="2"/>
        <v>75.695872706486483</v>
      </c>
      <c r="M30">
        <f t="shared" si="2"/>
        <v>739.31387668269565</v>
      </c>
      <c r="N30">
        <f t="shared" si="2"/>
        <v>739.31387668269565</v>
      </c>
    </row>
    <row r="31" spans="1:14" ht="15.75" x14ac:dyDescent="0.25">
      <c r="A31" s="502" t="s">
        <v>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390">
        <f>+I8/I20</f>
        <v>39046.08289411023</v>
      </c>
      <c r="J31" s="390">
        <f t="shared" si="2"/>
        <v>38246.477723723685</v>
      </c>
      <c r="K31">
        <f t="shared" si="2"/>
        <v>2157.2155308085971</v>
      </c>
      <c r="L31">
        <f t="shared" si="2"/>
        <v>2157.2155308085971</v>
      </c>
      <c r="M31">
        <f t="shared" si="2"/>
        <v>11077.209212203701</v>
      </c>
      <c r="N31">
        <f t="shared" si="2"/>
        <v>11077.209212203701</v>
      </c>
    </row>
    <row r="32" spans="1:14" ht="15.75" x14ac:dyDescent="0.25">
      <c r="A32" s="502" t="s">
        <v>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390">
        <f t="shared" si="2"/>
        <v>1255.7761855770564</v>
      </c>
      <c r="J32" s="390">
        <f t="shared" si="2"/>
        <v>1320.0089558969917</v>
      </c>
      <c r="K32">
        <f t="shared" si="2"/>
        <v>141.28350904426293</v>
      </c>
      <c r="L32">
        <f t="shared" si="2"/>
        <v>141.28350904426293</v>
      </c>
      <c r="M32">
        <f t="shared" si="2"/>
        <v>606.2704688245791</v>
      </c>
      <c r="N32">
        <f t="shared" si="2"/>
        <v>606.2704688245791</v>
      </c>
    </row>
    <row r="33" spans="1:14" ht="15.75" x14ac:dyDescent="0.25">
      <c r="A33" s="502" t="s">
        <v>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390">
        <f t="shared" si="2"/>
        <v>2183.1228224753245</v>
      </c>
      <c r="J33" s="390">
        <f t="shared" si="2"/>
        <v>2138.4157438888715</v>
      </c>
      <c r="K33">
        <f t="shared" si="2"/>
        <v>203.51074932703071</v>
      </c>
      <c r="L33">
        <f t="shared" si="2"/>
        <v>203.51074932703071</v>
      </c>
      <c r="M33">
        <f t="shared" si="2"/>
        <v>43.019589009285809</v>
      </c>
      <c r="N33">
        <f t="shared" si="2"/>
        <v>43.019589009285809</v>
      </c>
    </row>
    <row r="34" spans="1:14" ht="15.75" x14ac:dyDescent="0.25">
      <c r="A34" s="502" t="s">
        <v>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>+K11/K23</f>
        <v>4255.2355904599654</v>
      </c>
      <c r="L34">
        <f t="shared" si="2"/>
        <v>4255.2355904599654</v>
      </c>
      <c r="M34">
        <f t="shared" si="2"/>
        <v>69961.327891211738</v>
      </c>
      <c r="N34">
        <f t="shared" si="2"/>
        <v>69961.327891211738</v>
      </c>
    </row>
    <row r="36" spans="1:14" x14ac:dyDescent="0.25">
      <c r="B36">
        <f>+B15*B26</f>
        <v>0</v>
      </c>
      <c r="C36">
        <f t="shared" ref="C36:N36" si="3">+C15*C26</f>
        <v>0</v>
      </c>
      <c r="D36">
        <f t="shared" si="3"/>
        <v>0</v>
      </c>
      <c r="E36">
        <f t="shared" si="3"/>
        <v>0</v>
      </c>
      <c r="F36">
        <f t="shared" si="3"/>
        <v>0</v>
      </c>
      <c r="G36">
        <f t="shared" si="3"/>
        <v>0</v>
      </c>
      <c r="H36">
        <f t="shared" si="3"/>
        <v>0</v>
      </c>
      <c r="I36" s="390">
        <f t="shared" si="3"/>
        <v>4.1479881168772099</v>
      </c>
      <c r="J36" s="390">
        <f t="shared" si="3"/>
        <v>8.126087092559299</v>
      </c>
      <c r="K36">
        <f t="shared" si="3"/>
        <v>3.8667552790646598</v>
      </c>
      <c r="L36">
        <f t="shared" si="3"/>
        <v>3.8667552790646598</v>
      </c>
      <c r="M36">
        <f t="shared" si="3"/>
        <v>0</v>
      </c>
      <c r="N36">
        <f t="shared" si="3"/>
        <v>0</v>
      </c>
    </row>
    <row r="37" spans="1:14" x14ac:dyDescent="0.25">
      <c r="B37">
        <f t="shared" ref="B37:N44" si="4">+B16*B27</f>
        <v>0</v>
      </c>
      <c r="C37">
        <f t="shared" si="4"/>
        <v>0</v>
      </c>
      <c r="D37">
        <f t="shared" si="4"/>
        <v>0</v>
      </c>
      <c r="E37">
        <f t="shared" si="4"/>
        <v>0</v>
      </c>
      <c r="F37">
        <f t="shared" si="4"/>
        <v>0</v>
      </c>
      <c r="G37">
        <f t="shared" si="4"/>
        <v>0</v>
      </c>
      <c r="H37">
        <f t="shared" si="4"/>
        <v>0</v>
      </c>
      <c r="I37" s="390">
        <f t="shared" si="4"/>
        <v>40.505874953823643</v>
      </c>
      <c r="J37" s="390">
        <f t="shared" si="4"/>
        <v>79.352750866337871</v>
      </c>
      <c r="K37">
        <f t="shared" si="4"/>
        <v>37.759584019431998</v>
      </c>
      <c r="L37">
        <f t="shared" si="4"/>
        <v>37.759584019431998</v>
      </c>
      <c r="M37">
        <f t="shared" si="4"/>
        <v>11.174655429596646</v>
      </c>
      <c r="N37">
        <f t="shared" si="4"/>
        <v>11.174655429596646</v>
      </c>
    </row>
    <row r="38" spans="1:14" x14ac:dyDescent="0.25">
      <c r="B38">
        <f t="shared" si="4"/>
        <v>0</v>
      </c>
      <c r="C38">
        <f t="shared" si="4"/>
        <v>0</v>
      </c>
      <c r="D38">
        <f t="shared" si="4"/>
        <v>0</v>
      </c>
      <c r="E38">
        <f t="shared" si="4"/>
        <v>0</v>
      </c>
      <c r="F38">
        <f t="shared" si="4"/>
        <v>0</v>
      </c>
      <c r="G38">
        <f t="shared" si="4"/>
        <v>0</v>
      </c>
      <c r="H38">
        <f t="shared" si="4"/>
        <v>0</v>
      </c>
      <c r="I38" s="390">
        <f t="shared" si="4"/>
        <v>387.32113819956965</v>
      </c>
      <c r="J38" s="390">
        <f t="shared" si="4"/>
        <v>758.7787652989723</v>
      </c>
      <c r="K38">
        <f t="shared" si="4"/>
        <v>361.0608356694222</v>
      </c>
      <c r="L38">
        <f t="shared" si="4"/>
        <v>361.0608356694222</v>
      </c>
      <c r="M38">
        <f t="shared" si="4"/>
        <v>106.85314821401742</v>
      </c>
      <c r="N38">
        <f t="shared" si="4"/>
        <v>106.85314821401742</v>
      </c>
    </row>
    <row r="39" spans="1:14" x14ac:dyDescent="0.25">
      <c r="B39">
        <f t="shared" si="4"/>
        <v>0</v>
      </c>
      <c r="C39">
        <f t="shared" si="4"/>
        <v>0</v>
      </c>
      <c r="D39">
        <f t="shared" si="4"/>
        <v>0</v>
      </c>
      <c r="E39">
        <f t="shared" si="4"/>
        <v>0</v>
      </c>
      <c r="F39">
        <f t="shared" si="4"/>
        <v>0</v>
      </c>
      <c r="G39">
        <f t="shared" si="4"/>
        <v>0</v>
      </c>
      <c r="H39">
        <f t="shared" si="4"/>
        <v>0</v>
      </c>
      <c r="I39" s="390">
        <f t="shared" si="4"/>
        <v>157.44354493378725</v>
      </c>
      <c r="J39" s="390">
        <f t="shared" si="4"/>
        <v>308.4386749054666</v>
      </c>
      <c r="K39">
        <f t="shared" si="4"/>
        <v>146.7689013018929</v>
      </c>
      <c r="L39">
        <f t="shared" si="4"/>
        <v>146.7689013018929</v>
      </c>
      <c r="M39">
        <f t="shared" si="4"/>
        <v>43.435115677786605</v>
      </c>
      <c r="N39">
        <f t="shared" si="4"/>
        <v>43.435115677786605</v>
      </c>
    </row>
    <row r="40" spans="1:14" x14ac:dyDescent="0.25">
      <c r="B40">
        <f t="shared" si="4"/>
        <v>0</v>
      </c>
      <c r="C40">
        <f t="shared" si="4"/>
        <v>0</v>
      </c>
      <c r="D40">
        <f t="shared" si="4"/>
        <v>0</v>
      </c>
      <c r="E40">
        <f t="shared" si="4"/>
        <v>0</v>
      </c>
      <c r="F40">
        <f t="shared" si="4"/>
        <v>0</v>
      </c>
      <c r="G40">
        <f t="shared" si="4"/>
        <v>0</v>
      </c>
      <c r="H40">
        <f t="shared" si="4"/>
        <v>0</v>
      </c>
      <c r="I40" s="390">
        <f t="shared" si="4"/>
        <v>108.42729252438484</v>
      </c>
      <c r="J40" s="390">
        <f t="shared" si="4"/>
        <v>212.41372864078465</v>
      </c>
      <c r="K40">
        <f t="shared" si="4"/>
        <v>101.07594186624432</v>
      </c>
      <c r="L40">
        <f t="shared" si="4"/>
        <v>101.07594186624432</v>
      </c>
      <c r="M40">
        <f t="shared" si="4"/>
        <v>29.912639450581867</v>
      </c>
      <c r="N40">
        <f t="shared" si="4"/>
        <v>29.912639450581867</v>
      </c>
    </row>
    <row r="41" spans="1:14" x14ac:dyDescent="0.25">
      <c r="B41">
        <f t="shared" si="4"/>
        <v>0</v>
      </c>
      <c r="C41">
        <f t="shared" si="4"/>
        <v>0</v>
      </c>
      <c r="D41">
        <f t="shared" si="4"/>
        <v>0</v>
      </c>
      <c r="E41">
        <f t="shared" si="4"/>
        <v>0</v>
      </c>
      <c r="F41">
        <f t="shared" si="4"/>
        <v>0</v>
      </c>
      <c r="G41">
        <f t="shared" si="4"/>
        <v>0</v>
      </c>
      <c r="H41">
        <f t="shared" si="4"/>
        <v>0</v>
      </c>
      <c r="I41" s="390">
        <f t="shared" si="4"/>
        <v>793.41640440831998</v>
      </c>
      <c r="J41" s="390">
        <f t="shared" si="4"/>
        <v>1554.3368546921306</v>
      </c>
      <c r="K41">
        <f t="shared" si="4"/>
        <v>739.62291689303561</v>
      </c>
      <c r="L41">
        <f t="shared" si="4"/>
        <v>739.62291689303561</v>
      </c>
      <c r="M41">
        <f t="shared" si="4"/>
        <v>218.88565403314516</v>
      </c>
      <c r="N41">
        <f t="shared" si="4"/>
        <v>218.88565403314516</v>
      </c>
    </row>
    <row r="42" spans="1:14" x14ac:dyDescent="0.25">
      <c r="B42">
        <f t="shared" si="4"/>
        <v>0</v>
      </c>
      <c r="C42">
        <f t="shared" si="4"/>
        <v>0</v>
      </c>
      <c r="D42">
        <f t="shared" si="4"/>
        <v>0</v>
      </c>
      <c r="E42">
        <f t="shared" si="4"/>
        <v>0</v>
      </c>
      <c r="F42">
        <f t="shared" si="4"/>
        <v>0</v>
      </c>
      <c r="G42">
        <f t="shared" si="4"/>
        <v>0</v>
      </c>
      <c r="H42">
        <f t="shared" si="4"/>
        <v>0</v>
      </c>
      <c r="I42" s="390">
        <f t="shared" si="4"/>
        <v>87.904332990393954</v>
      </c>
      <c r="J42" s="390">
        <f t="shared" si="4"/>
        <v>172.20836838632155</v>
      </c>
      <c r="K42">
        <f t="shared" si="4"/>
        <v>81.944435245672494</v>
      </c>
      <c r="L42">
        <f t="shared" si="4"/>
        <v>81.944435245672494</v>
      </c>
      <c r="M42">
        <f t="shared" si="4"/>
        <v>24.250818752983164</v>
      </c>
      <c r="N42">
        <f t="shared" si="4"/>
        <v>24.250818752983164</v>
      </c>
    </row>
    <row r="43" spans="1:14" x14ac:dyDescent="0.25">
      <c r="B43">
        <f t="shared" si="4"/>
        <v>0</v>
      </c>
      <c r="C43">
        <f t="shared" si="4"/>
        <v>0</v>
      </c>
      <c r="D43">
        <f t="shared" si="4"/>
        <v>0</v>
      </c>
      <c r="E43">
        <f t="shared" si="4"/>
        <v>0</v>
      </c>
      <c r="F43">
        <f t="shared" si="4"/>
        <v>0</v>
      </c>
      <c r="G43">
        <f t="shared" si="4"/>
        <v>0</v>
      </c>
      <c r="H43">
        <f t="shared" si="4"/>
        <v>0</v>
      </c>
      <c r="I43" s="390">
        <f t="shared" si="4"/>
        <v>21.831228224753247</v>
      </c>
      <c r="J43" s="390">
        <f t="shared" si="4"/>
        <v>42.768314877777428</v>
      </c>
      <c r="K43">
        <f t="shared" si="4"/>
        <v>20.351074932703071</v>
      </c>
      <c r="L43">
        <f t="shared" si="4"/>
        <v>20.351074932703071</v>
      </c>
      <c r="M43">
        <f t="shared" si="4"/>
        <v>6.0227424613000142</v>
      </c>
      <c r="N43">
        <f t="shared" si="4"/>
        <v>6.0227424613000142</v>
      </c>
    </row>
    <row r="44" spans="1:14" x14ac:dyDescent="0.25">
      <c r="B44">
        <f t="shared" si="4"/>
        <v>0</v>
      </c>
      <c r="C44">
        <f t="shared" si="4"/>
        <v>0</v>
      </c>
      <c r="D44">
        <f t="shared" si="4"/>
        <v>0</v>
      </c>
      <c r="E44">
        <f t="shared" si="4"/>
        <v>0</v>
      </c>
      <c r="F44">
        <f t="shared" si="4"/>
        <v>0</v>
      </c>
      <c r="G44">
        <f t="shared" si="4"/>
        <v>0</v>
      </c>
      <c r="H44">
        <f t="shared" si="4"/>
        <v>0</v>
      </c>
      <c r="I44" s="390">
        <f t="shared" si="4"/>
        <v>0</v>
      </c>
      <c r="J44" s="390">
        <f t="shared" si="4"/>
        <v>0</v>
      </c>
      <c r="K44">
        <f>+K23*K34</f>
        <v>85.104711809199316</v>
      </c>
      <c r="L44">
        <f t="shared" si="4"/>
        <v>85.104711809199316</v>
      </c>
      <c r="M44">
        <f t="shared" si="4"/>
        <v>25.186078040836225</v>
      </c>
      <c r="N44">
        <f>+N23*N34</f>
        <v>25.186078040836225</v>
      </c>
    </row>
    <row r="46" spans="1:14" x14ac:dyDescent="0.25">
      <c r="A46" t="s">
        <v>543</v>
      </c>
      <c r="B46">
        <f t="shared" ref="B46:M46" si="5">+B1-SUM(B36:B44)</f>
        <v>1034.3527479633333</v>
      </c>
      <c r="C46">
        <f t="shared" si="5"/>
        <v>1034.3527479633333</v>
      </c>
      <c r="D46">
        <f t="shared" si="5"/>
        <v>1034.3527479633333</v>
      </c>
      <c r="E46">
        <f t="shared" si="5"/>
        <v>1034.3527479633333</v>
      </c>
      <c r="F46">
        <f t="shared" si="5"/>
        <v>1034.3527479633333</v>
      </c>
      <c r="G46">
        <f t="shared" si="5"/>
        <v>551.83197945333336</v>
      </c>
      <c r="H46">
        <f t="shared" si="5"/>
        <v>69.311210943333336</v>
      </c>
      <c r="I46" s="390">
        <f t="shared" si="5"/>
        <v>91.294459513923584</v>
      </c>
      <c r="J46" s="390">
        <f t="shared" si="5"/>
        <v>178.84977202798291</v>
      </c>
      <c r="K46">
        <f t="shared" si="5"/>
        <v>0</v>
      </c>
      <c r="L46">
        <f t="shared" si="5"/>
        <v>0</v>
      </c>
      <c r="M46">
        <f t="shared" si="5"/>
        <v>1.1443361730862307</v>
      </c>
      <c r="N46">
        <f t="shared" ref="N46" si="6">+N1-SUM(N36:N44)</f>
        <v>1.1443361730862307</v>
      </c>
    </row>
    <row r="47" spans="1:14" x14ac:dyDescent="0.25">
      <c r="A47" t="s">
        <v>118</v>
      </c>
      <c r="B47">
        <f>+'Cambio uso de suelo (BAU)'!D46</f>
        <v>1.62999</v>
      </c>
      <c r="C47">
        <f>+'Cambio uso de suelo (BAU)'!E46</f>
        <v>1.62999</v>
      </c>
      <c r="D47">
        <f>+'Cambio uso de suelo (BAU)'!F46</f>
        <v>1.62999</v>
      </c>
      <c r="E47">
        <f>+'Cambio uso de suelo (BAU)'!G46</f>
        <v>1.62999</v>
      </c>
      <c r="F47">
        <f>+'Cambio uso de suelo (BAU)'!H46</f>
        <v>1.62999</v>
      </c>
      <c r="G47">
        <f>+'Cambio uso de suelo (BAU)'!I46</f>
        <v>0.86975999999999998</v>
      </c>
      <c r="H47">
        <f>+'Cambio uso de suelo (BAU)'!J46</f>
        <v>0.10953</v>
      </c>
      <c r="I47" s="390">
        <f>+'Cambio uso de suelo (BAU)'!K46</f>
        <v>2.2405724999999999</v>
      </c>
      <c r="J47" s="390">
        <f>+'Cambio uso de suelo (BAU)'!L46</f>
        <v>4.3716149999999994</v>
      </c>
      <c r="K47">
        <f>+'Cambio uso de suelo (BAU)'!M46</f>
        <v>0.23674999999999999</v>
      </c>
      <c r="L47">
        <f>+'Cambio uso de suelo (BAU)'!N46</f>
        <v>0.23674999999999999</v>
      </c>
      <c r="M47">
        <f>+'Cambio uso de suelo (BAU)'!O46</f>
        <v>0.43110000000000004</v>
      </c>
      <c r="N47">
        <f>+'Cambio uso de suelo (BAU)'!P46</f>
        <v>0.43110000000000004</v>
      </c>
    </row>
    <row r="48" spans="1:14" x14ac:dyDescent="0.25">
      <c r="A48" t="s">
        <v>119</v>
      </c>
      <c r="B48" s="76">
        <f>+B46/B47</f>
        <v>634.57613111941373</v>
      </c>
      <c r="C48" s="76">
        <f t="shared" ref="C48:N48" si="7">+C46/C47</f>
        <v>634.57613111941373</v>
      </c>
      <c r="D48" s="76">
        <f t="shared" si="7"/>
        <v>634.57613111941373</v>
      </c>
      <c r="E48" s="76">
        <f t="shared" si="7"/>
        <v>634.57613111941373</v>
      </c>
      <c r="F48" s="76">
        <f t="shared" si="7"/>
        <v>634.57613111941373</v>
      </c>
      <c r="G48" s="76">
        <f t="shared" si="7"/>
        <v>634.46465628832482</v>
      </c>
      <c r="H48" s="76">
        <f t="shared" si="7"/>
        <v>632.8057239416903</v>
      </c>
      <c r="I48" s="599">
        <f>+I46/I47</f>
        <v>40.746041252369025</v>
      </c>
      <c r="J48" s="599">
        <f t="shared" si="7"/>
        <v>40.91160178286124</v>
      </c>
      <c r="K48" s="76">
        <f t="shared" si="7"/>
        <v>0</v>
      </c>
      <c r="L48" s="76">
        <f t="shared" si="7"/>
        <v>0</v>
      </c>
      <c r="M48" s="76">
        <f t="shared" si="7"/>
        <v>2.6544564441805396</v>
      </c>
      <c r="N48" s="76">
        <f t="shared" si="7"/>
        <v>2.6544564441805396</v>
      </c>
    </row>
    <row r="50" spans="1:14" x14ac:dyDescent="0.25">
      <c r="A50" t="s">
        <v>544</v>
      </c>
      <c r="B50">
        <f>+INGEI_diffs!C19/1000</f>
        <v>-1.4666666666666666E-2</v>
      </c>
      <c r="C50">
        <f>+INGEI_diffs!D19/1000</f>
        <v>-1.4666666666666666E-2</v>
      </c>
      <c r="D50">
        <f>+INGEI_diffs!E19/1000</f>
        <v>-1.4666666666666666E-2</v>
      </c>
      <c r="E50">
        <f>+INGEI_diffs!F19/1000</f>
        <v>-1.4666666666666666E-2</v>
      </c>
      <c r="F50">
        <f>+INGEI_diffs!G19/1000</f>
        <v>-1.4666666666666666E-2</v>
      </c>
      <c r="G50">
        <f>+INGEI_diffs!H19/1000</f>
        <v>-1.4666666666666666E-2</v>
      </c>
      <c r="H50">
        <f>+INGEI_diffs!I19/1000</f>
        <v>-1.4666666666666666E-2</v>
      </c>
      <c r="I50" s="390">
        <f>+INGEI_diffs!J19/1000</f>
        <v>-1.4666666666666666E-2</v>
      </c>
      <c r="J50" s="390">
        <f>+INGEI_diffs!K19/1000</f>
        <v>-1.4666666666666666E-2</v>
      </c>
      <c r="K50">
        <f>+INGEI_diffs!L19/1000</f>
        <v>-1.4666666666666666E-2</v>
      </c>
      <c r="L50">
        <f>+INGEI_diffs!M19/1000</f>
        <v>-1.4666666666666666E-2</v>
      </c>
      <c r="M50">
        <f>+INGEI_diffs!N19/1000</f>
        <v>-1.4666666666666666E-2</v>
      </c>
      <c r="N50">
        <f>+INGEI_diffs!O19/1000</f>
        <v>-1.4666666666666666E-2</v>
      </c>
    </row>
    <row r="51" spans="1:14" x14ac:dyDescent="0.25">
      <c r="A51" t="s">
        <v>118</v>
      </c>
      <c r="B51">
        <f>+'Cambio uso de suelo (BAU)'!D47</f>
        <v>66.52946</v>
      </c>
      <c r="C51">
        <f>+'Cambio uso de suelo (BAU)'!E47</f>
        <v>66.52946</v>
      </c>
      <c r="D51">
        <f>+'Cambio uso de suelo (BAU)'!F47</f>
        <v>66.52946</v>
      </c>
      <c r="E51">
        <f>+'Cambio uso de suelo (BAU)'!G47</f>
        <v>66.52946</v>
      </c>
      <c r="F51">
        <f>+'Cambio uso de suelo (BAU)'!H47</f>
        <v>66.52946</v>
      </c>
      <c r="G51">
        <f>+'Cambio uso de suelo (BAU)'!I47</f>
        <v>44.24183</v>
      </c>
      <c r="H51">
        <f>+'Cambio uso de suelo (BAU)'!J47</f>
        <v>21.9542</v>
      </c>
      <c r="I51" s="390">
        <f>+'Cambio uso de suelo (BAU)'!K47</f>
        <v>12.5998</v>
      </c>
      <c r="J51" s="390">
        <f>+'Cambio uso de suelo (BAU)'!L47</f>
        <v>3.2454000000000001</v>
      </c>
      <c r="K51">
        <f>+'Cambio uso de suelo (BAU)'!M47</f>
        <v>3.2454000000000001</v>
      </c>
      <c r="L51">
        <f>+'Cambio uso de suelo (BAU)'!N47</f>
        <v>3.2454000000000001</v>
      </c>
      <c r="M51">
        <f>+'Cambio uso de suelo (BAU)'!O47</f>
        <v>10.864709999999999</v>
      </c>
      <c r="N51">
        <f>+'Cambio uso de suelo (BAU)'!P47</f>
        <v>10.864709999999999</v>
      </c>
    </row>
    <row r="52" spans="1:14" x14ac:dyDescent="0.25">
      <c r="A52" t="s">
        <v>119</v>
      </c>
      <c r="B52" s="76">
        <f>+B50/B51</f>
        <v>-2.2045371579247248E-4</v>
      </c>
      <c r="C52" s="76">
        <f t="shared" ref="C52" si="8">+C50/C51</f>
        <v>-2.2045371579247248E-4</v>
      </c>
      <c r="D52" s="76">
        <f t="shared" ref="D52" si="9">+D50/D51</f>
        <v>-2.2045371579247248E-4</v>
      </c>
      <c r="E52" s="76">
        <f t="shared" ref="E52" si="10">+E50/E51</f>
        <v>-2.2045371579247248E-4</v>
      </c>
      <c r="F52" s="76">
        <f t="shared" ref="F52" si="11">+F50/F51</f>
        <v>-2.2045371579247248E-4</v>
      </c>
      <c r="G52" s="76">
        <f t="shared" ref="G52" si="12">+G50/G51</f>
        <v>-3.3151130201139207E-4</v>
      </c>
      <c r="H52" s="76">
        <f t="shared" ref="H52" si="13">+H50/H51</f>
        <v>-6.6805744079340926E-4</v>
      </c>
      <c r="I52" s="599">
        <f t="shared" ref="I52" si="14">+I50/I51</f>
        <v>-1.1640396408408599E-3</v>
      </c>
      <c r="J52" s="599">
        <f t="shared" ref="J52" si="15">+J50/J51</f>
        <v>-4.519216942955157E-3</v>
      </c>
      <c r="K52" s="76">
        <f t="shared" ref="K52" si="16">+K50/K51</f>
        <v>-4.519216942955157E-3</v>
      </c>
      <c r="L52" s="76">
        <f t="shared" ref="L52" si="17">+L50/L51</f>
        <v>-4.519216942955157E-3</v>
      </c>
      <c r="M52" s="76">
        <f t="shared" ref="M52" si="18">+M50/M51</f>
        <v>-1.3499363228900419E-3</v>
      </c>
      <c r="N52" s="76">
        <f t="shared" ref="N52" si="19">+N50/N51</f>
        <v>-1.3499363228900419E-3</v>
      </c>
    </row>
    <row r="54" spans="1:14" x14ac:dyDescent="0.25">
      <c r="A54" t="s">
        <v>545</v>
      </c>
      <c r="B54">
        <f>+INGEI_diffs!C20/1000</f>
        <v>-1.4666666666666666E-2</v>
      </c>
      <c r="C54">
        <f>+INGEI_diffs!D20/1000</f>
        <v>-1.4666666666666666E-2</v>
      </c>
      <c r="D54">
        <f>+INGEI_diffs!E20/1000</f>
        <v>-1.4666666666666666E-2</v>
      </c>
      <c r="E54">
        <f>+INGEI_diffs!F20/1000</f>
        <v>-1.4666666666666666E-2</v>
      </c>
      <c r="F54">
        <f>+INGEI_diffs!G20/1000</f>
        <v>-1.4666666666666666E-2</v>
      </c>
      <c r="G54">
        <f>+INGEI_diffs!H20/1000</f>
        <v>-1.4666666666666666E-2</v>
      </c>
      <c r="H54">
        <f>+INGEI_diffs!I20/1000</f>
        <v>-1.4666666666666666E-2</v>
      </c>
      <c r="I54" s="390">
        <f>+INGEI_diffs!J20/1000</f>
        <v>-1.4666666666666666E-2</v>
      </c>
      <c r="J54" s="390">
        <f>+INGEI_diffs!K20/1000</f>
        <v>-1.4666666666666666E-2</v>
      </c>
      <c r="K54">
        <f>+INGEI_diffs!L20/1000</f>
        <v>-1.4666666666666666E-2</v>
      </c>
      <c r="L54">
        <f>+INGEI_diffs!M20/1000</f>
        <v>-1.4666666666666666E-2</v>
      </c>
      <c r="M54">
        <f>+INGEI_diffs!N20/1000</f>
        <v>-1.4666666666666666E-2</v>
      </c>
      <c r="N54">
        <f>+INGEI_diffs!O20/1000</f>
        <v>-1.4666666666666666E-2</v>
      </c>
    </row>
    <row r="55" spans="1:14" x14ac:dyDescent="0.25">
      <c r="A55" t="s">
        <v>118</v>
      </c>
      <c r="B55">
        <f>+'Cambio uso de suelo (BAU)'!D48</f>
        <v>1.248E-2</v>
      </c>
      <c r="C55">
        <f>+'Cambio uso de suelo (BAU)'!E48</f>
        <v>1.248E-2</v>
      </c>
      <c r="D55">
        <f>+'Cambio uso de suelo (BAU)'!F48</f>
        <v>1.248E-2</v>
      </c>
      <c r="E55">
        <f>+'Cambio uso de suelo (BAU)'!G48</f>
        <v>1.248E-2</v>
      </c>
      <c r="F55">
        <f>+'Cambio uso de suelo (BAU)'!H48</f>
        <v>1.248E-2</v>
      </c>
      <c r="G55">
        <f>+'Cambio uso de suelo (BAU)'!I48</f>
        <v>1.3754549999999999</v>
      </c>
      <c r="H55">
        <f>+'Cambio uso de suelo (BAU)'!J48</f>
        <v>2.7384299999999997</v>
      </c>
      <c r="I55" s="390">
        <f>+'Cambio uso de suelo (BAU)'!K48</f>
        <v>1.4212799999999999</v>
      </c>
      <c r="J55" s="390">
        <f>+'Cambio uso de suelo (BAU)'!L48</f>
        <v>0.10413</v>
      </c>
      <c r="K55">
        <f>+'Cambio uso de suelo (BAU)'!M48</f>
        <v>0.10413</v>
      </c>
      <c r="L55">
        <f>+'Cambio uso de suelo (BAU)'!N48</f>
        <v>0.10413</v>
      </c>
      <c r="M55">
        <f>+'Cambio uso de suelo (BAU)'!O48</f>
        <v>2.1370100000000001</v>
      </c>
      <c r="N55">
        <f>+'Cambio uso de suelo (BAU)'!P48</f>
        <v>2.1370100000000001</v>
      </c>
    </row>
    <row r="56" spans="1:14" x14ac:dyDescent="0.25">
      <c r="A56" t="s">
        <v>119</v>
      </c>
      <c r="B56" s="76">
        <f>+B54/B55</f>
        <v>-1.1752136752136753</v>
      </c>
      <c r="C56" s="76">
        <f t="shared" ref="C56" si="20">+C54/C55</f>
        <v>-1.1752136752136753</v>
      </c>
      <c r="D56" s="76">
        <f t="shared" ref="D56" si="21">+D54/D55</f>
        <v>-1.1752136752136753</v>
      </c>
      <c r="E56" s="76">
        <f t="shared" ref="E56" si="22">+E54/E55</f>
        <v>-1.1752136752136753</v>
      </c>
      <c r="F56" s="76">
        <f t="shared" ref="F56" si="23">+F54/F55</f>
        <v>-1.1752136752136753</v>
      </c>
      <c r="G56" s="76">
        <f t="shared" ref="G56" si="24">+G54/G55</f>
        <v>-1.0663138137319408E-2</v>
      </c>
      <c r="H56" s="76">
        <f t="shared" ref="H56" si="25">+H54/H55</f>
        <v>-5.355866926182765E-3</v>
      </c>
      <c r="I56" s="599">
        <f t="shared" ref="I56" si="26">+I54/I55</f>
        <v>-1.0319336560471314E-2</v>
      </c>
      <c r="J56" s="599">
        <f t="shared" ref="J56" si="27">+J54/J55</f>
        <v>-0.14084957905182624</v>
      </c>
      <c r="K56" s="76">
        <f t="shared" ref="K56" si="28">+K54/K55</f>
        <v>-0.14084957905182624</v>
      </c>
      <c r="L56" s="76">
        <f t="shared" ref="L56" si="29">+L54/L55</f>
        <v>-0.14084957905182624</v>
      </c>
      <c r="M56" s="76">
        <f t="shared" ref="M56" si="30">+M54/M55</f>
        <v>-6.8631717524329158E-3</v>
      </c>
      <c r="N56" s="76">
        <f t="shared" ref="N56" si="31">+N54/N55</f>
        <v>-6.8631717524329158E-3</v>
      </c>
    </row>
    <row r="58" spans="1:14" x14ac:dyDescent="0.25">
      <c r="A58" t="s">
        <v>546</v>
      </c>
      <c r="B58">
        <f>+INGEI_diffs!C22/1000</f>
        <v>-1.4666666666666666E-2</v>
      </c>
      <c r="C58">
        <f>+INGEI_diffs!D22/1000</f>
        <v>-1.4666666666666666E-2</v>
      </c>
      <c r="D58">
        <f>+INGEI_diffs!E22/1000</f>
        <v>-1.4666666666666666E-2</v>
      </c>
      <c r="E58">
        <f>+INGEI_diffs!F22/1000</f>
        <v>-1.4666666666666666E-2</v>
      </c>
      <c r="F58">
        <f>+INGEI_diffs!G22/1000</f>
        <v>-1.4666666666666666E-2</v>
      </c>
      <c r="G58">
        <f>+INGEI_diffs!H22/1000</f>
        <v>-1.4666666666666666E-2</v>
      </c>
      <c r="H58">
        <f>+INGEI_diffs!I22/1000</f>
        <v>-1.4666666666666666E-2</v>
      </c>
      <c r="I58" s="390">
        <f>+INGEI_diffs!J22/1000</f>
        <v>-1.4666666666666666E-2</v>
      </c>
      <c r="J58" s="390">
        <f>+INGEI_diffs!K22/1000</f>
        <v>-1.4666666666666666E-2</v>
      </c>
      <c r="K58">
        <f>+INGEI_diffs!L22/1000</f>
        <v>-1.4666666666666666E-2</v>
      </c>
      <c r="L58">
        <f>+INGEI_diffs!M22/1000</f>
        <v>-1.4666666666666666E-2</v>
      </c>
      <c r="M58">
        <f>+INGEI_diffs!N22/1000</f>
        <v>-1.4666666666666666E-2</v>
      </c>
      <c r="N58">
        <f>+INGEI_diffs!O22/1000</f>
        <v>-1.4666666666666666E-2</v>
      </c>
    </row>
    <row r="59" spans="1:14" x14ac:dyDescent="0.25">
      <c r="A59" t="s">
        <v>118</v>
      </c>
      <c r="B59">
        <f>+'Cambio uso de suelo (BAU)'!D49</f>
        <v>3.6872099999999999</v>
      </c>
      <c r="C59">
        <f>+'Cambio uso de suelo (BAU)'!E49</f>
        <v>3.6872099999999999</v>
      </c>
      <c r="D59">
        <f>+'Cambio uso de suelo (BAU)'!F49</f>
        <v>3.6872099999999999</v>
      </c>
      <c r="E59">
        <f>+'Cambio uso de suelo (BAU)'!G49</f>
        <v>3.6872099999999999</v>
      </c>
      <c r="F59">
        <f>+'Cambio uso de suelo (BAU)'!H49</f>
        <v>3.6872099999999999</v>
      </c>
      <c r="G59">
        <f>+'Cambio uso de suelo (BAU)'!I49</f>
        <v>4.063345</v>
      </c>
      <c r="H59">
        <f>+'Cambio uso de suelo (BAU)'!J49</f>
        <v>4.4394799999999996</v>
      </c>
      <c r="I59" s="390">
        <f>+'Cambio uso de suelo (BAU)'!K49</f>
        <v>2.4052099999999998</v>
      </c>
      <c r="J59" s="390">
        <f>+'Cambio uso de suelo (BAU)'!L49</f>
        <v>0.37093999999999999</v>
      </c>
      <c r="K59">
        <f>+'Cambio uso de suelo (BAU)'!M49</f>
        <v>0.37093999999999999</v>
      </c>
      <c r="L59">
        <f>+'Cambio uso de suelo (BAU)'!N49</f>
        <v>0.37093999999999999</v>
      </c>
      <c r="M59">
        <f>+'Cambio uso de suelo (BAU)'!O49</f>
        <v>2.5905200000000002</v>
      </c>
      <c r="N59">
        <f>+'Cambio uso de suelo (BAU)'!P49</f>
        <v>2.5905200000000002</v>
      </c>
    </row>
    <row r="60" spans="1:14" x14ac:dyDescent="0.25">
      <c r="A60" t="s">
        <v>119</v>
      </c>
      <c r="B60" s="76">
        <f>+B58/B59</f>
        <v>-3.977713953549341E-3</v>
      </c>
      <c r="C60" s="76">
        <f t="shared" ref="C60" si="32">+C58/C59</f>
        <v>-3.977713953549341E-3</v>
      </c>
      <c r="D60" s="76">
        <f t="shared" ref="D60" si="33">+D58/D59</f>
        <v>-3.977713953549341E-3</v>
      </c>
      <c r="E60" s="76">
        <f t="shared" ref="E60" si="34">+E58/E59</f>
        <v>-3.977713953549341E-3</v>
      </c>
      <c r="F60" s="76">
        <f t="shared" ref="F60" si="35">+F58/F59</f>
        <v>-3.977713953549341E-3</v>
      </c>
      <c r="G60" s="76">
        <f t="shared" ref="G60" si="36">+G58/G59</f>
        <v>-3.6095056330847286E-3</v>
      </c>
      <c r="H60" s="76">
        <f t="shared" ref="H60" si="37">+H58/H59</f>
        <v>-3.3036902219779497E-3</v>
      </c>
      <c r="I60" s="599">
        <f t="shared" ref="I60" si="38">+I58/I59</f>
        <v>-6.0978736437428196E-3</v>
      </c>
      <c r="J60" s="599">
        <f t="shared" ref="J60" si="39">+J58/J59</f>
        <v>-3.9539188727736742E-2</v>
      </c>
      <c r="K60" s="76">
        <f t="shared" ref="K60" si="40">+K58/K59</f>
        <v>-3.9539188727736742E-2</v>
      </c>
      <c r="L60" s="76">
        <f t="shared" ref="L60" si="41">+L58/L59</f>
        <v>-3.9539188727736742E-2</v>
      </c>
      <c r="M60" s="76">
        <f t="shared" ref="M60" si="42">+M58/M59</f>
        <v>-5.6616689570691079E-3</v>
      </c>
      <c r="N60" s="76">
        <f t="shared" ref="N60" si="43">+N58/N59</f>
        <v>-5.6616689570691079E-3</v>
      </c>
    </row>
    <row r="63" spans="1:14" x14ac:dyDescent="0.25">
      <c r="B63">
        <f t="shared" ref="B63:N63" si="44">+B1+B50+B54+B58</f>
        <v>1034.3087479633332</v>
      </c>
      <c r="C63">
        <f t="shared" si="44"/>
        <v>1034.3087479633332</v>
      </c>
      <c r="D63">
        <f t="shared" si="44"/>
        <v>1034.3087479633332</v>
      </c>
      <c r="E63">
        <f t="shared" si="44"/>
        <v>1034.3087479633332</v>
      </c>
      <c r="F63">
        <f t="shared" si="44"/>
        <v>1034.3087479633332</v>
      </c>
      <c r="G63">
        <f t="shared" si="44"/>
        <v>551.78797945333326</v>
      </c>
      <c r="H63">
        <f t="shared" si="44"/>
        <v>69.267210943333325</v>
      </c>
      <c r="I63">
        <f t="shared" si="44"/>
        <v>1692.2482638658332</v>
      </c>
      <c r="J63">
        <f t="shared" si="44"/>
        <v>3315.229316788334</v>
      </c>
      <c r="K63">
        <f t="shared" si="44"/>
        <v>1577.5111570166666</v>
      </c>
      <c r="L63">
        <f t="shared" si="44"/>
        <v>1577.5111570166666</v>
      </c>
      <c r="M63">
        <f t="shared" si="44"/>
        <v>466.82118823333337</v>
      </c>
      <c r="N63">
        <f t="shared" si="44"/>
        <v>466.82118823333337</v>
      </c>
    </row>
    <row r="64" spans="1:14" x14ac:dyDescent="0.25">
      <c r="B64">
        <f>+INGEI_diffs!C23</f>
        <v>1034.3087479633334</v>
      </c>
      <c r="C64">
        <f>+INGEI_diffs!D23</f>
        <v>1034.3087479633334</v>
      </c>
      <c r="D64">
        <f>+INGEI_diffs!E23</f>
        <v>1034.3087479633334</v>
      </c>
      <c r="E64">
        <f>+INGEI_diffs!F23</f>
        <v>1034.3087479633334</v>
      </c>
      <c r="F64">
        <f>+INGEI_diffs!G23</f>
        <v>1034.3087479633334</v>
      </c>
      <c r="G64">
        <f>+INGEI_diffs!H23</f>
        <v>551.78797945333338</v>
      </c>
      <c r="H64">
        <f>+INGEI_diffs!I23</f>
        <v>69.267210943333325</v>
      </c>
      <c r="I64">
        <f>+INGEI_diffs!J23</f>
        <v>1692.2482638658332</v>
      </c>
      <c r="J64">
        <f>+INGEI_diffs!K23</f>
        <v>3315.229316788334</v>
      </c>
      <c r="K64">
        <f>+INGEI_diffs!L23</f>
        <v>1577.5111570166666</v>
      </c>
      <c r="L64">
        <f>+INGEI_diffs!M23</f>
        <v>1577.5111570166666</v>
      </c>
      <c r="M64">
        <f>+INGEI_diffs!N23</f>
        <v>466.82118823333326</v>
      </c>
      <c r="N64">
        <f>+INGEI_diffs!O23</f>
        <v>466.82118823333326</v>
      </c>
    </row>
    <row r="65" spans="2:14" x14ac:dyDescent="0.25">
      <c r="B65" s="78">
        <f>+INGEI_diffs!B53</f>
        <v>1034.3</v>
      </c>
      <c r="C65" s="78">
        <f>+INGEI_diffs!C53</f>
        <v>1034.3</v>
      </c>
      <c r="D65" s="78">
        <f>+INGEI_diffs!D53</f>
        <v>1034.3</v>
      </c>
      <c r="E65" s="78">
        <f>+INGEI_diffs!E53</f>
        <v>1034.3</v>
      </c>
      <c r="F65" s="78">
        <f>+INGEI_diffs!F53</f>
        <v>1034.3</v>
      </c>
      <c r="G65" s="78">
        <f>+INGEI_diffs!G53</f>
        <v>551.79999999999995</v>
      </c>
      <c r="H65" s="78">
        <f>+INGEI_diffs!H53</f>
        <v>69.2</v>
      </c>
      <c r="I65" s="78">
        <f>+INGEI_diffs!I53</f>
        <v>1691.4</v>
      </c>
      <c r="J65" s="78">
        <f>+INGEI_diffs!J53</f>
        <v>3313.5</v>
      </c>
      <c r="K65" s="78">
        <f>+INGEI_diffs!K53</f>
        <v>1577.6</v>
      </c>
      <c r="L65" s="78">
        <f>+INGEI_diffs!L53</f>
        <v>1577.6</v>
      </c>
      <c r="M65" s="78">
        <f>+INGEI_diffs!M53</f>
        <v>442.1</v>
      </c>
      <c r="N65" s="78">
        <f>+INGEI_diffs!N53</f>
        <v>442.1</v>
      </c>
    </row>
    <row r="68" spans="2:14" x14ac:dyDescent="0.25">
      <c r="B68" s="424">
        <v>1034.3599999999999</v>
      </c>
      <c r="C68" s="424">
        <v>1034.3599999999999</v>
      </c>
      <c r="D68" s="424">
        <v>1034.3599999999999</v>
      </c>
      <c r="E68" s="424">
        <v>1034.3599999999999</v>
      </c>
      <c r="F68" s="424">
        <v>1034.3599999999999</v>
      </c>
      <c r="G68" s="424">
        <v>551.85699999999997</v>
      </c>
      <c r="H68" s="424">
        <v>69.292199999999994</v>
      </c>
      <c r="I68" s="424">
        <v>0</v>
      </c>
      <c r="J68" s="424">
        <v>0</v>
      </c>
      <c r="K68" s="424">
        <v>0</v>
      </c>
      <c r="L68" s="424">
        <v>0</v>
      </c>
      <c r="M68" s="424">
        <v>0</v>
      </c>
      <c r="N68" s="424">
        <v>0</v>
      </c>
    </row>
    <row r="69" spans="2:14" x14ac:dyDescent="0.25">
      <c r="B69" s="424">
        <v>-1.3305900000000001E-2</v>
      </c>
      <c r="C69" s="424">
        <v>-1.3305900000000001E-2</v>
      </c>
      <c r="D69" s="424">
        <v>-1.3305900000000001E-2</v>
      </c>
      <c r="E69" s="424">
        <v>-1.3305900000000001E-2</v>
      </c>
      <c r="F69" s="424">
        <v>-1.3305900000000001E-2</v>
      </c>
      <c r="G69" s="424">
        <v>-1.32725E-2</v>
      </c>
      <c r="H69" s="424">
        <v>-1.53679E-2</v>
      </c>
      <c r="I69" s="424">
        <v>-2.28037E-2</v>
      </c>
      <c r="J69" s="424">
        <v>-7.2233599999999995E-2</v>
      </c>
      <c r="K69" s="424">
        <v>-1.4604300000000001E-2</v>
      </c>
      <c r="L69" s="424">
        <v>-1.4604300000000001E-2</v>
      </c>
      <c r="M69" s="424">
        <v>-1.4124100000000001E-2</v>
      </c>
      <c r="N69" s="424">
        <v>-1.4124100000000001E-2</v>
      </c>
    </row>
    <row r="70" spans="2:14" x14ac:dyDescent="0.25">
      <c r="B70" s="424">
        <v>-1.469E-2</v>
      </c>
      <c r="C70" s="424">
        <v>-1.469E-2</v>
      </c>
      <c r="D70" s="424">
        <v>-1.469E-2</v>
      </c>
      <c r="E70" s="424">
        <v>-1.469E-2</v>
      </c>
      <c r="F70" s="424">
        <v>-1.469E-2</v>
      </c>
      <c r="G70" s="424">
        <v>-1.4717900000000001E-2</v>
      </c>
      <c r="H70" s="424">
        <v>-1.4787399999999999E-2</v>
      </c>
      <c r="I70" s="424">
        <v>-1.7740700000000002E-2</v>
      </c>
      <c r="J70" s="424">
        <v>-9.9446999999999994E-2</v>
      </c>
      <c r="K70" s="424">
        <v>-1.46573E-2</v>
      </c>
      <c r="L70" s="424">
        <v>-1.46573E-2</v>
      </c>
      <c r="M70" s="424">
        <v>-1.4745299999999999E-2</v>
      </c>
      <c r="N70" s="424">
        <v>-1.4745299999999999E-2</v>
      </c>
    </row>
    <row r="71" spans="2:14" x14ac:dyDescent="0.25">
      <c r="B71" s="424">
        <v>-1.4748799999999999E-2</v>
      </c>
      <c r="C71" s="424">
        <v>-1.4748799999999999E-2</v>
      </c>
      <c r="D71" s="424">
        <v>-1.4748799999999999E-2</v>
      </c>
      <c r="E71" s="424">
        <v>-1.4748799999999999E-2</v>
      </c>
      <c r="F71" s="424">
        <v>-1.4748799999999999E-2</v>
      </c>
      <c r="G71" s="424">
        <v>-1.4627899999999999E-2</v>
      </c>
      <c r="H71" s="424">
        <v>-1.46503E-2</v>
      </c>
      <c r="I71" s="424">
        <v>-2.3595399999999999E-2</v>
      </c>
      <c r="J71" s="424">
        <v>-0.13022</v>
      </c>
      <c r="K71" s="424">
        <v>-1.46506E-2</v>
      </c>
      <c r="L71" s="424">
        <v>-1.46506E-2</v>
      </c>
      <c r="M71" s="424">
        <v>-1.47659E-2</v>
      </c>
      <c r="N71" s="424">
        <v>-1.47659E-2</v>
      </c>
    </row>
    <row r="72" spans="2:14" x14ac:dyDescent="0.25">
      <c r="B72" s="424">
        <v>0</v>
      </c>
      <c r="C72" s="424">
        <v>0</v>
      </c>
      <c r="D72" s="424">
        <v>0</v>
      </c>
      <c r="E72" s="424">
        <v>0</v>
      </c>
      <c r="F72" s="424">
        <v>0</v>
      </c>
      <c r="G72" s="424">
        <v>0</v>
      </c>
      <c r="H72" s="424">
        <v>0</v>
      </c>
      <c r="I72" s="424">
        <v>4.1537600000000001</v>
      </c>
      <c r="J72" s="424">
        <v>8.1373899999999999</v>
      </c>
      <c r="K72" s="424">
        <v>3.8764500000000002</v>
      </c>
      <c r="L72" s="424">
        <v>3.8764500000000002</v>
      </c>
      <c r="M72" s="424">
        <v>1.41276</v>
      </c>
      <c r="N72" s="424">
        <v>1.41276</v>
      </c>
    </row>
    <row r="73" spans="2:14" x14ac:dyDescent="0.25">
      <c r="B73" s="424">
        <v>0</v>
      </c>
      <c r="C73" s="424">
        <v>0</v>
      </c>
      <c r="D73" s="424">
        <v>0</v>
      </c>
      <c r="E73" s="424">
        <v>0</v>
      </c>
      <c r="F73" s="424">
        <v>0</v>
      </c>
      <c r="G73" s="424">
        <v>0</v>
      </c>
      <c r="H73" s="424">
        <v>0</v>
      </c>
      <c r="I73" s="424">
        <v>40.492899999999999</v>
      </c>
      <c r="J73" s="424">
        <v>79.327200000000005</v>
      </c>
      <c r="K73" s="424">
        <v>37.849899999999998</v>
      </c>
      <c r="L73" s="424">
        <v>37.849899999999998</v>
      </c>
      <c r="M73" s="424">
        <v>11.1774</v>
      </c>
      <c r="N73" s="424">
        <v>11.1774</v>
      </c>
    </row>
    <row r="74" spans="2:14" x14ac:dyDescent="0.25">
      <c r="B74" s="424">
        <v>0</v>
      </c>
      <c r="C74" s="424">
        <v>0</v>
      </c>
      <c r="D74" s="424">
        <v>0</v>
      </c>
      <c r="E74" s="424">
        <v>0</v>
      </c>
      <c r="F74" s="424">
        <v>0</v>
      </c>
      <c r="G74" s="424">
        <v>0</v>
      </c>
      <c r="H74" s="424">
        <v>0</v>
      </c>
      <c r="I74" s="424">
        <v>387.54899999999998</v>
      </c>
      <c r="J74" s="424">
        <v>759.22400000000005</v>
      </c>
      <c r="K74" s="424">
        <v>360.96300000000002</v>
      </c>
      <c r="L74" s="424">
        <v>360.96300000000002</v>
      </c>
      <c r="M74" s="424">
        <v>106.705</v>
      </c>
      <c r="N74" s="424">
        <v>106.705</v>
      </c>
    </row>
    <row r="75" spans="2:14" x14ac:dyDescent="0.25">
      <c r="B75" s="424">
        <v>0</v>
      </c>
      <c r="C75" s="424">
        <v>0</v>
      </c>
      <c r="D75" s="424">
        <v>0</v>
      </c>
      <c r="E75" s="424">
        <v>0</v>
      </c>
      <c r="F75" s="424">
        <v>0</v>
      </c>
      <c r="G75" s="424">
        <v>0</v>
      </c>
      <c r="H75" s="424">
        <v>0</v>
      </c>
      <c r="I75" s="424">
        <v>157.24700000000001</v>
      </c>
      <c r="J75" s="424">
        <v>308.05399999999997</v>
      </c>
      <c r="K75" s="424">
        <v>146.828</v>
      </c>
      <c r="L75" s="424">
        <v>146.828</v>
      </c>
      <c r="M75" s="424">
        <v>43.590800000000002</v>
      </c>
      <c r="N75" s="424">
        <v>43.590800000000002</v>
      </c>
    </row>
    <row r="76" spans="2:14" x14ac:dyDescent="0.25">
      <c r="B76" s="424">
        <v>0</v>
      </c>
      <c r="C76" s="424">
        <v>0</v>
      </c>
      <c r="D76" s="424">
        <v>0</v>
      </c>
      <c r="E76" s="424">
        <v>0</v>
      </c>
      <c r="F76" s="424">
        <v>0</v>
      </c>
      <c r="G76" s="424">
        <v>0</v>
      </c>
      <c r="H76" s="424">
        <v>0</v>
      </c>
      <c r="I76" s="424">
        <v>108.31100000000001</v>
      </c>
      <c r="J76" s="424">
        <v>212.18600000000001</v>
      </c>
      <c r="K76" s="424">
        <v>101.054</v>
      </c>
      <c r="L76" s="424">
        <v>101.054</v>
      </c>
      <c r="M76" s="424">
        <v>29.572600000000001</v>
      </c>
      <c r="N76" s="424">
        <v>29.572600000000001</v>
      </c>
    </row>
    <row r="77" spans="2:14" x14ac:dyDescent="0.25">
      <c r="B77" s="424">
        <v>0</v>
      </c>
      <c r="C77" s="424">
        <v>0</v>
      </c>
      <c r="D77" s="424">
        <v>0</v>
      </c>
      <c r="E77" s="424">
        <v>0</v>
      </c>
      <c r="F77" s="424">
        <v>0</v>
      </c>
      <c r="G77" s="424">
        <v>0</v>
      </c>
      <c r="H77" s="424">
        <v>0</v>
      </c>
      <c r="I77" s="424">
        <v>800.54300000000001</v>
      </c>
      <c r="J77" s="424">
        <v>1568.3</v>
      </c>
      <c r="K77" s="424">
        <v>739.93600000000004</v>
      </c>
      <c r="L77" s="424">
        <v>739.93600000000004</v>
      </c>
      <c r="M77" s="424">
        <v>221.6</v>
      </c>
      <c r="N77" s="424">
        <v>221.6</v>
      </c>
    </row>
    <row r="78" spans="2:14" x14ac:dyDescent="0.25">
      <c r="B78" s="424">
        <v>0</v>
      </c>
      <c r="C78" s="424">
        <v>0</v>
      </c>
      <c r="D78" s="424">
        <v>0</v>
      </c>
      <c r="E78" s="424">
        <v>0</v>
      </c>
      <c r="F78" s="424">
        <v>0</v>
      </c>
      <c r="G78" s="424">
        <v>0</v>
      </c>
      <c r="H78" s="424">
        <v>0</v>
      </c>
      <c r="I78" s="424">
        <v>87.597700000000003</v>
      </c>
      <c r="J78" s="424">
        <v>171.608</v>
      </c>
      <c r="K78" s="424">
        <v>81.927599999999998</v>
      </c>
      <c r="L78" s="424">
        <v>81.927599999999998</v>
      </c>
      <c r="M78" s="424">
        <v>23.994700000000002</v>
      </c>
      <c r="N78" s="424">
        <v>23.994700000000002</v>
      </c>
    </row>
    <row r="79" spans="2:14" x14ac:dyDescent="0.25">
      <c r="B79" s="424">
        <v>0</v>
      </c>
      <c r="C79" s="424">
        <v>0</v>
      </c>
      <c r="D79" s="424">
        <v>0</v>
      </c>
      <c r="E79" s="424">
        <v>0</v>
      </c>
      <c r="F79" s="424">
        <v>0</v>
      </c>
      <c r="G79" s="424">
        <v>0</v>
      </c>
      <c r="H79" s="424">
        <v>0</v>
      </c>
      <c r="I79" s="424">
        <v>22.448599999999999</v>
      </c>
      <c r="J79" s="424">
        <v>43.977699999999999</v>
      </c>
      <c r="K79" s="424">
        <v>20.412500000000001</v>
      </c>
      <c r="L79" s="424">
        <v>20.412500000000001</v>
      </c>
      <c r="M79" s="424">
        <v>6.03301</v>
      </c>
      <c r="N79" s="424">
        <v>6.03301</v>
      </c>
    </row>
    <row r="80" spans="2:14" x14ac:dyDescent="0.25">
      <c r="B80" s="424">
        <v>0</v>
      </c>
      <c r="C80" s="424">
        <v>0</v>
      </c>
      <c r="D80" s="424">
        <v>0</v>
      </c>
      <c r="E80" s="424">
        <v>0</v>
      </c>
      <c r="F80" s="424">
        <v>0</v>
      </c>
      <c r="G80" s="424">
        <v>0</v>
      </c>
      <c r="H80" s="424">
        <v>0</v>
      </c>
      <c r="I80" s="424">
        <v>104.039</v>
      </c>
      <c r="J80" s="424">
        <v>203.81700000000001</v>
      </c>
      <c r="K80" s="424">
        <v>86.786199999999994</v>
      </c>
      <c r="L80" s="424">
        <v>86.786199999999994</v>
      </c>
      <c r="M80" s="424">
        <v>0</v>
      </c>
      <c r="N80" s="424">
        <v>0</v>
      </c>
    </row>
    <row r="83" spans="2:14" x14ac:dyDescent="0.25">
      <c r="B83" s="161">
        <f>+B46-B68</f>
        <v>-7.2520366666140035E-3</v>
      </c>
      <c r="C83" s="161">
        <f t="shared" ref="C83:N83" si="45">+C46-C68</f>
        <v>-7.2520366666140035E-3</v>
      </c>
      <c r="D83" s="161">
        <f t="shared" si="45"/>
        <v>-7.2520366666140035E-3</v>
      </c>
      <c r="E83" s="161">
        <f t="shared" si="45"/>
        <v>-7.2520366666140035E-3</v>
      </c>
      <c r="F83" s="161">
        <f t="shared" si="45"/>
        <v>-7.2520366666140035E-3</v>
      </c>
      <c r="G83" s="161">
        <f t="shared" si="45"/>
        <v>-2.5020546666610244E-2</v>
      </c>
      <c r="H83" s="161">
        <f t="shared" si="45"/>
        <v>1.9010943333341856E-2</v>
      </c>
      <c r="I83" s="161">
        <f t="shared" si="45"/>
        <v>91.294459513923584</v>
      </c>
      <c r="J83" s="161">
        <f t="shared" si="45"/>
        <v>178.84977202798291</v>
      </c>
      <c r="K83" s="161">
        <f t="shared" si="45"/>
        <v>0</v>
      </c>
      <c r="L83" s="161">
        <f t="shared" si="45"/>
        <v>0</v>
      </c>
      <c r="M83" s="161">
        <f t="shared" si="45"/>
        <v>1.1443361730862307</v>
      </c>
      <c r="N83" s="161">
        <f t="shared" si="45"/>
        <v>1.1443361730862307</v>
      </c>
    </row>
    <row r="85" spans="2:14" ht="15.75" x14ac:dyDescent="0.25">
      <c r="H85" s="502" t="s">
        <v>18</v>
      </c>
      <c r="I85" s="602">
        <f t="shared" ref="I85:I93" si="46">+I36-I72</f>
        <v>-5.7718831227902001E-3</v>
      </c>
      <c r="J85" s="602">
        <f t="shared" ref="J85:N85" si="47">+J36-J72</f>
        <v>-1.1302907440700949E-2</v>
      </c>
      <c r="K85" s="602">
        <f t="shared" si="47"/>
        <v>-9.6947209353404062E-3</v>
      </c>
      <c r="L85" s="602">
        <f t="shared" si="47"/>
        <v>-9.6947209353404062E-3</v>
      </c>
      <c r="M85" s="602">
        <f t="shared" si="47"/>
        <v>-1.41276</v>
      </c>
      <c r="N85" s="602">
        <f t="shared" si="47"/>
        <v>-1.41276</v>
      </c>
    </row>
    <row r="86" spans="2:14" ht="15.75" x14ac:dyDescent="0.25">
      <c r="H86" s="502" t="s">
        <v>20</v>
      </c>
      <c r="I86" s="602">
        <f t="shared" si="46"/>
        <v>1.2974953823643887E-2</v>
      </c>
      <c r="J86" s="602">
        <f t="shared" ref="J86:N89" si="48">+J37-J73</f>
        <v>2.5550866337866296E-2</v>
      </c>
      <c r="K86" s="602">
        <f t="shared" si="48"/>
        <v>-9.0315980568000498E-2</v>
      </c>
      <c r="L86" s="602">
        <f t="shared" si="48"/>
        <v>-9.0315980568000498E-2</v>
      </c>
      <c r="M86" s="602">
        <f t="shared" si="48"/>
        <v>-2.7445704033546292E-3</v>
      </c>
      <c r="N86" s="602">
        <f t="shared" si="48"/>
        <v>-2.7445704033546292E-3</v>
      </c>
    </row>
    <row r="87" spans="2:14" ht="15.75" x14ac:dyDescent="0.25">
      <c r="H87" s="502" t="s">
        <v>21</v>
      </c>
      <c r="I87" s="602">
        <f t="shared" si="46"/>
        <v>-0.22786180043033255</v>
      </c>
      <c r="J87" s="602">
        <f t="shared" si="48"/>
        <v>-0.44523470102774354</v>
      </c>
      <c r="K87" s="602">
        <f t="shared" si="48"/>
        <v>9.7835669422181581E-2</v>
      </c>
      <c r="L87" s="602">
        <f t="shared" si="48"/>
        <v>9.7835669422181581E-2</v>
      </c>
      <c r="M87" s="602">
        <f t="shared" si="48"/>
        <v>0.14814821401742506</v>
      </c>
      <c r="N87" s="602">
        <f t="shared" si="48"/>
        <v>0.14814821401742506</v>
      </c>
    </row>
    <row r="88" spans="2:14" ht="15.75" x14ac:dyDescent="0.25">
      <c r="H88" s="502" t="s">
        <v>22</v>
      </c>
      <c r="I88" s="602">
        <f t="shared" si="46"/>
        <v>0.19654493378723714</v>
      </c>
      <c r="J88" s="602">
        <f t="shared" si="48"/>
        <v>0.38467490546662475</v>
      </c>
      <c r="K88" s="602">
        <f t="shared" si="48"/>
        <v>-5.9098698107106884E-2</v>
      </c>
      <c r="L88" s="602">
        <f t="shared" si="48"/>
        <v>-5.9098698107106884E-2</v>
      </c>
      <c r="M88" s="602">
        <f t="shared" si="48"/>
        <v>-0.15568432221339634</v>
      </c>
      <c r="N88" s="602">
        <f t="shared" si="48"/>
        <v>-0.15568432221339634</v>
      </c>
    </row>
    <row r="89" spans="2:14" ht="15.75" x14ac:dyDescent="0.25">
      <c r="H89" s="502" t="s">
        <v>23</v>
      </c>
      <c r="I89" s="602">
        <f t="shared" si="46"/>
        <v>0.11629252438483206</v>
      </c>
      <c r="J89" s="602">
        <f t="shared" si="48"/>
        <v>0.2277286407846475</v>
      </c>
      <c r="K89" s="602">
        <f t="shared" si="48"/>
        <v>2.1941866244318931E-2</v>
      </c>
      <c r="L89" s="602">
        <f t="shared" si="48"/>
        <v>2.1941866244318931E-2</v>
      </c>
      <c r="M89" s="602">
        <f t="shared" si="48"/>
        <v>0.34003945058186602</v>
      </c>
      <c r="N89" s="602">
        <f t="shared" si="48"/>
        <v>0.34003945058186602</v>
      </c>
    </row>
    <row r="90" spans="2:14" ht="15.75" x14ac:dyDescent="0.25">
      <c r="H90" s="502" t="s">
        <v>24</v>
      </c>
      <c r="I90" s="602">
        <f t="shared" si="46"/>
        <v>-7.1265955916800294</v>
      </c>
      <c r="J90" s="602">
        <f t="shared" ref="J90:N90" si="49">+J41-J77</f>
        <v>-13.963145307869354</v>
      </c>
      <c r="K90" s="602">
        <f t="shared" si="49"/>
        <v>-0.31308310696442732</v>
      </c>
      <c r="L90" s="602">
        <f t="shared" si="49"/>
        <v>-0.31308310696442732</v>
      </c>
      <c r="M90" s="602">
        <f t="shared" si="49"/>
        <v>-2.714345966854836</v>
      </c>
      <c r="N90" s="602">
        <f t="shared" si="49"/>
        <v>-2.714345966854836</v>
      </c>
    </row>
    <row r="91" spans="2:14" ht="15.75" x14ac:dyDescent="0.25">
      <c r="H91" s="502" t="s">
        <v>25</v>
      </c>
      <c r="I91" s="602">
        <f t="shared" si="46"/>
        <v>0.30663299039395042</v>
      </c>
      <c r="J91" s="602">
        <f t="shared" ref="J91:N92" si="50">+J42-J78</f>
        <v>0.60036838632154854</v>
      </c>
      <c r="K91" s="602">
        <f t="shared" si="50"/>
        <v>1.6835245672496058E-2</v>
      </c>
      <c r="L91" s="602">
        <f t="shared" si="50"/>
        <v>1.6835245672496058E-2</v>
      </c>
      <c r="M91" s="602">
        <f t="shared" si="50"/>
        <v>0.25611875298316278</v>
      </c>
      <c r="N91" s="602">
        <f t="shared" si="50"/>
        <v>0.25611875298316278</v>
      </c>
    </row>
    <row r="92" spans="2:14" ht="15.75" x14ac:dyDescent="0.25">
      <c r="H92" s="502" t="s">
        <v>26</v>
      </c>
      <c r="I92" s="602">
        <f t="shared" si="46"/>
        <v>-0.61737177524675246</v>
      </c>
      <c r="J92" s="602">
        <f t="shared" si="50"/>
        <v>-1.2093851222225709</v>
      </c>
      <c r="K92" s="602">
        <f t="shared" si="50"/>
        <v>-6.1425067296930536E-2</v>
      </c>
      <c r="L92" s="602">
        <f t="shared" si="50"/>
        <v>-6.1425067296930536E-2</v>
      </c>
      <c r="M92" s="602">
        <f t="shared" si="50"/>
        <v>-1.0267538699985757E-2</v>
      </c>
      <c r="N92" s="602">
        <f t="shared" si="50"/>
        <v>-1.0267538699985757E-2</v>
      </c>
    </row>
    <row r="93" spans="2:14" ht="15.75" x14ac:dyDescent="0.25">
      <c r="H93" s="502" t="s">
        <v>27</v>
      </c>
      <c r="I93" s="602">
        <f t="shared" si="46"/>
        <v>-104.039</v>
      </c>
      <c r="J93" s="602">
        <f t="shared" ref="J93:N93" si="51">+J44-J80</f>
        <v>-203.81700000000001</v>
      </c>
      <c r="K93" s="602">
        <f t="shared" si="51"/>
        <v>-1.6814881908006782</v>
      </c>
      <c r="L93" s="602">
        <f t="shared" si="51"/>
        <v>-1.6814881908006782</v>
      </c>
      <c r="M93" s="602">
        <f t="shared" si="51"/>
        <v>25.186078040836225</v>
      </c>
      <c r="N93" s="602">
        <f t="shared" si="51"/>
        <v>25.186078040836225</v>
      </c>
    </row>
    <row r="94" spans="2:14" x14ac:dyDescent="0.25">
      <c r="I94" s="602"/>
    </row>
    <row r="95" spans="2:14" x14ac:dyDescent="0.25">
      <c r="I95" s="602"/>
    </row>
    <row r="96" spans="2:14" x14ac:dyDescent="0.25">
      <c r="I96" s="602"/>
    </row>
    <row r="97" spans="9:9" x14ac:dyDescent="0.25">
      <c r="I97" s="60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4ADF-6BEC-4893-A987-DEEF307C30B1}">
  <dimension ref="A1:AA187"/>
  <sheetViews>
    <sheetView workbookViewId="0">
      <selection activeCell="C162" sqref="C162"/>
    </sheetView>
  </sheetViews>
  <sheetFormatPr defaultColWidth="10.85546875" defaultRowHeight="15" x14ac:dyDescent="0.25"/>
  <cols>
    <col min="1" max="1" width="33" customWidth="1"/>
    <col min="2" max="2" width="13.85546875" customWidth="1"/>
    <col min="3" max="3" width="13.28515625" customWidth="1"/>
    <col min="4" max="4" width="13.140625" customWidth="1"/>
    <col min="5" max="5" width="13.28515625" customWidth="1"/>
    <col min="6" max="6" width="13.85546875" customWidth="1"/>
    <col min="7" max="7" width="14.42578125" customWidth="1"/>
    <col min="8" max="8" width="16.42578125" customWidth="1"/>
    <col min="9" max="10" width="13.85546875" customWidth="1"/>
    <col min="11" max="12" width="13" customWidth="1"/>
    <col min="13" max="13" width="13.140625" customWidth="1"/>
    <col min="14" max="14" width="13" customWidth="1"/>
    <col min="16" max="17" width="21.42578125" bestFit="1" customWidth="1"/>
    <col min="18" max="21" width="20.28515625" bestFit="1" customWidth="1"/>
  </cols>
  <sheetData>
    <row r="1" spans="1:21" x14ac:dyDescent="0.25">
      <c r="A1" s="73" t="s">
        <v>480</v>
      </c>
      <c r="B1">
        <f>INGEI_diffs!C4/1000</f>
        <v>-260.98833777499993</v>
      </c>
      <c r="C1">
        <f>INGEI_diffs!D4/1000</f>
        <v>-260.98833777499993</v>
      </c>
      <c r="D1">
        <f>INGEI_diffs!E4/1000</f>
        <v>-260.98833777499993</v>
      </c>
      <c r="E1">
        <f>INGEI_diffs!F4/1000</f>
        <v>-260.98833777499993</v>
      </c>
      <c r="F1">
        <f>INGEI_diffs!G4/1000</f>
        <v>-260.98833777499993</v>
      </c>
      <c r="G1">
        <f>INGEI_diffs!H4/1000</f>
        <v>-184.46662315491662</v>
      </c>
      <c r="H1">
        <f>INGEI_diffs!I4/1000</f>
        <v>-107.94490853483332</v>
      </c>
      <c r="I1">
        <f>INGEI_diffs!J4/1000</f>
        <v>-142.69569859875</v>
      </c>
      <c r="J1">
        <f>INGEI_diffs!K4/1000</f>
        <v>-177.4464886626667</v>
      </c>
      <c r="K1">
        <f>INGEI_diffs!L4/1000</f>
        <v>-39.273680204916658</v>
      </c>
      <c r="L1">
        <f>INGEI_diffs!M4/1000</f>
        <v>-39.273680204916658</v>
      </c>
      <c r="M1">
        <f>INGEI_diffs!N4/1000</f>
        <v>-47.77441962975</v>
      </c>
      <c r="N1">
        <f>INGEI_diffs!O4/1000</f>
        <v>-47.77441962975</v>
      </c>
    </row>
    <row r="2" spans="1:21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21" ht="15.75" x14ac:dyDescent="0.25">
      <c r="A3" s="502" t="s">
        <v>18</v>
      </c>
      <c r="B3" s="75">
        <f>+'5ta'!$R87*'Emisiones Tierras forestales'!B$1</f>
        <v>-0.63971014159293171</v>
      </c>
      <c r="C3" s="75">
        <f>+'5ta'!$R87*'Emisiones Tierras forestales'!C$1</f>
        <v>-0.63971014159293171</v>
      </c>
      <c r="D3" s="75">
        <f>+'5ta'!$R87*'Emisiones Tierras forestales'!D$1</f>
        <v>-0.63971014159293171</v>
      </c>
      <c r="E3" s="75">
        <f>+'5ta'!$R87*'Emisiones Tierras forestales'!E$1</f>
        <v>-0.63971014159293171</v>
      </c>
      <c r="F3" s="75">
        <f>+'5ta'!$R87*'Emisiones Tierras forestales'!F$1</f>
        <v>-0.63971014159293171</v>
      </c>
      <c r="G3" s="75">
        <f>+'5ta'!$R87*'Emisiones Tierras forestales'!G$1</f>
        <v>-0.4521472898890021</v>
      </c>
      <c r="H3" s="75">
        <f>+'5ta'!$R87*'Emisiones Tierras forestales'!H$1</f>
        <v>-0.26458443818507249</v>
      </c>
      <c r="I3" s="75">
        <f>+'5ta'!$R87*'Emisiones Tierras forestales'!I$1</f>
        <v>-0.34976231633003163</v>
      </c>
      <c r="J3" s="75">
        <f>+'5ta'!$R87*'Emisiones Tierras forestales'!J$1</f>
        <v>-0.43494019447499083</v>
      </c>
      <c r="K3" s="75">
        <f>+'5ta'!$R87*'Emisiones Tierras forestales'!K$1</f>
        <v>-9.6263962363031544E-2</v>
      </c>
      <c r="L3" s="75">
        <f>+'5ta'!$R87*'Emisiones Tierras forestales'!L$1</f>
        <v>-9.6263962363031544E-2</v>
      </c>
      <c r="M3" s="75">
        <f>+'5ta'!$R87*'Emisiones Tierras forestales'!M$1</f>
        <v>-0.11710017775665922</v>
      </c>
      <c r="N3" s="75">
        <f>+'5ta'!$R87*'Emisiones Tierras forestales'!N$1</f>
        <v>-0.11710017775665922</v>
      </c>
      <c r="P3" s="524"/>
      <c r="Q3" s="524"/>
      <c r="R3" s="524"/>
      <c r="S3" s="524"/>
      <c r="T3" s="524"/>
      <c r="U3" s="524"/>
    </row>
    <row r="4" spans="1:21" ht="15.75" x14ac:dyDescent="0.25">
      <c r="A4" s="502" t="s">
        <v>20</v>
      </c>
      <c r="B4" s="75">
        <f>+'5ta'!$R88*'Emisiones Tierras forestales'!B$1</f>
        <v>-6.2468884364991446</v>
      </c>
      <c r="C4" s="75">
        <f>+'5ta'!$R88*'Emisiones Tierras forestales'!C$1</f>
        <v>-6.2468884364991446</v>
      </c>
      <c r="D4" s="75">
        <f>+'5ta'!$R88*'Emisiones Tierras forestales'!D$1</f>
        <v>-6.2468884364991446</v>
      </c>
      <c r="E4" s="75">
        <f>+'5ta'!$R88*'Emisiones Tierras forestales'!E$1</f>
        <v>-6.2468884364991446</v>
      </c>
      <c r="F4" s="75">
        <f>+'5ta'!$R88*'Emisiones Tierras forestales'!F$1</f>
        <v>-6.2468884364991446</v>
      </c>
      <c r="G4" s="75">
        <f>+'5ta'!$R88*'Emisiones Tierras forestales'!G$1</f>
        <v>-4.4153023270332383</v>
      </c>
      <c r="H4" s="75">
        <f>+'5ta'!$R88*'Emisiones Tierras forestales'!H$1</f>
        <v>-2.5837162175673321</v>
      </c>
      <c r="I4" s="75">
        <f>+'5ta'!$R88*'Emisiones Tierras forestales'!I$1</f>
        <v>-3.4154940297875873</v>
      </c>
      <c r="J4" s="75">
        <f>+'5ta'!$R88*'Emisiones Tierras forestales'!J$1</f>
        <v>-4.2472718420078435</v>
      </c>
      <c r="K4" s="75">
        <f>+'5ta'!$R88*'Emisiones Tierras forestales'!K$1</f>
        <v>-0.94003548519615188</v>
      </c>
      <c r="L4" s="75">
        <f>+'5ta'!$R88*'Emisiones Tierras forestales'!L$1</f>
        <v>-0.94003548519615188</v>
      </c>
      <c r="M4" s="75">
        <f>+'5ta'!$R88*'Emisiones Tierras forestales'!M$1</f>
        <v>-1.1435050013722519</v>
      </c>
      <c r="N4" s="75">
        <f>+'5ta'!$R88*'Emisiones Tierras forestales'!N$1</f>
        <v>-1.1435050013722519</v>
      </c>
      <c r="P4" s="524"/>
      <c r="Q4" s="524"/>
      <c r="R4" s="524"/>
      <c r="S4" s="524"/>
      <c r="T4" s="524"/>
      <c r="U4" s="524"/>
    </row>
    <row r="5" spans="1:21" ht="15.75" x14ac:dyDescent="0.25">
      <c r="A5" s="502" t="s">
        <v>21</v>
      </c>
      <c r="B5" s="75">
        <f>+'5ta'!$R89*'Emisiones Tierras forestales'!B$1</f>
        <v>-59.733358239733072</v>
      </c>
      <c r="C5" s="75">
        <f>+'5ta'!$R89*'Emisiones Tierras forestales'!C$1</f>
        <v>-59.733358239733072</v>
      </c>
      <c r="D5" s="75">
        <f>+'5ta'!$R89*'Emisiones Tierras forestales'!D$1</f>
        <v>-59.733358239733072</v>
      </c>
      <c r="E5" s="75">
        <f>+'5ta'!$R89*'Emisiones Tierras forestales'!E$1</f>
        <v>-59.733358239733072</v>
      </c>
      <c r="F5" s="75">
        <f>+'5ta'!$R89*'Emisiones Tierras forestales'!F$1</f>
        <v>-59.733358239733072</v>
      </c>
      <c r="G5" s="75">
        <f>+'5ta'!$R89*'Emisiones Tierras forestales'!G$1</f>
        <v>-42.219552713063663</v>
      </c>
      <c r="H5" s="75">
        <f>+'5ta'!$R89*'Emisiones Tierras forestales'!H$1</f>
        <v>-24.705747186394255</v>
      </c>
      <c r="I5" s="75">
        <f>+'5ta'!$R89*'Emisiones Tierras forestales'!I$1</f>
        <v>-32.659287983267866</v>
      </c>
      <c r="J5" s="75">
        <f>+'5ta'!$R89*'Emisiones Tierras forestales'!J$1</f>
        <v>-40.612828780141477</v>
      </c>
      <c r="K5" s="75">
        <f>+'5ta'!$R89*'Emisiones Tierras forestales'!K$1</f>
        <v>-8.9887112545828032</v>
      </c>
      <c r="L5" s="75">
        <f>+'5ta'!$R89*'Emisiones Tierras forestales'!L$1</f>
        <v>-8.9887112545828032</v>
      </c>
      <c r="M5" s="75">
        <f>+'5ta'!$R89*'Emisiones Tierras forestales'!M$1</f>
        <v>-10.934306669669709</v>
      </c>
      <c r="N5" s="75">
        <f>+'5ta'!$R89*'Emisiones Tierras forestales'!N$1</f>
        <v>-10.934306669669709</v>
      </c>
      <c r="P5" s="524"/>
      <c r="Q5" s="524"/>
      <c r="R5" s="524"/>
      <c r="S5" s="524"/>
      <c r="T5" s="524"/>
      <c r="U5" s="524"/>
    </row>
    <row r="6" spans="1:21" ht="15.75" x14ac:dyDescent="0.25">
      <c r="A6" s="502" t="s">
        <v>22</v>
      </c>
      <c r="B6" s="75">
        <f>+'5ta'!$R90*'Emisiones Tierras forestales'!B$1</f>
        <v>-24.281224917855194</v>
      </c>
      <c r="C6" s="75">
        <f>+'5ta'!$R90*'Emisiones Tierras forestales'!C$1</f>
        <v>-24.281224917855194</v>
      </c>
      <c r="D6" s="75">
        <f>+'5ta'!$R90*'Emisiones Tierras forestales'!D$1</f>
        <v>-24.281224917855194</v>
      </c>
      <c r="E6" s="75">
        <f>+'5ta'!$R90*'Emisiones Tierras forestales'!E$1</f>
        <v>-24.281224917855194</v>
      </c>
      <c r="F6" s="75">
        <f>+'5ta'!$R90*'Emisiones Tierras forestales'!F$1</f>
        <v>-24.281224917855194</v>
      </c>
      <c r="G6" s="75">
        <f>+'5ta'!$R90*'Emisiones Tierras forestales'!G$1</f>
        <v>-17.161975913740676</v>
      </c>
      <c r="H6" s="75">
        <f>+'5ta'!$R90*'Emisiones Tierras forestales'!H$1</f>
        <v>-10.042726909626163</v>
      </c>
      <c r="I6" s="75">
        <f>+'5ta'!$R90*'Emisiones Tierras forestales'!I$1</f>
        <v>-13.275789953012293</v>
      </c>
      <c r="J6" s="75">
        <f>+'5ta'!$R90*'Emisiones Tierras forestales'!J$1</f>
        <v>-16.508852996398424</v>
      </c>
      <c r="K6" s="75">
        <f>+'5ta'!$R90*'Emisiones Tierras forestales'!K$1</f>
        <v>-3.6538531588703238</v>
      </c>
      <c r="L6" s="75">
        <f>+'5ta'!$R90*'Emisiones Tierras forestales'!L$1</f>
        <v>-3.6538531588703238</v>
      </c>
      <c r="M6" s="75">
        <f>+'5ta'!$R90*'Emisiones Tierras forestales'!M$1</f>
        <v>-4.4447251484088124</v>
      </c>
      <c r="N6" s="75">
        <f>+'5ta'!$R90*'Emisiones Tierras forestales'!N$1</f>
        <v>-4.4447251484088124</v>
      </c>
      <c r="P6" s="524"/>
      <c r="Q6" s="524"/>
      <c r="R6" s="524"/>
      <c r="S6" s="524"/>
      <c r="T6" s="524"/>
      <c r="U6" s="524"/>
    </row>
    <row r="7" spans="1:21" ht="15.75" x14ac:dyDescent="0.25">
      <c r="A7" s="502" t="s">
        <v>23</v>
      </c>
      <c r="B7" s="75">
        <f>+'5ta'!$R91*'Emisiones Tierras forestales'!B$1</f>
        <v>-16.721850858514824</v>
      </c>
      <c r="C7" s="75">
        <f>+'5ta'!$R91*'Emisiones Tierras forestales'!C$1</f>
        <v>-16.721850858514824</v>
      </c>
      <c r="D7" s="75">
        <f>+'5ta'!$R91*'Emisiones Tierras forestales'!D$1</f>
        <v>-16.721850858514824</v>
      </c>
      <c r="E7" s="75">
        <f>+'5ta'!$R91*'Emisiones Tierras forestales'!E$1</f>
        <v>-16.721850858514824</v>
      </c>
      <c r="F7" s="75">
        <f>+'5ta'!$R91*'Emisiones Tierras forestales'!F$1</f>
        <v>-16.721850858514824</v>
      </c>
      <c r="G7" s="75">
        <f>+'5ta'!$R91*'Emisiones Tierras forestales'!G$1</f>
        <v>-11.819008416497333</v>
      </c>
      <c r="H7" s="75">
        <f>+'5ta'!$R91*'Emisiones Tierras forestales'!H$1</f>
        <v>-6.916165974479842</v>
      </c>
      <c r="I7" s="75">
        <f>+'5ta'!$R91*'Emisiones Tierras forestales'!I$1</f>
        <v>-9.1426927749430185</v>
      </c>
      <c r="J7" s="75">
        <f>+'5ta'!$R91*'Emisiones Tierras forestales'!J$1</f>
        <v>-11.369219575406197</v>
      </c>
      <c r="K7" s="75">
        <f>+'5ta'!$R91*'Emisiones Tierras forestales'!K$1</f>
        <v>-2.5163140569820905</v>
      </c>
      <c r="L7" s="75">
        <f>+'5ta'!$R91*'Emisiones Tierras forestales'!L$1</f>
        <v>-2.5163140569820905</v>
      </c>
      <c r="M7" s="75">
        <f>+'5ta'!$R91*'Emisiones Tierras forestales'!M$1</f>
        <v>-3.0609671171954829</v>
      </c>
      <c r="N7" s="75">
        <f>+'5ta'!$R91*'Emisiones Tierras forestales'!N$1</f>
        <v>-3.0609671171954829</v>
      </c>
      <c r="P7" s="524"/>
      <c r="Q7" s="524"/>
      <c r="R7" s="524"/>
      <c r="S7" s="524"/>
      <c r="T7" s="524"/>
      <c r="U7" s="524"/>
    </row>
    <row r="8" spans="1:21" ht="15.75" x14ac:dyDescent="0.25">
      <c r="A8" s="502" t="s">
        <v>24</v>
      </c>
      <c r="B8" s="75">
        <f>+'5ta'!$R92*'Emisiones Tierras forestales'!B$1</f>
        <v>-122.3620960583446</v>
      </c>
      <c r="C8" s="75">
        <f>+'5ta'!$R92*'Emisiones Tierras forestales'!C$1</f>
        <v>-122.3620960583446</v>
      </c>
      <c r="D8" s="75">
        <f>+'5ta'!$R92*'Emisiones Tierras forestales'!D$1</f>
        <v>-122.3620960583446</v>
      </c>
      <c r="E8" s="75">
        <f>+'5ta'!$R92*'Emisiones Tierras forestales'!E$1</f>
        <v>-122.3620960583446</v>
      </c>
      <c r="F8" s="75">
        <f>+'5ta'!$R92*'Emisiones Tierras forestales'!F$1</f>
        <v>-122.3620960583446</v>
      </c>
      <c r="G8" s="75">
        <f>+'5ta'!$R92*'Emisiones Tierras forestales'!G$1</f>
        <v>-86.485560444848758</v>
      </c>
      <c r="H8" s="75">
        <f>+'5ta'!$R92*'Emisiones Tierras forestales'!H$1</f>
        <v>-50.609024831352926</v>
      </c>
      <c r="I8" s="75">
        <f>+'5ta'!$R92*'Emisiones Tierras forestales'!I$1</f>
        <v>-66.901628355921815</v>
      </c>
      <c r="J8" s="75">
        <f>+'5ta'!$R92*'Emisiones Tierras forestales'!J$1</f>
        <v>-83.194231880490719</v>
      </c>
      <c r="K8" s="75">
        <f>+'5ta'!$R92*'Emisiones Tierras forestales'!K$1</f>
        <v>-18.413120949265068</v>
      </c>
      <c r="L8" s="75">
        <f>+'5ta'!$R92*'Emisiones Tierras forestales'!L$1</f>
        <v>-18.413120949265068</v>
      </c>
      <c r="M8" s="75">
        <f>+'5ta'!$R92*'Emisiones Tierras forestales'!M$1</f>
        <v>-22.398618167018729</v>
      </c>
      <c r="N8" s="75">
        <f>+'5ta'!$R92*'Emisiones Tierras forestales'!N$1</f>
        <v>-22.398618167018729</v>
      </c>
      <c r="P8" s="524"/>
      <c r="Q8" s="524"/>
      <c r="R8" s="524"/>
      <c r="S8" s="524"/>
      <c r="T8" s="524"/>
      <c r="U8" s="524"/>
    </row>
    <row r="9" spans="1:21" ht="15.75" x14ac:dyDescent="0.25">
      <c r="A9" s="502" t="s">
        <v>25</v>
      </c>
      <c r="B9" s="75">
        <f>+'5ta'!$R93*'Emisiones Tierras forestales'!B$1</f>
        <v>-13.556763355978962</v>
      </c>
      <c r="C9" s="75">
        <f>+'5ta'!$R93*'Emisiones Tierras forestales'!C$1</f>
        <v>-13.556763355978962</v>
      </c>
      <c r="D9" s="75">
        <f>+'5ta'!$R93*'Emisiones Tierras forestales'!D$1</f>
        <v>-13.556763355978962</v>
      </c>
      <c r="E9" s="75">
        <f>+'5ta'!$R93*'Emisiones Tierras forestales'!E$1</f>
        <v>-13.556763355978962</v>
      </c>
      <c r="F9" s="75">
        <f>+'5ta'!$R93*'Emisiones Tierras forestales'!F$1</f>
        <v>-13.556763355978962</v>
      </c>
      <c r="G9" s="75">
        <f>+'5ta'!$R93*'Emisiones Tierras forestales'!G$1</f>
        <v>-9.5819237691137271</v>
      </c>
      <c r="H9" s="75">
        <f>+'5ta'!$R93*'Emisiones Tierras forestales'!H$1</f>
        <v>-5.6070841822484931</v>
      </c>
      <c r="I9" s="75">
        <f>+'5ta'!$R93*'Emisiones Tierras forestales'!I$1</f>
        <v>-7.4121772425214374</v>
      </c>
      <c r="J9" s="75">
        <f>+'5ta'!$R93*'Emisiones Tierras forestales'!J$1</f>
        <v>-9.2172703027943825</v>
      </c>
      <c r="K9" s="75">
        <f>+'5ta'!$R93*'Emisiones Tierras forestales'!K$1</f>
        <v>-2.0400298082110369</v>
      </c>
      <c r="L9" s="75">
        <f>+'5ta'!$R93*'Emisiones Tierras forestales'!L$1</f>
        <v>-2.0400298082110369</v>
      </c>
      <c r="M9" s="75">
        <f>+'5ta'!$R93*'Emisiones Tierras forestales'!M$1</f>
        <v>-2.4815917328387105</v>
      </c>
      <c r="N9" s="75">
        <f>+'5ta'!$R93*'Emisiones Tierras forestales'!N$1</f>
        <v>-2.4815917328387105</v>
      </c>
      <c r="P9" s="524"/>
      <c r="Q9" s="524"/>
      <c r="R9" s="524"/>
      <c r="S9" s="524"/>
      <c r="T9" s="524"/>
      <c r="U9" s="524"/>
    </row>
    <row r="10" spans="1:21" ht="15.75" x14ac:dyDescent="0.25">
      <c r="A10" s="502" t="s">
        <v>26</v>
      </c>
      <c r="B10" s="75">
        <f>+'5ta'!$R94*'Emisiones Tierras forestales'!B$1</f>
        <v>-3.3668510384543904</v>
      </c>
      <c r="C10" s="75">
        <f>+'5ta'!$R94*'Emisiones Tierras forestales'!C$1</f>
        <v>-3.3668510384543904</v>
      </c>
      <c r="D10" s="75">
        <f>+'5ta'!$R94*'Emisiones Tierras forestales'!D$1</f>
        <v>-3.3668510384543904</v>
      </c>
      <c r="E10" s="75">
        <f>+'5ta'!$R94*'Emisiones Tierras forestales'!E$1</f>
        <v>-3.3668510384543904</v>
      </c>
      <c r="F10" s="75">
        <f>+'5ta'!$R94*'Emisiones Tierras forestales'!F$1</f>
        <v>-3.3668510384543904</v>
      </c>
      <c r="G10" s="75">
        <f>+'5ta'!$R94*'Emisiones Tierras forestales'!G$1</f>
        <v>-2.3796911656057844</v>
      </c>
      <c r="H10" s="75">
        <f>+'5ta'!$R94*'Emisiones Tierras forestales'!H$1</f>
        <v>-1.3925312927571782</v>
      </c>
      <c r="I10" s="75">
        <f>+'5ta'!$R94*'Emisiones Tierras forestales'!I$1</f>
        <v>-1.8408299968727453</v>
      </c>
      <c r="J10" s="75">
        <f>+'5ta'!$R94*'Emisiones Tierras forestales'!J$1</f>
        <v>-2.2891287009883126</v>
      </c>
      <c r="K10" s="75">
        <f>+'5ta'!$R94*'Emisiones Tierras forestales'!K$1</f>
        <v>-0.50664574558823627</v>
      </c>
      <c r="L10" s="75">
        <f>+'5ta'!$R94*'Emisiones Tierras forestales'!L$1</f>
        <v>-0.50664574558823627</v>
      </c>
      <c r="M10" s="75">
        <f>+'5ta'!$R94*'Emisiones Tierras forestales'!M$1</f>
        <v>-0.61630858954567191</v>
      </c>
      <c r="N10" s="75">
        <f>+'5ta'!$R94*'Emisiones Tierras forestales'!N$1</f>
        <v>-0.61630858954567191</v>
      </c>
      <c r="P10" s="524"/>
      <c r="Q10" s="524"/>
      <c r="R10" s="524"/>
      <c r="S10" s="524"/>
      <c r="T10" s="524"/>
      <c r="U10" s="524"/>
    </row>
    <row r="11" spans="1:21" ht="15.75" x14ac:dyDescent="0.25">
      <c r="A11" s="502" t="s">
        <v>27</v>
      </c>
      <c r="B11" s="75">
        <f>+'5ta'!$R95*'Emisiones Tierras forestales'!B$1</f>
        <v>-14.079594728026787</v>
      </c>
      <c r="C11" s="75">
        <f>+'5ta'!$R95*'Emisiones Tierras forestales'!C$1</f>
        <v>-14.079594728026787</v>
      </c>
      <c r="D11" s="75">
        <f>+'5ta'!$R95*'Emisiones Tierras forestales'!D$1</f>
        <v>-14.079594728026787</v>
      </c>
      <c r="E11" s="75">
        <f>+'5ta'!$R95*'Emisiones Tierras forestales'!E$1</f>
        <v>-14.079594728026787</v>
      </c>
      <c r="F11" s="75">
        <f>+'5ta'!$R95*'Emisiones Tierras forestales'!F$1</f>
        <v>-14.079594728026787</v>
      </c>
      <c r="G11" s="75">
        <f>+'5ta'!$R95*'Emisiones Tierras forestales'!G$1</f>
        <v>-9.9514611151244132</v>
      </c>
      <c r="H11" s="75">
        <f>+'5ta'!$R95*'Emisiones Tierras forestales'!H$1</f>
        <v>-5.8233275022220417</v>
      </c>
      <c r="I11" s="75">
        <f>+'5ta'!$R95*'Emisiones Tierras forestales'!I$1</f>
        <v>-7.6980359460931869</v>
      </c>
      <c r="J11" s="75">
        <f>+'5ta'!$R95*'Emisiones Tierras forestales'!J$1</f>
        <v>-9.572744389964333</v>
      </c>
      <c r="K11" s="75">
        <f>+'5ta'!$R95*'Emisiones Tierras forestales'!K$1</f>
        <v>-2.1187057838579113</v>
      </c>
      <c r="L11" s="75">
        <f>+'5ta'!$R95*'Emisiones Tierras forestales'!L$1</f>
        <v>-2.1187057838579113</v>
      </c>
      <c r="M11" s="75">
        <f>+'5ta'!$R95*'Emisiones Tierras forestales'!M$1</f>
        <v>-2.5772970259439698</v>
      </c>
      <c r="N11" s="75">
        <f>+'5ta'!$R95*'Emisiones Tierras forestales'!N$1</f>
        <v>-2.5772970259439698</v>
      </c>
      <c r="P11" s="524"/>
      <c r="Q11" s="524"/>
      <c r="R11" s="524"/>
      <c r="S11" s="524"/>
      <c r="T11" s="524"/>
      <c r="U11" s="524"/>
    </row>
    <row r="12" spans="1:21" ht="15.75" x14ac:dyDescent="0.25">
      <c r="A12" s="503" t="s">
        <v>14</v>
      </c>
      <c r="B12" s="122">
        <f t="shared" ref="B12:N12" si="0">+SUM(B3:B11)</f>
        <v>-260.98833777499993</v>
      </c>
      <c r="C12" s="122">
        <f t="shared" si="0"/>
        <v>-260.98833777499993</v>
      </c>
      <c r="D12" s="122">
        <f t="shared" si="0"/>
        <v>-260.98833777499993</v>
      </c>
      <c r="E12" s="122">
        <f t="shared" si="0"/>
        <v>-260.98833777499993</v>
      </c>
      <c r="F12" s="122">
        <f t="shared" si="0"/>
        <v>-260.98833777499993</v>
      </c>
      <c r="G12" s="122">
        <f t="shared" si="0"/>
        <v>-184.46662315491656</v>
      </c>
      <c r="H12" s="122">
        <f t="shared" si="0"/>
        <v>-107.94490853483332</v>
      </c>
      <c r="I12" s="122">
        <f t="shared" si="0"/>
        <v>-142.69569859875</v>
      </c>
      <c r="J12" s="122">
        <f t="shared" si="0"/>
        <v>-177.44648866266667</v>
      </c>
      <c r="K12" s="122">
        <f t="shared" si="0"/>
        <v>-39.273680204916651</v>
      </c>
      <c r="L12" s="122">
        <f t="shared" si="0"/>
        <v>-39.273680204916651</v>
      </c>
      <c r="M12" s="122">
        <f t="shared" si="0"/>
        <v>-47.77441962975</v>
      </c>
      <c r="N12" s="122">
        <f t="shared" si="0"/>
        <v>-47.77441962975</v>
      </c>
    </row>
    <row r="13" spans="1:21" ht="15.75" x14ac:dyDescent="0.25">
      <c r="A13" s="503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</row>
    <row r="14" spans="1:21" ht="15.75" x14ac:dyDescent="0.25">
      <c r="A14" s="119" t="s">
        <v>118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P14" s="525"/>
      <c r="Q14" s="525"/>
      <c r="R14" s="525"/>
      <c r="S14" s="525"/>
      <c r="T14" s="525"/>
      <c r="U14" s="525"/>
    </row>
    <row r="15" spans="1:21" x14ac:dyDescent="0.25">
      <c r="B15" s="1">
        <v>2010</v>
      </c>
      <c r="C15" s="1">
        <v>2011</v>
      </c>
      <c r="D15" s="1">
        <v>2012</v>
      </c>
      <c r="E15" s="1">
        <v>2013</v>
      </c>
      <c r="F15" s="1">
        <v>2014</v>
      </c>
      <c r="G15" s="1">
        <v>2015</v>
      </c>
      <c r="H15" s="1">
        <v>2016</v>
      </c>
      <c r="I15" s="1">
        <v>2017</v>
      </c>
      <c r="J15" s="1">
        <v>2018</v>
      </c>
      <c r="K15" s="1">
        <v>2019</v>
      </c>
      <c r="L15" s="1">
        <v>2020</v>
      </c>
      <c r="M15" s="1">
        <v>2021</v>
      </c>
      <c r="N15" s="1">
        <v>2022</v>
      </c>
      <c r="P15" s="525"/>
      <c r="Q15" s="525"/>
      <c r="R15" s="525"/>
      <c r="S15" s="525"/>
      <c r="T15" s="525"/>
      <c r="U15" s="525"/>
    </row>
    <row r="16" spans="1:21" ht="15.75" x14ac:dyDescent="0.25">
      <c r="A16" s="502" t="s">
        <v>18</v>
      </c>
      <c r="B16" s="74">
        <f>+'Cambio uso de suelo (BAU)'!D96</f>
        <v>3.1008944960097009E-2</v>
      </c>
      <c r="C16" s="74">
        <f>+'Cambio uso de suelo (BAU)'!E96</f>
        <v>3.1008944960097009E-2</v>
      </c>
      <c r="D16" s="74">
        <f>+'Cambio uso de suelo (BAU)'!F96</f>
        <v>3.1008944960097009E-2</v>
      </c>
      <c r="E16" s="74">
        <f>+'Cambio uso de suelo (BAU)'!G96</f>
        <v>3.1008944960097009E-2</v>
      </c>
      <c r="F16" s="74">
        <f>+'Cambio uso de suelo (BAU)'!H96</f>
        <v>3.1008944960097009E-2</v>
      </c>
      <c r="G16" s="74">
        <f>+'Cambio uso de suelo (BAU)'!I96</f>
        <v>2.1917130141336512E-2</v>
      </c>
      <c r="H16" s="74">
        <f>+'Cambio uso de suelo (BAU)'!J96</f>
        <v>1.2825315322576017E-2</v>
      </c>
      <c r="I16" s="74">
        <f>+'Cambio uso de suelo (BAU)'!K96</f>
        <v>1.6954179261856217E-2</v>
      </c>
      <c r="J16" s="74">
        <f>+'Cambio uso de suelo (BAU)'!L96</f>
        <v>2.1083043201136416E-2</v>
      </c>
      <c r="K16" s="74">
        <f>+'Cambio uso de suelo (BAU)'!M96</f>
        <v>4.6662444699142732E-3</v>
      </c>
      <c r="L16" s="74">
        <f>+'Cambio uso de suelo (BAU)'!N96</f>
        <v>4.6662444699142732E-3</v>
      </c>
      <c r="M16" s="74">
        <f>+'Cambio uso de suelo (BAU)'!O96</f>
        <v>5.6762473044931665E-3</v>
      </c>
      <c r="N16" s="74">
        <f>+'Cambio uso de suelo (BAU)'!P96</f>
        <v>5.6762473044931665E-3</v>
      </c>
      <c r="P16" s="525"/>
      <c r="Q16" s="525"/>
      <c r="R16" s="525"/>
      <c r="S16" s="525"/>
      <c r="T16" s="525"/>
      <c r="U16" s="525"/>
    </row>
    <row r="17" spans="1:21" ht="15.75" x14ac:dyDescent="0.25">
      <c r="A17" s="502" t="s">
        <v>20</v>
      </c>
      <c r="B17" s="74">
        <f>+'Cambio uso de suelo (BAU)'!D97</f>
        <v>0.30280811121254975</v>
      </c>
      <c r="C17" s="74">
        <f>+'Cambio uso de suelo (BAU)'!E97</f>
        <v>0.30280811121254975</v>
      </c>
      <c r="D17" s="74">
        <f>+'Cambio uso de suelo (BAU)'!F97</f>
        <v>0.30280811121254975</v>
      </c>
      <c r="E17" s="74">
        <f>+'Cambio uso de suelo (BAU)'!G97</f>
        <v>0.30280811121254975</v>
      </c>
      <c r="F17" s="74">
        <f>+'Cambio uso de suelo (BAU)'!H97</f>
        <v>0.30280811121254975</v>
      </c>
      <c r="G17" s="74">
        <f>+'Cambio uso de suelo (BAU)'!I97</f>
        <v>0.21402484959865564</v>
      </c>
      <c r="H17" s="74">
        <f>+'Cambio uso de suelo (BAU)'!J97</f>
        <v>0.12524158798476151</v>
      </c>
      <c r="I17" s="74">
        <f>+'Cambio uso de suelo (BAU)'!K97</f>
        <v>0.16556071178971196</v>
      </c>
      <c r="J17" s="74">
        <f>+'Cambio uso de suelo (BAU)'!L97</f>
        <v>0.20587983559466241</v>
      </c>
      <c r="K17" s="74">
        <f>+'Cambio uso de suelo (BAU)'!M97</f>
        <v>4.5566744570284347E-2</v>
      </c>
      <c r="L17" s="74">
        <f>+'Cambio uso de suelo (BAU)'!N97</f>
        <v>4.5566744570284347E-2</v>
      </c>
      <c r="M17" s="74">
        <f>+'Cambio uso de suelo (BAU)'!O97</f>
        <v>5.5429609980626869E-2</v>
      </c>
      <c r="N17" s="74">
        <f>+'Cambio uso de suelo (BAU)'!P97</f>
        <v>5.5429609980626869E-2</v>
      </c>
      <c r="P17" s="525"/>
      <c r="Q17" s="525"/>
      <c r="R17" s="525"/>
      <c r="S17" s="525"/>
      <c r="T17" s="525"/>
      <c r="U17" s="525"/>
    </row>
    <row r="18" spans="1:21" ht="15.75" x14ac:dyDescent="0.25">
      <c r="A18" s="502" t="s">
        <v>21</v>
      </c>
      <c r="B18" s="74">
        <f>+'Cambio uso de suelo (BAU)'!D98</f>
        <v>2.8954807771615698</v>
      </c>
      <c r="C18" s="74">
        <f>+'Cambio uso de suelo (BAU)'!E98</f>
        <v>2.8954807771615698</v>
      </c>
      <c r="D18" s="74">
        <f>+'Cambio uso de suelo (BAU)'!F98</f>
        <v>2.8954807771615698</v>
      </c>
      <c r="E18" s="74">
        <f>+'Cambio uso de suelo (BAU)'!G98</f>
        <v>2.8954807771615698</v>
      </c>
      <c r="F18" s="74">
        <f>+'Cambio uso de suelo (BAU)'!H98</f>
        <v>2.8954807771615698</v>
      </c>
      <c r="G18" s="74">
        <f>+'Cambio uso de suelo (BAU)'!I98</f>
        <v>2.0465265456935358</v>
      </c>
      <c r="H18" s="74">
        <f>+'Cambio uso de suelo (BAU)'!J98</f>
        <v>1.1975723142255021</v>
      </c>
      <c r="I18" s="74">
        <f>+'Cambio uso de suelo (BAU)'!K98</f>
        <v>1.5831077196733636</v>
      </c>
      <c r="J18" s="74">
        <f>+'Cambio uso de suelo (BAU)'!L98</f>
        <v>1.9686431251212249</v>
      </c>
      <c r="K18" s="74">
        <f>+'Cambio uso de suelo (BAU)'!M98</f>
        <v>0.43571366847725834</v>
      </c>
      <c r="L18" s="74">
        <f>+'Cambio uso de suelo (BAU)'!N98</f>
        <v>0.43571366847725834</v>
      </c>
      <c r="M18" s="74">
        <f>+'Cambio uso de suelo (BAU)'!O98</f>
        <v>0.53002335222061436</v>
      </c>
      <c r="N18" s="74">
        <f>+'Cambio uso de suelo (BAU)'!P98</f>
        <v>0.53002335222061436</v>
      </c>
      <c r="P18" s="525"/>
      <c r="Q18" s="525"/>
      <c r="R18" s="525"/>
      <c r="S18" s="525"/>
      <c r="T18" s="525"/>
      <c r="U18" s="525"/>
    </row>
    <row r="19" spans="1:21" ht="15.75" x14ac:dyDescent="0.25">
      <c r="A19" s="502" t="s">
        <v>22</v>
      </c>
      <c r="B19" s="74">
        <f>+'Cambio uso de suelo (BAU)'!D99</f>
        <v>1.1769942636310815</v>
      </c>
      <c r="C19" s="74">
        <f>+'Cambio uso de suelo (BAU)'!E99</f>
        <v>1.1769942636310815</v>
      </c>
      <c r="D19" s="74">
        <f>+'Cambio uso de suelo (BAU)'!F99</f>
        <v>1.1769942636310815</v>
      </c>
      <c r="E19" s="74">
        <f>+'Cambio uso de suelo (BAU)'!G99</f>
        <v>1.1769942636310815</v>
      </c>
      <c r="F19" s="74">
        <f>+'Cambio uso de suelo (BAU)'!H99</f>
        <v>1.1769942636310815</v>
      </c>
      <c r="G19" s="74">
        <f>+'Cambio uso de suelo (BAU)'!I99</f>
        <v>0.83189984324859301</v>
      </c>
      <c r="H19" s="74">
        <f>+'Cambio uso de suelo (BAU)'!J99</f>
        <v>0.48680542286610462</v>
      </c>
      <c r="I19" s="74">
        <f>+'Cambio uso de suelo (BAU)'!K99</f>
        <v>0.64352307895209948</v>
      </c>
      <c r="J19" s="74">
        <f>+'Cambio uso de suelo (BAU)'!L99</f>
        <v>0.80024073503809423</v>
      </c>
      <c r="K19" s="74">
        <f>+'Cambio uso de suelo (BAU)'!M99</f>
        <v>0.17711479641944503</v>
      </c>
      <c r="L19" s="74">
        <f>+'Cambio uso de suelo (BAU)'!N99</f>
        <v>0.17711479641944503</v>
      </c>
      <c r="M19" s="74">
        <f>+'Cambio uso de suelo (BAU)'!O99</f>
        <v>0.21545107467980573</v>
      </c>
      <c r="N19" s="74">
        <f>+'Cambio uso de suelo (BAU)'!P99</f>
        <v>0.21545107467980573</v>
      </c>
      <c r="P19" s="525"/>
      <c r="Q19" s="525"/>
      <c r="R19" s="525"/>
      <c r="S19" s="525"/>
      <c r="T19" s="525"/>
      <c r="U19" s="525"/>
    </row>
    <row r="20" spans="1:21" ht="15.75" x14ac:dyDescent="0.25">
      <c r="A20" s="502" t="s">
        <v>23</v>
      </c>
      <c r="B20" s="74">
        <f>+'Cambio uso de suelo (BAU)'!D100</f>
        <v>0.81056547206123941</v>
      </c>
      <c r="C20" s="74">
        <f>+'Cambio uso de suelo (BAU)'!E100</f>
        <v>0.81056547206123941</v>
      </c>
      <c r="D20" s="74">
        <f>+'Cambio uso de suelo (BAU)'!F100</f>
        <v>0.81056547206123941</v>
      </c>
      <c r="E20" s="74">
        <f>+'Cambio uso de suelo (BAU)'!G100</f>
        <v>0.81056547206123941</v>
      </c>
      <c r="F20" s="74">
        <f>+'Cambio uso de suelo (BAU)'!H100</f>
        <v>0.81056547206123941</v>
      </c>
      <c r="G20" s="74">
        <f>+'Cambio uso de suelo (BAU)'!I100</f>
        <v>0.57290788068090637</v>
      </c>
      <c r="H20" s="74">
        <f>+'Cambio uso de suelo (BAU)'!J100</f>
        <v>0.33525028930057327</v>
      </c>
      <c r="I20" s="74">
        <f>+'Cambio uso de suelo (BAU)'!K100</f>
        <v>0.44317768097178017</v>
      </c>
      <c r="J20" s="74">
        <f>+'Cambio uso de suelo (BAU)'!L100</f>
        <v>0.55110507264298692</v>
      </c>
      <c r="K20" s="74">
        <f>+'Cambio uso de suelo (BAU)'!M100</f>
        <v>0.12197437405162781</v>
      </c>
      <c r="L20" s="74">
        <f>+'Cambio uso de suelo (BAU)'!N100</f>
        <v>0.12197437405162781</v>
      </c>
      <c r="M20" s="74">
        <f>+'Cambio uso de suelo (BAU)'!O100</f>
        <v>0.14837557620304304</v>
      </c>
      <c r="N20" s="74">
        <f>+'Cambio uso de suelo (BAU)'!P100</f>
        <v>0.14837557620304304</v>
      </c>
      <c r="P20" s="525"/>
      <c r="Q20" s="525"/>
      <c r="R20" s="525"/>
      <c r="S20" s="525"/>
      <c r="T20" s="525"/>
      <c r="U20" s="525"/>
    </row>
    <row r="21" spans="1:21" ht="15.75" x14ac:dyDescent="0.25">
      <c r="A21" s="502" t="s">
        <v>24</v>
      </c>
      <c r="B21" s="74">
        <f>+'Cambio uso de suelo (BAU)'!D101</f>
        <v>5.9313105345291826</v>
      </c>
      <c r="C21" s="74">
        <f>+'Cambio uso de suelo (BAU)'!E101</f>
        <v>5.9313105345291826</v>
      </c>
      <c r="D21" s="74">
        <f>+'Cambio uso de suelo (BAU)'!F101</f>
        <v>5.9313105345291826</v>
      </c>
      <c r="E21" s="74">
        <f>+'Cambio uso de suelo (BAU)'!G101</f>
        <v>5.9313105345291826</v>
      </c>
      <c r="F21" s="74">
        <f>+'Cambio uso de suelo (BAU)'!H101</f>
        <v>5.9313105345291826</v>
      </c>
      <c r="G21" s="74">
        <f>+'Cambio uso de suelo (BAU)'!I101</f>
        <v>4.192251786097196</v>
      </c>
      <c r="H21" s="74">
        <f>+'Cambio uso de suelo (BAU)'!J101</f>
        <v>2.4531930376652094</v>
      </c>
      <c r="I21" s="74">
        <f>+'Cambio uso de suelo (BAU)'!K101</f>
        <v>3.2429514190033695</v>
      </c>
      <c r="J21" s="74">
        <f>+'Cambio uso de suelo (BAU)'!L101</f>
        <v>4.0327098003415296</v>
      </c>
      <c r="K21" s="74">
        <f>+'Cambio uso de suelo (BAU)'!M101</f>
        <v>0.89254713492208038</v>
      </c>
      <c r="L21" s="74">
        <f>+'Cambio uso de suelo (BAU)'!N101</f>
        <v>0.89254713492208038</v>
      </c>
      <c r="M21" s="74">
        <f>+'Cambio uso de suelo (BAU)'!O101</f>
        <v>1.0857378565138989</v>
      </c>
      <c r="N21" s="74">
        <f>+'Cambio uso de suelo (BAU)'!P101</f>
        <v>1.0857378565138989</v>
      </c>
      <c r="P21" s="525"/>
      <c r="Q21" s="525"/>
      <c r="R21" s="525"/>
      <c r="S21" s="525"/>
      <c r="T21" s="525"/>
      <c r="U21" s="525"/>
    </row>
    <row r="22" spans="1:21" ht="15.75" x14ac:dyDescent="0.25">
      <c r="A22" s="502" t="s">
        <v>25</v>
      </c>
      <c r="B22" s="74">
        <f>+'Cambio uso de suelo (BAU)'!D102</f>
        <v>0.65714282361668985</v>
      </c>
      <c r="C22" s="74">
        <f>+'Cambio uso de suelo (BAU)'!E102</f>
        <v>0.65714282361668985</v>
      </c>
      <c r="D22" s="74">
        <f>+'Cambio uso de suelo (BAU)'!F102</f>
        <v>0.65714282361668985</v>
      </c>
      <c r="E22" s="74">
        <f>+'Cambio uso de suelo (BAU)'!G102</f>
        <v>0.65714282361668985</v>
      </c>
      <c r="F22" s="74">
        <f>+'Cambio uso de suelo (BAU)'!H102</f>
        <v>0.65714282361668985</v>
      </c>
      <c r="G22" s="74">
        <f>+'Cambio uso de suelo (BAU)'!I102</f>
        <v>0.46446871395289413</v>
      </c>
      <c r="H22" s="74">
        <f>+'Cambio uso de suelo (BAU)'!J102</f>
        <v>0.27179460428909846</v>
      </c>
      <c r="I22" s="74">
        <f>+'Cambio uso de suelo (BAU)'!K102</f>
        <v>0.3592936569295283</v>
      </c>
      <c r="J22" s="74">
        <f>+'Cambio uso de suelo (BAU)'!L102</f>
        <v>0.44679270956995815</v>
      </c>
      <c r="K22" s="74">
        <f>+'Cambio uso de suelo (BAU)'!M102</f>
        <v>9.8887242716291263E-2</v>
      </c>
      <c r="L22" s="74">
        <f>+'Cambio uso de suelo (BAU)'!N102</f>
        <v>9.8887242716291263E-2</v>
      </c>
      <c r="M22" s="74">
        <f>+'Cambio uso de suelo (BAU)'!O102</f>
        <v>0.12029126389244281</v>
      </c>
      <c r="N22" s="74">
        <f>+'Cambio uso de suelo (BAU)'!P102</f>
        <v>0.12029126389244281</v>
      </c>
      <c r="P22" s="525"/>
      <c r="Q22" s="525"/>
      <c r="R22" s="525"/>
      <c r="S22" s="525"/>
      <c r="T22" s="525"/>
      <c r="U22" s="525"/>
    </row>
    <row r="23" spans="1:21" ht="15.75" x14ac:dyDescent="0.25">
      <c r="A23" s="502" t="s">
        <v>26</v>
      </c>
      <c r="B23" s="74">
        <f>+'Cambio uso de suelo (BAU)'!D103</f>
        <v>0.16320281913978524</v>
      </c>
      <c r="C23" s="74">
        <f>+'Cambio uso de suelo (BAU)'!E103</f>
        <v>0.16320281913978524</v>
      </c>
      <c r="D23" s="74">
        <f>+'Cambio uso de suelo (BAU)'!F103</f>
        <v>0.16320281913978524</v>
      </c>
      <c r="E23" s="74">
        <f>+'Cambio uso de suelo (BAU)'!G103</f>
        <v>0.16320281913978524</v>
      </c>
      <c r="F23" s="74">
        <f>+'Cambio uso de suelo (BAU)'!H103</f>
        <v>0.16320281913978524</v>
      </c>
      <c r="G23" s="74">
        <f>+'Cambio uso de suelo (BAU)'!I103</f>
        <v>0.11535179384924447</v>
      </c>
      <c r="H23" s="74">
        <f>+'Cambio uso de suelo (BAU)'!J103</f>
        <v>6.7500768558703711E-2</v>
      </c>
      <c r="I23" s="74">
        <f>+'Cambio uso de suelo (BAU)'!K103</f>
        <v>8.9231344545801713E-2</v>
      </c>
      <c r="J23" s="74">
        <f>+'Cambio uso de suelo (BAU)'!L103</f>
        <v>0.11096192053289973</v>
      </c>
      <c r="K23" s="74">
        <f>+'Cambio uso de suelo (BAU)'!M103</f>
        <v>2.4558857235078915E-2</v>
      </c>
      <c r="L23" s="74">
        <f>+'Cambio uso de suelo (BAU)'!N103</f>
        <v>2.4558857235078915E-2</v>
      </c>
      <c r="M23" s="74">
        <f>+'Cambio uso de suelo (BAU)'!O103</f>
        <v>2.9874591458044681E-2</v>
      </c>
      <c r="N23" s="74">
        <f>+'Cambio uso de suelo (BAU)'!P103</f>
        <v>2.9874591458044681E-2</v>
      </c>
      <c r="P23" s="525"/>
      <c r="Q23" s="525"/>
      <c r="R23" s="525"/>
      <c r="S23" s="525"/>
      <c r="T23" s="525"/>
      <c r="U23" s="525"/>
    </row>
    <row r="24" spans="1:21" ht="15.75" x14ac:dyDescent="0.25">
      <c r="A24" s="502" t="s">
        <v>27</v>
      </c>
      <c r="B24" s="74">
        <f>+'Cambio uso de suelo (BAU)'!D104</f>
        <v>0.68248625368780402</v>
      </c>
      <c r="C24" s="74">
        <f>+'Cambio uso de suelo (BAU)'!E104</f>
        <v>0.68248625368780402</v>
      </c>
      <c r="D24" s="74">
        <f>+'Cambio uso de suelo (BAU)'!F104</f>
        <v>0.68248625368780402</v>
      </c>
      <c r="E24" s="74">
        <f>+'Cambio uso de suelo (BAU)'!G104</f>
        <v>0.68248625368780402</v>
      </c>
      <c r="F24" s="74">
        <f>+'Cambio uso de suelo (BAU)'!H104</f>
        <v>0.68248625368780402</v>
      </c>
      <c r="G24" s="74">
        <f>+'Cambio uso de suelo (BAU)'!I104</f>
        <v>0.4823814567376371</v>
      </c>
      <c r="H24" s="74">
        <f>+'Cambio uso de suelo (BAU)'!J104</f>
        <v>0.2822766597874703</v>
      </c>
      <c r="I24" s="74">
        <f>+'Cambio uso de suelo (BAU)'!K104</f>
        <v>0.37315020887248884</v>
      </c>
      <c r="J24" s="74">
        <f>+'Cambio uso de suelo (BAU)'!L104</f>
        <v>0.46402375795750733</v>
      </c>
      <c r="K24" s="74">
        <f>+'Cambio uso de suelo (BAU)'!M104</f>
        <v>0.10270093713801937</v>
      </c>
      <c r="L24" s="74">
        <f>+'Cambio uso de suelo (BAU)'!N104</f>
        <v>0.10270093713801937</v>
      </c>
      <c r="M24" s="74">
        <f>+'Cambio uso de suelo (BAU)'!O104</f>
        <v>0.12493042774703024</v>
      </c>
      <c r="N24" s="74">
        <f>+'Cambio uso de suelo (BAU)'!P104</f>
        <v>0.12493042774703024</v>
      </c>
      <c r="P24" s="525"/>
      <c r="Q24" s="525"/>
      <c r="R24" s="525"/>
      <c r="S24" s="525"/>
      <c r="T24" s="525"/>
      <c r="U24" s="525"/>
    </row>
    <row r="25" spans="1:21" ht="15.75" x14ac:dyDescent="0.25">
      <c r="A25" s="504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</row>
    <row r="26" spans="1:21" ht="16.5" thickBot="1" x14ac:dyDescent="0.3">
      <c r="A26" s="119" t="s">
        <v>119</v>
      </c>
      <c r="B26" s="1">
        <v>2010</v>
      </c>
      <c r="C26" s="1">
        <v>2011</v>
      </c>
      <c r="D26" s="1">
        <v>2012</v>
      </c>
      <c r="E26" s="1">
        <v>2013</v>
      </c>
      <c r="F26" s="1">
        <v>2014</v>
      </c>
      <c r="G26" s="1">
        <v>2015</v>
      </c>
      <c r="H26" s="1">
        <v>2016</v>
      </c>
      <c r="I26" s="1">
        <v>2017</v>
      </c>
      <c r="J26" s="1">
        <v>2018</v>
      </c>
      <c r="K26" s="1">
        <v>2019</v>
      </c>
      <c r="L26" s="1">
        <v>2020</v>
      </c>
      <c r="M26" s="1">
        <v>2021</v>
      </c>
      <c r="N26" s="1">
        <v>2022</v>
      </c>
    </row>
    <row r="27" spans="1:21" x14ac:dyDescent="0.25">
      <c r="A27" s="509" t="s">
        <v>131</v>
      </c>
      <c r="B27" s="126">
        <f t="shared" ref="B27:N27" si="1">+B3/B16</f>
        <v>-20.629858333333324</v>
      </c>
      <c r="C27" s="126">
        <f t="shared" si="1"/>
        <v>-20.629858333333324</v>
      </c>
      <c r="D27" s="126">
        <f t="shared" si="1"/>
        <v>-20.629858333333324</v>
      </c>
      <c r="E27" s="126">
        <f t="shared" si="1"/>
        <v>-20.629858333333324</v>
      </c>
      <c r="F27" s="126">
        <f t="shared" si="1"/>
        <v>-20.629858333333324</v>
      </c>
      <c r="G27" s="126">
        <f t="shared" si="1"/>
        <v>-20.629858333333328</v>
      </c>
      <c r="H27" s="126">
        <f t="shared" si="1"/>
        <v>-20.629858333333331</v>
      </c>
      <c r="I27" s="126">
        <f t="shared" si="1"/>
        <v>-20.629858333333331</v>
      </c>
      <c r="J27" s="126">
        <f t="shared" si="1"/>
        <v>-20.629858333333335</v>
      </c>
      <c r="K27" s="126">
        <f t="shared" si="1"/>
        <v>-20.629858333333331</v>
      </c>
      <c r="L27" s="126">
        <f t="shared" si="1"/>
        <v>-20.629858333333331</v>
      </c>
      <c r="M27" s="126">
        <f t="shared" si="1"/>
        <v>-20.629858333333335</v>
      </c>
      <c r="N27" s="126">
        <f t="shared" si="1"/>
        <v>-20.629858333333335</v>
      </c>
    </row>
    <row r="28" spans="1:21" x14ac:dyDescent="0.25">
      <c r="A28" s="510" t="s">
        <v>132</v>
      </c>
      <c r="B28" s="126">
        <f t="shared" ref="B28:N28" si="2">+B4/B17</f>
        <v>-20.629858333333328</v>
      </c>
      <c r="C28" s="126">
        <f t="shared" si="2"/>
        <v>-20.629858333333328</v>
      </c>
      <c r="D28" s="126">
        <f t="shared" si="2"/>
        <v>-20.629858333333328</v>
      </c>
      <c r="E28" s="126">
        <f t="shared" si="2"/>
        <v>-20.629858333333328</v>
      </c>
      <c r="F28" s="126">
        <f t="shared" si="2"/>
        <v>-20.629858333333328</v>
      </c>
      <c r="G28" s="126">
        <f t="shared" si="2"/>
        <v>-20.629858333333328</v>
      </c>
      <c r="H28" s="126">
        <f t="shared" si="2"/>
        <v>-20.629858333333331</v>
      </c>
      <c r="I28" s="126">
        <f t="shared" si="2"/>
        <v>-20.629858333333331</v>
      </c>
      <c r="J28" s="126">
        <f t="shared" si="2"/>
        <v>-20.629858333333335</v>
      </c>
      <c r="K28" s="126">
        <f t="shared" si="2"/>
        <v>-20.629858333333331</v>
      </c>
      <c r="L28" s="126">
        <f t="shared" si="2"/>
        <v>-20.629858333333331</v>
      </c>
      <c r="M28" s="126">
        <f t="shared" si="2"/>
        <v>-20.629858333333335</v>
      </c>
      <c r="N28" s="126">
        <f t="shared" si="2"/>
        <v>-20.629858333333335</v>
      </c>
    </row>
    <row r="29" spans="1:21" x14ac:dyDescent="0.25">
      <c r="A29" s="510" t="s">
        <v>133</v>
      </c>
      <c r="B29" s="126">
        <f t="shared" ref="B29:N29" si="3">+B5/B18</f>
        <v>-20.629858333333328</v>
      </c>
      <c r="C29" s="126">
        <f t="shared" si="3"/>
        <v>-20.629858333333328</v>
      </c>
      <c r="D29" s="126">
        <f t="shared" si="3"/>
        <v>-20.629858333333328</v>
      </c>
      <c r="E29" s="126">
        <f t="shared" si="3"/>
        <v>-20.629858333333328</v>
      </c>
      <c r="F29" s="126">
        <f t="shared" si="3"/>
        <v>-20.629858333333328</v>
      </c>
      <c r="G29" s="126">
        <f t="shared" si="3"/>
        <v>-20.629858333333331</v>
      </c>
      <c r="H29" s="126">
        <f t="shared" si="3"/>
        <v>-20.629858333333328</v>
      </c>
      <c r="I29" s="126">
        <f t="shared" si="3"/>
        <v>-20.629858333333331</v>
      </c>
      <c r="J29" s="126">
        <f t="shared" si="3"/>
        <v>-20.629858333333335</v>
      </c>
      <c r="K29" s="126">
        <f t="shared" si="3"/>
        <v>-20.629858333333328</v>
      </c>
      <c r="L29" s="126">
        <f t="shared" si="3"/>
        <v>-20.629858333333328</v>
      </c>
      <c r="M29" s="126">
        <f t="shared" si="3"/>
        <v>-20.629858333333331</v>
      </c>
      <c r="N29" s="126">
        <f t="shared" si="3"/>
        <v>-20.629858333333331</v>
      </c>
    </row>
    <row r="30" spans="1:21" x14ac:dyDescent="0.25">
      <c r="A30" s="510" t="s">
        <v>134</v>
      </c>
      <c r="B30" s="126">
        <f t="shared" ref="B30:N30" si="4">+B6/B19</f>
        <v>-20.629858333333331</v>
      </c>
      <c r="C30" s="126">
        <f t="shared" si="4"/>
        <v>-20.629858333333331</v>
      </c>
      <c r="D30" s="126">
        <f t="shared" si="4"/>
        <v>-20.629858333333331</v>
      </c>
      <c r="E30" s="126">
        <f t="shared" si="4"/>
        <v>-20.629858333333331</v>
      </c>
      <c r="F30" s="126">
        <f t="shared" si="4"/>
        <v>-20.629858333333331</v>
      </c>
      <c r="G30" s="126">
        <f t="shared" si="4"/>
        <v>-20.629858333333328</v>
      </c>
      <c r="H30" s="126">
        <f t="shared" si="4"/>
        <v>-20.629858333333328</v>
      </c>
      <c r="I30" s="126">
        <f t="shared" si="4"/>
        <v>-20.629858333333331</v>
      </c>
      <c r="J30" s="126">
        <f t="shared" si="4"/>
        <v>-20.629858333333338</v>
      </c>
      <c r="K30" s="126">
        <f t="shared" si="4"/>
        <v>-20.629858333333328</v>
      </c>
      <c r="L30" s="126">
        <f t="shared" si="4"/>
        <v>-20.629858333333328</v>
      </c>
      <c r="M30" s="126">
        <f t="shared" si="4"/>
        <v>-20.629858333333331</v>
      </c>
      <c r="N30" s="126">
        <f t="shared" si="4"/>
        <v>-20.629858333333331</v>
      </c>
    </row>
    <row r="31" spans="1:21" x14ac:dyDescent="0.25">
      <c r="A31" s="510" t="s">
        <v>135</v>
      </c>
      <c r="B31" s="126">
        <f t="shared" ref="B31:N31" si="5">+B7/B20</f>
        <v>-20.629858333333328</v>
      </c>
      <c r="C31" s="126">
        <f t="shared" si="5"/>
        <v>-20.629858333333328</v>
      </c>
      <c r="D31" s="126">
        <f t="shared" si="5"/>
        <v>-20.629858333333328</v>
      </c>
      <c r="E31" s="126">
        <f t="shared" si="5"/>
        <v>-20.629858333333328</v>
      </c>
      <c r="F31" s="126">
        <f t="shared" si="5"/>
        <v>-20.629858333333328</v>
      </c>
      <c r="G31" s="126">
        <f t="shared" si="5"/>
        <v>-20.629858333333328</v>
      </c>
      <c r="H31" s="126">
        <f t="shared" si="5"/>
        <v>-20.629858333333331</v>
      </c>
      <c r="I31" s="126">
        <f t="shared" si="5"/>
        <v>-20.629858333333328</v>
      </c>
      <c r="J31" s="126">
        <f t="shared" si="5"/>
        <v>-20.629858333333335</v>
      </c>
      <c r="K31" s="126">
        <f t="shared" si="5"/>
        <v>-20.629858333333328</v>
      </c>
      <c r="L31" s="126">
        <f t="shared" si="5"/>
        <v>-20.629858333333328</v>
      </c>
      <c r="M31" s="126">
        <f t="shared" si="5"/>
        <v>-20.629858333333335</v>
      </c>
      <c r="N31" s="126">
        <f t="shared" si="5"/>
        <v>-20.629858333333335</v>
      </c>
    </row>
    <row r="32" spans="1:21" x14ac:dyDescent="0.25">
      <c r="A32" s="510" t="s">
        <v>136</v>
      </c>
      <c r="B32" s="126">
        <f t="shared" ref="B32:N32" si="6">+B8/B21</f>
        <v>-20.629858333333328</v>
      </c>
      <c r="C32" s="126">
        <f t="shared" si="6"/>
        <v>-20.629858333333328</v>
      </c>
      <c r="D32" s="126">
        <f t="shared" si="6"/>
        <v>-20.629858333333328</v>
      </c>
      <c r="E32" s="126">
        <f t="shared" si="6"/>
        <v>-20.629858333333328</v>
      </c>
      <c r="F32" s="126">
        <f t="shared" si="6"/>
        <v>-20.629858333333328</v>
      </c>
      <c r="G32" s="126">
        <f t="shared" si="6"/>
        <v>-20.629858333333328</v>
      </c>
      <c r="H32" s="126">
        <f t="shared" si="6"/>
        <v>-20.629858333333331</v>
      </c>
      <c r="I32" s="126">
        <f t="shared" si="6"/>
        <v>-20.629858333333331</v>
      </c>
      <c r="J32" s="126">
        <f t="shared" si="6"/>
        <v>-20.629858333333335</v>
      </c>
      <c r="K32" s="126">
        <f t="shared" si="6"/>
        <v>-20.629858333333331</v>
      </c>
      <c r="L32" s="126">
        <f t="shared" si="6"/>
        <v>-20.629858333333331</v>
      </c>
      <c r="M32" s="126">
        <f t="shared" si="6"/>
        <v>-20.629858333333335</v>
      </c>
      <c r="N32" s="126">
        <f t="shared" si="6"/>
        <v>-20.629858333333335</v>
      </c>
    </row>
    <row r="33" spans="1:14" x14ac:dyDescent="0.25">
      <c r="A33" s="510" t="s">
        <v>137</v>
      </c>
      <c r="B33" s="126">
        <f t="shared" ref="B33:N33" si="7">+B9/B22</f>
        <v>-20.629858333333328</v>
      </c>
      <c r="C33" s="126">
        <f t="shared" si="7"/>
        <v>-20.629858333333328</v>
      </c>
      <c r="D33" s="126">
        <f t="shared" si="7"/>
        <v>-20.629858333333328</v>
      </c>
      <c r="E33" s="126">
        <f t="shared" si="7"/>
        <v>-20.629858333333328</v>
      </c>
      <c r="F33" s="126">
        <f t="shared" si="7"/>
        <v>-20.629858333333328</v>
      </c>
      <c r="G33" s="126">
        <f t="shared" si="7"/>
        <v>-20.629858333333328</v>
      </c>
      <c r="H33" s="126">
        <f t="shared" si="7"/>
        <v>-20.629858333333331</v>
      </c>
      <c r="I33" s="126">
        <f t="shared" si="7"/>
        <v>-20.629858333333335</v>
      </c>
      <c r="J33" s="126">
        <f t="shared" si="7"/>
        <v>-20.629858333333338</v>
      </c>
      <c r="K33" s="126">
        <f t="shared" si="7"/>
        <v>-20.629858333333328</v>
      </c>
      <c r="L33" s="126">
        <f t="shared" si="7"/>
        <v>-20.629858333333328</v>
      </c>
      <c r="M33" s="126">
        <f t="shared" si="7"/>
        <v>-20.629858333333335</v>
      </c>
      <c r="N33" s="126">
        <f t="shared" si="7"/>
        <v>-20.629858333333335</v>
      </c>
    </row>
    <row r="34" spans="1:14" x14ac:dyDescent="0.25">
      <c r="A34" s="510" t="s">
        <v>138</v>
      </c>
      <c r="B34" s="126">
        <f t="shared" ref="B34:N34" si="8">+B10/B23</f>
        <v>-20.629858333333328</v>
      </c>
      <c r="C34" s="126">
        <f t="shared" si="8"/>
        <v>-20.629858333333328</v>
      </c>
      <c r="D34" s="126">
        <f t="shared" si="8"/>
        <v>-20.629858333333328</v>
      </c>
      <c r="E34" s="126">
        <f t="shared" si="8"/>
        <v>-20.629858333333328</v>
      </c>
      <c r="F34" s="126">
        <f t="shared" si="8"/>
        <v>-20.629858333333328</v>
      </c>
      <c r="G34" s="126">
        <f t="shared" si="8"/>
        <v>-20.629858333333331</v>
      </c>
      <c r="H34" s="126">
        <f t="shared" si="8"/>
        <v>-20.629858333333331</v>
      </c>
      <c r="I34" s="126">
        <f t="shared" si="8"/>
        <v>-20.629858333333331</v>
      </c>
      <c r="J34" s="126">
        <f t="shared" si="8"/>
        <v>-20.629858333333331</v>
      </c>
      <c r="K34" s="126">
        <f t="shared" si="8"/>
        <v>-20.629858333333328</v>
      </c>
      <c r="L34" s="126">
        <f t="shared" si="8"/>
        <v>-20.629858333333328</v>
      </c>
      <c r="M34" s="126">
        <f t="shared" si="8"/>
        <v>-20.629858333333335</v>
      </c>
      <c r="N34" s="126">
        <f t="shared" si="8"/>
        <v>-20.629858333333335</v>
      </c>
    </row>
    <row r="35" spans="1:14" x14ac:dyDescent="0.25">
      <c r="A35" s="511" t="s">
        <v>139</v>
      </c>
      <c r="B35" s="126">
        <f t="shared" ref="B35:N35" si="9">+B11/B24</f>
        <v>-20.629858333333328</v>
      </c>
      <c r="C35" s="126">
        <f t="shared" si="9"/>
        <v>-20.629858333333328</v>
      </c>
      <c r="D35" s="126">
        <f t="shared" si="9"/>
        <v>-20.629858333333328</v>
      </c>
      <c r="E35" s="126">
        <f t="shared" si="9"/>
        <v>-20.629858333333328</v>
      </c>
      <c r="F35" s="126">
        <f t="shared" si="9"/>
        <v>-20.629858333333328</v>
      </c>
      <c r="G35" s="126">
        <f t="shared" si="9"/>
        <v>-20.629858333333328</v>
      </c>
      <c r="H35" s="126">
        <f t="shared" si="9"/>
        <v>-20.629858333333331</v>
      </c>
      <c r="I35" s="126">
        <f t="shared" si="9"/>
        <v>-20.629858333333331</v>
      </c>
      <c r="J35" s="126">
        <f t="shared" si="9"/>
        <v>-20.629858333333335</v>
      </c>
      <c r="K35" s="126">
        <f t="shared" si="9"/>
        <v>-20.629858333333331</v>
      </c>
      <c r="L35" s="126">
        <f t="shared" si="9"/>
        <v>-20.629858333333331</v>
      </c>
      <c r="M35" s="126">
        <f t="shared" si="9"/>
        <v>-20.629858333333335</v>
      </c>
      <c r="N35" s="126">
        <f t="shared" si="9"/>
        <v>-20.629858333333335</v>
      </c>
    </row>
    <row r="38" spans="1:14" x14ac:dyDescent="0.25">
      <c r="A38" s="73" t="s">
        <v>140</v>
      </c>
      <c r="B38">
        <f>+INGEI_diffs!C6/1000</f>
        <v>-0.76330475833333333</v>
      </c>
      <c r="C38">
        <f>+INGEI_diffs!D6/1000</f>
        <v>-0.76330475833333333</v>
      </c>
      <c r="D38">
        <f>+INGEI_diffs!E6/1000</f>
        <v>-0.76330475833333333</v>
      </c>
      <c r="E38">
        <f>+INGEI_diffs!F6/1000</f>
        <v>-0.76330475833333333</v>
      </c>
      <c r="F38">
        <f>+INGEI_diffs!G6/1000</f>
        <v>-0.76330475833333333</v>
      </c>
      <c r="G38">
        <f>+INGEI_diffs!H6/1000</f>
        <v>-0.80724635658333332</v>
      </c>
      <c r="H38">
        <f>+INGEI_diffs!I6/1000</f>
        <v>-0.85118795483333332</v>
      </c>
      <c r="I38">
        <f>+INGEI_diffs!J6/1000</f>
        <v>-0.61033435879166664</v>
      </c>
      <c r="J38">
        <f>+INGEI_diffs!K6/1000</f>
        <v>-0.36948076274999997</v>
      </c>
      <c r="K38">
        <f>+INGEI_diffs!L6/1000</f>
        <v>-0.41239086808333331</v>
      </c>
      <c r="L38">
        <f>+INGEI_diffs!M6/1000</f>
        <v>-0.41239086808333331</v>
      </c>
      <c r="M38">
        <f>+INGEI_diffs!N6/1000</f>
        <v>-0.25065277874999997</v>
      </c>
      <c r="N38">
        <f>+INGEI_diffs!O6/1000</f>
        <v>-0.25065277874999997</v>
      </c>
    </row>
    <row r="39" spans="1:14" ht="15.75" x14ac:dyDescent="0.25">
      <c r="A39" s="119" t="s">
        <v>129</v>
      </c>
      <c r="B39" s="1">
        <v>2010</v>
      </c>
      <c r="C39" s="1">
        <v>2011</v>
      </c>
      <c r="D39" s="1">
        <v>2012</v>
      </c>
      <c r="E39" s="1">
        <v>2013</v>
      </c>
      <c r="F39" s="1">
        <v>2014</v>
      </c>
      <c r="G39" s="1">
        <v>2015</v>
      </c>
      <c r="H39" s="1">
        <v>2016</v>
      </c>
      <c r="I39" s="1">
        <v>2017</v>
      </c>
      <c r="J39" s="1">
        <v>2018</v>
      </c>
      <c r="K39" s="1">
        <v>2019</v>
      </c>
      <c r="L39" s="1">
        <v>2020</v>
      </c>
      <c r="M39" s="1">
        <v>2021</v>
      </c>
      <c r="N39" s="1">
        <v>2022</v>
      </c>
    </row>
    <row r="40" spans="1:14" ht="15.75" x14ac:dyDescent="0.25">
      <c r="A40" s="502" t="s">
        <v>18</v>
      </c>
      <c r="B40" s="112">
        <f>+'5ta'!$R87*'Emisiones Tierras forestales'!B$38</f>
        <v>-1.8709410512163845E-3</v>
      </c>
      <c r="C40" s="112">
        <f>+'5ta'!$R87*'Emisiones Tierras forestales'!C$38</f>
        <v>-1.8709410512163845E-3</v>
      </c>
      <c r="D40" s="112">
        <f>+'5ta'!$R87*'Emisiones Tierras forestales'!D$38</f>
        <v>-1.8709410512163845E-3</v>
      </c>
      <c r="E40" s="112">
        <f>+'5ta'!$R87*'Emisiones Tierras forestales'!E$38</f>
        <v>-1.8709410512163845E-3</v>
      </c>
      <c r="F40" s="112">
        <f>+'5ta'!$R87*'Emisiones Tierras forestales'!F$38</f>
        <v>-1.8709410512163845E-3</v>
      </c>
      <c r="G40" s="112">
        <f>+'5ta'!$R87*'Emisiones Tierras forestales'!G$38</f>
        <v>-1.9786465765972198E-3</v>
      </c>
      <c r="H40" s="112">
        <f>+'5ta'!$R87*'Emisiones Tierras forestales'!H$38</f>
        <v>-2.0863521019780546E-3</v>
      </c>
      <c r="I40" s="112">
        <f>+'5ta'!$R87*'Emisiones Tierras forestales'!I$38</f>
        <v>-1.4959943513577496E-3</v>
      </c>
      <c r="J40" s="112">
        <f>+'5ta'!$R87*'Emisiones Tierras forestales'!J$38</f>
        <v>-9.0563660073744441E-4</v>
      </c>
      <c r="K40" s="112">
        <f>+'5ta'!$R87*'Emisiones Tierras forestales'!K$38</f>
        <v>-1.0108138274004196E-3</v>
      </c>
      <c r="L40" s="112">
        <f>+'5ta'!$R87*'Emisiones Tierras forestales'!L$38</f>
        <v>-1.0108138274004196E-3</v>
      </c>
      <c r="M40" s="112">
        <f>+'5ta'!$R87*'Emisiones Tierras forestales'!M$38</f>
        <v>-6.1437658843997483E-4</v>
      </c>
      <c r="N40" s="112">
        <f>+'5ta'!$R87*'Emisiones Tierras forestales'!N$38</f>
        <v>-6.1437658843997483E-4</v>
      </c>
    </row>
    <row r="41" spans="1:14" ht="15.75" x14ac:dyDescent="0.25">
      <c r="A41" s="502" t="s">
        <v>20</v>
      </c>
      <c r="B41" s="112">
        <f>+'5ta'!$R88*'Emisiones Tierras forestales'!B$38</f>
        <v>-1.8270087119632315E-2</v>
      </c>
      <c r="C41" s="112">
        <f>+'5ta'!$R88*'Emisiones Tierras forestales'!C$38</f>
        <v>-1.8270087119632315E-2</v>
      </c>
      <c r="D41" s="112">
        <f>+'5ta'!$R88*'Emisiones Tierras forestales'!D$38</f>
        <v>-1.8270087119632315E-2</v>
      </c>
      <c r="E41" s="112">
        <f>+'5ta'!$R88*'Emisiones Tierras forestales'!E$38</f>
        <v>-1.8270087119632315E-2</v>
      </c>
      <c r="F41" s="112">
        <f>+'5ta'!$R88*'Emisiones Tierras forestales'!F$38</f>
        <v>-1.8270087119632315E-2</v>
      </c>
      <c r="G41" s="112">
        <f>+'5ta'!$R88*'Emisiones Tierras forestales'!G$38</f>
        <v>-1.9321851594357092E-2</v>
      </c>
      <c r="H41" s="112">
        <f>+'5ta'!$R88*'Emisiones Tierras forestales'!H$38</f>
        <v>-2.0373616069081873E-2</v>
      </c>
      <c r="I41" s="112">
        <f>+'5ta'!$R88*'Emisiones Tierras forestales'!I$38</f>
        <v>-1.4608662903630325E-2</v>
      </c>
      <c r="J41" s="112">
        <f>+'5ta'!$R88*'Emisiones Tierras forestales'!J$38</f>
        <v>-8.8437097381787767E-3</v>
      </c>
      <c r="K41" s="112">
        <f>+'5ta'!$R88*'Emisiones Tierras forestales'!K$38</f>
        <v>-9.8707849059851329E-3</v>
      </c>
      <c r="L41" s="112">
        <f>+'5ta'!$R88*'Emisiones Tierras forestales'!L$38</f>
        <v>-9.8707849059851329E-3</v>
      </c>
      <c r="M41" s="112">
        <f>+'5ta'!$R88*'Emisiones Tierras forestales'!M$38</f>
        <v>-5.9995015811765565E-3</v>
      </c>
      <c r="N41" s="112">
        <f>+'5ta'!$R88*'Emisiones Tierras forestales'!N$38</f>
        <v>-5.9995015811765565E-3</v>
      </c>
    </row>
    <row r="42" spans="1:14" ht="15.75" x14ac:dyDescent="0.25">
      <c r="A42" s="502" t="s">
        <v>21</v>
      </c>
      <c r="B42" s="112">
        <f>+'5ta'!$R89*'Emisiones Tierras forestales'!B$38</f>
        <v>-0.17470036004032283</v>
      </c>
      <c r="C42" s="112">
        <f>+'5ta'!$R89*'Emisiones Tierras forestales'!C$38</f>
        <v>-0.17470036004032283</v>
      </c>
      <c r="D42" s="112">
        <f>+'5ta'!$R89*'Emisiones Tierras forestales'!D$38</f>
        <v>-0.17470036004032283</v>
      </c>
      <c r="E42" s="112">
        <f>+'5ta'!$R89*'Emisiones Tierras forestales'!E$38</f>
        <v>-0.17470036004032283</v>
      </c>
      <c r="F42" s="112">
        <f>+'5ta'!$R89*'Emisiones Tierras forestales'!F$38</f>
        <v>-0.17470036004032283</v>
      </c>
      <c r="G42" s="112">
        <f>+'5ta'!$R89*'Emisiones Tierras forestales'!G$38</f>
        <v>-0.1847574348210225</v>
      </c>
      <c r="H42" s="112">
        <f>+'5ta'!$R89*'Emisiones Tierras forestales'!H$38</f>
        <v>-0.19481450960172217</v>
      </c>
      <c r="I42" s="112">
        <f>+'5ta'!$R89*'Emisiones Tierras forestales'!I$38</f>
        <v>-0.13968946356197165</v>
      </c>
      <c r="J42" s="112">
        <f>+'5ta'!$R89*'Emisiones Tierras forestales'!J$38</f>
        <v>-8.456441752222113E-2</v>
      </c>
      <c r="K42" s="112">
        <f>+'5ta'!$R89*'Emisiones Tierras forestales'!K$38</f>
        <v>-9.4385410735298741E-2</v>
      </c>
      <c r="L42" s="112">
        <f>+'5ta'!$R89*'Emisiones Tierras forestales'!L$38</f>
        <v>-9.4385410735298741E-2</v>
      </c>
      <c r="M42" s="112">
        <f>+'5ta'!$R89*'Emisiones Tierras forestales'!M$38</f>
        <v>-5.7367820932160057E-2</v>
      </c>
      <c r="N42" s="112">
        <f>+'5ta'!$R89*'Emisiones Tierras forestales'!N$38</f>
        <v>-5.7367820932160057E-2</v>
      </c>
    </row>
    <row r="43" spans="1:14" ht="15.75" x14ac:dyDescent="0.25">
      <c r="A43" s="502" t="s">
        <v>22</v>
      </c>
      <c r="B43" s="112">
        <f>+'5ta'!$R90*'Emisiones Tierras forestales'!B$38</f>
        <v>-7.1014569754220408E-2</v>
      </c>
      <c r="C43" s="112">
        <f>+'5ta'!$R90*'Emisiones Tierras forestales'!C$38</f>
        <v>-7.1014569754220408E-2</v>
      </c>
      <c r="D43" s="112">
        <f>+'5ta'!$R90*'Emisiones Tierras forestales'!D$38</f>
        <v>-7.1014569754220408E-2</v>
      </c>
      <c r="E43" s="112">
        <f>+'5ta'!$R90*'Emisiones Tierras forestales'!E$38</f>
        <v>-7.1014569754220408E-2</v>
      </c>
      <c r="F43" s="112">
        <f>+'5ta'!$R90*'Emisiones Tierras forestales'!F$38</f>
        <v>-7.1014569754220408E-2</v>
      </c>
      <c r="G43" s="112">
        <f>+'5ta'!$R90*'Emisiones Tierras forestales'!G$38</f>
        <v>-7.5102705796828234E-2</v>
      </c>
      <c r="H43" s="112">
        <f>+'5ta'!$R90*'Emisiones Tierras forestales'!H$38</f>
        <v>-7.9190841839436046E-2</v>
      </c>
      <c r="I43" s="112">
        <f>+'5ta'!$R90*'Emisiones Tierras forestales'!I$38</f>
        <v>-5.6782866112935426E-2</v>
      </c>
      <c r="J43" s="112">
        <f>+'5ta'!$R90*'Emisiones Tierras forestales'!J$38</f>
        <v>-3.4374890386434792E-2</v>
      </c>
      <c r="K43" s="112">
        <f>+'5ta'!$R90*'Emisiones Tierras forestales'!K$38</f>
        <v>-3.836706079423962E-2</v>
      </c>
      <c r="L43" s="112">
        <f>+'5ta'!$R90*'Emisiones Tierras forestales'!L$38</f>
        <v>-3.836706079423962E-2</v>
      </c>
      <c r="M43" s="112">
        <f>+'5ta'!$R90*'Emisiones Tierras forestales'!M$38</f>
        <v>-2.3319649257129132E-2</v>
      </c>
      <c r="N43" s="112">
        <f>+'5ta'!$R90*'Emisiones Tierras forestales'!N$38</f>
        <v>-2.3319649257129132E-2</v>
      </c>
    </row>
    <row r="44" spans="1:14" ht="15.75" x14ac:dyDescent="0.25">
      <c r="A44" s="502" t="s">
        <v>23</v>
      </c>
      <c r="B44" s="112">
        <f>+'5ta'!$R91*'Emisiones Tierras forestales'!B$38</f>
        <v>-4.8905895325669801E-2</v>
      </c>
      <c r="C44" s="112">
        <f>+'5ta'!$R91*'Emisiones Tierras forestales'!C$38</f>
        <v>-4.8905895325669801E-2</v>
      </c>
      <c r="D44" s="112">
        <f>+'5ta'!$R91*'Emisiones Tierras forestales'!D$38</f>
        <v>-4.8905895325669801E-2</v>
      </c>
      <c r="E44" s="112">
        <f>+'5ta'!$R91*'Emisiones Tierras forestales'!E$38</f>
        <v>-4.8905895325669801E-2</v>
      </c>
      <c r="F44" s="112">
        <f>+'5ta'!$R91*'Emisiones Tierras forestales'!F$38</f>
        <v>-4.8905895325669801E-2</v>
      </c>
      <c r="G44" s="112">
        <f>+'5ta'!$R91*'Emisiones Tierras forestales'!G$38</f>
        <v>-5.1721288759282683E-2</v>
      </c>
      <c r="H44" s="112">
        <f>+'5ta'!$R91*'Emisiones Tierras forestales'!H$38</f>
        <v>-5.4536682192895564E-2</v>
      </c>
      <c r="I44" s="112">
        <f>+'5ta'!$R91*'Emisiones Tierras forestales'!I$38</f>
        <v>-3.9104889546214619E-2</v>
      </c>
      <c r="J44" s="112">
        <f>+'5ta'!$R91*'Emisiones Tierras forestales'!J$38</f>
        <v>-2.3673096899533678E-2</v>
      </c>
      <c r="K44" s="112">
        <f>+'5ta'!$R91*'Emisiones Tierras forestales'!K$38</f>
        <v>-2.6422401285409167E-2</v>
      </c>
      <c r="L44" s="112">
        <f>+'5ta'!$R91*'Emisiones Tierras forestales'!L$38</f>
        <v>-2.6422401285409167E-2</v>
      </c>
      <c r="M44" s="112">
        <f>+'5ta'!$R91*'Emisiones Tierras forestales'!M$38</f>
        <v>-1.6059638600186162E-2</v>
      </c>
      <c r="N44" s="112">
        <f>+'5ta'!$R91*'Emisiones Tierras forestales'!N$38</f>
        <v>-1.6059638600186162E-2</v>
      </c>
    </row>
    <row r="45" spans="1:14" ht="15.75" x14ac:dyDescent="0.25">
      <c r="A45" s="502" t="s">
        <v>24</v>
      </c>
      <c r="B45" s="112">
        <f>+'5ta'!$R92*'Emisiones Tierras forestales'!B$38</f>
        <v>-0.35786874983469696</v>
      </c>
      <c r="C45" s="112">
        <f>+'5ta'!$R92*'Emisiones Tierras forestales'!C$38</f>
        <v>-0.35786874983469696</v>
      </c>
      <c r="D45" s="112">
        <f>+'5ta'!$R92*'Emisiones Tierras forestales'!D$38</f>
        <v>-0.35786874983469696</v>
      </c>
      <c r="E45" s="112">
        <f>+'5ta'!$R92*'Emisiones Tierras forestales'!E$38</f>
        <v>-0.35786874983469696</v>
      </c>
      <c r="F45" s="112">
        <f>+'5ta'!$R92*'Emisiones Tierras forestales'!F$38</f>
        <v>-0.35786874983469696</v>
      </c>
      <c r="G45" s="112">
        <f>+'5ta'!$R92*'Emisiones Tierras forestales'!G$38</f>
        <v>-0.37847038327112681</v>
      </c>
      <c r="H45" s="112">
        <f>+'5ta'!$R92*'Emisiones Tierras forestales'!H$38</f>
        <v>-0.39907201670755665</v>
      </c>
      <c r="I45" s="112">
        <f>+'5ta'!$R92*'Emisiones Tierras forestales'!I$38</f>
        <v>-0.28614991794214889</v>
      </c>
      <c r="J45" s="112">
        <f>+'5ta'!$R92*'Emisiones Tierras forestales'!J$38</f>
        <v>-0.17322781917674115</v>
      </c>
      <c r="K45" s="112">
        <f>+'5ta'!$R92*'Emisiones Tierras forestales'!K$38</f>
        <v>-0.19334584619447545</v>
      </c>
      <c r="L45" s="112">
        <f>+'5ta'!$R92*'Emisiones Tierras forestales'!L$38</f>
        <v>-0.19334584619447545</v>
      </c>
      <c r="M45" s="112">
        <f>+'5ta'!$R92*'Emisiones Tierras forestales'!M$38</f>
        <v>-0.11751635974301534</v>
      </c>
      <c r="N45" s="112">
        <f>+'5ta'!$R92*'Emisiones Tierras forestales'!N$38</f>
        <v>-0.11751635974301534</v>
      </c>
    </row>
    <row r="46" spans="1:14" ht="15.75" x14ac:dyDescent="0.25">
      <c r="A46" s="502" t="s">
        <v>25</v>
      </c>
      <c r="B46" s="112">
        <f>+'5ta'!$R93*'Emisiones Tierras forestales'!B$38</f>
        <v>-3.9649058902159647E-2</v>
      </c>
      <c r="C46" s="112">
        <f>+'5ta'!$R93*'Emisiones Tierras forestales'!C$38</f>
        <v>-3.9649058902159647E-2</v>
      </c>
      <c r="D46" s="112">
        <f>+'5ta'!$R93*'Emisiones Tierras forestales'!D$38</f>
        <v>-3.9649058902159647E-2</v>
      </c>
      <c r="E46" s="112">
        <f>+'5ta'!$R93*'Emisiones Tierras forestales'!E$38</f>
        <v>-3.9649058902159647E-2</v>
      </c>
      <c r="F46" s="112">
        <f>+'5ta'!$R93*'Emisiones Tierras forestales'!F$38</f>
        <v>-3.9649058902159647E-2</v>
      </c>
      <c r="G46" s="112">
        <f>+'5ta'!$R93*'Emisiones Tierras forestales'!G$38</f>
        <v>-4.1931558779500187E-2</v>
      </c>
      <c r="H46" s="112">
        <f>+'5ta'!$R93*'Emisiones Tierras forestales'!H$38</f>
        <v>-4.4214058656840728E-2</v>
      </c>
      <c r="I46" s="112">
        <f>+'5ta'!$R93*'Emisiones Tierras forestales'!I$38</f>
        <v>-3.1703173178929546E-2</v>
      </c>
      <c r="J46" s="112">
        <f>+'5ta'!$R93*'Emisiones Tierras forestales'!J$38</f>
        <v>-1.9192287701018357E-2</v>
      </c>
      <c r="K46" s="112">
        <f>+'5ta'!$R93*'Emisiones Tierras forestales'!K$38</f>
        <v>-2.1421207769031655E-2</v>
      </c>
      <c r="L46" s="112">
        <f>+'5ta'!$R93*'Emisiones Tierras forestales'!L$38</f>
        <v>-2.1421207769031655E-2</v>
      </c>
      <c r="M46" s="112">
        <f>+'5ta'!$R93*'Emisiones Tierras forestales'!M$38</f>
        <v>-1.3019893666519991E-2</v>
      </c>
      <c r="N46" s="112">
        <f>+'5ta'!$R93*'Emisiones Tierras forestales'!N$38</f>
        <v>-1.3019893666519991E-2</v>
      </c>
    </row>
    <row r="47" spans="1:14" ht="15.75" x14ac:dyDescent="0.25">
      <c r="A47" s="502" t="s">
        <v>26</v>
      </c>
      <c r="B47" s="112">
        <f>+'5ta'!$R94*'Emisiones Tierras forestales'!B$38</f>
        <v>-9.8469281813937624E-3</v>
      </c>
      <c r="C47" s="112">
        <f>+'5ta'!$R94*'Emisiones Tierras forestales'!C$38</f>
        <v>-9.8469281813937624E-3</v>
      </c>
      <c r="D47" s="112">
        <f>+'5ta'!$R94*'Emisiones Tierras forestales'!D$38</f>
        <v>-9.8469281813937624E-3</v>
      </c>
      <c r="E47" s="112">
        <f>+'5ta'!$R94*'Emisiones Tierras forestales'!E$38</f>
        <v>-9.8469281813937624E-3</v>
      </c>
      <c r="F47" s="112">
        <f>+'5ta'!$R94*'Emisiones Tierras forestales'!F$38</f>
        <v>-9.8469281813937624E-3</v>
      </c>
      <c r="G47" s="112">
        <f>+'5ta'!$R94*'Emisiones Tierras forestales'!G$38</f>
        <v>-1.0413791884809133E-2</v>
      </c>
      <c r="H47" s="112">
        <f>+'5ta'!$R94*'Emisiones Tierras forestales'!H$38</f>
        <v>-1.0980655588224503E-2</v>
      </c>
      <c r="I47" s="112">
        <f>+'5ta'!$R94*'Emisiones Tierras forestales'!I$38</f>
        <v>-7.8735505472036331E-3</v>
      </c>
      <c r="J47" s="112">
        <f>+'5ta'!$R94*'Emisiones Tierras forestales'!J$38</f>
        <v>-4.7664455061827635E-3</v>
      </c>
      <c r="K47" s="112">
        <f>+'5ta'!$R94*'Emisiones Tierras forestales'!K$38</f>
        <v>-5.3200025498935481E-3</v>
      </c>
      <c r="L47" s="112">
        <f>+'5ta'!$R94*'Emisiones Tierras forestales'!L$38</f>
        <v>-5.3200025498935481E-3</v>
      </c>
      <c r="M47" s="112">
        <f>+'5ta'!$R94*'Emisiones Tierras forestales'!M$38</f>
        <v>-3.2335183082144374E-3</v>
      </c>
      <c r="N47" s="112">
        <f>+'5ta'!$R94*'Emisiones Tierras forestales'!N$38</f>
        <v>-3.2335183082144374E-3</v>
      </c>
    </row>
    <row r="48" spans="1:14" ht="15.75" x14ac:dyDescent="0.25">
      <c r="A48" s="502" t="s">
        <v>27</v>
      </c>
      <c r="B48" s="112">
        <f>+'5ta'!$R95*'Emisiones Tierras forestales'!B$38</f>
        <v>-4.1178168124021128E-2</v>
      </c>
      <c r="C48" s="112">
        <f>+'5ta'!$R95*'Emisiones Tierras forestales'!C$38</f>
        <v>-4.1178168124021128E-2</v>
      </c>
      <c r="D48" s="112">
        <f>+'5ta'!$R95*'Emisiones Tierras forestales'!D$38</f>
        <v>-4.1178168124021128E-2</v>
      </c>
      <c r="E48" s="112">
        <f>+'5ta'!$R95*'Emisiones Tierras forestales'!E$38</f>
        <v>-4.1178168124021128E-2</v>
      </c>
      <c r="F48" s="112">
        <f>+'5ta'!$R95*'Emisiones Tierras forestales'!F$38</f>
        <v>-4.1178168124021128E-2</v>
      </c>
      <c r="G48" s="112">
        <f>+'5ta'!$R95*'Emisiones Tierras forestales'!G$38</f>
        <v>-4.3548695099809367E-2</v>
      </c>
      <c r="H48" s="112">
        <f>+'5ta'!$R95*'Emisiones Tierras forestales'!H$38</f>
        <v>-4.5919222075597614E-2</v>
      </c>
      <c r="I48" s="112">
        <f>+'5ta'!$R95*'Emisiones Tierras forestales'!I$38</f>
        <v>-3.2925840647274725E-2</v>
      </c>
      <c r="J48" s="112">
        <f>+'5ta'!$R95*'Emisiones Tierras forestales'!J$38</f>
        <v>-1.9932459218951846E-2</v>
      </c>
      <c r="K48" s="112">
        <f>+'5ta'!$R95*'Emisiones Tierras forestales'!K$38</f>
        <v>-2.2247340021599522E-2</v>
      </c>
      <c r="L48" s="112">
        <f>+'5ta'!$R95*'Emisiones Tierras forestales'!L$38</f>
        <v>-2.2247340021599522E-2</v>
      </c>
      <c r="M48" s="112">
        <f>+'5ta'!$R95*'Emisiones Tierras forestales'!M$38</f>
        <v>-1.3522020073158288E-2</v>
      </c>
      <c r="N48" s="112">
        <f>+'5ta'!$R95*'Emisiones Tierras forestales'!N$38</f>
        <v>-1.3522020073158288E-2</v>
      </c>
    </row>
    <row r="49" spans="1:14" ht="15.75" x14ac:dyDescent="0.25">
      <c r="A49" s="503" t="s">
        <v>14</v>
      </c>
      <c r="B49" s="122">
        <f t="shared" ref="B49:N49" si="10">+SUM(B40:B48)</f>
        <v>-0.76330475833333322</v>
      </c>
      <c r="C49" s="122">
        <f t="shared" si="10"/>
        <v>-0.76330475833333322</v>
      </c>
      <c r="D49" s="122">
        <f t="shared" si="10"/>
        <v>-0.76330475833333322</v>
      </c>
      <c r="E49" s="122">
        <f t="shared" si="10"/>
        <v>-0.76330475833333322</v>
      </c>
      <c r="F49" s="122">
        <f t="shared" si="10"/>
        <v>-0.76330475833333322</v>
      </c>
      <c r="G49" s="122">
        <f t="shared" si="10"/>
        <v>-0.80724635658333332</v>
      </c>
      <c r="H49" s="122">
        <f t="shared" si="10"/>
        <v>-0.85118795483333309</v>
      </c>
      <c r="I49" s="122">
        <f t="shared" si="10"/>
        <v>-0.61033435879166664</v>
      </c>
      <c r="J49" s="122">
        <f t="shared" si="10"/>
        <v>-0.36948076274999991</v>
      </c>
      <c r="K49" s="122">
        <f t="shared" si="10"/>
        <v>-0.41239086808333325</v>
      </c>
      <c r="L49" s="122">
        <f t="shared" si="10"/>
        <v>-0.41239086808333325</v>
      </c>
      <c r="M49" s="122">
        <f t="shared" si="10"/>
        <v>-0.25065277874999997</v>
      </c>
      <c r="N49" s="122">
        <f t="shared" si="10"/>
        <v>-0.25065277874999997</v>
      </c>
    </row>
    <row r="50" spans="1:14" ht="15.75" x14ac:dyDescent="0.25">
      <c r="A50" s="503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</row>
    <row r="51" spans="1:14" ht="15.75" x14ac:dyDescent="0.25">
      <c r="A51" s="119" t="s">
        <v>118</v>
      </c>
      <c r="B51" s="122">
        <f>+'5ta'!C90/1000</f>
        <v>3.6999999999999998E-2</v>
      </c>
      <c r="C51" s="122">
        <f>+'5ta'!D90/1000</f>
        <v>3.6999999999999998E-2</v>
      </c>
      <c r="D51" s="122">
        <f>+'5ta'!E90/1000</f>
        <v>3.6999999999999998E-2</v>
      </c>
      <c r="E51" s="122">
        <f>+'5ta'!F90/1000</f>
        <v>3.6999999999999998E-2</v>
      </c>
      <c r="F51" s="122">
        <f>+'5ta'!G90/1000</f>
        <v>3.6999999999999998E-2</v>
      </c>
      <c r="G51" s="122">
        <f>+'5ta'!H90/1000</f>
        <v>3.9129999999999998E-2</v>
      </c>
      <c r="H51" s="122">
        <f>+'5ta'!I90/1000</f>
        <v>4.1259999999999998E-2</v>
      </c>
      <c r="I51" s="122">
        <f>+'5ta'!J90/1000</f>
        <v>2.9585E-2</v>
      </c>
      <c r="J51" s="122">
        <f>+'5ta'!K90/1000</f>
        <v>1.7909999999999999E-2</v>
      </c>
      <c r="K51" s="122">
        <f>+'5ta'!L90/1000</f>
        <v>1.9989999999999997E-2</v>
      </c>
      <c r="L51" s="122">
        <f>+'5ta'!M90/1000</f>
        <v>1.9989999999999997E-2</v>
      </c>
      <c r="M51" s="122">
        <f>+'5ta'!N90/1000</f>
        <v>1.2150000000000001E-2</v>
      </c>
      <c r="N51" s="122">
        <f>+'5ta'!O90/1000</f>
        <v>1.2150000000000001E-2</v>
      </c>
    </row>
    <row r="52" spans="1:14" x14ac:dyDescent="0.25">
      <c r="B52" s="1">
        <v>2010</v>
      </c>
      <c r="C52" s="1">
        <v>2011</v>
      </c>
      <c r="D52" s="1">
        <v>2012</v>
      </c>
      <c r="E52" s="1">
        <v>2013</v>
      </c>
      <c r="F52" s="1">
        <v>2014</v>
      </c>
      <c r="G52" s="1">
        <v>2015</v>
      </c>
      <c r="H52" s="1">
        <v>2016</v>
      </c>
      <c r="I52" s="1">
        <v>2017</v>
      </c>
      <c r="J52" s="1">
        <v>2018</v>
      </c>
      <c r="K52" s="1">
        <v>2019</v>
      </c>
      <c r="L52" s="1">
        <v>2020</v>
      </c>
      <c r="M52" s="1">
        <v>2021</v>
      </c>
      <c r="N52" s="1">
        <v>2022</v>
      </c>
    </row>
    <row r="53" spans="1:14" ht="15.75" x14ac:dyDescent="0.25">
      <c r="A53" s="502" t="s">
        <v>18</v>
      </c>
      <c r="B53" s="74">
        <f>+'Cambio uso de suelo (BAU)'!D118</f>
        <v>9.069093063975886E-5</v>
      </c>
      <c r="C53" s="74">
        <f>+'Cambio uso de suelo (BAU)'!E118</f>
        <v>9.069093063975886E-5</v>
      </c>
      <c r="D53" s="74">
        <f>+'Cambio uso de suelo (BAU)'!F118</f>
        <v>9.069093063975886E-5</v>
      </c>
      <c r="E53" s="74">
        <f>+'Cambio uso de suelo (BAU)'!G118</f>
        <v>9.069093063975886E-5</v>
      </c>
      <c r="F53" s="74">
        <f>+'Cambio uso de suelo (BAU)'!H118</f>
        <v>9.069093063975886E-5</v>
      </c>
      <c r="G53" s="74">
        <f>+'Cambio uso de suelo (BAU)'!I118</f>
        <v>9.5911786917128746E-5</v>
      </c>
      <c r="H53" s="74">
        <f>+'Cambio uso de suelo (BAU)'!J118</f>
        <v>1.0113264319449865E-4</v>
      </c>
      <c r="I53" s="74">
        <f>+'Cambio uso de suelo (BAU)'!K118</f>
        <v>7.2515977918304487E-5</v>
      </c>
      <c r="J53" s="74">
        <f>+'Cambio uso de suelo (BAU)'!L118</f>
        <v>4.3899312642110301E-5</v>
      </c>
      <c r="K53" s="74">
        <f>+'Cambio uso de suelo (BAU)'!M118</f>
        <v>4.8997613607804851E-5</v>
      </c>
      <c r="L53" s="74">
        <f>+'Cambio uso de suelo (BAU)'!N118</f>
        <v>4.8997613607804851E-5</v>
      </c>
      <c r="M53" s="74">
        <f>+'Cambio uso de suelo (BAU)'!O118</f>
        <v>2.9780940737110003E-5</v>
      </c>
      <c r="N53" s="74">
        <f>+'Cambio uso de suelo (BAU)'!P118</f>
        <v>2.9780940737110003E-5</v>
      </c>
    </row>
    <row r="54" spans="1:14" ht="15.75" x14ac:dyDescent="0.25">
      <c r="A54" s="502" t="s">
        <v>20</v>
      </c>
      <c r="B54" s="74">
        <f>+'Cambio uso de suelo (BAU)'!D119</f>
        <v>8.856137945509715E-4</v>
      </c>
      <c r="C54" s="74">
        <f>+'Cambio uso de suelo (BAU)'!E119</f>
        <v>8.856137945509715E-4</v>
      </c>
      <c r="D54" s="74">
        <f>+'Cambio uso de suelo (BAU)'!F119</f>
        <v>8.856137945509715E-4</v>
      </c>
      <c r="E54" s="74">
        <f>+'Cambio uso de suelo (BAU)'!G119</f>
        <v>8.856137945509715E-4</v>
      </c>
      <c r="F54" s="74">
        <f>+'Cambio uso de suelo (BAU)'!H119</f>
        <v>8.856137945509715E-4</v>
      </c>
      <c r="G54" s="74">
        <f>+'Cambio uso de suelo (BAU)'!I119</f>
        <v>9.3659642650755436E-4</v>
      </c>
      <c r="H54" s="74">
        <f>+'Cambio uso de suelo (BAU)'!J119</f>
        <v>9.8757905846413733E-4</v>
      </c>
      <c r="I54" s="74">
        <f>+'Cambio uso de suelo (BAU)'!K119</f>
        <v>7.0813200302136472E-4</v>
      </c>
      <c r="J54" s="74">
        <f>+'Cambio uso de suelo (BAU)'!L119</f>
        <v>4.286849475785919E-4</v>
      </c>
      <c r="K54" s="74">
        <f>+'Cambio uso de suelo (BAU)'!M119</f>
        <v>4.7847080413713296E-4</v>
      </c>
      <c r="L54" s="74">
        <f>+'Cambio uso de suelo (BAU)'!N119</f>
        <v>4.7847080413713296E-4</v>
      </c>
      <c r="M54" s="74">
        <f>+'Cambio uso de suelo (BAU)'!O119</f>
        <v>2.908164217241704E-4</v>
      </c>
      <c r="N54" s="74">
        <f>+'Cambio uso de suelo (BAU)'!P119</f>
        <v>2.908164217241704E-4</v>
      </c>
    </row>
    <row r="55" spans="1:14" ht="15.75" x14ac:dyDescent="0.25">
      <c r="A55" s="502" t="s">
        <v>21</v>
      </c>
      <c r="B55" s="74">
        <f>+'Cambio uso de suelo (BAU)'!D120</f>
        <v>8.4683257256326049E-3</v>
      </c>
      <c r="C55" s="74">
        <f>+'Cambio uso de suelo (BAU)'!E120</f>
        <v>8.4683257256326049E-3</v>
      </c>
      <c r="D55" s="74">
        <f>+'Cambio uso de suelo (BAU)'!F120</f>
        <v>8.4683257256326049E-3</v>
      </c>
      <c r="E55" s="74">
        <f>+'Cambio uso de suelo (BAU)'!G120</f>
        <v>8.4683257256326049E-3</v>
      </c>
      <c r="F55" s="74">
        <f>+'Cambio uso de suelo (BAU)'!H120</f>
        <v>8.4683257256326049E-3</v>
      </c>
      <c r="G55" s="74">
        <f>+'Cambio uso de suelo (BAU)'!I120</f>
        <v>8.9558266390271299E-3</v>
      </c>
      <c r="H55" s="74">
        <f>+'Cambio uso de suelo (BAU)'!J120</f>
        <v>9.4433275524216549E-3</v>
      </c>
      <c r="I55" s="74">
        <f>+'Cambio uso de suelo (BAU)'!K120</f>
        <v>6.7712274754821783E-3</v>
      </c>
      <c r="J55" s="74">
        <f>+'Cambio uso de suelo (BAU)'!L120</f>
        <v>4.0991273985427016E-3</v>
      </c>
      <c r="K55" s="74">
        <f>+'Cambio uso de suelo (BAU)'!M120</f>
        <v>4.5751846285242096E-3</v>
      </c>
      <c r="L55" s="74">
        <f>+'Cambio uso de suelo (BAU)'!N120</f>
        <v>4.5751846285242096E-3</v>
      </c>
      <c r="M55" s="74">
        <f>+'Cambio uso de suelo (BAU)'!O120</f>
        <v>2.7808150693631392E-3</v>
      </c>
      <c r="N55" s="74">
        <f>+'Cambio uso de suelo (BAU)'!P120</f>
        <v>2.7808150693631392E-3</v>
      </c>
    </row>
    <row r="56" spans="1:14" ht="15.75" x14ac:dyDescent="0.25">
      <c r="A56" s="502" t="s">
        <v>22</v>
      </c>
      <c r="B56" s="74">
        <f>+'Cambio uso de suelo (BAU)'!D121</f>
        <v>3.4423197971978517E-3</v>
      </c>
      <c r="C56" s="74">
        <f>+'Cambio uso de suelo (BAU)'!E121</f>
        <v>3.4423197971978517E-3</v>
      </c>
      <c r="D56" s="74">
        <f>+'Cambio uso de suelo (BAU)'!F121</f>
        <v>3.4423197971978517E-3</v>
      </c>
      <c r="E56" s="74">
        <f>+'Cambio uso de suelo (BAU)'!G121</f>
        <v>3.4423197971978517E-3</v>
      </c>
      <c r="F56" s="74">
        <f>+'Cambio uso de suelo (BAU)'!H121</f>
        <v>3.4423197971978517E-3</v>
      </c>
      <c r="G56" s="74">
        <f>+'Cambio uso de suelo (BAU)'!I121</f>
        <v>3.6404857747122138E-3</v>
      </c>
      <c r="H56" s="74">
        <f>+'Cambio uso de suelo (BAU)'!J121</f>
        <v>3.8386517522265773E-3</v>
      </c>
      <c r="I56" s="74">
        <f>+'Cambio uso de suelo (BAU)'!K121</f>
        <v>2.7524603027053629E-3</v>
      </c>
      <c r="J56" s="74">
        <f>+'Cambio uso de suelo (BAU)'!L121</f>
        <v>1.6662688531841492E-3</v>
      </c>
      <c r="K56" s="74">
        <f>+'Cambio uso de suelo (BAU)'!M121</f>
        <v>1.8597830471887851E-3</v>
      </c>
      <c r="L56" s="74">
        <f>+'Cambio uso de suelo (BAU)'!N121</f>
        <v>1.8597830471887851E-3</v>
      </c>
      <c r="M56" s="74">
        <f>+'Cambio uso de suelo (BAU)'!O121</f>
        <v>1.1303833928636188E-3</v>
      </c>
      <c r="N56" s="74">
        <f>+'Cambio uso de suelo (BAU)'!P121</f>
        <v>1.1303833928636188E-3</v>
      </c>
    </row>
    <row r="57" spans="1:14" ht="15.75" x14ac:dyDescent="0.25">
      <c r="A57" s="502" t="s">
        <v>23</v>
      </c>
      <c r="B57" s="74">
        <f>+'Cambio uso de suelo (BAU)'!D122</f>
        <v>2.3706365082812315E-3</v>
      </c>
      <c r="C57" s="74">
        <f>+'Cambio uso de suelo (BAU)'!E122</f>
        <v>2.3706365082812315E-3</v>
      </c>
      <c r="D57" s="74">
        <f>+'Cambio uso de suelo (BAU)'!F122</f>
        <v>2.3706365082812315E-3</v>
      </c>
      <c r="E57" s="74">
        <f>+'Cambio uso de suelo (BAU)'!G122</f>
        <v>2.3706365082812315E-3</v>
      </c>
      <c r="F57" s="74">
        <f>+'Cambio uso de suelo (BAU)'!H122</f>
        <v>2.3706365082812315E-3</v>
      </c>
      <c r="G57" s="74">
        <f>+'Cambio uso de suelo (BAU)'!I122</f>
        <v>2.5071082856498532E-3</v>
      </c>
      <c r="H57" s="74">
        <f>+'Cambio uso de suelo (BAU)'!J122</f>
        <v>2.6435800630184758E-3</v>
      </c>
      <c r="I57" s="74">
        <f>+'Cambio uso de suelo (BAU)'!K122</f>
        <v>1.8955481377702765E-3</v>
      </c>
      <c r="J57" s="74">
        <f>+'Cambio uso de suelo (BAU)'!L122</f>
        <v>1.1475162125220773E-3</v>
      </c>
      <c r="K57" s="74">
        <f>+'Cambio uso de suelo (BAU)'!M122</f>
        <v>1.2807844270416706E-3</v>
      </c>
      <c r="L57" s="74">
        <f>+'Cambio uso de suelo (BAU)'!N122</f>
        <v>1.2807844270416706E-3</v>
      </c>
      <c r="M57" s="74">
        <f>+'Cambio uso de suelo (BAU)'!O122</f>
        <v>7.7846577231397199E-4</v>
      </c>
      <c r="N57" s="74">
        <f>+'Cambio uso de suelo (BAU)'!P122</f>
        <v>7.7846577231397199E-4</v>
      </c>
    </row>
    <row r="58" spans="1:14" ht="15.75" x14ac:dyDescent="0.25">
      <c r="A58" s="502" t="s">
        <v>24</v>
      </c>
      <c r="B58" s="74">
        <f>+'Cambio uso de suelo (BAU)'!D123</f>
        <v>1.7347125901318452E-2</v>
      </c>
      <c r="C58" s="74">
        <f>+'Cambio uso de suelo (BAU)'!E123</f>
        <v>1.7347125901318452E-2</v>
      </c>
      <c r="D58" s="74">
        <f>+'Cambio uso de suelo (BAU)'!F123</f>
        <v>1.7347125901318452E-2</v>
      </c>
      <c r="E58" s="74">
        <f>+'Cambio uso de suelo (BAU)'!G123</f>
        <v>1.7347125901318452E-2</v>
      </c>
      <c r="F58" s="74">
        <f>+'Cambio uso de suelo (BAU)'!H123</f>
        <v>1.7347125901318452E-2</v>
      </c>
      <c r="G58" s="74">
        <f>+'Cambio uso de suelo (BAU)'!I123</f>
        <v>1.8345757743745701E-2</v>
      </c>
      <c r="H58" s="74">
        <f>+'Cambio uso de suelo (BAU)'!J123</f>
        <v>1.9344389586172954E-2</v>
      </c>
      <c r="I58" s="74">
        <f>+'Cambio uso de suelo (BAU)'!K123</f>
        <v>1.387066810244612E-2</v>
      </c>
      <c r="J58" s="74">
        <f>+'Cambio uso de suelo (BAU)'!L123</f>
        <v>8.396946618719283E-3</v>
      </c>
      <c r="K58" s="74">
        <f>+'Cambio uso de suelo (BAU)'!M123</f>
        <v>9.3721363991177246E-3</v>
      </c>
      <c r="L58" s="74">
        <f>+'Cambio uso de suelo (BAU)'!N123</f>
        <v>9.3721363991177246E-3</v>
      </c>
      <c r="M58" s="74">
        <f>+'Cambio uso de suelo (BAU)'!O123</f>
        <v>5.6964210730005181E-3</v>
      </c>
      <c r="N58" s="74">
        <f>+'Cambio uso de suelo (BAU)'!P123</f>
        <v>5.6964210730005181E-3</v>
      </c>
    </row>
    <row r="59" spans="1:14" ht="15.75" x14ac:dyDescent="0.25">
      <c r="A59" s="502" t="s">
        <v>25</v>
      </c>
      <c r="B59" s="74">
        <f>+'Cambio uso de suelo (BAU)'!D124</f>
        <v>1.9219258931165539E-3</v>
      </c>
      <c r="C59" s="74">
        <f>+'Cambio uso de suelo (BAU)'!E124</f>
        <v>1.9219258931165539E-3</v>
      </c>
      <c r="D59" s="74">
        <f>+'Cambio uso de suelo (BAU)'!F124</f>
        <v>1.9219258931165539E-3</v>
      </c>
      <c r="E59" s="74">
        <f>+'Cambio uso de suelo (BAU)'!G124</f>
        <v>1.9219258931165539E-3</v>
      </c>
      <c r="F59" s="74">
        <f>+'Cambio uso de suelo (BAU)'!H124</f>
        <v>1.9219258931165539E-3</v>
      </c>
      <c r="G59" s="74">
        <f>+'Cambio uso de suelo (BAU)'!I124</f>
        <v>2.0325664918283987E-3</v>
      </c>
      <c r="H59" s="74">
        <f>+'Cambio uso de suelo (BAU)'!J124</f>
        <v>2.1432070905402435E-3</v>
      </c>
      <c r="I59" s="74">
        <f>+'Cambio uso de suelo (BAU)'!K124</f>
        <v>1.536761555347385E-3</v>
      </c>
      <c r="J59" s="74">
        <f>+'Cambio uso de suelo (BAU)'!L124</f>
        <v>9.3031602015452642E-4</v>
      </c>
      <c r="K59" s="74">
        <f>+'Cambio uso de suelo (BAU)'!M124</f>
        <v>1.0383594217135111E-3</v>
      </c>
      <c r="L59" s="74">
        <f>+'Cambio uso de suelo (BAU)'!N124</f>
        <v>1.0383594217135111E-3</v>
      </c>
      <c r="M59" s="74">
        <f>+'Cambio uso de suelo (BAU)'!O124</f>
        <v>6.311189081450306E-4</v>
      </c>
      <c r="N59" s="74">
        <f>+'Cambio uso de suelo (BAU)'!P124</f>
        <v>6.311189081450306E-4</v>
      </c>
    </row>
    <row r="60" spans="1:14" ht="15.75" x14ac:dyDescent="0.25">
      <c r="A60" s="502" t="s">
        <v>26</v>
      </c>
      <c r="B60" s="74">
        <f>+'Cambio uso de suelo (BAU)'!D125</f>
        <v>4.7731438686048961E-4</v>
      </c>
      <c r="C60" s="74">
        <f>+'Cambio uso de suelo (BAU)'!E125</f>
        <v>4.7731438686048961E-4</v>
      </c>
      <c r="D60" s="74">
        <f>+'Cambio uso de suelo (BAU)'!F125</f>
        <v>4.7731438686048961E-4</v>
      </c>
      <c r="E60" s="74">
        <f>+'Cambio uso de suelo (BAU)'!G125</f>
        <v>4.7731438686048961E-4</v>
      </c>
      <c r="F60" s="74">
        <f>+'Cambio uso de suelo (BAU)'!H125</f>
        <v>4.7731438686048961E-4</v>
      </c>
      <c r="G60" s="74">
        <f>+'Cambio uso de suelo (BAU)'!I125</f>
        <v>5.0479221507705285E-4</v>
      </c>
      <c r="H60" s="74">
        <f>+'Cambio uso de suelo (BAU)'!J125</f>
        <v>5.3227004329361614E-4</v>
      </c>
      <c r="I60" s="74">
        <f>+'Cambio uso de suelo (BAU)'!K125</f>
        <v>3.8165800365588066E-4</v>
      </c>
      <c r="J60" s="74">
        <f>+'Cambio uso de suelo (BAU)'!L125</f>
        <v>2.3104596401814508E-4</v>
      </c>
      <c r="K60" s="74">
        <f>+'Cambio uso de suelo (BAU)'!M125</f>
        <v>2.57878772793005E-4</v>
      </c>
      <c r="L60" s="74">
        <f>+'Cambio uso de suelo (BAU)'!N125</f>
        <v>2.57878772793005E-4</v>
      </c>
      <c r="M60" s="74">
        <f>+'Cambio uso de suelo (BAU)'!O125</f>
        <v>1.5673972433391753E-4</v>
      </c>
      <c r="N60" s="74">
        <f>+'Cambio uso de suelo (BAU)'!P125</f>
        <v>1.5673972433391753E-4</v>
      </c>
    </row>
    <row r="61" spans="1:14" ht="15.75" x14ac:dyDescent="0.25">
      <c r="A61" s="502" t="s">
        <v>27</v>
      </c>
      <c r="B61" s="74">
        <f>+'Cambio uso de suelo (BAU)'!D126</f>
        <v>1.9960470624020826E-3</v>
      </c>
      <c r="C61" s="74">
        <f>+'Cambio uso de suelo (BAU)'!E126</f>
        <v>1.9960470624020826E-3</v>
      </c>
      <c r="D61" s="74">
        <f>+'Cambio uso de suelo (BAU)'!F126</f>
        <v>1.9960470624020826E-3</v>
      </c>
      <c r="E61" s="74">
        <f>+'Cambio uso de suelo (BAU)'!G126</f>
        <v>1.9960470624020826E-3</v>
      </c>
      <c r="F61" s="74">
        <f>+'Cambio uso de suelo (BAU)'!H126</f>
        <v>1.9960470624020826E-3</v>
      </c>
      <c r="G61" s="74">
        <f>+'Cambio uso de suelo (BAU)'!I126</f>
        <v>2.1109546365349588E-3</v>
      </c>
      <c r="H61" s="74">
        <f>+'Cambio uso de suelo (BAU)'!J126</f>
        <v>2.2258622106678359E-3</v>
      </c>
      <c r="I61" s="74">
        <f>+'Cambio uso de suelo (BAU)'!K126</f>
        <v>1.5960284416531246E-3</v>
      </c>
      <c r="J61" s="74">
        <f>+'Cambio uso de suelo (BAU)'!L126</f>
        <v>9.6619467263841347E-4</v>
      </c>
      <c r="K61" s="74">
        <f>+'Cambio uso de suelo (BAU)'!M126</f>
        <v>1.0784048858761522E-3</v>
      </c>
      <c r="L61" s="74">
        <f>+'Cambio uso de suelo (BAU)'!N126</f>
        <v>1.0784048858761522E-3</v>
      </c>
      <c r="M61" s="74">
        <f>+'Cambio uso de suelo (BAU)'!O126</f>
        <v>6.5545869751852182E-4</v>
      </c>
      <c r="N61" s="74">
        <f>+'Cambio uso de suelo (BAU)'!P126</f>
        <v>6.5545869751852182E-4</v>
      </c>
    </row>
    <row r="62" spans="1:14" ht="15.75" x14ac:dyDescent="0.25">
      <c r="A62" s="504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</row>
    <row r="63" spans="1:14" ht="16.5" thickBot="1" x14ac:dyDescent="0.3">
      <c r="A63" s="119" t="s">
        <v>119</v>
      </c>
      <c r="B63" s="1">
        <v>2010</v>
      </c>
      <c r="C63" s="1">
        <v>2011</v>
      </c>
      <c r="D63" s="1">
        <v>2012</v>
      </c>
      <c r="E63" s="1">
        <v>2013</v>
      </c>
      <c r="F63" s="1">
        <v>2014</v>
      </c>
      <c r="G63" s="1">
        <v>2015</v>
      </c>
      <c r="H63" s="1">
        <v>2016</v>
      </c>
      <c r="I63" s="1">
        <v>2017</v>
      </c>
      <c r="J63" s="1">
        <v>2018</v>
      </c>
      <c r="K63" s="1">
        <v>2019</v>
      </c>
      <c r="L63" s="1">
        <v>2020</v>
      </c>
      <c r="M63" s="1">
        <v>2021</v>
      </c>
      <c r="N63" s="1">
        <v>2022</v>
      </c>
    </row>
    <row r="64" spans="1:14" x14ac:dyDescent="0.25">
      <c r="A64" s="512" t="s">
        <v>141</v>
      </c>
      <c r="B64" s="126">
        <f t="shared" ref="B64:N64" si="11">+B40/B53</f>
        <v>-20.629858333333331</v>
      </c>
      <c r="C64" s="126">
        <f t="shared" si="11"/>
        <v>-20.629858333333331</v>
      </c>
      <c r="D64" s="126">
        <f t="shared" si="11"/>
        <v>-20.629858333333331</v>
      </c>
      <c r="E64" s="126">
        <f t="shared" si="11"/>
        <v>-20.629858333333331</v>
      </c>
      <c r="F64" s="126">
        <f t="shared" si="11"/>
        <v>-20.629858333333331</v>
      </c>
      <c r="G64" s="126">
        <f t="shared" si="11"/>
        <v>-20.629858333333338</v>
      </c>
      <c r="H64" s="126">
        <f t="shared" si="11"/>
        <v>-20.629858333333335</v>
      </c>
      <c r="I64" s="126">
        <f t="shared" si="11"/>
        <v>-20.629858333333331</v>
      </c>
      <c r="J64" s="126">
        <f t="shared" si="11"/>
        <v>-20.629858333333331</v>
      </c>
      <c r="K64" s="126">
        <f t="shared" si="11"/>
        <v>-20.629858333333331</v>
      </c>
      <c r="L64" s="126">
        <f t="shared" si="11"/>
        <v>-20.629858333333331</v>
      </c>
      <c r="M64" s="126">
        <f t="shared" si="11"/>
        <v>-20.629858333333331</v>
      </c>
      <c r="N64" s="126">
        <f t="shared" si="11"/>
        <v>-20.629858333333331</v>
      </c>
    </row>
    <row r="65" spans="1:14" x14ac:dyDescent="0.25">
      <c r="A65" s="513" t="s">
        <v>142</v>
      </c>
      <c r="B65" s="126">
        <f t="shared" ref="B65:N65" si="12">+B41/B54</f>
        <v>-20.629858333333335</v>
      </c>
      <c r="C65" s="126">
        <f t="shared" si="12"/>
        <v>-20.629858333333335</v>
      </c>
      <c r="D65" s="126">
        <f t="shared" si="12"/>
        <v>-20.629858333333335</v>
      </c>
      <c r="E65" s="126">
        <f t="shared" si="12"/>
        <v>-20.629858333333335</v>
      </c>
      <c r="F65" s="126">
        <f t="shared" si="12"/>
        <v>-20.629858333333335</v>
      </c>
      <c r="G65" s="126">
        <f t="shared" si="12"/>
        <v>-20.629858333333335</v>
      </c>
      <c r="H65" s="126">
        <f t="shared" si="12"/>
        <v>-20.629858333333335</v>
      </c>
      <c r="I65" s="126">
        <f t="shared" si="12"/>
        <v>-20.629858333333331</v>
      </c>
      <c r="J65" s="126">
        <f t="shared" si="12"/>
        <v>-20.629858333333331</v>
      </c>
      <c r="K65" s="126">
        <f t="shared" si="12"/>
        <v>-20.629858333333331</v>
      </c>
      <c r="L65" s="126">
        <f t="shared" si="12"/>
        <v>-20.629858333333331</v>
      </c>
      <c r="M65" s="126">
        <f t="shared" si="12"/>
        <v>-20.629858333333328</v>
      </c>
      <c r="N65" s="126">
        <f t="shared" si="12"/>
        <v>-20.629858333333328</v>
      </c>
    </row>
    <row r="66" spans="1:14" x14ac:dyDescent="0.25">
      <c r="A66" s="513" t="s">
        <v>143</v>
      </c>
      <c r="B66" s="126">
        <f t="shared" ref="B66:N66" si="13">+B42/B55</f>
        <v>-20.629858333333331</v>
      </c>
      <c r="C66" s="126">
        <f t="shared" si="13"/>
        <v>-20.629858333333331</v>
      </c>
      <c r="D66" s="126">
        <f t="shared" si="13"/>
        <v>-20.629858333333331</v>
      </c>
      <c r="E66" s="126">
        <f t="shared" si="13"/>
        <v>-20.629858333333331</v>
      </c>
      <c r="F66" s="126">
        <f t="shared" si="13"/>
        <v>-20.629858333333331</v>
      </c>
      <c r="G66" s="126">
        <f t="shared" si="13"/>
        <v>-20.629858333333335</v>
      </c>
      <c r="H66" s="126">
        <f t="shared" si="13"/>
        <v>-20.629858333333335</v>
      </c>
      <c r="I66" s="126">
        <f t="shared" si="13"/>
        <v>-20.629858333333335</v>
      </c>
      <c r="J66" s="126">
        <f t="shared" si="13"/>
        <v>-20.629858333333331</v>
      </c>
      <c r="K66" s="126">
        <f t="shared" si="13"/>
        <v>-20.629858333333335</v>
      </c>
      <c r="L66" s="126">
        <f t="shared" si="13"/>
        <v>-20.629858333333335</v>
      </c>
      <c r="M66" s="126">
        <f t="shared" si="13"/>
        <v>-20.629858333333328</v>
      </c>
      <c r="N66" s="126">
        <f t="shared" si="13"/>
        <v>-20.629858333333328</v>
      </c>
    </row>
    <row r="67" spans="1:14" x14ac:dyDescent="0.25">
      <c r="A67" s="513" t="s">
        <v>144</v>
      </c>
      <c r="B67" s="126">
        <f t="shared" ref="B67:N67" si="14">+B43/B56</f>
        <v>-20.629858333333331</v>
      </c>
      <c r="C67" s="126">
        <f t="shared" si="14"/>
        <v>-20.629858333333331</v>
      </c>
      <c r="D67" s="126">
        <f t="shared" si="14"/>
        <v>-20.629858333333331</v>
      </c>
      <c r="E67" s="126">
        <f t="shared" si="14"/>
        <v>-20.629858333333331</v>
      </c>
      <c r="F67" s="126">
        <f t="shared" si="14"/>
        <v>-20.629858333333331</v>
      </c>
      <c r="G67" s="126">
        <f t="shared" si="14"/>
        <v>-20.629858333333338</v>
      </c>
      <c r="H67" s="126">
        <f t="shared" si="14"/>
        <v>-20.629858333333331</v>
      </c>
      <c r="I67" s="126">
        <f t="shared" si="14"/>
        <v>-20.629858333333335</v>
      </c>
      <c r="J67" s="126">
        <f t="shared" si="14"/>
        <v>-20.629858333333331</v>
      </c>
      <c r="K67" s="126">
        <f t="shared" si="14"/>
        <v>-20.629858333333335</v>
      </c>
      <c r="L67" s="126">
        <f t="shared" si="14"/>
        <v>-20.629858333333335</v>
      </c>
      <c r="M67" s="126">
        <f t="shared" si="14"/>
        <v>-20.629858333333331</v>
      </c>
      <c r="N67" s="126">
        <f t="shared" si="14"/>
        <v>-20.629858333333331</v>
      </c>
    </row>
    <row r="68" spans="1:14" x14ac:dyDescent="0.25">
      <c r="A68" s="513" t="s">
        <v>145</v>
      </c>
      <c r="B68" s="126">
        <f t="shared" ref="B68:N68" si="15">+B44/B57</f>
        <v>-20.629858333333335</v>
      </c>
      <c r="C68" s="126">
        <f t="shared" si="15"/>
        <v>-20.629858333333335</v>
      </c>
      <c r="D68" s="126">
        <f t="shared" si="15"/>
        <v>-20.629858333333335</v>
      </c>
      <c r="E68" s="126">
        <f t="shared" si="15"/>
        <v>-20.629858333333335</v>
      </c>
      <c r="F68" s="126">
        <f t="shared" si="15"/>
        <v>-20.629858333333335</v>
      </c>
      <c r="G68" s="126">
        <f t="shared" si="15"/>
        <v>-20.629858333333338</v>
      </c>
      <c r="H68" s="126">
        <f t="shared" si="15"/>
        <v>-20.629858333333335</v>
      </c>
      <c r="I68" s="126">
        <f t="shared" si="15"/>
        <v>-20.629858333333335</v>
      </c>
      <c r="J68" s="126">
        <f t="shared" si="15"/>
        <v>-20.629858333333331</v>
      </c>
      <c r="K68" s="126">
        <f t="shared" si="15"/>
        <v>-20.629858333333335</v>
      </c>
      <c r="L68" s="126">
        <f t="shared" si="15"/>
        <v>-20.629858333333335</v>
      </c>
      <c r="M68" s="126">
        <f t="shared" si="15"/>
        <v>-20.629858333333331</v>
      </c>
      <c r="N68" s="126">
        <f t="shared" si="15"/>
        <v>-20.629858333333331</v>
      </c>
    </row>
    <row r="69" spans="1:14" x14ac:dyDescent="0.25">
      <c r="A69" s="513" t="s">
        <v>146</v>
      </c>
      <c r="B69" s="126">
        <f t="shared" ref="B69:N69" si="16">+B45/B58</f>
        <v>-20.629858333333331</v>
      </c>
      <c r="C69" s="126">
        <f t="shared" si="16"/>
        <v>-20.629858333333331</v>
      </c>
      <c r="D69" s="126">
        <f t="shared" si="16"/>
        <v>-20.629858333333331</v>
      </c>
      <c r="E69" s="126">
        <f t="shared" si="16"/>
        <v>-20.629858333333331</v>
      </c>
      <c r="F69" s="126">
        <f t="shared" si="16"/>
        <v>-20.629858333333331</v>
      </c>
      <c r="G69" s="126">
        <f t="shared" si="16"/>
        <v>-20.629858333333335</v>
      </c>
      <c r="H69" s="126">
        <f t="shared" si="16"/>
        <v>-20.629858333333331</v>
      </c>
      <c r="I69" s="126">
        <f t="shared" si="16"/>
        <v>-20.629858333333328</v>
      </c>
      <c r="J69" s="126">
        <f t="shared" si="16"/>
        <v>-20.629858333333335</v>
      </c>
      <c r="K69" s="126">
        <f t="shared" si="16"/>
        <v>-20.629858333333335</v>
      </c>
      <c r="L69" s="126">
        <f t="shared" si="16"/>
        <v>-20.629858333333335</v>
      </c>
      <c r="M69" s="126">
        <f t="shared" si="16"/>
        <v>-20.629858333333335</v>
      </c>
      <c r="N69" s="126">
        <f t="shared" si="16"/>
        <v>-20.629858333333335</v>
      </c>
    </row>
    <row r="70" spans="1:14" x14ac:dyDescent="0.25">
      <c r="A70" s="513" t="s">
        <v>147</v>
      </c>
      <c r="B70" s="126">
        <f t="shared" ref="B70:N70" si="17">+B46/B59</f>
        <v>-20.629858333333331</v>
      </c>
      <c r="C70" s="126">
        <f t="shared" si="17"/>
        <v>-20.629858333333331</v>
      </c>
      <c r="D70" s="126">
        <f t="shared" si="17"/>
        <v>-20.629858333333331</v>
      </c>
      <c r="E70" s="126">
        <f t="shared" si="17"/>
        <v>-20.629858333333331</v>
      </c>
      <c r="F70" s="126">
        <f t="shared" si="17"/>
        <v>-20.629858333333331</v>
      </c>
      <c r="G70" s="126">
        <f t="shared" si="17"/>
        <v>-20.629858333333331</v>
      </c>
      <c r="H70" s="126">
        <f t="shared" si="17"/>
        <v>-20.629858333333331</v>
      </c>
      <c r="I70" s="126">
        <f t="shared" si="17"/>
        <v>-20.629858333333335</v>
      </c>
      <c r="J70" s="126">
        <f t="shared" si="17"/>
        <v>-20.629858333333331</v>
      </c>
      <c r="K70" s="126">
        <f t="shared" si="17"/>
        <v>-20.629858333333331</v>
      </c>
      <c r="L70" s="126">
        <f t="shared" si="17"/>
        <v>-20.629858333333331</v>
      </c>
      <c r="M70" s="126">
        <f t="shared" si="17"/>
        <v>-20.629858333333328</v>
      </c>
      <c r="N70" s="126">
        <f t="shared" si="17"/>
        <v>-20.629858333333328</v>
      </c>
    </row>
    <row r="71" spans="1:14" x14ac:dyDescent="0.25">
      <c r="A71" s="513" t="s">
        <v>148</v>
      </c>
      <c r="B71" s="126">
        <f t="shared" ref="B71:N71" si="18">+B47/B60</f>
        <v>-20.629858333333335</v>
      </c>
      <c r="C71" s="126">
        <f t="shared" si="18"/>
        <v>-20.629858333333335</v>
      </c>
      <c r="D71" s="126">
        <f t="shared" si="18"/>
        <v>-20.629858333333335</v>
      </c>
      <c r="E71" s="126">
        <f t="shared" si="18"/>
        <v>-20.629858333333335</v>
      </c>
      <c r="F71" s="126">
        <f t="shared" si="18"/>
        <v>-20.629858333333335</v>
      </c>
      <c r="G71" s="126">
        <f t="shared" si="18"/>
        <v>-20.629858333333335</v>
      </c>
      <c r="H71" s="126">
        <f t="shared" si="18"/>
        <v>-20.629858333333335</v>
      </c>
      <c r="I71" s="126">
        <f t="shared" si="18"/>
        <v>-20.629858333333331</v>
      </c>
      <c r="J71" s="126">
        <f t="shared" si="18"/>
        <v>-20.629858333333331</v>
      </c>
      <c r="K71" s="126">
        <f t="shared" si="18"/>
        <v>-20.629858333333335</v>
      </c>
      <c r="L71" s="126">
        <f t="shared" si="18"/>
        <v>-20.629858333333335</v>
      </c>
      <c r="M71" s="126">
        <f t="shared" si="18"/>
        <v>-20.629858333333328</v>
      </c>
      <c r="N71" s="126">
        <f t="shared" si="18"/>
        <v>-20.629858333333328</v>
      </c>
    </row>
    <row r="72" spans="1:14" ht="15.75" thickBot="1" x14ac:dyDescent="0.3">
      <c r="A72" s="514" t="s">
        <v>149</v>
      </c>
      <c r="B72" s="126">
        <f t="shared" ref="B72:N72" si="19">+B48/B61</f>
        <v>-20.629858333333335</v>
      </c>
      <c r="C72" s="126">
        <f t="shared" si="19"/>
        <v>-20.629858333333335</v>
      </c>
      <c r="D72" s="126">
        <f t="shared" si="19"/>
        <v>-20.629858333333335</v>
      </c>
      <c r="E72" s="126">
        <f t="shared" si="19"/>
        <v>-20.629858333333335</v>
      </c>
      <c r="F72" s="126">
        <f t="shared" si="19"/>
        <v>-20.629858333333335</v>
      </c>
      <c r="G72" s="126">
        <f t="shared" si="19"/>
        <v>-20.629858333333338</v>
      </c>
      <c r="H72" s="126">
        <f t="shared" si="19"/>
        <v>-20.629858333333335</v>
      </c>
      <c r="I72" s="126">
        <f t="shared" si="19"/>
        <v>-20.629858333333331</v>
      </c>
      <c r="J72" s="126">
        <f t="shared" si="19"/>
        <v>-20.629858333333335</v>
      </c>
      <c r="K72" s="126">
        <f t="shared" si="19"/>
        <v>-20.629858333333335</v>
      </c>
      <c r="L72" s="126">
        <f t="shared" si="19"/>
        <v>-20.629858333333335</v>
      </c>
      <c r="M72" s="126">
        <f t="shared" si="19"/>
        <v>-20.629858333333331</v>
      </c>
      <c r="N72" s="126">
        <f t="shared" si="19"/>
        <v>-20.629858333333331</v>
      </c>
    </row>
    <row r="75" spans="1:14" x14ac:dyDescent="0.25">
      <c r="A75" s="73" t="s">
        <v>481</v>
      </c>
      <c r="B75">
        <f>+INGEI_diffs!C5/1000</f>
        <v>-37.381303299999999</v>
      </c>
      <c r="C75">
        <f>+INGEI_diffs!D5/1000</f>
        <v>-37.381303299999999</v>
      </c>
      <c r="D75">
        <f>+INGEI_diffs!E5/1000</f>
        <v>-37.381303299999999</v>
      </c>
      <c r="E75">
        <f>+INGEI_diffs!F5/1000</f>
        <v>-37.381303299999999</v>
      </c>
      <c r="F75">
        <f>+INGEI_diffs!G5/1000</f>
        <v>-37.381303299999999</v>
      </c>
      <c r="G75">
        <f>+INGEI_diffs!H5/1000</f>
        <v>-50.955234336874994</v>
      </c>
      <c r="H75">
        <f>+INGEI_diffs!I5/1000</f>
        <v>-64.52916537374999</v>
      </c>
      <c r="I75">
        <f>+INGEI_diffs!J5/1000</f>
        <v>-77.357533330458338</v>
      </c>
      <c r="J75">
        <f>+INGEI_diffs!K5/1000</f>
        <v>-90.185901287166658</v>
      </c>
      <c r="K75">
        <f>+INGEI_diffs!L5/1000</f>
        <v>-4.8841189604166662</v>
      </c>
      <c r="L75">
        <f>+INGEI_diffs!M5/1000</f>
        <v>-4.8841189604166662</v>
      </c>
      <c r="M75">
        <f>+INGEI_diffs!N5/1000</f>
        <v>-1.165999593</v>
      </c>
      <c r="N75">
        <f>+INGEI_diffs!O5/1000</f>
        <v>-1.165999593</v>
      </c>
    </row>
    <row r="76" spans="1:14" ht="15.75" x14ac:dyDescent="0.25">
      <c r="A76" s="119" t="s">
        <v>129</v>
      </c>
      <c r="B76" s="1">
        <v>2010</v>
      </c>
      <c r="C76" s="1">
        <v>2011</v>
      </c>
      <c r="D76" s="1">
        <v>2012</v>
      </c>
      <c r="E76" s="1">
        <v>2013</v>
      </c>
      <c r="F76" s="1">
        <v>2014</v>
      </c>
      <c r="G76" s="1">
        <v>2015</v>
      </c>
      <c r="H76" s="1">
        <v>2016</v>
      </c>
      <c r="I76" s="1">
        <v>2017</v>
      </c>
      <c r="J76" s="1">
        <v>2018</v>
      </c>
      <c r="K76" s="1">
        <v>2019</v>
      </c>
      <c r="L76" s="1">
        <v>2020</v>
      </c>
      <c r="M76" s="1">
        <v>2021</v>
      </c>
      <c r="N76" s="1">
        <v>2022</v>
      </c>
    </row>
    <row r="77" spans="1:14" ht="15.75" x14ac:dyDescent="0.25">
      <c r="A77" s="502" t="s">
        <v>18</v>
      </c>
      <c r="B77" s="112">
        <f>+'5ta'!$R87*'Emisiones Tierras forestales'!B$75</f>
        <v>-9.1625545535245642E-2</v>
      </c>
      <c r="C77" s="112">
        <f>+'5ta'!$R87*'Emisiones Tierras forestales'!C$75</f>
        <v>-9.1625545535245642E-2</v>
      </c>
      <c r="D77" s="112">
        <f>+'5ta'!$R87*'Emisiones Tierras forestales'!D$75</f>
        <v>-9.1625545535245642E-2</v>
      </c>
      <c r="E77" s="112">
        <f>+'5ta'!$R87*'Emisiones Tierras forestales'!E$75</f>
        <v>-9.1625545535245642E-2</v>
      </c>
      <c r="F77" s="112">
        <f>+'5ta'!$R87*'Emisiones Tierras forestales'!F$75</f>
        <v>-9.1625545535245642E-2</v>
      </c>
      <c r="G77" s="112">
        <f>+'5ta'!$R87*'Emisiones Tierras forestales'!G$75</f>
        <v>-0.12489669251292403</v>
      </c>
      <c r="H77" s="112">
        <f>+'5ta'!$R87*'Emisiones Tierras forestales'!H$75</f>
        <v>-0.1581678394906024</v>
      </c>
      <c r="I77" s="112">
        <f>+'5ta'!$R87*'Emisiones Tierras forestales'!I$75</f>
        <v>-0.18961153215501164</v>
      </c>
      <c r="J77" s="112">
        <f>+'5ta'!$R87*'Emisiones Tierras forestales'!J$75</f>
        <v>-0.2210552248194208</v>
      </c>
      <c r="K77" s="112">
        <f>+'5ta'!$R87*'Emisiones Tierras forestales'!K$75</f>
        <v>-1.1971494429067E-2</v>
      </c>
      <c r="L77" s="112">
        <f>+'5ta'!$R87*'Emisiones Tierras forestales'!L$75</f>
        <v>-1.1971494429067E-2</v>
      </c>
      <c r="M77" s="112">
        <f>+'5ta'!$R87*'Emisiones Tierras forestales'!M$75</f>
        <v>-2.8579888706689203E-3</v>
      </c>
      <c r="N77" s="112">
        <f>+'5ta'!$R87*'Emisiones Tierras forestales'!N$75</f>
        <v>-2.8579888706689203E-3</v>
      </c>
    </row>
    <row r="78" spans="1:14" ht="15.75" x14ac:dyDescent="0.25">
      <c r="A78" s="502" t="s">
        <v>20</v>
      </c>
      <c r="B78" s="112">
        <f>+'5ta'!$R88*'Emisiones Tierras forestales'!B$75</f>
        <v>-0.89474048272361495</v>
      </c>
      <c r="C78" s="112">
        <f>+'5ta'!$R88*'Emisiones Tierras forestales'!C$75</f>
        <v>-0.89474048272361495</v>
      </c>
      <c r="D78" s="112">
        <f>+'5ta'!$R88*'Emisiones Tierras forestales'!D$75</f>
        <v>-0.89474048272361495</v>
      </c>
      <c r="E78" s="112">
        <f>+'5ta'!$R88*'Emisiones Tierras forestales'!E$75</f>
        <v>-0.89474048272361495</v>
      </c>
      <c r="F78" s="112">
        <f>+'5ta'!$R88*'Emisiones Tierras forestales'!F$75</f>
        <v>-0.89474048272361495</v>
      </c>
      <c r="G78" s="112">
        <f>+'5ta'!$R88*'Emisiones Tierras forestales'!G$75</f>
        <v>-1.2196394171165896</v>
      </c>
      <c r="H78" s="112">
        <f>+'5ta'!$R88*'Emisiones Tierras forestales'!H$75</f>
        <v>-1.5445383515095645</v>
      </c>
      <c r="I78" s="112">
        <f>+'5ta'!$R88*'Emisiones Tierras forestales'!I$75</f>
        <v>-1.8515918548619044</v>
      </c>
      <c r="J78" s="112">
        <f>+'5ta'!$R88*'Emisiones Tierras forestales'!J$75</f>
        <v>-2.1586453582142435</v>
      </c>
      <c r="K78" s="112">
        <f>+'5ta'!$R88*'Emisiones Tierras forestales'!K$75</f>
        <v>-0.11690386825872838</v>
      </c>
      <c r="L78" s="112">
        <f>+'5ta'!$R88*'Emisiones Tierras forestales'!L$75</f>
        <v>-0.11690386825872838</v>
      </c>
      <c r="M78" s="112">
        <f>+'5ta'!$R88*'Emisiones Tierras forestales'!M$75</f>
        <v>-2.790879254058428E-2</v>
      </c>
      <c r="N78" s="112">
        <f>+'5ta'!$R88*'Emisiones Tierras forestales'!N$75</f>
        <v>-2.790879254058428E-2</v>
      </c>
    </row>
    <row r="79" spans="1:14" ht="15.75" x14ac:dyDescent="0.25">
      <c r="A79" s="502" t="s">
        <v>21</v>
      </c>
      <c r="B79" s="112">
        <f>+'5ta'!$R89*'Emisiones Tierras forestales'!B$75</f>
        <v>-8.5555960106233773</v>
      </c>
      <c r="C79" s="112">
        <f>+'5ta'!$R89*'Emisiones Tierras forestales'!C$75</f>
        <v>-8.5555960106233773</v>
      </c>
      <c r="D79" s="112">
        <f>+'5ta'!$R89*'Emisiones Tierras forestales'!D$75</f>
        <v>-8.5555960106233773</v>
      </c>
      <c r="E79" s="112">
        <f>+'5ta'!$R89*'Emisiones Tierras forestales'!E$75</f>
        <v>-8.5555960106233773</v>
      </c>
      <c r="F79" s="112">
        <f>+'5ta'!$R89*'Emisiones Tierras forestales'!F$75</f>
        <v>-8.5555960106233773</v>
      </c>
      <c r="G79" s="112">
        <f>+'5ta'!$R89*'Emisiones Tierras forestales'!G$75</f>
        <v>-11.662311399745848</v>
      </c>
      <c r="H79" s="112">
        <f>+'5ta'!$R89*'Emisiones Tierras forestales'!H$75</f>
        <v>-14.769026788868317</v>
      </c>
      <c r="I79" s="112">
        <f>+'5ta'!$R89*'Emisiones Tierras forestales'!I$75</f>
        <v>-17.705102420913569</v>
      </c>
      <c r="J79" s="112">
        <f>+'5ta'!$R89*'Emisiones Tierras forestales'!J$75</f>
        <v>-20.641178052958811</v>
      </c>
      <c r="K79" s="112">
        <f>+'5ta'!$R89*'Emisiones Tierras forestales'!K$75</f>
        <v>-1.117846222690444</v>
      </c>
      <c r="L79" s="112">
        <f>+'5ta'!$R89*'Emisiones Tierras forestales'!L$75</f>
        <v>-1.117846222690444</v>
      </c>
      <c r="M79" s="112">
        <f>+'5ta'!$R89*'Emisiones Tierras forestales'!M$75</f>
        <v>-0.26686660403997425</v>
      </c>
      <c r="N79" s="112">
        <f>+'5ta'!$R89*'Emisiones Tierras forestales'!N$75</f>
        <v>-0.26686660403997425</v>
      </c>
    </row>
    <row r="80" spans="1:14" ht="15.75" x14ac:dyDescent="0.25">
      <c r="A80" s="502" t="s">
        <v>22</v>
      </c>
      <c r="B80" s="112">
        <f>+'5ta'!$R90*'Emisiones Tierras forestales'!B$75</f>
        <v>-3.47779460526074</v>
      </c>
      <c r="C80" s="112">
        <f>+'5ta'!$R90*'Emisiones Tierras forestales'!C$75</f>
        <v>-3.47779460526074</v>
      </c>
      <c r="D80" s="112">
        <f>+'5ta'!$R90*'Emisiones Tierras forestales'!D$75</f>
        <v>-3.47779460526074</v>
      </c>
      <c r="E80" s="112">
        <f>+'5ta'!$R90*'Emisiones Tierras forestales'!E$75</f>
        <v>-3.47779460526074</v>
      </c>
      <c r="F80" s="112">
        <f>+'5ta'!$R90*'Emisiones Tierras forestales'!F$75</f>
        <v>-3.47779460526074</v>
      </c>
      <c r="G80" s="112">
        <f>+'5ta'!$R90*'Emisiones Tierras forestales'!G$75</f>
        <v>-4.7406543764508253</v>
      </c>
      <c r="H80" s="112">
        <f>+'5ta'!$R90*'Emisiones Tierras forestales'!H$75</f>
        <v>-6.0035141476409102</v>
      </c>
      <c r="I80" s="112">
        <f>+'5ta'!$R90*'Emisiones Tierras forestales'!I$75</f>
        <v>-7.1970099579953883</v>
      </c>
      <c r="J80" s="112">
        <f>+'5ta'!$R90*'Emisiones Tierras forestales'!J$75</f>
        <v>-8.3905057683498647</v>
      </c>
      <c r="K80" s="112">
        <f>+'5ta'!$R90*'Emisiones Tierras forestales'!K$75</f>
        <v>-0.45439728079220754</v>
      </c>
      <c r="L80" s="112">
        <f>+'5ta'!$R90*'Emisiones Tierras forestales'!L$75</f>
        <v>-0.45439728079220754</v>
      </c>
      <c r="M80" s="112">
        <f>+'5ta'!$R90*'Emisiones Tierras forestales'!M$75</f>
        <v>-0.10847955358131182</v>
      </c>
      <c r="N80" s="112">
        <f>+'5ta'!$R90*'Emisiones Tierras forestales'!N$75</f>
        <v>-0.10847955358131182</v>
      </c>
    </row>
    <row r="81" spans="1:14" ht="15.75" x14ac:dyDescent="0.25">
      <c r="A81" s="502" t="s">
        <v>23</v>
      </c>
      <c r="B81" s="112">
        <f>+'5ta'!$R91*'Emisiones Tierras forestales'!B$75</f>
        <v>-2.3950670900030722</v>
      </c>
      <c r="C81" s="112">
        <f>+'5ta'!$R91*'Emisiones Tierras forestales'!C$75</f>
        <v>-2.3950670900030722</v>
      </c>
      <c r="D81" s="112">
        <f>+'5ta'!$R91*'Emisiones Tierras forestales'!D$75</f>
        <v>-2.3950670900030722</v>
      </c>
      <c r="E81" s="112">
        <f>+'5ta'!$R91*'Emisiones Tierras forestales'!E$75</f>
        <v>-2.3950670900030722</v>
      </c>
      <c r="F81" s="112">
        <f>+'5ta'!$R91*'Emisiones Tierras forestales'!F$75</f>
        <v>-2.3950670900030722</v>
      </c>
      <c r="G81" s="112">
        <f>+'5ta'!$R91*'Emisiones Tierras forestales'!G$75</f>
        <v>-3.2647659137032772</v>
      </c>
      <c r="H81" s="112">
        <f>+'5ta'!$R91*'Emisiones Tierras forestales'!H$75</f>
        <v>-4.1344647374034817</v>
      </c>
      <c r="I81" s="112">
        <f>+'5ta'!$R91*'Emisiones Tierras forestales'!I$75</f>
        <v>-4.9563943973991007</v>
      </c>
      <c r="J81" s="112">
        <f>+'5ta'!$R91*'Emisiones Tierras forestales'!J$75</f>
        <v>-5.7783240573947188</v>
      </c>
      <c r="K81" s="112">
        <f>+'5ta'!$R91*'Emisiones Tierras forestales'!K$75</f>
        <v>-0.3129316410365493</v>
      </c>
      <c r="L81" s="112">
        <f>+'5ta'!$R91*'Emisiones Tierras forestales'!L$75</f>
        <v>-0.3129316410365493</v>
      </c>
      <c r="M81" s="112">
        <f>+'5ta'!$R91*'Emisiones Tierras forestales'!M$75</f>
        <v>-7.470705956234748E-2</v>
      </c>
      <c r="N81" s="112">
        <f>+'5ta'!$R91*'Emisiones Tierras forestales'!N$75</f>
        <v>-7.470705956234748E-2</v>
      </c>
    </row>
    <row r="82" spans="1:14" ht="15.75" x14ac:dyDescent="0.25">
      <c r="A82" s="502" t="s">
        <v>24</v>
      </c>
      <c r="B82" s="112">
        <f>+'5ta'!$R92*'Emisiones Tierras forestales'!B$75</f>
        <v>-17.525896613526239</v>
      </c>
      <c r="C82" s="112">
        <f>+'5ta'!$R92*'Emisiones Tierras forestales'!C$75</f>
        <v>-17.525896613526239</v>
      </c>
      <c r="D82" s="112">
        <f>+'5ta'!$R92*'Emisiones Tierras forestales'!D$75</f>
        <v>-17.525896613526239</v>
      </c>
      <c r="E82" s="112">
        <f>+'5ta'!$R92*'Emisiones Tierras forestales'!E$75</f>
        <v>-17.525896613526239</v>
      </c>
      <c r="F82" s="112">
        <f>+'5ta'!$R92*'Emisiones Tierras forestales'!F$75</f>
        <v>-17.525896613526239</v>
      </c>
      <c r="G82" s="112">
        <f>+'5ta'!$R92*'Emisiones Tierras forestales'!G$75</f>
        <v>-23.889915280350152</v>
      </c>
      <c r="H82" s="112">
        <f>+'5ta'!$R92*'Emisiones Tierras forestales'!H$75</f>
        <v>-30.253933947174062</v>
      </c>
      <c r="I82" s="112">
        <f>+'5ta'!$R92*'Emisiones Tierras forestales'!I$75</f>
        <v>-36.268401894564846</v>
      </c>
      <c r="J82" s="112">
        <f>+'5ta'!$R92*'Emisiones Tierras forestales'!J$75</f>
        <v>-42.282869841955616</v>
      </c>
      <c r="K82" s="112">
        <f>+'5ta'!$R92*'Emisiones Tierras forestales'!K$75</f>
        <v>-2.2898763925233649</v>
      </c>
      <c r="L82" s="112">
        <f>+'5ta'!$R92*'Emisiones Tierras forestales'!L$75</f>
        <v>-2.2898763925233649</v>
      </c>
      <c r="M82" s="112">
        <f>+'5ta'!$R92*'Emisiones Tierras forestales'!M$75</f>
        <v>-0.54666869569343446</v>
      </c>
      <c r="N82" s="112">
        <f>+'5ta'!$R92*'Emisiones Tierras forestales'!N$75</f>
        <v>-0.54666869569343446</v>
      </c>
    </row>
    <row r="83" spans="1:14" ht="15.75" x14ac:dyDescent="0.25">
      <c r="A83" s="502" t="s">
        <v>25</v>
      </c>
      <c r="B83" s="112">
        <f>+'5ta'!$R93*'Emisiones Tierras forestales'!B$75</f>
        <v>-1.9417322900192777</v>
      </c>
      <c r="C83" s="112">
        <f>+'5ta'!$R93*'Emisiones Tierras forestales'!C$75</f>
        <v>-1.9417322900192777</v>
      </c>
      <c r="D83" s="112">
        <f>+'5ta'!$R93*'Emisiones Tierras forestales'!D$75</f>
        <v>-1.9417322900192777</v>
      </c>
      <c r="E83" s="112">
        <f>+'5ta'!$R93*'Emisiones Tierras forestales'!E$75</f>
        <v>-1.9417322900192777</v>
      </c>
      <c r="F83" s="112">
        <f>+'5ta'!$R93*'Emisiones Tierras forestales'!F$75</f>
        <v>-1.9417322900192777</v>
      </c>
      <c r="G83" s="112">
        <f>+'5ta'!$R93*'Emisiones Tierras forestales'!G$75</f>
        <v>-2.6468157908611287</v>
      </c>
      <c r="H83" s="112">
        <f>+'5ta'!$R93*'Emisiones Tierras forestales'!H$75</f>
        <v>-3.3518992917029795</v>
      </c>
      <c r="I83" s="112">
        <f>+'5ta'!$R93*'Emisiones Tierras forestales'!I$75</f>
        <v>-4.018255306363101</v>
      </c>
      <c r="J83" s="112">
        <f>+'5ta'!$R93*'Emisiones Tierras forestales'!J$75</f>
        <v>-4.6846113210232199</v>
      </c>
      <c r="K83" s="112">
        <f>+'5ta'!$R93*'Emisiones Tierras forestales'!K$75</f>
        <v>-0.2537003971644945</v>
      </c>
      <c r="L83" s="112">
        <f>+'5ta'!$R93*'Emisiones Tierras forestales'!L$75</f>
        <v>-0.2537003971644945</v>
      </c>
      <c r="M83" s="112">
        <f>+'5ta'!$R93*'Emisiones Tierras forestales'!M$75</f>
        <v>-6.0566616463515223E-2</v>
      </c>
      <c r="N83" s="112">
        <f>+'5ta'!$R93*'Emisiones Tierras forestales'!N$75</f>
        <v>-6.0566616463515223E-2</v>
      </c>
    </row>
    <row r="84" spans="1:14" ht="15.75" x14ac:dyDescent="0.25">
      <c r="A84" s="502" t="s">
        <v>26</v>
      </c>
      <c r="B84" s="112">
        <f>+'5ta'!$R94*'Emisiones Tierras forestales'!B$75</f>
        <v>-0.48223334769420256</v>
      </c>
      <c r="C84" s="112">
        <f>+'5ta'!$R94*'Emisiones Tierras forestales'!C$75</f>
        <v>-0.48223334769420256</v>
      </c>
      <c r="D84" s="112">
        <f>+'5ta'!$R94*'Emisiones Tierras forestales'!D$75</f>
        <v>-0.48223334769420256</v>
      </c>
      <c r="E84" s="112">
        <f>+'5ta'!$R94*'Emisiones Tierras forestales'!E$75</f>
        <v>-0.48223334769420256</v>
      </c>
      <c r="F84" s="112">
        <f>+'5ta'!$R94*'Emisiones Tierras forestales'!F$75</f>
        <v>-0.48223334769420256</v>
      </c>
      <c r="G84" s="112">
        <f>+'5ta'!$R94*'Emisiones Tierras forestales'!G$75</f>
        <v>-0.65734233607670411</v>
      </c>
      <c r="H84" s="112">
        <f>+'5ta'!$R94*'Emisiones Tierras forestales'!H$75</f>
        <v>-0.83245132445920578</v>
      </c>
      <c r="I84" s="112">
        <f>+'5ta'!$R94*'Emisiones Tierras forestales'!I$75</f>
        <v>-0.99794225920723267</v>
      </c>
      <c r="J84" s="112">
        <f>+'5ta'!$R94*'Emisiones Tierras forestales'!J$75</f>
        <v>-1.1634331939552593</v>
      </c>
      <c r="K84" s="112">
        <f>+'5ta'!$R94*'Emisiones Tierras forestales'!K$75</f>
        <v>-6.3007033701215479E-2</v>
      </c>
      <c r="L84" s="112">
        <f>+'5ta'!$R94*'Emisiones Tierras forestales'!L$75</f>
        <v>-6.3007033701215479E-2</v>
      </c>
      <c r="M84" s="112">
        <f>+'5ta'!$R94*'Emisiones Tierras forestales'!M$75</f>
        <v>-1.5041848130064201E-2</v>
      </c>
      <c r="N84" s="112">
        <f>+'5ta'!$R94*'Emisiones Tierras forestales'!N$75</f>
        <v>-1.5041848130064201E-2</v>
      </c>
    </row>
    <row r="85" spans="1:14" ht="15.75" x14ac:dyDescent="0.25">
      <c r="A85" s="502" t="s">
        <v>27</v>
      </c>
      <c r="B85" s="112">
        <f>+'5ta'!$R95*'Emisiones Tierras forestales'!B$75</f>
        <v>-2.0166173146142237</v>
      </c>
      <c r="C85" s="112">
        <f>+'5ta'!$R95*'Emisiones Tierras forestales'!C$75</f>
        <v>-2.0166173146142237</v>
      </c>
      <c r="D85" s="112">
        <f>+'5ta'!$R95*'Emisiones Tierras forestales'!D$75</f>
        <v>-2.0166173146142237</v>
      </c>
      <c r="E85" s="112">
        <f>+'5ta'!$R95*'Emisiones Tierras forestales'!E$75</f>
        <v>-2.0166173146142237</v>
      </c>
      <c r="F85" s="112">
        <f>+'5ta'!$R95*'Emisiones Tierras forestales'!F$75</f>
        <v>-2.0166173146142237</v>
      </c>
      <c r="G85" s="112">
        <f>+'5ta'!$R95*'Emisiones Tierras forestales'!G$75</f>
        <v>-2.7488931300575423</v>
      </c>
      <c r="H85" s="112">
        <f>+'5ta'!$R95*'Emisiones Tierras forestales'!H$75</f>
        <v>-3.481168945500861</v>
      </c>
      <c r="I85" s="112">
        <f>+'5ta'!$R95*'Emisiones Tierras forestales'!I$75</f>
        <v>-4.1732237069981775</v>
      </c>
      <c r="J85" s="112">
        <f>+'5ta'!$R95*'Emisiones Tierras forestales'!J$75</f>
        <v>-4.8652784684954922</v>
      </c>
      <c r="K85" s="112">
        <f>+'5ta'!$R95*'Emisiones Tierras forestales'!K$75</f>
        <v>-0.26348462982059462</v>
      </c>
      <c r="L85" s="112">
        <f>+'5ta'!$R95*'Emisiones Tierras forestales'!L$75</f>
        <v>-0.26348462982059462</v>
      </c>
      <c r="M85" s="112">
        <f>+'5ta'!$R95*'Emisiones Tierras forestales'!M$75</f>
        <v>-6.2902434118099301E-2</v>
      </c>
      <c r="N85" s="112">
        <f>+'5ta'!$R95*'Emisiones Tierras forestales'!N$75</f>
        <v>-6.2902434118099301E-2</v>
      </c>
    </row>
    <row r="86" spans="1:14" ht="15.75" x14ac:dyDescent="0.25">
      <c r="A86" s="503" t="s">
        <v>14</v>
      </c>
      <c r="B86" s="122">
        <f t="shared" ref="B86:N86" si="20">+SUM(B77:B85)</f>
        <v>-37.381303299999992</v>
      </c>
      <c r="C86" s="122">
        <f t="shared" si="20"/>
        <v>-37.381303299999992</v>
      </c>
      <c r="D86" s="122">
        <f t="shared" si="20"/>
        <v>-37.381303299999992</v>
      </c>
      <c r="E86" s="122">
        <f t="shared" si="20"/>
        <v>-37.381303299999992</v>
      </c>
      <c r="F86" s="122">
        <f t="shared" si="20"/>
        <v>-37.381303299999992</v>
      </c>
      <c r="G86" s="122">
        <f t="shared" si="20"/>
        <v>-50.955234336874994</v>
      </c>
      <c r="H86" s="122">
        <f t="shared" si="20"/>
        <v>-64.529165373749976</v>
      </c>
      <c r="I86" s="122">
        <f t="shared" si="20"/>
        <v>-77.357533330458338</v>
      </c>
      <c r="J86" s="122">
        <f t="shared" si="20"/>
        <v>-90.185901287166644</v>
      </c>
      <c r="K86" s="122">
        <f t="shared" si="20"/>
        <v>-4.884118960416667</v>
      </c>
      <c r="L86" s="122">
        <f t="shared" si="20"/>
        <v>-4.884118960416667</v>
      </c>
      <c r="M86" s="122">
        <f t="shared" si="20"/>
        <v>-1.165999593</v>
      </c>
      <c r="N86" s="122">
        <f t="shared" si="20"/>
        <v>-1.165999593</v>
      </c>
    </row>
    <row r="87" spans="1:14" ht="15.75" x14ac:dyDescent="0.25">
      <c r="A87" s="503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</row>
    <row r="88" spans="1:14" ht="15.75" x14ac:dyDescent="0.25">
      <c r="A88" s="119" t="s">
        <v>118</v>
      </c>
      <c r="B88" s="122">
        <f>+'5ta'!C89/1000</f>
        <v>1.8120000000000001</v>
      </c>
      <c r="C88" s="122">
        <f>+'5ta'!D89/1000</f>
        <v>1.8120000000000001</v>
      </c>
      <c r="D88" s="122">
        <f>+'5ta'!E89/1000</f>
        <v>1.8120000000000001</v>
      </c>
      <c r="E88" s="122">
        <f>+'5ta'!F89/1000</f>
        <v>1.8120000000000001</v>
      </c>
      <c r="F88" s="122">
        <f>+'5ta'!G89/1000</f>
        <v>1.8120000000000001</v>
      </c>
      <c r="G88" s="122">
        <f>+'5ta'!H89/1000</f>
        <v>2.4699749999999998</v>
      </c>
      <c r="H88" s="122">
        <f>+'5ta'!I89/1000</f>
        <v>3.1279499999999998</v>
      </c>
      <c r="I88" s="122">
        <f>+'5ta'!J89/1000</f>
        <v>3.7497849999999997</v>
      </c>
      <c r="J88" s="122">
        <f>+'5ta'!K89/1000</f>
        <v>4.3716200000000001</v>
      </c>
      <c r="K88" s="122">
        <f>+'5ta'!L89/1000</f>
        <v>0.23674999999999999</v>
      </c>
      <c r="L88" s="122">
        <f>+'5ta'!M89/1000</f>
        <v>0.23674999999999999</v>
      </c>
      <c r="M88" s="122">
        <f>+'5ta'!N89/1000</f>
        <v>5.6520000000000001E-2</v>
      </c>
      <c r="N88" s="122">
        <f>+'5ta'!O89/1000</f>
        <v>5.6520000000000001E-2</v>
      </c>
    </row>
    <row r="89" spans="1:14" x14ac:dyDescent="0.25">
      <c r="B89" s="1">
        <v>2010</v>
      </c>
      <c r="C89" s="1">
        <v>2011</v>
      </c>
      <c r="D89" s="1">
        <v>2012</v>
      </c>
      <c r="E89" s="1">
        <v>2013</v>
      </c>
      <c r="F89" s="1">
        <v>2014</v>
      </c>
      <c r="G89" s="1">
        <v>2015</v>
      </c>
      <c r="H89" s="1">
        <v>2016</v>
      </c>
      <c r="I89" s="1">
        <v>2017</v>
      </c>
      <c r="J89" s="1">
        <v>2018</v>
      </c>
      <c r="K89" s="1">
        <v>2019</v>
      </c>
      <c r="L89" s="1">
        <v>2020</v>
      </c>
      <c r="M89" s="1">
        <v>2021</v>
      </c>
      <c r="N89" s="1">
        <v>2022</v>
      </c>
    </row>
    <row r="90" spans="1:14" ht="15.75" x14ac:dyDescent="0.25">
      <c r="A90" s="502" t="s">
        <v>18</v>
      </c>
      <c r="B90" s="74">
        <f>+'Cambio uso de suelo (BAU)'!D107</f>
        <v>4.441404495114677E-3</v>
      </c>
      <c r="C90" s="74">
        <f>+'Cambio uso de suelo (BAU)'!E107</f>
        <v>4.441404495114677E-3</v>
      </c>
      <c r="D90" s="74">
        <f>+'Cambio uso de suelo (BAU)'!F107</f>
        <v>4.441404495114677E-3</v>
      </c>
      <c r="E90" s="74">
        <f>+'Cambio uso de suelo (BAU)'!G107</f>
        <v>4.441404495114677E-3</v>
      </c>
      <c r="F90" s="74">
        <f>+'Cambio uso de suelo (BAU)'!H107</f>
        <v>4.441404495114677E-3</v>
      </c>
      <c r="G90" s="74">
        <f>+'Cambio uso de suelo (BAU)'!I107</f>
        <v>6.0541711191064423E-3</v>
      </c>
      <c r="H90" s="74">
        <f>+'Cambio uso de suelo (BAU)'!J107</f>
        <v>7.6669377430982075E-3</v>
      </c>
      <c r="I90" s="74">
        <f>+'Cambio uso de suelo (BAU)'!K107</f>
        <v>9.1911213878110316E-3</v>
      </c>
      <c r="J90" s="74">
        <f>+'Cambio uso de suelo (BAU)'!L107</f>
        <v>1.0715305032523855E-2</v>
      </c>
      <c r="K90" s="74">
        <f>+'Cambio uso de suelo (BAU)'!M107</f>
        <v>5.8029940078278125E-4</v>
      </c>
      <c r="L90" s="74">
        <f>+'Cambio uso de suelo (BAU)'!N107</f>
        <v>5.8029940078278125E-4</v>
      </c>
      <c r="M90" s="74">
        <f>+'Cambio uso de suelo (BAU)'!O107</f>
        <v>1.3853652431781543E-4</v>
      </c>
      <c r="N90" s="74">
        <f>+'Cambio uso de suelo (BAU)'!P107</f>
        <v>1.3853652431781543E-4</v>
      </c>
    </row>
    <row r="91" spans="1:14" ht="15.75" x14ac:dyDescent="0.25">
      <c r="A91" s="502" t="s">
        <v>20</v>
      </c>
      <c r="B91" s="74">
        <f>+'Cambio uso de suelo (BAU)'!D108</f>
        <v>4.3371140425036765E-2</v>
      </c>
      <c r="C91" s="74">
        <f>+'Cambio uso de suelo (BAU)'!E108</f>
        <v>4.3371140425036765E-2</v>
      </c>
      <c r="D91" s="74">
        <f>+'Cambio uso de suelo (BAU)'!F108</f>
        <v>4.3371140425036765E-2</v>
      </c>
      <c r="E91" s="74">
        <f>+'Cambio uso de suelo (BAU)'!G108</f>
        <v>4.3371140425036765E-2</v>
      </c>
      <c r="F91" s="74">
        <f>+'Cambio uso de suelo (BAU)'!H108</f>
        <v>4.3371140425036765E-2</v>
      </c>
      <c r="G91" s="74">
        <f>+'Cambio uso de suelo (BAU)'!I108</f>
        <v>5.9120106275568532E-2</v>
      </c>
      <c r="H91" s="74">
        <f>+'Cambio uso de suelo (BAU)'!J108</f>
        <v>7.4869072126100306E-2</v>
      </c>
      <c r="I91" s="74">
        <f>+'Cambio uso de suelo (BAU)'!K108</f>
        <v>8.9753008718927427E-2</v>
      </c>
      <c r="J91" s="74">
        <f>+'Cambio uso de suelo (BAU)'!L108</f>
        <v>0.10463694531175455</v>
      </c>
      <c r="K91" s="74">
        <f>+'Cambio uso de suelo (BAU)'!M108</f>
        <v>5.6667315097281758E-3</v>
      </c>
      <c r="L91" s="74">
        <f>+'Cambio uso de suelo (BAU)'!N108</f>
        <v>5.6667315097281758E-3</v>
      </c>
      <c r="M91" s="74">
        <f>+'Cambio uso de suelo (BAU)'!O108</f>
        <v>1.3528349099465112E-3</v>
      </c>
      <c r="N91" s="74">
        <f>+'Cambio uso de suelo (BAU)'!P108</f>
        <v>1.3528349099465112E-3</v>
      </c>
    </row>
    <row r="92" spans="1:14" ht="15.75" x14ac:dyDescent="0.25">
      <c r="A92" s="502" t="s">
        <v>21</v>
      </c>
      <c r="B92" s="74">
        <f>+'Cambio uso de suelo (BAU)'!D109</f>
        <v>0.41471908688773729</v>
      </c>
      <c r="C92" s="74">
        <f>+'Cambio uso de suelo (BAU)'!E109</f>
        <v>0.41471908688773729</v>
      </c>
      <c r="D92" s="74">
        <f>+'Cambio uso de suelo (BAU)'!F109</f>
        <v>0.41471908688773729</v>
      </c>
      <c r="E92" s="74">
        <f>+'Cambio uso de suelo (BAU)'!G109</f>
        <v>0.41471908688773729</v>
      </c>
      <c r="F92" s="74">
        <f>+'Cambio uso de suelo (BAU)'!H109</f>
        <v>0.41471908688773729</v>
      </c>
      <c r="G92" s="74">
        <f>+'Cambio uso de suelo (BAU)'!I109</f>
        <v>0.56531223876133496</v>
      </c>
      <c r="H92" s="74">
        <f>+'Cambio uso de suelo (BAU)'!J109</f>
        <v>0.71590539063493264</v>
      </c>
      <c r="I92" s="74">
        <f>+'Cambio uso de suelo (BAU)'!K109</f>
        <v>0.85822704813760153</v>
      </c>
      <c r="J92" s="74">
        <f>+'Cambio uso de suelo (BAU)'!L109</f>
        <v>1.0005487056402704</v>
      </c>
      <c r="K92" s="74">
        <f>+'Cambio uso de suelo (BAU)'!M109</f>
        <v>5.4185840960635653E-2</v>
      </c>
      <c r="L92" s="74">
        <f>+'Cambio uso de suelo (BAU)'!N109</f>
        <v>5.4185840960635653E-2</v>
      </c>
      <c r="M92" s="74">
        <f>+'Cambio uso de suelo (BAU)'!O109</f>
        <v>1.2935939730074456E-2</v>
      </c>
      <c r="N92" s="74">
        <f>+'Cambio uso de suelo (BAU)'!P109</f>
        <v>1.2935939730074456E-2</v>
      </c>
    </row>
    <row r="93" spans="1:14" ht="15.75" x14ac:dyDescent="0.25">
      <c r="A93" s="502" t="s">
        <v>22</v>
      </c>
      <c r="B93" s="74">
        <f>+'Cambio uso de suelo (BAU)'!D110</f>
        <v>0.16858063439250018</v>
      </c>
      <c r="C93" s="74">
        <f>+'Cambio uso de suelo (BAU)'!E110</f>
        <v>0.16858063439250018</v>
      </c>
      <c r="D93" s="74">
        <f>+'Cambio uso de suelo (BAU)'!F110</f>
        <v>0.16858063439250018</v>
      </c>
      <c r="E93" s="74">
        <f>+'Cambio uso de suelo (BAU)'!G110</f>
        <v>0.16858063439250018</v>
      </c>
      <c r="F93" s="74">
        <f>+'Cambio uso de suelo (BAU)'!H110</f>
        <v>0.16858063439250018</v>
      </c>
      <c r="G93" s="74">
        <f>+'Cambio uso de suelo (BAU)'!I110</f>
        <v>0.22979577948875035</v>
      </c>
      <c r="H93" s="74">
        <f>+'Cambio uso de suelo (BAU)'!J110</f>
        <v>0.2910109245850005</v>
      </c>
      <c r="I93" s="74">
        <f>+'Cambio uso de suelo (BAU)'!K110</f>
        <v>0.34886376056042012</v>
      </c>
      <c r="J93" s="74">
        <f>+'Cambio uso de suelo (BAU)'!L110</f>
        <v>0.40671659653583975</v>
      </c>
      <c r="K93" s="74">
        <f>+'Cambio uso de suelo (BAU)'!M110</f>
        <v>2.2026194918556525E-2</v>
      </c>
      <c r="L93" s="74">
        <f>+'Cambio uso de suelo (BAU)'!N110</f>
        <v>2.2026194918556525E-2</v>
      </c>
      <c r="M93" s="74">
        <f>+'Cambio uso de suelo (BAU)'!O110</f>
        <v>5.2583760793952043E-3</v>
      </c>
      <c r="N93" s="74">
        <f>+'Cambio uso de suelo (BAU)'!P110</f>
        <v>5.2583760793952043E-3</v>
      </c>
    </row>
    <row r="94" spans="1:14" ht="15.75" x14ac:dyDescent="0.25">
      <c r="A94" s="502" t="s">
        <v>23</v>
      </c>
      <c r="B94" s="74">
        <f>+'Cambio uso de suelo (BAU)'!D111</f>
        <v>0.11609711764879976</v>
      </c>
      <c r="C94" s="74">
        <f>+'Cambio uso de suelo (BAU)'!E111</f>
        <v>0.11609711764879976</v>
      </c>
      <c r="D94" s="74">
        <f>+'Cambio uso de suelo (BAU)'!F111</f>
        <v>0.11609711764879976</v>
      </c>
      <c r="E94" s="74">
        <f>+'Cambio uso de suelo (BAU)'!G111</f>
        <v>0.11609711764879976</v>
      </c>
      <c r="F94" s="74">
        <f>+'Cambio uso de suelo (BAU)'!H111</f>
        <v>0.11609711764879976</v>
      </c>
      <c r="G94" s="74">
        <f>+'Cambio uso de suelo (BAU)'!I111</f>
        <v>0.15825440296059282</v>
      </c>
      <c r="H94" s="74">
        <f>+'Cambio uso de suelo (BAU)'!J111</f>
        <v>0.20041168827238587</v>
      </c>
      <c r="I94" s="74">
        <f>+'Cambio uso de suelo (BAU)'!K111</f>
        <v>0.24025343835690102</v>
      </c>
      <c r="J94" s="74">
        <f>+'Cambio uso de suelo (BAU)'!L111</f>
        <v>0.28009518844141618</v>
      </c>
      <c r="K94" s="74">
        <f>+'Cambio uso de suelo (BAU)'!M111</f>
        <v>1.5168870090150853E-2</v>
      </c>
      <c r="L94" s="74">
        <f>+'Cambio uso de suelo (BAU)'!N111</f>
        <v>1.5168870090150853E-2</v>
      </c>
      <c r="M94" s="74">
        <f>+'Cambio uso de suelo (BAU)'!O111</f>
        <v>3.6213074445420328E-3</v>
      </c>
      <c r="N94" s="74">
        <f>+'Cambio uso de suelo (BAU)'!P111</f>
        <v>3.6213074445420328E-3</v>
      </c>
    </row>
    <row r="95" spans="1:14" ht="15.75" x14ac:dyDescent="0.25">
      <c r="A95" s="502" t="s">
        <v>24</v>
      </c>
      <c r="B95" s="74">
        <f>+'Cambio uso de suelo (BAU)'!D112</f>
        <v>0.849540327924028</v>
      </c>
      <c r="C95" s="74">
        <f>+'Cambio uso de suelo (BAU)'!E112</f>
        <v>0.849540327924028</v>
      </c>
      <c r="D95" s="74">
        <f>+'Cambio uso de suelo (BAU)'!F112</f>
        <v>0.849540327924028</v>
      </c>
      <c r="E95" s="74">
        <f>+'Cambio uso de suelo (BAU)'!G112</f>
        <v>0.849540327924028</v>
      </c>
      <c r="F95" s="74">
        <f>+'Cambio uso de suelo (BAU)'!H112</f>
        <v>0.849540327924028</v>
      </c>
      <c r="G95" s="74">
        <f>+'Cambio uso de suelo (BAU)'!I112</f>
        <v>1.1580261431921364</v>
      </c>
      <c r="H95" s="74">
        <f>+'Cambio uso de suelo (BAU)'!J112</f>
        <v>1.4665119584602446</v>
      </c>
      <c r="I95" s="74">
        <f>+'Cambio uso de suelo (BAU)'!K112</f>
        <v>1.7580538512939301</v>
      </c>
      <c r="J95" s="74">
        <f>+'Cambio uso de suelo (BAU)'!L112</f>
        <v>2.0495957441276156</v>
      </c>
      <c r="K95" s="74">
        <f>+'Cambio uso de suelo (BAU)'!M112</f>
        <v>0.11099816370640929</v>
      </c>
      <c r="L95" s="74">
        <f>+'Cambio uso de suelo (BAU)'!N112</f>
        <v>0.11099816370640929</v>
      </c>
      <c r="M95" s="74">
        <f>+'Cambio uso de suelo (BAU)'!O112</f>
        <v>2.6498906917365377E-2</v>
      </c>
      <c r="N95" s="74">
        <f>+'Cambio uso de suelo (BAU)'!P112</f>
        <v>2.6498906917365377E-2</v>
      </c>
    </row>
    <row r="96" spans="1:14" ht="15.75" x14ac:dyDescent="0.25">
      <c r="A96" s="502" t="s">
        <v>25</v>
      </c>
      <c r="B96" s="74">
        <f>+'Cambio uso de suelo (BAU)'!D113</f>
        <v>9.4122424819653924E-2</v>
      </c>
      <c r="C96" s="74">
        <f>+'Cambio uso de suelo (BAU)'!E113</f>
        <v>9.4122424819653924E-2</v>
      </c>
      <c r="D96" s="74">
        <f>+'Cambio uso de suelo (BAU)'!F113</f>
        <v>9.4122424819653924E-2</v>
      </c>
      <c r="E96" s="74">
        <f>+'Cambio uso de suelo (BAU)'!G113</f>
        <v>9.4122424819653924E-2</v>
      </c>
      <c r="F96" s="74">
        <f>+'Cambio uso de suelo (BAU)'!H113</f>
        <v>9.4122424819653924E-2</v>
      </c>
      <c r="G96" s="74">
        <f>+'Cambio uso de suelo (BAU)'!I113</f>
        <v>0.12830024075271781</v>
      </c>
      <c r="H96" s="74">
        <f>+'Cambio uso de suelo (BAU)'!J113</f>
        <v>0.16247805668578172</v>
      </c>
      <c r="I96" s="74">
        <f>+'Cambio uso de suelo (BAU)'!K113</f>
        <v>0.19477861851675826</v>
      </c>
      <c r="J96" s="74">
        <f>+'Cambio uso de suelo (BAU)'!L113</f>
        <v>0.22707918034773483</v>
      </c>
      <c r="K96" s="74">
        <f>+'Cambio uso de suelo (BAU)'!M113</f>
        <v>1.2297728518793084E-2</v>
      </c>
      <c r="L96" s="74">
        <f>+'Cambio uso de suelo (BAU)'!N113</f>
        <v>1.2297728518793084E-2</v>
      </c>
      <c r="M96" s="74">
        <f>+'Cambio uso de suelo (BAU)'!O113</f>
        <v>2.9358716615931792E-3</v>
      </c>
      <c r="N96" s="74">
        <f>+'Cambio uso de suelo (BAU)'!P113</f>
        <v>2.9358716615931792E-3</v>
      </c>
    </row>
    <row r="97" spans="1:14" ht="15.75" x14ac:dyDescent="0.25">
      <c r="A97" s="502" t="s">
        <v>26</v>
      </c>
      <c r="B97" s="74">
        <f>+'Cambio uso de suelo (BAU)'!D114</f>
        <v>2.3375504567329924E-2</v>
      </c>
      <c r="C97" s="74">
        <f>+'Cambio uso de suelo (BAU)'!E114</f>
        <v>2.3375504567329924E-2</v>
      </c>
      <c r="D97" s="74">
        <f>+'Cambio uso de suelo (BAU)'!F114</f>
        <v>2.3375504567329924E-2</v>
      </c>
      <c r="E97" s="74">
        <f>+'Cambio uso de suelo (BAU)'!G114</f>
        <v>2.3375504567329924E-2</v>
      </c>
      <c r="F97" s="74">
        <f>+'Cambio uso de suelo (BAU)'!H114</f>
        <v>2.3375504567329924E-2</v>
      </c>
      <c r="G97" s="74">
        <f>+'Cambio uso de suelo (BAU)'!I114</f>
        <v>3.1863637910425346E-2</v>
      </c>
      <c r="H97" s="74">
        <f>+'Cambio uso de suelo (BAU)'!J114</f>
        <v>4.0351771253520768E-2</v>
      </c>
      <c r="I97" s="74">
        <f>+'Cambio uso de suelo (BAU)'!K114</f>
        <v>4.8373684544153001E-2</v>
      </c>
      <c r="J97" s="74">
        <f>+'Cambio uso de suelo (BAU)'!L114</f>
        <v>5.6395597834785226E-2</v>
      </c>
      <c r="K97" s="74">
        <f>+'Cambio uso de suelo (BAU)'!M114</f>
        <v>3.05416705646543E-3</v>
      </c>
      <c r="L97" s="74">
        <f>+'Cambio uso de suelo (BAU)'!N114</f>
        <v>3.05416705646543E-3</v>
      </c>
      <c r="M97" s="74">
        <f>+'Cambio uso de suelo (BAU)'!O114</f>
        <v>7.2912997690148312E-4</v>
      </c>
      <c r="N97" s="74">
        <f>+'Cambio uso de suelo (BAU)'!P114</f>
        <v>7.2912997690148312E-4</v>
      </c>
    </row>
    <row r="98" spans="1:14" ht="15.75" x14ac:dyDescent="0.25">
      <c r="A98" s="502" t="s">
        <v>27</v>
      </c>
      <c r="B98" s="74">
        <f>+'Cambio uso de suelo (BAU)'!D115</f>
        <v>9.7752358839799283E-2</v>
      </c>
      <c r="C98" s="74">
        <f>+'Cambio uso de suelo (BAU)'!E115</f>
        <v>9.7752358839799283E-2</v>
      </c>
      <c r="D98" s="74">
        <f>+'Cambio uso de suelo (BAU)'!F115</f>
        <v>9.7752358839799283E-2</v>
      </c>
      <c r="E98" s="74">
        <f>+'Cambio uso de suelo (BAU)'!G115</f>
        <v>9.7752358839799283E-2</v>
      </c>
      <c r="F98" s="74">
        <f>+'Cambio uso de suelo (BAU)'!H115</f>
        <v>9.7752358839799283E-2</v>
      </c>
      <c r="G98" s="74">
        <f>+'Cambio uso de suelo (BAU)'!I115</f>
        <v>0.13324827953936713</v>
      </c>
      <c r="H98" s="74">
        <f>+'Cambio uso de suelo (BAU)'!J115</f>
        <v>0.16874420023893497</v>
      </c>
      <c r="I98" s="74">
        <f>+'Cambio uso de suelo (BAU)'!K115</f>
        <v>0.20229046848349713</v>
      </c>
      <c r="J98" s="74">
        <f>+'Cambio uso de suelo (BAU)'!L115</f>
        <v>0.23583673672805927</v>
      </c>
      <c r="K98" s="74">
        <f>+'Cambio uso de suelo (BAU)'!M115</f>
        <v>1.2772003838478192E-2</v>
      </c>
      <c r="L98" s="74">
        <f>+'Cambio uso de suelo (BAU)'!N115</f>
        <v>1.2772003838478192E-2</v>
      </c>
      <c r="M98" s="74">
        <f>+'Cambio uso de suelo (BAU)'!O115</f>
        <v>3.0490967558639381E-3</v>
      </c>
      <c r="N98" s="74">
        <f>+'Cambio uso de suelo (BAU)'!P115</f>
        <v>3.0490967558639381E-3</v>
      </c>
    </row>
    <row r="99" spans="1:14" ht="15.75" x14ac:dyDescent="0.25">
      <c r="A99" s="504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</row>
    <row r="100" spans="1:14" ht="16.5" thickBot="1" x14ac:dyDescent="0.3">
      <c r="A100" s="119" t="s">
        <v>119</v>
      </c>
      <c r="B100" s="1">
        <v>2010</v>
      </c>
      <c r="C100" s="1">
        <v>2011</v>
      </c>
      <c r="D100" s="1">
        <v>2012</v>
      </c>
      <c r="E100" s="1">
        <v>2013</v>
      </c>
      <c r="F100" s="1">
        <v>2014</v>
      </c>
      <c r="G100" s="1">
        <v>2015</v>
      </c>
      <c r="H100" s="1">
        <v>2016</v>
      </c>
      <c r="I100" s="1">
        <v>2017</v>
      </c>
      <c r="J100" s="1">
        <v>2018</v>
      </c>
      <c r="K100" s="1">
        <v>2019</v>
      </c>
      <c r="L100" s="1">
        <v>2020</v>
      </c>
      <c r="M100" s="1">
        <v>2021</v>
      </c>
      <c r="N100" s="1">
        <v>2022</v>
      </c>
    </row>
    <row r="101" spans="1:14" x14ac:dyDescent="0.25">
      <c r="A101" s="515" t="s">
        <v>482</v>
      </c>
      <c r="B101" s="126">
        <f t="shared" ref="B101:N101" si="21">+B77/B90</f>
        <v>-20.629858333333331</v>
      </c>
      <c r="C101" s="126">
        <f t="shared" si="21"/>
        <v>-20.629858333333331</v>
      </c>
      <c r="D101" s="126">
        <f t="shared" si="21"/>
        <v>-20.629858333333331</v>
      </c>
      <c r="E101" s="126">
        <f t="shared" si="21"/>
        <v>-20.629858333333331</v>
      </c>
      <c r="F101" s="126">
        <f t="shared" si="21"/>
        <v>-20.629858333333331</v>
      </c>
      <c r="G101" s="126">
        <f t="shared" si="21"/>
        <v>-20.629858333333331</v>
      </c>
      <c r="H101" s="126">
        <f t="shared" si="21"/>
        <v>-20.629858333333331</v>
      </c>
      <c r="I101" s="126">
        <f t="shared" si="21"/>
        <v>-20.629858333333335</v>
      </c>
      <c r="J101" s="126">
        <f t="shared" si="21"/>
        <v>-20.629858333333328</v>
      </c>
      <c r="K101" s="126">
        <f t="shared" si="21"/>
        <v>-20.629858333333335</v>
      </c>
      <c r="L101" s="126">
        <f t="shared" si="21"/>
        <v>-20.629858333333335</v>
      </c>
      <c r="M101" s="126">
        <f t="shared" si="21"/>
        <v>-20.629858333333331</v>
      </c>
      <c r="N101" s="126">
        <f t="shared" si="21"/>
        <v>-20.629858333333331</v>
      </c>
    </row>
    <row r="102" spans="1:14" x14ac:dyDescent="0.25">
      <c r="A102" s="516" t="s">
        <v>483</v>
      </c>
      <c r="B102" s="126">
        <f t="shared" ref="B102:N102" si="22">+B78/B91</f>
        <v>-20.629858333333335</v>
      </c>
      <c r="C102" s="126">
        <f t="shared" si="22"/>
        <v>-20.629858333333335</v>
      </c>
      <c r="D102" s="126">
        <f t="shared" si="22"/>
        <v>-20.629858333333335</v>
      </c>
      <c r="E102" s="126">
        <f t="shared" si="22"/>
        <v>-20.629858333333335</v>
      </c>
      <c r="F102" s="126">
        <f t="shared" si="22"/>
        <v>-20.629858333333335</v>
      </c>
      <c r="G102" s="126">
        <f t="shared" si="22"/>
        <v>-20.629858333333331</v>
      </c>
      <c r="H102" s="126">
        <f t="shared" si="22"/>
        <v>-20.629858333333331</v>
      </c>
      <c r="I102" s="126">
        <f t="shared" si="22"/>
        <v>-20.629858333333335</v>
      </c>
      <c r="J102" s="126">
        <f t="shared" si="22"/>
        <v>-20.629858333333331</v>
      </c>
      <c r="K102" s="126">
        <f t="shared" si="22"/>
        <v>-20.629858333333331</v>
      </c>
      <c r="L102" s="126">
        <f t="shared" si="22"/>
        <v>-20.629858333333331</v>
      </c>
      <c r="M102" s="126">
        <f t="shared" si="22"/>
        <v>-20.629858333333331</v>
      </c>
      <c r="N102" s="126">
        <f t="shared" si="22"/>
        <v>-20.629858333333331</v>
      </c>
    </row>
    <row r="103" spans="1:14" x14ac:dyDescent="0.25">
      <c r="A103" s="516" t="s">
        <v>484</v>
      </c>
      <c r="B103" s="126">
        <f t="shared" ref="B103:N103" si="23">+B79/B92</f>
        <v>-20.629858333333331</v>
      </c>
      <c r="C103" s="126">
        <f t="shared" si="23"/>
        <v>-20.629858333333331</v>
      </c>
      <c r="D103" s="126">
        <f t="shared" si="23"/>
        <v>-20.629858333333331</v>
      </c>
      <c r="E103" s="126">
        <f t="shared" si="23"/>
        <v>-20.629858333333331</v>
      </c>
      <c r="F103" s="126">
        <f t="shared" si="23"/>
        <v>-20.629858333333331</v>
      </c>
      <c r="G103" s="126">
        <f t="shared" si="23"/>
        <v>-20.629858333333331</v>
      </c>
      <c r="H103" s="126">
        <f t="shared" si="23"/>
        <v>-20.629858333333328</v>
      </c>
      <c r="I103" s="126">
        <f t="shared" si="23"/>
        <v>-20.629858333333335</v>
      </c>
      <c r="J103" s="126">
        <f t="shared" si="23"/>
        <v>-20.629858333333331</v>
      </c>
      <c r="K103" s="126">
        <f t="shared" si="23"/>
        <v>-20.629858333333331</v>
      </c>
      <c r="L103" s="126">
        <f t="shared" si="23"/>
        <v>-20.629858333333331</v>
      </c>
      <c r="M103" s="126">
        <f t="shared" si="23"/>
        <v>-20.629858333333331</v>
      </c>
      <c r="N103" s="126">
        <f t="shared" si="23"/>
        <v>-20.629858333333331</v>
      </c>
    </row>
    <row r="104" spans="1:14" x14ac:dyDescent="0.25">
      <c r="A104" s="516" t="s">
        <v>485</v>
      </c>
      <c r="B104" s="126">
        <f t="shared" ref="B104:N104" si="24">+B80/B93</f>
        <v>-20.629858333333335</v>
      </c>
      <c r="C104" s="126">
        <f t="shared" si="24"/>
        <v>-20.629858333333335</v>
      </c>
      <c r="D104" s="126">
        <f t="shared" si="24"/>
        <v>-20.629858333333335</v>
      </c>
      <c r="E104" s="126">
        <f t="shared" si="24"/>
        <v>-20.629858333333335</v>
      </c>
      <c r="F104" s="126">
        <f t="shared" si="24"/>
        <v>-20.629858333333335</v>
      </c>
      <c r="G104" s="126">
        <f t="shared" si="24"/>
        <v>-20.629858333333331</v>
      </c>
      <c r="H104" s="126">
        <f t="shared" si="24"/>
        <v>-20.629858333333331</v>
      </c>
      <c r="I104" s="126">
        <f t="shared" si="24"/>
        <v>-20.629858333333335</v>
      </c>
      <c r="J104" s="126">
        <f t="shared" si="24"/>
        <v>-20.629858333333335</v>
      </c>
      <c r="K104" s="126">
        <f t="shared" si="24"/>
        <v>-20.629858333333328</v>
      </c>
      <c r="L104" s="126">
        <f t="shared" si="24"/>
        <v>-20.629858333333328</v>
      </c>
      <c r="M104" s="126">
        <f t="shared" si="24"/>
        <v>-20.629858333333335</v>
      </c>
      <c r="N104" s="126">
        <f t="shared" si="24"/>
        <v>-20.629858333333335</v>
      </c>
    </row>
    <row r="105" spans="1:14" x14ac:dyDescent="0.25">
      <c r="A105" s="516" t="s">
        <v>486</v>
      </c>
      <c r="B105" s="126">
        <f t="shared" ref="B105:N105" si="25">+B81/B94</f>
        <v>-20.629858333333331</v>
      </c>
      <c r="C105" s="126">
        <f t="shared" si="25"/>
        <v>-20.629858333333331</v>
      </c>
      <c r="D105" s="126">
        <f t="shared" si="25"/>
        <v>-20.629858333333331</v>
      </c>
      <c r="E105" s="126">
        <f t="shared" si="25"/>
        <v>-20.629858333333331</v>
      </c>
      <c r="F105" s="126">
        <f t="shared" si="25"/>
        <v>-20.629858333333331</v>
      </c>
      <c r="G105" s="126">
        <f t="shared" si="25"/>
        <v>-20.629858333333335</v>
      </c>
      <c r="H105" s="126">
        <f t="shared" si="25"/>
        <v>-20.629858333333331</v>
      </c>
      <c r="I105" s="126">
        <f t="shared" si="25"/>
        <v>-20.629858333333331</v>
      </c>
      <c r="J105" s="126">
        <f t="shared" si="25"/>
        <v>-20.629858333333331</v>
      </c>
      <c r="K105" s="126">
        <f t="shared" si="25"/>
        <v>-20.629858333333331</v>
      </c>
      <c r="L105" s="126">
        <f t="shared" si="25"/>
        <v>-20.629858333333331</v>
      </c>
      <c r="M105" s="126">
        <f t="shared" si="25"/>
        <v>-20.629858333333331</v>
      </c>
      <c r="N105" s="126">
        <f t="shared" si="25"/>
        <v>-20.629858333333331</v>
      </c>
    </row>
    <row r="106" spans="1:14" x14ac:dyDescent="0.25">
      <c r="A106" s="516" t="s">
        <v>487</v>
      </c>
      <c r="B106" s="126">
        <f t="shared" ref="B106:N106" si="26">+B82/B95</f>
        <v>-20.629858333333331</v>
      </c>
      <c r="C106" s="126">
        <f t="shared" si="26"/>
        <v>-20.629858333333331</v>
      </c>
      <c r="D106" s="126">
        <f t="shared" si="26"/>
        <v>-20.629858333333331</v>
      </c>
      <c r="E106" s="126">
        <f t="shared" si="26"/>
        <v>-20.629858333333331</v>
      </c>
      <c r="F106" s="126">
        <f t="shared" si="26"/>
        <v>-20.629858333333331</v>
      </c>
      <c r="G106" s="126">
        <f t="shared" si="26"/>
        <v>-20.629858333333331</v>
      </c>
      <c r="H106" s="126">
        <f t="shared" si="26"/>
        <v>-20.629858333333331</v>
      </c>
      <c r="I106" s="126">
        <f t="shared" si="26"/>
        <v>-20.629858333333335</v>
      </c>
      <c r="J106" s="126">
        <f t="shared" si="26"/>
        <v>-20.629858333333328</v>
      </c>
      <c r="K106" s="126">
        <f t="shared" si="26"/>
        <v>-20.629858333333331</v>
      </c>
      <c r="L106" s="126">
        <f t="shared" si="26"/>
        <v>-20.629858333333331</v>
      </c>
      <c r="M106" s="126">
        <f t="shared" si="26"/>
        <v>-20.629858333333335</v>
      </c>
      <c r="N106" s="126">
        <f t="shared" si="26"/>
        <v>-20.629858333333335</v>
      </c>
    </row>
    <row r="107" spans="1:14" x14ac:dyDescent="0.25">
      <c r="A107" s="516" t="s">
        <v>488</v>
      </c>
      <c r="B107" s="126">
        <f t="shared" ref="B107:N107" si="27">+B83/B96</f>
        <v>-20.629858333333335</v>
      </c>
      <c r="C107" s="126">
        <f t="shared" si="27"/>
        <v>-20.629858333333335</v>
      </c>
      <c r="D107" s="126">
        <f t="shared" si="27"/>
        <v>-20.629858333333335</v>
      </c>
      <c r="E107" s="126">
        <f t="shared" si="27"/>
        <v>-20.629858333333335</v>
      </c>
      <c r="F107" s="126">
        <f t="shared" si="27"/>
        <v>-20.629858333333335</v>
      </c>
      <c r="G107" s="126">
        <f t="shared" si="27"/>
        <v>-20.629858333333335</v>
      </c>
      <c r="H107" s="126">
        <f t="shared" si="27"/>
        <v>-20.629858333333331</v>
      </c>
      <c r="I107" s="126">
        <f t="shared" si="27"/>
        <v>-20.629858333333338</v>
      </c>
      <c r="J107" s="126">
        <f t="shared" si="27"/>
        <v>-20.629858333333331</v>
      </c>
      <c r="K107" s="126">
        <f t="shared" si="27"/>
        <v>-20.629858333333335</v>
      </c>
      <c r="L107" s="126">
        <f t="shared" si="27"/>
        <v>-20.629858333333335</v>
      </c>
      <c r="M107" s="126">
        <f t="shared" si="27"/>
        <v>-20.629858333333331</v>
      </c>
      <c r="N107" s="126">
        <f t="shared" si="27"/>
        <v>-20.629858333333331</v>
      </c>
    </row>
    <row r="108" spans="1:14" x14ac:dyDescent="0.25">
      <c r="A108" s="516" t="s">
        <v>489</v>
      </c>
      <c r="B108" s="126">
        <f t="shared" ref="B108:N108" si="28">+B84/B97</f>
        <v>-20.629858333333331</v>
      </c>
      <c r="C108" s="126">
        <f t="shared" si="28"/>
        <v>-20.629858333333331</v>
      </c>
      <c r="D108" s="126">
        <f t="shared" si="28"/>
        <v>-20.629858333333331</v>
      </c>
      <c r="E108" s="126">
        <f t="shared" si="28"/>
        <v>-20.629858333333331</v>
      </c>
      <c r="F108" s="126">
        <f t="shared" si="28"/>
        <v>-20.629858333333331</v>
      </c>
      <c r="G108" s="126">
        <f t="shared" si="28"/>
        <v>-20.629858333333328</v>
      </c>
      <c r="H108" s="126">
        <f t="shared" si="28"/>
        <v>-20.629858333333331</v>
      </c>
      <c r="I108" s="126">
        <f t="shared" si="28"/>
        <v>-20.629858333333335</v>
      </c>
      <c r="J108" s="126">
        <f t="shared" si="28"/>
        <v>-20.629858333333335</v>
      </c>
      <c r="K108" s="126">
        <f t="shared" si="28"/>
        <v>-20.629858333333331</v>
      </c>
      <c r="L108" s="126">
        <f t="shared" si="28"/>
        <v>-20.629858333333331</v>
      </c>
      <c r="M108" s="126">
        <f t="shared" si="28"/>
        <v>-20.629858333333331</v>
      </c>
      <c r="N108" s="126">
        <f t="shared" si="28"/>
        <v>-20.629858333333331</v>
      </c>
    </row>
    <row r="109" spans="1:14" ht="15.75" thickBot="1" x14ac:dyDescent="0.3">
      <c r="A109" s="517" t="s">
        <v>490</v>
      </c>
      <c r="B109" s="126">
        <f t="shared" ref="B109:N109" si="29">+B85/B98</f>
        <v>-20.629858333333335</v>
      </c>
      <c r="C109" s="126">
        <f t="shared" si="29"/>
        <v>-20.629858333333335</v>
      </c>
      <c r="D109" s="126">
        <f t="shared" si="29"/>
        <v>-20.629858333333335</v>
      </c>
      <c r="E109" s="126">
        <f t="shared" si="29"/>
        <v>-20.629858333333335</v>
      </c>
      <c r="F109" s="126">
        <f t="shared" si="29"/>
        <v>-20.629858333333335</v>
      </c>
      <c r="G109" s="126">
        <f t="shared" si="29"/>
        <v>-20.629858333333331</v>
      </c>
      <c r="H109" s="126">
        <f t="shared" si="29"/>
        <v>-20.629858333333331</v>
      </c>
      <c r="I109" s="126">
        <f t="shared" si="29"/>
        <v>-20.629858333333335</v>
      </c>
      <c r="J109" s="126">
        <f t="shared" si="29"/>
        <v>-20.629858333333331</v>
      </c>
      <c r="K109" s="126">
        <f t="shared" si="29"/>
        <v>-20.629858333333331</v>
      </c>
      <c r="L109" s="126">
        <f t="shared" si="29"/>
        <v>-20.629858333333331</v>
      </c>
      <c r="M109" s="126">
        <f t="shared" si="29"/>
        <v>-20.629858333333335</v>
      </c>
      <c r="N109" s="126">
        <f t="shared" si="29"/>
        <v>-20.629858333333335</v>
      </c>
    </row>
    <row r="112" spans="1:14" x14ac:dyDescent="0.25">
      <c r="A112" s="73" t="s">
        <v>151</v>
      </c>
      <c r="B112">
        <f>+INGEI_diffs!C8/1000</f>
        <v>-0.16503886666666667</v>
      </c>
      <c r="C112">
        <f>+INGEI_diffs!D8/1000</f>
        <v>-0.16503886666666667</v>
      </c>
      <c r="D112">
        <f>+INGEI_diffs!E8/1000</f>
        <v>-0.16503886666666667</v>
      </c>
      <c r="E112">
        <f>+INGEI_diffs!F8/1000</f>
        <v>-0.16503886666666667</v>
      </c>
      <c r="F112">
        <f>+INGEI_diffs!G8/1000</f>
        <v>-0.16503886666666667</v>
      </c>
      <c r="G112">
        <f>+INGEI_diffs!H8/1000</f>
        <v>-0.32161949141666668</v>
      </c>
      <c r="H112">
        <f>+INGEI_diffs!I8/1000</f>
        <v>-0.47820011616666663</v>
      </c>
      <c r="I112">
        <f>+INGEI_diffs!J8/1000</f>
        <v>-2.1417918921666663</v>
      </c>
      <c r="J112">
        <f>+INGEI_diffs!K8/1000</f>
        <v>-3.8053836681666664</v>
      </c>
      <c r="K112">
        <f>+INGEI_diffs!L8/1000</f>
        <v>-0.15224835449999999</v>
      </c>
      <c r="L112">
        <f>+INGEI_diffs!M8/1000</f>
        <v>-0.15224835449999999</v>
      </c>
      <c r="M112">
        <f>+INGEI_diffs!N8/1000</f>
        <v>-0.78816566262499999</v>
      </c>
      <c r="N112">
        <f>+INGEI_diffs!O8/1000</f>
        <v>-0.78816566262499999</v>
      </c>
    </row>
    <row r="113" spans="1:14" ht="15.75" x14ac:dyDescent="0.25">
      <c r="A113" s="119" t="s">
        <v>129</v>
      </c>
      <c r="B113" s="1">
        <v>2010</v>
      </c>
      <c r="C113" s="1">
        <v>2011</v>
      </c>
      <c r="D113" s="1">
        <v>2012</v>
      </c>
      <c r="E113" s="1">
        <v>2013</v>
      </c>
      <c r="F113" s="1">
        <v>2014</v>
      </c>
      <c r="G113" s="1">
        <v>2015</v>
      </c>
      <c r="H113" s="1">
        <v>2016</v>
      </c>
      <c r="I113" s="1">
        <v>2017</v>
      </c>
      <c r="J113" s="1">
        <v>2018</v>
      </c>
      <c r="K113" s="1">
        <v>2019</v>
      </c>
      <c r="L113" s="1">
        <v>2020</v>
      </c>
      <c r="M113" s="1">
        <v>2021</v>
      </c>
      <c r="N113" s="1">
        <v>2022</v>
      </c>
    </row>
    <row r="114" spans="1:14" ht="15.75" x14ac:dyDescent="0.25">
      <c r="A114" s="502" t="s">
        <v>18</v>
      </c>
      <c r="B114" s="112">
        <f>+'5ta'!$R87*'Emisiones Tierras forestales'!B$112</f>
        <v>-4.0452779485759669E-4</v>
      </c>
      <c r="C114" s="112">
        <f>+'5ta'!$R87*'Emisiones Tierras forestales'!C$112</f>
        <v>-4.0452779485759669E-4</v>
      </c>
      <c r="D114" s="112">
        <f>+'5ta'!$R87*'Emisiones Tierras forestales'!D$112</f>
        <v>-4.0452779485759669E-4</v>
      </c>
      <c r="E114" s="112">
        <f>+'5ta'!$R87*'Emisiones Tierras forestales'!E$112</f>
        <v>-4.0452779485759669E-4</v>
      </c>
      <c r="F114" s="112">
        <f>+'5ta'!$R87*'Emisiones Tierras forestales'!F$112</f>
        <v>-4.0452779485759669E-4</v>
      </c>
      <c r="G114" s="112">
        <f>+'5ta'!$R87*'Emisiones Tierras forestales'!G$112</f>
        <v>-7.8832354022874147E-4</v>
      </c>
      <c r="H114" s="112">
        <f>+'5ta'!$R87*'Emisiones Tierras forestales'!H$112</f>
        <v>-1.1721192855998863E-3</v>
      </c>
      <c r="I114" s="112">
        <f>+'5ta'!$R87*'Emisiones Tierras forestales'!I$112</f>
        <v>-5.2497594577644597E-3</v>
      </c>
      <c r="J114" s="112">
        <f>+'5ta'!$R87*'Emisiones Tierras forestales'!J$112</f>
        <v>-9.3273996299290344E-3</v>
      </c>
      <c r="K114" s="112">
        <f>+'5ta'!$R87*'Emisiones Tierras forestales'!K$112</f>
        <v>-3.7317689075613288E-4</v>
      </c>
      <c r="L114" s="112">
        <f>+'5ta'!$R87*'Emisiones Tierras forestales'!L$112</f>
        <v>-3.7317689075613288E-4</v>
      </c>
      <c r="M114" s="112">
        <f>+'5ta'!$R87*'Emisiones Tierras forestales'!M$112</f>
        <v>-1.9318777686963095E-3</v>
      </c>
      <c r="N114" s="112">
        <f>+'5ta'!$R87*'Emisiones Tierras forestales'!N$112</f>
        <v>-1.9318777686963095E-3</v>
      </c>
    </row>
    <row r="115" spans="1:14" ht="15.75" x14ac:dyDescent="0.25">
      <c r="A115" s="502" t="s">
        <v>20</v>
      </c>
      <c r="B115" s="112">
        <f>+'5ta'!$R88*'Emisiones Tierras forestales'!B$112</f>
        <v>-3.9502891069475273E-3</v>
      </c>
      <c r="C115" s="112">
        <f>+'5ta'!$R88*'Emisiones Tierras forestales'!C$112</f>
        <v>-3.9502891069475273E-3</v>
      </c>
      <c r="D115" s="112">
        <f>+'5ta'!$R88*'Emisiones Tierras forestales'!D$112</f>
        <v>-3.9502891069475273E-3</v>
      </c>
      <c r="E115" s="112">
        <f>+'5ta'!$R88*'Emisiones Tierras forestales'!E$112</f>
        <v>-3.9502891069475273E-3</v>
      </c>
      <c r="F115" s="112">
        <f>+'5ta'!$R88*'Emisiones Tierras forestales'!F$112</f>
        <v>-3.9502891069475273E-3</v>
      </c>
      <c r="G115" s="112">
        <f>+'5ta'!$R88*'Emisiones Tierras forestales'!G$112</f>
        <v>-7.6981258971639942E-3</v>
      </c>
      <c r="H115" s="112">
        <f>+'5ta'!$R88*'Emisiones Tierras forestales'!H$112</f>
        <v>-1.144596268738046E-2</v>
      </c>
      <c r="I115" s="112">
        <f>+'5ta'!$R88*'Emisiones Tierras forestales'!I$112</f>
        <v>-5.126487688541153E-2</v>
      </c>
      <c r="J115" s="112">
        <f>+'5ta'!$R88*'Emisiones Tierras forestales'!J$112</f>
        <v>-9.1083791083442611E-2</v>
      </c>
      <c r="K115" s="112">
        <f>+'5ta'!$R88*'Emisiones Tierras forestales'!K$112</f>
        <v>-3.6441417011590939E-3</v>
      </c>
      <c r="L115" s="112">
        <f>+'5ta'!$R88*'Emisiones Tierras forestales'!L$112</f>
        <v>-3.6441417011590939E-3</v>
      </c>
      <c r="M115" s="112">
        <f>+'5ta'!$R88*'Emisiones Tierras forestales'!M$112</f>
        <v>-1.8865145492219109E-2</v>
      </c>
      <c r="N115" s="112">
        <f>+'5ta'!$R88*'Emisiones Tierras forestales'!N$112</f>
        <v>-1.8865145492219109E-2</v>
      </c>
    </row>
    <row r="116" spans="1:14" ht="15.75" x14ac:dyDescent="0.25">
      <c r="A116" s="502" t="s">
        <v>21</v>
      </c>
      <c r="B116" s="112">
        <f>+'5ta'!$R89*'Emisiones Tierras forestales'!B$112</f>
        <v>-3.7773050819529266E-2</v>
      </c>
      <c r="C116" s="112">
        <f>+'5ta'!$R89*'Emisiones Tierras forestales'!C$112</f>
        <v>-3.7773050819529266E-2</v>
      </c>
      <c r="D116" s="112">
        <f>+'5ta'!$R89*'Emisiones Tierras forestales'!D$112</f>
        <v>-3.7773050819529266E-2</v>
      </c>
      <c r="E116" s="112">
        <f>+'5ta'!$R89*'Emisiones Tierras forestales'!E$112</f>
        <v>-3.7773050819529266E-2</v>
      </c>
      <c r="F116" s="112">
        <f>+'5ta'!$R89*'Emisiones Tierras forestales'!F$112</f>
        <v>-3.7773050819529266E-2</v>
      </c>
      <c r="G116" s="112">
        <f>+'5ta'!$R89*'Emisiones Tierras forestales'!G$112</f>
        <v>-7.3610232784557653E-2</v>
      </c>
      <c r="H116" s="112">
        <f>+'5ta'!$R89*'Emisiones Tierras forestales'!H$112</f>
        <v>-0.10944741474958603</v>
      </c>
      <c r="I116" s="112">
        <f>+'5ta'!$R89*'Emisiones Tierras forestales'!I$112</f>
        <v>-0.49019976701044093</v>
      </c>
      <c r="J116" s="112">
        <f>+'5ta'!$R89*'Emisiones Tierras forestales'!J$112</f>
        <v>-0.8709521192712959</v>
      </c>
      <c r="K116" s="112">
        <f>+'5ta'!$R89*'Emisiones Tierras forestales'!K$112</f>
        <v>-3.4845639381015744E-2</v>
      </c>
      <c r="L116" s="112">
        <f>+'5ta'!$R89*'Emisiones Tierras forestales'!L$112</f>
        <v>-3.4845639381015744E-2</v>
      </c>
      <c r="M116" s="112">
        <f>+'5ta'!$R89*'Emisiones Tierras forestales'!M$112</f>
        <v>-0.18039036640182582</v>
      </c>
      <c r="N116" s="112">
        <f>+'5ta'!$R89*'Emisiones Tierras forestales'!N$112</f>
        <v>-0.18039036640182582</v>
      </c>
    </row>
    <row r="117" spans="1:14" ht="15.75" x14ac:dyDescent="0.25">
      <c r="A117" s="502" t="s">
        <v>22</v>
      </c>
      <c r="B117" s="112">
        <f>+'5ta'!$R90*'Emisiones Tierras forestales'!B$112</f>
        <v>-1.5354501568480089E-2</v>
      </c>
      <c r="C117" s="112">
        <f>+'5ta'!$R90*'Emisiones Tierras forestales'!C$112</f>
        <v>-1.5354501568480089E-2</v>
      </c>
      <c r="D117" s="112">
        <f>+'5ta'!$R90*'Emisiones Tierras forestales'!D$112</f>
        <v>-1.5354501568480089E-2</v>
      </c>
      <c r="E117" s="112">
        <f>+'5ta'!$R90*'Emisiones Tierras forestales'!E$112</f>
        <v>-1.5354501568480089E-2</v>
      </c>
      <c r="F117" s="112">
        <f>+'5ta'!$R90*'Emisiones Tierras forestales'!F$112</f>
        <v>-1.5354501568480089E-2</v>
      </c>
      <c r="G117" s="112">
        <f>+'5ta'!$R90*'Emisiones Tierras forestales'!G$112</f>
        <v>-2.9922084931575572E-2</v>
      </c>
      <c r="H117" s="112">
        <f>+'5ta'!$R90*'Emisiones Tierras forestales'!H$112</f>
        <v>-4.4489668294671054E-2</v>
      </c>
      <c r="I117" s="112">
        <f>+'5ta'!$R90*'Emisiones Tierras forestales'!I$112</f>
        <v>-0.1992630441049503</v>
      </c>
      <c r="J117" s="112">
        <f>+'5ta'!$R90*'Emisiones Tierras forestales'!J$112</f>
        <v>-0.35403641991522961</v>
      </c>
      <c r="K117" s="112">
        <f>+'5ta'!$R90*'Emisiones Tierras forestales'!K$112</f>
        <v>-1.416452769692288E-2</v>
      </c>
      <c r="L117" s="112">
        <f>+'5ta'!$R90*'Emisiones Tierras forestales'!L$112</f>
        <v>-1.416452769692288E-2</v>
      </c>
      <c r="M117" s="112">
        <f>+'5ta'!$R90*'Emisiones Tierras forestales'!M$112</f>
        <v>-7.3327520646637848E-2</v>
      </c>
      <c r="N117" s="112">
        <f>+'5ta'!$R90*'Emisiones Tierras forestales'!N$112</f>
        <v>-7.3327520646637848E-2</v>
      </c>
    </row>
    <row r="118" spans="1:14" ht="15.75" x14ac:dyDescent="0.25">
      <c r="A118" s="502" t="s">
        <v>23</v>
      </c>
      <c r="B118" s="112">
        <f>+'5ta'!$R91*'Emisiones Tierras forestales'!B$112</f>
        <v>-1.057424763798266E-2</v>
      </c>
      <c r="C118" s="112">
        <f>+'5ta'!$R91*'Emisiones Tierras forestales'!C$112</f>
        <v>-1.057424763798266E-2</v>
      </c>
      <c r="D118" s="112">
        <f>+'5ta'!$R91*'Emisiones Tierras forestales'!D$112</f>
        <v>-1.057424763798266E-2</v>
      </c>
      <c r="E118" s="112">
        <f>+'5ta'!$R91*'Emisiones Tierras forestales'!E$112</f>
        <v>-1.057424763798266E-2</v>
      </c>
      <c r="F118" s="112">
        <f>+'5ta'!$R91*'Emisiones Tierras forestales'!F$112</f>
        <v>-1.057424763798266E-2</v>
      </c>
      <c r="G118" s="112">
        <f>+'5ta'!$R91*'Emisiones Tierras forestales'!G$112</f>
        <v>-2.0606565084518708E-2</v>
      </c>
      <c r="H118" s="112">
        <f>+'5ta'!$R91*'Emisiones Tierras forestales'!H$112</f>
        <v>-3.0638882531054751E-2</v>
      </c>
      <c r="I118" s="112">
        <f>+'5ta'!$R91*'Emisiones Tierras forestales'!I$112</f>
        <v>-0.13722729872191994</v>
      </c>
      <c r="J118" s="112">
        <f>+'5ta'!$R91*'Emisiones Tierras forestales'!J$112</f>
        <v>-0.24381571491278514</v>
      </c>
      <c r="K118" s="112">
        <f>+'5ta'!$R91*'Emisiones Tierras forestales'!K$112</f>
        <v>-9.7547434460390024E-3</v>
      </c>
      <c r="L118" s="112">
        <f>+'5ta'!$R91*'Emisiones Tierras forestales'!L$112</f>
        <v>-9.7547434460390024E-3</v>
      </c>
      <c r="M118" s="112">
        <f>+'5ta'!$R91*'Emisiones Tierras forestales'!M$112</f>
        <v>-5.049876471331062E-2</v>
      </c>
      <c r="N118" s="112">
        <f>+'5ta'!$R91*'Emisiones Tierras forestales'!N$112</f>
        <v>-5.049876471331062E-2</v>
      </c>
    </row>
    <row r="119" spans="1:14" ht="15.75" x14ac:dyDescent="0.25">
      <c r="A119" s="502" t="s">
        <v>24</v>
      </c>
      <c r="B119" s="112">
        <f>+'5ta'!$R92*'Emisiones Tierras forestales'!B$112</f>
        <v>-7.7377026991285833E-2</v>
      </c>
      <c r="C119" s="112">
        <f>+'5ta'!$R92*'Emisiones Tierras forestales'!C$112</f>
        <v>-7.7377026991285833E-2</v>
      </c>
      <c r="D119" s="112">
        <f>+'5ta'!$R92*'Emisiones Tierras forestales'!D$112</f>
        <v>-7.7377026991285833E-2</v>
      </c>
      <c r="E119" s="112">
        <f>+'5ta'!$R92*'Emisiones Tierras forestales'!E$112</f>
        <v>-7.7377026991285833E-2</v>
      </c>
      <c r="F119" s="112">
        <f>+'5ta'!$R92*'Emisiones Tierras forestales'!F$112</f>
        <v>-7.7377026991285833E-2</v>
      </c>
      <c r="G119" s="112">
        <f>+'5ta'!$R92*'Emisiones Tierras forestales'!G$112</f>
        <v>-0.15078848134926828</v>
      </c>
      <c r="H119" s="112">
        <f>+'5ta'!$R92*'Emisiones Tierras forestales'!H$112</f>
        <v>-0.22419993570725069</v>
      </c>
      <c r="I119" s="112">
        <f>+'5ta'!$R92*'Emisiones Tierras forestales'!I$112</f>
        <v>-1.0041603677794118</v>
      </c>
      <c r="J119" s="112">
        <f>+'5ta'!$R92*'Emisiones Tierras forestales'!J$112</f>
        <v>-1.7841207998515729</v>
      </c>
      <c r="K119" s="112">
        <f>+'5ta'!$R92*'Emisiones Tierras forestales'!K$112</f>
        <v>-7.1380307399461176E-2</v>
      </c>
      <c r="L119" s="112">
        <f>+'5ta'!$R92*'Emisiones Tierras forestales'!L$112</f>
        <v>-7.1380307399461176E-2</v>
      </c>
      <c r="M119" s="112">
        <f>+'5ta'!$R92*'Emisiones Tierras forestales'!M$112</f>
        <v>-0.36952456704464753</v>
      </c>
      <c r="N119" s="112">
        <f>+'5ta'!$R92*'Emisiones Tierras forestales'!N$112</f>
        <v>-0.36952456704464753</v>
      </c>
    </row>
    <row r="120" spans="1:14" ht="15.75" x14ac:dyDescent="0.25">
      <c r="A120" s="502" t="s">
        <v>25</v>
      </c>
      <c r="B120" s="112">
        <f>+'5ta'!$R93*'Emisiones Tierras forestales'!B$112</f>
        <v>-8.5727694923588421E-3</v>
      </c>
      <c r="C120" s="112">
        <f>+'5ta'!$R93*'Emisiones Tierras forestales'!C$112</f>
        <v>-8.5727694923588421E-3</v>
      </c>
      <c r="D120" s="112">
        <f>+'5ta'!$R93*'Emisiones Tierras forestales'!D$112</f>
        <v>-8.5727694923588421E-3</v>
      </c>
      <c r="E120" s="112">
        <f>+'5ta'!$R93*'Emisiones Tierras forestales'!E$112</f>
        <v>-8.5727694923588421E-3</v>
      </c>
      <c r="F120" s="112">
        <f>+'5ta'!$R93*'Emisiones Tierras forestales'!F$112</f>
        <v>-8.5727694923588421E-3</v>
      </c>
      <c r="G120" s="112">
        <f>+'5ta'!$R93*'Emisiones Tierras forestales'!G$112</f>
        <v>-1.6706184548234294E-2</v>
      </c>
      <c r="H120" s="112">
        <f>+'5ta'!$R93*'Emisiones Tierras forestales'!H$112</f>
        <v>-2.4839599604109745E-2</v>
      </c>
      <c r="I120" s="112">
        <f>+'5ta'!$R93*'Emisiones Tierras forestales'!I$112</f>
        <v>-0.11125311608708686</v>
      </c>
      <c r="J120" s="112">
        <f>+'5ta'!$R93*'Emisiones Tierras forestales'!J$112</f>
        <v>-0.197666632570064</v>
      </c>
      <c r="K120" s="112">
        <f>+'5ta'!$R93*'Emisiones Tierras forestales'!K$112</f>
        <v>-7.9083798567010314E-3</v>
      </c>
      <c r="L120" s="112">
        <f>+'5ta'!$R93*'Emisiones Tierras forestales'!L$112</f>
        <v>-7.9083798567010314E-3</v>
      </c>
      <c r="M120" s="112">
        <f>+'5ta'!$R93*'Emisiones Tierras forestales'!M$112</f>
        <v>-4.0940432299036579E-2</v>
      </c>
      <c r="N120" s="112">
        <f>+'5ta'!$R93*'Emisiones Tierras forestales'!N$112</f>
        <v>-4.0940432299036579E-2</v>
      </c>
    </row>
    <row r="121" spans="1:14" ht="15.75" x14ac:dyDescent="0.25">
      <c r="A121" s="502" t="s">
        <v>26</v>
      </c>
      <c r="B121" s="112">
        <f>+'5ta'!$R94*'Emisiones Tierras forestales'!B$112</f>
        <v>-2.1290655527337866E-3</v>
      </c>
      <c r="C121" s="112">
        <f>+'5ta'!$R94*'Emisiones Tierras forestales'!C$112</f>
        <v>-2.1290655527337866E-3</v>
      </c>
      <c r="D121" s="112">
        <f>+'5ta'!$R94*'Emisiones Tierras forestales'!D$112</f>
        <v>-2.1290655527337866E-3</v>
      </c>
      <c r="E121" s="112">
        <f>+'5ta'!$R94*'Emisiones Tierras forestales'!E$112</f>
        <v>-2.1290655527337866E-3</v>
      </c>
      <c r="F121" s="112">
        <f>+'5ta'!$R94*'Emisiones Tierras forestales'!F$112</f>
        <v>-2.1290655527337866E-3</v>
      </c>
      <c r="G121" s="112">
        <f>+'5ta'!$R94*'Emisiones Tierras forestales'!G$112</f>
        <v>-4.1490164958899664E-3</v>
      </c>
      <c r="H121" s="112">
        <f>+'5ta'!$R94*'Emisiones Tierras forestales'!H$112</f>
        <v>-6.1689674390461458E-3</v>
      </c>
      <c r="I121" s="112">
        <f>+'5ta'!$R94*'Emisiones Tierras forestales'!I$112</f>
        <v>-2.7629948210602707E-2</v>
      </c>
      <c r="J121" s="112">
        <f>+'5ta'!$R94*'Emisiones Tierras forestales'!J$112</f>
        <v>-4.9090928982159276E-2</v>
      </c>
      <c r="K121" s="112">
        <f>+'5ta'!$R94*'Emisiones Tierras forestales'!K$112</f>
        <v>-1.9640629723969177E-3</v>
      </c>
      <c r="L121" s="112">
        <f>+'5ta'!$R94*'Emisiones Tierras forestales'!L$112</f>
        <v>-1.9640629723969177E-3</v>
      </c>
      <c r="M121" s="112">
        <f>+'5ta'!$R94*'Emisiones Tierras forestales'!M$112</f>
        <v>-1.0167643513522794E-2</v>
      </c>
      <c r="N121" s="112">
        <f>+'5ta'!$R94*'Emisiones Tierras forestales'!N$112</f>
        <v>-1.0167643513522794E-2</v>
      </c>
    </row>
    <row r="122" spans="1:14" ht="15.75" x14ac:dyDescent="0.25">
      <c r="A122" s="502" t="s">
        <v>27</v>
      </c>
      <c r="B122" s="112">
        <f>+'5ta'!$R95*'Emisiones Tierras forestales'!B$112</f>
        <v>-8.9033877024910536E-3</v>
      </c>
      <c r="C122" s="112">
        <f>+'5ta'!$R95*'Emisiones Tierras forestales'!C$112</f>
        <v>-8.9033877024910536E-3</v>
      </c>
      <c r="D122" s="112">
        <f>+'5ta'!$R95*'Emisiones Tierras forestales'!D$112</f>
        <v>-8.9033877024910536E-3</v>
      </c>
      <c r="E122" s="112">
        <f>+'5ta'!$R95*'Emisiones Tierras forestales'!E$112</f>
        <v>-8.9033877024910536E-3</v>
      </c>
      <c r="F122" s="112">
        <f>+'5ta'!$R95*'Emisiones Tierras forestales'!F$112</f>
        <v>-8.9033877024910536E-3</v>
      </c>
      <c r="G122" s="112">
        <f>+'5ta'!$R95*'Emisiones Tierras forestales'!G$112</f>
        <v>-1.7350476785229444E-2</v>
      </c>
      <c r="H122" s="112">
        <f>+'5ta'!$R95*'Emisiones Tierras forestales'!H$112</f>
        <v>-2.5797565867967828E-2</v>
      </c>
      <c r="I122" s="112">
        <f>+'5ta'!$R95*'Emisiones Tierras forestales'!I$112</f>
        <v>-0.11554371390907764</v>
      </c>
      <c r="J122" s="112">
        <f>+'5ta'!$R95*'Emisiones Tierras forestales'!J$112</f>
        <v>-0.20528986195018747</v>
      </c>
      <c r="K122" s="112">
        <f>+'5ta'!$R95*'Emisiones Tierras forestales'!K$112</f>
        <v>-8.2133751555479965E-3</v>
      </c>
      <c r="L122" s="112">
        <f>+'5ta'!$R95*'Emisiones Tierras forestales'!L$112</f>
        <v>-8.2133751555479965E-3</v>
      </c>
      <c r="M122" s="112">
        <f>+'5ta'!$R95*'Emisiones Tierras forestales'!M$112</f>
        <v>-4.2519344745103299E-2</v>
      </c>
      <c r="N122" s="112">
        <f>+'5ta'!$R95*'Emisiones Tierras forestales'!N$112</f>
        <v>-4.2519344745103299E-2</v>
      </c>
    </row>
    <row r="123" spans="1:14" ht="15.75" x14ac:dyDescent="0.25">
      <c r="A123" s="503" t="s">
        <v>14</v>
      </c>
      <c r="B123" s="122">
        <f t="shared" ref="B123:N123" si="30">+SUM(B114:B122)</f>
        <v>-0.16503886666666667</v>
      </c>
      <c r="C123" s="122">
        <f t="shared" si="30"/>
        <v>-0.16503886666666667</v>
      </c>
      <c r="D123" s="122">
        <f t="shared" si="30"/>
        <v>-0.16503886666666667</v>
      </c>
      <c r="E123" s="122">
        <f t="shared" si="30"/>
        <v>-0.16503886666666667</v>
      </c>
      <c r="F123" s="122">
        <f t="shared" si="30"/>
        <v>-0.16503886666666667</v>
      </c>
      <c r="G123" s="122">
        <f t="shared" si="30"/>
        <v>-0.32161949141666668</v>
      </c>
      <c r="H123" s="122">
        <f t="shared" si="30"/>
        <v>-0.47820011616666663</v>
      </c>
      <c r="I123" s="122">
        <f t="shared" si="30"/>
        <v>-2.1417918921666663</v>
      </c>
      <c r="J123" s="122">
        <f t="shared" si="30"/>
        <v>-3.805383668166666</v>
      </c>
      <c r="K123" s="122">
        <f t="shared" si="30"/>
        <v>-0.15224835449999999</v>
      </c>
      <c r="L123" s="122">
        <f t="shared" si="30"/>
        <v>-0.15224835449999999</v>
      </c>
      <c r="M123" s="122">
        <f t="shared" si="30"/>
        <v>-0.78816566262499987</v>
      </c>
      <c r="N123" s="122">
        <f t="shared" si="30"/>
        <v>-0.78816566262499987</v>
      </c>
    </row>
    <row r="124" spans="1:14" ht="15.75" x14ac:dyDescent="0.25">
      <c r="A124" s="503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</row>
    <row r="125" spans="1:14" ht="15.75" x14ac:dyDescent="0.25">
      <c r="A125" s="119" t="s">
        <v>118</v>
      </c>
      <c r="B125" s="122">
        <f>+'5ta'!C92/1000</f>
        <v>8.0000000000000002E-3</v>
      </c>
      <c r="C125" s="122">
        <f>+'5ta'!D92/1000</f>
        <v>8.0000000000000002E-3</v>
      </c>
      <c r="D125" s="122">
        <f>+'5ta'!E92/1000</f>
        <v>8.0000000000000002E-3</v>
      </c>
      <c r="E125" s="122">
        <f>+'5ta'!F92/1000</f>
        <v>8.0000000000000002E-3</v>
      </c>
      <c r="F125" s="122">
        <f>+'5ta'!G92/1000</f>
        <v>8.0000000000000002E-3</v>
      </c>
      <c r="G125" s="122">
        <f>+'5ta'!H92/1000</f>
        <v>1.559E-2</v>
      </c>
      <c r="H125" s="122">
        <f>+'5ta'!I92/1000</f>
        <v>2.3179999999999999E-2</v>
      </c>
      <c r="I125" s="122">
        <f>+'5ta'!J92/1000</f>
        <v>0.10382000000000001</v>
      </c>
      <c r="J125" s="122">
        <f>+'5ta'!K92/1000</f>
        <v>0.18446000000000001</v>
      </c>
      <c r="K125" s="122">
        <f>+'5ta'!L92/1000</f>
        <v>7.3800000000000003E-3</v>
      </c>
      <c r="L125" s="122">
        <f>+'5ta'!M92/1000</f>
        <v>7.3800000000000003E-3</v>
      </c>
      <c r="M125" s="122">
        <f>+'5ta'!N92/1000</f>
        <v>3.8204999999999996E-2</v>
      </c>
      <c r="N125" s="122">
        <f>+'5ta'!O92/1000</f>
        <v>3.8204999999999996E-2</v>
      </c>
    </row>
    <row r="126" spans="1:14" x14ac:dyDescent="0.25">
      <c r="B126" s="1">
        <v>2010</v>
      </c>
      <c r="C126" s="1">
        <v>2011</v>
      </c>
      <c r="D126" s="1">
        <v>2012</v>
      </c>
      <c r="E126" s="1">
        <v>2013</v>
      </c>
      <c r="F126" s="1">
        <v>2014</v>
      </c>
      <c r="G126" s="1">
        <v>2015</v>
      </c>
      <c r="H126" s="1">
        <v>2016</v>
      </c>
      <c r="I126" s="1">
        <v>2017</v>
      </c>
      <c r="J126" s="1">
        <v>2018</v>
      </c>
      <c r="K126" s="1">
        <v>2019</v>
      </c>
      <c r="L126" s="1">
        <v>2020</v>
      </c>
      <c r="M126" s="1">
        <v>2021</v>
      </c>
      <c r="N126" s="1">
        <v>2022</v>
      </c>
    </row>
    <row r="127" spans="1:14" ht="15.75" x14ac:dyDescent="0.25">
      <c r="A127" s="502" t="s">
        <v>18</v>
      </c>
      <c r="B127" s="508">
        <f>+'Cambio uso de suelo (BAU)'!D140</f>
        <v>1.9608849868055968E-5</v>
      </c>
      <c r="C127" s="508">
        <f>+'Cambio uso de suelo (BAU)'!E140</f>
        <v>1.9608849868055968E-5</v>
      </c>
      <c r="D127" s="508">
        <f>+'Cambio uso de suelo (BAU)'!F140</f>
        <v>1.9608849868055968E-5</v>
      </c>
      <c r="E127" s="508">
        <f>+'Cambio uso de suelo (BAU)'!G140</f>
        <v>1.9608849868055968E-5</v>
      </c>
      <c r="F127" s="508">
        <f>+'Cambio uso de suelo (BAU)'!H140</f>
        <v>1.9608849868055968E-5</v>
      </c>
      <c r="G127" s="508">
        <f>+'Cambio uso de suelo (BAU)'!I140</f>
        <v>3.8212746180374067E-5</v>
      </c>
      <c r="H127" s="508">
        <f>+'Cambio uso de suelo (BAU)'!J140</f>
        <v>5.6816642492692166E-5</v>
      </c>
      <c r="I127" s="508">
        <f>+'Cambio uso de suelo (BAU)'!K140</f>
        <v>2.5447384916269634E-4</v>
      </c>
      <c r="J127" s="508">
        <f>+'Cambio uso de suelo (BAU)'!L140</f>
        <v>4.5213105583270054E-4</v>
      </c>
      <c r="K127" s="508">
        <f>+'Cambio uso de suelo (BAU)'!M140</f>
        <v>1.808916400328163E-5</v>
      </c>
      <c r="L127" s="508">
        <f>+'Cambio uso de suelo (BAU)'!N140</f>
        <v>1.808916400328163E-5</v>
      </c>
      <c r="M127" s="508">
        <f>+'Cambio uso de suelo (BAU)'!O140</f>
        <v>9.3644513651134782E-5</v>
      </c>
      <c r="N127" s="508">
        <f>+'Cambio uso de suelo (BAU)'!P140</f>
        <v>9.3644513651134782E-5</v>
      </c>
    </row>
    <row r="128" spans="1:14" ht="15.75" x14ac:dyDescent="0.25">
      <c r="A128" s="502" t="s">
        <v>20</v>
      </c>
      <c r="B128" s="508">
        <f>+'Cambio uso de suelo (BAU)'!D141</f>
        <v>1.9148406368669655E-4</v>
      </c>
      <c r="C128" s="508">
        <f>+'Cambio uso de suelo (BAU)'!E141</f>
        <v>1.9148406368669655E-4</v>
      </c>
      <c r="D128" s="508">
        <f>+'Cambio uso de suelo (BAU)'!F141</f>
        <v>1.9148406368669655E-4</v>
      </c>
      <c r="E128" s="508">
        <f>+'Cambio uso de suelo (BAU)'!G141</f>
        <v>1.9148406368669655E-4</v>
      </c>
      <c r="F128" s="508">
        <f>+'Cambio uso de suelo (BAU)'!H141</f>
        <v>1.9148406368669655E-4</v>
      </c>
      <c r="G128" s="508">
        <f>+'Cambio uso de suelo (BAU)'!I141</f>
        <v>3.7315456910944989E-4</v>
      </c>
      <c r="H128" s="508">
        <f>+'Cambio uso de suelo (BAU)'!J141</f>
        <v>5.5482507453220322E-4</v>
      </c>
      <c r="I128" s="508">
        <f>+'Cambio uso de suelo (BAU)'!K141</f>
        <v>2.4849844364941047E-3</v>
      </c>
      <c r="J128" s="508">
        <f>+'Cambio uso de suelo (BAU)'!L141</f>
        <v>4.415143798456006E-3</v>
      </c>
      <c r="K128" s="508">
        <f>+'Cambio uso de suelo (BAU)'!M141</f>
        <v>1.7664404875097756E-4</v>
      </c>
      <c r="L128" s="508">
        <f>+'Cambio uso de suelo (BAU)'!N141</f>
        <v>1.7664404875097756E-4</v>
      </c>
      <c r="M128" s="508">
        <f>+'Cambio uso de suelo (BAU)'!O141</f>
        <v>9.1445608164378008E-4</v>
      </c>
      <c r="N128" s="508">
        <f>+'Cambio uso de suelo (BAU)'!P141</f>
        <v>9.1445608164378008E-4</v>
      </c>
    </row>
    <row r="129" spans="1:14" ht="15.75" x14ac:dyDescent="0.25">
      <c r="A129" s="502" t="s">
        <v>21</v>
      </c>
      <c r="B129" s="508">
        <f>+'Cambio uso de suelo (BAU)'!D142</f>
        <v>1.8309893460827253E-3</v>
      </c>
      <c r="C129" s="508">
        <f>+'Cambio uso de suelo (BAU)'!E142</f>
        <v>1.8309893460827253E-3</v>
      </c>
      <c r="D129" s="508">
        <f>+'Cambio uso de suelo (BAU)'!F142</f>
        <v>1.8309893460827253E-3</v>
      </c>
      <c r="E129" s="508">
        <f>+'Cambio uso de suelo (BAU)'!G142</f>
        <v>1.8309893460827253E-3</v>
      </c>
      <c r="F129" s="508">
        <f>+'Cambio uso de suelo (BAU)'!H142</f>
        <v>1.8309893460827253E-3</v>
      </c>
      <c r="G129" s="508">
        <f>+'Cambio uso de suelo (BAU)'!I142</f>
        <v>3.568140488178711E-3</v>
      </c>
      <c r="H129" s="508">
        <f>+'Cambio uso de suelo (BAU)'!J142</f>
        <v>5.3052916302746972E-3</v>
      </c>
      <c r="I129" s="508">
        <f>+'Cambio uso de suelo (BAU)'!K142</f>
        <v>2.3761664238788571E-2</v>
      </c>
      <c r="J129" s="508">
        <f>+'Cambio uso de suelo (BAU)'!L142</f>
        <v>4.2218036847302444E-2</v>
      </c>
      <c r="K129" s="508">
        <f>+'Cambio uso de suelo (BAU)'!M142</f>
        <v>1.689087671761314E-3</v>
      </c>
      <c r="L129" s="508">
        <f>+'Cambio uso de suelo (BAU)'!N142</f>
        <v>1.689087671761314E-3</v>
      </c>
      <c r="M129" s="508">
        <f>+'Cambio uso de suelo (BAU)'!O142</f>
        <v>8.744118495886315E-3</v>
      </c>
      <c r="N129" s="508">
        <f>+'Cambio uso de suelo (BAU)'!P142</f>
        <v>8.744118495886315E-3</v>
      </c>
    </row>
    <row r="130" spans="1:14" ht="15.75" x14ac:dyDescent="0.25">
      <c r="A130" s="502" t="s">
        <v>22</v>
      </c>
      <c r="B130" s="508">
        <f>+'Cambio uso de suelo (BAU)'!D143</f>
        <v>7.442853615562922E-4</v>
      </c>
      <c r="C130" s="508">
        <f>+'Cambio uso de suelo (BAU)'!E143</f>
        <v>7.442853615562922E-4</v>
      </c>
      <c r="D130" s="508">
        <f>+'Cambio uso de suelo (BAU)'!F143</f>
        <v>7.442853615562922E-4</v>
      </c>
      <c r="E130" s="508">
        <f>+'Cambio uso de suelo (BAU)'!G143</f>
        <v>7.442853615562922E-4</v>
      </c>
      <c r="F130" s="508">
        <f>+'Cambio uso de suelo (BAU)'!H143</f>
        <v>7.442853615562922E-4</v>
      </c>
      <c r="G130" s="508">
        <f>+'Cambio uso de suelo (BAU)'!I143</f>
        <v>1.4504260983328246E-3</v>
      </c>
      <c r="H130" s="508">
        <f>+'Cambio uso de suelo (BAU)'!J143</f>
        <v>2.1565668351093566E-3</v>
      </c>
      <c r="I130" s="508">
        <f>+'Cambio uso de suelo (BAU)'!K143</f>
        <v>9.6589632795967828E-3</v>
      </c>
      <c r="J130" s="508">
        <f>+'Cambio uso de suelo (BAU)'!L143</f>
        <v>1.7161359724084207E-2</v>
      </c>
      <c r="K130" s="508">
        <f>+'Cambio uso de suelo (BAU)'!M143</f>
        <v>6.8660324603567961E-4</v>
      </c>
      <c r="L130" s="508">
        <f>+'Cambio uso de suelo (BAU)'!N143</f>
        <v>6.8660324603567961E-4</v>
      </c>
      <c r="M130" s="508">
        <f>+'Cambio uso de suelo (BAU)'!O143</f>
        <v>3.5544277797822676E-3</v>
      </c>
      <c r="N130" s="508">
        <f>+'Cambio uso de suelo (BAU)'!P143</f>
        <v>3.5544277797822676E-3</v>
      </c>
    </row>
    <row r="131" spans="1:14" ht="15.75" x14ac:dyDescent="0.25">
      <c r="A131" s="502" t="s">
        <v>23</v>
      </c>
      <c r="B131" s="508">
        <f>+'Cambio uso de suelo (BAU)'!D144</f>
        <v>5.1257005584459062E-4</v>
      </c>
      <c r="C131" s="508">
        <f>+'Cambio uso de suelo (BAU)'!E144</f>
        <v>5.1257005584459062E-4</v>
      </c>
      <c r="D131" s="508">
        <f>+'Cambio uso de suelo (BAU)'!F144</f>
        <v>5.1257005584459062E-4</v>
      </c>
      <c r="E131" s="508">
        <f>+'Cambio uso de suelo (BAU)'!G144</f>
        <v>5.1257005584459062E-4</v>
      </c>
      <c r="F131" s="508">
        <f>+'Cambio uso de suelo (BAU)'!H144</f>
        <v>5.1257005584459062E-4</v>
      </c>
      <c r="G131" s="508">
        <f>+'Cambio uso de suelo (BAU)'!I144</f>
        <v>9.9887089632714598E-4</v>
      </c>
      <c r="H131" s="508">
        <f>+'Cambio uso de suelo (BAU)'!J144</f>
        <v>1.4851717368097013E-3</v>
      </c>
      <c r="I131" s="508">
        <f>+'Cambio uso de suelo (BAU)'!K144</f>
        <v>6.6518778997231749E-3</v>
      </c>
      <c r="J131" s="508">
        <f>+'Cambio uso de suelo (BAU)'!L144</f>
        <v>1.1818584062636648E-2</v>
      </c>
      <c r="K131" s="508">
        <f>+'Cambio uso de suelo (BAU)'!M144</f>
        <v>4.7284587651663478E-4</v>
      </c>
      <c r="L131" s="508">
        <f>+'Cambio uso de suelo (BAU)'!N144</f>
        <v>4.7284587651663478E-4</v>
      </c>
      <c r="M131" s="508">
        <f>+'Cambio uso de suelo (BAU)'!O144</f>
        <v>2.4478423729428229E-3</v>
      </c>
      <c r="N131" s="508">
        <f>+'Cambio uso de suelo (BAU)'!P144</f>
        <v>2.4478423729428229E-3</v>
      </c>
    </row>
    <row r="132" spans="1:14" ht="15.75" x14ac:dyDescent="0.25">
      <c r="A132" s="502" t="s">
        <v>24</v>
      </c>
      <c r="B132" s="508">
        <f>+'Cambio uso de suelo (BAU)'!D145</f>
        <v>3.7507299246093951E-3</v>
      </c>
      <c r="C132" s="508">
        <f>+'Cambio uso de suelo (BAU)'!E145</f>
        <v>3.7507299246093951E-3</v>
      </c>
      <c r="D132" s="508">
        <f>+'Cambio uso de suelo (BAU)'!F145</f>
        <v>3.7507299246093951E-3</v>
      </c>
      <c r="E132" s="508">
        <f>+'Cambio uso de suelo (BAU)'!G145</f>
        <v>3.7507299246093951E-3</v>
      </c>
      <c r="F132" s="508">
        <f>+'Cambio uso de suelo (BAU)'!H145</f>
        <v>3.7507299246093951E-3</v>
      </c>
      <c r="G132" s="508">
        <f>+'Cambio uso de suelo (BAU)'!I145</f>
        <v>7.3092349405825584E-3</v>
      </c>
      <c r="H132" s="508">
        <f>+'Cambio uso de suelo (BAU)'!J145</f>
        <v>1.0867739956555721E-2</v>
      </c>
      <c r="I132" s="508">
        <f>+'Cambio uso de suelo (BAU)'!K145</f>
        <v>4.8675097596618429E-2</v>
      </c>
      <c r="J132" s="508">
        <f>+'Cambio uso de suelo (BAU)'!L145</f>
        <v>8.6482455236681133E-2</v>
      </c>
      <c r="K132" s="508">
        <f>+'Cambio uso de suelo (BAU)'!M145</f>
        <v>3.4600483554521667E-3</v>
      </c>
      <c r="L132" s="508">
        <f>+'Cambio uso de suelo (BAU)'!N145</f>
        <v>3.4600483554521667E-3</v>
      </c>
      <c r="M132" s="508">
        <f>+'Cambio uso de suelo (BAU)'!O145</f>
        <v>1.7912079596212743E-2</v>
      </c>
      <c r="N132" s="508">
        <f>+'Cambio uso de suelo (BAU)'!P145</f>
        <v>1.7912079596212743E-2</v>
      </c>
    </row>
    <row r="133" spans="1:14" ht="15.75" x14ac:dyDescent="0.25">
      <c r="A133" s="502" t="s">
        <v>25</v>
      </c>
      <c r="B133" s="508">
        <f>+'Cambio uso de suelo (BAU)'!D146</f>
        <v>4.1555154445763328E-4</v>
      </c>
      <c r="C133" s="508">
        <f>+'Cambio uso de suelo (BAU)'!E146</f>
        <v>4.1555154445763328E-4</v>
      </c>
      <c r="D133" s="508">
        <f>+'Cambio uso de suelo (BAU)'!F146</f>
        <v>4.1555154445763328E-4</v>
      </c>
      <c r="E133" s="508">
        <f>+'Cambio uso de suelo (BAU)'!G146</f>
        <v>4.1555154445763328E-4</v>
      </c>
      <c r="F133" s="508">
        <f>+'Cambio uso de suelo (BAU)'!H146</f>
        <v>4.1555154445763328E-4</v>
      </c>
      <c r="G133" s="508">
        <f>+'Cambio uso de suelo (BAU)'!I146</f>
        <v>8.0980607226181279E-4</v>
      </c>
      <c r="H133" s="508">
        <f>+'Cambio uso de suelo (BAU)'!J146</f>
        <v>1.2040606000659924E-3</v>
      </c>
      <c r="I133" s="508">
        <f>+'Cambio uso de suelo (BAU)'!K146</f>
        <v>5.3928201681989361E-3</v>
      </c>
      <c r="J133" s="508">
        <f>+'Cambio uso de suelo (BAU)'!L146</f>
        <v>9.5815797363318789E-3</v>
      </c>
      <c r="K133" s="508">
        <f>+'Cambio uso de suelo (BAU)'!M146</f>
        <v>3.8334629976216665E-4</v>
      </c>
      <c r="L133" s="508">
        <f>+'Cambio uso de suelo (BAU)'!N146</f>
        <v>3.8334629976216665E-4</v>
      </c>
      <c r="M133" s="508">
        <f>+'Cambio uso de suelo (BAU)'!O146</f>
        <v>1.9845183445004848E-3</v>
      </c>
      <c r="N133" s="508">
        <f>+'Cambio uso de suelo (BAU)'!P146</f>
        <v>1.9845183445004848E-3</v>
      </c>
    </row>
    <row r="134" spans="1:14" ht="15.75" x14ac:dyDescent="0.25">
      <c r="A134" s="502" t="s">
        <v>26</v>
      </c>
      <c r="B134" s="508">
        <f>+'Cambio uso de suelo (BAU)'!D147</f>
        <v>1.0320311067253829E-4</v>
      </c>
      <c r="C134" s="508">
        <f>+'Cambio uso de suelo (BAU)'!E147</f>
        <v>1.0320311067253829E-4</v>
      </c>
      <c r="D134" s="508">
        <f>+'Cambio uso de suelo (BAU)'!F147</f>
        <v>1.0320311067253829E-4</v>
      </c>
      <c r="E134" s="508">
        <f>+'Cambio uso de suelo (BAU)'!G147</f>
        <v>1.0320311067253829E-4</v>
      </c>
      <c r="F134" s="508">
        <f>+'Cambio uso de suelo (BAU)'!H147</f>
        <v>1.0320311067253829E-4</v>
      </c>
      <c r="G134" s="508">
        <f>+'Cambio uso de suelo (BAU)'!I147</f>
        <v>2.0111706192310898E-4</v>
      </c>
      <c r="H134" s="508">
        <f>+'Cambio uso de suelo (BAU)'!J147</f>
        <v>2.9903101317367971E-4</v>
      </c>
      <c r="I134" s="508">
        <f>+'Cambio uso de suelo (BAU)'!K147</f>
        <v>1.3393183687528658E-3</v>
      </c>
      <c r="J134" s="508">
        <f>+'Cambio uso de suelo (BAU)'!L147</f>
        <v>2.3796057243320517E-3</v>
      </c>
      <c r="K134" s="508">
        <f>+'Cambio uso de suelo (BAU)'!M147</f>
        <v>9.5204869595416581E-5</v>
      </c>
      <c r="L134" s="508">
        <f>+'Cambio uso de suelo (BAU)'!N147</f>
        <v>9.5204869595416581E-5</v>
      </c>
      <c r="M134" s="508">
        <f>+'Cambio uso de suelo (BAU)'!O147</f>
        <v>4.9285935540554061E-4</v>
      </c>
      <c r="N134" s="508">
        <f>+'Cambio uso de suelo (BAU)'!P147</f>
        <v>4.9285935540554061E-4</v>
      </c>
    </row>
    <row r="135" spans="1:14" ht="15.75" x14ac:dyDescent="0.25">
      <c r="A135" s="502" t="s">
        <v>27</v>
      </c>
      <c r="B135" s="508">
        <f>+'Cambio uso de suelo (BAU)'!D148</f>
        <v>4.3157774322207193E-4</v>
      </c>
      <c r="C135" s="508">
        <f>+'Cambio uso de suelo (BAU)'!E148</f>
        <v>4.3157774322207193E-4</v>
      </c>
      <c r="D135" s="508">
        <f>+'Cambio uso de suelo (BAU)'!F148</f>
        <v>4.3157774322207193E-4</v>
      </c>
      <c r="E135" s="508">
        <f>+'Cambio uso de suelo (BAU)'!G148</f>
        <v>4.3157774322207193E-4</v>
      </c>
      <c r="F135" s="508">
        <f>+'Cambio uso de suelo (BAU)'!H148</f>
        <v>4.3157774322207193E-4</v>
      </c>
      <c r="G135" s="508">
        <f>+'Cambio uso de suelo (BAU)'!I148</f>
        <v>8.4103712710401264E-4</v>
      </c>
      <c r="H135" s="508">
        <f>+'Cambio uso de suelo (BAU)'!J148</f>
        <v>1.2504965109859534E-3</v>
      </c>
      <c r="I135" s="508">
        <f>+'Cambio uso de suelo (BAU)'!K148</f>
        <v>5.6008001626644387E-3</v>
      </c>
      <c r="J135" s="508">
        <f>+'Cambio uso de suelo (BAU)'!L148</f>
        <v>9.951103814342924E-3</v>
      </c>
      <c r="K135" s="508">
        <f>+'Cambio uso de suelo (BAU)'!M148</f>
        <v>3.9813046812236136E-4</v>
      </c>
      <c r="L135" s="508">
        <f>+'Cambio uso de suelo (BAU)'!N148</f>
        <v>3.9813046812236136E-4</v>
      </c>
      <c r="M135" s="508">
        <f>+'Cambio uso de suelo (BAU)'!O148</f>
        <v>2.0610534599749073E-3</v>
      </c>
      <c r="N135" s="508">
        <f>+'Cambio uso de suelo (BAU)'!P148</f>
        <v>2.0610534599749073E-3</v>
      </c>
    </row>
    <row r="136" spans="1:14" ht="15.75" x14ac:dyDescent="0.25">
      <c r="A136" s="504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</row>
    <row r="137" spans="1:14" ht="15.75" x14ac:dyDescent="0.25">
      <c r="A137" s="119" t="s">
        <v>119</v>
      </c>
      <c r="B137" s="1">
        <v>2010</v>
      </c>
      <c r="C137" s="1">
        <v>2011</v>
      </c>
      <c r="D137" s="1">
        <v>2012</v>
      </c>
      <c r="E137" s="1">
        <v>2013</v>
      </c>
      <c r="F137" s="1">
        <v>2014</v>
      </c>
      <c r="G137" s="1">
        <v>2015</v>
      </c>
      <c r="H137" s="1">
        <v>2016</v>
      </c>
      <c r="I137" s="1">
        <v>2017</v>
      </c>
      <c r="J137" s="1">
        <v>2018</v>
      </c>
      <c r="K137" s="1">
        <v>2019</v>
      </c>
      <c r="L137" s="1">
        <v>2020</v>
      </c>
      <c r="M137" s="1">
        <v>2021</v>
      </c>
      <c r="N137" s="1">
        <v>2022</v>
      </c>
    </row>
    <row r="138" spans="1:14" x14ac:dyDescent="0.25">
      <c r="A138" s="518" t="s">
        <v>152</v>
      </c>
      <c r="B138" s="126">
        <f t="shared" ref="B138:N138" si="31">+B114/B127</f>
        <v>-20.629858333333335</v>
      </c>
      <c r="C138" s="126">
        <f t="shared" si="31"/>
        <v>-20.629858333333335</v>
      </c>
      <c r="D138" s="126">
        <f t="shared" si="31"/>
        <v>-20.629858333333335</v>
      </c>
      <c r="E138" s="126">
        <f t="shared" si="31"/>
        <v>-20.629858333333335</v>
      </c>
      <c r="F138" s="126">
        <f t="shared" si="31"/>
        <v>-20.629858333333335</v>
      </c>
      <c r="G138" s="126">
        <f t="shared" si="31"/>
        <v>-20.629858333333335</v>
      </c>
      <c r="H138" s="126">
        <f t="shared" si="31"/>
        <v>-20.629858333333335</v>
      </c>
      <c r="I138" s="126">
        <f t="shared" si="31"/>
        <v>-20.629858333333328</v>
      </c>
      <c r="J138" s="126">
        <f t="shared" si="31"/>
        <v>-20.629858333333331</v>
      </c>
      <c r="K138" s="126">
        <f t="shared" si="31"/>
        <v>-20.629858333333331</v>
      </c>
      <c r="L138" s="126">
        <f t="shared" si="31"/>
        <v>-20.629858333333331</v>
      </c>
      <c r="M138" s="126">
        <f t="shared" si="31"/>
        <v>-20.629908719408455</v>
      </c>
      <c r="N138" s="126">
        <f t="shared" si="31"/>
        <v>-20.629908719408455</v>
      </c>
    </row>
    <row r="139" spans="1:14" x14ac:dyDescent="0.25">
      <c r="A139" s="510" t="s">
        <v>153</v>
      </c>
      <c r="B139" s="126">
        <f t="shared" ref="B139:N139" si="32">+B115/B128</f>
        <v>-20.629858333333331</v>
      </c>
      <c r="C139" s="126">
        <f t="shared" si="32"/>
        <v>-20.629858333333331</v>
      </c>
      <c r="D139" s="126">
        <f t="shared" si="32"/>
        <v>-20.629858333333331</v>
      </c>
      <c r="E139" s="126">
        <f t="shared" si="32"/>
        <v>-20.629858333333331</v>
      </c>
      <c r="F139" s="126">
        <f t="shared" si="32"/>
        <v>-20.629858333333331</v>
      </c>
      <c r="G139" s="126">
        <f t="shared" si="32"/>
        <v>-20.629858333333335</v>
      </c>
      <c r="H139" s="126">
        <f t="shared" si="32"/>
        <v>-20.629858333333335</v>
      </c>
      <c r="I139" s="126">
        <f t="shared" si="32"/>
        <v>-20.629858333333328</v>
      </c>
      <c r="J139" s="126">
        <f t="shared" si="32"/>
        <v>-20.629858333333331</v>
      </c>
      <c r="K139" s="126">
        <f t="shared" si="32"/>
        <v>-20.629858333333331</v>
      </c>
      <c r="L139" s="126">
        <f t="shared" si="32"/>
        <v>-20.629858333333331</v>
      </c>
      <c r="M139" s="126">
        <f t="shared" si="32"/>
        <v>-20.629908719408455</v>
      </c>
      <c r="N139" s="126">
        <f t="shared" si="32"/>
        <v>-20.629908719408455</v>
      </c>
    </row>
    <row r="140" spans="1:14" x14ac:dyDescent="0.25">
      <c r="A140" s="510" t="s">
        <v>154</v>
      </c>
      <c r="B140" s="126">
        <f t="shared" ref="B140:N140" si="33">+B116/B129</f>
        <v>-20.629858333333335</v>
      </c>
      <c r="C140" s="126">
        <f t="shared" si="33"/>
        <v>-20.629858333333335</v>
      </c>
      <c r="D140" s="126">
        <f t="shared" si="33"/>
        <v>-20.629858333333335</v>
      </c>
      <c r="E140" s="126">
        <f t="shared" si="33"/>
        <v>-20.629858333333335</v>
      </c>
      <c r="F140" s="126">
        <f t="shared" si="33"/>
        <v>-20.629858333333335</v>
      </c>
      <c r="G140" s="126">
        <f t="shared" si="33"/>
        <v>-20.629858333333335</v>
      </c>
      <c r="H140" s="126">
        <f t="shared" si="33"/>
        <v>-20.629858333333328</v>
      </c>
      <c r="I140" s="126">
        <f t="shared" si="33"/>
        <v>-20.629858333333328</v>
      </c>
      <c r="J140" s="126">
        <f t="shared" si="33"/>
        <v>-20.629858333333331</v>
      </c>
      <c r="K140" s="126">
        <f t="shared" si="33"/>
        <v>-20.629858333333335</v>
      </c>
      <c r="L140" s="126">
        <f t="shared" si="33"/>
        <v>-20.629858333333335</v>
      </c>
      <c r="M140" s="126">
        <f t="shared" si="33"/>
        <v>-20.629908719408455</v>
      </c>
      <c r="N140" s="126">
        <f t="shared" si="33"/>
        <v>-20.629908719408455</v>
      </c>
    </row>
    <row r="141" spans="1:14" x14ac:dyDescent="0.25">
      <c r="A141" s="510" t="s">
        <v>155</v>
      </c>
      <c r="B141" s="126">
        <f t="shared" ref="B141:N141" si="34">+B117/B130</f>
        <v>-20.629858333333335</v>
      </c>
      <c r="C141" s="126">
        <f t="shared" si="34"/>
        <v>-20.629858333333335</v>
      </c>
      <c r="D141" s="126">
        <f t="shared" si="34"/>
        <v>-20.629858333333335</v>
      </c>
      <c r="E141" s="126">
        <f t="shared" si="34"/>
        <v>-20.629858333333335</v>
      </c>
      <c r="F141" s="126">
        <f t="shared" si="34"/>
        <v>-20.629858333333335</v>
      </c>
      <c r="G141" s="126">
        <f t="shared" si="34"/>
        <v>-20.629858333333331</v>
      </c>
      <c r="H141" s="126">
        <f t="shared" si="34"/>
        <v>-20.629858333333335</v>
      </c>
      <c r="I141" s="126">
        <f t="shared" si="34"/>
        <v>-20.629858333333328</v>
      </c>
      <c r="J141" s="126">
        <f t="shared" si="34"/>
        <v>-20.629858333333335</v>
      </c>
      <c r="K141" s="126">
        <f t="shared" si="34"/>
        <v>-20.629858333333331</v>
      </c>
      <c r="L141" s="126">
        <f t="shared" si="34"/>
        <v>-20.629858333333331</v>
      </c>
      <c r="M141" s="126">
        <f t="shared" si="34"/>
        <v>-20.629908719408458</v>
      </c>
      <c r="N141" s="126">
        <f t="shared" si="34"/>
        <v>-20.629908719408458</v>
      </c>
    </row>
    <row r="142" spans="1:14" x14ac:dyDescent="0.25">
      <c r="A142" s="510" t="s">
        <v>156</v>
      </c>
      <c r="B142" s="126">
        <f t="shared" ref="B142:N142" si="35">+B118/B131</f>
        <v>-20.629858333333335</v>
      </c>
      <c r="C142" s="126">
        <f t="shared" si="35"/>
        <v>-20.629858333333335</v>
      </c>
      <c r="D142" s="126">
        <f t="shared" si="35"/>
        <v>-20.629858333333335</v>
      </c>
      <c r="E142" s="126">
        <f t="shared" si="35"/>
        <v>-20.629858333333335</v>
      </c>
      <c r="F142" s="126">
        <f t="shared" si="35"/>
        <v>-20.629858333333335</v>
      </c>
      <c r="G142" s="126">
        <f t="shared" si="35"/>
        <v>-20.629858333333335</v>
      </c>
      <c r="H142" s="126">
        <f t="shared" si="35"/>
        <v>-20.629858333333331</v>
      </c>
      <c r="I142" s="126">
        <f t="shared" si="35"/>
        <v>-20.629858333333328</v>
      </c>
      <c r="J142" s="126">
        <f t="shared" si="35"/>
        <v>-20.629858333333331</v>
      </c>
      <c r="K142" s="126">
        <f t="shared" si="35"/>
        <v>-20.629858333333335</v>
      </c>
      <c r="L142" s="126">
        <f t="shared" si="35"/>
        <v>-20.629858333333335</v>
      </c>
      <c r="M142" s="126">
        <f t="shared" si="35"/>
        <v>-20.629908719408455</v>
      </c>
      <c r="N142" s="126">
        <f t="shared" si="35"/>
        <v>-20.629908719408455</v>
      </c>
    </row>
    <row r="143" spans="1:14" x14ac:dyDescent="0.25">
      <c r="A143" s="510" t="s">
        <v>157</v>
      </c>
      <c r="B143" s="126">
        <f t="shared" ref="B143:N143" si="36">+B119/B132</f>
        <v>-20.629858333333331</v>
      </c>
      <c r="C143" s="126">
        <f t="shared" si="36"/>
        <v>-20.629858333333331</v>
      </c>
      <c r="D143" s="126">
        <f t="shared" si="36"/>
        <v>-20.629858333333331</v>
      </c>
      <c r="E143" s="126">
        <f t="shared" si="36"/>
        <v>-20.629858333333331</v>
      </c>
      <c r="F143" s="126">
        <f t="shared" si="36"/>
        <v>-20.629858333333331</v>
      </c>
      <c r="G143" s="126">
        <f t="shared" si="36"/>
        <v>-20.629858333333335</v>
      </c>
      <c r="H143" s="126">
        <f t="shared" si="36"/>
        <v>-20.629858333333335</v>
      </c>
      <c r="I143" s="126">
        <f t="shared" si="36"/>
        <v>-20.629858333333328</v>
      </c>
      <c r="J143" s="126">
        <f t="shared" si="36"/>
        <v>-20.629858333333331</v>
      </c>
      <c r="K143" s="126">
        <f t="shared" si="36"/>
        <v>-20.629858333333335</v>
      </c>
      <c r="L143" s="126">
        <f t="shared" si="36"/>
        <v>-20.629858333333335</v>
      </c>
      <c r="M143" s="126">
        <f t="shared" si="36"/>
        <v>-20.629908719408455</v>
      </c>
      <c r="N143" s="126">
        <f t="shared" si="36"/>
        <v>-20.629908719408455</v>
      </c>
    </row>
    <row r="144" spans="1:14" x14ac:dyDescent="0.25">
      <c r="A144" s="510" t="s">
        <v>158</v>
      </c>
      <c r="B144" s="126">
        <f t="shared" ref="B144:N144" si="37">+B120/B133</f>
        <v>-20.629858333333331</v>
      </c>
      <c r="C144" s="126">
        <f t="shared" si="37"/>
        <v>-20.629858333333331</v>
      </c>
      <c r="D144" s="126">
        <f t="shared" si="37"/>
        <v>-20.629858333333331</v>
      </c>
      <c r="E144" s="126">
        <f t="shared" si="37"/>
        <v>-20.629858333333331</v>
      </c>
      <c r="F144" s="126">
        <f t="shared" si="37"/>
        <v>-20.629858333333331</v>
      </c>
      <c r="G144" s="126">
        <f t="shared" si="37"/>
        <v>-20.629858333333331</v>
      </c>
      <c r="H144" s="126">
        <f t="shared" si="37"/>
        <v>-20.629858333333331</v>
      </c>
      <c r="I144" s="126">
        <f t="shared" si="37"/>
        <v>-20.629858333333328</v>
      </c>
      <c r="J144" s="126">
        <f t="shared" si="37"/>
        <v>-20.629858333333331</v>
      </c>
      <c r="K144" s="126">
        <f t="shared" si="37"/>
        <v>-20.629858333333331</v>
      </c>
      <c r="L144" s="126">
        <f t="shared" si="37"/>
        <v>-20.629858333333331</v>
      </c>
      <c r="M144" s="126">
        <f t="shared" si="37"/>
        <v>-20.629908719408451</v>
      </c>
      <c r="N144" s="126">
        <f t="shared" si="37"/>
        <v>-20.629908719408451</v>
      </c>
    </row>
    <row r="145" spans="1:14" x14ac:dyDescent="0.25">
      <c r="A145" s="510" t="s">
        <v>159</v>
      </c>
      <c r="B145" s="126">
        <f t="shared" ref="B145:N145" si="38">+B121/B134</f>
        <v>-20.629858333333335</v>
      </c>
      <c r="C145" s="126">
        <f t="shared" si="38"/>
        <v>-20.629858333333335</v>
      </c>
      <c r="D145" s="126">
        <f t="shared" si="38"/>
        <v>-20.629858333333335</v>
      </c>
      <c r="E145" s="126">
        <f t="shared" si="38"/>
        <v>-20.629858333333335</v>
      </c>
      <c r="F145" s="126">
        <f t="shared" si="38"/>
        <v>-20.629858333333335</v>
      </c>
      <c r="G145" s="126">
        <f t="shared" si="38"/>
        <v>-20.629858333333335</v>
      </c>
      <c r="H145" s="126">
        <f t="shared" si="38"/>
        <v>-20.629858333333331</v>
      </c>
      <c r="I145" s="126">
        <f t="shared" si="38"/>
        <v>-20.629858333333328</v>
      </c>
      <c r="J145" s="126">
        <f t="shared" si="38"/>
        <v>-20.629858333333331</v>
      </c>
      <c r="K145" s="126">
        <f t="shared" si="38"/>
        <v>-20.629858333333331</v>
      </c>
      <c r="L145" s="126">
        <f t="shared" si="38"/>
        <v>-20.629858333333331</v>
      </c>
      <c r="M145" s="126">
        <f t="shared" si="38"/>
        <v>-20.629908719408458</v>
      </c>
      <c r="N145" s="126">
        <f t="shared" si="38"/>
        <v>-20.629908719408458</v>
      </c>
    </row>
    <row r="146" spans="1:14" x14ac:dyDescent="0.25">
      <c r="A146" s="511" t="s">
        <v>160</v>
      </c>
      <c r="B146" s="126">
        <f t="shared" ref="B146:N146" si="39">+B122/B135</f>
        <v>-20.629858333333331</v>
      </c>
      <c r="C146" s="126">
        <f t="shared" si="39"/>
        <v>-20.629858333333331</v>
      </c>
      <c r="D146" s="126">
        <f t="shared" si="39"/>
        <v>-20.629858333333331</v>
      </c>
      <c r="E146" s="126">
        <f t="shared" si="39"/>
        <v>-20.629858333333331</v>
      </c>
      <c r="F146" s="126">
        <f t="shared" si="39"/>
        <v>-20.629858333333331</v>
      </c>
      <c r="G146" s="126">
        <f t="shared" si="39"/>
        <v>-20.629858333333338</v>
      </c>
      <c r="H146" s="126">
        <f t="shared" si="39"/>
        <v>-20.629858333333331</v>
      </c>
      <c r="I146" s="126">
        <f t="shared" si="39"/>
        <v>-20.629858333333331</v>
      </c>
      <c r="J146" s="126">
        <f t="shared" si="39"/>
        <v>-20.629858333333331</v>
      </c>
      <c r="K146" s="126">
        <f t="shared" si="39"/>
        <v>-20.629858333333331</v>
      </c>
      <c r="L146" s="126">
        <f t="shared" si="39"/>
        <v>-20.629858333333331</v>
      </c>
      <c r="M146" s="126">
        <f t="shared" si="39"/>
        <v>-20.629908719408451</v>
      </c>
      <c r="N146" s="126">
        <f t="shared" si="39"/>
        <v>-20.629908719408451</v>
      </c>
    </row>
    <row r="149" spans="1:14" x14ac:dyDescent="0.25">
      <c r="A149" s="73" t="s">
        <v>493</v>
      </c>
      <c r="B149" s="388">
        <f>+INGEI_diffs!C7/1000</f>
        <v>0</v>
      </c>
      <c r="C149" s="388">
        <f>+INGEI_diffs!D7/1000</f>
        <v>0</v>
      </c>
      <c r="D149" s="388">
        <f>+INGEI_diffs!E7/1000</f>
        <v>0</v>
      </c>
      <c r="E149" s="388">
        <f>+INGEI_diffs!F7/1000</f>
        <v>0</v>
      </c>
      <c r="F149" s="388">
        <f>+INGEI_diffs!G7/1000</f>
        <v>0</v>
      </c>
      <c r="G149" s="388">
        <f>+INGEI_diffs!H7/1000</f>
        <v>0</v>
      </c>
      <c r="H149" s="388">
        <f>+INGEI_diffs!I7/1000</f>
        <v>0</v>
      </c>
      <c r="I149" s="388">
        <f>+INGEI_diffs!J7/1000</f>
        <v>-1.8204818486249998</v>
      </c>
      <c r="J149" s="388">
        <f>+INGEI_diffs!K7/1000</f>
        <v>-3.6409636972499997</v>
      </c>
      <c r="K149" s="388">
        <f>+INGEI_diffs!L7/1000</f>
        <v>-1.1028722264999999</v>
      </c>
      <c r="L149" s="388">
        <f>+INGEI_diffs!M7/1000</f>
        <v>-1.1028722264999999</v>
      </c>
      <c r="M149" s="388">
        <f>+INGEI_diffs!N7/1000</f>
        <v>0</v>
      </c>
      <c r="N149" s="388">
        <f>+INGEI_diffs!O7/1000</f>
        <v>0</v>
      </c>
    </row>
    <row r="150" spans="1:14" ht="15.75" x14ac:dyDescent="0.25">
      <c r="A150" s="119" t="s">
        <v>129</v>
      </c>
      <c r="B150" s="1">
        <v>2010</v>
      </c>
      <c r="C150" s="1">
        <v>2011</v>
      </c>
      <c r="D150" s="1">
        <v>2012</v>
      </c>
      <c r="E150" s="1">
        <v>2013</v>
      </c>
      <c r="F150" s="1">
        <v>2014</v>
      </c>
      <c r="G150" s="1">
        <v>2015</v>
      </c>
      <c r="H150" s="1">
        <v>2016</v>
      </c>
      <c r="I150" s="1">
        <v>2017</v>
      </c>
      <c r="J150" s="1">
        <v>2018</v>
      </c>
      <c r="K150" s="1">
        <v>2019</v>
      </c>
      <c r="L150" s="1">
        <v>2020</v>
      </c>
      <c r="M150" s="1">
        <v>2021</v>
      </c>
      <c r="N150" s="1">
        <v>2022</v>
      </c>
    </row>
    <row r="151" spans="1:14" ht="15.75" x14ac:dyDescent="0.25">
      <c r="A151" s="502" t="s">
        <v>18</v>
      </c>
      <c r="B151" s="112">
        <f>+'5ta'!$R87*'Emisiones Tierras forestales'!B$149</f>
        <v>0</v>
      </c>
      <c r="C151" s="112">
        <f>+'5ta'!$R87*'Emisiones Tierras forestales'!C$149</f>
        <v>0</v>
      </c>
      <c r="D151" s="112">
        <f>+'5ta'!$R87*'Emisiones Tierras forestales'!D$149</f>
        <v>0</v>
      </c>
      <c r="E151" s="112">
        <f>+'5ta'!$R87*'Emisiones Tierras forestales'!E$149</f>
        <v>0</v>
      </c>
      <c r="F151" s="112">
        <f>+'5ta'!$R87*'Emisiones Tierras forestales'!F$149</f>
        <v>0</v>
      </c>
      <c r="G151" s="112">
        <f>+'5ta'!$R87*'Emisiones Tierras forestales'!G$149</f>
        <v>0</v>
      </c>
      <c r="H151" s="112">
        <f>+'5ta'!$R87*'Emisiones Tierras forestales'!H$149</f>
        <v>0</v>
      </c>
      <c r="I151" s="112">
        <f>+'5ta'!$R87*'Emisiones Tierras forestales'!I$149</f>
        <v>-4.4621944071510768E-3</v>
      </c>
      <c r="J151" s="112">
        <f>+'5ta'!$R87*'Emisiones Tierras forestales'!J$149</f>
        <v>-8.9243888143021536E-3</v>
      </c>
      <c r="K151" s="112">
        <f>+'5ta'!$R87*'Emisiones Tierras forestales'!K$149</f>
        <v>-2.7032569891358893E-3</v>
      </c>
      <c r="L151" s="112">
        <f>+'5ta'!$R87*'Emisiones Tierras forestales'!L$149</f>
        <v>-2.7032569891358893E-3</v>
      </c>
      <c r="M151" s="112">
        <f>+'5ta'!$R87*'Emisiones Tierras forestales'!M$149</f>
        <v>0</v>
      </c>
      <c r="N151" s="112">
        <f>+'5ta'!$R87*'Emisiones Tierras forestales'!N$149</f>
        <v>0</v>
      </c>
    </row>
    <row r="152" spans="1:14" ht="15.75" x14ac:dyDescent="0.25">
      <c r="A152" s="502" t="s">
        <v>20</v>
      </c>
      <c r="B152" s="112">
        <f>+'5ta'!$R88*'Emisiones Tierras forestales'!B$149</f>
        <v>0</v>
      </c>
      <c r="C152" s="112">
        <f>+'5ta'!$R88*'Emisiones Tierras forestales'!C$149</f>
        <v>0</v>
      </c>
      <c r="D152" s="112">
        <f>+'5ta'!$R88*'Emisiones Tierras forestales'!D$149</f>
        <v>0</v>
      </c>
      <c r="E152" s="112">
        <f>+'5ta'!$R88*'Emisiones Tierras forestales'!E$149</f>
        <v>0</v>
      </c>
      <c r="F152" s="112">
        <f>+'5ta'!$R88*'Emisiones Tierras forestales'!F$149</f>
        <v>0</v>
      </c>
      <c r="G152" s="112">
        <f>+'5ta'!$R88*'Emisiones Tierras forestales'!G$149</f>
        <v>0</v>
      </c>
      <c r="H152" s="112">
        <f>+'5ta'!$R88*'Emisiones Tierras forestales'!H$149</f>
        <v>0</v>
      </c>
      <c r="I152" s="112">
        <f>+'5ta'!$R88*'Emisiones Tierras forestales'!I$149</f>
        <v>-4.3574157780323065E-2</v>
      </c>
      <c r="J152" s="112">
        <f>+'5ta'!$R88*'Emisiones Tierras forestales'!J$149</f>
        <v>-8.7148315560646131E-2</v>
      </c>
      <c r="K152" s="112">
        <f>+'5ta'!$R88*'Emisiones Tierras forestales'!K$149</f>
        <v>-2.6397806957176851E-2</v>
      </c>
      <c r="L152" s="112">
        <f>+'5ta'!$R88*'Emisiones Tierras forestales'!L$149</f>
        <v>-2.6397806957176851E-2</v>
      </c>
      <c r="M152" s="112">
        <f>+'5ta'!$R88*'Emisiones Tierras forestales'!M$149</f>
        <v>0</v>
      </c>
      <c r="N152" s="112">
        <f>+'5ta'!$R88*'Emisiones Tierras forestales'!N$149</f>
        <v>0</v>
      </c>
    </row>
    <row r="153" spans="1:14" ht="15.75" x14ac:dyDescent="0.25">
      <c r="A153" s="502" t="s">
        <v>21</v>
      </c>
      <c r="B153" s="112">
        <f>+'5ta'!$R89*'Emisiones Tierras forestales'!B$149</f>
        <v>0</v>
      </c>
      <c r="C153" s="112">
        <f>+'5ta'!$R89*'Emisiones Tierras forestales'!C$149</f>
        <v>0</v>
      </c>
      <c r="D153" s="112">
        <f>+'5ta'!$R89*'Emisiones Tierras forestales'!D$149</f>
        <v>0</v>
      </c>
      <c r="E153" s="112">
        <f>+'5ta'!$R89*'Emisiones Tierras forestales'!E$149</f>
        <v>0</v>
      </c>
      <c r="F153" s="112">
        <f>+'5ta'!$R89*'Emisiones Tierras forestales'!F$149</f>
        <v>0</v>
      </c>
      <c r="G153" s="112">
        <f>+'5ta'!$R89*'Emisiones Tierras forestales'!G$149</f>
        <v>0</v>
      </c>
      <c r="H153" s="112">
        <f>+'5ta'!$R89*'Emisiones Tierras forestales'!H$149</f>
        <v>0</v>
      </c>
      <c r="I153" s="112">
        <f>+'5ta'!$R89*'Emisiones Tierras forestales'!I$149</f>
        <v>-0.41666035869616991</v>
      </c>
      <c r="J153" s="112">
        <f>+'5ta'!$R89*'Emisiones Tierras forestales'!J$149</f>
        <v>-0.83332071739233982</v>
      </c>
      <c r="K153" s="112">
        <f>+'5ta'!$R89*'Emisiones Tierras forestales'!K$149</f>
        <v>-0.25241841210150429</v>
      </c>
      <c r="L153" s="112">
        <f>+'5ta'!$R89*'Emisiones Tierras forestales'!L$149</f>
        <v>-0.25241841210150429</v>
      </c>
      <c r="M153" s="112">
        <f>+'5ta'!$R89*'Emisiones Tierras forestales'!M$149</f>
        <v>0</v>
      </c>
      <c r="N153" s="112">
        <f>+'5ta'!$R89*'Emisiones Tierras forestales'!N$149</f>
        <v>0</v>
      </c>
    </row>
    <row r="154" spans="1:14" ht="15.75" x14ac:dyDescent="0.25">
      <c r="A154" s="502" t="s">
        <v>22</v>
      </c>
      <c r="B154" s="112">
        <f>+'5ta'!$R90*'Emisiones Tierras forestales'!B$149</f>
        <v>0</v>
      </c>
      <c r="C154" s="112">
        <f>+'5ta'!$R90*'Emisiones Tierras forestales'!C$149</f>
        <v>0</v>
      </c>
      <c r="D154" s="112">
        <f>+'5ta'!$R90*'Emisiones Tierras forestales'!D$149</f>
        <v>0</v>
      </c>
      <c r="E154" s="112">
        <f>+'5ta'!$R90*'Emisiones Tierras forestales'!E$149</f>
        <v>0</v>
      </c>
      <c r="F154" s="112">
        <f>+'5ta'!$R90*'Emisiones Tierras forestales'!F$149</f>
        <v>0</v>
      </c>
      <c r="G154" s="112">
        <f>+'5ta'!$R90*'Emisiones Tierras forestales'!G$149</f>
        <v>0</v>
      </c>
      <c r="H154" s="112">
        <f>+'5ta'!$R90*'Emisiones Tierras forestales'!H$149</f>
        <v>0</v>
      </c>
      <c r="I154" s="112">
        <f>+'5ta'!$R90*'Emisiones Tierras forestales'!I$149</f>
        <v>-0.16936974886381564</v>
      </c>
      <c r="J154" s="112">
        <f>+'5ta'!$R90*'Emisiones Tierras forestales'!J$149</f>
        <v>-0.33873949772763129</v>
      </c>
      <c r="K154" s="112">
        <f>+'5ta'!$R90*'Emisiones Tierras forestales'!K$149</f>
        <v>-0.10260645673136819</v>
      </c>
      <c r="L154" s="112">
        <f>+'5ta'!$R90*'Emisiones Tierras forestales'!L$149</f>
        <v>-0.10260645673136819</v>
      </c>
      <c r="M154" s="112">
        <f>+'5ta'!$R90*'Emisiones Tierras forestales'!M$149</f>
        <v>0</v>
      </c>
      <c r="N154" s="112">
        <f>+'5ta'!$R90*'Emisiones Tierras forestales'!N$149</f>
        <v>0</v>
      </c>
    </row>
    <row r="155" spans="1:14" ht="15.75" x14ac:dyDescent="0.25">
      <c r="A155" s="502" t="s">
        <v>23</v>
      </c>
      <c r="B155" s="112">
        <f>+'5ta'!$R91*'Emisiones Tierras forestales'!B$149</f>
        <v>0</v>
      </c>
      <c r="C155" s="112">
        <f>+'5ta'!$R91*'Emisiones Tierras forestales'!C$149</f>
        <v>0</v>
      </c>
      <c r="D155" s="112">
        <f>+'5ta'!$R91*'Emisiones Tierras forestales'!D$149</f>
        <v>0</v>
      </c>
      <c r="E155" s="112">
        <f>+'5ta'!$R91*'Emisiones Tierras forestales'!E$149</f>
        <v>0</v>
      </c>
      <c r="F155" s="112">
        <f>+'5ta'!$R91*'Emisiones Tierras forestales'!F$149</f>
        <v>0</v>
      </c>
      <c r="G155" s="112">
        <f>+'5ta'!$R91*'Emisiones Tierras forestales'!G$149</f>
        <v>0</v>
      </c>
      <c r="H155" s="112">
        <f>+'5ta'!$R91*'Emisiones Tierras forestales'!H$149</f>
        <v>0</v>
      </c>
      <c r="I155" s="112">
        <f>+'5ta'!$R91*'Emisiones Tierras forestales'!I$149</f>
        <v>-0.11664056035172246</v>
      </c>
      <c r="J155" s="112">
        <f>+'5ta'!$R91*'Emisiones Tierras forestales'!J$149</f>
        <v>-0.23328112070344492</v>
      </c>
      <c r="K155" s="112">
        <f>+'5ta'!$R91*'Emisiones Tierras forestales'!K$149</f>
        <v>-7.0662409840819118E-2</v>
      </c>
      <c r="L155" s="112">
        <f>+'5ta'!$R91*'Emisiones Tierras forestales'!L$149</f>
        <v>-7.0662409840819118E-2</v>
      </c>
      <c r="M155" s="112">
        <f>+'5ta'!$R91*'Emisiones Tierras forestales'!M$149</f>
        <v>0</v>
      </c>
      <c r="N155" s="112">
        <f>+'5ta'!$R91*'Emisiones Tierras forestales'!N$149</f>
        <v>0</v>
      </c>
    </row>
    <row r="156" spans="1:14" ht="15.75" x14ac:dyDescent="0.25">
      <c r="A156" s="502" t="s">
        <v>24</v>
      </c>
      <c r="B156" s="112">
        <f>+'5ta'!$R92*'Emisiones Tierras forestales'!B$149</f>
        <v>0</v>
      </c>
      <c r="C156" s="112">
        <f>+'5ta'!$R92*'Emisiones Tierras forestales'!C$149</f>
        <v>0</v>
      </c>
      <c r="D156" s="112">
        <f>+'5ta'!$R92*'Emisiones Tierras forestales'!D$149</f>
        <v>0</v>
      </c>
      <c r="E156" s="112">
        <f>+'5ta'!$R92*'Emisiones Tierras forestales'!E$149</f>
        <v>0</v>
      </c>
      <c r="F156" s="112">
        <f>+'5ta'!$R92*'Emisiones Tierras forestales'!F$149</f>
        <v>0</v>
      </c>
      <c r="G156" s="112">
        <f>+'5ta'!$R92*'Emisiones Tierras forestales'!G$149</f>
        <v>0</v>
      </c>
      <c r="H156" s="112">
        <f>+'5ta'!$R92*'Emisiones Tierras forestales'!H$149</f>
        <v>0</v>
      </c>
      <c r="I156" s="112">
        <f>+'5ta'!$R92*'Emisiones Tierras forestales'!I$149</f>
        <v>-0.85351696835575219</v>
      </c>
      <c r="J156" s="112">
        <f>+'5ta'!$R92*'Emisiones Tierras forestales'!J$149</f>
        <v>-1.7070339367115044</v>
      </c>
      <c r="K156" s="112">
        <f>+'5ta'!$R92*'Emisiones Tierras forestales'!K$149</f>
        <v>-0.51707198286926759</v>
      </c>
      <c r="L156" s="112">
        <f>+'5ta'!$R92*'Emisiones Tierras forestales'!L$149</f>
        <v>-0.51707198286926759</v>
      </c>
      <c r="M156" s="112">
        <f>+'5ta'!$R92*'Emisiones Tierras forestales'!M$149</f>
        <v>0</v>
      </c>
      <c r="N156" s="112">
        <f>+'5ta'!$R92*'Emisiones Tierras forestales'!N$149</f>
        <v>0</v>
      </c>
    </row>
    <row r="157" spans="1:14" ht="15.75" x14ac:dyDescent="0.25">
      <c r="A157" s="502" t="s">
        <v>25</v>
      </c>
      <c r="B157" s="112">
        <f>+'5ta'!$R93*'Emisiones Tierras forestales'!B$149</f>
        <v>0</v>
      </c>
      <c r="C157" s="112">
        <f>+'5ta'!$R93*'Emisiones Tierras forestales'!C$149</f>
        <v>0</v>
      </c>
      <c r="D157" s="112">
        <f>+'5ta'!$R93*'Emisiones Tierras forestales'!D$149</f>
        <v>0</v>
      </c>
      <c r="E157" s="112">
        <f>+'5ta'!$R93*'Emisiones Tierras forestales'!E$149</f>
        <v>0</v>
      </c>
      <c r="F157" s="112">
        <f>+'5ta'!$R93*'Emisiones Tierras forestales'!F$149</f>
        <v>0</v>
      </c>
      <c r="G157" s="112">
        <f>+'5ta'!$R93*'Emisiones Tierras forestales'!G$149</f>
        <v>0</v>
      </c>
      <c r="H157" s="112">
        <f>+'5ta'!$R93*'Emisiones Tierras forestales'!H$149</f>
        <v>0</v>
      </c>
      <c r="I157" s="112">
        <f>+'5ta'!$R93*'Emisiones Tierras forestales'!I$149</f>
        <v>-9.4563005481650753E-2</v>
      </c>
      <c r="J157" s="112">
        <f>+'5ta'!$R93*'Emisiones Tierras forestales'!J$149</f>
        <v>-0.18912601096330151</v>
      </c>
      <c r="K157" s="112">
        <f>+'5ta'!$R93*'Emisiones Tierras forestales'!K$149</f>
        <v>-5.728753213268796E-2</v>
      </c>
      <c r="L157" s="112">
        <f>+'5ta'!$R93*'Emisiones Tierras forestales'!L$149</f>
        <v>-5.728753213268796E-2</v>
      </c>
      <c r="M157" s="112">
        <f>+'5ta'!$R93*'Emisiones Tierras forestales'!M$149</f>
        <v>0</v>
      </c>
      <c r="N157" s="112">
        <f>+'5ta'!$R93*'Emisiones Tierras forestales'!N$149</f>
        <v>0</v>
      </c>
    </row>
    <row r="158" spans="1:14" ht="15.75" x14ac:dyDescent="0.25">
      <c r="A158" s="502" t="s">
        <v>26</v>
      </c>
      <c r="B158" s="112">
        <f>+'5ta'!$R94*'Emisiones Tierras forestales'!B$149</f>
        <v>0</v>
      </c>
      <c r="C158" s="112">
        <f>+'5ta'!$R94*'Emisiones Tierras forestales'!C$149</f>
        <v>0</v>
      </c>
      <c r="D158" s="112">
        <f>+'5ta'!$R94*'Emisiones Tierras forestales'!D$149</f>
        <v>0</v>
      </c>
      <c r="E158" s="112">
        <f>+'5ta'!$R94*'Emisiones Tierras forestales'!E$149</f>
        <v>0</v>
      </c>
      <c r="F158" s="112">
        <f>+'5ta'!$R94*'Emisiones Tierras forestales'!F$149</f>
        <v>0</v>
      </c>
      <c r="G158" s="112">
        <f>+'5ta'!$R94*'Emisiones Tierras forestales'!G$149</f>
        <v>0</v>
      </c>
      <c r="H158" s="112">
        <f>+'5ta'!$R94*'Emisiones Tierras forestales'!H$149</f>
        <v>0</v>
      </c>
      <c r="I158" s="112">
        <f>+'5ta'!$R94*'Emisiones Tierras forestales'!I$149</f>
        <v>-2.3484923712624121E-2</v>
      </c>
      <c r="J158" s="112">
        <f>+'5ta'!$R94*'Emisiones Tierras forestales'!J$149</f>
        <v>-4.6969847425248241E-2</v>
      </c>
      <c r="K158" s="112">
        <f>+'5ta'!$R94*'Emisiones Tierras forestales'!K$149</f>
        <v>-1.4227480556143526E-2</v>
      </c>
      <c r="L158" s="112">
        <f>+'5ta'!$R94*'Emisiones Tierras forestales'!L$149</f>
        <v>-1.4227480556143526E-2</v>
      </c>
      <c r="M158" s="112">
        <f>+'5ta'!$R94*'Emisiones Tierras forestales'!M$149</f>
        <v>0</v>
      </c>
      <c r="N158" s="112">
        <f>+'5ta'!$R94*'Emisiones Tierras forestales'!N$149</f>
        <v>0</v>
      </c>
    </row>
    <row r="159" spans="1:14" ht="15.75" x14ac:dyDescent="0.25">
      <c r="A159" s="502" t="s">
        <v>27</v>
      </c>
      <c r="B159" s="112">
        <f>+'5ta'!$R95*'Emisiones Tierras forestales'!B$149</f>
        <v>0</v>
      </c>
      <c r="C159" s="112">
        <f>+'5ta'!$R95*'Emisiones Tierras forestales'!C$149</f>
        <v>0</v>
      </c>
      <c r="D159" s="112">
        <f>+'5ta'!$R95*'Emisiones Tierras forestales'!D$149</f>
        <v>0</v>
      </c>
      <c r="E159" s="112">
        <f>+'5ta'!$R95*'Emisiones Tierras forestales'!E$149</f>
        <v>0</v>
      </c>
      <c r="F159" s="112">
        <f>+'5ta'!$R95*'Emisiones Tierras forestales'!F$149</f>
        <v>0</v>
      </c>
      <c r="G159" s="112">
        <f>+'5ta'!$R95*'Emisiones Tierras forestales'!G$149</f>
        <v>0</v>
      </c>
      <c r="H159" s="112">
        <f>+'5ta'!$R95*'Emisiones Tierras forestales'!H$149</f>
        <v>0</v>
      </c>
      <c r="I159" s="112">
        <f>+'5ta'!$R95*'Emisiones Tierras forestales'!I$149</f>
        <v>-9.820993097579038E-2</v>
      </c>
      <c r="J159" s="112">
        <f>+'5ta'!$R95*'Emisiones Tierras forestales'!J$149</f>
        <v>-0.19641986195158076</v>
      </c>
      <c r="K159" s="112">
        <f>+'5ta'!$R95*'Emisiones Tierras forestales'!K$149</f>
        <v>-5.9496888321896466E-2</v>
      </c>
      <c r="L159" s="112">
        <f>+'5ta'!$R95*'Emisiones Tierras forestales'!L$149</f>
        <v>-5.9496888321896466E-2</v>
      </c>
      <c r="M159" s="112">
        <f>+'5ta'!$R95*'Emisiones Tierras forestales'!M$149</f>
        <v>0</v>
      </c>
      <c r="N159" s="112">
        <f>+'5ta'!$R95*'Emisiones Tierras forestales'!N$149</f>
        <v>0</v>
      </c>
    </row>
    <row r="160" spans="1:14" ht="15.75" x14ac:dyDescent="0.25">
      <c r="A160" s="503" t="s">
        <v>14</v>
      </c>
      <c r="B160" s="122">
        <f>+SUM(B151:B159)</f>
        <v>0</v>
      </c>
      <c r="C160" s="122">
        <f t="shared" ref="C160:N160" si="40">+SUM(C151:C159)</f>
        <v>0</v>
      </c>
      <c r="D160" s="122">
        <f t="shared" si="40"/>
        <v>0</v>
      </c>
      <c r="E160" s="122">
        <f t="shared" si="40"/>
        <v>0</v>
      </c>
      <c r="F160" s="122">
        <f t="shared" si="40"/>
        <v>0</v>
      </c>
      <c r="G160" s="122">
        <f t="shared" si="40"/>
        <v>0</v>
      </c>
      <c r="H160" s="122">
        <f t="shared" si="40"/>
        <v>0</v>
      </c>
      <c r="I160" s="122">
        <f t="shared" si="40"/>
        <v>-1.8204818486249998</v>
      </c>
      <c r="J160" s="122">
        <f t="shared" si="40"/>
        <v>-3.6409636972499997</v>
      </c>
      <c r="K160" s="122">
        <f t="shared" si="40"/>
        <v>-1.1028722264999999</v>
      </c>
      <c r="L160" s="122">
        <f t="shared" si="40"/>
        <v>-1.1028722264999999</v>
      </c>
      <c r="M160" s="122">
        <f t="shared" si="40"/>
        <v>0</v>
      </c>
      <c r="N160" s="122">
        <f t="shared" si="40"/>
        <v>0</v>
      </c>
    </row>
    <row r="161" spans="1:14" ht="15.75" x14ac:dyDescent="0.25">
      <c r="A161" s="503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</row>
    <row r="162" spans="1:14" ht="15.75" x14ac:dyDescent="0.25">
      <c r="A162" s="119" t="s">
        <v>118</v>
      </c>
      <c r="B162" s="122">
        <f>+'5ta'!C91/1000</f>
        <v>0</v>
      </c>
      <c r="C162" s="122" t="e">
        <f>+'5ta'!D91/1000</f>
        <v>#VALUE!</v>
      </c>
      <c r="D162" s="122">
        <f>+'5ta'!E91/1000</f>
        <v>0</v>
      </c>
      <c r="E162" s="122">
        <v>0</v>
      </c>
      <c r="F162" s="122">
        <f>+'5ta'!G91/1000</f>
        <v>0</v>
      </c>
      <c r="G162" s="122">
        <v>0</v>
      </c>
      <c r="H162" s="122">
        <f>+'5ta'!I91/1000</f>
        <v>0</v>
      </c>
      <c r="I162" s="122">
        <v>0</v>
      </c>
      <c r="J162" s="122">
        <f>+'5ta'!K91/1000</f>
        <v>0.17649000000000001</v>
      </c>
      <c r="K162" s="122">
        <f>+'5ta'!L91/1000</f>
        <v>5.3460000000000001E-2</v>
      </c>
      <c r="L162" s="122">
        <f>+'5ta'!M91/1000</f>
        <v>5.3460000000000001E-2</v>
      </c>
      <c r="M162" s="122">
        <f>+'5ta'!N91/1000</f>
        <v>0</v>
      </c>
      <c r="N162" s="122">
        <f>+'5ta'!O91/1000</f>
        <v>0</v>
      </c>
    </row>
    <row r="163" spans="1:14" x14ac:dyDescent="0.25">
      <c r="B163" s="1">
        <v>2010</v>
      </c>
      <c r="C163" s="1">
        <v>2011</v>
      </c>
      <c r="D163" s="1">
        <v>2012</v>
      </c>
      <c r="E163" s="1">
        <v>2013</v>
      </c>
      <c r="F163" s="1">
        <v>2014</v>
      </c>
      <c r="G163" s="1">
        <v>2015</v>
      </c>
      <c r="H163" s="1">
        <v>2016</v>
      </c>
      <c r="I163" s="1">
        <v>2017</v>
      </c>
      <c r="J163" s="1">
        <v>2018</v>
      </c>
      <c r="K163" s="1">
        <v>2019</v>
      </c>
      <c r="L163" s="1">
        <v>2020</v>
      </c>
      <c r="M163" s="1">
        <v>2021</v>
      </c>
      <c r="N163" s="1">
        <v>2022</v>
      </c>
    </row>
    <row r="164" spans="1:14" ht="15.75" x14ac:dyDescent="0.25">
      <c r="A164" s="502" t="s">
        <v>18</v>
      </c>
      <c r="B164" s="508">
        <f>+'Cambio uso de suelo (BAU)'!D129</f>
        <v>0</v>
      </c>
      <c r="C164" s="508">
        <f>+'Cambio uso de suelo (BAU)'!E129</f>
        <v>0</v>
      </c>
      <c r="D164" s="508">
        <f>+'Cambio uso de suelo (BAU)'!F129</f>
        <v>0</v>
      </c>
      <c r="E164" s="508">
        <f>+'Cambio uso de suelo (BAU)'!G129</f>
        <v>0</v>
      </c>
      <c r="F164" s="508">
        <f>+'Cambio uso de suelo (BAU)'!H129</f>
        <v>0</v>
      </c>
      <c r="G164" s="508">
        <f>+'Cambio uso de suelo (BAU)'!I129</f>
        <v>0</v>
      </c>
      <c r="H164" s="508">
        <f>+'Cambio uso de suelo (BAU)'!J129</f>
        <v>0</v>
      </c>
      <c r="I164" s="508">
        <f>+'Cambio uso de suelo (BAU)'!K129</f>
        <v>0</v>
      </c>
      <c r="J164" s="508">
        <f>+'Cambio uso de suelo (BAU)'!L129</f>
        <v>4.325957391516498E-4</v>
      </c>
      <c r="K164" s="508">
        <f>+'Cambio uso de suelo (BAU)'!M129</f>
        <v>1.3103613924328399E-4</v>
      </c>
      <c r="L164" s="508">
        <f>+'Cambio uso de suelo (BAU)'!N129</f>
        <v>1.3103613924328399E-4</v>
      </c>
      <c r="M164" s="508">
        <f>+'Cambio uso de suelo (BAU)'!O129</f>
        <v>0</v>
      </c>
      <c r="N164" s="508">
        <f>+'Cambio uso de suelo (BAU)'!P129</f>
        <v>0</v>
      </c>
    </row>
    <row r="165" spans="1:14" ht="15.75" x14ac:dyDescent="0.25">
      <c r="A165" s="502" t="s">
        <v>20</v>
      </c>
      <c r="B165" s="508">
        <f>+'Cambio uso de suelo (BAU)'!D130</f>
        <v>0</v>
      </c>
      <c r="C165" s="508">
        <f>+'Cambio uso de suelo (BAU)'!E130</f>
        <v>0</v>
      </c>
      <c r="D165" s="508">
        <f>+'Cambio uso de suelo (BAU)'!F130</f>
        <v>0</v>
      </c>
      <c r="E165" s="508">
        <f>+'Cambio uso de suelo (BAU)'!G130</f>
        <v>0</v>
      </c>
      <c r="F165" s="508">
        <f>+'Cambio uso de suelo (BAU)'!H130</f>
        <v>0</v>
      </c>
      <c r="G165" s="508">
        <f>+'Cambio uso de suelo (BAU)'!I130</f>
        <v>0</v>
      </c>
      <c r="H165" s="508">
        <f>+'Cambio uso de suelo (BAU)'!J130</f>
        <v>0</v>
      </c>
      <c r="I165" s="508">
        <f>+'Cambio uso de suelo (BAU)'!K130</f>
        <v>0</v>
      </c>
      <c r="J165" s="508">
        <f>+'Cambio uso de suelo (BAU)'!L130</f>
        <v>4.224377800008134E-3</v>
      </c>
      <c r="K165" s="508">
        <f>+'Cambio uso de suelo (BAU)'!M130</f>
        <v>1.2795922555863498E-3</v>
      </c>
      <c r="L165" s="508">
        <f>+'Cambio uso de suelo (BAU)'!N130</f>
        <v>1.2795922555863498E-3</v>
      </c>
      <c r="M165" s="508">
        <f>+'Cambio uso de suelo (BAU)'!O130</f>
        <v>0</v>
      </c>
      <c r="N165" s="508">
        <f>+'Cambio uso de suelo (BAU)'!P130</f>
        <v>0</v>
      </c>
    </row>
    <row r="166" spans="1:14" ht="15.75" x14ac:dyDescent="0.25">
      <c r="A166" s="502" t="s">
        <v>21</v>
      </c>
      <c r="B166" s="508">
        <f>+'Cambio uso de suelo (BAU)'!D131</f>
        <v>0</v>
      </c>
      <c r="C166" s="508">
        <f>+'Cambio uso de suelo (BAU)'!E131</f>
        <v>0</v>
      </c>
      <c r="D166" s="508">
        <f>+'Cambio uso de suelo (BAU)'!F131</f>
        <v>0</v>
      </c>
      <c r="E166" s="508">
        <f>+'Cambio uso de suelo (BAU)'!G131</f>
        <v>0</v>
      </c>
      <c r="F166" s="508">
        <f>+'Cambio uso de suelo (BAU)'!H131</f>
        <v>0</v>
      </c>
      <c r="G166" s="508">
        <f>+'Cambio uso de suelo (BAU)'!I131</f>
        <v>0</v>
      </c>
      <c r="H166" s="508">
        <f>+'Cambio uso de suelo (BAU)'!J131</f>
        <v>0</v>
      </c>
      <c r="I166" s="508">
        <f>+'Cambio uso de suelo (BAU)'!K131</f>
        <v>0</v>
      </c>
      <c r="J166" s="508">
        <f>+'Cambio uso de suelo (BAU)'!L131</f>
        <v>4.0393913711267528E-2</v>
      </c>
      <c r="K166" s="508">
        <f>+'Cambio uso de suelo (BAU)'!M131</f>
        <v>1.2235586305197811E-2</v>
      </c>
      <c r="L166" s="508">
        <f>+'Cambio uso de suelo (BAU)'!N131</f>
        <v>1.2235586305197811E-2</v>
      </c>
      <c r="M166" s="508">
        <f>+'Cambio uso de suelo (BAU)'!O131</f>
        <v>0</v>
      </c>
      <c r="N166" s="508">
        <f>+'Cambio uso de suelo (BAU)'!P131</f>
        <v>0</v>
      </c>
    </row>
    <row r="167" spans="1:14" ht="15.75" x14ac:dyDescent="0.25">
      <c r="A167" s="502" t="s">
        <v>22</v>
      </c>
      <c r="B167" s="508">
        <f>+'Cambio uso de suelo (BAU)'!D132</f>
        <v>0</v>
      </c>
      <c r="C167" s="508">
        <f>+'Cambio uso de suelo (BAU)'!E132</f>
        <v>0</v>
      </c>
      <c r="D167" s="508">
        <f>+'Cambio uso de suelo (BAU)'!F132</f>
        <v>0</v>
      </c>
      <c r="E167" s="508">
        <f>+'Cambio uso de suelo (BAU)'!G132</f>
        <v>0</v>
      </c>
      <c r="F167" s="508">
        <f>+'Cambio uso de suelo (BAU)'!H132</f>
        <v>0</v>
      </c>
      <c r="G167" s="508">
        <f>+'Cambio uso de suelo (BAU)'!I132</f>
        <v>0</v>
      </c>
      <c r="H167" s="508">
        <f>+'Cambio uso de suelo (BAU)'!J132</f>
        <v>0</v>
      </c>
      <c r="I167" s="508">
        <f>+'Cambio uso de suelo (BAU)'!K132</f>
        <v>0</v>
      </c>
      <c r="J167" s="508">
        <f>+'Cambio uso de suelo (BAU)'!L132</f>
        <v>1.6419865432633754E-2</v>
      </c>
      <c r="K167" s="508">
        <f>+'Cambio uso de suelo (BAU)'!M132</f>
        <v>4.9736869285999233E-3</v>
      </c>
      <c r="L167" s="508">
        <f>+'Cambio uso de suelo (BAU)'!N132</f>
        <v>4.9736869285999233E-3</v>
      </c>
      <c r="M167" s="508">
        <f>+'Cambio uso de suelo (BAU)'!O132</f>
        <v>0</v>
      </c>
      <c r="N167" s="508">
        <f>+'Cambio uso de suelo (BAU)'!P132</f>
        <v>0</v>
      </c>
    </row>
    <row r="168" spans="1:14" ht="15.75" x14ac:dyDescent="0.25">
      <c r="A168" s="502" t="s">
        <v>23</v>
      </c>
      <c r="B168" s="508">
        <f>+'Cambio uso de suelo (BAU)'!D133</f>
        <v>0</v>
      </c>
      <c r="C168" s="508">
        <f>+'Cambio uso de suelo (BAU)'!E133</f>
        <v>0</v>
      </c>
      <c r="D168" s="508">
        <f>+'Cambio uso de suelo (BAU)'!F133</f>
        <v>0</v>
      </c>
      <c r="E168" s="508">
        <f>+'Cambio uso de suelo (BAU)'!G133</f>
        <v>0</v>
      </c>
      <c r="F168" s="508">
        <f>+'Cambio uso de suelo (BAU)'!H133</f>
        <v>0</v>
      </c>
      <c r="G168" s="508">
        <f>+'Cambio uso de suelo (BAU)'!I133</f>
        <v>0</v>
      </c>
      <c r="H168" s="508">
        <f>+'Cambio uso de suelo (BAU)'!J133</f>
        <v>0</v>
      </c>
      <c r="I168" s="508">
        <f>+'Cambio uso de suelo (BAU)'!K133</f>
        <v>0</v>
      </c>
      <c r="J168" s="508">
        <f>+'Cambio uso de suelo (BAU)'!L133</f>
        <v>1.1307936144501476E-2</v>
      </c>
      <c r="K168" s="508">
        <f>+'Cambio uso de suelo (BAU)'!M133</f>
        <v>3.4252493981814765E-3</v>
      </c>
      <c r="L168" s="508">
        <f>+'Cambio uso de suelo (BAU)'!N133</f>
        <v>3.4252493981814765E-3</v>
      </c>
      <c r="M168" s="508">
        <f>+'Cambio uso de suelo (BAU)'!O133</f>
        <v>0</v>
      </c>
      <c r="N168" s="508">
        <f>+'Cambio uso de suelo (BAU)'!P133</f>
        <v>0</v>
      </c>
    </row>
    <row r="169" spans="1:14" ht="15.75" x14ac:dyDescent="0.25">
      <c r="A169" s="502" t="s">
        <v>24</v>
      </c>
      <c r="B169" s="508">
        <f>+'Cambio uso de suelo (BAU)'!D134</f>
        <v>0</v>
      </c>
      <c r="C169" s="508">
        <f>+'Cambio uso de suelo (BAU)'!E134</f>
        <v>0</v>
      </c>
      <c r="D169" s="508">
        <f>+'Cambio uso de suelo (BAU)'!F134</f>
        <v>0</v>
      </c>
      <c r="E169" s="508">
        <f>+'Cambio uso de suelo (BAU)'!G134</f>
        <v>0</v>
      </c>
      <c r="F169" s="508">
        <f>+'Cambio uso de suelo (BAU)'!H134</f>
        <v>0</v>
      </c>
      <c r="G169" s="508">
        <f>+'Cambio uso de suelo (BAU)'!I134</f>
        <v>0</v>
      </c>
      <c r="H169" s="508">
        <f>+'Cambio uso de suelo (BAU)'!J134</f>
        <v>0</v>
      </c>
      <c r="I169" s="508">
        <f>+'Cambio uso de suelo (BAU)'!K134</f>
        <v>0</v>
      </c>
      <c r="J169" s="508">
        <f>+'Cambio uso de suelo (BAU)'!L134</f>
        <v>8.2745790549289031E-2</v>
      </c>
      <c r="K169" s="508">
        <f>+'Cambio uso de suelo (BAU)'!M134</f>
        <v>2.5064252721202284E-2</v>
      </c>
      <c r="L169" s="508">
        <f>+'Cambio uso de suelo (BAU)'!N134</f>
        <v>2.5064252721202284E-2</v>
      </c>
      <c r="M169" s="508">
        <f>+'Cambio uso de suelo (BAU)'!O134</f>
        <v>0</v>
      </c>
      <c r="N169" s="508">
        <f>+'Cambio uso de suelo (BAU)'!P134</f>
        <v>0</v>
      </c>
    </row>
    <row r="170" spans="1:14" ht="15.75" x14ac:dyDescent="0.25">
      <c r="A170" s="502" t="s">
        <v>25</v>
      </c>
      <c r="B170" s="508">
        <f>+'Cambio uso de suelo (BAU)'!D135</f>
        <v>0</v>
      </c>
      <c r="C170" s="508">
        <f>+'Cambio uso de suelo (BAU)'!E135</f>
        <v>0</v>
      </c>
      <c r="D170" s="508">
        <f>+'Cambio uso de suelo (BAU)'!F135</f>
        <v>0</v>
      </c>
      <c r="E170" s="508">
        <f>+'Cambio uso de suelo (BAU)'!G135</f>
        <v>0</v>
      </c>
      <c r="F170" s="508">
        <f>+'Cambio uso de suelo (BAU)'!H135</f>
        <v>0</v>
      </c>
      <c r="G170" s="508">
        <f>+'Cambio uso de suelo (BAU)'!I135</f>
        <v>0</v>
      </c>
      <c r="H170" s="508">
        <f>+'Cambio uso de suelo (BAU)'!J135</f>
        <v>0</v>
      </c>
      <c r="I170" s="508">
        <f>+'Cambio uso de suelo (BAU)'!K135</f>
        <v>0</v>
      </c>
      <c r="J170" s="508">
        <f>+'Cambio uso de suelo (BAU)'!L135</f>
        <v>9.1675865101659634E-3</v>
      </c>
      <c r="K170" s="508">
        <f>+'Cambio uso de suelo (BAU)'!M135</f>
        <v>2.7769231958381341E-3</v>
      </c>
      <c r="L170" s="508">
        <f>+'Cambio uso de suelo (BAU)'!N135</f>
        <v>2.7769231958381341E-3</v>
      </c>
      <c r="M170" s="508">
        <f>+'Cambio uso de suelo (BAU)'!O135</f>
        <v>0</v>
      </c>
      <c r="N170" s="508">
        <f>+'Cambio uso de suelo (BAU)'!P135</f>
        <v>0</v>
      </c>
    </row>
    <row r="171" spans="1:14" ht="15.75" x14ac:dyDescent="0.25">
      <c r="A171" s="502" t="s">
        <v>26</v>
      </c>
      <c r="B171" s="508">
        <f>+'Cambio uso de suelo (BAU)'!D136</f>
        <v>0</v>
      </c>
      <c r="C171" s="508">
        <f>+'Cambio uso de suelo (BAU)'!E136</f>
        <v>0</v>
      </c>
      <c r="D171" s="508">
        <f>+'Cambio uso de suelo (BAU)'!F136</f>
        <v>0</v>
      </c>
      <c r="E171" s="508">
        <f>+'Cambio uso de suelo (BAU)'!G136</f>
        <v>0</v>
      </c>
      <c r="F171" s="508">
        <f>+'Cambio uso de suelo (BAU)'!H136</f>
        <v>0</v>
      </c>
      <c r="G171" s="508">
        <f>+'Cambio uso de suelo (BAU)'!I136</f>
        <v>0</v>
      </c>
      <c r="H171" s="508">
        <f>+'Cambio uso de suelo (BAU)'!J136</f>
        <v>0</v>
      </c>
      <c r="I171" s="508">
        <f>+'Cambio uso de suelo (BAU)'!K136</f>
        <v>0</v>
      </c>
      <c r="J171" s="508">
        <f>+'Cambio uso de suelo (BAU)'!L136</f>
        <v>2.2767896253245356E-3</v>
      </c>
      <c r="K171" s="508">
        <f>+'Cambio uso de suelo (BAU)'!M136</f>
        <v>6.8965478706923709E-4</v>
      </c>
      <c r="L171" s="508">
        <f>+'Cambio uso de suelo (BAU)'!N136</f>
        <v>6.8965478706923709E-4</v>
      </c>
      <c r="M171" s="508">
        <f>+'Cambio uso de suelo (BAU)'!O136</f>
        <v>0</v>
      </c>
      <c r="N171" s="508">
        <f>+'Cambio uso de suelo (BAU)'!P136</f>
        <v>0</v>
      </c>
    </row>
    <row r="172" spans="1:14" ht="15.75" x14ac:dyDescent="0.25">
      <c r="A172" s="502" t="s">
        <v>27</v>
      </c>
      <c r="B172" s="508">
        <f>+'Cambio uso de suelo (BAU)'!D137</f>
        <v>0</v>
      </c>
      <c r="C172" s="508">
        <f>+'Cambio uso de suelo (BAU)'!E137</f>
        <v>0</v>
      </c>
      <c r="D172" s="508">
        <f>+'Cambio uso de suelo (BAU)'!F137</f>
        <v>0</v>
      </c>
      <c r="E172" s="508">
        <f>+'Cambio uso de suelo (BAU)'!G137</f>
        <v>0</v>
      </c>
      <c r="F172" s="508">
        <f>+'Cambio uso de suelo (BAU)'!H137</f>
        <v>0</v>
      </c>
      <c r="G172" s="508">
        <f>+'Cambio uso de suelo (BAU)'!I137</f>
        <v>0</v>
      </c>
      <c r="H172" s="508">
        <f>+'Cambio uso de suelo (BAU)'!J137</f>
        <v>0</v>
      </c>
      <c r="I172" s="508">
        <f>+'Cambio uso de suelo (BAU)'!K137</f>
        <v>0</v>
      </c>
      <c r="J172" s="508">
        <f>+'Cambio uso de suelo (BAU)'!L137</f>
        <v>9.5211444876579353E-3</v>
      </c>
      <c r="K172" s="508">
        <f>+'Cambio uso de suelo (BAU)'!M137</f>
        <v>2.8840182690814957E-3</v>
      </c>
      <c r="L172" s="508">
        <f>+'Cambio uso de suelo (BAU)'!N137</f>
        <v>2.8840182690814957E-3</v>
      </c>
      <c r="M172" s="508">
        <f>+'Cambio uso de suelo (BAU)'!O137</f>
        <v>0</v>
      </c>
      <c r="N172" s="508">
        <f>+'Cambio uso de suelo (BAU)'!P137</f>
        <v>0</v>
      </c>
    </row>
    <row r="173" spans="1:14" ht="15.75" x14ac:dyDescent="0.25">
      <c r="A173" s="504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</row>
    <row r="174" spans="1:14" ht="15.75" x14ac:dyDescent="0.25">
      <c r="A174" s="119" t="s">
        <v>119</v>
      </c>
      <c r="B174" s="1">
        <v>2010</v>
      </c>
      <c r="C174" s="1">
        <v>2011</v>
      </c>
      <c r="D174" s="1">
        <v>2012</v>
      </c>
      <c r="E174" s="1">
        <v>2013</v>
      </c>
      <c r="F174" s="1">
        <v>2014</v>
      </c>
      <c r="G174" s="1">
        <v>2015</v>
      </c>
      <c r="H174" s="1">
        <v>2016</v>
      </c>
      <c r="I174" s="1">
        <v>2017</v>
      </c>
      <c r="J174" s="1">
        <v>2018</v>
      </c>
      <c r="K174" s="1">
        <v>2019</v>
      </c>
      <c r="L174" s="1">
        <v>2020</v>
      </c>
      <c r="M174" s="1">
        <v>2021</v>
      </c>
      <c r="N174" s="1">
        <v>2022</v>
      </c>
    </row>
    <row r="175" spans="1:14" x14ac:dyDescent="0.25">
      <c r="A175" s="518" t="s">
        <v>152</v>
      </c>
      <c r="B175" s="126">
        <v>0</v>
      </c>
      <c r="C175" s="126">
        <v>0</v>
      </c>
      <c r="D175" s="126">
        <v>0</v>
      </c>
      <c r="E175" s="126">
        <v>0</v>
      </c>
      <c r="F175" s="126">
        <v>0</v>
      </c>
      <c r="G175" s="126">
        <v>0</v>
      </c>
      <c r="H175" s="126">
        <v>0</v>
      </c>
      <c r="I175" s="126">
        <v>0</v>
      </c>
      <c r="J175" s="126">
        <f t="shared" ref="J175:L183" si="41">+J151/J164</f>
        <v>-20.629858333333328</v>
      </c>
      <c r="K175" s="126">
        <f t="shared" si="41"/>
        <v>-20.629858333333335</v>
      </c>
      <c r="L175" s="126">
        <f t="shared" si="41"/>
        <v>-20.629858333333335</v>
      </c>
      <c r="M175" s="126">
        <v>0</v>
      </c>
      <c r="N175" s="126">
        <v>0</v>
      </c>
    </row>
    <row r="176" spans="1:14" x14ac:dyDescent="0.25">
      <c r="A176" s="510" t="s">
        <v>153</v>
      </c>
      <c r="B176" s="126">
        <v>0</v>
      </c>
      <c r="C176" s="126">
        <v>0</v>
      </c>
      <c r="D176" s="126">
        <v>0</v>
      </c>
      <c r="E176" s="126">
        <v>0</v>
      </c>
      <c r="F176" s="126">
        <v>0</v>
      </c>
      <c r="G176" s="126">
        <v>0</v>
      </c>
      <c r="H176" s="126">
        <v>0</v>
      </c>
      <c r="I176" s="126">
        <v>0</v>
      </c>
      <c r="J176" s="126">
        <f t="shared" si="41"/>
        <v>-20.629858333333331</v>
      </c>
      <c r="K176" s="126">
        <f t="shared" si="41"/>
        <v>-20.629858333333331</v>
      </c>
      <c r="L176" s="126">
        <f t="shared" si="41"/>
        <v>-20.629858333333331</v>
      </c>
      <c r="M176" s="126">
        <v>0</v>
      </c>
      <c r="N176" s="126">
        <v>0</v>
      </c>
    </row>
    <row r="177" spans="1:27" x14ac:dyDescent="0.25">
      <c r="A177" s="510" t="s">
        <v>154</v>
      </c>
      <c r="B177" s="126">
        <v>0</v>
      </c>
      <c r="C177" s="126">
        <v>0</v>
      </c>
      <c r="D177" s="126">
        <v>0</v>
      </c>
      <c r="E177" s="126">
        <v>0</v>
      </c>
      <c r="F177" s="126">
        <v>0</v>
      </c>
      <c r="G177" s="126">
        <v>0</v>
      </c>
      <c r="H177" s="126">
        <v>0</v>
      </c>
      <c r="I177" s="126">
        <v>0</v>
      </c>
      <c r="J177" s="126">
        <f t="shared" si="41"/>
        <v>-20.629858333333328</v>
      </c>
      <c r="K177" s="126">
        <f t="shared" si="41"/>
        <v>-20.629858333333335</v>
      </c>
      <c r="L177" s="126">
        <f t="shared" si="41"/>
        <v>-20.629858333333335</v>
      </c>
      <c r="M177" s="126">
        <v>0</v>
      </c>
      <c r="N177" s="126">
        <v>0</v>
      </c>
    </row>
    <row r="178" spans="1:27" x14ac:dyDescent="0.25">
      <c r="A178" s="510" t="s">
        <v>155</v>
      </c>
      <c r="B178" s="126">
        <v>0</v>
      </c>
      <c r="C178" s="126">
        <v>0</v>
      </c>
      <c r="D178" s="126">
        <v>0</v>
      </c>
      <c r="E178" s="126">
        <v>0</v>
      </c>
      <c r="F178" s="126">
        <v>0</v>
      </c>
      <c r="G178" s="126">
        <v>0</v>
      </c>
      <c r="H178" s="126">
        <v>0</v>
      </c>
      <c r="I178" s="126">
        <v>0</v>
      </c>
      <c r="J178" s="126">
        <f t="shared" si="41"/>
        <v>-20.629858333333328</v>
      </c>
      <c r="K178" s="126">
        <f t="shared" si="41"/>
        <v>-20.629858333333331</v>
      </c>
      <c r="L178" s="126">
        <f t="shared" si="41"/>
        <v>-20.629858333333331</v>
      </c>
      <c r="M178" s="126">
        <v>0</v>
      </c>
      <c r="N178" s="126">
        <v>0</v>
      </c>
    </row>
    <row r="179" spans="1:27" x14ac:dyDescent="0.25">
      <c r="A179" s="510" t="s">
        <v>156</v>
      </c>
      <c r="B179" s="126">
        <v>0</v>
      </c>
      <c r="C179" s="126">
        <v>0</v>
      </c>
      <c r="D179" s="126">
        <v>0</v>
      </c>
      <c r="E179" s="126">
        <v>0</v>
      </c>
      <c r="F179" s="126">
        <v>0</v>
      </c>
      <c r="G179" s="126">
        <v>0</v>
      </c>
      <c r="H179" s="126">
        <v>0</v>
      </c>
      <c r="I179" s="126">
        <v>0</v>
      </c>
      <c r="J179" s="126">
        <f t="shared" si="41"/>
        <v>-20.629858333333328</v>
      </c>
      <c r="K179" s="126">
        <f t="shared" si="41"/>
        <v>-20.629858333333335</v>
      </c>
      <c r="L179" s="126">
        <f t="shared" si="41"/>
        <v>-20.629858333333335</v>
      </c>
      <c r="M179" s="126">
        <v>0</v>
      </c>
      <c r="N179" s="126">
        <v>0</v>
      </c>
    </row>
    <row r="180" spans="1:27" x14ac:dyDescent="0.25">
      <c r="A180" s="510" t="s">
        <v>157</v>
      </c>
      <c r="B180" s="126">
        <v>0</v>
      </c>
      <c r="C180" s="126">
        <v>0</v>
      </c>
      <c r="D180" s="126">
        <v>0</v>
      </c>
      <c r="E180" s="126">
        <v>0</v>
      </c>
      <c r="F180" s="126">
        <v>0</v>
      </c>
      <c r="G180" s="126">
        <v>0</v>
      </c>
      <c r="H180" s="126">
        <v>0</v>
      </c>
      <c r="I180" s="126">
        <v>0</v>
      </c>
      <c r="J180" s="126">
        <f t="shared" si="41"/>
        <v>-20.629858333333328</v>
      </c>
      <c r="K180" s="126">
        <f t="shared" si="41"/>
        <v>-20.629858333333331</v>
      </c>
      <c r="L180" s="126">
        <f t="shared" si="41"/>
        <v>-20.629858333333331</v>
      </c>
      <c r="M180" s="126">
        <v>0</v>
      </c>
      <c r="N180" s="126">
        <v>0</v>
      </c>
    </row>
    <row r="181" spans="1:27" x14ac:dyDescent="0.25">
      <c r="A181" s="510" t="s">
        <v>158</v>
      </c>
      <c r="B181" s="126">
        <v>0</v>
      </c>
      <c r="C181" s="126">
        <v>0</v>
      </c>
      <c r="D181" s="126">
        <v>0</v>
      </c>
      <c r="E181" s="126">
        <v>0</v>
      </c>
      <c r="F181" s="126">
        <v>0</v>
      </c>
      <c r="G181" s="126">
        <v>0</v>
      </c>
      <c r="H181" s="126">
        <v>0</v>
      </c>
      <c r="I181" s="126">
        <v>0</v>
      </c>
      <c r="J181" s="126">
        <f t="shared" si="41"/>
        <v>-20.629858333333328</v>
      </c>
      <c r="K181" s="126">
        <f t="shared" si="41"/>
        <v>-20.629858333333331</v>
      </c>
      <c r="L181" s="126">
        <f t="shared" si="41"/>
        <v>-20.629858333333331</v>
      </c>
      <c r="M181" s="126">
        <v>0</v>
      </c>
      <c r="N181" s="126">
        <v>0</v>
      </c>
    </row>
    <row r="182" spans="1:27" x14ac:dyDescent="0.25">
      <c r="A182" s="510" t="s">
        <v>159</v>
      </c>
      <c r="B182" s="126">
        <v>0</v>
      </c>
      <c r="C182" s="126">
        <v>0</v>
      </c>
      <c r="D182" s="126">
        <v>0</v>
      </c>
      <c r="E182" s="126">
        <v>0</v>
      </c>
      <c r="F182" s="126">
        <v>0</v>
      </c>
      <c r="G182" s="126">
        <v>0</v>
      </c>
      <c r="H182" s="126">
        <v>0</v>
      </c>
      <c r="I182" s="126">
        <v>0</v>
      </c>
      <c r="J182" s="126">
        <f t="shared" si="41"/>
        <v>-20.629858333333331</v>
      </c>
      <c r="K182" s="126">
        <f t="shared" si="41"/>
        <v>-20.629858333333331</v>
      </c>
      <c r="L182" s="126">
        <f t="shared" si="41"/>
        <v>-20.629858333333331</v>
      </c>
      <c r="M182" s="126">
        <v>0</v>
      </c>
      <c r="N182" s="126">
        <v>0</v>
      </c>
    </row>
    <row r="183" spans="1:27" x14ac:dyDescent="0.25">
      <c r="A183" s="511" t="s">
        <v>160</v>
      </c>
      <c r="B183" s="126">
        <v>0</v>
      </c>
      <c r="C183" s="126">
        <v>0</v>
      </c>
      <c r="D183" s="126">
        <v>0</v>
      </c>
      <c r="E183" s="126">
        <v>0</v>
      </c>
      <c r="F183" s="126">
        <v>0</v>
      </c>
      <c r="G183" s="126">
        <v>0</v>
      </c>
      <c r="H183" s="126">
        <v>0</v>
      </c>
      <c r="I183" s="126">
        <v>0</v>
      </c>
      <c r="J183" s="126">
        <f t="shared" si="41"/>
        <v>-20.629858333333331</v>
      </c>
      <c r="K183" s="126">
        <f t="shared" si="41"/>
        <v>-20.629858333333331</v>
      </c>
      <c r="L183" s="126">
        <f t="shared" si="41"/>
        <v>-20.629858333333331</v>
      </c>
      <c r="M183" s="126">
        <v>0</v>
      </c>
      <c r="N183" s="126">
        <v>0</v>
      </c>
    </row>
    <row r="185" spans="1:27" x14ac:dyDescent="0.25">
      <c r="A185" s="507" t="s">
        <v>492</v>
      </c>
      <c r="B185" s="126">
        <f>+INGEI_diffs!C9</f>
        <v>-299.29798469999992</v>
      </c>
      <c r="C185" s="126">
        <f>+INGEI_diffs!D9</f>
        <v>-299.29798469999992</v>
      </c>
      <c r="D185" s="126">
        <f>+INGEI_diffs!E9</f>
        <v>-299.29798469999992</v>
      </c>
      <c r="E185" s="126">
        <f>+INGEI_diffs!F9</f>
        <v>-299.29798469999992</v>
      </c>
      <c r="F185" s="126">
        <f>+INGEI_diffs!G9</f>
        <v>-299.29798469999992</v>
      </c>
      <c r="G185" s="126">
        <f>+INGEI_diffs!H9</f>
        <v>-236.55072333979163</v>
      </c>
      <c r="H185" s="126">
        <f>+INGEI_diffs!I9</f>
        <v>-173.80346197958332</v>
      </c>
      <c r="I185" s="126">
        <f>+INGEI_diffs!J9</f>
        <v>-224.62584002879166</v>
      </c>
      <c r="J185" s="126">
        <f>+INGEI_diffs!K9</f>
        <v>-275.44821807800008</v>
      </c>
      <c r="K185" s="126">
        <f>+INGEI_diffs!L9</f>
        <v>-45.825310614416658</v>
      </c>
      <c r="L185" s="126">
        <f>+INGEI_diffs!M9</f>
        <v>-45.825310614416658</v>
      </c>
      <c r="M185" s="126">
        <f>+INGEI_diffs!N9</f>
        <v>-49.979237664125002</v>
      </c>
      <c r="N185" s="126">
        <f>+INGEI_diffs!O9</f>
        <v>-49.979237664125002</v>
      </c>
    </row>
    <row r="186" spans="1:27" x14ac:dyDescent="0.25">
      <c r="A186" s="507" t="s">
        <v>491</v>
      </c>
      <c r="B186" s="126">
        <f>+B149+B112+B75+B38+B1</f>
        <v>-299.29798469999992</v>
      </c>
      <c r="C186" s="126">
        <f t="shared" ref="C186:N186" si="42">+C149+C112+C75+C38+C1</f>
        <v>-299.29798469999992</v>
      </c>
      <c r="D186" s="126">
        <f t="shared" si="42"/>
        <v>-299.29798469999992</v>
      </c>
      <c r="E186" s="126">
        <f t="shared" si="42"/>
        <v>-299.29798469999992</v>
      </c>
      <c r="F186" s="126">
        <f t="shared" si="42"/>
        <v>-299.29798469999992</v>
      </c>
      <c r="G186" s="126">
        <f t="shared" si="42"/>
        <v>-236.5507233397916</v>
      </c>
      <c r="H186" s="126">
        <f t="shared" si="42"/>
        <v>-173.80346197958329</v>
      </c>
      <c r="I186" s="126">
        <f t="shared" si="42"/>
        <v>-224.62584002879169</v>
      </c>
      <c r="J186" s="126">
        <f t="shared" si="42"/>
        <v>-275.44821807800002</v>
      </c>
      <c r="K186" s="126">
        <f t="shared" si="42"/>
        <v>-45.825310614416658</v>
      </c>
      <c r="L186" s="126">
        <f t="shared" si="42"/>
        <v>-45.825310614416658</v>
      </c>
      <c r="M186" s="126">
        <f t="shared" si="42"/>
        <v>-49.979237664125002</v>
      </c>
      <c r="N186" s="126">
        <f t="shared" si="42"/>
        <v>-49.979237664125002</v>
      </c>
    </row>
    <row r="187" spans="1:27" x14ac:dyDescent="0.25">
      <c r="A187" s="507" t="s">
        <v>100</v>
      </c>
      <c r="B187" s="520">
        <v>-293.60399999999998</v>
      </c>
      <c r="C187" s="520">
        <v>-293.60399999999998</v>
      </c>
      <c r="D187" s="520">
        <v>-293.60399999999998</v>
      </c>
      <c r="E187" s="520">
        <v>-293.60399999999998</v>
      </c>
      <c r="F187" s="520">
        <v>-293.60399999999998</v>
      </c>
      <c r="G187" s="520">
        <v>-232.07499999999999</v>
      </c>
      <c r="H187" s="520">
        <v>-170.55099999999999</v>
      </c>
      <c r="I187" s="521">
        <v>-218.65899999999999</v>
      </c>
      <c r="J187" s="521">
        <v>-270.31200000000001</v>
      </c>
      <c r="K187" s="521">
        <v>-44.942</v>
      </c>
      <c r="L187" s="521">
        <v>-44.942</v>
      </c>
      <c r="M187" s="521">
        <v>-49.006999999999998</v>
      </c>
      <c r="N187" s="521">
        <v>-49.006999999999998</v>
      </c>
      <c r="O187" s="519"/>
      <c r="P187" s="519"/>
      <c r="Q187" s="519"/>
      <c r="R187" s="519"/>
      <c r="S187" s="519"/>
      <c r="T187" s="519"/>
      <c r="U187" s="519"/>
      <c r="V187" s="519"/>
      <c r="W187" s="519"/>
      <c r="X187" s="519"/>
      <c r="Y187" s="519"/>
      <c r="Z187" s="519"/>
      <c r="AA187" s="5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0B81-C7CF-44FD-9A18-10FE1C329489}">
  <dimension ref="A1:U34"/>
  <sheetViews>
    <sheetView topLeftCell="B1" workbookViewId="0">
      <selection activeCell="M6" sqref="K5:M6"/>
    </sheetView>
  </sheetViews>
  <sheetFormatPr defaultColWidth="10.85546875" defaultRowHeight="15" x14ac:dyDescent="0.25"/>
  <cols>
    <col min="1" max="1" width="26.28515625" customWidth="1"/>
    <col min="2" max="14" width="12.7109375" bestFit="1" customWidth="1"/>
  </cols>
  <sheetData>
    <row r="1" spans="1:21" x14ac:dyDescent="0.25">
      <c r="A1" t="s">
        <v>443</v>
      </c>
      <c r="B1">
        <f>+INGEI_diffs!C2/1000</f>
        <v>-19217.573960020109</v>
      </c>
      <c r="C1">
        <f>+INGEI_diffs!D2/1000</f>
        <v>-20027.828785399288</v>
      </c>
      <c r="D1">
        <f>+INGEI_diffs!E2/1000</f>
        <v>-20838.083610778471</v>
      </c>
      <c r="E1">
        <f>+INGEI_diffs!F2/1000</f>
        <v>-22648.214157684459</v>
      </c>
      <c r="F1">
        <f>+INGEI_diffs!G2/1000</f>
        <v>-24458.344704590454</v>
      </c>
      <c r="G1">
        <f>+INGEI_diffs!H2/1000</f>
        <v>-22793.711417228842</v>
      </c>
      <c r="H1">
        <f>+INGEI_diffs!I2/1000</f>
        <v>-21129.078129867223</v>
      </c>
      <c r="I1">
        <f>+INGEI_diffs!J2/1000</f>
        <v>-22396.70992129212</v>
      </c>
      <c r="J1">
        <f>+INGEI_diffs!K2/1000</f>
        <v>-23664.341712717014</v>
      </c>
      <c r="K1">
        <f>+INGEI_diffs!L2/1000</f>
        <v>-24349.4076349594</v>
      </c>
      <c r="L1">
        <f>+INGEI_diffs!M2/1000</f>
        <v>-23879.007328010441</v>
      </c>
      <c r="M1">
        <f>+INGEI_diffs!N2/1000</f>
        <v>-21069.337086863667</v>
      </c>
      <c r="N1">
        <f>+INGEI_diffs!O2/1000</f>
        <v>-18652.838444170142</v>
      </c>
    </row>
    <row r="2" spans="1:21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21" ht="15.75" x14ac:dyDescent="0.25">
      <c r="A3" s="502" t="s">
        <v>18</v>
      </c>
      <c r="B3" s="75">
        <f>+B$1*'5ta'!$R87</f>
        <v>-47.104315326287015</v>
      </c>
      <c r="C3" s="75">
        <f>+C$1*'5ta'!$R87</f>
        <v>-49.090335979503045</v>
      </c>
      <c r="D3" s="75">
        <f>+D$1*'5ta'!$R87</f>
        <v>-51.076356632719083</v>
      </c>
      <c r="E3" s="75">
        <f>+E$1*'5ta'!$R87</f>
        <v>-55.513178899701778</v>
      </c>
      <c r="F3" s="75">
        <f>+F$1*'5ta'!$R87</f>
        <v>-59.950001166684487</v>
      </c>
      <c r="G3" s="75">
        <f>+G$1*'5ta'!$R87</f>
        <v>-55.869808139529198</v>
      </c>
      <c r="H3" s="75">
        <f>+H$1*'5ta'!$R87</f>
        <v>-51.789615112373895</v>
      </c>
      <c r="I3" s="75">
        <f>+I$1*'5ta'!$R87</f>
        <v>-54.896715298127098</v>
      </c>
      <c r="J3" s="75">
        <f>+J$1*'5ta'!$R87</f>
        <v>-58.003815483880295</v>
      </c>
      <c r="K3" s="75">
        <f>+K$1*'5ta'!$R87</f>
        <v>-59.682984836251826</v>
      </c>
      <c r="L3" s="75">
        <f>+L$1*'5ta'!$R87</f>
        <v>-58.529983711645627</v>
      </c>
      <c r="M3" s="75">
        <f>+M$1*'5ta'!$R87</f>
        <v>-51.643183469471666</v>
      </c>
      <c r="N3" s="75">
        <f>+N$1*'5ta'!$R87</f>
        <v>-45.720088583104371</v>
      </c>
      <c r="P3" s="524"/>
      <c r="Q3" s="524"/>
      <c r="R3" s="524"/>
      <c r="S3" s="524"/>
      <c r="T3" s="524"/>
      <c r="U3" s="524"/>
    </row>
    <row r="4" spans="1:21" ht="15.75" x14ac:dyDescent="0.25">
      <c r="A4" s="502" t="s">
        <v>20</v>
      </c>
      <c r="B4" s="75">
        <f>+B$1*'5ta'!$R88</f>
        <v>-459.98239450803646</v>
      </c>
      <c r="C4" s="75">
        <f>+C$1*'5ta'!$R88</f>
        <v>-479.37625533120644</v>
      </c>
      <c r="D4" s="75">
        <f>+D$1*'5ta'!$R88</f>
        <v>-498.77011615437652</v>
      </c>
      <c r="E4" s="75">
        <f>+E$1*'5ta'!$R88</f>
        <v>-542.09651026999916</v>
      </c>
      <c r="F4" s="75">
        <f>+F$1*'5ta'!$R88</f>
        <v>-585.42290438562191</v>
      </c>
      <c r="G4" s="75">
        <f>+G$1*'5ta'!$R88</f>
        <v>-545.57906108410373</v>
      </c>
      <c r="H4" s="75">
        <f>+H$1*'5ta'!$R88</f>
        <v>-505.73521778258532</v>
      </c>
      <c r="I4" s="75">
        <f>+I$1*'5ta'!$R88</f>
        <v>-536.07662861764607</v>
      </c>
      <c r="J4" s="75">
        <f>+J$1*'5ta'!$R88</f>
        <v>-566.41803945270681</v>
      </c>
      <c r="K4" s="75">
        <f>+K$1*'5ta'!$R88</f>
        <v>-582.8154402882376</v>
      </c>
      <c r="L4" s="75">
        <f>+L$1*'5ta'!$R88</f>
        <v>-571.55616999648055</v>
      </c>
      <c r="M4" s="75">
        <f>+M$1*'5ta'!$R88</f>
        <v>-504.30528557218497</v>
      </c>
      <c r="N4" s="75">
        <f>+N$1*'5ta'!$R88</f>
        <v>-446.46516307264216</v>
      </c>
      <c r="P4" s="524"/>
      <c r="Q4" s="524"/>
      <c r="R4" s="524"/>
      <c r="S4" s="524"/>
      <c r="T4" s="524"/>
      <c r="U4" s="524"/>
    </row>
    <row r="5" spans="1:21" ht="15.75" x14ac:dyDescent="0.25">
      <c r="A5" s="502" t="s">
        <v>21</v>
      </c>
      <c r="B5" s="75">
        <f>+B$1*'5ta'!$R89</f>
        <v>-4398.3966472942038</v>
      </c>
      <c r="C5" s="75">
        <f>+C$1*'5ta'!$R89</f>
        <v>-4583.8426414043779</v>
      </c>
      <c r="D5" s="75">
        <f>+D$1*'5ta'!$R89</f>
        <v>-4769.2886355145538</v>
      </c>
      <c r="E5" s="75">
        <f>+E$1*'5ta'!$R89</f>
        <v>-5183.5798538150239</v>
      </c>
      <c r="F5" s="75">
        <f>+F$1*'5ta'!$R89</f>
        <v>-5597.8710721154957</v>
      </c>
      <c r="G5" s="75">
        <f>+G$1*'5ta'!$R89</f>
        <v>-5216.8803453287737</v>
      </c>
      <c r="H5" s="75">
        <f>+H$1*'5ta'!$R89</f>
        <v>-4835.8896185420499</v>
      </c>
      <c r="I5" s="75">
        <f>+I$1*'5ta'!$R89</f>
        <v>-5126.0171566488934</v>
      </c>
      <c r="J5" s="75">
        <f>+J$1*'5ta'!$R89</f>
        <v>-5416.1446947557361</v>
      </c>
      <c r="K5" s="75">
        <f>+K$1*'5ta'!$R89</f>
        <v>-5572.9382453795042</v>
      </c>
      <c r="L5" s="75">
        <f>+L$1*'5ta'!$R89</f>
        <v>-5465.2760015773056</v>
      </c>
      <c r="M5" s="75">
        <f>+M$1*'5ta'!$R89</f>
        <v>-4822.2164668841269</v>
      </c>
      <c r="N5" s="75">
        <f>+N$1*'5ta'!$R89</f>
        <v>-4269.1435581847263</v>
      </c>
      <c r="P5" s="524"/>
      <c r="Q5" s="524"/>
      <c r="R5" s="524"/>
      <c r="S5" s="524"/>
      <c r="T5" s="524"/>
      <c r="U5" s="524"/>
    </row>
    <row r="6" spans="1:21" ht="15.75" x14ac:dyDescent="0.25">
      <c r="A6" s="502" t="s">
        <v>22</v>
      </c>
      <c r="B6" s="75">
        <f>+B$1*'5ta'!$R90</f>
        <v>-1787.919872883544</v>
      </c>
      <c r="C6" s="75">
        <f>+C$1*'5ta'!$R90</f>
        <v>-1863.3024735910533</v>
      </c>
      <c r="D6" s="75">
        <f>+D$1*'5ta'!$R90</f>
        <v>-1938.6850742985628</v>
      </c>
      <c r="E6" s="75">
        <f>+E$1*'5ta'!$R90</f>
        <v>-2107.0917828695642</v>
      </c>
      <c r="F6" s="75">
        <f>+F$1*'5ta'!$R90</f>
        <v>-2275.4984914405663</v>
      </c>
      <c r="G6" s="75">
        <f>+G$1*'5ta'!$R90</f>
        <v>-2120.6282179227442</v>
      </c>
      <c r="H6" s="75">
        <f>+H$1*'5ta'!$R90</f>
        <v>-1965.7579444049215</v>
      </c>
      <c r="I6" s="75">
        <f>+I$1*'5ta'!$R90</f>
        <v>-2083.6929176800377</v>
      </c>
      <c r="J6" s="75">
        <f>+J$1*'5ta'!$R90</f>
        <v>-2201.6278909551538</v>
      </c>
      <c r="K6" s="75">
        <f>+K$1*'5ta'!$R90</f>
        <v>-2265.3634581584124</v>
      </c>
      <c r="L6" s="75">
        <f>+L$1*'5ta'!$R90</f>
        <v>-2221.5994503417</v>
      </c>
      <c r="M6" s="75">
        <f>+M$1*'5ta'!$R90</f>
        <v>-1960.1998964309651</v>
      </c>
      <c r="N6" s="75">
        <f>+N$1*'5ta'!$R90</f>
        <v>-1735.3793256837851</v>
      </c>
      <c r="P6" s="524"/>
      <c r="Q6" s="524"/>
      <c r="R6" s="524"/>
      <c r="S6" s="524"/>
      <c r="T6" s="524"/>
      <c r="U6" s="524"/>
    </row>
    <row r="7" spans="1:21" ht="15.75" x14ac:dyDescent="0.25">
      <c r="A7" s="502" t="s">
        <v>23</v>
      </c>
      <c r="B7" s="75">
        <f>+B$1*'5ta'!$R91</f>
        <v>-1231.2941197356322</v>
      </c>
      <c r="C7" s="75">
        <f>+C$1*'5ta'!$R91</f>
        <v>-1283.2081648722515</v>
      </c>
      <c r="D7" s="75">
        <f>+D$1*'5ta'!$R91</f>
        <v>-1335.122210008871</v>
      </c>
      <c r="E7" s="75">
        <f>+E$1*'5ta'!$R91</f>
        <v>-1451.0995494480712</v>
      </c>
      <c r="F7" s="75">
        <f>+F$1*'5ta'!$R91</f>
        <v>-1567.0768888872719</v>
      </c>
      <c r="G7" s="75">
        <f>+G$1*'5ta'!$R91</f>
        <v>-1460.4217417543086</v>
      </c>
      <c r="H7" s="75">
        <f>+H$1*'5ta'!$R91</f>
        <v>-1353.7665946213449</v>
      </c>
      <c r="I7" s="75">
        <f>+I$1*'5ta'!$R91</f>
        <v>-1434.9853568864748</v>
      </c>
      <c r="J7" s="75">
        <f>+J$1*'5ta'!$R91</f>
        <v>-1516.2041191516043</v>
      </c>
      <c r="K7" s="75">
        <f>+K$1*'5ta'!$R91</f>
        <v>-1560.09715390423</v>
      </c>
      <c r="L7" s="75">
        <f>+L$1*'5ta'!$R91</f>
        <v>-1529.9580149539624</v>
      </c>
      <c r="M7" s="75">
        <f>+M$1*'5ta'!$R91</f>
        <v>-1349.9389109027766</v>
      </c>
      <c r="N7" s="75">
        <f>+N$1*'5ta'!$R91</f>
        <v>-1195.110805373552</v>
      </c>
      <c r="P7" s="524"/>
      <c r="Q7" s="524"/>
      <c r="R7" s="524"/>
      <c r="S7" s="524"/>
      <c r="T7" s="524"/>
      <c r="U7" s="524"/>
    </row>
    <row r="8" spans="1:21" ht="15.75" x14ac:dyDescent="0.25">
      <c r="A8" s="502" t="s">
        <v>24</v>
      </c>
      <c r="B8" s="75">
        <f>+B$1*'5ta'!$R92</f>
        <v>-9009.991216280212</v>
      </c>
      <c r="C8" s="75">
        <f>+C$1*'5ta'!$R92</f>
        <v>-9389.8720937938178</v>
      </c>
      <c r="D8" s="75">
        <f>+D$1*'5ta'!$R92</f>
        <v>-9769.7529713074255</v>
      </c>
      <c r="E8" s="75">
        <f>+E$1*'5ta'!$R92</f>
        <v>-10618.416822523657</v>
      </c>
      <c r="F8" s="75">
        <f>+F$1*'5ta'!$R92</f>
        <v>-11467.080673739894</v>
      </c>
      <c r="G8" s="75">
        <f>+G$1*'5ta'!$R92</f>
        <v>-10686.631938188881</v>
      </c>
      <c r="H8" s="75">
        <f>+H$1*'5ta'!$R92</f>
        <v>-9906.1832026378634</v>
      </c>
      <c r="I8" s="75">
        <f>+I$1*'5ta'!$R92</f>
        <v>-10500.501264323311</v>
      </c>
      <c r="J8" s="75">
        <f>+J$1*'5ta'!$R92</f>
        <v>-11094.819326008756</v>
      </c>
      <c r="K8" s="75">
        <f>+K$1*'5ta'!$R92</f>
        <v>-11416.006482869338</v>
      </c>
      <c r="L8" s="75">
        <f>+L$1*'5ta'!$R92</f>
        <v>-11195.463419391974</v>
      </c>
      <c r="M8" s="75">
        <f>+M$1*'5ta'!$R92</f>
        <v>-9878.1741379227606</v>
      </c>
      <c r="N8" s="75">
        <f>+N$1*'5ta'!$R92</f>
        <v>-8745.219916431688</v>
      </c>
      <c r="P8" s="524"/>
      <c r="Q8" s="524"/>
      <c r="R8" s="524"/>
      <c r="S8" s="524"/>
      <c r="T8" s="524"/>
      <c r="U8" s="524"/>
    </row>
    <row r="9" spans="1:21" ht="15.75" x14ac:dyDescent="0.25">
      <c r="A9" s="502" t="s">
        <v>25</v>
      </c>
      <c r="B9" s="75">
        <f>+B$1*'5ta'!$R93</f>
        <v>-998.23656747689392</v>
      </c>
      <c r="C9" s="75">
        <f>+C$1*'5ta'!$R93</f>
        <v>-1040.324397988215</v>
      </c>
      <c r="D9" s="75">
        <f>+D$1*'5ta'!$R93</f>
        <v>-1082.412228499536</v>
      </c>
      <c r="E9" s="75">
        <f>+E$1*'5ta'!$R93</f>
        <v>-1176.4375465541266</v>
      </c>
      <c r="F9" s="75">
        <f>+F$1*'5ta'!$R93</f>
        <v>-1270.4628646087174</v>
      </c>
      <c r="G9" s="75">
        <f>+G$1*'5ta'!$R93</f>
        <v>-1183.9952479188792</v>
      </c>
      <c r="H9" s="75">
        <f>+H$1*'5ta'!$R93</f>
        <v>-1097.5276312290407</v>
      </c>
      <c r="I9" s="75">
        <f>+I$1*'5ta'!$R93</f>
        <v>-1163.3734248203173</v>
      </c>
      <c r="J9" s="75">
        <f>+J$1*'5ta'!$R93</f>
        <v>-1229.2192184115936</v>
      </c>
      <c r="K9" s="75">
        <f>+K$1*'5ta'!$R93</f>
        <v>-1264.8042436669832</v>
      </c>
      <c r="L9" s="75">
        <f>+L$1*'5ta'!$R93</f>
        <v>-1240.3697969087352</v>
      </c>
      <c r="M9" s="75">
        <f>+M$1*'5ta'!$R93</f>
        <v>-1094.4244458930859</v>
      </c>
      <c r="N9" s="75">
        <f>+N$1*'5ta'!$R93</f>
        <v>-968.90197799920247</v>
      </c>
      <c r="P9" s="524"/>
      <c r="Q9" s="524"/>
      <c r="R9" s="524"/>
      <c r="S9" s="524"/>
      <c r="T9" s="524"/>
      <c r="U9" s="524"/>
    </row>
    <row r="10" spans="1:21" ht="15.75" x14ac:dyDescent="0.25">
      <c r="A10" s="502" t="s">
        <v>26</v>
      </c>
      <c r="B10" s="75">
        <f>+B$1*'5ta'!$R94</f>
        <v>-247.91417653170564</v>
      </c>
      <c r="C10" s="75">
        <f>+C$1*'5ta'!$R94</f>
        <v>-258.36677883377638</v>
      </c>
      <c r="D10" s="75">
        <f>+D$1*'5ta'!$R94</f>
        <v>-268.8193811358471</v>
      </c>
      <c r="E10" s="75">
        <f>+E$1*'5ta'!$R94</f>
        <v>-292.17076903135722</v>
      </c>
      <c r="F10" s="75">
        <f>+F$1*'5ta'!$R94</f>
        <v>-315.52215692686741</v>
      </c>
      <c r="G10" s="75">
        <f>+G$1*'5ta'!$R94</f>
        <v>-294.047740253771</v>
      </c>
      <c r="H10" s="75">
        <f>+H$1*'5ta'!$R94</f>
        <v>-272.57332358067441</v>
      </c>
      <c r="I10" s="75">
        <f>+I$1*'5ta'!$R94</f>
        <v>-288.92626658848087</v>
      </c>
      <c r="J10" s="75">
        <f>+J$1*'5ta'!$R94</f>
        <v>-305.27920959628727</v>
      </c>
      <c r="K10" s="75">
        <f>+K$1*'5ta'!$R94</f>
        <v>-314.11682637018299</v>
      </c>
      <c r="L10" s="75">
        <f>+L$1*'5ta'!$R94</f>
        <v>-308.04847950287677</v>
      </c>
      <c r="M10" s="75">
        <f>+M$1*'5ta'!$R94</f>
        <v>-271.80264089657578</v>
      </c>
      <c r="N10" s="75">
        <f>+N$1*'5ta'!$R94</f>
        <v>-240.6288687888335</v>
      </c>
      <c r="P10" s="524"/>
      <c r="Q10" s="524"/>
      <c r="R10" s="524"/>
      <c r="S10" s="524"/>
      <c r="T10" s="524"/>
      <c r="U10" s="524"/>
    </row>
    <row r="11" spans="1:21" ht="15.75" x14ac:dyDescent="0.25">
      <c r="A11" s="502" t="s">
        <v>27</v>
      </c>
      <c r="B11" s="75">
        <f>+B$1*'5ta'!$R95</f>
        <v>-1036.7346499835919</v>
      </c>
      <c r="C11" s="75">
        <f>+C$1*'5ta'!$R95</f>
        <v>-1080.4456436050843</v>
      </c>
      <c r="D11" s="75">
        <f>+D$1*'5ta'!$R95</f>
        <v>-1124.156637226577</v>
      </c>
      <c r="E11" s="75">
        <f>+E$1*'5ta'!$R95</f>
        <v>-1221.8081442729547</v>
      </c>
      <c r="F11" s="75">
        <f>+F$1*'5ta'!$R95</f>
        <v>-1319.4596513193328</v>
      </c>
      <c r="G11" s="75">
        <f>+G$1*'5ta'!$R95</f>
        <v>-1229.6573166378498</v>
      </c>
      <c r="H11" s="75">
        <f>+H$1*'5ta'!$R95</f>
        <v>-1139.8549819563666</v>
      </c>
      <c r="I11" s="75">
        <f>+I$1*'5ta'!$R95</f>
        <v>-1208.2401904288301</v>
      </c>
      <c r="J11" s="75">
        <f>+J$1*'5ta'!$R95</f>
        <v>-1276.6253989012937</v>
      </c>
      <c r="K11" s="75">
        <f>+K$1*'5ta'!$R95</f>
        <v>-1313.5827994862582</v>
      </c>
      <c r="L11" s="75">
        <f>+L$1*'5ta'!$R95</f>
        <v>-1288.206011625758</v>
      </c>
      <c r="M11" s="75">
        <f>+M$1*'5ta'!$R95</f>
        <v>-1136.6321188917157</v>
      </c>
      <c r="N11" s="75">
        <f>+N$1*'5ta'!$R95</f>
        <v>-1006.2687400526066</v>
      </c>
      <c r="P11" s="524"/>
      <c r="Q11" s="524"/>
      <c r="R11" s="524"/>
      <c r="S11" s="524"/>
      <c r="T11" s="524"/>
      <c r="U11" s="524"/>
    </row>
    <row r="12" spans="1:21" ht="15.75" x14ac:dyDescent="0.25">
      <c r="A12" s="503" t="s">
        <v>14</v>
      </c>
      <c r="B12" s="122">
        <f>+SUM(B3:B11)</f>
        <v>-19217.573960020109</v>
      </c>
      <c r="C12" s="122">
        <f t="shared" ref="C12:N12" si="0">+SUM(C3:C11)</f>
        <v>-20027.828785399288</v>
      </c>
      <c r="D12" s="122">
        <f t="shared" si="0"/>
        <v>-20838.083610778467</v>
      </c>
      <c r="E12" s="122">
        <f t="shared" si="0"/>
        <v>-22648.214157684455</v>
      </c>
      <c r="F12" s="122">
        <f t="shared" si="0"/>
        <v>-24458.344704590454</v>
      </c>
      <c r="G12" s="122">
        <f t="shared" si="0"/>
        <v>-22793.711417228842</v>
      </c>
      <c r="H12" s="122">
        <f t="shared" si="0"/>
        <v>-21129.078129867219</v>
      </c>
      <c r="I12" s="122">
        <f t="shared" si="0"/>
        <v>-22396.70992129212</v>
      </c>
      <c r="J12" s="122">
        <f t="shared" si="0"/>
        <v>-23664.341712717007</v>
      </c>
      <c r="K12" s="122">
        <f t="shared" si="0"/>
        <v>-24349.407634959396</v>
      </c>
      <c r="L12" s="122">
        <f t="shared" si="0"/>
        <v>-23879.007328010433</v>
      </c>
      <c r="M12" s="122">
        <f>+SUM(M3:M11)</f>
        <v>-21069.337086863659</v>
      </c>
      <c r="N12" s="122">
        <f t="shared" si="0"/>
        <v>-18652.838444170142</v>
      </c>
    </row>
    <row r="14" spans="1:21" ht="16.5" thickBot="1" x14ac:dyDescent="0.3">
      <c r="A14" s="119" t="s">
        <v>118</v>
      </c>
    </row>
    <row r="15" spans="1:21" ht="15.75" x14ac:dyDescent="0.25">
      <c r="A15" s="502" t="s">
        <v>18</v>
      </c>
      <c r="B15" s="603">
        <v>12.348319999999999</v>
      </c>
      <c r="C15" s="603">
        <v>13.402625</v>
      </c>
      <c r="D15" s="603">
        <v>14.45693</v>
      </c>
      <c r="E15" s="603">
        <v>14.584459999999998</v>
      </c>
      <c r="F15" s="603">
        <v>14.71199</v>
      </c>
      <c r="G15" s="603">
        <v>14.755529999999998</v>
      </c>
      <c r="H15" s="603">
        <v>14.799069999999999</v>
      </c>
      <c r="I15" s="603">
        <v>14.779864999999999</v>
      </c>
      <c r="J15" s="603">
        <v>14.76066</v>
      </c>
      <c r="K15" s="603">
        <v>14.76066</v>
      </c>
      <c r="L15" s="603">
        <v>14.76066</v>
      </c>
      <c r="M15" s="603">
        <v>13.635</v>
      </c>
      <c r="N15" s="603">
        <v>13.635</v>
      </c>
    </row>
    <row r="16" spans="1:21" ht="15.75" x14ac:dyDescent="0.25">
      <c r="A16" s="502" t="s">
        <v>20</v>
      </c>
      <c r="B16" s="604">
        <v>120.58364</v>
      </c>
      <c r="C16" s="604">
        <v>126.21503000000001</v>
      </c>
      <c r="D16" s="604">
        <v>131.84642000000002</v>
      </c>
      <c r="E16" s="604">
        <v>136.01050000000001</v>
      </c>
      <c r="F16" s="604">
        <v>140.17457999999999</v>
      </c>
      <c r="G16" s="604">
        <v>140.004625</v>
      </c>
      <c r="H16" s="604">
        <v>139.83467000000002</v>
      </c>
      <c r="I16" s="604">
        <v>139.85384000000005</v>
      </c>
      <c r="J16" s="604">
        <v>139.87301000000002</v>
      </c>
      <c r="K16" s="604">
        <v>139.87301000000002</v>
      </c>
      <c r="L16" s="604">
        <v>139.87301000000002</v>
      </c>
      <c r="M16" s="604">
        <v>139.38600000000002</v>
      </c>
      <c r="N16" s="604">
        <v>139.38600000000002</v>
      </c>
    </row>
    <row r="17" spans="1:14" ht="15.75" x14ac:dyDescent="0.25">
      <c r="A17" s="502" t="s">
        <v>21</v>
      </c>
      <c r="B17" s="604">
        <v>1153.0325599999999</v>
      </c>
      <c r="C17" s="604">
        <v>1158.7425649999998</v>
      </c>
      <c r="D17" s="604">
        <v>1164.4525700000002</v>
      </c>
      <c r="E17" s="604">
        <v>1198.650245</v>
      </c>
      <c r="F17" s="604">
        <v>1232.8479199999999</v>
      </c>
      <c r="G17" s="604">
        <v>1233.796515</v>
      </c>
      <c r="H17" s="604">
        <v>1234.7451100000003</v>
      </c>
      <c r="I17" s="604">
        <v>1245.5305000000001</v>
      </c>
      <c r="J17" s="604">
        <v>1256.3158900000001</v>
      </c>
      <c r="K17" s="604">
        <v>1256.3158900000001</v>
      </c>
      <c r="L17" s="604">
        <v>1256.3158900000001</v>
      </c>
      <c r="M17" s="604">
        <v>1257.5179999999998</v>
      </c>
      <c r="N17" s="604">
        <v>1257.5179999999998</v>
      </c>
    </row>
    <row r="18" spans="1:14" ht="15.75" x14ac:dyDescent="0.25">
      <c r="A18" s="502" t="s">
        <v>22</v>
      </c>
      <c r="B18" s="604">
        <v>468.70030000000003</v>
      </c>
      <c r="C18" s="604">
        <v>469.70792499999999</v>
      </c>
      <c r="D18" s="604">
        <v>470.71555000000001</v>
      </c>
      <c r="E18" s="604">
        <v>488.97562999999997</v>
      </c>
      <c r="F18" s="604">
        <v>507.23570999999998</v>
      </c>
      <c r="G18" s="604">
        <v>506.69036499999999</v>
      </c>
      <c r="H18" s="604">
        <v>506.14502000000005</v>
      </c>
      <c r="I18" s="604">
        <v>514.642335</v>
      </c>
      <c r="J18" s="604">
        <v>523.13965000000007</v>
      </c>
      <c r="K18" s="604">
        <v>523.13965000000007</v>
      </c>
      <c r="L18" s="604">
        <v>523.13965000000007</v>
      </c>
      <c r="M18" s="604">
        <v>515.14400000000001</v>
      </c>
      <c r="N18" s="604">
        <v>515.14400000000001</v>
      </c>
    </row>
    <row r="19" spans="1:14" ht="15.75" x14ac:dyDescent="0.25">
      <c r="A19" s="502" t="s">
        <v>23</v>
      </c>
      <c r="B19" s="604">
        <v>322.78176000000002</v>
      </c>
      <c r="C19" s="604">
        <v>325.37089000000003</v>
      </c>
      <c r="D19" s="604">
        <v>327.96002000000004</v>
      </c>
      <c r="E19" s="604">
        <v>333.55776000000003</v>
      </c>
      <c r="F19" s="604">
        <v>339.15550000000002</v>
      </c>
      <c r="G19" s="604">
        <v>340.20731000000001</v>
      </c>
      <c r="H19" s="604">
        <v>341.25912</v>
      </c>
      <c r="I19" s="604">
        <v>357.94489000000004</v>
      </c>
      <c r="J19" s="604">
        <v>374.63065999999992</v>
      </c>
      <c r="K19" s="604">
        <v>374.63065999999992</v>
      </c>
      <c r="L19" s="604">
        <v>374.63065999999992</v>
      </c>
      <c r="M19" s="604">
        <v>375.10900000000004</v>
      </c>
      <c r="N19" s="604">
        <v>375.10900000000004</v>
      </c>
    </row>
    <row r="20" spans="1:14" ht="15.75" x14ac:dyDescent="0.25">
      <c r="A20" s="502" t="s">
        <v>24</v>
      </c>
      <c r="B20" s="604">
        <v>2361.9546099999998</v>
      </c>
      <c r="C20" s="604">
        <v>2536.3037899999999</v>
      </c>
      <c r="D20" s="604">
        <v>2710.6529700000006</v>
      </c>
      <c r="E20" s="604">
        <v>2768.5833699999998</v>
      </c>
      <c r="F20" s="604">
        <v>2826.51377</v>
      </c>
      <c r="G20" s="604">
        <v>2858.75821</v>
      </c>
      <c r="H20" s="604">
        <v>2891.0026499999999</v>
      </c>
      <c r="I20" s="604">
        <v>2955.7263049999997</v>
      </c>
      <c r="J20" s="604">
        <v>3020.4499599999999</v>
      </c>
      <c r="K20" s="604">
        <v>3020.4499599999999</v>
      </c>
      <c r="L20" s="604">
        <v>3020.4499599999999</v>
      </c>
      <c r="M20" s="604">
        <v>2928.8820000000001</v>
      </c>
      <c r="N20" s="604">
        <v>2928.8820000000001</v>
      </c>
    </row>
    <row r="21" spans="1:14" ht="15.75" x14ac:dyDescent="0.25">
      <c r="A21" s="502" t="s">
        <v>25</v>
      </c>
      <c r="B21" s="604">
        <v>261.68610000000001</v>
      </c>
      <c r="C21" s="604">
        <v>263.62240000000003</v>
      </c>
      <c r="D21" s="604">
        <v>265.55870000000004</v>
      </c>
      <c r="E21" s="604">
        <v>269.70002000000005</v>
      </c>
      <c r="F21" s="604">
        <v>273.84134000000006</v>
      </c>
      <c r="G21" s="604">
        <v>268.73807500000004</v>
      </c>
      <c r="H21" s="604">
        <v>263.63481000000002</v>
      </c>
      <c r="I21" s="604">
        <v>262.90870499999994</v>
      </c>
      <c r="J21" s="604">
        <v>262.18259999999998</v>
      </c>
      <c r="K21" s="604">
        <v>262.18259999999998</v>
      </c>
      <c r="L21" s="604">
        <v>262.18259999999998</v>
      </c>
      <c r="M21" s="604">
        <v>240.48699999999999</v>
      </c>
      <c r="N21" s="604">
        <v>240.48699999999999</v>
      </c>
    </row>
    <row r="22" spans="1:14" ht="15.75" x14ac:dyDescent="0.25">
      <c r="A22" s="502" t="s">
        <v>26</v>
      </c>
      <c r="B22" s="604">
        <v>64.990300000000005</v>
      </c>
      <c r="C22" s="604">
        <v>65.33518500000001</v>
      </c>
      <c r="D22" s="604">
        <v>65.680070000000001</v>
      </c>
      <c r="E22" s="604">
        <v>64.106674999999996</v>
      </c>
      <c r="F22" s="604">
        <v>62.533279999999998</v>
      </c>
      <c r="G22" s="604">
        <v>65.738849999999999</v>
      </c>
      <c r="H22" s="604">
        <v>68.944419999999994</v>
      </c>
      <c r="I22" s="604">
        <v>68.62894</v>
      </c>
      <c r="J22" s="604">
        <v>68.313460000000006</v>
      </c>
      <c r="K22" s="604">
        <v>68.313460000000006</v>
      </c>
      <c r="L22" s="604">
        <v>68.313460000000006</v>
      </c>
      <c r="M22" s="604">
        <v>98.086999999999989</v>
      </c>
      <c r="N22" s="604">
        <v>98.086999999999989</v>
      </c>
    </row>
    <row r="23" spans="1:14" ht="16.5" thickBot="1" x14ac:dyDescent="0.3">
      <c r="A23" s="502" t="s">
        <v>27</v>
      </c>
      <c r="B23" s="605">
        <v>271.77831000000003</v>
      </c>
      <c r="C23" s="605">
        <v>272.68513999999999</v>
      </c>
      <c r="D23" s="605">
        <v>273.59196999999995</v>
      </c>
      <c r="E23" s="605">
        <v>278.16317499999997</v>
      </c>
      <c r="F23" s="605">
        <v>282.73437999999999</v>
      </c>
      <c r="G23" s="605">
        <v>289.39154000000008</v>
      </c>
      <c r="H23" s="605">
        <v>296.0487</v>
      </c>
      <c r="I23" s="605">
        <v>298.13771499999996</v>
      </c>
      <c r="J23" s="605">
        <v>300.22672999999998</v>
      </c>
      <c r="K23" s="605">
        <v>300.22672999999998</v>
      </c>
      <c r="L23" s="605">
        <v>300.22672999999998</v>
      </c>
      <c r="M23" s="605">
        <v>272.84699999999998</v>
      </c>
      <c r="N23" s="605">
        <v>272.84699999999998</v>
      </c>
    </row>
    <row r="25" spans="1:14" ht="15.75" x14ac:dyDescent="0.25">
      <c r="A25" s="119" t="s">
        <v>119</v>
      </c>
    </row>
    <row r="26" spans="1:14" ht="15.75" x14ac:dyDescent="0.25">
      <c r="A26" s="502" t="s">
        <v>18</v>
      </c>
      <c r="B26">
        <f>+B3/B15</f>
        <v>-3.8146335150277135</v>
      </c>
      <c r="C26">
        <f t="shared" ref="B26:H34" si="1">+C3/C15</f>
        <v>-3.6627403944751902</v>
      </c>
      <c r="D26">
        <f t="shared" si="1"/>
        <v>-3.5330015869703377</v>
      </c>
      <c r="E26">
        <f t="shared" si="1"/>
        <v>-3.8063239159832989</v>
      </c>
      <c r="F26">
        <f t="shared" si="1"/>
        <v>-4.0749076886732851</v>
      </c>
      <c r="G26">
        <f t="shared" si="1"/>
        <v>-3.7863640370443625</v>
      </c>
      <c r="H26">
        <f t="shared" si="1"/>
        <v>-3.4995182205620963</v>
      </c>
      <c r="I26">
        <f t="shared" ref="I26:N26" si="2">+I3/I15</f>
        <v>-3.714290712271533</v>
      </c>
      <c r="J26">
        <f t="shared" si="2"/>
        <v>-3.9296220822023065</v>
      </c>
      <c r="K26">
        <f t="shared" si="2"/>
        <v>-4.0433818566549071</v>
      </c>
      <c r="L26">
        <f t="shared" si="2"/>
        <v>-3.9652687421596071</v>
      </c>
      <c r="M26">
        <f t="shared" si="2"/>
        <v>-3.7875455423154869</v>
      </c>
      <c r="N26">
        <f t="shared" si="2"/>
        <v>-3.3531418102753481</v>
      </c>
    </row>
    <row r="27" spans="1:14" ht="15.75" x14ac:dyDescent="0.25">
      <c r="A27" s="502" t="s">
        <v>20</v>
      </c>
      <c r="B27">
        <f t="shared" si="1"/>
        <v>-3.814633515027714</v>
      </c>
      <c r="C27">
        <f t="shared" si="1"/>
        <v>-3.7980916799782594</v>
      </c>
      <c r="D27">
        <f t="shared" si="1"/>
        <v>-3.782962906041563</v>
      </c>
      <c r="E27">
        <f t="shared" si="1"/>
        <v>-3.9856960328062843</v>
      </c>
      <c r="F27">
        <f t="shared" si="1"/>
        <v>-4.1763842230568615</v>
      </c>
      <c r="G27">
        <f t="shared" si="1"/>
        <v>-3.8968645577537435</v>
      </c>
      <c r="H27">
        <f t="shared" si="1"/>
        <v>-3.616665436279753</v>
      </c>
      <c r="I27">
        <f t="shared" ref="I27:N27" si="3">+I4/I16</f>
        <v>-3.833120553698389</v>
      </c>
      <c r="J27">
        <f t="shared" si="3"/>
        <v>-4.0495163395190161</v>
      </c>
      <c r="K27">
        <f t="shared" si="3"/>
        <v>-4.166746967754805</v>
      </c>
      <c r="L27">
        <f t="shared" si="3"/>
        <v>-4.0862505925659312</v>
      </c>
      <c r="M27">
        <f t="shared" si="3"/>
        <v>-3.6180483375101149</v>
      </c>
      <c r="N27">
        <f t="shared" si="3"/>
        <v>-3.2030846933884471</v>
      </c>
    </row>
    <row r="28" spans="1:14" ht="15.75" x14ac:dyDescent="0.25">
      <c r="A28" s="502" t="s">
        <v>21</v>
      </c>
      <c r="B28">
        <f t="shared" si="1"/>
        <v>-3.8146335150277149</v>
      </c>
      <c r="C28">
        <f t="shared" si="1"/>
        <v>-3.9558766371928167</v>
      </c>
      <c r="D28">
        <f t="shared" si="1"/>
        <v>-4.0957345609315396</v>
      </c>
      <c r="E28">
        <f t="shared" si="1"/>
        <v>-4.3245140735903522</v>
      </c>
      <c r="F28">
        <f t="shared" si="1"/>
        <v>-4.5406014653579465</v>
      </c>
      <c r="G28">
        <f t="shared" si="1"/>
        <v>-4.2283150275625259</v>
      </c>
      <c r="H28">
        <f t="shared" si="1"/>
        <v>-3.9165084189254644</v>
      </c>
      <c r="I28">
        <f t="shared" ref="I28:N28" si="4">+I5/I17</f>
        <v>-4.1155292115679973</v>
      </c>
      <c r="J28">
        <f t="shared" si="4"/>
        <v>-4.3111328431543878</v>
      </c>
      <c r="K28">
        <f t="shared" si="4"/>
        <v>-4.4359370837691978</v>
      </c>
      <c r="L28">
        <f t="shared" si="4"/>
        <v>-4.3502402899459511</v>
      </c>
      <c r="M28">
        <f t="shared" si="4"/>
        <v>-3.8347096955145989</v>
      </c>
      <c r="N28">
        <f t="shared" si="4"/>
        <v>-3.3948965805536995</v>
      </c>
    </row>
    <row r="29" spans="1:14" ht="15.75" x14ac:dyDescent="0.25">
      <c r="A29" s="502" t="s">
        <v>22</v>
      </c>
      <c r="B29">
        <f t="shared" si="1"/>
        <v>-3.8146335150277135</v>
      </c>
      <c r="C29">
        <f t="shared" si="1"/>
        <v>-3.9669385471642902</v>
      </c>
      <c r="D29">
        <f t="shared" si="1"/>
        <v>-4.1185915236889086</v>
      </c>
      <c r="E29">
        <f t="shared" si="1"/>
        <v>-4.3091959058768721</v>
      </c>
      <c r="F29">
        <f t="shared" si="1"/>
        <v>-4.4860770773425367</v>
      </c>
      <c r="G29">
        <f t="shared" si="1"/>
        <v>-4.1852546730837172</v>
      </c>
      <c r="H29">
        <f t="shared" si="1"/>
        <v>-3.8837840277573439</v>
      </c>
      <c r="I29">
        <f t="shared" ref="I29:N29" si="5">+I6/I18</f>
        <v>-4.0488175495318268</v>
      </c>
      <c r="J29">
        <f t="shared" si="5"/>
        <v>-4.2084898190285394</v>
      </c>
      <c r="K29">
        <f t="shared" si="5"/>
        <v>-4.3303226168355087</v>
      </c>
      <c r="L29">
        <f t="shared" si="5"/>
        <v>-4.2466661633116507</v>
      </c>
      <c r="M29">
        <f t="shared" si="5"/>
        <v>-3.8051494270164556</v>
      </c>
      <c r="N29">
        <f t="shared" si="5"/>
        <v>-3.3687266583397748</v>
      </c>
    </row>
    <row r="30" spans="1:14" ht="15.75" x14ac:dyDescent="0.25">
      <c r="A30" s="502" t="s">
        <v>23</v>
      </c>
      <c r="B30">
        <f t="shared" si="1"/>
        <v>-3.8146335150277144</v>
      </c>
      <c r="C30">
        <f t="shared" si="1"/>
        <v>-3.943832113783293</v>
      </c>
      <c r="D30">
        <f t="shared" si="1"/>
        <v>-4.0709907567662391</v>
      </c>
      <c r="E30">
        <f t="shared" si="1"/>
        <v>-4.3503696314787312</v>
      </c>
      <c r="F30">
        <f t="shared" si="1"/>
        <v>-4.6205262450034628</v>
      </c>
      <c r="G30">
        <f t="shared" si="1"/>
        <v>-4.2927406285135632</v>
      </c>
      <c r="H30">
        <f t="shared" si="1"/>
        <v>-3.9669755774478492</v>
      </c>
      <c r="I30">
        <f t="shared" ref="I30:N30" si="6">+I7/I19</f>
        <v>-4.0089561185982419</v>
      </c>
      <c r="J30">
        <f t="shared" si="6"/>
        <v>-4.0471970958052514</v>
      </c>
      <c r="K30">
        <f t="shared" si="6"/>
        <v>-4.1643605835791186</v>
      </c>
      <c r="L30">
        <f t="shared" si="6"/>
        <v>-4.0839103103679841</v>
      </c>
      <c r="M30">
        <f t="shared" si="6"/>
        <v>-3.5987910471430342</v>
      </c>
      <c r="N30">
        <f t="shared" si="6"/>
        <v>-3.1860360731775348</v>
      </c>
    </row>
    <row r="31" spans="1:14" ht="15.75" x14ac:dyDescent="0.25">
      <c r="A31" s="502" t="s">
        <v>24</v>
      </c>
      <c r="B31">
        <f t="shared" si="1"/>
        <v>-3.814633515027714</v>
      </c>
      <c r="C31">
        <f t="shared" si="1"/>
        <v>-3.7021874630380212</v>
      </c>
      <c r="D31">
        <f t="shared" si="1"/>
        <v>-3.6042064695974059</v>
      </c>
      <c r="E31">
        <f t="shared" si="1"/>
        <v>-3.8353249310038504</v>
      </c>
      <c r="F31">
        <f t="shared" si="1"/>
        <v>-4.056969683094767</v>
      </c>
      <c r="G31">
        <f t="shared" si="1"/>
        <v>-3.7382076947979734</v>
      </c>
      <c r="H31">
        <f t="shared" si="1"/>
        <v>-3.4265562512154264</v>
      </c>
      <c r="I31">
        <f t="shared" ref="I31:N31" si="7">+I8/I20</f>
        <v>-3.5525959377768954</v>
      </c>
      <c r="J31">
        <f t="shared" si="7"/>
        <v>-3.6732339462457957</v>
      </c>
      <c r="K31">
        <f t="shared" si="7"/>
        <v>-3.7795714658584636</v>
      </c>
      <c r="L31">
        <f t="shared" si="7"/>
        <v>-3.7065548403894013</v>
      </c>
      <c r="M31">
        <f t="shared" si="7"/>
        <v>-3.3726774031602367</v>
      </c>
      <c r="N31">
        <f t="shared" si="7"/>
        <v>-2.9858560080029473</v>
      </c>
    </row>
    <row r="32" spans="1:14" ht="15.75" x14ac:dyDescent="0.25">
      <c r="A32" s="502" t="s">
        <v>25</v>
      </c>
      <c r="B32">
        <f t="shared" si="1"/>
        <v>-3.814633515027714</v>
      </c>
      <c r="C32">
        <f t="shared" si="1"/>
        <v>-3.946267077411536</v>
      </c>
      <c r="D32">
        <f t="shared" si="1"/>
        <v>-4.0759810486326975</v>
      </c>
      <c r="E32">
        <f t="shared" si="1"/>
        <v>-4.3620224668656915</v>
      </c>
      <c r="F32">
        <f t="shared" si="1"/>
        <v>-4.6394122399807021</v>
      </c>
      <c r="G32">
        <f t="shared" si="1"/>
        <v>-4.4057592059438511</v>
      </c>
      <c r="H32">
        <f t="shared" si="1"/>
        <v>-4.16306037593837</v>
      </c>
      <c r="I32">
        <f t="shared" ref="I32:N32" si="8">+I9/I21</f>
        <v>-4.4250091484050236</v>
      </c>
      <c r="J32">
        <f t="shared" si="8"/>
        <v>-4.6884088357182883</v>
      </c>
      <c r="K32">
        <f t="shared" si="8"/>
        <v>-4.8241349489515448</v>
      </c>
      <c r="L32">
        <f t="shared" si="8"/>
        <v>-4.7309386546198535</v>
      </c>
      <c r="M32">
        <f t="shared" si="8"/>
        <v>-4.5508673894767115</v>
      </c>
      <c r="N32">
        <f t="shared" si="8"/>
        <v>-4.0289162324749466</v>
      </c>
    </row>
    <row r="33" spans="1:14" ht="15.75" x14ac:dyDescent="0.25">
      <c r="A33" s="502" t="s">
        <v>26</v>
      </c>
      <c r="B33">
        <f t="shared" si="1"/>
        <v>-3.8146335150277135</v>
      </c>
      <c r="C33">
        <f t="shared" si="1"/>
        <v>-3.9544814763098373</v>
      </c>
      <c r="D33">
        <f t="shared" si="1"/>
        <v>-4.092860758763611</v>
      </c>
      <c r="E33">
        <f t="shared" si="1"/>
        <v>-4.5575717198147814</v>
      </c>
      <c r="F33">
        <f t="shared" si="1"/>
        <v>-5.04566779364312</v>
      </c>
      <c r="G33">
        <f t="shared" si="1"/>
        <v>-4.4729675108976048</v>
      </c>
      <c r="H33">
        <f t="shared" si="1"/>
        <v>-3.9535226140226349</v>
      </c>
      <c r="I33">
        <f t="shared" ref="I33:N33" si="9">+I10/I22</f>
        <v>-4.2099771115287643</v>
      </c>
      <c r="J33">
        <f t="shared" si="9"/>
        <v>-4.4688002861557186</v>
      </c>
      <c r="K33">
        <f t="shared" si="9"/>
        <v>-4.5981688875103526</v>
      </c>
      <c r="L33">
        <f t="shared" si="9"/>
        <v>-4.5093379767746615</v>
      </c>
      <c r="M33">
        <f t="shared" si="9"/>
        <v>-2.7710363340358644</v>
      </c>
      <c r="N33">
        <f t="shared" si="9"/>
        <v>-2.4532187628211028</v>
      </c>
    </row>
    <row r="34" spans="1:14" ht="15.75" x14ac:dyDescent="0.25">
      <c r="A34" s="502" t="s">
        <v>27</v>
      </c>
      <c r="B34">
        <f t="shared" si="1"/>
        <v>-3.8146335150277144</v>
      </c>
      <c r="C34">
        <f t="shared" si="1"/>
        <v>-3.9622461407507736</v>
      </c>
      <c r="D34">
        <f t="shared" si="1"/>
        <v>-4.1088802322179898</v>
      </c>
      <c r="E34">
        <f t="shared" si="1"/>
        <v>-4.3924151508299216</v>
      </c>
      <c r="F34">
        <f t="shared" si="1"/>
        <v>-4.6667817734770454</v>
      </c>
      <c r="G34">
        <f t="shared" si="1"/>
        <v>-4.2491128684613573</v>
      </c>
      <c r="H34">
        <f t="shared" si="1"/>
        <v>-3.8502279589688002</v>
      </c>
      <c r="I34">
        <f t="shared" ref="I34:N34" si="10">+I11/I23</f>
        <v>-4.0526244404497103</v>
      </c>
      <c r="J34">
        <f t="shared" si="10"/>
        <v>-4.2522043220511838</v>
      </c>
      <c r="K34">
        <f t="shared" si="10"/>
        <v>-4.3753026237412582</v>
      </c>
      <c r="L34">
        <f t="shared" si="10"/>
        <v>-4.2907772123613315</v>
      </c>
      <c r="M34">
        <f t="shared" si="10"/>
        <v>-4.1658223066103561</v>
      </c>
      <c r="N34">
        <f t="shared" si="10"/>
        <v>-3.6880330003723945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D4B9-A8C6-4BCB-A129-8FBD361F8B4B}">
  <dimension ref="A1:AF70"/>
  <sheetViews>
    <sheetView workbookViewId="0">
      <selection activeCell="A2" sqref="A2:XFD12"/>
    </sheetView>
  </sheetViews>
  <sheetFormatPr defaultColWidth="10.85546875" defaultRowHeight="15" x14ac:dyDescent="0.25"/>
  <cols>
    <col min="1" max="1" width="38.85546875" customWidth="1"/>
    <col min="2" max="2" width="14.7109375" bestFit="1" customWidth="1"/>
    <col min="3" max="10" width="13.5703125" bestFit="1" customWidth="1"/>
    <col min="11" max="14" width="14.5703125" bestFit="1" customWidth="1"/>
    <col min="16" max="16" width="18.7109375" bestFit="1" customWidth="1"/>
  </cols>
  <sheetData>
    <row r="1" spans="1:32" x14ac:dyDescent="0.25">
      <c r="A1" s="73" t="s">
        <v>196</v>
      </c>
      <c r="B1">
        <f>+INGEI_diffs!C32/1000</f>
        <v>163.50727277999999</v>
      </c>
      <c r="C1">
        <f>+INGEI_diffs!D32/1000</f>
        <v>163.50727277999999</v>
      </c>
      <c r="D1">
        <f>+INGEI_diffs!E32/1000</f>
        <v>163.50727277999999</v>
      </c>
      <c r="E1">
        <f>+INGEI_diffs!F32/1000</f>
        <v>163.50727277999999</v>
      </c>
      <c r="F1">
        <f>+INGEI_diffs!G32/1000</f>
        <v>163.50727277999999</v>
      </c>
      <c r="G1">
        <f>+INGEI_diffs!H32/1000</f>
        <v>153.95631157833333</v>
      </c>
      <c r="H1">
        <f>+INGEI_diffs!I32/1000</f>
        <v>144.40535037666666</v>
      </c>
      <c r="I1">
        <f>+INGEI_diffs!J32/1000</f>
        <v>202.5381865458333</v>
      </c>
      <c r="J1">
        <f>+INGEI_diffs!K32/1000</f>
        <v>260.67102271499999</v>
      </c>
      <c r="K1">
        <f>+INGEI_diffs!L32/1000</f>
        <v>973.09972290999985</v>
      </c>
      <c r="L1">
        <f>+INGEI_diffs!M32/1000</f>
        <v>973.09972290999985</v>
      </c>
      <c r="M1">
        <f>+INGEI_diffs!N32/1000</f>
        <v>710.13593529666684</v>
      </c>
      <c r="N1">
        <f>+INGEI_diffs!O32/1000</f>
        <v>710.13593529666684</v>
      </c>
    </row>
    <row r="2" spans="1:32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32" ht="15.75" x14ac:dyDescent="0.25">
      <c r="A3" s="502" t="s">
        <v>18</v>
      </c>
      <c r="B3" s="75">
        <f>+'5ta'!$R87*B$1</f>
        <v>0.40077369553478676</v>
      </c>
      <c r="C3" s="75">
        <f>+'5ta'!$R87*C$1</f>
        <v>0.40077369553478676</v>
      </c>
      <c r="D3" s="75">
        <f>+'5ta'!$R87*D$1</f>
        <v>0.40077369553478676</v>
      </c>
      <c r="E3" s="75">
        <f>+'5ta'!$R87*E$1</f>
        <v>0.40077369553478676</v>
      </c>
      <c r="F3" s="75">
        <f>+'5ta'!$R87*F$1</f>
        <v>0.40077369553478676</v>
      </c>
      <c r="G3" s="75">
        <f>+'5ta'!$R87*G$1</f>
        <v>0.37736327499739813</v>
      </c>
      <c r="H3" s="75">
        <f>+'5ta'!$R87*H$1</f>
        <v>0.35395285446000951</v>
      </c>
      <c r="I3" s="75">
        <f>+'5ta'!$R87*I$1</f>
        <v>0.4964426115656948</v>
      </c>
      <c r="J3" s="75">
        <f>+'5ta'!$R87*J$1</f>
        <v>0.63893236867138026</v>
      </c>
      <c r="K3" s="75">
        <f>+'5ta'!$R87*K$1</f>
        <v>2.3851707966486311</v>
      </c>
      <c r="L3" s="75">
        <f>+'5ta'!$R87*L$1</f>
        <v>2.3851707966486311</v>
      </c>
      <c r="M3" s="75">
        <f>+'5ta'!$R87*M$1</f>
        <v>1.740618617642981</v>
      </c>
      <c r="N3" s="75">
        <f>+'5ta'!$R87*N$1</f>
        <v>1.740618617642981</v>
      </c>
      <c r="P3" s="524"/>
      <c r="Q3" s="524"/>
      <c r="R3" s="524"/>
      <c r="S3" s="524"/>
      <c r="T3" s="524"/>
      <c r="U3" s="524"/>
    </row>
    <row r="4" spans="1:32" ht="15.75" x14ac:dyDescent="0.25">
      <c r="A4" s="502" t="s">
        <v>20</v>
      </c>
      <c r="B4" s="75">
        <f>+'5ta'!$R88*B$1</f>
        <v>3.913629629280448</v>
      </c>
      <c r="C4" s="75">
        <f>+'5ta'!$R88*C$1</f>
        <v>3.913629629280448</v>
      </c>
      <c r="D4" s="75">
        <f>+'5ta'!$R88*D$1</f>
        <v>3.913629629280448</v>
      </c>
      <c r="E4" s="75">
        <f>+'5ta'!$R88*E$1</f>
        <v>3.913629629280448</v>
      </c>
      <c r="F4" s="75">
        <f>+'5ta'!$R88*F$1</f>
        <v>3.913629629280448</v>
      </c>
      <c r="G4" s="75">
        <f>+'5ta'!$R88*G$1</f>
        <v>3.6850225214043095</v>
      </c>
      <c r="H4" s="75">
        <f>+'5ta'!$R88*H$1</f>
        <v>3.4564154135281711</v>
      </c>
      <c r="I4" s="75">
        <f>+'5ta'!$R88*I$1</f>
        <v>4.8478543764412958</v>
      </c>
      <c r="J4" s="75">
        <f>+'5ta'!$R88*J$1</f>
        <v>6.2392933393544228</v>
      </c>
      <c r="K4" s="75">
        <f>+'5ta'!$R88*K$1</f>
        <v>23.291636164400646</v>
      </c>
      <c r="L4" s="75">
        <f>+'5ta'!$R88*L$1</f>
        <v>23.291636164400646</v>
      </c>
      <c r="M4" s="75">
        <f>+'5ta'!$R88*M$1</f>
        <v>16.997464332569844</v>
      </c>
      <c r="N4" s="75">
        <f>+'5ta'!$R88*N$1</f>
        <v>16.997464332569844</v>
      </c>
      <c r="P4" s="524"/>
      <c r="Q4" s="524"/>
      <c r="R4" s="524"/>
      <c r="S4" s="524"/>
      <c r="T4" s="524"/>
      <c r="U4" s="524"/>
    </row>
    <row r="5" spans="1:32" ht="15.75" x14ac:dyDescent="0.25">
      <c r="A5" s="502" t="s">
        <v>21</v>
      </c>
      <c r="B5" s="75">
        <f>+'5ta'!$R89*B$1</f>
        <v>37.422509308402745</v>
      </c>
      <c r="C5" s="75">
        <f>+'5ta'!$R89*C$1</f>
        <v>37.422509308402745</v>
      </c>
      <c r="D5" s="75">
        <f>+'5ta'!$R89*D$1</f>
        <v>37.422509308402745</v>
      </c>
      <c r="E5" s="75">
        <f>+'5ta'!$R89*E$1</f>
        <v>37.422509308402745</v>
      </c>
      <c r="F5" s="75">
        <f>+'5ta'!$R89*F$1</f>
        <v>37.422509308402745</v>
      </c>
      <c r="G5" s="75">
        <f>+'5ta'!$R89*G$1</f>
        <v>35.236545782765106</v>
      </c>
      <c r="H5" s="75">
        <f>+'5ta'!$R89*H$1</f>
        <v>33.050582257127466</v>
      </c>
      <c r="I5" s="75">
        <f>+'5ta'!$R89*I$1</f>
        <v>46.355657717542044</v>
      </c>
      <c r="J5" s="75">
        <f>+'5ta'!$R89*J$1</f>
        <v>59.660733177956637</v>
      </c>
      <c r="K5" s="75">
        <f>+'5ta'!$R89*K$1</f>
        <v>222.71690316553273</v>
      </c>
      <c r="L5" s="75">
        <f>+'5ta'!$R89*L$1</f>
        <v>222.71690316553273</v>
      </c>
      <c r="M5" s="75">
        <f>+'5ta'!$R89*M$1</f>
        <v>162.53141647483608</v>
      </c>
      <c r="N5" s="75">
        <f>+'5ta'!$R89*N$1</f>
        <v>162.53141647483608</v>
      </c>
      <c r="P5" s="524"/>
      <c r="Q5" s="524"/>
      <c r="R5" s="524"/>
      <c r="S5" s="524"/>
      <c r="T5" s="524"/>
      <c r="U5" s="524"/>
    </row>
    <row r="6" spans="1:32" ht="15.75" x14ac:dyDescent="0.25">
      <c r="A6" s="502" t="s">
        <v>22</v>
      </c>
      <c r="B6" s="75">
        <f>+'5ta'!$R90*B$1</f>
        <v>15.212008704768198</v>
      </c>
      <c r="C6" s="75">
        <f>+'5ta'!$R90*C$1</f>
        <v>15.212008704768198</v>
      </c>
      <c r="D6" s="75">
        <f>+'5ta'!$R90*D$1</f>
        <v>15.212008704768198</v>
      </c>
      <c r="E6" s="75">
        <f>+'5ta'!$R90*E$1</f>
        <v>15.212008704768198</v>
      </c>
      <c r="F6" s="75">
        <f>+'5ta'!$R90*F$1</f>
        <v>15.212008704768198</v>
      </c>
      <c r="G6" s="75">
        <f>+'5ta'!$R90*G$1</f>
        <v>14.323428628369125</v>
      </c>
      <c r="H6" s="75">
        <f>+'5ta'!$R90*H$1</f>
        <v>13.434848551970051</v>
      </c>
      <c r="I6" s="75">
        <f>+'5ta'!$R90*I$1</f>
        <v>18.843275925277663</v>
      </c>
      <c r="J6" s="75">
        <f>+'5ta'!$R90*J$1</f>
        <v>24.25170329858528</v>
      </c>
      <c r="K6" s="75">
        <f>+'5ta'!$R90*K$1</f>
        <v>90.532984887049622</v>
      </c>
      <c r="L6" s="75">
        <f>+'5ta'!$R90*L$1</f>
        <v>90.532984887049622</v>
      </c>
      <c r="M6" s="75">
        <f>+'5ta'!$R90*M$1</f>
        <v>66.067972669549434</v>
      </c>
      <c r="N6" s="75">
        <f>+'5ta'!$R90*N$1</f>
        <v>66.067972669549434</v>
      </c>
      <c r="P6" s="524"/>
      <c r="Q6" s="524"/>
      <c r="R6" s="524"/>
      <c r="S6" s="524"/>
      <c r="T6" s="524"/>
      <c r="U6" s="524"/>
    </row>
    <row r="7" spans="1:32" ht="15.75" x14ac:dyDescent="0.25">
      <c r="A7" s="502" t="s">
        <v>23</v>
      </c>
      <c r="B7" s="75">
        <f>+'5ta'!$R91*B$1</f>
        <v>10.476116492480163</v>
      </c>
      <c r="C7" s="75">
        <f>+'5ta'!$R91*C$1</f>
        <v>10.476116492480163</v>
      </c>
      <c r="D7" s="75">
        <f>+'5ta'!$R91*D$1</f>
        <v>10.476116492480163</v>
      </c>
      <c r="E7" s="75">
        <f>+'5ta'!$R91*E$1</f>
        <v>10.476116492480163</v>
      </c>
      <c r="F7" s="75">
        <f>+'5ta'!$R91*F$1</f>
        <v>10.476116492480163</v>
      </c>
      <c r="G7" s="75">
        <f>+'5ta'!$R91*G$1</f>
        <v>9.8641744029166869</v>
      </c>
      <c r="H7" s="75">
        <f>+'5ta'!$R91*H$1</f>
        <v>9.2522323133532129</v>
      </c>
      <c r="I7" s="75">
        <f>+'5ta'!$R91*I$1</f>
        <v>12.976876198557486</v>
      </c>
      <c r="J7" s="75">
        <f>+'5ta'!$R91*J$1</f>
        <v>16.701520083761761</v>
      </c>
      <c r="K7" s="75">
        <f>+'5ta'!$R91*K$1</f>
        <v>62.347722414291781</v>
      </c>
      <c r="L7" s="75">
        <f>+'5ta'!$R91*L$1</f>
        <v>62.347722414291781</v>
      </c>
      <c r="M7" s="75">
        <f>+'5ta'!$R91*M$1</f>
        <v>45.49930200153289</v>
      </c>
      <c r="N7" s="75">
        <f>+'5ta'!$R91*N$1</f>
        <v>45.49930200153289</v>
      </c>
      <c r="P7" s="524"/>
      <c r="Q7" s="524"/>
      <c r="R7" s="524"/>
      <c r="S7" s="524"/>
      <c r="T7" s="524"/>
      <c r="U7" s="524"/>
    </row>
    <row r="8" spans="1:32" ht="15.75" x14ac:dyDescent="0.25">
      <c r="A8" s="502" t="s">
        <v>24</v>
      </c>
      <c r="B8" s="75">
        <f>+'5ta'!$R92*B$1</f>
        <v>76.65895261340215</v>
      </c>
      <c r="C8" s="75">
        <f>+'5ta'!$R92*C$1</f>
        <v>76.65895261340215</v>
      </c>
      <c r="D8" s="75">
        <f>+'5ta'!$R92*D$1</f>
        <v>76.65895261340215</v>
      </c>
      <c r="E8" s="75">
        <f>+'5ta'!$R92*E$1</f>
        <v>76.65895261340215</v>
      </c>
      <c r="F8" s="75">
        <f>+'5ta'!$R92*F$1</f>
        <v>76.65895261340215</v>
      </c>
      <c r="G8" s="75">
        <f>+'5ta'!$R92*G$1</f>
        <v>72.181068114917835</v>
      </c>
      <c r="H8" s="75">
        <f>+'5ta'!$R92*H$1</f>
        <v>67.70318361643352</v>
      </c>
      <c r="I8" s="75">
        <f>+'5ta'!$R92*I$1</f>
        <v>94.958254644197112</v>
      </c>
      <c r="J8" s="75">
        <f>+'5ta'!$R92*J$1</f>
        <v>122.21332567196073</v>
      </c>
      <c r="K8" s="75">
        <f>+'5ta'!$R92*K$1</f>
        <v>456.22928129345587</v>
      </c>
      <c r="L8" s="75">
        <f>+'5ta'!$R92*L$1</f>
        <v>456.22928129345587</v>
      </c>
      <c r="M8" s="75">
        <f>+'5ta'!$R92*M$1</f>
        <v>332.94101288221117</v>
      </c>
      <c r="N8" s="75">
        <f>+'5ta'!$R92*N$1</f>
        <v>332.94101288221117</v>
      </c>
      <c r="P8" s="524"/>
      <c r="Q8" s="524"/>
      <c r="R8" s="524"/>
      <c r="S8" s="524"/>
      <c r="T8" s="524"/>
      <c r="U8" s="524"/>
    </row>
    <row r="9" spans="1:32" ht="15.75" x14ac:dyDescent="0.25">
      <c r="A9" s="502" t="s">
        <v>25</v>
      </c>
      <c r="B9" s="75">
        <f>+'5ta'!$R93*B$1</f>
        <v>8.4932124667230671</v>
      </c>
      <c r="C9" s="75">
        <f>+'5ta'!$R93*C$1</f>
        <v>8.4932124667230671</v>
      </c>
      <c r="D9" s="75">
        <f>+'5ta'!$R93*D$1</f>
        <v>8.4932124667230671</v>
      </c>
      <c r="E9" s="75">
        <f>+'5ta'!$R93*E$1</f>
        <v>8.4932124667230671</v>
      </c>
      <c r="F9" s="75">
        <f>+'5ta'!$R93*F$1</f>
        <v>8.4932124667230671</v>
      </c>
      <c r="G9" s="75">
        <f>+'5ta'!$R93*G$1</f>
        <v>7.9970978819221274</v>
      </c>
      <c r="H9" s="75">
        <f>+'5ta'!$R93*H$1</f>
        <v>7.5009832971211878</v>
      </c>
      <c r="I9" s="75">
        <f>+'5ta'!$R93*I$1</f>
        <v>10.520632028846158</v>
      </c>
      <c r="J9" s="75">
        <f>+'5ta'!$R93*J$1</f>
        <v>13.540280760571131</v>
      </c>
      <c r="K9" s="75">
        <f>+'5ta'!$R93*K$1</f>
        <v>50.546636595818178</v>
      </c>
      <c r="L9" s="75">
        <f>+'5ta'!$R93*L$1</f>
        <v>50.546636595818178</v>
      </c>
      <c r="M9" s="75">
        <f>+'5ta'!$R93*M$1</f>
        <v>36.88726058592448</v>
      </c>
      <c r="N9" s="75">
        <f>+'5ta'!$R93*N$1</f>
        <v>36.88726058592448</v>
      </c>
      <c r="P9" s="524"/>
      <c r="Q9" s="524"/>
      <c r="R9" s="524"/>
      <c r="S9" s="524"/>
      <c r="T9" s="524"/>
      <c r="U9" s="524"/>
    </row>
    <row r="10" spans="1:32" ht="15.75" x14ac:dyDescent="0.25">
      <c r="A10" s="502" t="s">
        <v>26</v>
      </c>
      <c r="B10" s="75">
        <f>+'5ta'!$R94*B$1</f>
        <v>2.109307396059906</v>
      </c>
      <c r="C10" s="75">
        <f>+'5ta'!$R94*C$1</f>
        <v>2.109307396059906</v>
      </c>
      <c r="D10" s="75">
        <f>+'5ta'!$R94*D$1</f>
        <v>2.109307396059906</v>
      </c>
      <c r="E10" s="75">
        <f>+'5ta'!$R94*E$1</f>
        <v>2.109307396059906</v>
      </c>
      <c r="F10" s="75">
        <f>+'5ta'!$R94*F$1</f>
        <v>2.109307396059906</v>
      </c>
      <c r="G10" s="75">
        <f>+'5ta'!$R94*G$1</f>
        <v>1.9860962828193154</v>
      </c>
      <c r="H10" s="75">
        <f>+'5ta'!$R94*H$1</f>
        <v>1.8628851695787247</v>
      </c>
      <c r="I10" s="75">
        <f>+'5ta'!$R94*I$1</f>
        <v>2.612821360188105</v>
      </c>
      <c r="J10" s="75">
        <f>+'5ta'!$R94*J$1</f>
        <v>3.3627575507974856</v>
      </c>
      <c r="K10" s="75">
        <f>+'5ta'!$R94*K$1</f>
        <v>12.553364799862132</v>
      </c>
      <c r="L10" s="75">
        <f>+'5ta'!$R94*L$1</f>
        <v>12.553364799862132</v>
      </c>
      <c r="M10" s="75">
        <f>+'5ta'!$R94*M$1</f>
        <v>9.1610296903710502</v>
      </c>
      <c r="N10" s="75">
        <f>+'5ta'!$R94*N$1</f>
        <v>9.1610296903710502</v>
      </c>
      <c r="P10" s="524"/>
      <c r="Q10" s="524"/>
      <c r="R10" s="524"/>
      <c r="S10" s="524"/>
      <c r="T10" s="524"/>
      <c r="U10" s="524"/>
    </row>
    <row r="11" spans="1:32" ht="15.75" x14ac:dyDescent="0.25">
      <c r="A11" s="502" t="s">
        <v>27</v>
      </c>
      <c r="B11" s="75">
        <f>+'5ta'!$R95*B$1</f>
        <v>8.8207624733485144</v>
      </c>
      <c r="C11" s="75">
        <f>+'5ta'!$R95*C$1</f>
        <v>8.8207624733485144</v>
      </c>
      <c r="D11" s="75">
        <f>+'5ta'!$R95*D$1</f>
        <v>8.8207624733485144</v>
      </c>
      <c r="E11" s="75">
        <f>+'5ta'!$R95*E$1</f>
        <v>8.8207624733485144</v>
      </c>
      <c r="F11" s="75">
        <f>+'5ta'!$R95*F$1</f>
        <v>8.8207624733485144</v>
      </c>
      <c r="G11" s="75">
        <f>+'5ta'!$R95*G$1</f>
        <v>8.3055146882214057</v>
      </c>
      <c r="H11" s="75">
        <f>+'5ta'!$R95*H$1</f>
        <v>7.7902669030942961</v>
      </c>
      <c r="I11" s="75">
        <f>+'5ta'!$R95*I$1</f>
        <v>10.926371683217718</v>
      </c>
      <c r="J11" s="75">
        <f>+'5ta'!$R95*J$1</f>
        <v>14.062476463341143</v>
      </c>
      <c r="K11" s="75">
        <f>+'5ta'!$R95*K$1</f>
        <v>52.49602279294016</v>
      </c>
      <c r="L11" s="75">
        <f>+'5ta'!$R95*L$1</f>
        <v>52.49602279294016</v>
      </c>
      <c r="M11" s="75">
        <f>+'5ta'!$R95*M$1</f>
        <v>38.309858042028843</v>
      </c>
      <c r="N11" s="75">
        <f>+'5ta'!$R95*N$1</f>
        <v>38.309858042028843</v>
      </c>
      <c r="P11" s="524"/>
      <c r="Q11" s="524"/>
      <c r="R11" s="524"/>
      <c r="S11" s="524"/>
      <c r="T11" s="524"/>
      <c r="U11" s="524"/>
    </row>
    <row r="12" spans="1:32" ht="15.75" x14ac:dyDescent="0.25">
      <c r="A12" s="503" t="s">
        <v>14</v>
      </c>
      <c r="B12" s="122">
        <f t="shared" ref="B12:N12" si="0">+SUM(B3:B11)</f>
        <v>163.50727277999997</v>
      </c>
      <c r="C12" s="122">
        <f t="shared" si="0"/>
        <v>163.50727277999997</v>
      </c>
      <c r="D12" s="122">
        <f t="shared" si="0"/>
        <v>163.50727277999997</v>
      </c>
      <c r="E12" s="122">
        <f t="shared" si="0"/>
        <v>163.50727277999997</v>
      </c>
      <c r="F12" s="122">
        <f t="shared" si="0"/>
        <v>163.50727277999997</v>
      </c>
      <c r="G12" s="122">
        <f t="shared" si="0"/>
        <v>153.95631157833327</v>
      </c>
      <c r="H12" s="122">
        <f t="shared" si="0"/>
        <v>144.40535037666666</v>
      </c>
      <c r="I12" s="122">
        <f t="shared" si="0"/>
        <v>202.53818654583327</v>
      </c>
      <c r="J12" s="122">
        <f t="shared" si="0"/>
        <v>260.67102271499999</v>
      </c>
      <c r="K12" s="122">
        <f t="shared" si="0"/>
        <v>973.09972290999974</v>
      </c>
      <c r="L12" s="122">
        <f t="shared" si="0"/>
        <v>973.09972290999974</v>
      </c>
      <c r="M12" s="122">
        <f>+SUM(M3:M11)</f>
        <v>710.13593529666673</v>
      </c>
      <c r="N12" s="122">
        <f t="shared" si="0"/>
        <v>710.13593529666673</v>
      </c>
    </row>
    <row r="13" spans="1:32" ht="15.75" x14ac:dyDescent="0.25">
      <c r="A13" s="503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</row>
    <row r="14" spans="1:32" ht="15.75" x14ac:dyDescent="0.25">
      <c r="A14" s="119" t="s">
        <v>118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P14" s="525"/>
      <c r="Q14" s="525"/>
      <c r="R14" s="525"/>
      <c r="S14" s="525"/>
      <c r="T14" s="525"/>
      <c r="U14" s="525"/>
    </row>
    <row r="15" spans="1:32" x14ac:dyDescent="0.25">
      <c r="B15" s="1">
        <v>2010</v>
      </c>
      <c r="C15" s="1">
        <v>2011</v>
      </c>
      <c r="D15" s="1">
        <v>2012</v>
      </c>
      <c r="E15" s="1">
        <v>2013</v>
      </c>
      <c r="F15" s="1">
        <v>2014</v>
      </c>
      <c r="G15" s="1">
        <v>2015</v>
      </c>
      <c r="H15" s="1">
        <v>2016</v>
      </c>
      <c r="I15" s="1">
        <v>2017</v>
      </c>
      <c r="J15" s="1">
        <v>2018</v>
      </c>
      <c r="K15" s="1">
        <v>2019</v>
      </c>
      <c r="L15" s="1">
        <v>2020</v>
      </c>
      <c r="M15" s="1">
        <v>2021</v>
      </c>
      <c r="N15" s="1">
        <v>2022</v>
      </c>
      <c r="P15" s="525"/>
      <c r="Q15" s="525"/>
      <c r="R15" s="525"/>
      <c r="S15" s="525"/>
      <c r="T15" s="525"/>
      <c r="U15" s="525"/>
    </row>
    <row r="16" spans="1:32" ht="15.75" x14ac:dyDescent="0.25">
      <c r="A16" s="502" t="s">
        <v>18</v>
      </c>
      <c r="B16" s="74">
        <f>+'Cambio uso de suelo (BAU)'!D65</f>
        <v>0</v>
      </c>
      <c r="C16" s="74">
        <f>+'Cambio uso de suelo (BAU)'!E65</f>
        <v>0</v>
      </c>
      <c r="D16" s="74">
        <f>+'Cambio uso de suelo (BAU)'!F65</f>
        <v>0</v>
      </c>
      <c r="E16" s="74">
        <f>+'Cambio uso de suelo (BAU)'!G65</f>
        <v>0</v>
      </c>
      <c r="F16" s="74">
        <f>+'Cambio uso de suelo (BAU)'!H65</f>
        <v>0</v>
      </c>
      <c r="G16" s="74">
        <f>+'Cambio uso de suelo (BAU)'!I65</f>
        <v>0</v>
      </c>
      <c r="H16" s="74">
        <f>+'Cambio uso de suelo (BAU)'!J65</f>
        <v>0</v>
      </c>
      <c r="I16" s="74">
        <f>+'Cambio uso de suelo (BAU)'!K65</f>
        <v>5.1974999999999999E-3</v>
      </c>
      <c r="J16" s="74">
        <f>+'Cambio uso de suelo (BAU)'!L65</f>
        <v>1.0395E-2</v>
      </c>
      <c r="K16" s="74">
        <f>+'Cambio uso de suelo (BAU)'!M65</f>
        <v>7.5199999999999998E-3</v>
      </c>
      <c r="L16" s="74">
        <f>+'Cambio uso de suelo (BAU)'!N65</f>
        <v>7.5199999999999998E-3</v>
      </c>
      <c r="M16" s="74">
        <f>+'Cambio uso de suelo (BAU)'!O65</f>
        <v>0</v>
      </c>
      <c r="N16" s="74">
        <f>+'Cambio uso de suelo (BAU)'!P65</f>
        <v>0</v>
      </c>
      <c r="P16" s="525">
        <f>+B16*B27</f>
        <v>0</v>
      </c>
      <c r="Q16" s="525">
        <f t="shared" ref="Q16:AF24" si="1">+C16*C27</f>
        <v>0</v>
      </c>
      <c r="R16" s="525">
        <f t="shared" si="1"/>
        <v>0</v>
      </c>
      <c r="S16" s="525">
        <f t="shared" si="1"/>
        <v>0</v>
      </c>
      <c r="T16" s="525">
        <f t="shared" si="1"/>
        <v>0</v>
      </c>
      <c r="U16" s="525">
        <f t="shared" si="1"/>
        <v>0</v>
      </c>
      <c r="V16" s="525">
        <f t="shared" si="1"/>
        <v>0</v>
      </c>
      <c r="W16" s="525">
        <f t="shared" si="1"/>
        <v>0.4964426115656948</v>
      </c>
      <c r="X16" s="525">
        <f t="shared" si="1"/>
        <v>0.63893236867138026</v>
      </c>
      <c r="Y16" s="525">
        <f t="shared" si="1"/>
        <v>2.3851707966486311</v>
      </c>
      <c r="Z16" s="525">
        <f t="shared" si="1"/>
        <v>2.3851707966486311</v>
      </c>
      <c r="AA16" s="525">
        <f t="shared" si="1"/>
        <v>0</v>
      </c>
      <c r="AB16" s="525">
        <f t="shared" si="1"/>
        <v>0</v>
      </c>
      <c r="AC16" s="525">
        <f t="shared" si="1"/>
        <v>0</v>
      </c>
      <c r="AD16" s="525">
        <f t="shared" si="1"/>
        <v>0</v>
      </c>
      <c r="AE16" s="525">
        <f t="shared" si="1"/>
        <v>0</v>
      </c>
      <c r="AF16" s="525">
        <f t="shared" si="1"/>
        <v>0</v>
      </c>
    </row>
    <row r="17" spans="1:32" ht="15.75" x14ac:dyDescent="0.25">
      <c r="A17" s="502" t="s">
        <v>20</v>
      </c>
      <c r="B17" s="74">
        <f>+'Cambio uso de suelo (BAU)'!D66</f>
        <v>0.39</v>
      </c>
      <c r="C17" s="74">
        <f>+'Cambio uso de suelo (BAU)'!E66</f>
        <v>0.39</v>
      </c>
      <c r="D17" s="74">
        <f>+'Cambio uso de suelo (BAU)'!F66</f>
        <v>0.39</v>
      </c>
      <c r="E17" s="74">
        <f>+'Cambio uso de suelo (BAU)'!G66</f>
        <v>0.39</v>
      </c>
      <c r="F17" s="74">
        <f>+'Cambio uso de suelo (BAU)'!H66</f>
        <v>0.39</v>
      </c>
      <c r="G17" s="74">
        <f>+'Cambio uso de suelo (BAU)'!I66</f>
        <v>0.23250750000000001</v>
      </c>
      <c r="H17" s="74">
        <f>+'Cambio uso de suelo (BAU)'!J66</f>
        <v>7.5014999999999998E-2</v>
      </c>
      <c r="I17" s="74">
        <f>+'Cambio uso de suelo (BAU)'!K66</f>
        <v>7.5240000000000001E-2</v>
      </c>
      <c r="J17" s="74">
        <f>+'Cambio uso de suelo (BAU)'!L66</f>
        <v>7.5465000000000004E-2</v>
      </c>
      <c r="K17" s="74">
        <f>+'Cambio uso de suelo (BAU)'!M66</f>
        <v>0.52766999999999997</v>
      </c>
      <c r="L17" s="74">
        <f>+'Cambio uso de suelo (BAU)'!N66</f>
        <v>0.52766999999999997</v>
      </c>
      <c r="M17" s="74">
        <f>+'Cambio uso de suelo (BAU)'!O66</f>
        <v>0.80249000000000004</v>
      </c>
      <c r="N17" s="74">
        <f>+'Cambio uso de suelo (BAU)'!P66</f>
        <v>0.80249000000000004</v>
      </c>
      <c r="P17" s="525">
        <f t="shared" ref="P17:P24" si="2">+B17*B28</f>
        <v>3.9136296292804484</v>
      </c>
      <c r="Q17" s="525">
        <f t="shared" si="1"/>
        <v>3.9136296292804484</v>
      </c>
      <c r="R17" s="525">
        <f t="shared" si="1"/>
        <v>3.9136296292804484</v>
      </c>
      <c r="S17" s="525">
        <f t="shared" si="1"/>
        <v>3.9136296292804484</v>
      </c>
      <c r="T17" s="525">
        <f t="shared" si="1"/>
        <v>3.9136296292804484</v>
      </c>
      <c r="U17" s="525">
        <f t="shared" si="1"/>
        <v>3.6850225214043095</v>
      </c>
      <c r="V17" s="525">
        <f t="shared" si="1"/>
        <v>3.4564154135281715</v>
      </c>
      <c r="W17" s="525">
        <f t="shared" si="1"/>
        <v>4.8478543764412958</v>
      </c>
      <c r="X17" s="525">
        <f t="shared" si="1"/>
        <v>6.2392933393544228</v>
      </c>
      <c r="Y17" s="525">
        <f t="shared" si="1"/>
        <v>23.291636164400646</v>
      </c>
      <c r="Z17" s="525">
        <f t="shared" si="1"/>
        <v>23.291636164400646</v>
      </c>
      <c r="AA17" s="525">
        <f t="shared" si="1"/>
        <v>16.997464332569844</v>
      </c>
      <c r="AB17" s="525">
        <f t="shared" si="1"/>
        <v>16.997464332569844</v>
      </c>
      <c r="AC17" s="525">
        <f t="shared" si="1"/>
        <v>0</v>
      </c>
      <c r="AD17" s="525">
        <f t="shared" si="1"/>
        <v>0</v>
      </c>
      <c r="AE17" s="525">
        <f t="shared" si="1"/>
        <v>0</v>
      </c>
      <c r="AF17" s="525">
        <f t="shared" si="1"/>
        <v>0</v>
      </c>
    </row>
    <row r="18" spans="1:32" ht="15.75" x14ac:dyDescent="0.25">
      <c r="A18" s="502" t="s">
        <v>21</v>
      </c>
      <c r="B18" s="74">
        <f>+'Cambio uso de suelo (BAU)'!D67</f>
        <v>4.2464999999999996E-2</v>
      </c>
      <c r="C18" s="74">
        <f>+'Cambio uso de suelo (BAU)'!E67</f>
        <v>4.2464999999999996E-2</v>
      </c>
      <c r="D18" s="74">
        <f>+'Cambio uso de suelo (BAU)'!F67</f>
        <v>4.2464999999999996E-2</v>
      </c>
      <c r="E18" s="74">
        <f>+'Cambio uso de suelo (BAU)'!G67</f>
        <v>4.2464999999999996E-2</v>
      </c>
      <c r="F18" s="74">
        <f>+'Cambio uso de suelo (BAU)'!H67</f>
        <v>4.2464999999999996E-2</v>
      </c>
      <c r="G18" s="74">
        <f>+'Cambio uso de suelo (BAU)'!I67</f>
        <v>5.4824999999999999E-2</v>
      </c>
      <c r="H18" s="74">
        <f>+'Cambio uso de suelo (BAU)'!J67</f>
        <v>6.7185000000000009E-2</v>
      </c>
      <c r="I18" s="74">
        <f>+'Cambio uso de suelo (BAU)'!K67</f>
        <v>8.9032500000000001E-2</v>
      </c>
      <c r="J18" s="74">
        <f>+'Cambio uso de suelo (BAU)'!L67</f>
        <v>0.11087999999999999</v>
      </c>
      <c r="K18" s="74">
        <f>+'Cambio uso de suelo (BAU)'!M67</f>
        <v>5.9400000000000001E-2</v>
      </c>
      <c r="L18" s="74">
        <f>+'Cambio uso de suelo (BAU)'!N67</f>
        <v>5.9400000000000001E-2</v>
      </c>
      <c r="M18" s="74">
        <f>+'Cambio uso de suelo (BAU)'!O67</f>
        <v>0.12343999999999999</v>
      </c>
      <c r="N18" s="74">
        <f>+'Cambio uso de suelo (BAU)'!P67</f>
        <v>0.12343999999999999</v>
      </c>
      <c r="P18" s="525">
        <f t="shared" si="2"/>
        <v>37.422509308402745</v>
      </c>
      <c r="Q18" s="525">
        <f t="shared" si="1"/>
        <v>37.422509308402745</v>
      </c>
      <c r="R18" s="525">
        <f t="shared" si="1"/>
        <v>37.422509308402745</v>
      </c>
      <c r="S18" s="525">
        <f t="shared" si="1"/>
        <v>37.422509308402745</v>
      </c>
      <c r="T18" s="525">
        <f t="shared" si="1"/>
        <v>37.422509308402745</v>
      </c>
      <c r="U18" s="525">
        <f t="shared" si="1"/>
        <v>35.236545782765106</v>
      </c>
      <c r="V18" s="525">
        <f t="shared" si="1"/>
        <v>33.050582257127466</v>
      </c>
      <c r="W18" s="525">
        <f t="shared" si="1"/>
        <v>46.355657717542051</v>
      </c>
      <c r="X18" s="525">
        <f t="shared" si="1"/>
        <v>59.660733177956637</v>
      </c>
      <c r="Y18" s="525">
        <f t="shared" si="1"/>
        <v>222.71690316553273</v>
      </c>
      <c r="Z18" s="525">
        <f t="shared" si="1"/>
        <v>222.71690316553273</v>
      </c>
      <c r="AA18" s="525">
        <f t="shared" si="1"/>
        <v>162.53141647483608</v>
      </c>
      <c r="AB18" s="525">
        <f t="shared" si="1"/>
        <v>162.53141647483608</v>
      </c>
      <c r="AC18" s="525">
        <f t="shared" si="1"/>
        <v>0</v>
      </c>
      <c r="AD18" s="525">
        <f t="shared" si="1"/>
        <v>0</v>
      </c>
      <c r="AE18" s="525">
        <f t="shared" si="1"/>
        <v>0</v>
      </c>
      <c r="AF18" s="525">
        <f t="shared" si="1"/>
        <v>0</v>
      </c>
    </row>
    <row r="19" spans="1:32" ht="15.75" x14ac:dyDescent="0.25">
      <c r="A19" s="502" t="s">
        <v>22</v>
      </c>
      <c r="B19" s="74">
        <f>+'Cambio uso de suelo (BAU)'!D68</f>
        <v>5.1254999999999995E-2</v>
      </c>
      <c r="C19" s="74">
        <f>+'Cambio uso de suelo (BAU)'!E68</f>
        <v>5.1254999999999995E-2</v>
      </c>
      <c r="D19" s="74">
        <f>+'Cambio uso de suelo (BAU)'!F68</f>
        <v>5.1254999999999995E-2</v>
      </c>
      <c r="E19" s="74">
        <f>+'Cambio uso de suelo (BAU)'!G68</f>
        <v>5.1254999999999995E-2</v>
      </c>
      <c r="F19" s="74">
        <f>+'Cambio uso de suelo (BAU)'!H68</f>
        <v>5.1254999999999995E-2</v>
      </c>
      <c r="G19" s="74">
        <f>+'Cambio uso de suelo (BAU)'!I68</f>
        <v>4.895999999999999E-2</v>
      </c>
      <c r="H19" s="74">
        <f>+'Cambio uso de suelo (BAU)'!J68</f>
        <v>4.6664999999999991E-2</v>
      </c>
      <c r="I19" s="74">
        <f>+'Cambio uso de suelo (BAU)'!K68</f>
        <v>6.1717499999999995E-2</v>
      </c>
      <c r="J19" s="74">
        <f>+'Cambio uso de suelo (BAU)'!L68</f>
        <v>7.6769999999999991E-2</v>
      </c>
      <c r="K19" s="74">
        <f>+'Cambio uso de suelo (BAU)'!M68</f>
        <v>9.9449999999999997E-2</v>
      </c>
      <c r="L19" s="74">
        <f>+'Cambio uso de suelo (BAU)'!N68</f>
        <v>9.9449999999999997E-2</v>
      </c>
      <c r="M19" s="74">
        <f>+'Cambio uso de suelo (BAU)'!O68</f>
        <v>0.13855999999999999</v>
      </c>
      <c r="N19" s="74">
        <f>+'Cambio uso de suelo (BAU)'!P68</f>
        <v>0.13855999999999999</v>
      </c>
      <c r="P19" s="525">
        <f t="shared" si="2"/>
        <v>15.2120087047682</v>
      </c>
      <c r="Q19" s="525">
        <f t="shared" si="1"/>
        <v>15.2120087047682</v>
      </c>
      <c r="R19" s="525">
        <f t="shared" si="1"/>
        <v>15.2120087047682</v>
      </c>
      <c r="S19" s="525">
        <f t="shared" si="1"/>
        <v>15.2120087047682</v>
      </c>
      <c r="T19" s="525">
        <f t="shared" si="1"/>
        <v>15.2120087047682</v>
      </c>
      <c r="U19" s="525">
        <f t="shared" si="1"/>
        <v>14.323428628369125</v>
      </c>
      <c r="V19" s="525">
        <f t="shared" si="1"/>
        <v>13.434848551970051</v>
      </c>
      <c r="W19" s="525">
        <f t="shared" si="1"/>
        <v>18.843275925277663</v>
      </c>
      <c r="X19" s="525">
        <f t="shared" si="1"/>
        <v>24.25170329858528</v>
      </c>
      <c r="Y19" s="525">
        <f t="shared" si="1"/>
        <v>90.532984887049622</v>
      </c>
      <c r="Z19" s="525">
        <f t="shared" si="1"/>
        <v>90.532984887049622</v>
      </c>
      <c r="AA19" s="525">
        <f t="shared" si="1"/>
        <v>66.067972669549434</v>
      </c>
      <c r="AB19" s="525">
        <f t="shared" si="1"/>
        <v>66.067972669549434</v>
      </c>
      <c r="AC19" s="525">
        <f t="shared" si="1"/>
        <v>0</v>
      </c>
      <c r="AD19" s="525">
        <f t="shared" si="1"/>
        <v>0</v>
      </c>
      <c r="AE19" s="525">
        <f t="shared" si="1"/>
        <v>0</v>
      </c>
      <c r="AF19" s="525">
        <f t="shared" si="1"/>
        <v>0</v>
      </c>
    </row>
    <row r="20" spans="1:32" ht="15.75" x14ac:dyDescent="0.25">
      <c r="A20" s="502" t="s">
        <v>23</v>
      </c>
      <c r="B20" s="74">
        <f>+'Cambio uso de suelo (BAU)'!D69</f>
        <v>1.806E-2</v>
      </c>
      <c r="C20" s="74">
        <f>+'Cambio uso de suelo (BAU)'!E69</f>
        <v>1.806E-2</v>
      </c>
      <c r="D20" s="74">
        <f>+'Cambio uso de suelo (BAU)'!F69</f>
        <v>1.806E-2</v>
      </c>
      <c r="E20" s="74">
        <f>+'Cambio uso de suelo (BAU)'!G69</f>
        <v>1.806E-2</v>
      </c>
      <c r="F20" s="74">
        <f>+'Cambio uso de suelo (BAU)'!H69</f>
        <v>1.806E-2</v>
      </c>
      <c r="G20" s="74">
        <f>+'Cambio uso de suelo (BAU)'!I69</f>
        <v>2.1292499999999999E-2</v>
      </c>
      <c r="H20" s="74">
        <f>+'Cambio uso de suelo (BAU)'!J69</f>
        <v>2.4525000000000002E-2</v>
      </c>
      <c r="I20" s="74">
        <f>+'Cambio uso de suelo (BAU)'!K69</f>
        <v>2.8170000000000001E-2</v>
      </c>
      <c r="J20" s="74">
        <f>+'Cambio uso de suelo (BAU)'!L69</f>
        <v>3.1814999999999996E-2</v>
      </c>
      <c r="K20" s="74">
        <f>+'Cambio uso de suelo (BAU)'!M69</f>
        <v>3.9649999999999998E-2</v>
      </c>
      <c r="L20" s="74">
        <f>+'Cambio uso de suelo (BAU)'!N69</f>
        <v>3.9649999999999998E-2</v>
      </c>
      <c r="M20" s="74">
        <f>+'Cambio uso de suelo (BAU)'!O69</f>
        <v>5.4000000000000001E-4</v>
      </c>
      <c r="N20" s="74">
        <f>+'Cambio uso de suelo (BAU)'!P69</f>
        <v>5.4000000000000001E-4</v>
      </c>
      <c r="P20" s="525">
        <f t="shared" si="2"/>
        <v>10.476116492480163</v>
      </c>
      <c r="Q20" s="525">
        <f t="shared" si="1"/>
        <v>10.476116492480163</v>
      </c>
      <c r="R20" s="525">
        <f t="shared" si="1"/>
        <v>10.476116492480163</v>
      </c>
      <c r="S20" s="525">
        <f t="shared" si="1"/>
        <v>10.476116492480163</v>
      </c>
      <c r="T20" s="525">
        <f t="shared" si="1"/>
        <v>10.476116492480163</v>
      </c>
      <c r="U20" s="525">
        <f t="shared" si="1"/>
        <v>9.8641744029166869</v>
      </c>
      <c r="V20" s="525">
        <f t="shared" si="1"/>
        <v>9.2522323133532129</v>
      </c>
      <c r="W20" s="525">
        <f t="shared" si="1"/>
        <v>12.976876198557486</v>
      </c>
      <c r="X20" s="525">
        <f t="shared" si="1"/>
        <v>16.701520083761761</v>
      </c>
      <c r="Y20" s="525">
        <f t="shared" si="1"/>
        <v>62.347722414291781</v>
      </c>
      <c r="Z20" s="525">
        <f t="shared" si="1"/>
        <v>62.347722414291781</v>
      </c>
      <c r="AA20" s="525">
        <f t="shared" si="1"/>
        <v>45.49930200153289</v>
      </c>
      <c r="AB20" s="525">
        <f t="shared" si="1"/>
        <v>45.49930200153289</v>
      </c>
      <c r="AC20" s="525">
        <f t="shared" si="1"/>
        <v>0</v>
      </c>
      <c r="AD20" s="525">
        <f t="shared" si="1"/>
        <v>0</v>
      </c>
      <c r="AE20" s="525">
        <f t="shared" si="1"/>
        <v>0</v>
      </c>
      <c r="AF20" s="525">
        <f t="shared" si="1"/>
        <v>0</v>
      </c>
    </row>
    <row r="21" spans="1:32" ht="15.75" x14ac:dyDescent="0.25">
      <c r="A21" s="502" t="s">
        <v>24</v>
      </c>
      <c r="B21" s="74">
        <f>+'Cambio uso de suelo (BAU)'!D70</f>
        <v>0.10255500000000001</v>
      </c>
      <c r="C21" s="74">
        <f>+'Cambio uso de suelo (BAU)'!E70</f>
        <v>0.10255500000000001</v>
      </c>
      <c r="D21" s="74">
        <f>+'Cambio uso de suelo (BAU)'!F70</f>
        <v>0.10255500000000001</v>
      </c>
      <c r="E21" s="74">
        <f>+'Cambio uso de suelo (BAU)'!G70</f>
        <v>0.10255500000000001</v>
      </c>
      <c r="F21" s="74">
        <f>+'Cambio uso de suelo (BAU)'!H70</f>
        <v>0.10255500000000001</v>
      </c>
      <c r="G21" s="74">
        <f>+'Cambio uso de suelo (BAU)'!I70</f>
        <v>0.107235</v>
      </c>
      <c r="H21" s="74">
        <f>+'Cambio uso de suelo (BAU)'!J70</f>
        <v>0.111915</v>
      </c>
      <c r="I21" s="74">
        <f>+'Cambio uso de suelo (BAU)'!K70</f>
        <v>0.15797249999999999</v>
      </c>
      <c r="J21" s="74">
        <f>+'Cambio uso de suelo (BAU)'!L70</f>
        <v>0.20402999999999999</v>
      </c>
      <c r="K21" s="74">
        <f>+'Cambio uso de suelo (BAU)'!M70</f>
        <v>0.30074000000000001</v>
      </c>
      <c r="L21" s="74">
        <f>+'Cambio uso de suelo (BAU)'!N70</f>
        <v>0.30074000000000001</v>
      </c>
      <c r="M21" s="74">
        <f>+'Cambio uso de suelo (BAU)'!O70</f>
        <v>0.86197999999999997</v>
      </c>
      <c r="N21" s="74">
        <f>+'Cambio uso de suelo (BAU)'!P70</f>
        <v>0.86197999999999997</v>
      </c>
      <c r="P21" s="525">
        <f t="shared" si="2"/>
        <v>76.65895261340215</v>
      </c>
      <c r="Q21" s="525">
        <f t="shared" si="1"/>
        <v>76.65895261340215</v>
      </c>
      <c r="R21" s="525">
        <f t="shared" si="1"/>
        <v>76.65895261340215</v>
      </c>
      <c r="S21" s="525">
        <f t="shared" si="1"/>
        <v>76.65895261340215</v>
      </c>
      <c r="T21" s="525">
        <f t="shared" si="1"/>
        <v>76.65895261340215</v>
      </c>
      <c r="U21" s="525">
        <f t="shared" si="1"/>
        <v>72.181068114917835</v>
      </c>
      <c r="V21" s="525">
        <f t="shared" si="1"/>
        <v>67.70318361643352</v>
      </c>
      <c r="W21" s="525">
        <f t="shared" si="1"/>
        <v>94.958254644197112</v>
      </c>
      <c r="X21" s="525">
        <f t="shared" si="1"/>
        <v>122.21332567196072</v>
      </c>
      <c r="Y21" s="525">
        <f t="shared" si="1"/>
        <v>456.22928129345581</v>
      </c>
      <c r="Z21" s="525">
        <f t="shared" si="1"/>
        <v>456.22928129345581</v>
      </c>
      <c r="AA21" s="525">
        <f t="shared" si="1"/>
        <v>332.94101288221117</v>
      </c>
      <c r="AB21" s="525">
        <f t="shared" si="1"/>
        <v>332.94101288221117</v>
      </c>
      <c r="AC21" s="525">
        <f t="shared" si="1"/>
        <v>0</v>
      </c>
      <c r="AD21" s="525">
        <f t="shared" si="1"/>
        <v>0</v>
      </c>
      <c r="AE21" s="525">
        <f t="shared" si="1"/>
        <v>0</v>
      </c>
      <c r="AF21" s="525">
        <f t="shared" si="1"/>
        <v>0</v>
      </c>
    </row>
    <row r="22" spans="1:32" ht="15.75" x14ac:dyDescent="0.25">
      <c r="A22" s="502" t="s">
        <v>25</v>
      </c>
      <c r="B22" s="74">
        <f>+'Cambio uso de suelo (BAU)'!D71</f>
        <v>3.0825000000000002E-2</v>
      </c>
      <c r="C22" s="74">
        <f>+'Cambio uso de suelo (BAU)'!E71</f>
        <v>3.0825000000000002E-2</v>
      </c>
      <c r="D22" s="74">
        <f>+'Cambio uso de suelo (BAU)'!F71</f>
        <v>3.0825000000000002E-2</v>
      </c>
      <c r="E22" s="74">
        <f>+'Cambio uso de suelo (BAU)'!G71</f>
        <v>3.0825000000000002E-2</v>
      </c>
      <c r="F22" s="74">
        <f>+'Cambio uso de suelo (BAU)'!H71</f>
        <v>3.0825000000000002E-2</v>
      </c>
      <c r="G22" s="74">
        <f>+'Cambio uso de suelo (BAU)'!I71</f>
        <v>2.2770000000000002E-2</v>
      </c>
      <c r="H22" s="74">
        <f>+'Cambio uso de suelo (BAU)'!J71</f>
        <v>1.4715000000000001E-2</v>
      </c>
      <c r="I22" s="74">
        <f>+'Cambio uso de suelo (BAU)'!K71</f>
        <v>1.8090000000000002E-2</v>
      </c>
      <c r="J22" s="74">
        <f>+'Cambio uso de suelo (BAU)'!L71</f>
        <v>2.1465000000000001E-2</v>
      </c>
      <c r="K22" s="74">
        <f>+'Cambio uso de suelo (BAU)'!M71</f>
        <v>3.3979999999999996E-2</v>
      </c>
      <c r="L22" s="74">
        <f>+'Cambio uso de suelo (BAU)'!N71</f>
        <v>3.3979999999999996E-2</v>
      </c>
      <c r="M22" s="74">
        <f>+'Cambio uso de suelo (BAU)'!O71</f>
        <v>0.20155999999999999</v>
      </c>
      <c r="N22" s="74">
        <f>+'Cambio uso de suelo (BAU)'!P71</f>
        <v>0.20155999999999999</v>
      </c>
      <c r="P22" s="525">
        <f t="shared" si="2"/>
        <v>8.4932124667230671</v>
      </c>
      <c r="Q22" s="525">
        <f t="shared" si="1"/>
        <v>8.4932124667230671</v>
      </c>
      <c r="R22" s="525">
        <f t="shared" si="1"/>
        <v>8.4932124667230671</v>
      </c>
      <c r="S22" s="525">
        <f t="shared" si="1"/>
        <v>8.4932124667230671</v>
      </c>
      <c r="T22" s="525">
        <f t="shared" si="1"/>
        <v>8.4932124667230671</v>
      </c>
      <c r="U22" s="525">
        <f t="shared" si="1"/>
        <v>7.9970978819221283</v>
      </c>
      <c r="V22" s="525">
        <f t="shared" si="1"/>
        <v>7.5009832971211878</v>
      </c>
      <c r="W22" s="525">
        <f t="shared" si="1"/>
        <v>10.52063202884616</v>
      </c>
      <c r="X22" s="525">
        <f t="shared" si="1"/>
        <v>13.540280760571131</v>
      </c>
      <c r="Y22" s="525">
        <f t="shared" si="1"/>
        <v>50.546636595818178</v>
      </c>
      <c r="Z22" s="525">
        <f t="shared" si="1"/>
        <v>50.546636595818178</v>
      </c>
      <c r="AA22" s="525">
        <f t="shared" si="1"/>
        <v>36.88726058592448</v>
      </c>
      <c r="AB22" s="525">
        <f t="shared" si="1"/>
        <v>36.88726058592448</v>
      </c>
      <c r="AC22" s="525">
        <f t="shared" si="1"/>
        <v>0</v>
      </c>
      <c r="AD22" s="525">
        <f t="shared" si="1"/>
        <v>0</v>
      </c>
      <c r="AE22" s="525">
        <f t="shared" si="1"/>
        <v>0</v>
      </c>
      <c r="AF22" s="525">
        <f t="shared" si="1"/>
        <v>0</v>
      </c>
    </row>
    <row r="23" spans="1:32" ht="15.75" x14ac:dyDescent="0.25">
      <c r="A23" s="502" t="s">
        <v>26</v>
      </c>
      <c r="B23" s="74">
        <f>+'Cambio uso de suelo (BAU)'!D72</f>
        <v>3.363E-2</v>
      </c>
      <c r="C23" s="74">
        <f>+'Cambio uso de suelo (BAU)'!E72</f>
        <v>3.363E-2</v>
      </c>
      <c r="D23" s="74">
        <f>+'Cambio uso de suelo (BAU)'!F72</f>
        <v>3.363E-2</v>
      </c>
      <c r="E23" s="74">
        <f>+'Cambio uso de suelo (BAU)'!G72</f>
        <v>3.363E-2</v>
      </c>
      <c r="F23" s="74">
        <f>+'Cambio uso de suelo (BAU)'!H72</f>
        <v>3.363E-2</v>
      </c>
      <c r="G23" s="74">
        <f>+'Cambio uso de suelo (BAU)'!I72</f>
        <v>2.08425E-2</v>
      </c>
      <c r="H23" s="74">
        <f>+'Cambio uso de suelo (BAU)'!J72</f>
        <v>8.0549999999999997E-3</v>
      </c>
      <c r="I23" s="74">
        <f>+'Cambio uso de suelo (BAU)'!K72</f>
        <v>1.16775E-2</v>
      </c>
      <c r="J23" s="74">
        <f>+'Cambio uso de suelo (BAU)'!L72</f>
        <v>1.5300000000000001E-2</v>
      </c>
      <c r="K23" s="74">
        <f>+'Cambio uso de suelo (BAU)'!M72</f>
        <v>2.2107199999999998</v>
      </c>
      <c r="L23" s="74">
        <f>+'Cambio uso de suelo (BAU)'!N72</f>
        <v>2.2107199999999998</v>
      </c>
      <c r="M23" s="74">
        <f>+'Cambio uso de suelo (BAU)'!O72</f>
        <v>7.8709999999999988E-2</v>
      </c>
      <c r="N23" s="74">
        <f>+'Cambio uso de suelo (BAU)'!P72</f>
        <v>7.8709999999999988E-2</v>
      </c>
      <c r="P23" s="525">
        <f t="shared" si="2"/>
        <v>2.109307396059906</v>
      </c>
      <c r="Q23" s="525">
        <f t="shared" si="1"/>
        <v>2.109307396059906</v>
      </c>
      <c r="R23" s="525">
        <f t="shared" si="1"/>
        <v>2.109307396059906</v>
      </c>
      <c r="S23" s="525">
        <f t="shared" si="1"/>
        <v>2.109307396059906</v>
      </c>
      <c r="T23" s="525">
        <f t="shared" si="1"/>
        <v>2.109307396059906</v>
      </c>
      <c r="U23" s="525">
        <f t="shared" si="1"/>
        <v>1.9860962828193154</v>
      </c>
      <c r="V23" s="525">
        <f t="shared" si="1"/>
        <v>1.8628851695787247</v>
      </c>
      <c r="W23" s="525">
        <f t="shared" si="1"/>
        <v>2.612821360188105</v>
      </c>
      <c r="X23" s="525">
        <f t="shared" si="1"/>
        <v>3.3627575507974856</v>
      </c>
      <c r="Y23" s="525">
        <f t="shared" si="1"/>
        <v>12.553364799862132</v>
      </c>
      <c r="Z23" s="525">
        <f t="shared" si="1"/>
        <v>12.553364799862132</v>
      </c>
      <c r="AA23" s="525">
        <f t="shared" si="1"/>
        <v>9.1610296903710502</v>
      </c>
      <c r="AB23" s="525">
        <f t="shared" si="1"/>
        <v>9.1610296903710502</v>
      </c>
      <c r="AC23" s="525">
        <f t="shared" si="1"/>
        <v>0</v>
      </c>
      <c r="AD23" s="525">
        <f t="shared" si="1"/>
        <v>0</v>
      </c>
      <c r="AE23" s="525">
        <f t="shared" si="1"/>
        <v>0</v>
      </c>
      <c r="AF23" s="525">
        <f t="shared" si="1"/>
        <v>0</v>
      </c>
    </row>
    <row r="24" spans="1:32" ht="15.75" x14ac:dyDescent="0.25">
      <c r="A24" s="502" t="s">
        <v>27</v>
      </c>
      <c r="B24" s="74">
        <f>+'Cambio uso de suelo (BAU)'!D73</f>
        <v>1.83E-3</v>
      </c>
      <c r="C24" s="74">
        <f>+'Cambio uso de suelo (BAU)'!E73</f>
        <v>1.83E-3</v>
      </c>
      <c r="D24" s="74">
        <f>+'Cambio uso de suelo (BAU)'!F73</f>
        <v>1.83E-3</v>
      </c>
      <c r="E24" s="74">
        <f>+'Cambio uso de suelo (BAU)'!G73</f>
        <v>1.83E-3</v>
      </c>
      <c r="F24" s="74">
        <f>+'Cambio uso de suelo (BAU)'!H73</f>
        <v>1.83E-3</v>
      </c>
      <c r="G24" s="74">
        <f>+'Cambio uso de suelo (BAU)'!I73</f>
        <v>2.5799999999999998E-3</v>
      </c>
      <c r="H24" s="74">
        <f>+'Cambio uso de suelo (BAU)'!J73</f>
        <v>3.3300000000000001E-3</v>
      </c>
      <c r="I24" s="74">
        <f>+'Cambio uso de suelo (BAU)'!K73</f>
        <v>4.6575000000000002E-3</v>
      </c>
      <c r="J24" s="74">
        <f>+'Cambio uso de suelo (BAU)'!L73</f>
        <v>5.9850000000000007E-3</v>
      </c>
      <c r="K24" s="74">
        <f>+'Cambio uso de suelo (BAU)'!M73</f>
        <v>6.5300000000000002E-3</v>
      </c>
      <c r="L24" s="74">
        <f>+'Cambio uso de suelo (BAU)'!N73</f>
        <v>6.5300000000000002E-3</v>
      </c>
      <c r="M24" s="74">
        <f>+'Cambio uso de suelo (BAU)'!O73</f>
        <v>1.323E-2</v>
      </c>
      <c r="N24" s="74">
        <f>+'Cambio uso de suelo (BAU)'!P73</f>
        <v>1.323E-2</v>
      </c>
      <c r="P24" s="525">
        <f t="shared" si="2"/>
        <v>8.8207624733485144</v>
      </c>
      <c r="Q24" s="525">
        <f t="shared" si="1"/>
        <v>8.8207624733485144</v>
      </c>
      <c r="R24" s="525">
        <f t="shared" si="1"/>
        <v>8.8207624733485144</v>
      </c>
      <c r="S24" s="525">
        <f t="shared" si="1"/>
        <v>8.8207624733485144</v>
      </c>
      <c r="T24" s="525">
        <f t="shared" si="1"/>
        <v>8.8207624733485144</v>
      </c>
      <c r="U24" s="525">
        <f t="shared" si="1"/>
        <v>8.3055146882214057</v>
      </c>
      <c r="V24" s="525">
        <f t="shared" si="1"/>
        <v>7.7902669030942961</v>
      </c>
      <c r="W24" s="525">
        <f t="shared" si="1"/>
        <v>10.926371683217718</v>
      </c>
      <c r="X24" s="525">
        <f t="shared" si="1"/>
        <v>14.062476463341143</v>
      </c>
      <c r="Y24" s="525">
        <f t="shared" si="1"/>
        <v>52.49602279294016</v>
      </c>
      <c r="Z24" s="525">
        <f t="shared" si="1"/>
        <v>52.49602279294016</v>
      </c>
      <c r="AA24" s="525">
        <f t="shared" si="1"/>
        <v>38.309858042028843</v>
      </c>
      <c r="AB24" s="525">
        <f t="shared" si="1"/>
        <v>38.309858042028843</v>
      </c>
      <c r="AC24" s="525">
        <f t="shared" si="1"/>
        <v>0</v>
      </c>
      <c r="AD24" s="525">
        <f t="shared" si="1"/>
        <v>0</v>
      </c>
      <c r="AE24" s="525">
        <f t="shared" si="1"/>
        <v>0</v>
      </c>
      <c r="AF24" s="525">
        <f t="shared" si="1"/>
        <v>0</v>
      </c>
    </row>
    <row r="25" spans="1:32" ht="15.75" x14ac:dyDescent="0.25">
      <c r="A25" s="504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P25" s="595">
        <f>+SUM(P16:P24)</f>
        <v>163.10649908446518</v>
      </c>
      <c r="Q25" s="595">
        <f t="shared" ref="Q25:AF25" si="3">+SUM(Q16:Q24)</f>
        <v>163.10649908446518</v>
      </c>
      <c r="R25" s="595">
        <f t="shared" si="3"/>
        <v>163.10649908446518</v>
      </c>
      <c r="S25" s="595">
        <f t="shared" si="3"/>
        <v>163.10649908446518</v>
      </c>
      <c r="T25" s="595">
        <f t="shared" si="3"/>
        <v>163.10649908446518</v>
      </c>
      <c r="U25" s="595">
        <f t="shared" si="3"/>
        <v>153.57894830333589</v>
      </c>
      <c r="V25" s="595">
        <f t="shared" si="3"/>
        <v>144.05139752220666</v>
      </c>
      <c r="W25" s="595">
        <f t="shared" si="3"/>
        <v>202.53818654583327</v>
      </c>
      <c r="X25" s="595">
        <f t="shared" si="3"/>
        <v>260.67102271499999</v>
      </c>
      <c r="Y25" s="595">
        <f t="shared" si="3"/>
        <v>973.09972290999963</v>
      </c>
      <c r="Z25" s="595">
        <f t="shared" si="3"/>
        <v>973.09972290999963</v>
      </c>
      <c r="AA25" s="595">
        <f t="shared" si="3"/>
        <v>708.39531667902384</v>
      </c>
      <c r="AB25" s="595">
        <f t="shared" si="3"/>
        <v>708.39531667902384</v>
      </c>
      <c r="AC25" s="595">
        <f t="shared" si="3"/>
        <v>0</v>
      </c>
      <c r="AD25" s="595">
        <f t="shared" si="3"/>
        <v>0</v>
      </c>
      <c r="AE25" s="595">
        <f t="shared" si="3"/>
        <v>0</v>
      </c>
      <c r="AF25" s="595">
        <f t="shared" si="3"/>
        <v>0</v>
      </c>
    </row>
    <row r="26" spans="1:32" ht="16.5" thickBot="1" x14ac:dyDescent="0.3">
      <c r="A26" s="119" t="s">
        <v>119</v>
      </c>
      <c r="B26" s="1">
        <v>2010</v>
      </c>
      <c r="C26" s="1">
        <v>2011</v>
      </c>
      <c r="D26" s="1">
        <v>2012</v>
      </c>
      <c r="E26" s="1">
        <v>2013</v>
      </c>
      <c r="F26" s="1">
        <v>2014</v>
      </c>
      <c r="G26" s="1">
        <v>2015</v>
      </c>
      <c r="H26" s="1">
        <v>2016</v>
      </c>
      <c r="I26" s="1">
        <v>2017</v>
      </c>
      <c r="J26" s="1">
        <v>2018</v>
      </c>
      <c r="K26" s="1">
        <v>2019</v>
      </c>
      <c r="L26" s="1">
        <v>2020</v>
      </c>
      <c r="M26" s="1">
        <v>2021</v>
      </c>
      <c r="N26" s="1">
        <v>2022</v>
      </c>
      <c r="P26" s="597">
        <f>+B12-P25</f>
        <v>0.40077369553478093</v>
      </c>
      <c r="Q26" s="597">
        <f t="shared" ref="Q26:AF26" si="4">+C12-Q25</f>
        <v>0.40077369553478093</v>
      </c>
      <c r="R26" s="597">
        <f t="shared" si="4"/>
        <v>0.40077369553478093</v>
      </c>
      <c r="S26" s="597">
        <f t="shared" si="4"/>
        <v>0.40077369553478093</v>
      </c>
      <c r="T26" s="597">
        <f t="shared" si="4"/>
        <v>0.40077369553478093</v>
      </c>
      <c r="U26" s="597">
        <f t="shared" si="4"/>
        <v>0.37736327499737854</v>
      </c>
      <c r="V26" s="597">
        <f t="shared" si="4"/>
        <v>0.35395285446000457</v>
      </c>
      <c r="W26" s="597">
        <f t="shared" si="4"/>
        <v>0</v>
      </c>
      <c r="X26" s="597">
        <f t="shared" si="4"/>
        <v>0</v>
      </c>
      <c r="Y26" s="597">
        <f t="shared" si="4"/>
        <v>0</v>
      </c>
      <c r="Z26" s="597">
        <f t="shared" si="4"/>
        <v>0</v>
      </c>
      <c r="AA26" s="597">
        <f>+M12-AA25</f>
        <v>1.7406186176428946</v>
      </c>
      <c r="AB26" s="597">
        <f>+N12-AB25</f>
        <v>1.7406186176428946</v>
      </c>
      <c r="AC26" s="596">
        <f t="shared" si="4"/>
        <v>0</v>
      </c>
      <c r="AD26" s="596">
        <f t="shared" si="4"/>
        <v>0</v>
      </c>
      <c r="AE26" s="596">
        <f t="shared" si="4"/>
        <v>0</v>
      </c>
      <c r="AF26" s="596">
        <f t="shared" si="4"/>
        <v>0</v>
      </c>
    </row>
    <row r="27" spans="1:32" x14ac:dyDescent="0.25">
      <c r="A27" s="509" t="s">
        <v>131</v>
      </c>
      <c r="B27" s="126">
        <v>0</v>
      </c>
      <c r="C27" s="126">
        <v>0</v>
      </c>
      <c r="D27" s="126">
        <v>0</v>
      </c>
      <c r="E27" s="126">
        <v>0</v>
      </c>
      <c r="F27" s="126">
        <v>0</v>
      </c>
      <c r="G27" s="126">
        <v>0</v>
      </c>
      <c r="H27" s="126">
        <v>0</v>
      </c>
      <c r="I27" s="126">
        <f t="shared" ref="I27:L27" si="5">+I3/I16</f>
        <v>95.51565398089366</v>
      </c>
      <c r="J27" s="126">
        <f t="shared" si="5"/>
        <v>61.465355331542114</v>
      </c>
      <c r="K27" s="126">
        <f t="shared" si="5"/>
        <v>317.17696763944565</v>
      </c>
      <c r="L27" s="126">
        <f t="shared" si="5"/>
        <v>317.17696763944565</v>
      </c>
      <c r="M27" s="126">
        <v>0</v>
      </c>
      <c r="N27" s="126">
        <v>0</v>
      </c>
    </row>
    <row r="28" spans="1:32" x14ac:dyDescent="0.25">
      <c r="A28" s="510" t="s">
        <v>132</v>
      </c>
      <c r="B28" s="126">
        <f t="shared" ref="B28:N28" si="6">+B4/B17</f>
        <v>10.034947767385765</v>
      </c>
      <c r="C28" s="126">
        <f t="shared" si="6"/>
        <v>10.034947767385765</v>
      </c>
      <c r="D28" s="126">
        <f t="shared" si="6"/>
        <v>10.034947767385765</v>
      </c>
      <c r="E28" s="126">
        <f t="shared" si="6"/>
        <v>10.034947767385765</v>
      </c>
      <c r="F28" s="126">
        <f t="shared" si="6"/>
        <v>10.034947767385765</v>
      </c>
      <c r="G28" s="126">
        <f t="shared" si="6"/>
        <v>15.849047972234485</v>
      </c>
      <c r="H28" s="126">
        <f t="shared" si="6"/>
        <v>46.07632358232582</v>
      </c>
      <c r="I28" s="126">
        <f t="shared" si="6"/>
        <v>64.431876348236258</v>
      </c>
      <c r="J28" s="126">
        <f t="shared" si="6"/>
        <v>82.677974416675582</v>
      </c>
      <c r="K28" s="126">
        <f t="shared" si="6"/>
        <v>44.140535115509024</v>
      </c>
      <c r="L28" s="126">
        <f t="shared" si="6"/>
        <v>44.140535115509024</v>
      </c>
      <c r="M28" s="126">
        <f t="shared" si="6"/>
        <v>21.180904849368645</v>
      </c>
      <c r="N28" s="126">
        <f t="shared" si="6"/>
        <v>21.180904849368645</v>
      </c>
    </row>
    <row r="29" spans="1:32" x14ac:dyDescent="0.25">
      <c r="A29" s="510" t="s">
        <v>133</v>
      </c>
      <c r="B29" s="126">
        <f t="shared" ref="B29:N29" si="7">+B5/B18</f>
        <v>881.25537050283174</v>
      </c>
      <c r="C29" s="126">
        <f t="shared" si="7"/>
        <v>881.25537050283174</v>
      </c>
      <c r="D29" s="126">
        <f t="shared" si="7"/>
        <v>881.25537050283174</v>
      </c>
      <c r="E29" s="126">
        <f t="shared" si="7"/>
        <v>881.25537050283174</v>
      </c>
      <c r="F29" s="126">
        <f t="shared" si="7"/>
        <v>881.25537050283174</v>
      </c>
      <c r="G29" s="126">
        <f t="shared" si="7"/>
        <v>642.70945340200831</v>
      </c>
      <c r="H29" s="126">
        <f t="shared" si="7"/>
        <v>491.93394741575446</v>
      </c>
      <c r="I29" s="126">
        <f t="shared" si="7"/>
        <v>520.65995807757895</v>
      </c>
      <c r="J29" s="126">
        <f t="shared" si="7"/>
        <v>538.06577541447189</v>
      </c>
      <c r="K29" s="126">
        <f t="shared" si="7"/>
        <v>3749.4428142345578</v>
      </c>
      <c r="L29" s="126">
        <f t="shared" si="7"/>
        <v>3749.4428142345578</v>
      </c>
      <c r="M29" s="126">
        <f t="shared" si="7"/>
        <v>1316.6835424079397</v>
      </c>
      <c r="N29" s="126">
        <f t="shared" si="7"/>
        <v>1316.6835424079397</v>
      </c>
    </row>
    <row r="30" spans="1:32" x14ac:dyDescent="0.25">
      <c r="A30" s="510" t="s">
        <v>134</v>
      </c>
      <c r="B30" s="126">
        <f t="shared" ref="B30:N30" si="8">+B6/B19</f>
        <v>296.79072685139403</v>
      </c>
      <c r="C30" s="126">
        <f t="shared" si="8"/>
        <v>296.79072685139403</v>
      </c>
      <c r="D30" s="126">
        <f t="shared" si="8"/>
        <v>296.79072685139403</v>
      </c>
      <c r="E30" s="126">
        <f t="shared" si="8"/>
        <v>296.79072685139403</v>
      </c>
      <c r="F30" s="126">
        <f t="shared" si="8"/>
        <v>296.79072685139403</v>
      </c>
      <c r="G30" s="126">
        <f t="shared" si="8"/>
        <v>292.553689304925</v>
      </c>
      <c r="H30" s="126">
        <f t="shared" si="8"/>
        <v>287.89989396699997</v>
      </c>
      <c r="I30" s="126">
        <f t="shared" si="8"/>
        <v>305.31495807959919</v>
      </c>
      <c r="J30" s="126">
        <f t="shared" si="8"/>
        <v>315.90078544464353</v>
      </c>
      <c r="K30" s="126">
        <f t="shared" si="8"/>
        <v>910.33670072448092</v>
      </c>
      <c r="L30" s="126">
        <f t="shared" si="8"/>
        <v>910.33670072448092</v>
      </c>
      <c r="M30" s="126">
        <f t="shared" si="8"/>
        <v>476.81850945113626</v>
      </c>
      <c r="N30" s="126">
        <f t="shared" si="8"/>
        <v>476.81850945113626</v>
      </c>
    </row>
    <row r="31" spans="1:32" x14ac:dyDescent="0.25">
      <c r="A31" s="510" t="s">
        <v>135</v>
      </c>
      <c r="B31" s="126">
        <f t="shared" ref="B31:N31" si="9">+B7/B20</f>
        <v>580.07289548616632</v>
      </c>
      <c r="C31" s="126">
        <f t="shared" si="9"/>
        <v>580.07289548616632</v>
      </c>
      <c r="D31" s="126">
        <f t="shared" si="9"/>
        <v>580.07289548616632</v>
      </c>
      <c r="E31" s="126">
        <f t="shared" si="9"/>
        <v>580.07289548616632</v>
      </c>
      <c r="F31" s="126">
        <f t="shared" si="9"/>
        <v>580.07289548616632</v>
      </c>
      <c r="G31" s="126">
        <f t="shared" si="9"/>
        <v>463.2699026848274</v>
      </c>
      <c r="H31" s="126">
        <f t="shared" si="9"/>
        <v>377.25717893387207</v>
      </c>
      <c r="I31" s="126">
        <f t="shared" si="9"/>
        <v>460.66298184442616</v>
      </c>
      <c r="J31" s="126">
        <f t="shared" si="9"/>
        <v>524.95741265949277</v>
      </c>
      <c r="K31" s="126">
        <f t="shared" si="9"/>
        <v>1572.4520154928571</v>
      </c>
      <c r="L31" s="126">
        <f t="shared" si="9"/>
        <v>1572.4520154928571</v>
      </c>
      <c r="M31" s="126">
        <f t="shared" si="9"/>
        <v>84257.966669505346</v>
      </c>
      <c r="N31" s="126">
        <f t="shared" si="9"/>
        <v>84257.966669505346</v>
      </c>
    </row>
    <row r="32" spans="1:32" x14ac:dyDescent="0.25">
      <c r="A32" s="510" t="s">
        <v>136</v>
      </c>
      <c r="B32" s="126">
        <f t="shared" ref="B32:N32" si="10">+B8/B21</f>
        <v>747.49112781826477</v>
      </c>
      <c r="C32" s="126">
        <f t="shared" si="10"/>
        <v>747.49112781826477</v>
      </c>
      <c r="D32" s="126">
        <f t="shared" si="10"/>
        <v>747.49112781826477</v>
      </c>
      <c r="E32" s="126">
        <f t="shared" si="10"/>
        <v>747.49112781826477</v>
      </c>
      <c r="F32" s="126">
        <f t="shared" si="10"/>
        <v>747.49112781826477</v>
      </c>
      <c r="G32" s="126">
        <f t="shared" si="10"/>
        <v>673.11109353212885</v>
      </c>
      <c r="H32" s="126">
        <f t="shared" si="10"/>
        <v>604.95182608616824</v>
      </c>
      <c r="I32" s="126">
        <f t="shared" si="10"/>
        <v>601.10623459271153</v>
      </c>
      <c r="J32" s="126">
        <f t="shared" si="10"/>
        <v>598.99684199363196</v>
      </c>
      <c r="K32" s="126">
        <f t="shared" si="10"/>
        <v>1517.0222826809065</v>
      </c>
      <c r="L32" s="126">
        <f t="shared" si="10"/>
        <v>1517.0222826809065</v>
      </c>
      <c r="M32" s="126">
        <f t="shared" si="10"/>
        <v>386.25143609156964</v>
      </c>
      <c r="N32" s="126">
        <f t="shared" si="10"/>
        <v>386.25143609156964</v>
      </c>
    </row>
    <row r="33" spans="1:15" x14ac:dyDescent="0.25">
      <c r="A33" s="510" t="s">
        <v>137</v>
      </c>
      <c r="B33" s="126">
        <f t="shared" ref="B33:N33" si="11">+B9/B22</f>
        <v>275.53000703075639</v>
      </c>
      <c r="C33" s="126">
        <f t="shared" si="11"/>
        <v>275.53000703075639</v>
      </c>
      <c r="D33" s="126">
        <f t="shared" si="11"/>
        <v>275.53000703075639</v>
      </c>
      <c r="E33" s="126">
        <f t="shared" si="11"/>
        <v>275.53000703075639</v>
      </c>
      <c r="F33" s="126">
        <f t="shared" si="11"/>
        <v>275.53000703075639</v>
      </c>
      <c r="G33" s="126">
        <f t="shared" si="11"/>
        <v>351.21202819157344</v>
      </c>
      <c r="H33" s="126">
        <f t="shared" si="11"/>
        <v>509.75081869664882</v>
      </c>
      <c r="I33" s="126">
        <f t="shared" si="11"/>
        <v>581.57169866479592</v>
      </c>
      <c r="J33" s="126">
        <f t="shared" si="11"/>
        <v>630.8073962530226</v>
      </c>
      <c r="K33" s="126">
        <f t="shared" si="11"/>
        <v>1487.5408062336135</v>
      </c>
      <c r="L33" s="126">
        <f t="shared" si="11"/>
        <v>1487.5408062336135</v>
      </c>
      <c r="M33" s="126">
        <f t="shared" si="11"/>
        <v>183.00883402423338</v>
      </c>
      <c r="N33" s="126">
        <f t="shared" si="11"/>
        <v>183.00883402423338</v>
      </c>
    </row>
    <row r="34" spans="1:15" x14ac:dyDescent="0.25">
      <c r="A34" s="510" t="s">
        <v>138</v>
      </c>
      <c r="B34" s="126">
        <f t="shared" ref="B34:N34" si="12">+B10/B23</f>
        <v>62.72100493785031</v>
      </c>
      <c r="C34" s="126">
        <f t="shared" si="12"/>
        <v>62.72100493785031</v>
      </c>
      <c r="D34" s="126">
        <f t="shared" si="12"/>
        <v>62.72100493785031</v>
      </c>
      <c r="E34" s="126">
        <f t="shared" si="12"/>
        <v>62.72100493785031</v>
      </c>
      <c r="F34" s="126">
        <f t="shared" si="12"/>
        <v>62.72100493785031</v>
      </c>
      <c r="G34" s="126">
        <f t="shared" si="12"/>
        <v>95.29069367011229</v>
      </c>
      <c r="H34" s="126">
        <f t="shared" si="12"/>
        <v>231.27066040704219</v>
      </c>
      <c r="I34" s="126">
        <f t="shared" si="12"/>
        <v>223.74835026230826</v>
      </c>
      <c r="J34" s="126">
        <f t="shared" si="12"/>
        <v>219.78807521552193</v>
      </c>
      <c r="K34" s="126">
        <f t="shared" si="12"/>
        <v>5.6784055872576058</v>
      </c>
      <c r="L34" s="126">
        <f t="shared" si="12"/>
        <v>5.6784055872576058</v>
      </c>
      <c r="M34" s="126">
        <f t="shared" si="12"/>
        <v>116.38965430531128</v>
      </c>
      <c r="N34" s="126">
        <f t="shared" si="12"/>
        <v>116.38965430531128</v>
      </c>
    </row>
    <row r="35" spans="1:15" x14ac:dyDescent="0.25">
      <c r="A35" s="511" t="s">
        <v>139</v>
      </c>
      <c r="B35" s="126">
        <f t="shared" ref="B35:N35" si="13">+B11/B24</f>
        <v>4820.0887832505541</v>
      </c>
      <c r="C35" s="126">
        <f t="shared" si="13"/>
        <v>4820.0887832505541</v>
      </c>
      <c r="D35" s="126">
        <f t="shared" si="13"/>
        <v>4820.0887832505541</v>
      </c>
      <c r="E35" s="126">
        <f t="shared" si="13"/>
        <v>4820.0887832505541</v>
      </c>
      <c r="F35" s="126">
        <f t="shared" si="13"/>
        <v>4820.0887832505541</v>
      </c>
      <c r="G35" s="126">
        <f t="shared" si="13"/>
        <v>3219.1917396207</v>
      </c>
      <c r="H35" s="126">
        <f t="shared" si="13"/>
        <v>2339.4194904187075</v>
      </c>
      <c r="I35" s="126">
        <f t="shared" si="13"/>
        <v>2345.9735229667672</v>
      </c>
      <c r="J35" s="126">
        <f t="shared" si="13"/>
        <v>2349.6201275423796</v>
      </c>
      <c r="K35" s="126">
        <f t="shared" si="13"/>
        <v>8039.2071658407594</v>
      </c>
      <c r="L35" s="126">
        <f t="shared" si="13"/>
        <v>8039.2071658407594</v>
      </c>
      <c r="M35" s="126">
        <f t="shared" si="13"/>
        <v>2895.6808799719456</v>
      </c>
      <c r="N35" s="126">
        <f t="shared" si="13"/>
        <v>2895.6808799719456</v>
      </c>
    </row>
    <row r="38" spans="1:15" x14ac:dyDescent="0.25">
      <c r="A38" s="73" t="s">
        <v>494</v>
      </c>
    </row>
    <row r="39" spans="1:15" ht="15.75" x14ac:dyDescent="0.25">
      <c r="A39" s="119"/>
      <c r="B39" s="1">
        <v>2010</v>
      </c>
      <c r="C39" s="1">
        <v>2011</v>
      </c>
      <c r="D39" s="1">
        <v>2012</v>
      </c>
      <c r="E39" s="1">
        <v>2013</v>
      </c>
      <c r="F39" s="1">
        <v>2014</v>
      </c>
      <c r="G39" s="1">
        <v>2015</v>
      </c>
      <c r="H39" s="1">
        <v>2016</v>
      </c>
      <c r="I39" s="1">
        <v>2017</v>
      </c>
      <c r="J39" s="1">
        <v>2018</v>
      </c>
      <c r="K39" s="1">
        <v>2019</v>
      </c>
      <c r="L39" s="1">
        <v>2020</v>
      </c>
      <c r="M39" s="1">
        <v>2021</v>
      </c>
      <c r="N39" s="1">
        <v>2022</v>
      </c>
    </row>
    <row r="40" spans="1:15" s="132" customFormat="1" ht="15.75" x14ac:dyDescent="0.25">
      <c r="A40" s="130" t="s">
        <v>129</v>
      </c>
      <c r="B40" s="131">
        <f>+INGEI_diffs!C33/1000</f>
        <v>350.76867979999997</v>
      </c>
      <c r="C40" s="131">
        <f>+INGEI_diffs!D33/1000</f>
        <v>350.76867979999997</v>
      </c>
      <c r="D40" s="131">
        <f>+INGEI_diffs!E33/1000</f>
        <v>350.76867979999997</v>
      </c>
      <c r="E40" s="131">
        <f>+INGEI_diffs!F33/1000</f>
        <v>350.76867979999997</v>
      </c>
      <c r="F40" s="131">
        <f>+INGEI_diffs!G33/1000</f>
        <v>350.76867979999997</v>
      </c>
      <c r="G40" s="131">
        <f>+INGEI_diffs!H33/1000</f>
        <v>217.36673035000001</v>
      </c>
      <c r="H40" s="131">
        <f>+INGEI_diffs!I33/1000</f>
        <v>83.964780899999994</v>
      </c>
      <c r="I40" s="131">
        <f>+INGEI_diffs!J33/1000</f>
        <v>299.27519545000001</v>
      </c>
      <c r="J40" s="131">
        <f>+INGEI_diffs!K33/1000</f>
        <v>514.58560999999997</v>
      </c>
      <c r="K40" s="131">
        <f>+INGEI_diffs!L33/1000</f>
        <v>114.8681457</v>
      </c>
      <c r="L40" s="131">
        <f>+INGEI_diffs!M33/1000</f>
        <v>114.8681457</v>
      </c>
      <c r="M40" s="131">
        <f>+INGEI_diffs!N33/1000</f>
        <v>434.18952499999995</v>
      </c>
      <c r="N40" s="131">
        <f>+INGEI_diffs!O33/1000</f>
        <v>434.18952499999995</v>
      </c>
    </row>
    <row r="41" spans="1:15" ht="15.75" x14ac:dyDescent="0.25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15" ht="15.75" x14ac:dyDescent="0.25">
      <c r="A42" s="119"/>
      <c r="B42" s="1">
        <v>2010</v>
      </c>
      <c r="C42" s="1">
        <v>2011</v>
      </c>
      <c r="D42" s="1">
        <v>2012</v>
      </c>
      <c r="E42" s="1">
        <v>2013</v>
      </c>
      <c r="F42" s="1">
        <v>2014</v>
      </c>
      <c r="G42" s="1">
        <v>2015</v>
      </c>
      <c r="H42" s="1">
        <v>2016</v>
      </c>
      <c r="I42" s="1">
        <v>2017</v>
      </c>
      <c r="J42" s="1">
        <v>2018</v>
      </c>
      <c r="K42" s="1">
        <v>2019</v>
      </c>
      <c r="L42" s="1">
        <v>2020</v>
      </c>
      <c r="M42" s="1">
        <v>2021</v>
      </c>
      <c r="N42" s="1">
        <v>2022</v>
      </c>
    </row>
    <row r="43" spans="1:15" ht="15.75" x14ac:dyDescent="0.25">
      <c r="A43" s="130" t="s">
        <v>118</v>
      </c>
      <c r="B43" s="75">
        <f>+'Cambio uso de suelo (BAU)'!D75</f>
        <v>9.6924200000000003</v>
      </c>
      <c r="C43" s="75">
        <f>+'Cambio uso de suelo (BAU)'!E75</f>
        <v>9.6924200000000003</v>
      </c>
      <c r="D43" s="75">
        <f>+'Cambio uso de suelo (BAU)'!F75</f>
        <v>9.6924200000000003</v>
      </c>
      <c r="E43" s="75">
        <f>+'Cambio uso de suelo (BAU)'!G75</f>
        <v>9.6924200000000003</v>
      </c>
      <c r="F43" s="75">
        <f>+'Cambio uso de suelo (BAU)'!H75</f>
        <v>9.6924200000000003</v>
      </c>
      <c r="G43" s="75">
        <f>+'Cambio uso de suelo (BAU)'!I75</f>
        <v>6.006265</v>
      </c>
      <c r="H43" s="75">
        <f>+'Cambio uso de suelo (BAU)'!J75</f>
        <v>2.3201100000000001</v>
      </c>
      <c r="I43" s="75">
        <f>+'Cambio uso de suelo (BAU)'!K75</f>
        <v>8.2695550000000004</v>
      </c>
      <c r="J43" s="75">
        <f>+'Cambio uso de suelo (BAU)'!L75</f>
        <v>14.218999999999999</v>
      </c>
      <c r="K43" s="75">
        <f>+'Cambio uso de suelo (BAU)'!M75</f>
        <v>3.1740300000000001</v>
      </c>
      <c r="L43" s="75">
        <f>+'Cambio uso de suelo (BAU)'!N75</f>
        <v>3.1740300000000001</v>
      </c>
      <c r="M43" s="75">
        <f>+'Cambio uso de suelo (BAU)'!O75</f>
        <v>11.9975</v>
      </c>
      <c r="N43" s="75">
        <f>+'Cambio uso de suelo (BAU)'!P75</f>
        <v>11.9975</v>
      </c>
    </row>
    <row r="44" spans="1:15" ht="15.75" x14ac:dyDescent="0.25">
      <c r="A44" s="123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</row>
    <row r="45" spans="1:15" ht="15.75" x14ac:dyDescent="0.25">
      <c r="A45" s="119" t="s">
        <v>119</v>
      </c>
      <c r="B45" s="1">
        <v>2010</v>
      </c>
      <c r="C45" s="1">
        <v>2011</v>
      </c>
      <c r="D45" s="1">
        <v>2012</v>
      </c>
      <c r="E45" s="1">
        <v>2013</v>
      </c>
      <c r="F45" s="1">
        <v>2014</v>
      </c>
      <c r="G45" s="1">
        <v>2015</v>
      </c>
      <c r="H45" s="1">
        <v>2016</v>
      </c>
      <c r="I45" s="1">
        <v>2017</v>
      </c>
      <c r="J45" s="1">
        <v>2018</v>
      </c>
      <c r="K45" s="1">
        <v>2019</v>
      </c>
      <c r="L45" s="1">
        <v>2020</v>
      </c>
      <c r="M45" s="1">
        <v>2021</v>
      </c>
      <c r="N45" s="1">
        <v>2022</v>
      </c>
    </row>
    <row r="46" spans="1:15" x14ac:dyDescent="0.25">
      <c r="A46" s="27" t="s">
        <v>206</v>
      </c>
      <c r="B46" s="126">
        <f t="shared" ref="B46:N46" si="14">+B40/B43</f>
        <v>36.19</v>
      </c>
      <c r="C46" s="126">
        <f t="shared" si="14"/>
        <v>36.19</v>
      </c>
      <c r="D46" s="126">
        <f t="shared" si="14"/>
        <v>36.19</v>
      </c>
      <c r="E46" s="126">
        <f t="shared" si="14"/>
        <v>36.19</v>
      </c>
      <c r="F46" s="126">
        <f t="shared" si="14"/>
        <v>36.19</v>
      </c>
      <c r="G46" s="126">
        <f t="shared" si="14"/>
        <v>36.190000000000005</v>
      </c>
      <c r="H46" s="126">
        <f t="shared" si="14"/>
        <v>36.19</v>
      </c>
      <c r="I46" s="126">
        <f t="shared" si="14"/>
        <v>36.19</v>
      </c>
      <c r="J46" s="126">
        <f t="shared" si="14"/>
        <v>36.19</v>
      </c>
      <c r="K46" s="126">
        <f t="shared" si="14"/>
        <v>36.19</v>
      </c>
      <c r="L46" s="126">
        <f t="shared" si="14"/>
        <v>36.19</v>
      </c>
      <c r="M46" s="126">
        <f t="shared" si="14"/>
        <v>36.189999999999991</v>
      </c>
      <c r="N46" s="126">
        <f t="shared" si="14"/>
        <v>36.189999999999991</v>
      </c>
      <c r="O46" s="127">
        <f>+AVERAGE(B46:N46)</f>
        <v>36.19</v>
      </c>
    </row>
    <row r="48" spans="1:15" x14ac:dyDescent="0.25">
      <c r="A48" s="73" t="s">
        <v>495</v>
      </c>
    </row>
    <row r="49" spans="1:15" ht="15.75" x14ac:dyDescent="0.25">
      <c r="A49" s="119"/>
      <c r="B49" s="1">
        <v>2010</v>
      </c>
      <c r="C49" s="1">
        <v>2011</v>
      </c>
      <c r="D49" s="1">
        <v>2012</v>
      </c>
      <c r="E49" s="1">
        <v>2013</v>
      </c>
      <c r="F49" s="1">
        <v>2014</v>
      </c>
      <c r="G49" s="1">
        <v>2015</v>
      </c>
      <c r="H49" s="1">
        <v>2016</v>
      </c>
      <c r="I49" s="1">
        <v>2017</v>
      </c>
      <c r="J49" s="1">
        <v>2018</v>
      </c>
      <c r="K49" s="1">
        <v>2019</v>
      </c>
      <c r="L49" s="1">
        <v>2020</v>
      </c>
      <c r="M49" s="1">
        <v>2021</v>
      </c>
      <c r="N49" s="1">
        <v>2022</v>
      </c>
    </row>
    <row r="50" spans="1:15" s="132" customFormat="1" ht="15.75" x14ac:dyDescent="0.25">
      <c r="A50" s="130" t="s">
        <v>129</v>
      </c>
      <c r="B50" s="131">
        <f>+INGEI_diffs!C34/1000</f>
        <v>4.2367115999999996</v>
      </c>
      <c r="C50" s="131">
        <f>+INGEI_diffs!D34/1000</f>
        <v>4.2367115999999996</v>
      </c>
      <c r="D50" s="131">
        <f>+INGEI_diffs!E34/1000</f>
        <v>4.2367115999999996</v>
      </c>
      <c r="E50" s="131">
        <f>+INGEI_diffs!F34/1000</f>
        <v>4.2367115999999996</v>
      </c>
      <c r="F50" s="131">
        <f>+INGEI_diffs!G34/1000</f>
        <v>4.2367115999999996</v>
      </c>
      <c r="G50" s="131">
        <f>+INGEI_diffs!H34/1000</f>
        <v>3.3217939333333333</v>
      </c>
      <c r="H50" s="131">
        <f>+INGEI_diffs!I34/1000</f>
        <v>2.4068762666666665</v>
      </c>
      <c r="I50" s="131">
        <f>+INGEI_diffs!J34/1000</f>
        <v>2.1701936666666666</v>
      </c>
      <c r="J50" s="131">
        <f>+INGEI_diffs!K34/1000</f>
        <v>1.9335110666666664</v>
      </c>
      <c r="K50" s="131">
        <f>+INGEI_diffs!L34/1000</f>
        <v>1.5922910666666665</v>
      </c>
      <c r="L50" s="131">
        <f>+INGEI_diffs!M34/1000</f>
        <v>1.5922910666666665</v>
      </c>
      <c r="M50" s="131">
        <f>+INGEI_diffs!N34/1000</f>
        <v>13.344183599999999</v>
      </c>
      <c r="N50" s="131">
        <f>+INGEI_diffs!O34/1000</f>
        <v>13.344183599999999</v>
      </c>
    </row>
    <row r="51" spans="1:15" ht="15.75" x14ac:dyDescent="0.25">
      <c r="A51" s="121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</row>
    <row r="52" spans="1:15" ht="15.75" x14ac:dyDescent="0.25">
      <c r="A52" s="119"/>
      <c r="B52" s="1">
        <v>2010</v>
      </c>
      <c r="C52" s="1">
        <v>2011</v>
      </c>
      <c r="D52" s="1">
        <v>2012</v>
      </c>
      <c r="E52" s="1">
        <v>2013</v>
      </c>
      <c r="F52" s="1">
        <v>2014</v>
      </c>
      <c r="G52" s="1">
        <v>2015</v>
      </c>
      <c r="H52" s="1">
        <v>2016</v>
      </c>
      <c r="I52" s="1">
        <v>2017</v>
      </c>
      <c r="J52" s="1">
        <v>2018</v>
      </c>
      <c r="K52" s="1">
        <v>2019</v>
      </c>
      <c r="L52" s="1">
        <v>2020</v>
      </c>
      <c r="M52" s="1">
        <v>2021</v>
      </c>
      <c r="N52" s="1">
        <v>2022</v>
      </c>
    </row>
    <row r="53" spans="1:15" ht="15.75" x14ac:dyDescent="0.25">
      <c r="A53" s="130" t="s">
        <v>118</v>
      </c>
      <c r="B53" s="112">
        <f>+'Cambio uso de suelo (BAU)'!D76</f>
        <v>0.61460999999999999</v>
      </c>
      <c r="C53" s="112">
        <f>+'Cambio uso de suelo (BAU)'!E76</f>
        <v>0.61460999999999999</v>
      </c>
      <c r="D53" s="112">
        <f>+'Cambio uso de suelo (BAU)'!F76</f>
        <v>0.61460999999999999</v>
      </c>
      <c r="E53" s="112">
        <f>+'Cambio uso de suelo (BAU)'!G76</f>
        <v>0.61460999999999999</v>
      </c>
      <c r="F53" s="112">
        <f>+'Cambio uso de suelo (BAU)'!H76</f>
        <v>0.61460999999999999</v>
      </c>
      <c r="G53" s="112">
        <f>+'Cambio uso de suelo (BAU)'!I76</f>
        <v>0.48188500000000001</v>
      </c>
      <c r="H53" s="112">
        <f>+'Cambio uso de suelo (BAU)'!J76</f>
        <v>0.34916000000000003</v>
      </c>
      <c r="I53" s="112">
        <f>+'Cambio uso de suelo (BAU)'!K76</f>
        <v>0.31482500000000002</v>
      </c>
      <c r="J53" s="112">
        <f>+'Cambio uso de suelo (BAU)'!L76</f>
        <v>0.28049000000000002</v>
      </c>
      <c r="K53" s="112">
        <f>+'Cambio uso de suelo (BAU)'!M76</f>
        <v>0.23099</v>
      </c>
      <c r="L53" s="112">
        <f>+'Cambio uso de suelo (BAU)'!N76</f>
        <v>0.23099</v>
      </c>
      <c r="M53" s="112">
        <f>+'Cambio uso de suelo (BAU)'!O76</f>
        <v>1.93581</v>
      </c>
      <c r="N53" s="112">
        <f>+'Cambio uso de suelo (BAU)'!P76</f>
        <v>1.93581</v>
      </c>
    </row>
    <row r="54" spans="1:15" ht="15.75" x14ac:dyDescent="0.25">
      <c r="A54" s="123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</row>
    <row r="55" spans="1:15" ht="15.75" x14ac:dyDescent="0.25">
      <c r="A55" s="119" t="s">
        <v>119</v>
      </c>
      <c r="B55" s="1">
        <v>2010</v>
      </c>
      <c r="C55" s="1">
        <v>2011</v>
      </c>
      <c r="D55" s="1">
        <v>2012</v>
      </c>
      <c r="E55" s="1">
        <v>2013</v>
      </c>
      <c r="F55" s="1">
        <v>2014</v>
      </c>
      <c r="G55" s="1">
        <v>2015</v>
      </c>
      <c r="H55" s="1">
        <v>2016</v>
      </c>
      <c r="I55" s="1">
        <v>2017</v>
      </c>
      <c r="J55" s="1">
        <v>2018</v>
      </c>
      <c r="K55" s="1">
        <v>2019</v>
      </c>
      <c r="L55" s="1">
        <v>2020</v>
      </c>
      <c r="M55" s="1">
        <v>2021</v>
      </c>
      <c r="N55" s="1">
        <v>2022</v>
      </c>
    </row>
    <row r="56" spans="1:15" x14ac:dyDescent="0.25">
      <c r="A56" s="27" t="s">
        <v>206</v>
      </c>
      <c r="B56" s="126">
        <f>+B50/B53</f>
        <v>6.8933333333333326</v>
      </c>
      <c r="C56" s="126">
        <f t="shared" ref="C56:N56" si="15">+C50/C53</f>
        <v>6.8933333333333326</v>
      </c>
      <c r="D56" s="126">
        <f t="shared" si="15"/>
        <v>6.8933333333333326</v>
      </c>
      <c r="E56" s="126">
        <f t="shared" si="15"/>
        <v>6.8933333333333326</v>
      </c>
      <c r="F56" s="126">
        <f t="shared" si="15"/>
        <v>6.8933333333333326</v>
      </c>
      <c r="G56" s="126">
        <f t="shared" si="15"/>
        <v>6.8933333333333335</v>
      </c>
      <c r="H56" s="126">
        <f t="shared" si="15"/>
        <v>6.8933333333333326</v>
      </c>
      <c r="I56" s="126">
        <f t="shared" si="15"/>
        <v>6.8933333333333326</v>
      </c>
      <c r="J56" s="126">
        <f t="shared" si="15"/>
        <v>6.8933333333333318</v>
      </c>
      <c r="K56" s="126">
        <f t="shared" si="15"/>
        <v>6.8933333333333326</v>
      </c>
      <c r="L56" s="126">
        <f t="shared" si="15"/>
        <v>6.8933333333333326</v>
      </c>
      <c r="M56" s="126">
        <f t="shared" si="15"/>
        <v>6.8933333333333326</v>
      </c>
      <c r="N56" s="126">
        <f t="shared" si="15"/>
        <v>6.8933333333333326</v>
      </c>
      <c r="O56" s="127"/>
    </row>
    <row r="58" spans="1:15" x14ac:dyDescent="0.25">
      <c r="B58" s="75">
        <f>+B50+B40+B12</f>
        <v>518.51266417999989</v>
      </c>
      <c r="C58" s="75">
        <f t="shared" ref="C58:J58" si="16">+C50+C40+C12</f>
        <v>518.51266417999989</v>
      </c>
      <c r="D58" s="75">
        <f t="shared" si="16"/>
        <v>518.51266417999989</v>
      </c>
      <c r="E58" s="75">
        <f t="shared" si="16"/>
        <v>518.51266417999989</v>
      </c>
      <c r="F58" s="75">
        <f t="shared" si="16"/>
        <v>518.51266417999989</v>
      </c>
      <c r="G58" s="75">
        <f t="shared" si="16"/>
        <v>374.64483586166659</v>
      </c>
      <c r="H58" s="75">
        <f t="shared" si="16"/>
        <v>230.77700754333333</v>
      </c>
      <c r="I58" s="75">
        <f t="shared" si="16"/>
        <v>503.9835756624999</v>
      </c>
      <c r="J58" s="75">
        <f t="shared" si="16"/>
        <v>777.19014378166662</v>
      </c>
      <c r="K58" s="75">
        <f>+K50+K40+K12</f>
        <v>1089.5601596766664</v>
      </c>
      <c r="L58" s="75">
        <f>+L50+L40+L12</f>
        <v>1089.5601596766664</v>
      </c>
      <c r="M58" s="75">
        <f>+M50+M40+M12</f>
        <v>1157.6696438966667</v>
      </c>
      <c r="N58" s="75">
        <f>+N50+N40+N12</f>
        <v>1157.6696438966667</v>
      </c>
    </row>
    <row r="59" spans="1:15" x14ac:dyDescent="0.25">
      <c r="B59" s="75">
        <v>517.72893209239999</v>
      </c>
      <c r="C59" s="75">
        <v>517.72893209239999</v>
      </c>
      <c r="D59" s="75">
        <v>517.72893209239999</v>
      </c>
      <c r="E59" s="75">
        <v>517.72893209239999</v>
      </c>
      <c r="F59" s="75">
        <v>517.72893209239999</v>
      </c>
      <c r="G59" s="75">
        <v>372.93418253926666</v>
      </c>
      <c r="H59" s="75">
        <v>228.13943298613336</v>
      </c>
      <c r="I59" s="75">
        <v>499.30422288</v>
      </c>
      <c r="J59" s="75">
        <v>770.46901277386667</v>
      </c>
      <c r="K59" s="594">
        <v>1087.5242841954664</v>
      </c>
      <c r="L59" s="594">
        <v>1087.5242841954664</v>
      </c>
      <c r="M59" s="75">
        <v>1157.2515011210701</v>
      </c>
      <c r="N59" s="75">
        <v>1157.2515011210669</v>
      </c>
    </row>
    <row r="62" spans="1:15" x14ac:dyDescent="0.25">
      <c r="A62" s="73" t="s">
        <v>542</v>
      </c>
    </row>
    <row r="63" spans="1:15" ht="15.75" x14ac:dyDescent="0.25">
      <c r="A63" s="119"/>
      <c r="B63" s="1">
        <v>2010</v>
      </c>
      <c r="C63" s="1">
        <v>2011</v>
      </c>
      <c r="D63" s="1">
        <v>2012</v>
      </c>
      <c r="E63" s="1">
        <v>2013</v>
      </c>
      <c r="F63" s="1">
        <v>2014</v>
      </c>
      <c r="G63" s="1">
        <v>2015</v>
      </c>
      <c r="H63" s="1">
        <v>2016</v>
      </c>
      <c r="I63" s="1">
        <v>2017</v>
      </c>
      <c r="J63" s="1">
        <v>2018</v>
      </c>
      <c r="K63" s="1">
        <v>2019</v>
      </c>
      <c r="L63" s="1">
        <v>2020</v>
      </c>
      <c r="M63" s="1">
        <v>2021</v>
      </c>
      <c r="N63" s="1">
        <v>2022</v>
      </c>
    </row>
    <row r="64" spans="1:15" s="132" customFormat="1" ht="15.75" x14ac:dyDescent="0.25">
      <c r="A64" s="130" t="s">
        <v>129</v>
      </c>
      <c r="B64" s="131">
        <f>+INGEI_diffs!C48/1000</f>
        <v>2.0110000000000001</v>
      </c>
      <c r="C64" s="131">
        <f>+INGEI_diffs!D48/1000</f>
        <v>2.012</v>
      </c>
      <c r="D64" s="131">
        <f>+INGEI_diffs!E48/1000</f>
        <v>2.0129999999999999</v>
      </c>
      <c r="E64" s="131">
        <f>+INGEI_diffs!F48/1000</f>
        <v>2.0139999999999998</v>
      </c>
      <c r="F64" s="131">
        <f>+INGEI_diffs!G48/1000</f>
        <v>2.0150000000000001</v>
      </c>
      <c r="G64" s="131">
        <f>+INGEI_diffs!H48/1000</f>
        <v>2.016</v>
      </c>
      <c r="H64" s="131">
        <f>+INGEI_diffs!I48/1000</f>
        <v>2.0169999999999999</v>
      </c>
      <c r="I64" s="131">
        <f>+INGEI_diffs!J48/1000</f>
        <v>2.0179999999999998</v>
      </c>
      <c r="J64" s="131">
        <f>+INGEI_diffs!K48/1000</f>
        <v>2.0190000000000001</v>
      </c>
      <c r="K64" s="131">
        <f>+INGEI_diffs!L48/1000</f>
        <v>2.02</v>
      </c>
      <c r="L64" s="131">
        <f>+INGEI_diffs!M48/1000</f>
        <v>2.0209999999999999</v>
      </c>
      <c r="M64" s="131">
        <f>+INGEI_diffs!N48/1000</f>
        <v>2.0219999999999998</v>
      </c>
      <c r="N64" s="131">
        <f>+INGEI_diffs!O48/1000</f>
        <v>0</v>
      </c>
    </row>
    <row r="65" spans="1:15" ht="15.75" x14ac:dyDescent="0.25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</row>
    <row r="66" spans="1:15" ht="15.75" x14ac:dyDescent="0.25">
      <c r="A66" s="119"/>
      <c r="B66" s="1">
        <v>2010</v>
      </c>
      <c r="C66" s="1">
        <v>2011</v>
      </c>
      <c r="D66" s="1">
        <v>2012</v>
      </c>
      <c r="E66" s="1">
        <v>2013</v>
      </c>
      <c r="F66" s="1">
        <v>2014</v>
      </c>
      <c r="G66" s="1">
        <v>2015</v>
      </c>
      <c r="H66" s="1">
        <v>2016</v>
      </c>
      <c r="I66" s="1">
        <v>2017</v>
      </c>
      <c r="J66" s="1">
        <v>2018</v>
      </c>
      <c r="K66" s="1">
        <v>2019</v>
      </c>
      <c r="L66" s="1">
        <v>2020</v>
      </c>
      <c r="M66" s="1">
        <v>2021</v>
      </c>
      <c r="N66" s="1">
        <v>2022</v>
      </c>
    </row>
    <row r="67" spans="1:15" ht="15.75" x14ac:dyDescent="0.25">
      <c r="A67" s="130" t="s">
        <v>118</v>
      </c>
      <c r="B67" s="112">
        <f>+'Cambio uso de suelo (BAU)'!D90</f>
        <v>3.3818250000000001</v>
      </c>
      <c r="C67" s="112">
        <f>+'Cambio uso de suelo (BAU)'!E90</f>
        <v>3.3818250000000001</v>
      </c>
      <c r="D67" s="112">
        <f>+'Cambio uso de suelo (BAU)'!F90</f>
        <v>3.3818250000000001</v>
      </c>
      <c r="E67" s="112">
        <f>+'Cambio uso de suelo (BAU)'!G90</f>
        <v>3.3818250000000001</v>
      </c>
      <c r="F67" s="112">
        <f>+'Cambio uso de suelo (BAU)'!H90</f>
        <v>3.3818250000000001</v>
      </c>
      <c r="G67" s="112">
        <f>+'Cambio uso de suelo (BAU)'!I90</f>
        <v>2.7586950000000003</v>
      </c>
      <c r="H67" s="112">
        <f>+'Cambio uso de suelo (BAU)'!J90</f>
        <v>2.1355650000000002</v>
      </c>
      <c r="I67" s="112">
        <f>+'Cambio uso de suelo (BAU)'!K90</f>
        <v>3.7257825000000002</v>
      </c>
      <c r="J67" s="112">
        <f>+'Cambio uso de suelo (BAU)'!L90</f>
        <v>5.3159999999999998</v>
      </c>
      <c r="K67" s="112">
        <f>+'Cambio uso de suelo (BAU)'!M90</f>
        <v>0.19642999999999999</v>
      </c>
      <c r="L67" s="112">
        <f>+'Cambio uso de suelo (BAU)'!N90</f>
        <v>0.19642999999999999</v>
      </c>
      <c r="M67" s="112">
        <f>+'Cambio uso de suelo (BAU)'!O90</f>
        <v>2.3431100000000002</v>
      </c>
      <c r="N67" s="112">
        <f>+'Cambio uso de suelo (BAU)'!P90</f>
        <v>2.3431100000000002</v>
      </c>
    </row>
    <row r="68" spans="1:15" ht="15.75" x14ac:dyDescent="0.25">
      <c r="A68" s="123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</row>
    <row r="69" spans="1:15" ht="15.75" x14ac:dyDescent="0.25">
      <c r="A69" s="119" t="s">
        <v>119</v>
      </c>
      <c r="B69" s="1">
        <v>2010</v>
      </c>
      <c r="C69" s="1">
        <v>2011</v>
      </c>
      <c r="D69" s="1">
        <v>2012</v>
      </c>
      <c r="E69" s="1">
        <v>2013</v>
      </c>
      <c r="F69" s="1">
        <v>2014</v>
      </c>
      <c r="G69" s="1">
        <v>2015</v>
      </c>
      <c r="H69" s="1">
        <v>2016</v>
      </c>
      <c r="I69" s="1">
        <v>2017</v>
      </c>
      <c r="J69" s="1">
        <v>2018</v>
      </c>
      <c r="K69" s="1">
        <v>2019</v>
      </c>
      <c r="L69" s="1">
        <v>2020</v>
      </c>
      <c r="M69" s="1">
        <v>2021</v>
      </c>
      <c r="N69" s="1">
        <v>2022</v>
      </c>
    </row>
    <row r="70" spans="1:15" x14ac:dyDescent="0.25">
      <c r="A70" s="27" t="s">
        <v>206</v>
      </c>
      <c r="B70" s="126">
        <f>+B64/B67</f>
        <v>0.59464933874461279</v>
      </c>
      <c r="C70" s="126">
        <f t="shared" ref="C70:N70" si="17">+C64/C67</f>
        <v>0.59494503707317792</v>
      </c>
      <c r="D70" s="126">
        <f t="shared" si="17"/>
        <v>0.59524073540174305</v>
      </c>
      <c r="E70" s="126">
        <f t="shared" si="17"/>
        <v>0.59553643373030829</v>
      </c>
      <c r="F70" s="126">
        <f t="shared" si="17"/>
        <v>0.59583213205887353</v>
      </c>
      <c r="G70" s="126">
        <f t="shared" si="17"/>
        <v>0.73078031460527526</v>
      </c>
      <c r="H70" s="126">
        <f t="shared" si="17"/>
        <v>0.94448073460653259</v>
      </c>
      <c r="I70" s="126">
        <f t="shared" si="17"/>
        <v>0.54163118754248263</v>
      </c>
      <c r="J70" s="126">
        <f t="shared" si="17"/>
        <v>0.37979683972911965</v>
      </c>
      <c r="K70" s="126">
        <f t="shared" si="17"/>
        <v>10.283561574097643</v>
      </c>
      <c r="L70" s="126">
        <f t="shared" si="17"/>
        <v>10.288652446164027</v>
      </c>
      <c r="M70" s="126">
        <f t="shared" si="17"/>
        <v>0.86295564442130313</v>
      </c>
      <c r="N70" s="126">
        <f t="shared" si="17"/>
        <v>0</v>
      </c>
      <c r="O70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E307-5203-4F5B-940B-130134D788E9}">
  <dimension ref="A1:AB97"/>
  <sheetViews>
    <sheetView topLeftCell="A86" workbookViewId="0">
      <selection activeCell="B80" sqref="B80"/>
    </sheetView>
  </sheetViews>
  <sheetFormatPr defaultColWidth="10.85546875" defaultRowHeight="15" x14ac:dyDescent="0.25"/>
  <cols>
    <col min="1" max="1" width="36" customWidth="1"/>
    <col min="2" max="2" width="18.7109375" bestFit="1" customWidth="1"/>
    <col min="3" max="10" width="13.5703125" bestFit="1" customWidth="1"/>
    <col min="11" max="14" width="14.5703125" bestFit="1" customWidth="1"/>
  </cols>
  <sheetData>
    <row r="1" spans="1:21" x14ac:dyDescent="0.25">
      <c r="A1" s="73" t="s">
        <v>496</v>
      </c>
      <c r="B1">
        <f>+INGEI_diffs!C25/1000</f>
        <v>257.83015640799994</v>
      </c>
      <c r="C1">
        <f>+INGEI_diffs!D25/1000</f>
        <v>257.83015640799994</v>
      </c>
      <c r="D1">
        <f>+INGEI_diffs!E25/1000</f>
        <v>257.83015640799994</v>
      </c>
      <c r="E1">
        <f>+INGEI_diffs!F25/1000</f>
        <v>257.83015640799994</v>
      </c>
      <c r="F1">
        <f>+INGEI_diffs!G25/1000</f>
        <v>257.83015640799994</v>
      </c>
      <c r="G1">
        <f>+INGEI_diffs!H25/1000</f>
        <v>317.09799265099997</v>
      </c>
      <c r="H1">
        <f>+INGEI_diffs!I25/1000</f>
        <v>376.365828894</v>
      </c>
      <c r="I1">
        <f>+INGEI_diffs!J25/1000</f>
        <v>359.7801308475</v>
      </c>
      <c r="J1">
        <f>+INGEI_diffs!K25/1000</f>
        <v>343.194432801</v>
      </c>
      <c r="K1">
        <f>+INGEI_diffs!L25/1000</f>
        <v>2678.9562014269995</v>
      </c>
      <c r="L1">
        <f>+INGEI_diffs!M25/1000</f>
        <v>2678.9562014269995</v>
      </c>
      <c r="M1">
        <f>+INGEI_diffs!N25/1000</f>
        <v>3822.7734308939989</v>
      </c>
      <c r="N1">
        <f>+INGEI_diffs!O25/1000</f>
        <v>3822.7734308939989</v>
      </c>
    </row>
    <row r="2" spans="1:21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21" ht="15.75" x14ac:dyDescent="0.25">
      <c r="A3" s="502" t="s">
        <v>18</v>
      </c>
      <c r="B3" s="75">
        <f>+'5ta'!$R87*B$1</f>
        <v>0.63196910355773239</v>
      </c>
      <c r="C3" s="75">
        <f>+'5ta'!$R87*C$1</f>
        <v>0.63196910355773239</v>
      </c>
      <c r="D3" s="75">
        <f>+'5ta'!$R87*D$1</f>
        <v>0.63196910355773239</v>
      </c>
      <c r="E3" s="75">
        <f>+'5ta'!$R87*E$1</f>
        <v>0.63196910355773239</v>
      </c>
      <c r="F3" s="75">
        <f>+'5ta'!$R87*F$1</f>
        <v>0.63196910355773239</v>
      </c>
      <c r="G3" s="75">
        <f>+'5ta'!$R87*G$1</f>
        <v>0.77724086641942169</v>
      </c>
      <c r="H3" s="75">
        <f>+'5ta'!$R87*H$1</f>
        <v>0.92251262928111089</v>
      </c>
      <c r="I3" s="75">
        <f>+'5ta'!$R87*I$1</f>
        <v>0.88185932141226997</v>
      </c>
      <c r="J3" s="75">
        <f>+'5ta'!$R87*J$1</f>
        <v>0.84120601354342894</v>
      </c>
      <c r="K3" s="75">
        <f>+'5ta'!$R87*K$1</f>
        <v>6.5664062446099427</v>
      </c>
      <c r="L3" s="75">
        <f>+'5ta'!$R87*L$1</f>
        <v>6.5664062446099427</v>
      </c>
      <c r="M3" s="75">
        <f>+'5ta'!$R87*M$1</f>
        <v>9.3700237857492059</v>
      </c>
      <c r="N3" s="75">
        <f>+'5ta'!$R87*N$1</f>
        <v>9.3700237857492059</v>
      </c>
      <c r="P3" s="524"/>
      <c r="Q3" s="524"/>
      <c r="R3" s="524"/>
      <c r="S3" s="524"/>
      <c r="T3" s="524"/>
      <c r="U3" s="524"/>
    </row>
    <row r="4" spans="1:21" ht="15.75" x14ac:dyDescent="0.25">
      <c r="A4" s="502" t="s">
        <v>20</v>
      </c>
      <c r="B4" s="75">
        <f>+'5ta'!$R88*B$1</f>
        <v>6.1712957612475492</v>
      </c>
      <c r="C4" s="75">
        <f>+'5ta'!$R88*C$1</f>
        <v>6.1712957612475492</v>
      </c>
      <c r="D4" s="75">
        <f>+'5ta'!$R88*D$1</f>
        <v>6.1712957612475492</v>
      </c>
      <c r="E4" s="75">
        <f>+'5ta'!$R88*E$1</f>
        <v>6.1712957612475492</v>
      </c>
      <c r="F4" s="75">
        <f>+'5ta'!$R88*F$1</f>
        <v>6.1712957612475492</v>
      </c>
      <c r="G4" s="75">
        <f>+'5ta'!$R88*G$1</f>
        <v>7.5899015274634642</v>
      </c>
      <c r="H4" s="75">
        <f>+'5ta'!$R88*H$1</f>
        <v>9.0085072936793793</v>
      </c>
      <c r="I4" s="75">
        <f>+'5ta'!$R88*I$1</f>
        <v>8.6115201860513384</v>
      </c>
      <c r="J4" s="75">
        <f>+'5ta'!$R88*J$1</f>
        <v>8.2145330784232975</v>
      </c>
      <c r="K4" s="75">
        <f>+'5ta'!$R88*K$1</f>
        <v>64.122177485989781</v>
      </c>
      <c r="L4" s="75">
        <f>+'5ta'!$R88*L$1</f>
        <v>64.122177485989781</v>
      </c>
      <c r="M4" s="75">
        <f>+'5ta'!$R88*M$1</f>
        <v>91.500023887639742</v>
      </c>
      <c r="N4" s="75">
        <f>+'5ta'!$R88*N$1</f>
        <v>91.500023887639742</v>
      </c>
      <c r="P4" s="524"/>
      <c r="Q4" s="524"/>
      <c r="R4" s="524"/>
      <c r="S4" s="524"/>
      <c r="T4" s="524"/>
      <c r="U4" s="524"/>
    </row>
    <row r="5" spans="1:21" ht="15.75" x14ac:dyDescent="0.25">
      <c r="A5" s="502" t="s">
        <v>21</v>
      </c>
      <c r="B5" s="75">
        <f>+'5ta'!$R89*B$1</f>
        <v>59.010533685236325</v>
      </c>
      <c r="C5" s="75">
        <f>+'5ta'!$R89*C$1</f>
        <v>59.010533685236325</v>
      </c>
      <c r="D5" s="75">
        <f>+'5ta'!$R89*D$1</f>
        <v>59.010533685236325</v>
      </c>
      <c r="E5" s="75">
        <f>+'5ta'!$R89*E$1</f>
        <v>59.010533685236325</v>
      </c>
      <c r="F5" s="75">
        <f>+'5ta'!$R89*F$1</f>
        <v>59.010533685236325</v>
      </c>
      <c r="G5" s="75">
        <f>+'5ta'!$R89*G$1</f>
        <v>72.575380776024915</v>
      </c>
      <c r="H5" s="75">
        <f>+'5ta'!$R89*H$1</f>
        <v>86.14022786681349</v>
      </c>
      <c r="I5" s="75">
        <f>+'5ta'!$R89*I$1</f>
        <v>82.344198314252679</v>
      </c>
      <c r="J5" s="75">
        <f>+'5ta'!$R89*J$1</f>
        <v>78.548168761691855</v>
      </c>
      <c r="K5" s="75">
        <f>+'5ta'!$R89*K$1</f>
        <v>613.14253292938542</v>
      </c>
      <c r="L5" s="75">
        <f>+'5ta'!$R89*L$1</f>
        <v>613.14253292938542</v>
      </c>
      <c r="M5" s="75">
        <f>+'5ta'!$R89*M$1</f>
        <v>874.93217805687743</v>
      </c>
      <c r="N5" s="75">
        <f>+'5ta'!$R89*N$1</f>
        <v>874.93217805687743</v>
      </c>
      <c r="P5" s="524"/>
      <c r="Q5" s="524"/>
      <c r="R5" s="524"/>
      <c r="S5" s="524"/>
      <c r="T5" s="524"/>
      <c r="U5" s="524"/>
    </row>
    <row r="6" spans="1:21" ht="15.75" x14ac:dyDescent="0.25">
      <c r="A6" s="502" t="s">
        <v>22</v>
      </c>
      <c r="B6" s="75">
        <f>+'5ta'!$R90*B$1</f>
        <v>23.987401397780452</v>
      </c>
      <c r="C6" s="75">
        <f>+'5ta'!$R90*C$1</f>
        <v>23.987401397780452</v>
      </c>
      <c r="D6" s="75">
        <f>+'5ta'!$R90*D$1</f>
        <v>23.987401397780452</v>
      </c>
      <c r="E6" s="75">
        <f>+'5ta'!$R90*E$1</f>
        <v>23.987401397780452</v>
      </c>
      <c r="F6" s="75">
        <f>+'5ta'!$R90*F$1</f>
        <v>23.987401397780452</v>
      </c>
      <c r="G6" s="75">
        <f>+'5ta'!$R90*G$1</f>
        <v>29.501424263628</v>
      </c>
      <c r="H6" s="75">
        <f>+'5ta'!$R90*H$1</f>
        <v>35.015447129475554</v>
      </c>
      <c r="I6" s="75">
        <f>+'5ta'!$R90*I$1</f>
        <v>33.472385596075206</v>
      </c>
      <c r="J6" s="75">
        <f>+'5ta'!$R90*J$1</f>
        <v>31.929324062674866</v>
      </c>
      <c r="K6" s="75">
        <f>+'5ta'!$R90*K$1</f>
        <v>249.2384856215707</v>
      </c>
      <c r="L6" s="75">
        <f>+'5ta'!$R90*L$1</f>
        <v>249.2384856215707</v>
      </c>
      <c r="M6" s="75">
        <f>+'5ta'!$R90*M$1</f>
        <v>355.65428814509096</v>
      </c>
      <c r="N6" s="75">
        <f>+'5ta'!$R90*N$1</f>
        <v>355.65428814509096</v>
      </c>
      <c r="P6" s="524"/>
      <c r="Q6" s="524"/>
      <c r="R6" s="524"/>
      <c r="S6" s="524"/>
      <c r="T6" s="524"/>
      <c r="U6" s="524"/>
    </row>
    <row r="7" spans="1:21" ht="15.75" x14ac:dyDescent="0.25">
      <c r="A7" s="502" t="s">
        <v>23</v>
      </c>
      <c r="B7" s="75">
        <f>+'5ta'!$R91*B$1</f>
        <v>16.519502208558507</v>
      </c>
      <c r="C7" s="75">
        <f>+'5ta'!$R91*C$1</f>
        <v>16.519502208558507</v>
      </c>
      <c r="D7" s="75">
        <f>+'5ta'!$R91*D$1</f>
        <v>16.519502208558507</v>
      </c>
      <c r="E7" s="75">
        <f>+'5ta'!$R91*E$1</f>
        <v>16.519502208558507</v>
      </c>
      <c r="F7" s="75">
        <f>+'5ta'!$R91*F$1</f>
        <v>16.519502208558507</v>
      </c>
      <c r="G7" s="75">
        <f>+'5ta'!$R91*G$1</f>
        <v>20.316866975166327</v>
      </c>
      <c r="H7" s="75">
        <f>+'5ta'!$R91*H$1</f>
        <v>24.114231741774152</v>
      </c>
      <c r="I7" s="75">
        <f>+'5ta'!$R91*I$1</f>
        <v>23.051565220034647</v>
      </c>
      <c r="J7" s="75">
        <f>+'5ta'!$R91*J$1</f>
        <v>21.988898698295145</v>
      </c>
      <c r="K7" s="75">
        <f>+'5ta'!$R91*K$1</f>
        <v>171.64409122133117</v>
      </c>
      <c r="L7" s="75">
        <f>+'5ta'!$R91*L$1</f>
        <v>171.64409122133117</v>
      </c>
      <c r="M7" s="75">
        <f>+'5ta'!$R91*M$1</f>
        <v>244.92989886931926</v>
      </c>
      <c r="N7" s="75">
        <f>+'5ta'!$R91*N$1</f>
        <v>244.92989886931926</v>
      </c>
      <c r="P7" s="524"/>
      <c r="Q7" s="524"/>
      <c r="R7" s="524"/>
      <c r="S7" s="524"/>
      <c r="T7" s="524"/>
      <c r="U7" s="524"/>
    </row>
    <row r="8" spans="1:21" ht="15.75" x14ac:dyDescent="0.25">
      <c r="A8" s="502" t="s">
        <v>24</v>
      </c>
      <c r="B8" s="75">
        <f>+'5ta'!$R92*B$1</f>
        <v>120.88141038827577</v>
      </c>
      <c r="C8" s="75">
        <f>+'5ta'!$R92*C$1</f>
        <v>120.88141038827577</v>
      </c>
      <c r="D8" s="75">
        <f>+'5ta'!$R92*D$1</f>
        <v>120.88141038827577</v>
      </c>
      <c r="E8" s="75">
        <f>+'5ta'!$R92*E$1</f>
        <v>120.88141038827577</v>
      </c>
      <c r="F8" s="75">
        <f>+'5ta'!$R92*F$1</f>
        <v>120.88141038827577</v>
      </c>
      <c r="G8" s="75">
        <f>+'5ta'!$R92*G$1</f>
        <v>148.66861625870945</v>
      </c>
      <c r="H8" s="75">
        <f>+'5ta'!$R92*H$1</f>
        <v>176.45582212914314</v>
      </c>
      <c r="I8" s="75">
        <f>+'5ta'!$R92*I$1</f>
        <v>168.67976288120025</v>
      </c>
      <c r="J8" s="75">
        <f>+'5ta'!$R92*J$1</f>
        <v>160.90370363325735</v>
      </c>
      <c r="K8" s="75">
        <f>+'5ta'!$R92*K$1</f>
        <v>1256.0051489262701</v>
      </c>
      <c r="L8" s="75">
        <f>+'5ta'!$R92*L$1</f>
        <v>1256.0051489262701</v>
      </c>
      <c r="M8" s="75">
        <f>+'5ta'!$R92*M$1</f>
        <v>1792.2738377819808</v>
      </c>
      <c r="N8" s="75">
        <f>+'5ta'!$R92*N$1</f>
        <v>1792.2738377819808</v>
      </c>
      <c r="P8" s="524"/>
      <c r="Q8" s="524"/>
      <c r="R8" s="524"/>
      <c r="S8" s="524"/>
      <c r="T8" s="524"/>
      <c r="U8" s="524"/>
    </row>
    <row r="9" spans="1:21" ht="15.75" x14ac:dyDescent="0.25">
      <c r="A9" s="502" t="s">
        <v>25</v>
      </c>
      <c r="B9" s="75">
        <f>+'5ta'!$R93*B$1</f>
        <v>13.39271496288719</v>
      </c>
      <c r="C9" s="75">
        <f>+'5ta'!$R93*C$1</f>
        <v>13.39271496288719</v>
      </c>
      <c r="D9" s="75">
        <f>+'5ta'!$R93*D$1</f>
        <v>13.39271496288719</v>
      </c>
      <c r="E9" s="75">
        <f>+'5ta'!$R93*E$1</f>
        <v>13.39271496288719</v>
      </c>
      <c r="F9" s="75">
        <f>+'5ta'!$R93*F$1</f>
        <v>13.39271496288719</v>
      </c>
      <c r="G9" s="75">
        <f>+'5ta'!$R93*G$1</f>
        <v>16.471320073817285</v>
      </c>
      <c r="H9" s="75">
        <f>+'5ta'!$R93*H$1</f>
        <v>19.54992518474738</v>
      </c>
      <c r="I9" s="75">
        <f>+'5ta'!$R93*I$1</f>
        <v>18.688398629856</v>
      </c>
      <c r="J9" s="75">
        <f>+'5ta'!$R93*J$1</f>
        <v>17.826872074964623</v>
      </c>
      <c r="K9" s="75">
        <f>+'5ta'!$R93*K$1</f>
        <v>139.15554837966801</v>
      </c>
      <c r="L9" s="75">
        <f>+'5ta'!$R93*L$1</f>
        <v>139.15554837966801</v>
      </c>
      <c r="M9" s="75">
        <f>+'5ta'!$R93*M$1</f>
        <v>198.56992541495086</v>
      </c>
      <c r="N9" s="75">
        <f>+'5ta'!$R93*N$1</f>
        <v>198.56992541495086</v>
      </c>
      <c r="P9" s="524"/>
      <c r="Q9" s="524"/>
      <c r="R9" s="524"/>
      <c r="S9" s="524"/>
      <c r="T9" s="524"/>
      <c r="U9" s="524"/>
    </row>
    <row r="10" spans="1:21" ht="15.75" x14ac:dyDescent="0.25">
      <c r="A10" s="502" t="s">
        <v>26</v>
      </c>
      <c r="B10" s="75">
        <f>+'5ta'!$R94*B$1</f>
        <v>3.3261092708115845</v>
      </c>
      <c r="C10" s="75">
        <f>+'5ta'!$R94*C$1</f>
        <v>3.3261092708115845</v>
      </c>
      <c r="D10" s="75">
        <f>+'5ta'!$R94*D$1</f>
        <v>3.3261092708115845</v>
      </c>
      <c r="E10" s="75">
        <f>+'5ta'!$R94*E$1</f>
        <v>3.3261092708115845</v>
      </c>
      <c r="F10" s="75">
        <f>+'5ta'!$R94*F$1</f>
        <v>3.3261092708115845</v>
      </c>
      <c r="G10" s="75">
        <f>+'5ta'!$R94*G$1</f>
        <v>4.0906874037001106</v>
      </c>
      <c r="H10" s="75">
        <f>+'5ta'!$R94*H$1</f>
        <v>4.8552655365886368</v>
      </c>
      <c r="I10" s="75">
        <f>+'5ta'!$R94*I$1</f>
        <v>4.6413035827043565</v>
      </c>
      <c r="J10" s="75">
        <f>+'5ta'!$R94*J$1</f>
        <v>4.4273416288200762</v>
      </c>
      <c r="K10" s="75">
        <f>+'5ta'!$R94*K$1</f>
        <v>34.559576667844176</v>
      </c>
      <c r="L10" s="75">
        <f>+'5ta'!$R94*L$1</f>
        <v>34.559576667844176</v>
      </c>
      <c r="M10" s="75">
        <f>+'5ta'!$R94*M$1</f>
        <v>49.315263683074036</v>
      </c>
      <c r="N10" s="75">
        <f>+'5ta'!$R94*N$1</f>
        <v>49.315263683074036</v>
      </c>
      <c r="P10" s="524"/>
      <c r="Q10" s="524"/>
      <c r="R10" s="524"/>
      <c r="S10" s="524"/>
      <c r="T10" s="524"/>
      <c r="U10" s="524"/>
    </row>
    <row r="11" spans="1:21" ht="15.75" x14ac:dyDescent="0.25">
      <c r="A11" s="502" t="s">
        <v>27</v>
      </c>
      <c r="B11" s="75">
        <f>+'5ta'!$R95*B$1</f>
        <v>13.909219629644806</v>
      </c>
      <c r="C11" s="75">
        <f>+'5ta'!$R95*C$1</f>
        <v>13.909219629644806</v>
      </c>
      <c r="D11" s="75">
        <f>+'5ta'!$R95*D$1</f>
        <v>13.909219629644806</v>
      </c>
      <c r="E11" s="75">
        <f>+'5ta'!$R95*E$1</f>
        <v>13.909219629644806</v>
      </c>
      <c r="F11" s="75">
        <f>+'5ta'!$R95*F$1</f>
        <v>13.909219629644806</v>
      </c>
      <c r="G11" s="75">
        <f>+'5ta'!$R95*G$1</f>
        <v>17.106554506070964</v>
      </c>
      <c r="H11" s="75">
        <f>+'5ta'!$R95*H$1</f>
        <v>20.303889382497125</v>
      </c>
      <c r="I11" s="75">
        <f>+'5ta'!$R95*I$1</f>
        <v>19.409137115913225</v>
      </c>
      <c r="J11" s="75">
        <f>+'5ta'!$R95*J$1</f>
        <v>18.514384849329325</v>
      </c>
      <c r="K11" s="75">
        <f>+'5ta'!$R95*K$1</f>
        <v>144.52223395032985</v>
      </c>
      <c r="L11" s="75">
        <f>+'5ta'!$R95*L$1</f>
        <v>144.52223395032985</v>
      </c>
      <c r="M11" s="75">
        <f>+'5ta'!$R95*M$1</f>
        <v>206.22799126931616</v>
      </c>
      <c r="N11" s="75">
        <f>+'5ta'!$R95*N$1</f>
        <v>206.22799126931616</v>
      </c>
      <c r="P11" s="524"/>
      <c r="Q11" s="524"/>
      <c r="R11" s="524"/>
      <c r="S11" s="524"/>
      <c r="T11" s="524"/>
      <c r="U11" s="524"/>
    </row>
    <row r="12" spans="1:21" ht="15.75" x14ac:dyDescent="0.25">
      <c r="A12" s="503" t="s">
        <v>14</v>
      </c>
      <c r="B12" s="122">
        <f t="shared" ref="B12:N12" si="0">+SUM(B3:B11)</f>
        <v>257.83015640799988</v>
      </c>
      <c r="C12" s="122">
        <f t="shared" si="0"/>
        <v>257.83015640799988</v>
      </c>
      <c r="D12" s="122">
        <f t="shared" si="0"/>
        <v>257.83015640799988</v>
      </c>
      <c r="E12" s="122">
        <f t="shared" si="0"/>
        <v>257.83015640799988</v>
      </c>
      <c r="F12" s="122">
        <f t="shared" si="0"/>
        <v>257.83015640799988</v>
      </c>
      <c r="G12" s="122">
        <f t="shared" si="0"/>
        <v>317.09799265099991</v>
      </c>
      <c r="H12" s="122">
        <f t="shared" si="0"/>
        <v>376.365828894</v>
      </c>
      <c r="I12" s="122">
        <f t="shared" si="0"/>
        <v>359.7801308475</v>
      </c>
      <c r="J12" s="122">
        <f t="shared" si="0"/>
        <v>343.194432801</v>
      </c>
      <c r="K12" s="122">
        <f t="shared" si="0"/>
        <v>2678.9562014269991</v>
      </c>
      <c r="L12" s="122">
        <f t="shared" si="0"/>
        <v>2678.9562014269991</v>
      </c>
      <c r="M12" s="122">
        <f t="shared" si="0"/>
        <v>3822.7734308939985</v>
      </c>
      <c r="N12" s="122">
        <f t="shared" si="0"/>
        <v>3822.7734308939985</v>
      </c>
    </row>
    <row r="13" spans="1:21" ht="15.75" x14ac:dyDescent="0.25">
      <c r="A13" s="503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</row>
    <row r="14" spans="1:21" ht="15.75" x14ac:dyDescent="0.25">
      <c r="A14" s="119" t="s">
        <v>118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P14" s="525"/>
      <c r="Q14" s="525"/>
      <c r="R14" s="525"/>
      <c r="S14" s="525"/>
      <c r="T14" s="525"/>
      <c r="U14" s="525"/>
    </row>
    <row r="15" spans="1:21" x14ac:dyDescent="0.25">
      <c r="B15" s="1">
        <v>2010</v>
      </c>
      <c r="C15" s="1">
        <v>2011</v>
      </c>
      <c r="D15" s="1">
        <v>2012</v>
      </c>
      <c r="E15" s="1">
        <v>2013</v>
      </c>
      <c r="F15" s="1">
        <v>2014</v>
      </c>
      <c r="G15" s="1">
        <v>2015</v>
      </c>
      <c r="H15" s="1">
        <v>2016</v>
      </c>
      <c r="I15" s="1">
        <v>2017</v>
      </c>
      <c r="J15" s="1">
        <v>2018</v>
      </c>
      <c r="K15" s="1">
        <v>2019</v>
      </c>
      <c r="L15" s="1">
        <v>2020</v>
      </c>
      <c r="M15" s="1">
        <v>2021</v>
      </c>
      <c r="N15" s="1">
        <v>2022</v>
      </c>
      <c r="P15" s="525"/>
      <c r="Q15" s="525"/>
      <c r="R15" s="525"/>
      <c r="S15" s="525"/>
      <c r="T15" s="525"/>
      <c r="U15" s="525"/>
    </row>
    <row r="16" spans="1:21" ht="15.75" x14ac:dyDescent="0.25">
      <c r="A16" s="502" t="s">
        <v>18</v>
      </c>
      <c r="B16" s="74">
        <f>+'Cambio uso de suelo (BAU)'!D51</f>
        <v>0</v>
      </c>
      <c r="C16" s="74">
        <f>+'Cambio uso de suelo (BAU)'!E51</f>
        <v>0</v>
      </c>
      <c r="D16" s="74">
        <f>+'Cambio uso de suelo (BAU)'!F51</f>
        <v>0</v>
      </c>
      <c r="E16" s="74">
        <f>+'Cambio uso de suelo (BAU)'!G51</f>
        <v>0</v>
      </c>
      <c r="F16" s="74">
        <f>+'Cambio uso de suelo (BAU)'!H51</f>
        <v>0</v>
      </c>
      <c r="G16" s="74">
        <f>+'Cambio uso de suelo (BAU)'!I51</f>
        <v>0</v>
      </c>
      <c r="H16" s="74">
        <f>+'Cambio uso de suelo (BAU)'!J51</f>
        <v>0</v>
      </c>
      <c r="I16" s="74">
        <f>+'Cambio uso de suelo (BAU)'!K51</f>
        <v>0</v>
      </c>
      <c r="J16" s="74">
        <f>+'Cambio uso de suelo (BAU)'!L51</f>
        <v>0</v>
      </c>
      <c r="K16" s="74">
        <f>+'Cambio uso de suelo (BAU)'!M51</f>
        <v>5.706E-2</v>
      </c>
      <c r="L16" s="74">
        <f>+'Cambio uso de suelo (BAU)'!N51</f>
        <v>5.706E-2</v>
      </c>
      <c r="M16" s="74">
        <f>+'Cambio uso de suelo (BAU)'!O51</f>
        <v>9.134999999999999E-3</v>
      </c>
      <c r="N16" s="74">
        <f>+'Cambio uso de suelo (BAU)'!P51</f>
        <v>9.134999999999999E-3</v>
      </c>
      <c r="P16" s="525"/>
      <c r="Q16" s="525"/>
      <c r="R16" s="525"/>
      <c r="S16" s="525"/>
      <c r="T16" s="525"/>
      <c r="U16" s="525"/>
    </row>
    <row r="17" spans="1:28" ht="15.75" x14ac:dyDescent="0.25">
      <c r="A17" s="502" t="s">
        <v>20</v>
      </c>
      <c r="B17" s="74">
        <f>+'Cambio uso de suelo (BAU)'!D52</f>
        <v>0.18540000000000001</v>
      </c>
      <c r="C17" s="74">
        <f>+'Cambio uso de suelo (BAU)'!E52</f>
        <v>0.18540000000000001</v>
      </c>
      <c r="D17" s="74">
        <f>+'Cambio uso de suelo (BAU)'!F52</f>
        <v>0.18540000000000001</v>
      </c>
      <c r="E17" s="74">
        <f>+'Cambio uso de suelo (BAU)'!G52</f>
        <v>0.18540000000000001</v>
      </c>
      <c r="F17" s="74">
        <f>+'Cambio uso de suelo (BAU)'!H52</f>
        <v>0.18540000000000001</v>
      </c>
      <c r="G17" s="74">
        <f>+'Cambio uso de suelo (BAU)'!I52</f>
        <v>0.1905075</v>
      </c>
      <c r="H17" s="74">
        <f>+'Cambio uso de suelo (BAU)'!J52</f>
        <v>0.19561499999999998</v>
      </c>
      <c r="I17" s="74">
        <f>+'Cambio uso de suelo (BAU)'!K52</f>
        <v>0.13349249999999999</v>
      </c>
      <c r="J17" s="74">
        <f>+'Cambio uso de suelo (BAU)'!L52</f>
        <v>7.1370000000000003E-2</v>
      </c>
      <c r="K17" s="74">
        <f>+'Cambio uso de suelo (BAU)'!M52</f>
        <v>9.7200000000000009E-2</v>
      </c>
      <c r="L17" s="74">
        <f>+'Cambio uso de suelo (BAU)'!N52</f>
        <v>9.7200000000000009E-2</v>
      </c>
      <c r="M17" s="74">
        <f>+'Cambio uso de suelo (BAU)'!O52</f>
        <v>2.034E-2</v>
      </c>
      <c r="N17" s="74">
        <f>+'Cambio uso de suelo (BAU)'!P52</f>
        <v>2.034E-2</v>
      </c>
      <c r="P17" s="525"/>
      <c r="Q17" s="525"/>
      <c r="R17" s="525"/>
      <c r="S17" s="525"/>
      <c r="T17" s="525"/>
      <c r="U17" s="525"/>
    </row>
    <row r="18" spans="1:28" ht="15.75" x14ac:dyDescent="0.25">
      <c r="A18" s="502" t="s">
        <v>21</v>
      </c>
      <c r="B18" s="74">
        <f>+'Cambio uso de suelo (BAU)'!D53</f>
        <v>0</v>
      </c>
      <c r="C18" s="74">
        <f>+'Cambio uso de suelo (BAU)'!E53</f>
        <v>0</v>
      </c>
      <c r="D18" s="74">
        <f>+'Cambio uso de suelo (BAU)'!F53</f>
        <v>0</v>
      </c>
      <c r="E18" s="74">
        <f>+'Cambio uso de suelo (BAU)'!G53</f>
        <v>0</v>
      </c>
      <c r="F18" s="74">
        <f>+'Cambio uso de suelo (BAU)'!H53</f>
        <v>0</v>
      </c>
      <c r="G18" s="74">
        <f>+'Cambio uso de suelo (BAU)'!I53</f>
        <v>0</v>
      </c>
      <c r="H18" s="74">
        <f>+'Cambio uso de suelo (BAU)'!J53</f>
        <v>0</v>
      </c>
      <c r="I18" s="74">
        <f>+'Cambio uso de suelo (BAU)'!K53</f>
        <v>5.6249999999999996E-4</v>
      </c>
      <c r="J18" s="74">
        <f>+'Cambio uso de suelo (BAU)'!L53</f>
        <v>1.1249999999999999E-3</v>
      </c>
      <c r="K18" s="74">
        <f>+'Cambio uso de suelo (BAU)'!M53</f>
        <v>0.73129999999999995</v>
      </c>
      <c r="L18" s="74">
        <f>+'Cambio uso de suelo (BAU)'!N53</f>
        <v>0.73129999999999995</v>
      </c>
      <c r="M18" s="74">
        <f>+'Cambio uso de suelo (BAU)'!O53</f>
        <v>0.46012500000000001</v>
      </c>
      <c r="N18" s="74">
        <f>+'Cambio uso de suelo (BAU)'!P53</f>
        <v>0.46012500000000001</v>
      </c>
      <c r="P18" s="525"/>
      <c r="Q18" s="525"/>
      <c r="R18" s="525"/>
      <c r="S18" s="525"/>
      <c r="T18" s="525"/>
      <c r="U18" s="525"/>
    </row>
    <row r="19" spans="1:28" ht="15.75" x14ac:dyDescent="0.25">
      <c r="A19" s="502" t="s">
        <v>22</v>
      </c>
      <c r="B19" s="74">
        <f>+'Cambio uso de suelo (BAU)'!D54</f>
        <v>0</v>
      </c>
      <c r="C19" s="74">
        <f>+'Cambio uso de suelo (BAU)'!E54</f>
        <v>0</v>
      </c>
      <c r="D19" s="74">
        <f>+'Cambio uso de suelo (BAU)'!F54</f>
        <v>0</v>
      </c>
      <c r="E19" s="74">
        <f>+'Cambio uso de suelo (BAU)'!G54</f>
        <v>0</v>
      </c>
      <c r="F19" s="74">
        <f>+'Cambio uso de suelo (BAU)'!H54</f>
        <v>0</v>
      </c>
      <c r="G19" s="74">
        <f>+'Cambio uso de suelo (BAU)'!I54</f>
        <v>0</v>
      </c>
      <c r="H19" s="74">
        <f>+'Cambio uso de suelo (BAU)'!J54</f>
        <v>0</v>
      </c>
      <c r="I19" s="74">
        <f>+'Cambio uso de suelo (BAU)'!K54</f>
        <v>2.2949999999999997E-3</v>
      </c>
      <c r="J19" s="74">
        <f>+'Cambio uso de suelo (BAU)'!L54</f>
        <v>4.5899999999999995E-3</v>
      </c>
      <c r="K19" s="74">
        <f>+'Cambio uso de suelo (BAU)'!M54</f>
        <v>0.23719999999999999</v>
      </c>
      <c r="L19" s="74">
        <f>+'Cambio uso de suelo (BAU)'!N54</f>
        <v>0.23719999999999999</v>
      </c>
      <c r="M19" s="74">
        <f>+'Cambio uso de suelo (BAU)'!O54</f>
        <v>0.9504450000000001</v>
      </c>
      <c r="N19" s="74">
        <f>+'Cambio uso de suelo (BAU)'!P54</f>
        <v>0.9504450000000001</v>
      </c>
      <c r="P19" s="525"/>
      <c r="Q19" s="525"/>
      <c r="R19" s="525"/>
      <c r="S19" s="525"/>
      <c r="T19" s="525"/>
      <c r="U19" s="525"/>
    </row>
    <row r="20" spans="1:28" ht="15.75" x14ac:dyDescent="0.25">
      <c r="A20" s="502" t="s">
        <v>23</v>
      </c>
      <c r="B20" s="74">
        <f>+'Cambio uso de suelo (BAU)'!D55</f>
        <v>0</v>
      </c>
      <c r="C20" s="74">
        <f>+'Cambio uso de suelo (BAU)'!E55</f>
        <v>0</v>
      </c>
      <c r="D20" s="74">
        <f>+'Cambio uso de suelo (BAU)'!F55</f>
        <v>0</v>
      </c>
      <c r="E20" s="74">
        <f>+'Cambio uso de suelo (BAU)'!G55</f>
        <v>0</v>
      </c>
      <c r="F20" s="74">
        <f>+'Cambio uso de suelo (BAU)'!H55</f>
        <v>0</v>
      </c>
      <c r="G20" s="74">
        <f>+'Cambio uso de suelo (BAU)'!I55</f>
        <v>0</v>
      </c>
      <c r="H20" s="74">
        <f>+'Cambio uso de suelo (BAU)'!J55</f>
        <v>0</v>
      </c>
      <c r="I20" s="74">
        <f>+'Cambio uso de suelo (BAU)'!K55</f>
        <v>0</v>
      </c>
      <c r="J20" s="74">
        <f>+'Cambio uso de suelo (BAU)'!L55</f>
        <v>0</v>
      </c>
      <c r="K20" s="74">
        <f>+'Cambio uso de suelo (BAU)'!M55</f>
        <v>5.4770000000000006E-2</v>
      </c>
      <c r="L20" s="74">
        <f>+'Cambio uso de suelo (BAU)'!N55</f>
        <v>5.4770000000000006E-2</v>
      </c>
      <c r="M20" s="74">
        <f>+'Cambio uso de suelo (BAU)'!O55</f>
        <v>2.5559999999999999E-2</v>
      </c>
      <c r="N20" s="74">
        <f>+'Cambio uso de suelo (BAU)'!P55</f>
        <v>2.5559999999999999E-2</v>
      </c>
      <c r="P20" s="525"/>
      <c r="Q20" s="525"/>
      <c r="R20" s="525"/>
      <c r="S20" s="525"/>
      <c r="T20" s="525"/>
      <c r="U20" s="525"/>
    </row>
    <row r="21" spans="1:28" ht="15.75" x14ac:dyDescent="0.25">
      <c r="A21" s="502" t="s">
        <v>24</v>
      </c>
      <c r="B21" s="74">
        <f>+'Cambio uso de suelo (BAU)'!D56</f>
        <v>0</v>
      </c>
      <c r="C21" s="74">
        <f>+'Cambio uso de suelo (BAU)'!E56</f>
        <v>0</v>
      </c>
      <c r="D21" s="74">
        <f>+'Cambio uso de suelo (BAU)'!F56</f>
        <v>0</v>
      </c>
      <c r="E21" s="74">
        <f>+'Cambio uso de suelo (BAU)'!G56</f>
        <v>0</v>
      </c>
      <c r="F21" s="74">
        <f>+'Cambio uso de suelo (BAU)'!H56</f>
        <v>0</v>
      </c>
      <c r="G21" s="74">
        <f>+'Cambio uso de suelo (BAU)'!I56</f>
        <v>0</v>
      </c>
      <c r="H21" s="74">
        <f>+'Cambio uso de suelo (BAU)'!J56</f>
        <v>0</v>
      </c>
      <c r="I21" s="74">
        <f>+'Cambio uso de suelo (BAU)'!K56</f>
        <v>0</v>
      </c>
      <c r="J21" s="74">
        <f>+'Cambio uso de suelo (BAU)'!L56</f>
        <v>0</v>
      </c>
      <c r="K21" s="74">
        <f>+'Cambio uso de suelo (BAU)'!M56</f>
        <v>3.0419099999999997</v>
      </c>
      <c r="L21" s="74">
        <f>+'Cambio uso de suelo (BAU)'!N56</f>
        <v>3.0419099999999997</v>
      </c>
      <c r="M21" s="74">
        <f>+'Cambio uso de suelo (BAU)'!O56</f>
        <v>5.1799499999999998</v>
      </c>
      <c r="N21" s="74">
        <f>+'Cambio uso de suelo (BAU)'!P56</f>
        <v>5.1799499999999998</v>
      </c>
      <c r="P21" s="525"/>
      <c r="Q21" s="525"/>
      <c r="R21" s="525"/>
      <c r="S21" s="525"/>
      <c r="T21" s="525"/>
      <c r="U21" s="525"/>
    </row>
    <row r="22" spans="1:28" ht="15.75" x14ac:dyDescent="0.25">
      <c r="A22" s="502" t="s">
        <v>25</v>
      </c>
      <c r="B22" s="74">
        <f>+'Cambio uso de suelo (BAU)'!D57</f>
        <v>2.3205E-2</v>
      </c>
      <c r="C22" s="74">
        <f>+'Cambio uso de suelo (BAU)'!E57</f>
        <v>2.3205E-2</v>
      </c>
      <c r="D22" s="74">
        <f>+'Cambio uso de suelo (BAU)'!F57</f>
        <v>2.3205E-2</v>
      </c>
      <c r="E22" s="74">
        <f>+'Cambio uso de suelo (BAU)'!G57</f>
        <v>2.3205E-2</v>
      </c>
      <c r="F22" s="74">
        <f>+'Cambio uso de suelo (BAU)'!H57</f>
        <v>2.3205E-2</v>
      </c>
      <c r="G22" s="74">
        <f>+'Cambio uso de suelo (BAU)'!I57</f>
        <v>5.3520000000000012E-2</v>
      </c>
      <c r="H22" s="74">
        <f>+'Cambio uso de suelo (BAU)'!J57</f>
        <v>8.3835000000000021E-2</v>
      </c>
      <c r="I22" s="74">
        <f>+'Cambio uso de suelo (BAU)'!K57</f>
        <v>6.1627500000000016E-2</v>
      </c>
      <c r="J22" s="74">
        <f>+'Cambio uso de suelo (BAU)'!L57</f>
        <v>3.9420000000000004E-2</v>
      </c>
      <c r="K22" s="74">
        <f>+'Cambio uso de suelo (BAU)'!M57</f>
        <v>1.7149999999999999E-2</v>
      </c>
      <c r="L22" s="74">
        <f>+'Cambio uso de suelo (BAU)'!N57</f>
        <v>1.7149999999999999E-2</v>
      </c>
      <c r="M22" s="74">
        <f>+'Cambio uso de suelo (BAU)'!O57</f>
        <v>6.93E-2</v>
      </c>
      <c r="N22" s="74">
        <f>+'Cambio uso de suelo (BAU)'!P57</f>
        <v>6.93E-2</v>
      </c>
      <c r="P22" s="525"/>
      <c r="Q22" s="525"/>
      <c r="R22" s="525"/>
      <c r="S22" s="525"/>
      <c r="T22" s="525"/>
      <c r="U22" s="525"/>
    </row>
    <row r="23" spans="1:28" ht="15.75" x14ac:dyDescent="0.25">
      <c r="A23" s="502" t="s">
        <v>26</v>
      </c>
      <c r="B23" s="74">
        <f>+'Cambio uso de suelo (BAU)'!D58</f>
        <v>0.70913999999999999</v>
      </c>
      <c r="C23" s="74">
        <f>+'Cambio uso de suelo (BAU)'!E58</f>
        <v>0.70913999999999999</v>
      </c>
      <c r="D23" s="74">
        <f>+'Cambio uso de suelo (BAU)'!F58</f>
        <v>0.70913999999999999</v>
      </c>
      <c r="E23" s="74">
        <f>+'Cambio uso de suelo (BAU)'!G58</f>
        <v>0.70913999999999999</v>
      </c>
      <c r="F23" s="74">
        <f>+'Cambio uso de suelo (BAU)'!H58</f>
        <v>0.70913999999999999</v>
      </c>
      <c r="G23" s="74">
        <f>+'Cambio uso de suelo (BAU)'!I58</f>
        <v>0.80933999999999995</v>
      </c>
      <c r="H23" s="74">
        <f>+'Cambio uso de suelo (BAU)'!J58</f>
        <v>0.90954000000000002</v>
      </c>
      <c r="I23" s="74">
        <f>+'Cambio uso de suelo (BAU)'!K58</f>
        <v>0.94742999999999999</v>
      </c>
      <c r="J23" s="74">
        <f>+'Cambio uso de suelo (BAU)'!L58</f>
        <v>0.98532000000000008</v>
      </c>
      <c r="K23" s="74">
        <f>+'Cambio uso de suelo (BAU)'!M58</f>
        <v>0.71914999999999996</v>
      </c>
      <c r="L23" s="74">
        <f>+'Cambio uso de suelo (BAU)'!N58</f>
        <v>0.71914999999999996</v>
      </c>
      <c r="M23" s="74">
        <f>+'Cambio uso de suelo (BAU)'!O58</f>
        <v>4.8149999999999998E-2</v>
      </c>
      <c r="N23" s="74">
        <f>+'Cambio uso de suelo (BAU)'!P58</f>
        <v>4.8149999999999998E-2</v>
      </c>
      <c r="P23" s="525"/>
      <c r="Q23" s="525"/>
      <c r="R23" s="525"/>
      <c r="S23" s="525"/>
      <c r="T23" s="525"/>
      <c r="U23" s="525"/>
    </row>
    <row r="24" spans="1:28" ht="15.75" x14ac:dyDescent="0.25">
      <c r="A24" s="502" t="s">
        <v>27</v>
      </c>
      <c r="B24" s="74">
        <f>+'Cambio uso de suelo (BAU)'!D59</f>
        <v>0</v>
      </c>
      <c r="C24" s="74">
        <f>+'Cambio uso de suelo (BAU)'!E59</f>
        <v>0</v>
      </c>
      <c r="D24" s="74">
        <f>+'Cambio uso de suelo (BAU)'!F59</f>
        <v>0</v>
      </c>
      <c r="E24" s="74">
        <f>+'Cambio uso de suelo (BAU)'!G59</f>
        <v>0</v>
      </c>
      <c r="F24" s="74">
        <f>+'Cambio uso de suelo (BAU)'!H59</f>
        <v>0</v>
      </c>
      <c r="G24" s="74">
        <f>+'Cambio uso de suelo (BAU)'!I59</f>
        <v>0</v>
      </c>
      <c r="H24" s="74">
        <f>+'Cambio uso de suelo (BAU)'!J59</f>
        <v>0</v>
      </c>
      <c r="I24" s="74">
        <f>+'Cambio uso de suelo (BAU)'!K59</f>
        <v>0</v>
      </c>
      <c r="J24" s="74">
        <f>+'Cambio uso de suelo (BAU)'!L59</f>
        <v>0</v>
      </c>
      <c r="K24" s="74">
        <f>+'Cambio uso de suelo (BAU)'!M59</f>
        <v>0.55277999999999994</v>
      </c>
      <c r="L24" s="74">
        <f>+'Cambio uso de suelo (BAU)'!N59</f>
        <v>0.55277999999999994</v>
      </c>
      <c r="M24" s="74">
        <f>+'Cambio uso de suelo (BAU)'!O59</f>
        <v>0.23463000000000001</v>
      </c>
      <c r="N24" s="74">
        <f>+'Cambio uso de suelo (BAU)'!P59</f>
        <v>0.23463000000000001</v>
      </c>
      <c r="P24" s="525"/>
      <c r="Q24" s="525"/>
      <c r="R24" s="525"/>
      <c r="S24" s="525"/>
      <c r="T24" s="525"/>
      <c r="U24" s="525"/>
    </row>
    <row r="25" spans="1:28" ht="15.75" x14ac:dyDescent="0.25">
      <c r="A25" s="504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</row>
    <row r="26" spans="1:28" ht="15.75" x14ac:dyDescent="0.25">
      <c r="A26" s="119" t="s">
        <v>119</v>
      </c>
      <c r="B26" s="1">
        <v>2010</v>
      </c>
      <c r="C26" s="1">
        <v>2011</v>
      </c>
      <c r="D26" s="1">
        <v>2012</v>
      </c>
      <c r="E26" s="1">
        <v>2013</v>
      </c>
      <c r="F26" s="1">
        <v>2014</v>
      </c>
      <c r="G26" s="1">
        <v>2015</v>
      </c>
      <c r="H26" s="1">
        <v>2016</v>
      </c>
      <c r="I26" s="1">
        <v>2017</v>
      </c>
      <c r="J26" s="1">
        <v>2018</v>
      </c>
      <c r="K26" s="1">
        <v>2019</v>
      </c>
      <c r="L26" s="1">
        <v>2020</v>
      </c>
      <c r="M26" s="1">
        <v>2021</v>
      </c>
      <c r="N26" s="1">
        <v>2022</v>
      </c>
      <c r="W26" s="76">
        <v>2017</v>
      </c>
      <c r="X26" s="76">
        <v>2018</v>
      </c>
      <c r="Y26" s="76">
        <v>2019</v>
      </c>
      <c r="Z26" s="76">
        <v>2020</v>
      </c>
      <c r="AA26" s="76">
        <v>2021</v>
      </c>
      <c r="AB26" s="76">
        <v>2022</v>
      </c>
    </row>
    <row r="27" spans="1:28" x14ac:dyDescent="0.25">
      <c r="A27" s="540" t="s">
        <v>186</v>
      </c>
      <c r="B27" s="126">
        <v>0</v>
      </c>
      <c r="C27" s="126">
        <v>0</v>
      </c>
      <c r="D27" s="126">
        <v>0</v>
      </c>
      <c r="E27" s="126">
        <v>0</v>
      </c>
      <c r="F27" s="126">
        <v>0</v>
      </c>
      <c r="G27" s="126">
        <v>0</v>
      </c>
      <c r="H27" s="126">
        <v>0</v>
      </c>
      <c r="I27" s="126">
        <v>0</v>
      </c>
      <c r="J27" s="126">
        <v>0</v>
      </c>
      <c r="K27" s="126">
        <f t="shared" ref="K27:L27" si="1">+K3/K16</f>
        <v>115.07897379267338</v>
      </c>
      <c r="L27" s="126">
        <f t="shared" si="1"/>
        <v>115.07897379267338</v>
      </c>
      <c r="M27" s="126">
        <v>0</v>
      </c>
      <c r="N27" s="126">
        <f>+N3/N16</f>
        <v>1025.7278364257479</v>
      </c>
      <c r="P27" s="76">
        <f>+B27*B16</f>
        <v>0</v>
      </c>
      <c r="Q27" s="76">
        <f t="shared" ref="Q27:Z34" si="2">+C27*C16</f>
        <v>0</v>
      </c>
      <c r="R27" s="76">
        <f t="shared" si="2"/>
        <v>0</v>
      </c>
      <c r="S27" s="76">
        <f t="shared" si="2"/>
        <v>0</v>
      </c>
      <c r="T27" s="76">
        <f t="shared" si="2"/>
        <v>0</v>
      </c>
      <c r="U27" s="76">
        <f t="shared" si="2"/>
        <v>0</v>
      </c>
      <c r="V27" s="76">
        <f t="shared" si="2"/>
        <v>0</v>
      </c>
      <c r="W27" s="76">
        <f t="shared" si="2"/>
        <v>0</v>
      </c>
      <c r="X27" s="76">
        <f t="shared" si="2"/>
        <v>0</v>
      </c>
      <c r="Y27" s="76">
        <f t="shared" si="2"/>
        <v>6.5664062446099427</v>
      </c>
      <c r="Z27" s="76">
        <f>+L27*L16</f>
        <v>6.5664062446099427</v>
      </c>
      <c r="AA27" s="76">
        <f t="shared" ref="AA27:AB34" si="3">+M27*M16</f>
        <v>0</v>
      </c>
      <c r="AB27" s="76">
        <f>+N27*N16</f>
        <v>9.3700237857492059</v>
      </c>
    </row>
    <row r="28" spans="1:28" x14ac:dyDescent="0.25">
      <c r="A28" s="540" t="s">
        <v>187</v>
      </c>
      <c r="B28" s="126">
        <f>+B4/B17</f>
        <v>33.286384904247839</v>
      </c>
      <c r="C28" s="126">
        <f t="shared" ref="B28:M35" si="4">+C4/C17</f>
        <v>33.286384904247839</v>
      </c>
      <c r="D28" s="126">
        <f t="shared" si="4"/>
        <v>33.286384904247839</v>
      </c>
      <c r="E28" s="126">
        <f t="shared" si="4"/>
        <v>33.286384904247839</v>
      </c>
      <c r="F28" s="126">
        <f t="shared" si="4"/>
        <v>33.286384904247839</v>
      </c>
      <c r="G28" s="126">
        <f t="shared" si="4"/>
        <v>39.840434247803707</v>
      </c>
      <c r="H28" s="126">
        <f t="shared" si="4"/>
        <v>46.052231647263142</v>
      </c>
      <c r="I28" s="126">
        <f t="shared" si="4"/>
        <v>64.509393307124668</v>
      </c>
      <c r="J28" s="126">
        <f t="shared" si="4"/>
        <v>115.09784332945631</v>
      </c>
      <c r="K28" s="126">
        <f t="shared" si="4"/>
        <v>659.69318401224052</v>
      </c>
      <c r="L28" s="126">
        <f t="shared" si="4"/>
        <v>659.69318401224052</v>
      </c>
      <c r="M28" s="126">
        <f>+M4/M17</f>
        <v>4498.5262481632126</v>
      </c>
      <c r="N28" s="126">
        <f t="shared" ref="N28:N34" si="5">+N4/N17</f>
        <v>4498.5262481632126</v>
      </c>
      <c r="P28" s="76">
        <f t="shared" ref="P28:P34" si="6">+B28*B17</f>
        <v>6.1712957612475501</v>
      </c>
      <c r="Q28" s="76">
        <f t="shared" si="2"/>
        <v>6.1712957612475501</v>
      </c>
      <c r="R28" s="76">
        <f t="shared" si="2"/>
        <v>6.1712957612475501</v>
      </c>
      <c r="S28" s="76">
        <f t="shared" si="2"/>
        <v>6.1712957612475501</v>
      </c>
      <c r="T28" s="76">
        <f t="shared" si="2"/>
        <v>6.1712957612475501</v>
      </c>
      <c r="U28" s="76">
        <f t="shared" si="2"/>
        <v>7.5899015274634642</v>
      </c>
      <c r="V28" s="76">
        <f t="shared" si="2"/>
        <v>9.0085072936793793</v>
      </c>
      <c r="W28" s="76">
        <f t="shared" si="2"/>
        <v>8.6115201860513384</v>
      </c>
      <c r="X28" s="76">
        <f t="shared" si="2"/>
        <v>8.2145330784232975</v>
      </c>
      <c r="Y28" s="76">
        <f t="shared" si="2"/>
        <v>64.122177485989781</v>
      </c>
      <c r="Z28" s="76">
        <f t="shared" si="2"/>
        <v>64.122177485989781</v>
      </c>
      <c r="AA28" s="76">
        <f t="shared" si="3"/>
        <v>91.500023887639742</v>
      </c>
      <c r="AB28" s="76">
        <f t="shared" si="3"/>
        <v>91.500023887639742</v>
      </c>
    </row>
    <row r="29" spans="1:28" x14ac:dyDescent="0.25">
      <c r="A29" s="541" t="s">
        <v>188</v>
      </c>
      <c r="B29" s="126">
        <v>0</v>
      </c>
      <c r="C29" s="126">
        <v>0</v>
      </c>
      <c r="D29" s="126">
        <v>0</v>
      </c>
      <c r="E29" s="126">
        <v>0</v>
      </c>
      <c r="F29" s="126">
        <v>0</v>
      </c>
      <c r="G29" s="126">
        <v>0</v>
      </c>
      <c r="H29" s="126">
        <v>0</v>
      </c>
      <c r="I29" s="126">
        <f>+I5/I18</f>
        <v>146389.68589200478</v>
      </c>
      <c r="J29" s="126">
        <f t="shared" si="4"/>
        <v>69820.594454837206</v>
      </c>
      <c r="K29" s="126">
        <f t="shared" si="4"/>
        <v>838.42818669408655</v>
      </c>
      <c r="L29" s="126">
        <f t="shared" si="4"/>
        <v>838.42818669408655</v>
      </c>
      <c r="M29" s="126">
        <f t="shared" si="4"/>
        <v>1901.5097594281499</v>
      </c>
      <c r="N29" s="126">
        <f t="shared" si="5"/>
        <v>1901.5097594281499</v>
      </c>
      <c r="P29" s="76">
        <f t="shared" si="6"/>
        <v>0</v>
      </c>
      <c r="Q29" s="76">
        <f t="shared" si="2"/>
        <v>0</v>
      </c>
      <c r="R29" s="76">
        <f t="shared" si="2"/>
        <v>0</v>
      </c>
      <c r="S29" s="76">
        <f t="shared" si="2"/>
        <v>0</v>
      </c>
      <c r="T29" s="76">
        <f t="shared" si="2"/>
        <v>0</v>
      </c>
      <c r="U29" s="76">
        <f t="shared" si="2"/>
        <v>0</v>
      </c>
      <c r="V29" s="76">
        <f t="shared" si="2"/>
        <v>0</v>
      </c>
      <c r="W29" s="76">
        <f>+I29*I18</f>
        <v>82.344198314252679</v>
      </c>
      <c r="X29" s="76">
        <f t="shared" si="2"/>
        <v>78.548168761691855</v>
      </c>
      <c r="Y29" s="76">
        <f t="shared" si="2"/>
        <v>613.14253292938542</v>
      </c>
      <c r="Z29" s="76">
        <f t="shared" si="2"/>
        <v>613.14253292938542</v>
      </c>
      <c r="AA29" s="76">
        <f t="shared" si="3"/>
        <v>874.93217805687743</v>
      </c>
      <c r="AB29" s="76">
        <f t="shared" si="3"/>
        <v>874.93217805687743</v>
      </c>
    </row>
    <row r="30" spans="1:28" x14ac:dyDescent="0.25">
      <c r="A30" s="540" t="s">
        <v>189</v>
      </c>
      <c r="B30" s="126">
        <v>0</v>
      </c>
      <c r="C30" s="126">
        <v>0</v>
      </c>
      <c r="D30" s="126">
        <v>0</v>
      </c>
      <c r="E30" s="126">
        <v>0</v>
      </c>
      <c r="F30" s="126">
        <v>0</v>
      </c>
      <c r="G30" s="126">
        <v>0</v>
      </c>
      <c r="H30" s="126">
        <v>0</v>
      </c>
      <c r="I30" s="126">
        <f t="shared" si="4"/>
        <v>14584.917471056737</v>
      </c>
      <c r="J30" s="126">
        <f t="shared" si="4"/>
        <v>6956.2797522167475</v>
      </c>
      <c r="K30" s="126">
        <f t="shared" si="4"/>
        <v>1050.7524688936371</v>
      </c>
      <c r="L30" s="126">
        <f t="shared" si="4"/>
        <v>1050.7524688936371</v>
      </c>
      <c r="M30" s="126">
        <f t="shared" si="4"/>
        <v>374.19765283113799</v>
      </c>
      <c r="N30" s="126">
        <f t="shared" si="5"/>
        <v>374.19765283113799</v>
      </c>
      <c r="P30" s="76">
        <f t="shared" si="6"/>
        <v>0</v>
      </c>
      <c r="Q30" s="76">
        <f t="shared" si="2"/>
        <v>0</v>
      </c>
      <c r="R30" s="76">
        <f t="shared" si="2"/>
        <v>0</v>
      </c>
      <c r="S30" s="76">
        <f t="shared" si="2"/>
        <v>0</v>
      </c>
      <c r="T30" s="76">
        <f t="shared" si="2"/>
        <v>0</v>
      </c>
      <c r="U30" s="76">
        <f t="shared" si="2"/>
        <v>0</v>
      </c>
      <c r="V30" s="76">
        <f t="shared" si="2"/>
        <v>0</v>
      </c>
      <c r="W30" s="76">
        <f>+I30*I19</f>
        <v>33.472385596075206</v>
      </c>
      <c r="X30" s="76">
        <f t="shared" si="2"/>
        <v>31.929324062674866</v>
      </c>
      <c r="Y30" s="76">
        <f t="shared" si="2"/>
        <v>249.23848562157073</v>
      </c>
      <c r="Z30" s="76">
        <f t="shared" si="2"/>
        <v>249.23848562157073</v>
      </c>
      <c r="AA30" s="76">
        <f t="shared" si="3"/>
        <v>355.65428814509096</v>
      </c>
      <c r="AB30" s="76">
        <f t="shared" si="3"/>
        <v>355.65428814509096</v>
      </c>
    </row>
    <row r="31" spans="1:28" x14ac:dyDescent="0.25">
      <c r="A31" s="540" t="s">
        <v>190</v>
      </c>
      <c r="B31" s="126">
        <v>0</v>
      </c>
      <c r="C31" s="126">
        <v>0</v>
      </c>
      <c r="D31" s="126">
        <v>0</v>
      </c>
      <c r="E31" s="126">
        <v>0</v>
      </c>
      <c r="F31" s="126">
        <v>0</v>
      </c>
      <c r="G31" s="126">
        <v>0</v>
      </c>
      <c r="H31" s="126">
        <v>0</v>
      </c>
      <c r="I31" s="126">
        <v>0</v>
      </c>
      <c r="J31" s="126">
        <v>0</v>
      </c>
      <c r="K31" s="126">
        <f t="shared" si="4"/>
        <v>3133.9070882112678</v>
      </c>
      <c r="L31" s="126">
        <f t="shared" si="4"/>
        <v>3133.9070882112678</v>
      </c>
      <c r="M31" s="126">
        <f t="shared" si="4"/>
        <v>9582.5469041204724</v>
      </c>
      <c r="N31" s="126">
        <f t="shared" si="5"/>
        <v>9582.5469041204724</v>
      </c>
      <c r="P31" s="76">
        <f t="shared" si="6"/>
        <v>0</v>
      </c>
      <c r="Q31" s="76">
        <f t="shared" si="2"/>
        <v>0</v>
      </c>
      <c r="R31" s="76">
        <f t="shared" si="2"/>
        <v>0</v>
      </c>
      <c r="S31" s="76">
        <f t="shared" si="2"/>
        <v>0</v>
      </c>
      <c r="T31" s="76">
        <f t="shared" si="2"/>
        <v>0</v>
      </c>
      <c r="U31" s="76">
        <f t="shared" si="2"/>
        <v>0</v>
      </c>
      <c r="V31" s="76">
        <f t="shared" si="2"/>
        <v>0</v>
      </c>
      <c r="W31" s="76">
        <f t="shared" si="2"/>
        <v>0</v>
      </c>
      <c r="X31" s="76">
        <f t="shared" si="2"/>
        <v>0</v>
      </c>
      <c r="Y31" s="76">
        <f t="shared" si="2"/>
        <v>171.64409122133117</v>
      </c>
      <c r="Z31" s="76">
        <f t="shared" si="2"/>
        <v>171.64409122133117</v>
      </c>
      <c r="AA31" s="76">
        <f t="shared" si="3"/>
        <v>244.92989886931926</v>
      </c>
      <c r="AB31" s="76">
        <f t="shared" si="3"/>
        <v>244.92989886931926</v>
      </c>
    </row>
    <row r="32" spans="1:28" x14ac:dyDescent="0.25">
      <c r="A32" s="540" t="s">
        <v>191</v>
      </c>
      <c r="B32" s="126">
        <v>0</v>
      </c>
      <c r="C32" s="126">
        <v>0</v>
      </c>
      <c r="D32" s="126">
        <v>0</v>
      </c>
      <c r="E32" s="126">
        <v>0</v>
      </c>
      <c r="F32" s="126">
        <v>0</v>
      </c>
      <c r="G32" s="126">
        <v>0</v>
      </c>
      <c r="H32" s="126">
        <v>0</v>
      </c>
      <c r="I32" s="126">
        <v>0</v>
      </c>
      <c r="J32" s="126">
        <v>0</v>
      </c>
      <c r="K32" s="126">
        <f t="shared" si="4"/>
        <v>412.90016763358227</v>
      </c>
      <c r="L32" s="126">
        <f t="shared" si="4"/>
        <v>412.90016763358227</v>
      </c>
      <c r="M32" s="126">
        <f t="shared" si="4"/>
        <v>346.0021501717161</v>
      </c>
      <c r="N32" s="126">
        <f t="shared" si="5"/>
        <v>346.0021501717161</v>
      </c>
      <c r="P32" s="76">
        <f t="shared" si="6"/>
        <v>0</v>
      </c>
      <c r="Q32" s="76">
        <f t="shared" si="2"/>
        <v>0</v>
      </c>
      <c r="R32" s="76">
        <f t="shared" si="2"/>
        <v>0</v>
      </c>
      <c r="S32" s="76">
        <f t="shared" si="2"/>
        <v>0</v>
      </c>
      <c r="T32" s="76">
        <f t="shared" si="2"/>
        <v>0</v>
      </c>
      <c r="U32" s="76">
        <f t="shared" si="2"/>
        <v>0</v>
      </c>
      <c r="V32" s="76">
        <f t="shared" si="2"/>
        <v>0</v>
      </c>
      <c r="W32" s="76">
        <f t="shared" si="2"/>
        <v>0</v>
      </c>
      <c r="X32" s="76">
        <f t="shared" si="2"/>
        <v>0</v>
      </c>
      <c r="Y32" s="76">
        <f t="shared" si="2"/>
        <v>1256.0051489262701</v>
      </c>
      <c r="Z32" s="76">
        <f t="shared" si="2"/>
        <v>1256.0051489262701</v>
      </c>
      <c r="AA32" s="76">
        <f t="shared" si="3"/>
        <v>1792.2738377819808</v>
      </c>
      <c r="AB32" s="76">
        <f t="shared" si="3"/>
        <v>1792.2738377819808</v>
      </c>
    </row>
    <row r="33" spans="1:28" x14ac:dyDescent="0.25">
      <c r="A33" s="540" t="s">
        <v>192</v>
      </c>
      <c r="B33" s="126">
        <f t="shared" si="4"/>
        <v>577.14781137199702</v>
      </c>
      <c r="C33" s="126">
        <f t="shared" si="4"/>
        <v>577.14781137199702</v>
      </c>
      <c r="D33" s="126">
        <f t="shared" si="4"/>
        <v>577.14781137199702</v>
      </c>
      <c r="E33" s="126">
        <f t="shared" si="4"/>
        <v>577.14781137199702</v>
      </c>
      <c r="F33" s="126">
        <f t="shared" si="4"/>
        <v>577.14781137199702</v>
      </c>
      <c r="G33" s="126">
        <f t="shared" si="4"/>
        <v>307.76009106534531</v>
      </c>
      <c r="H33" s="126">
        <f t="shared" si="4"/>
        <v>233.19526671136609</v>
      </c>
      <c r="I33" s="126">
        <f t="shared" si="4"/>
        <v>303.24771619578911</v>
      </c>
      <c r="J33" s="126">
        <f t="shared" si="4"/>
        <v>452.22912417464795</v>
      </c>
      <c r="K33" s="126">
        <f t="shared" si="4"/>
        <v>8114.0261445870565</v>
      </c>
      <c r="L33" s="126">
        <f t="shared" si="4"/>
        <v>8114.0261445870565</v>
      </c>
      <c r="M33" s="126">
        <f t="shared" si="4"/>
        <v>2865.36688910463</v>
      </c>
      <c r="N33" s="126">
        <f t="shared" si="5"/>
        <v>2865.36688910463</v>
      </c>
      <c r="P33" s="76">
        <f t="shared" si="6"/>
        <v>13.39271496288719</v>
      </c>
      <c r="Q33" s="76">
        <f t="shared" si="2"/>
        <v>13.39271496288719</v>
      </c>
      <c r="R33" s="76">
        <f t="shared" si="2"/>
        <v>13.39271496288719</v>
      </c>
      <c r="S33" s="76">
        <f t="shared" si="2"/>
        <v>13.39271496288719</v>
      </c>
      <c r="T33" s="76">
        <f t="shared" si="2"/>
        <v>13.39271496288719</v>
      </c>
      <c r="U33" s="76">
        <f t="shared" si="2"/>
        <v>16.471320073817285</v>
      </c>
      <c r="V33" s="76">
        <f t="shared" si="2"/>
        <v>19.54992518474738</v>
      </c>
      <c r="W33" s="76">
        <f t="shared" si="2"/>
        <v>18.688398629856</v>
      </c>
      <c r="X33" s="76">
        <f t="shared" si="2"/>
        <v>17.826872074964623</v>
      </c>
      <c r="Y33" s="76">
        <f t="shared" si="2"/>
        <v>139.15554837966801</v>
      </c>
      <c r="Z33" s="76">
        <f t="shared" si="2"/>
        <v>139.15554837966801</v>
      </c>
      <c r="AA33" s="76">
        <f t="shared" si="3"/>
        <v>198.56992541495086</v>
      </c>
      <c r="AB33" s="76">
        <f t="shared" si="3"/>
        <v>198.56992541495086</v>
      </c>
    </row>
    <row r="34" spans="1:28" x14ac:dyDescent="0.25">
      <c r="A34" s="540" t="s">
        <v>193</v>
      </c>
      <c r="B34" s="126">
        <f t="shared" si="4"/>
        <v>4.690342204376547</v>
      </c>
      <c r="C34" s="126">
        <f t="shared" si="4"/>
        <v>4.690342204376547</v>
      </c>
      <c r="D34" s="126">
        <f t="shared" si="4"/>
        <v>4.690342204376547</v>
      </c>
      <c r="E34" s="126">
        <f t="shared" si="4"/>
        <v>4.690342204376547</v>
      </c>
      <c r="F34" s="126">
        <f t="shared" si="4"/>
        <v>4.690342204376547</v>
      </c>
      <c r="G34" s="126">
        <f t="shared" si="4"/>
        <v>5.0543497216251652</v>
      </c>
      <c r="H34" s="126">
        <f t="shared" si="4"/>
        <v>5.3381550416569219</v>
      </c>
      <c r="I34" s="126">
        <f t="shared" si="4"/>
        <v>4.8988353574452539</v>
      </c>
      <c r="J34" s="126">
        <f t="shared" si="4"/>
        <v>4.4933033215808829</v>
      </c>
      <c r="K34" s="126">
        <f t="shared" si="4"/>
        <v>48.056144987616186</v>
      </c>
      <c r="L34" s="126">
        <f t="shared" si="4"/>
        <v>48.056144987616186</v>
      </c>
      <c r="M34" s="126">
        <f t="shared" si="4"/>
        <v>1024.2006995446322</v>
      </c>
      <c r="N34" s="126">
        <f t="shared" si="5"/>
        <v>1024.2006995446322</v>
      </c>
      <c r="P34" s="76">
        <f t="shared" si="6"/>
        <v>3.3261092708115845</v>
      </c>
      <c r="Q34" s="76">
        <f t="shared" si="2"/>
        <v>3.3261092708115845</v>
      </c>
      <c r="R34" s="76">
        <f t="shared" si="2"/>
        <v>3.3261092708115845</v>
      </c>
      <c r="S34" s="76">
        <f t="shared" si="2"/>
        <v>3.3261092708115845</v>
      </c>
      <c r="T34" s="76">
        <f t="shared" si="2"/>
        <v>3.3261092708115845</v>
      </c>
      <c r="U34" s="76">
        <f t="shared" si="2"/>
        <v>4.0906874037001106</v>
      </c>
      <c r="V34" s="76">
        <f t="shared" si="2"/>
        <v>4.8552655365886368</v>
      </c>
      <c r="W34" s="76">
        <f t="shared" si="2"/>
        <v>4.6413035827043565</v>
      </c>
      <c r="X34" s="76">
        <f t="shared" si="2"/>
        <v>4.4273416288200762</v>
      </c>
      <c r="Y34" s="76">
        <f t="shared" si="2"/>
        <v>34.559576667844176</v>
      </c>
      <c r="Z34" s="76">
        <f t="shared" si="2"/>
        <v>34.559576667844176</v>
      </c>
      <c r="AA34" s="76">
        <f t="shared" si="3"/>
        <v>49.315263683074043</v>
      </c>
      <c r="AB34" s="76">
        <f t="shared" si="3"/>
        <v>49.315263683074043</v>
      </c>
    </row>
    <row r="35" spans="1:28" x14ac:dyDescent="0.25">
      <c r="A35" s="540" t="s">
        <v>194</v>
      </c>
      <c r="B35" s="126">
        <v>0</v>
      </c>
      <c r="C35" s="126">
        <v>0</v>
      </c>
      <c r="D35" s="126">
        <v>0</v>
      </c>
      <c r="E35" s="126">
        <v>0</v>
      </c>
      <c r="F35" s="126">
        <v>0</v>
      </c>
      <c r="G35" s="126">
        <v>0</v>
      </c>
      <c r="H35" s="126">
        <v>0</v>
      </c>
      <c r="I35" s="126">
        <v>0</v>
      </c>
      <c r="J35" s="126">
        <v>0</v>
      </c>
      <c r="K35" s="126">
        <f t="shared" si="4"/>
        <v>261.44620635755609</v>
      </c>
      <c r="L35" s="126">
        <f t="shared" si="4"/>
        <v>261.44620635755609</v>
      </c>
      <c r="M35" s="126">
        <f t="shared" si="4"/>
        <v>878.94979870142845</v>
      </c>
      <c r="N35" s="126">
        <f>+N11/N24</f>
        <v>878.94979870142845</v>
      </c>
      <c r="P35" s="76">
        <f t="shared" ref="P35:AB35" si="7">+B35*B24</f>
        <v>0</v>
      </c>
      <c r="Q35" s="76">
        <f t="shared" si="7"/>
        <v>0</v>
      </c>
      <c r="R35" s="76">
        <f t="shared" si="7"/>
        <v>0</v>
      </c>
      <c r="S35" s="76">
        <f t="shared" si="7"/>
        <v>0</v>
      </c>
      <c r="T35" s="76">
        <f t="shared" si="7"/>
        <v>0</v>
      </c>
      <c r="U35" s="76">
        <f t="shared" si="7"/>
        <v>0</v>
      </c>
      <c r="V35" s="76">
        <f t="shared" si="7"/>
        <v>0</v>
      </c>
      <c r="W35" s="76">
        <f t="shared" si="7"/>
        <v>0</v>
      </c>
      <c r="X35" s="76">
        <f t="shared" si="7"/>
        <v>0</v>
      </c>
      <c r="Y35" s="76">
        <f t="shared" si="7"/>
        <v>144.52223395032985</v>
      </c>
      <c r="Z35" s="76">
        <f t="shared" si="7"/>
        <v>144.52223395032985</v>
      </c>
      <c r="AA35" s="76">
        <f t="shared" si="7"/>
        <v>206.22799126931616</v>
      </c>
      <c r="AB35" s="76">
        <f t="shared" si="7"/>
        <v>206.22799126931616</v>
      </c>
    </row>
    <row r="36" spans="1:28" x14ac:dyDescent="0.25">
      <c r="P36" s="76">
        <f>+SUM(P27:P35)</f>
        <v>22.890119994946325</v>
      </c>
      <c r="Q36" s="76">
        <f t="shared" ref="Q36:AB36" si="8">+SUM(Q27:Q35)</f>
        <v>22.890119994946325</v>
      </c>
      <c r="R36" s="76">
        <f t="shared" si="8"/>
        <v>22.890119994946325</v>
      </c>
      <c r="S36" s="76">
        <f t="shared" si="8"/>
        <v>22.890119994946325</v>
      </c>
      <c r="T36" s="76">
        <f t="shared" si="8"/>
        <v>22.890119994946325</v>
      </c>
      <c r="U36" s="76">
        <f t="shared" si="8"/>
        <v>28.151909004980858</v>
      </c>
      <c r="V36" s="76">
        <f t="shared" si="8"/>
        <v>33.413698015015399</v>
      </c>
      <c r="W36" s="76">
        <f t="shared" si="8"/>
        <v>147.75780630893959</v>
      </c>
      <c r="X36" s="76">
        <f t="shared" si="8"/>
        <v>140.94623960657472</v>
      </c>
      <c r="Y36" s="76">
        <f t="shared" si="8"/>
        <v>2678.9562014269991</v>
      </c>
      <c r="Z36" s="76">
        <f t="shared" si="8"/>
        <v>2678.9562014269991</v>
      </c>
      <c r="AA36" s="76">
        <f t="shared" si="8"/>
        <v>3813.4034071082492</v>
      </c>
      <c r="AB36" s="76">
        <f t="shared" si="8"/>
        <v>3822.7734308939985</v>
      </c>
    </row>
    <row r="37" spans="1:28" x14ac:dyDescent="0.25">
      <c r="P37" s="126">
        <f>+B12-SUM(P27:P35)</f>
        <v>234.94003641305355</v>
      </c>
      <c r="Q37" s="126">
        <f t="shared" ref="Q37:AA37" si="9">+C12-SUM(Q27:Q35)</f>
        <v>234.94003641305355</v>
      </c>
      <c r="R37" s="126">
        <f t="shared" si="9"/>
        <v>234.94003641305355</v>
      </c>
      <c r="S37" s="126">
        <f t="shared" si="9"/>
        <v>234.94003641305355</v>
      </c>
      <c r="T37" s="126">
        <f t="shared" si="9"/>
        <v>234.94003641305355</v>
      </c>
      <c r="U37" s="126">
        <f t="shared" si="9"/>
        <v>288.94608364601908</v>
      </c>
      <c r="V37" s="126">
        <f t="shared" si="9"/>
        <v>342.95213087898458</v>
      </c>
      <c r="W37" s="126">
        <f t="shared" si="9"/>
        <v>212.02232453856041</v>
      </c>
      <c r="X37" s="126">
        <f t="shared" si="9"/>
        <v>202.24819319442528</v>
      </c>
      <c r="Y37" s="126">
        <f t="shared" si="9"/>
        <v>0</v>
      </c>
      <c r="Z37" s="126">
        <f t="shared" si="9"/>
        <v>0</v>
      </c>
      <c r="AA37" s="126">
        <f t="shared" si="9"/>
        <v>9.3700237857492539</v>
      </c>
      <c r="AB37" s="126">
        <f>+N12-SUM(AB27:AB35)</f>
        <v>0</v>
      </c>
    </row>
    <row r="38" spans="1:28" x14ac:dyDescent="0.25">
      <c r="A38" s="73" t="s">
        <v>497</v>
      </c>
      <c r="W38">
        <f>567+6</f>
        <v>573</v>
      </c>
    </row>
    <row r="39" spans="1:28" ht="15.75" x14ac:dyDescent="0.25">
      <c r="A39" s="119"/>
      <c r="B39" s="1">
        <v>2010</v>
      </c>
      <c r="C39" s="1">
        <v>2011</v>
      </c>
      <c r="D39" s="1">
        <v>2012</v>
      </c>
      <c r="E39" s="1">
        <v>2013</v>
      </c>
      <c r="F39" s="1">
        <v>2014</v>
      </c>
      <c r="G39" s="1">
        <v>2015</v>
      </c>
      <c r="H39" s="1">
        <v>2016</v>
      </c>
      <c r="I39" s="1">
        <v>2017</v>
      </c>
      <c r="J39" s="1">
        <v>2018</v>
      </c>
      <c r="K39" s="1">
        <v>2019</v>
      </c>
      <c r="L39" s="1">
        <v>2020</v>
      </c>
      <c r="M39" s="1">
        <v>2021</v>
      </c>
      <c r="N39" s="1">
        <v>2022</v>
      </c>
    </row>
    <row r="40" spans="1:28" s="132" customFormat="1" ht="15.75" x14ac:dyDescent="0.25">
      <c r="A40" s="130" t="s">
        <v>129</v>
      </c>
      <c r="B40" s="131">
        <f>+P37</f>
        <v>234.94003641305355</v>
      </c>
      <c r="C40" s="131">
        <f t="shared" ref="C40:M40" si="10">+Q37</f>
        <v>234.94003641305355</v>
      </c>
      <c r="D40" s="131">
        <f t="shared" si="10"/>
        <v>234.94003641305355</v>
      </c>
      <c r="E40" s="131">
        <f t="shared" si="10"/>
        <v>234.94003641305355</v>
      </c>
      <c r="F40" s="131">
        <f t="shared" si="10"/>
        <v>234.94003641305355</v>
      </c>
      <c r="G40" s="131">
        <f t="shared" si="10"/>
        <v>288.94608364601908</v>
      </c>
      <c r="H40" s="131">
        <f t="shared" si="10"/>
        <v>342.95213087898458</v>
      </c>
      <c r="I40" s="131">
        <f t="shared" si="10"/>
        <v>212.02232453856041</v>
      </c>
      <c r="J40" s="131">
        <f t="shared" si="10"/>
        <v>202.24819319442528</v>
      </c>
      <c r="K40" s="131">
        <f t="shared" si="10"/>
        <v>0</v>
      </c>
      <c r="L40" s="131">
        <f t="shared" si="10"/>
        <v>0</v>
      </c>
      <c r="M40" s="131">
        <f t="shared" si="10"/>
        <v>9.3700237857492539</v>
      </c>
      <c r="N40" s="131">
        <f>+AB37</f>
        <v>0</v>
      </c>
    </row>
    <row r="41" spans="1:28" ht="15.75" x14ac:dyDescent="0.25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</row>
    <row r="42" spans="1:28" ht="15.75" x14ac:dyDescent="0.25">
      <c r="A42" s="119"/>
      <c r="B42" s="1">
        <v>2010</v>
      </c>
      <c r="C42" s="1">
        <v>2011</v>
      </c>
      <c r="D42" s="1">
        <v>2012</v>
      </c>
      <c r="E42" s="1">
        <v>2013</v>
      </c>
      <c r="F42" s="1">
        <v>2014</v>
      </c>
      <c r="G42" s="1">
        <v>2015</v>
      </c>
      <c r="H42" s="1">
        <v>2016</v>
      </c>
      <c r="I42" s="1">
        <v>2017</v>
      </c>
      <c r="J42" s="1">
        <v>2018</v>
      </c>
      <c r="K42" s="1">
        <v>2019</v>
      </c>
      <c r="L42" s="1">
        <v>2020</v>
      </c>
      <c r="M42" s="1">
        <v>2021</v>
      </c>
      <c r="N42" s="1">
        <v>2022</v>
      </c>
    </row>
    <row r="43" spans="1:28" ht="15.75" x14ac:dyDescent="0.25">
      <c r="A43" s="130" t="s">
        <v>118</v>
      </c>
      <c r="B43" s="75">
        <v>5.5E-2</v>
      </c>
      <c r="C43" s="75">
        <v>5.5E-2</v>
      </c>
      <c r="D43" s="75">
        <v>5.5E-2</v>
      </c>
      <c r="E43" s="75">
        <v>5.5E-2</v>
      </c>
      <c r="F43" s="75">
        <v>5.5E-2</v>
      </c>
      <c r="G43" s="75">
        <v>5.5E-2</v>
      </c>
      <c r="H43" s="75">
        <v>0.11</v>
      </c>
      <c r="I43" s="75">
        <v>6.4000000000000001E-2</v>
      </c>
      <c r="J43" s="75">
        <v>1.7999999999999999E-2</v>
      </c>
      <c r="K43" s="75">
        <v>1.9E-2</v>
      </c>
      <c r="L43" s="75">
        <v>1.9E-2</v>
      </c>
      <c r="M43" s="75">
        <v>7.0000000000000001E-3</v>
      </c>
      <c r="N43" s="75">
        <v>7.0000000000000001E-3</v>
      </c>
      <c r="Z43">
        <v>7.0000000000000001E-3</v>
      </c>
      <c r="AA43">
        <v>7.0000000000000001E-3</v>
      </c>
    </row>
    <row r="44" spans="1:28" ht="15.75" x14ac:dyDescent="0.25">
      <c r="A44" s="123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</row>
    <row r="45" spans="1:28" ht="15.75" x14ac:dyDescent="0.25">
      <c r="A45" s="119" t="s">
        <v>119</v>
      </c>
      <c r="B45" s="1">
        <v>2010</v>
      </c>
      <c r="C45" s="1">
        <v>2011</v>
      </c>
      <c r="D45" s="1">
        <v>2012</v>
      </c>
      <c r="E45" s="1">
        <v>2013</v>
      </c>
      <c r="F45" s="1">
        <v>2014</v>
      </c>
      <c r="G45" s="1">
        <v>2015</v>
      </c>
      <c r="H45" s="1">
        <v>2016</v>
      </c>
      <c r="I45" s="1">
        <v>2017</v>
      </c>
      <c r="J45" s="1">
        <v>2018</v>
      </c>
      <c r="K45" s="1">
        <v>2019</v>
      </c>
      <c r="L45" s="1">
        <v>2020</v>
      </c>
      <c r="M45" s="1">
        <v>2021</v>
      </c>
      <c r="N45" s="1">
        <v>2022</v>
      </c>
    </row>
    <row r="46" spans="1:28" x14ac:dyDescent="0.25">
      <c r="A46" s="27" t="s">
        <v>206</v>
      </c>
      <c r="B46" s="126">
        <f t="shared" ref="B46:M46" si="11">+B40/B43</f>
        <v>4271.6370256918826</v>
      </c>
      <c r="C46" s="126">
        <f t="shared" si="11"/>
        <v>4271.6370256918826</v>
      </c>
      <c r="D46" s="126">
        <f t="shared" si="11"/>
        <v>4271.6370256918826</v>
      </c>
      <c r="E46" s="126">
        <f t="shared" si="11"/>
        <v>4271.6370256918826</v>
      </c>
      <c r="F46" s="126">
        <f t="shared" si="11"/>
        <v>4271.6370256918826</v>
      </c>
      <c r="G46" s="126">
        <f t="shared" si="11"/>
        <v>5253.5651572003471</v>
      </c>
      <c r="H46" s="126">
        <f t="shared" si="11"/>
        <v>3117.7466443544054</v>
      </c>
      <c r="I46" s="126">
        <f t="shared" si="11"/>
        <v>3312.8488209150064</v>
      </c>
      <c r="J46" s="126">
        <f t="shared" si="11"/>
        <v>11236.010733023628</v>
      </c>
      <c r="K46" s="126">
        <f t="shared" si="11"/>
        <v>0</v>
      </c>
      <c r="L46" s="126">
        <f t="shared" si="11"/>
        <v>0</v>
      </c>
      <c r="M46" s="126">
        <f t="shared" si="11"/>
        <v>1338.5748265356076</v>
      </c>
      <c r="N46" s="126">
        <f>+N40/N43</f>
        <v>0</v>
      </c>
      <c r="O46" s="127"/>
    </row>
    <row r="48" spans="1:28" x14ac:dyDescent="0.25">
      <c r="A48" s="73" t="s">
        <v>498</v>
      </c>
    </row>
    <row r="49" spans="1:28" ht="15.75" x14ac:dyDescent="0.25">
      <c r="A49" s="119"/>
      <c r="B49" s="1">
        <v>2010</v>
      </c>
      <c r="C49" s="1">
        <v>2011</v>
      </c>
      <c r="D49" s="1">
        <v>2012</v>
      </c>
      <c r="E49" s="1">
        <v>2013</v>
      </c>
      <c r="F49" s="1">
        <v>2014</v>
      </c>
      <c r="G49" s="1">
        <v>2015</v>
      </c>
      <c r="H49" s="1">
        <v>2016</v>
      </c>
      <c r="I49" s="1">
        <v>2017</v>
      </c>
      <c r="J49" s="1">
        <v>2018</v>
      </c>
      <c r="K49" s="1">
        <v>2019</v>
      </c>
      <c r="L49" s="1">
        <v>2020</v>
      </c>
      <c r="M49" s="1">
        <v>2021</v>
      </c>
      <c r="N49" s="1">
        <v>2022</v>
      </c>
    </row>
    <row r="50" spans="1:28" s="132" customFormat="1" ht="15.75" x14ac:dyDescent="0.25">
      <c r="A50" s="130" t="s">
        <v>129</v>
      </c>
      <c r="B50" s="131">
        <f>+INGEI_diffs!C26/1000</f>
        <v>280.07585759999995</v>
      </c>
      <c r="C50" s="131">
        <f>+INGEI_diffs!D26/1000</f>
        <v>280.07585759999995</v>
      </c>
      <c r="D50" s="131">
        <f>+INGEI_diffs!E26/1000</f>
        <v>280.07585759999995</v>
      </c>
      <c r="E50" s="131">
        <f>+INGEI_diffs!F26/1000</f>
        <v>280.07585759999995</v>
      </c>
      <c r="F50" s="131">
        <f>+INGEI_diffs!G26/1000</f>
        <v>280.07585759999995</v>
      </c>
      <c r="G50" s="131">
        <f>+INGEI_diffs!H26/1000</f>
        <v>276.33779249999998</v>
      </c>
      <c r="H50" s="131">
        <f>+INGEI_diffs!I26/1000</f>
        <v>272.59972739999995</v>
      </c>
      <c r="I50" s="131">
        <f>+INGEI_diffs!J26/1000</f>
        <v>287.14521219999995</v>
      </c>
      <c r="J50" s="131">
        <f>+INGEI_diffs!K26/1000</f>
        <v>301.69069699999994</v>
      </c>
      <c r="K50" s="131">
        <f>+INGEI_diffs!L26/1000</f>
        <v>256.32255109999994</v>
      </c>
      <c r="L50" s="131">
        <f>+INGEI_diffs!M26/1000</f>
        <v>256.32255109999994</v>
      </c>
      <c r="M50" s="131">
        <f>+INGEI_diffs!N26/1000</f>
        <v>54.708061100000002</v>
      </c>
      <c r="N50" s="131">
        <f>+INGEI_diffs!O26/1000</f>
        <v>54.708061100000002</v>
      </c>
    </row>
    <row r="51" spans="1:28" ht="15.75" x14ac:dyDescent="0.25">
      <c r="A51" s="121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</row>
    <row r="52" spans="1:28" ht="15.75" x14ac:dyDescent="0.25">
      <c r="A52" s="119"/>
      <c r="B52" s="1">
        <v>2010</v>
      </c>
      <c r="C52" s="1">
        <v>2011</v>
      </c>
      <c r="D52" s="1">
        <v>2012</v>
      </c>
      <c r="E52" s="1">
        <v>2013</v>
      </c>
      <c r="F52" s="1">
        <v>2014</v>
      </c>
      <c r="G52" s="1">
        <v>2015</v>
      </c>
      <c r="H52" s="1">
        <v>2016</v>
      </c>
      <c r="I52" s="1">
        <v>2017</v>
      </c>
      <c r="J52" s="1">
        <v>2018</v>
      </c>
      <c r="K52" s="1">
        <v>2019</v>
      </c>
      <c r="L52" s="1">
        <v>2020</v>
      </c>
      <c r="M52" s="1">
        <v>2021</v>
      </c>
      <c r="N52" s="1">
        <v>2022</v>
      </c>
    </row>
    <row r="53" spans="1:28" ht="15.75" x14ac:dyDescent="0.25">
      <c r="A53" s="130" t="s">
        <v>118</v>
      </c>
      <c r="B53" s="112">
        <f>+'Cambio uso de suelo (BAU)'!D61</f>
        <v>7.7390400000000001</v>
      </c>
      <c r="C53" s="112">
        <f>+'Cambio uso de suelo (BAU)'!E61</f>
        <v>7.7390400000000001</v>
      </c>
      <c r="D53" s="112">
        <f>+'Cambio uso de suelo (BAU)'!F61</f>
        <v>7.7390400000000001</v>
      </c>
      <c r="E53" s="112">
        <f>+'Cambio uso de suelo (BAU)'!G61</f>
        <v>7.7390400000000001</v>
      </c>
      <c r="F53" s="112">
        <f>+'Cambio uso de suelo (BAU)'!H61</f>
        <v>7.7390400000000001</v>
      </c>
      <c r="G53" s="112">
        <f>+'Cambio uso de suelo (BAU)'!I61</f>
        <v>7.6357499999999998</v>
      </c>
      <c r="H53" s="112">
        <f>+'Cambio uso de suelo (BAU)'!J61</f>
        <v>7.5324600000000004</v>
      </c>
      <c r="I53" s="112">
        <f>+'Cambio uso de suelo (BAU)'!K61</f>
        <v>7.93438</v>
      </c>
      <c r="J53" s="112">
        <f>+'Cambio uso de suelo (BAU)'!L61</f>
        <v>8.3362999999999996</v>
      </c>
      <c r="K53" s="112">
        <f>+'Cambio uso de suelo (BAU)'!M61</f>
        <v>7.0826899999999995</v>
      </c>
      <c r="L53" s="112">
        <f>+'Cambio uso de suelo (BAU)'!N61</f>
        <v>7.0826899999999995</v>
      </c>
      <c r="M53" s="112">
        <f>+'Cambio uso de suelo (BAU)'!O61</f>
        <v>1.51169</v>
      </c>
      <c r="N53" s="112">
        <f>+'Cambio uso de suelo (BAU)'!P61</f>
        <v>1.51169</v>
      </c>
      <c r="O53" s="112">
        <f>+'Cambio uso de suelo (BAU)'!Q61/1000</f>
        <v>1.51169E-3</v>
      </c>
      <c r="P53" s="112">
        <f>+'Cambio uso de suelo (BAU)'!R61/1000</f>
        <v>1.51169E-3</v>
      </c>
      <c r="Q53" s="112">
        <f>+'Cambio uso de suelo (BAU)'!S61/1000</f>
        <v>1.51169E-3</v>
      </c>
      <c r="R53" s="112">
        <f>+'Cambio uso de suelo (BAU)'!T61/1000</f>
        <v>1.51169E-3</v>
      </c>
      <c r="S53" s="112">
        <f>+'Cambio uso de suelo (BAU)'!U61/1000</f>
        <v>1.51169E-3</v>
      </c>
      <c r="T53" s="112">
        <f>+'Cambio uso de suelo (BAU)'!V61/1000</f>
        <v>1.51169E-3</v>
      </c>
      <c r="U53" s="112">
        <f>+'Cambio uso de suelo (BAU)'!W61/1000</f>
        <v>1.51169E-3</v>
      </c>
      <c r="V53" s="112">
        <f>+'Cambio uso de suelo (BAU)'!X61/1000</f>
        <v>1.51169E-3</v>
      </c>
      <c r="W53" s="112">
        <f>+'Cambio uso de suelo (BAU)'!Y61/1000</f>
        <v>1.51169E-3</v>
      </c>
      <c r="X53" s="112">
        <f>+'Cambio uso de suelo (BAU)'!Z61/1000</f>
        <v>1.51169E-3</v>
      </c>
      <c r="Y53" s="112">
        <f>+'Cambio uso de suelo (BAU)'!AA61/1000</f>
        <v>1.51169E-3</v>
      </c>
      <c r="Z53" s="112">
        <f>+'Cambio uso de suelo (BAU)'!AB61/1000</f>
        <v>1.51169E-3</v>
      </c>
      <c r="AA53" s="112">
        <f>+'Cambio uso de suelo (BAU)'!AC61/1000</f>
        <v>1.51169E-3</v>
      </c>
      <c r="AB53" s="112">
        <f>+'Cambio uso de suelo (BAU)'!AD61/1000</f>
        <v>0</v>
      </c>
    </row>
    <row r="54" spans="1:28" ht="15.75" x14ac:dyDescent="0.25">
      <c r="A54" s="123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</row>
    <row r="55" spans="1:28" ht="15.75" x14ac:dyDescent="0.25">
      <c r="A55" s="119" t="s">
        <v>119</v>
      </c>
      <c r="B55" s="1">
        <v>2010</v>
      </c>
      <c r="C55" s="1">
        <v>2011</v>
      </c>
      <c r="D55" s="1">
        <v>2012</v>
      </c>
      <c r="E55" s="1">
        <v>2013</v>
      </c>
      <c r="F55" s="1">
        <v>2014</v>
      </c>
      <c r="G55" s="1">
        <v>2015</v>
      </c>
      <c r="H55" s="1">
        <v>2016</v>
      </c>
      <c r="I55" s="1">
        <v>2017</v>
      </c>
      <c r="J55" s="1">
        <v>2018</v>
      </c>
      <c r="K55" s="1">
        <v>2019</v>
      </c>
      <c r="L55" s="1">
        <v>2020</v>
      </c>
      <c r="M55" s="1">
        <v>2021</v>
      </c>
      <c r="N55" s="1">
        <v>2022</v>
      </c>
    </row>
    <row r="56" spans="1:28" x14ac:dyDescent="0.25">
      <c r="A56" s="27" t="s">
        <v>206</v>
      </c>
      <c r="B56" s="126">
        <f t="shared" ref="B56:N56" si="12">+B50/B53</f>
        <v>36.189999999999991</v>
      </c>
      <c r="C56" s="126">
        <f t="shared" si="12"/>
        <v>36.189999999999991</v>
      </c>
      <c r="D56" s="126">
        <f t="shared" si="12"/>
        <v>36.189999999999991</v>
      </c>
      <c r="E56" s="126">
        <f t="shared" si="12"/>
        <v>36.189999999999991</v>
      </c>
      <c r="F56" s="126">
        <f t="shared" si="12"/>
        <v>36.189999999999991</v>
      </c>
      <c r="G56" s="126">
        <f t="shared" si="12"/>
        <v>36.19</v>
      </c>
      <c r="H56" s="126">
        <f t="shared" si="12"/>
        <v>36.189999999999991</v>
      </c>
      <c r="I56" s="126">
        <f t="shared" si="12"/>
        <v>36.189999999999991</v>
      </c>
      <c r="J56" s="126">
        <f t="shared" si="12"/>
        <v>36.19</v>
      </c>
      <c r="K56" s="126">
        <f t="shared" si="12"/>
        <v>36.19</v>
      </c>
      <c r="L56" s="126">
        <f t="shared" si="12"/>
        <v>36.19</v>
      </c>
      <c r="M56" s="126">
        <f t="shared" si="12"/>
        <v>36.190000000000005</v>
      </c>
      <c r="N56" s="126">
        <f t="shared" si="12"/>
        <v>36.190000000000005</v>
      </c>
      <c r="O56" s="127"/>
    </row>
    <row r="58" spans="1:28" x14ac:dyDescent="0.25"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</row>
    <row r="59" spans="1:28" x14ac:dyDescent="0.25">
      <c r="A59" s="73" t="s">
        <v>499</v>
      </c>
    </row>
    <row r="60" spans="1:28" ht="15.75" x14ac:dyDescent="0.25">
      <c r="A60" s="119"/>
      <c r="B60" s="1">
        <v>2010</v>
      </c>
      <c r="C60" s="1">
        <v>2011</v>
      </c>
      <c r="D60" s="1">
        <v>2012</v>
      </c>
      <c r="E60" s="1">
        <v>2013</v>
      </c>
      <c r="F60" s="1">
        <v>2014</v>
      </c>
      <c r="G60" s="1">
        <v>2015</v>
      </c>
      <c r="H60" s="1">
        <v>2016</v>
      </c>
      <c r="I60" s="1">
        <v>2017</v>
      </c>
      <c r="J60" s="1">
        <v>2018</v>
      </c>
      <c r="K60" s="1">
        <v>2019</v>
      </c>
      <c r="L60" s="1">
        <v>2020</v>
      </c>
      <c r="M60" s="1">
        <v>2021</v>
      </c>
      <c r="N60" s="1">
        <v>2022</v>
      </c>
    </row>
    <row r="61" spans="1:28" s="132" customFormat="1" ht="15.75" x14ac:dyDescent="0.25">
      <c r="A61" s="130" t="s">
        <v>129</v>
      </c>
      <c r="B61" s="131">
        <f>+INGEI_diffs!C27/1000</f>
        <v>2.8969577999999996</v>
      </c>
      <c r="C61" s="131">
        <f>+INGEI_diffs!D27/1000</f>
        <v>2.8969577999999996</v>
      </c>
      <c r="D61" s="131">
        <f>+INGEI_diffs!E27/1000</f>
        <v>2.8969577999999996</v>
      </c>
      <c r="E61" s="131">
        <f>+INGEI_diffs!F27/1000</f>
        <v>2.8969577999999996</v>
      </c>
      <c r="F61" s="131">
        <f>+INGEI_diffs!G27/1000</f>
        <v>2.8969577999999996</v>
      </c>
      <c r="G61" s="131">
        <f>+INGEI_diffs!H27/1000</f>
        <v>4.5128068333333333</v>
      </c>
      <c r="H61" s="131">
        <f>+INGEI_diffs!I27/1000</f>
        <v>6.1286558666666666</v>
      </c>
      <c r="I61" s="131">
        <f>+INGEI_diffs!J27/1000</f>
        <v>3.6558793333333335</v>
      </c>
      <c r="J61" s="131">
        <f>+INGEI_diffs!K27/1000</f>
        <v>1.1831027999999999</v>
      </c>
      <c r="K61" s="131">
        <f>+INGEI_diffs!L27/1000</f>
        <v>7.2903203999999988</v>
      </c>
      <c r="L61" s="131">
        <f>+INGEI_diffs!M27/1000</f>
        <v>7.2903203999999988</v>
      </c>
      <c r="M61" s="131">
        <f>+INGEI_diffs!N27/1000</f>
        <v>0.94769546666666649</v>
      </c>
      <c r="N61" s="131">
        <f>+INGEI_diffs!O27/1000</f>
        <v>0.94769546666666649</v>
      </c>
    </row>
    <row r="62" spans="1:28" ht="15.75" x14ac:dyDescent="0.25">
      <c r="A62" s="121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</row>
    <row r="63" spans="1:28" ht="15.75" x14ac:dyDescent="0.25">
      <c r="A63" s="119"/>
      <c r="B63" s="1">
        <v>2010</v>
      </c>
      <c r="C63" s="1">
        <v>2011</v>
      </c>
      <c r="D63" s="1">
        <v>2012</v>
      </c>
      <c r="E63" s="1">
        <v>2013</v>
      </c>
      <c r="F63" s="1">
        <v>2014</v>
      </c>
      <c r="G63" s="1">
        <v>2015</v>
      </c>
      <c r="H63" s="1">
        <v>2016</v>
      </c>
      <c r="I63" s="1">
        <v>2017</v>
      </c>
      <c r="J63" s="1">
        <v>2018</v>
      </c>
      <c r="K63" s="1">
        <v>2019</v>
      </c>
      <c r="L63" s="1">
        <v>2020</v>
      </c>
      <c r="M63" s="1">
        <v>2021</v>
      </c>
      <c r="N63" s="1">
        <v>2022</v>
      </c>
    </row>
    <row r="64" spans="1:28" ht="15.75" x14ac:dyDescent="0.25">
      <c r="A64" s="130" t="s">
        <v>118</v>
      </c>
      <c r="B64" s="112">
        <f>+'Cambio uso de suelo (BAU)'!D62</f>
        <v>0.42025499999999999</v>
      </c>
      <c r="C64" s="112">
        <f>+'Cambio uso de suelo (BAU)'!E62</f>
        <v>0.42025499999999999</v>
      </c>
      <c r="D64" s="112">
        <f>+'Cambio uso de suelo (BAU)'!F62</f>
        <v>0.42025499999999999</v>
      </c>
      <c r="E64" s="112">
        <f>+'Cambio uso de suelo (BAU)'!G62</f>
        <v>0.42025499999999999</v>
      </c>
      <c r="F64" s="112">
        <f>+'Cambio uso de suelo (BAU)'!H62</f>
        <v>0.42025499999999999</v>
      </c>
      <c r="G64" s="112">
        <f>+'Cambio uso de suelo (BAU)'!I62</f>
        <v>0.65466250000000004</v>
      </c>
      <c r="H64" s="112">
        <f>+'Cambio uso de suelo (BAU)'!J62</f>
        <v>0.88907000000000003</v>
      </c>
      <c r="I64" s="112">
        <f>+'Cambio uso de suelo (BAU)'!K62</f>
        <v>0.53034999999999999</v>
      </c>
      <c r="J64" s="112">
        <f>+'Cambio uso de suelo (BAU)'!L62</f>
        <v>0.17163</v>
      </c>
      <c r="K64" s="112">
        <f>+'Cambio uso de suelo (BAU)'!M62</f>
        <v>1.0575899999999998</v>
      </c>
      <c r="L64" s="112">
        <f>+'Cambio uso de suelo (BAU)'!N62</f>
        <v>1.0575899999999998</v>
      </c>
      <c r="M64" s="112">
        <f>+'Cambio uso de suelo (BAU)'!O62</f>
        <v>0.13747999999999999</v>
      </c>
      <c r="N64" s="112">
        <f>+'Cambio uso de suelo (BAU)'!P62</f>
        <v>0.13747999999999999</v>
      </c>
      <c r="O64" s="112">
        <f>+'Cambio uso de suelo (BAU)'!Q72/1000</f>
        <v>7.3814638730458927E-5</v>
      </c>
      <c r="P64" s="112">
        <f>+'Cambio uso de suelo (BAU)'!R72/1000</f>
        <v>7.3271892020971896E-5</v>
      </c>
      <c r="Q64" s="112">
        <f>+'Cambio uso de suelo (BAU)'!S72/1000</f>
        <v>7.272140782191442E-5</v>
      </c>
      <c r="R64" s="112">
        <f>+'Cambio uso de suelo (BAU)'!T72/1000</f>
        <v>7.2194138218339721E-5</v>
      </c>
      <c r="S64" s="112">
        <f>+'Cambio uso de suelo (BAU)'!U72/1000</f>
        <v>7.165913112466958E-5</v>
      </c>
      <c r="T64" s="112">
        <f>+'Cambio uso de suelo (BAU)'!V72/1000</f>
        <v>7.1124124561976218E-5</v>
      </c>
      <c r="U64" s="112">
        <f>+'Cambio uso de suelo (BAU)'!W72/1000</f>
        <v>7.0604594572656033E-5</v>
      </c>
      <c r="V64" s="112">
        <f>+'Cambio uso de suelo (BAU)'!X72/1000</f>
        <v>7.0085065113789026E-5</v>
      </c>
      <c r="W64" s="112">
        <f>+'Cambio uso de suelo (BAU)'!Y72/1000</f>
        <v>6.9565536185119012E-5</v>
      </c>
      <c r="X64" s="112">
        <f>+'Cambio uso de suelo (BAU)'!Z72/1000</f>
        <v>6.905374580771122E-5</v>
      </c>
      <c r="Y64" s="112">
        <f>+'Cambio uso de suelo (BAU)'!AA72/1000</f>
        <v>6.8541955959979613E-5</v>
      </c>
      <c r="Z64" s="112">
        <f>+'Cambio uso de suelo (BAU)'!AB72/1000</f>
        <v>6.804564268432346E-5</v>
      </c>
      <c r="AA64" s="112">
        <f>+'Cambio uso de suelo (BAU)'!AC72/1000</f>
        <v>6.7533853895161697E-5</v>
      </c>
      <c r="AB64" s="112">
        <f>+'Cambio uso de suelo (BAU)'!AD72/1000</f>
        <v>0</v>
      </c>
    </row>
    <row r="65" spans="1:15" ht="15.75" x14ac:dyDescent="0.25">
      <c r="A65" s="123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</row>
    <row r="66" spans="1:15" ht="15.75" x14ac:dyDescent="0.25">
      <c r="A66" s="119" t="s">
        <v>119</v>
      </c>
      <c r="B66" s="1">
        <v>2010</v>
      </c>
      <c r="C66" s="1">
        <v>2011</v>
      </c>
      <c r="D66" s="1">
        <v>2012</v>
      </c>
      <c r="E66" s="1">
        <v>2013</v>
      </c>
      <c r="F66" s="1">
        <v>2014</v>
      </c>
      <c r="G66" s="1">
        <v>2015</v>
      </c>
      <c r="H66" s="1">
        <v>2016</v>
      </c>
      <c r="I66" s="1">
        <v>2017</v>
      </c>
      <c r="J66" s="1">
        <v>2018</v>
      </c>
      <c r="K66" s="1">
        <v>2019</v>
      </c>
      <c r="L66" s="1">
        <v>2020</v>
      </c>
      <c r="M66" s="1">
        <v>2021</v>
      </c>
      <c r="N66" s="1">
        <v>2022</v>
      </c>
    </row>
    <row r="67" spans="1:15" x14ac:dyDescent="0.25">
      <c r="A67" s="27" t="s">
        <v>206</v>
      </c>
      <c r="B67" s="126">
        <f t="shared" ref="B67:N67" si="13">+B61/B64</f>
        <v>6.8933333333333326</v>
      </c>
      <c r="C67" s="126">
        <f t="shared" si="13"/>
        <v>6.8933333333333326</v>
      </c>
      <c r="D67" s="126">
        <f t="shared" si="13"/>
        <v>6.8933333333333326</v>
      </c>
      <c r="E67" s="126">
        <f t="shared" si="13"/>
        <v>6.8933333333333326</v>
      </c>
      <c r="F67" s="126">
        <f t="shared" si="13"/>
        <v>6.8933333333333326</v>
      </c>
      <c r="G67" s="126">
        <f t="shared" si="13"/>
        <v>6.8933333333333326</v>
      </c>
      <c r="H67" s="126">
        <f t="shared" si="13"/>
        <v>6.8933333333333326</v>
      </c>
      <c r="I67" s="126">
        <f t="shared" si="13"/>
        <v>6.8933333333333335</v>
      </c>
      <c r="J67" s="126">
        <f t="shared" si="13"/>
        <v>6.8933333333333326</v>
      </c>
      <c r="K67" s="126">
        <f t="shared" si="13"/>
        <v>6.8933333333333335</v>
      </c>
      <c r="L67" s="126">
        <f t="shared" si="13"/>
        <v>6.8933333333333335</v>
      </c>
      <c r="M67" s="126">
        <f t="shared" si="13"/>
        <v>6.8933333333333326</v>
      </c>
      <c r="N67" s="126">
        <f t="shared" si="13"/>
        <v>6.8933333333333326</v>
      </c>
      <c r="O67" s="127"/>
    </row>
    <row r="69" spans="1:15" x14ac:dyDescent="0.25">
      <c r="B69" s="75">
        <f>+B61+B51+B23</f>
        <v>3.6060977999999997</v>
      </c>
      <c r="C69" s="75">
        <f t="shared" ref="C69:J69" si="14">+C61+C51+C23</f>
        <v>3.6060977999999997</v>
      </c>
      <c r="D69" s="75">
        <f t="shared" si="14"/>
        <v>3.6060977999999997</v>
      </c>
      <c r="E69" s="75">
        <f t="shared" si="14"/>
        <v>3.6060977999999997</v>
      </c>
      <c r="F69" s="75">
        <f t="shared" si="14"/>
        <v>3.6060977999999997</v>
      </c>
      <c r="G69" s="75">
        <f t="shared" si="14"/>
        <v>5.322146833333333</v>
      </c>
      <c r="H69" s="75">
        <f t="shared" si="14"/>
        <v>7.0381958666666664</v>
      </c>
      <c r="I69" s="75">
        <f t="shared" si="14"/>
        <v>4.6033093333333337</v>
      </c>
      <c r="J69" s="75">
        <f t="shared" si="14"/>
        <v>2.1684228000000001</v>
      </c>
      <c r="K69" s="75">
        <f>+K61+K51+K23</f>
        <v>8.0094703999999979</v>
      </c>
      <c r="L69" s="75">
        <f>+L61+L51+L23</f>
        <v>8.0094703999999979</v>
      </c>
      <c r="M69" s="75">
        <f t="shared" ref="M69:N69" si="15">+M61+M51+M23</f>
        <v>0.99584546666666651</v>
      </c>
      <c r="N69" s="75">
        <f t="shared" si="15"/>
        <v>0.99584546666666651</v>
      </c>
    </row>
    <row r="73" spans="1:15" x14ac:dyDescent="0.25">
      <c r="A73" s="540" t="s">
        <v>186</v>
      </c>
      <c r="B73" s="505">
        <v>0</v>
      </c>
      <c r="C73" s="505">
        <v>0</v>
      </c>
      <c r="D73" s="505">
        <v>0</v>
      </c>
      <c r="E73" s="505">
        <v>0</v>
      </c>
      <c r="F73" s="505">
        <v>0</v>
      </c>
      <c r="G73" s="505">
        <v>0</v>
      </c>
      <c r="H73" s="505">
        <v>0</v>
      </c>
      <c r="I73" s="505">
        <v>0</v>
      </c>
      <c r="J73" s="505">
        <v>0</v>
      </c>
      <c r="K73" s="505">
        <v>6.6</v>
      </c>
      <c r="L73" s="505">
        <v>6.6</v>
      </c>
      <c r="M73" s="505">
        <v>0</v>
      </c>
      <c r="N73" s="505">
        <v>9.3000000000000007</v>
      </c>
    </row>
    <row r="74" spans="1:15" x14ac:dyDescent="0.25">
      <c r="A74" s="540" t="s">
        <v>187</v>
      </c>
      <c r="B74" s="505">
        <v>6.2</v>
      </c>
      <c r="C74" s="505">
        <v>6.2</v>
      </c>
      <c r="D74" s="505">
        <v>6.2</v>
      </c>
      <c r="E74" s="505">
        <v>6.2</v>
      </c>
      <c r="F74" s="505">
        <v>6.2</v>
      </c>
      <c r="G74" s="505">
        <v>7.6</v>
      </c>
      <c r="H74" s="505">
        <v>9</v>
      </c>
      <c r="I74" s="505">
        <v>8.6</v>
      </c>
      <c r="J74" s="505">
        <v>8.1999999999999993</v>
      </c>
      <c r="K74" s="505">
        <v>64.099999999999994</v>
      </c>
      <c r="L74" s="505">
        <v>64.099999999999994</v>
      </c>
      <c r="M74" s="505">
        <v>91.3</v>
      </c>
      <c r="N74" s="505">
        <v>91.3</v>
      </c>
    </row>
    <row r="75" spans="1:15" x14ac:dyDescent="0.25">
      <c r="A75" s="540" t="s">
        <v>188</v>
      </c>
      <c r="B75" s="505">
        <v>0</v>
      </c>
      <c r="C75" s="505">
        <v>0</v>
      </c>
      <c r="D75" s="505">
        <v>0</v>
      </c>
      <c r="E75" s="505">
        <v>0</v>
      </c>
      <c r="F75" s="505">
        <v>0</v>
      </c>
      <c r="G75" s="505">
        <v>0</v>
      </c>
      <c r="H75" s="505">
        <v>0</v>
      </c>
      <c r="I75" s="505">
        <v>0</v>
      </c>
      <c r="J75" s="505">
        <v>76.8</v>
      </c>
      <c r="K75" s="505">
        <v>613.1</v>
      </c>
      <c r="L75" s="505">
        <v>613.1</v>
      </c>
      <c r="M75" s="505">
        <v>874.9</v>
      </c>
      <c r="N75" s="505">
        <v>874.9</v>
      </c>
    </row>
    <row r="76" spans="1:15" x14ac:dyDescent="0.25">
      <c r="A76" s="540" t="s">
        <v>189</v>
      </c>
      <c r="B76" s="505">
        <v>0</v>
      </c>
      <c r="C76" s="505">
        <v>0</v>
      </c>
      <c r="D76" s="505">
        <v>0</v>
      </c>
      <c r="E76" s="505">
        <v>0</v>
      </c>
      <c r="F76" s="505">
        <v>0</v>
      </c>
      <c r="G76" s="505">
        <v>0</v>
      </c>
      <c r="H76" s="505">
        <v>0</v>
      </c>
      <c r="I76" s="505">
        <v>33.5</v>
      </c>
      <c r="J76" s="505">
        <v>32</v>
      </c>
      <c r="K76" s="505">
        <v>249.2</v>
      </c>
      <c r="L76" s="505">
        <v>249.2</v>
      </c>
      <c r="M76" s="505">
        <v>355.6</v>
      </c>
      <c r="N76" s="505">
        <v>355.6</v>
      </c>
    </row>
    <row r="77" spans="1:15" x14ac:dyDescent="0.25">
      <c r="A77" s="540" t="s">
        <v>190</v>
      </c>
      <c r="B77" s="505">
        <v>0</v>
      </c>
      <c r="C77" s="505">
        <v>0</v>
      </c>
      <c r="D77" s="505">
        <v>0</v>
      </c>
      <c r="E77" s="505">
        <v>0</v>
      </c>
      <c r="F77" s="505">
        <v>0</v>
      </c>
      <c r="G77" s="505">
        <v>0</v>
      </c>
      <c r="H77" s="505">
        <v>0</v>
      </c>
      <c r="I77" s="505">
        <v>0</v>
      </c>
      <c r="J77" s="505">
        <v>0</v>
      </c>
      <c r="K77" s="505">
        <v>171.7</v>
      </c>
      <c r="L77" s="505">
        <v>171.7</v>
      </c>
      <c r="M77" s="505">
        <v>245.3</v>
      </c>
      <c r="N77" s="505">
        <v>245.3</v>
      </c>
    </row>
    <row r="78" spans="1:15" x14ac:dyDescent="0.25">
      <c r="A78" s="540" t="s">
        <v>191</v>
      </c>
      <c r="B78" s="505">
        <v>0</v>
      </c>
      <c r="C78" s="505">
        <v>0</v>
      </c>
      <c r="D78" s="505">
        <v>0</v>
      </c>
      <c r="E78" s="505">
        <v>0</v>
      </c>
      <c r="F78" s="505">
        <v>0</v>
      </c>
      <c r="G78" s="505">
        <v>0</v>
      </c>
      <c r="H78" s="505">
        <v>0</v>
      </c>
      <c r="I78" s="505">
        <v>0</v>
      </c>
      <c r="J78" s="505">
        <v>0</v>
      </c>
      <c r="K78" s="505">
        <v>1256</v>
      </c>
      <c r="L78" s="505">
        <v>1256</v>
      </c>
      <c r="M78" s="505">
        <v>1792.3</v>
      </c>
      <c r="N78" s="505">
        <v>1792.3</v>
      </c>
    </row>
    <row r="79" spans="1:15" x14ac:dyDescent="0.25">
      <c r="A79" s="540" t="s">
        <v>192</v>
      </c>
      <c r="B79" s="505">
        <v>13.4</v>
      </c>
      <c r="C79" s="505">
        <v>13.4</v>
      </c>
      <c r="D79" s="505">
        <v>13.4</v>
      </c>
      <c r="E79" s="505">
        <v>13.4</v>
      </c>
      <c r="F79" s="505">
        <v>13.4</v>
      </c>
      <c r="G79" s="505">
        <v>16.5</v>
      </c>
      <c r="H79" s="505">
        <v>19.5</v>
      </c>
      <c r="I79" s="505">
        <v>18.7</v>
      </c>
      <c r="J79" s="505">
        <v>17.8</v>
      </c>
      <c r="K79" s="505">
        <v>139.6</v>
      </c>
      <c r="L79" s="505">
        <v>139.6</v>
      </c>
      <c r="M79" s="505">
        <v>198.6</v>
      </c>
      <c r="N79" s="505">
        <v>198.6</v>
      </c>
    </row>
    <row r="80" spans="1:15" x14ac:dyDescent="0.25">
      <c r="A80" s="540" t="s">
        <v>193</v>
      </c>
      <c r="B80" s="505">
        <v>3.3</v>
      </c>
      <c r="C80" s="505">
        <v>3.3</v>
      </c>
      <c r="D80" s="505">
        <v>3.3</v>
      </c>
      <c r="E80" s="505">
        <v>3.3</v>
      </c>
      <c r="F80" s="505">
        <v>3.3</v>
      </c>
      <c r="G80" s="505">
        <v>4.0999999999999996</v>
      </c>
      <c r="H80" s="505">
        <v>4.9000000000000004</v>
      </c>
      <c r="I80" s="505">
        <v>4.5999999999999996</v>
      </c>
      <c r="J80" s="505">
        <v>4.4000000000000004</v>
      </c>
      <c r="K80" s="505">
        <v>34.6</v>
      </c>
      <c r="L80" s="505">
        <v>34.6</v>
      </c>
      <c r="M80" s="505">
        <v>49.4</v>
      </c>
      <c r="N80" s="505">
        <v>49.4</v>
      </c>
    </row>
    <row r="81" spans="1:14" x14ac:dyDescent="0.25">
      <c r="A81" s="540" t="s">
        <v>194</v>
      </c>
      <c r="B81" s="505">
        <v>0</v>
      </c>
      <c r="C81" s="505">
        <v>0</v>
      </c>
      <c r="D81" s="505">
        <v>0</v>
      </c>
      <c r="E81" s="505">
        <v>0</v>
      </c>
      <c r="F81" s="505">
        <v>0</v>
      </c>
      <c r="G81" s="505">
        <v>0</v>
      </c>
      <c r="H81" s="505">
        <v>0</v>
      </c>
      <c r="I81" s="505">
        <v>0</v>
      </c>
      <c r="J81" s="505">
        <v>0</v>
      </c>
      <c r="K81" s="505">
        <v>144.5</v>
      </c>
      <c r="L81" s="505">
        <v>144.5</v>
      </c>
      <c r="M81" s="505">
        <v>206.2</v>
      </c>
      <c r="N81" s="505">
        <v>206.2</v>
      </c>
    </row>
    <row r="82" spans="1:14" x14ac:dyDescent="0.25">
      <c r="A82" s="540" t="s">
        <v>411</v>
      </c>
      <c r="B82" s="505">
        <v>280.10000000000002</v>
      </c>
      <c r="C82" s="505">
        <v>280.10000000000002</v>
      </c>
      <c r="D82" s="505">
        <v>280.10000000000002</v>
      </c>
      <c r="E82" s="505">
        <v>280.10000000000002</v>
      </c>
      <c r="F82" s="505">
        <v>280.10000000000002</v>
      </c>
      <c r="G82" s="505">
        <v>276.3</v>
      </c>
      <c r="H82" s="505">
        <v>272.60000000000002</v>
      </c>
      <c r="I82" s="505">
        <v>287.10000000000002</v>
      </c>
      <c r="J82" s="505">
        <v>301.7</v>
      </c>
      <c r="K82" s="505">
        <v>256.3</v>
      </c>
      <c r="L82" s="505">
        <v>256.3</v>
      </c>
      <c r="M82" s="505">
        <v>54.7</v>
      </c>
      <c r="N82" s="505">
        <v>54.7</v>
      </c>
    </row>
    <row r="83" spans="1:14" x14ac:dyDescent="0.25">
      <c r="A83" s="540" t="s">
        <v>419</v>
      </c>
      <c r="B83" s="505">
        <v>2.9</v>
      </c>
      <c r="C83" s="505">
        <v>2.9</v>
      </c>
      <c r="D83" s="505">
        <v>2.9</v>
      </c>
      <c r="E83" s="505">
        <v>2.9</v>
      </c>
      <c r="F83" s="505">
        <v>2.9</v>
      </c>
      <c r="G83" s="505">
        <v>4.5</v>
      </c>
      <c r="H83" s="505">
        <v>6.1</v>
      </c>
      <c r="I83" s="505">
        <v>3.7</v>
      </c>
      <c r="J83" s="505">
        <v>1.2</v>
      </c>
      <c r="K83" s="505">
        <v>7.3</v>
      </c>
      <c r="L83" s="505">
        <v>7.3</v>
      </c>
      <c r="M83" s="505">
        <v>0.9</v>
      </c>
      <c r="N83" s="505">
        <v>0.9</v>
      </c>
    </row>
    <row r="84" spans="1:14" x14ac:dyDescent="0.25">
      <c r="A84" s="540" t="s">
        <v>500</v>
      </c>
      <c r="B84" s="505">
        <v>234.1</v>
      </c>
      <c r="C84" s="505">
        <v>234.1</v>
      </c>
      <c r="D84" s="505">
        <v>234.1</v>
      </c>
      <c r="E84" s="505">
        <v>234.1</v>
      </c>
      <c r="F84" s="505">
        <v>234.1</v>
      </c>
      <c r="G84" s="505">
        <v>287.89999999999998</v>
      </c>
      <c r="H84" s="505">
        <v>341.7</v>
      </c>
      <c r="I84" s="505">
        <v>211.4</v>
      </c>
      <c r="J84" s="505">
        <v>201.1</v>
      </c>
      <c r="K84" s="505">
        <v>0</v>
      </c>
      <c r="L84" s="505">
        <v>0</v>
      </c>
      <c r="M84" s="505">
        <v>9.6</v>
      </c>
      <c r="N84" s="505">
        <v>0</v>
      </c>
    </row>
    <row r="86" spans="1:14" x14ac:dyDescent="0.25">
      <c r="A86" s="540" t="s">
        <v>186</v>
      </c>
      <c r="B86" s="525">
        <f>+P27-B73</f>
        <v>0</v>
      </c>
      <c r="C86" s="525">
        <f t="shared" ref="C86:N93" si="16">+Q27-C73</f>
        <v>0</v>
      </c>
      <c r="D86" s="525">
        <f t="shared" si="16"/>
        <v>0</v>
      </c>
      <c r="E86" s="525">
        <f t="shared" si="16"/>
        <v>0</v>
      </c>
      <c r="F86" s="525">
        <f t="shared" si="16"/>
        <v>0</v>
      </c>
      <c r="G86" s="525">
        <f t="shared" si="16"/>
        <v>0</v>
      </c>
      <c r="H86" s="525">
        <f t="shared" si="16"/>
        <v>0</v>
      </c>
      <c r="I86" s="525">
        <f t="shared" si="16"/>
        <v>0</v>
      </c>
      <c r="J86" s="525">
        <f t="shared" si="16"/>
        <v>0</v>
      </c>
      <c r="K86" s="525">
        <f t="shared" si="16"/>
        <v>-3.3593755390056934E-2</v>
      </c>
      <c r="L86" s="525">
        <f t="shared" si="16"/>
        <v>-3.3593755390056934E-2</v>
      </c>
      <c r="M86" s="525">
        <f t="shared" si="16"/>
        <v>0</v>
      </c>
      <c r="N86" s="525">
        <f t="shared" si="16"/>
        <v>7.0023785749205203E-2</v>
      </c>
    </row>
    <row r="87" spans="1:14" x14ac:dyDescent="0.25">
      <c r="A87" s="540" t="s">
        <v>187</v>
      </c>
      <c r="B87" s="525">
        <f t="shared" ref="B87:B92" si="17">+P28-B74</f>
        <v>-2.8704238752450095E-2</v>
      </c>
      <c r="C87" s="525">
        <f t="shared" si="16"/>
        <v>-2.8704238752450095E-2</v>
      </c>
      <c r="D87" s="525">
        <f t="shared" si="16"/>
        <v>-2.8704238752450095E-2</v>
      </c>
      <c r="E87" s="525">
        <f t="shared" si="16"/>
        <v>-2.8704238752450095E-2</v>
      </c>
      <c r="F87" s="525">
        <f t="shared" si="16"/>
        <v>-2.8704238752450095E-2</v>
      </c>
      <c r="G87" s="525">
        <f t="shared" si="16"/>
        <v>-1.0098472536535397E-2</v>
      </c>
      <c r="H87" s="525">
        <f t="shared" si="16"/>
        <v>8.5072936793793019E-3</v>
      </c>
      <c r="I87" s="525">
        <f t="shared" si="16"/>
        <v>1.1520186051338754E-2</v>
      </c>
      <c r="J87" s="525">
        <f t="shared" si="16"/>
        <v>1.4533078423298207E-2</v>
      </c>
      <c r="K87" s="525">
        <f t="shared" si="16"/>
        <v>2.2177485989786305E-2</v>
      </c>
      <c r="L87" s="525">
        <f t="shared" si="16"/>
        <v>2.2177485989786305E-2</v>
      </c>
      <c r="M87" s="525">
        <f t="shared" si="16"/>
        <v>0.20002388763974466</v>
      </c>
      <c r="N87" s="525">
        <f t="shared" si="16"/>
        <v>0.20002388763974466</v>
      </c>
    </row>
    <row r="88" spans="1:14" s="396" customFormat="1" x14ac:dyDescent="0.25">
      <c r="A88" s="541" t="s">
        <v>188</v>
      </c>
      <c r="B88" s="542">
        <f t="shared" si="17"/>
        <v>0</v>
      </c>
      <c r="C88" s="542">
        <f t="shared" si="16"/>
        <v>0</v>
      </c>
      <c r="D88" s="542">
        <f t="shared" si="16"/>
        <v>0</v>
      </c>
      <c r="E88" s="542">
        <f t="shared" si="16"/>
        <v>0</v>
      </c>
      <c r="F88" s="542">
        <f t="shared" si="16"/>
        <v>0</v>
      </c>
      <c r="G88" s="542">
        <f t="shared" si="16"/>
        <v>0</v>
      </c>
      <c r="H88" s="542">
        <f t="shared" si="16"/>
        <v>0</v>
      </c>
      <c r="I88" s="542">
        <f t="shared" si="16"/>
        <v>82.344198314252679</v>
      </c>
      <c r="J88" s="542">
        <f t="shared" si="16"/>
        <v>1.7481687616918578</v>
      </c>
      <c r="K88" s="542">
        <f t="shared" si="16"/>
        <v>4.2532929385401985E-2</v>
      </c>
      <c r="L88" s="542">
        <f t="shared" si="16"/>
        <v>4.2532929385401985E-2</v>
      </c>
      <c r="M88" s="542">
        <f t="shared" si="16"/>
        <v>3.2178056877455674E-2</v>
      </c>
      <c r="N88" s="542">
        <f t="shared" si="16"/>
        <v>3.2178056877455674E-2</v>
      </c>
    </row>
    <row r="89" spans="1:14" x14ac:dyDescent="0.25">
      <c r="A89" s="540" t="s">
        <v>189</v>
      </c>
      <c r="B89" s="525">
        <f t="shared" si="17"/>
        <v>0</v>
      </c>
      <c r="C89" s="525">
        <f t="shared" si="16"/>
        <v>0</v>
      </c>
      <c r="D89" s="525">
        <f t="shared" si="16"/>
        <v>0</v>
      </c>
      <c r="E89" s="525">
        <f t="shared" si="16"/>
        <v>0</v>
      </c>
      <c r="F89" s="525">
        <f t="shared" si="16"/>
        <v>0</v>
      </c>
      <c r="G89" s="525">
        <f t="shared" si="16"/>
        <v>0</v>
      </c>
      <c r="H89" s="525">
        <f t="shared" si="16"/>
        <v>0</v>
      </c>
      <c r="I89" s="525">
        <f>+W30-I76</f>
        <v>-2.7614403924793862E-2</v>
      </c>
      <c r="J89" s="525">
        <f t="shared" si="16"/>
        <v>-7.0675937325134441E-2</v>
      </c>
      <c r="K89" s="525">
        <f t="shared" si="16"/>
        <v>3.8485621570742978E-2</v>
      </c>
      <c r="L89" s="525">
        <f t="shared" si="16"/>
        <v>3.8485621570742978E-2</v>
      </c>
      <c r="M89" s="525">
        <f t="shared" si="16"/>
        <v>5.4288145090936268E-2</v>
      </c>
      <c r="N89" s="525">
        <f t="shared" si="16"/>
        <v>5.4288145090936268E-2</v>
      </c>
    </row>
    <row r="90" spans="1:14" x14ac:dyDescent="0.25">
      <c r="A90" s="540" t="s">
        <v>190</v>
      </c>
      <c r="B90" s="525">
        <f t="shared" si="17"/>
        <v>0</v>
      </c>
      <c r="C90" s="525">
        <f t="shared" si="16"/>
        <v>0</v>
      </c>
      <c r="D90" s="525">
        <f t="shared" si="16"/>
        <v>0</v>
      </c>
      <c r="E90" s="525">
        <f t="shared" si="16"/>
        <v>0</v>
      </c>
      <c r="F90" s="525">
        <f t="shared" si="16"/>
        <v>0</v>
      </c>
      <c r="G90" s="525">
        <f t="shared" si="16"/>
        <v>0</v>
      </c>
      <c r="H90" s="525">
        <f t="shared" si="16"/>
        <v>0</v>
      </c>
      <c r="I90" s="525">
        <f t="shared" si="16"/>
        <v>0</v>
      </c>
      <c r="J90" s="525">
        <f t="shared" si="16"/>
        <v>0</v>
      </c>
      <c r="K90" s="525">
        <f t="shared" si="16"/>
        <v>-5.5908778668822379E-2</v>
      </c>
      <c r="L90" s="525">
        <f t="shared" si="16"/>
        <v>-5.5908778668822379E-2</v>
      </c>
      <c r="M90" s="525">
        <f t="shared" si="16"/>
        <v>-0.37010113068075157</v>
      </c>
      <c r="N90" s="525">
        <f t="shared" si="16"/>
        <v>-0.37010113068075157</v>
      </c>
    </row>
    <row r="91" spans="1:14" x14ac:dyDescent="0.25">
      <c r="A91" s="540" t="s">
        <v>191</v>
      </c>
      <c r="B91" s="525">
        <f t="shared" si="17"/>
        <v>0</v>
      </c>
      <c r="C91" s="525">
        <f t="shared" si="16"/>
        <v>0</v>
      </c>
      <c r="D91" s="525">
        <f t="shared" si="16"/>
        <v>0</v>
      </c>
      <c r="E91" s="525">
        <f t="shared" si="16"/>
        <v>0</v>
      </c>
      <c r="F91" s="525">
        <f t="shared" si="16"/>
        <v>0</v>
      </c>
      <c r="G91" s="525">
        <f t="shared" si="16"/>
        <v>0</v>
      </c>
      <c r="H91" s="525">
        <f t="shared" si="16"/>
        <v>0</v>
      </c>
      <c r="I91" s="525">
        <f t="shared" si="16"/>
        <v>0</v>
      </c>
      <c r="J91" s="525">
        <f t="shared" si="16"/>
        <v>0</v>
      </c>
      <c r="K91" s="525">
        <f t="shared" si="16"/>
        <v>5.1489262700670224E-3</v>
      </c>
      <c r="L91" s="525">
        <f t="shared" si="16"/>
        <v>5.1489262700670224E-3</v>
      </c>
      <c r="M91" s="525">
        <f t="shared" si="16"/>
        <v>-2.6162218019180727E-2</v>
      </c>
      <c r="N91" s="525">
        <f t="shared" si="16"/>
        <v>-2.6162218019180727E-2</v>
      </c>
    </row>
    <row r="92" spans="1:14" x14ac:dyDescent="0.25">
      <c r="A92" s="540" t="s">
        <v>192</v>
      </c>
      <c r="B92" s="525">
        <f t="shared" si="17"/>
        <v>-7.2850371128101443E-3</v>
      </c>
      <c r="C92" s="525">
        <f t="shared" si="16"/>
        <v>-7.2850371128101443E-3</v>
      </c>
      <c r="D92" s="525">
        <f t="shared" si="16"/>
        <v>-7.2850371128101443E-3</v>
      </c>
      <c r="E92" s="525">
        <f t="shared" si="16"/>
        <v>-7.2850371128101443E-3</v>
      </c>
      <c r="F92" s="525">
        <f t="shared" si="16"/>
        <v>-7.2850371128101443E-3</v>
      </c>
      <c r="G92" s="525">
        <f t="shared" si="16"/>
        <v>-2.8679926182714865E-2</v>
      </c>
      <c r="H92" s="525">
        <f t="shared" si="16"/>
        <v>4.9925184747380058E-2</v>
      </c>
      <c r="I92" s="525">
        <f t="shared" si="16"/>
        <v>-1.1601370143999645E-2</v>
      </c>
      <c r="J92" s="525">
        <f t="shared" si="16"/>
        <v>2.6872074964622072E-2</v>
      </c>
      <c r="K92" s="525">
        <f t="shared" si="16"/>
        <v>-0.44445162033198926</v>
      </c>
      <c r="L92" s="525">
        <f t="shared" si="16"/>
        <v>-0.44445162033198926</v>
      </c>
      <c r="M92" s="525">
        <f t="shared" si="16"/>
        <v>-3.0074585049135294E-2</v>
      </c>
      <c r="N92" s="525">
        <f t="shared" si="16"/>
        <v>-3.0074585049135294E-2</v>
      </c>
    </row>
    <row r="93" spans="1:14" x14ac:dyDescent="0.25">
      <c r="A93" s="540" t="s">
        <v>193</v>
      </c>
      <c r="B93" s="525">
        <f>+P34-B80</f>
        <v>2.6109270811584651E-2</v>
      </c>
      <c r="C93" s="525">
        <f t="shared" si="16"/>
        <v>2.6109270811584651E-2</v>
      </c>
      <c r="D93" s="525">
        <f t="shared" si="16"/>
        <v>2.6109270811584651E-2</v>
      </c>
      <c r="E93" s="525">
        <f t="shared" si="16"/>
        <v>2.6109270811584651E-2</v>
      </c>
      <c r="F93" s="525">
        <f t="shared" si="16"/>
        <v>2.6109270811584651E-2</v>
      </c>
      <c r="G93" s="525">
        <f t="shared" si="16"/>
        <v>-9.3125962998890088E-3</v>
      </c>
      <c r="H93" s="525">
        <f t="shared" si="16"/>
        <v>-4.4734463411363556E-2</v>
      </c>
      <c r="I93" s="525">
        <f t="shared" si="16"/>
        <v>4.1303582704356856E-2</v>
      </c>
      <c r="J93" s="525">
        <f t="shared" si="16"/>
        <v>2.7341628820075847E-2</v>
      </c>
      <c r="K93" s="525">
        <f t="shared" si="16"/>
        <v>-4.0423332155825165E-2</v>
      </c>
      <c r="L93" s="525">
        <f t="shared" si="16"/>
        <v>-4.0423332155825165E-2</v>
      </c>
      <c r="M93" s="525">
        <f t="shared" si="16"/>
        <v>-8.473631692595518E-2</v>
      </c>
      <c r="N93" s="525">
        <f t="shared" si="16"/>
        <v>-8.473631692595518E-2</v>
      </c>
    </row>
    <row r="94" spans="1:14" x14ac:dyDescent="0.25">
      <c r="A94" s="540" t="s">
        <v>194</v>
      </c>
      <c r="B94" s="525">
        <f>+P35-B81</f>
        <v>0</v>
      </c>
      <c r="C94" s="525">
        <f t="shared" ref="C94:N94" si="18">+Q35-C81</f>
        <v>0</v>
      </c>
      <c r="D94" s="525">
        <f t="shared" si="18"/>
        <v>0</v>
      </c>
      <c r="E94" s="525">
        <f t="shared" si="18"/>
        <v>0</v>
      </c>
      <c r="F94" s="525">
        <f t="shared" si="18"/>
        <v>0</v>
      </c>
      <c r="G94" s="525">
        <f t="shared" si="18"/>
        <v>0</v>
      </c>
      <c r="H94" s="525">
        <f t="shared" si="18"/>
        <v>0</v>
      </c>
      <c r="I94" s="525">
        <f t="shared" si="18"/>
        <v>0</v>
      </c>
      <c r="J94" s="525">
        <f t="shared" si="18"/>
        <v>0</v>
      </c>
      <c r="K94" s="525">
        <f t="shared" si="18"/>
        <v>2.223395032984854E-2</v>
      </c>
      <c r="L94" s="525">
        <f t="shared" si="18"/>
        <v>2.223395032984854E-2</v>
      </c>
      <c r="M94" s="525">
        <f t="shared" si="18"/>
        <v>2.7991269316174794E-2</v>
      </c>
      <c r="N94" s="525">
        <f t="shared" si="18"/>
        <v>2.7991269316174794E-2</v>
      </c>
    </row>
    <row r="95" spans="1:14" x14ac:dyDescent="0.25">
      <c r="A95" s="540" t="s">
        <v>411</v>
      </c>
      <c r="B95" s="525">
        <f>+B82-B50</f>
        <v>2.4142400000073394E-2</v>
      </c>
      <c r="C95" s="525">
        <f t="shared" ref="C95:N95" si="19">+C82-C50</f>
        <v>2.4142400000073394E-2</v>
      </c>
      <c r="D95" s="525">
        <f t="shared" si="19"/>
        <v>2.4142400000073394E-2</v>
      </c>
      <c r="E95" s="525">
        <f t="shared" si="19"/>
        <v>2.4142400000073394E-2</v>
      </c>
      <c r="F95" s="525">
        <f t="shared" si="19"/>
        <v>2.4142400000073394E-2</v>
      </c>
      <c r="G95" s="525">
        <f t="shared" si="19"/>
        <v>-3.7792499999966367E-2</v>
      </c>
      <c r="H95" s="525">
        <f t="shared" si="19"/>
        <v>2.7260000007345297E-4</v>
      </c>
      <c r="I95" s="525">
        <f t="shared" si="19"/>
        <v>-4.5212199999923541E-2</v>
      </c>
      <c r="J95" s="525">
        <f t="shared" si="19"/>
        <v>9.3030000000453583E-3</v>
      </c>
      <c r="K95" s="525">
        <f t="shared" si="19"/>
        <v>-2.2551099999930102E-2</v>
      </c>
      <c r="L95" s="525">
        <f t="shared" si="19"/>
        <v>-2.2551099999930102E-2</v>
      </c>
      <c r="M95" s="525">
        <f t="shared" si="19"/>
        <v>-8.061099999999044E-3</v>
      </c>
      <c r="N95" s="525">
        <f t="shared" si="19"/>
        <v>-8.061099999999044E-3</v>
      </c>
    </row>
    <row r="96" spans="1:14" x14ac:dyDescent="0.25">
      <c r="A96" s="540" t="s">
        <v>419</v>
      </c>
      <c r="B96" s="525">
        <f>+B61-B83</f>
        <v>-3.042200000000328E-3</v>
      </c>
      <c r="C96" s="525">
        <f t="shared" ref="C96:N96" si="20">+C61-C83</f>
        <v>-3.042200000000328E-3</v>
      </c>
      <c r="D96" s="525">
        <f t="shared" si="20"/>
        <v>-3.042200000000328E-3</v>
      </c>
      <c r="E96" s="525">
        <f t="shared" si="20"/>
        <v>-3.042200000000328E-3</v>
      </c>
      <c r="F96" s="525">
        <f t="shared" si="20"/>
        <v>-3.042200000000328E-3</v>
      </c>
      <c r="G96" s="525">
        <f t="shared" si="20"/>
        <v>1.2806833333333323E-2</v>
      </c>
      <c r="H96" s="525">
        <f t="shared" si="20"/>
        <v>2.8655866666666974E-2</v>
      </c>
      <c r="I96" s="525">
        <f t="shared" si="20"/>
        <v>-4.4120666666666697E-2</v>
      </c>
      <c r="J96" s="525">
        <f t="shared" si="20"/>
        <v>-1.6897200000000057E-2</v>
      </c>
      <c r="K96" s="525">
        <f t="shared" si="20"/>
        <v>-9.6796000000010096E-3</v>
      </c>
      <c r="L96" s="525">
        <f t="shared" si="20"/>
        <v>-9.6796000000010096E-3</v>
      </c>
      <c r="M96" s="525">
        <f t="shared" si="20"/>
        <v>4.7695466666666464E-2</v>
      </c>
      <c r="N96" s="525">
        <f t="shared" si="20"/>
        <v>4.7695466666666464E-2</v>
      </c>
    </row>
    <row r="97" spans="1:14" s="396" customFormat="1" x14ac:dyDescent="0.25">
      <c r="A97" s="541" t="s">
        <v>500</v>
      </c>
      <c r="B97" s="542">
        <f>+B40-B84</f>
        <v>0.84003641305355359</v>
      </c>
      <c r="C97" s="542">
        <f t="shared" ref="C97:M97" si="21">+C40-C84</f>
        <v>0.84003641305355359</v>
      </c>
      <c r="D97" s="542">
        <f t="shared" si="21"/>
        <v>0.84003641305355359</v>
      </c>
      <c r="E97" s="542">
        <f t="shared" si="21"/>
        <v>0.84003641305355359</v>
      </c>
      <c r="F97" s="542">
        <f t="shared" si="21"/>
        <v>0.84003641305355359</v>
      </c>
      <c r="G97" s="542">
        <f t="shared" si="21"/>
        <v>1.046083646019099</v>
      </c>
      <c r="H97" s="542">
        <f t="shared" si="21"/>
        <v>1.2521308789845875</v>
      </c>
      <c r="I97" s="542">
        <f>+I40-I84</f>
        <v>0.62232453856040593</v>
      </c>
      <c r="J97" s="542">
        <f t="shared" si="21"/>
        <v>1.1481931944252892</v>
      </c>
      <c r="K97" s="542">
        <f t="shared" si="21"/>
        <v>0</v>
      </c>
      <c r="L97" s="542">
        <f t="shared" si="21"/>
        <v>0</v>
      </c>
      <c r="M97" s="542">
        <f t="shared" si="21"/>
        <v>-0.22997621425074577</v>
      </c>
      <c r="N97" s="542">
        <f>+N40-N84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8745-55F5-4A40-A697-26A450E078C5}">
  <dimension ref="A1:Z96"/>
  <sheetViews>
    <sheetView workbookViewId="0">
      <selection activeCell="R87" sqref="R87"/>
    </sheetView>
  </sheetViews>
  <sheetFormatPr defaultColWidth="8.85546875" defaultRowHeight="15" x14ac:dyDescent="0.25"/>
  <cols>
    <col min="1" max="1" width="24.5703125" customWidth="1"/>
    <col min="2" max="2" width="31.5703125" customWidth="1"/>
    <col min="3" max="3" width="11.140625" bestFit="1" customWidth="1"/>
    <col min="4" max="14" width="10.140625" bestFit="1" customWidth="1"/>
    <col min="17" max="17" width="13" customWidth="1"/>
    <col min="18" max="18" width="9.42578125" bestFit="1" customWidth="1"/>
  </cols>
  <sheetData>
    <row r="1" spans="1:26" ht="22.5" x14ac:dyDescent="0.25">
      <c r="A1" s="610" t="s">
        <v>15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Q1" s="62" t="s">
        <v>34</v>
      </c>
      <c r="R1" s="51">
        <v>2010</v>
      </c>
      <c r="S1" s="51">
        <v>2012</v>
      </c>
      <c r="T1" s="51">
        <v>2014</v>
      </c>
      <c r="U1" s="51">
        <v>2016</v>
      </c>
      <c r="V1" s="51">
        <v>2018</v>
      </c>
      <c r="W1" s="51">
        <v>2019</v>
      </c>
      <c r="X1" s="51">
        <v>2020</v>
      </c>
      <c r="Y1" s="51">
        <v>2021</v>
      </c>
      <c r="Z1" s="51">
        <v>2022</v>
      </c>
    </row>
    <row r="2" spans="1:26" x14ac:dyDescent="0.25">
      <c r="A2" s="49" t="s">
        <v>16</v>
      </c>
      <c r="B2" s="50" t="s">
        <v>17</v>
      </c>
      <c r="C2" s="51">
        <v>1994</v>
      </c>
      <c r="D2" s="52">
        <v>2000</v>
      </c>
      <c r="E2" s="51">
        <v>2006</v>
      </c>
      <c r="F2" s="51">
        <v>2010</v>
      </c>
      <c r="G2" s="51">
        <v>2012</v>
      </c>
      <c r="H2" s="51">
        <v>2014</v>
      </c>
      <c r="I2" s="51">
        <v>2016</v>
      </c>
      <c r="J2" s="51">
        <v>2018</v>
      </c>
      <c r="K2" s="51">
        <v>2019</v>
      </c>
      <c r="L2" s="51">
        <v>2020</v>
      </c>
      <c r="M2" s="51">
        <v>2021</v>
      </c>
      <c r="N2" s="51">
        <v>2022</v>
      </c>
      <c r="Q2" s="53" t="s">
        <v>18</v>
      </c>
      <c r="R2" s="63">
        <v>1.2348319999999999E-2</v>
      </c>
      <c r="S2" s="63">
        <v>1.445693E-2</v>
      </c>
      <c r="T2" s="63">
        <v>1.4711989999999999E-2</v>
      </c>
      <c r="U2" s="63">
        <v>1.4799069999999999E-2</v>
      </c>
      <c r="V2" s="63">
        <v>1.476066E-2</v>
      </c>
      <c r="W2" s="63">
        <v>1.476066E-2</v>
      </c>
      <c r="X2" s="63">
        <v>1.476066E-2</v>
      </c>
      <c r="Y2" s="63">
        <v>1.3635E-2</v>
      </c>
      <c r="Z2" s="63">
        <v>1.3635E-2</v>
      </c>
    </row>
    <row r="3" spans="1:26" ht="22.5" x14ac:dyDescent="0.25">
      <c r="A3" s="53" t="s">
        <v>18</v>
      </c>
      <c r="B3" s="54" t="s">
        <v>19</v>
      </c>
      <c r="C3" s="55">
        <v>1906.3979999999999</v>
      </c>
      <c r="D3" s="55">
        <v>1906.3979999999999</v>
      </c>
      <c r="E3" s="55">
        <v>2131.2562499999999</v>
      </c>
      <c r="F3" s="55">
        <v>2921.6550000000002</v>
      </c>
      <c r="G3" s="55">
        <v>2921.6550000000002</v>
      </c>
      <c r="H3" s="55">
        <v>2921.6550000000002</v>
      </c>
      <c r="I3" s="55">
        <v>1167.21</v>
      </c>
      <c r="J3" s="55">
        <v>937.89</v>
      </c>
      <c r="K3" s="55">
        <v>3382.92</v>
      </c>
      <c r="L3" s="55">
        <v>3382.92</v>
      </c>
      <c r="M3" s="55">
        <v>2392.92</v>
      </c>
      <c r="N3" s="55">
        <v>2392.92</v>
      </c>
      <c r="Q3" s="53" t="s">
        <v>20</v>
      </c>
      <c r="R3" s="63">
        <v>0.12058364000000001</v>
      </c>
      <c r="S3" s="63">
        <v>0.13184642000000002</v>
      </c>
      <c r="T3" s="63">
        <v>0.14017457999999999</v>
      </c>
      <c r="U3" s="63">
        <v>0.13983467000000002</v>
      </c>
      <c r="V3" s="63">
        <v>0.13987301000000002</v>
      </c>
      <c r="W3" s="63">
        <v>0.13987301000000002</v>
      </c>
      <c r="X3" s="63">
        <v>0.13987301000000002</v>
      </c>
      <c r="Y3" s="63">
        <v>0.13938600000000001</v>
      </c>
      <c r="Z3" s="63">
        <v>0.13938600000000001</v>
      </c>
    </row>
    <row r="4" spans="1:26" ht="22.5" x14ac:dyDescent="0.25">
      <c r="A4" s="53" t="s">
        <v>20</v>
      </c>
      <c r="B4" s="54" t="s">
        <v>19</v>
      </c>
      <c r="C4" s="55">
        <v>14974.713</v>
      </c>
      <c r="D4" s="55">
        <v>14974.713</v>
      </c>
      <c r="E4" s="55">
        <v>12967.031250000002</v>
      </c>
      <c r="F4" s="55">
        <v>14129.010000000007</v>
      </c>
      <c r="G4" s="55">
        <v>14129.010000000007</v>
      </c>
      <c r="H4" s="55">
        <v>14129.010000000007</v>
      </c>
      <c r="I4" s="55">
        <v>13702.274999999998</v>
      </c>
      <c r="J4" s="55">
        <v>10041.66</v>
      </c>
      <c r="K4" s="55">
        <v>11193.21</v>
      </c>
      <c r="L4" s="55">
        <v>11193.21</v>
      </c>
      <c r="M4" s="55">
        <v>14441.400000000001</v>
      </c>
      <c r="N4" s="55">
        <v>14441.400000000001</v>
      </c>
      <c r="Q4" s="53" t="s">
        <v>21</v>
      </c>
      <c r="R4" s="63">
        <v>1.15303256</v>
      </c>
      <c r="S4" s="63">
        <v>1.1644525700000001</v>
      </c>
      <c r="T4" s="63">
        <v>1.23284792</v>
      </c>
      <c r="U4" s="63">
        <v>1.2347451100000002</v>
      </c>
      <c r="V4" s="63">
        <v>1.25631589</v>
      </c>
      <c r="W4" s="63">
        <v>1.25631589</v>
      </c>
      <c r="X4" s="63">
        <v>1.25631589</v>
      </c>
      <c r="Y4" s="63">
        <v>1.2575179999999999</v>
      </c>
      <c r="Z4" s="63">
        <v>1.2575179999999999</v>
      </c>
    </row>
    <row r="5" spans="1:26" ht="33.75" x14ac:dyDescent="0.25">
      <c r="A5" s="53" t="s">
        <v>21</v>
      </c>
      <c r="B5" s="54" t="s">
        <v>19</v>
      </c>
      <c r="C5" s="55">
        <v>17916.48</v>
      </c>
      <c r="D5" s="55">
        <v>17916.48</v>
      </c>
      <c r="E5" s="55">
        <v>17155.372500000001</v>
      </c>
      <c r="F5" s="55">
        <v>13631.910000000002</v>
      </c>
      <c r="G5" s="55">
        <v>13631.910000000002</v>
      </c>
      <c r="H5" s="55">
        <v>13631.910000000002</v>
      </c>
      <c r="I5" s="55">
        <v>13256.279999999997</v>
      </c>
      <c r="J5" s="55">
        <v>11208.51</v>
      </c>
      <c r="K5" s="55">
        <v>11090.66</v>
      </c>
      <c r="L5" s="55">
        <v>11090.66</v>
      </c>
      <c r="M5" s="55">
        <v>8753.94</v>
      </c>
      <c r="N5" s="55">
        <v>8753.94</v>
      </c>
      <c r="Q5" s="53" t="s">
        <v>22</v>
      </c>
      <c r="R5" s="63">
        <v>0.46870030000000001</v>
      </c>
      <c r="S5" s="63">
        <v>0.47071554999999998</v>
      </c>
      <c r="T5" s="63">
        <v>0.50723571000000001</v>
      </c>
      <c r="U5" s="63">
        <v>0.50614502000000006</v>
      </c>
      <c r="V5" s="63">
        <v>0.52313965000000007</v>
      </c>
      <c r="W5" s="63">
        <v>0.52313965000000007</v>
      </c>
      <c r="X5" s="63">
        <v>0.52313965000000007</v>
      </c>
      <c r="Y5" s="63">
        <v>0.51514400000000005</v>
      </c>
      <c r="Z5" s="63">
        <v>0.51514400000000005</v>
      </c>
    </row>
    <row r="6" spans="1:26" ht="33.75" x14ac:dyDescent="0.25">
      <c r="A6" s="53" t="s">
        <v>22</v>
      </c>
      <c r="B6" s="54" t="s">
        <v>19</v>
      </c>
      <c r="C6" s="55">
        <v>24951.942000000003</v>
      </c>
      <c r="D6" s="55">
        <v>24951.942000000003</v>
      </c>
      <c r="E6" s="55">
        <v>23170.522499999966</v>
      </c>
      <c r="F6" s="55">
        <v>19148.415000000001</v>
      </c>
      <c r="G6" s="55">
        <v>19148.415000000001</v>
      </c>
      <c r="H6" s="55">
        <v>19148.415000000001</v>
      </c>
      <c r="I6" s="55">
        <v>10886.94</v>
      </c>
      <c r="J6" s="55">
        <v>10141.74</v>
      </c>
      <c r="K6" s="55">
        <v>8861.5349999999999</v>
      </c>
      <c r="L6" s="55">
        <v>8861.5349999999999</v>
      </c>
      <c r="M6" s="55">
        <v>11154.645</v>
      </c>
      <c r="N6" s="55">
        <v>11154.645</v>
      </c>
      <c r="Q6" s="53" t="s">
        <v>23</v>
      </c>
      <c r="R6" s="63">
        <v>0.32278176000000003</v>
      </c>
      <c r="S6" s="63">
        <v>0.32796002000000002</v>
      </c>
      <c r="T6" s="63">
        <v>0.3391555</v>
      </c>
      <c r="U6" s="63">
        <v>0.34125911999999997</v>
      </c>
      <c r="V6" s="63">
        <v>0.37463065999999995</v>
      </c>
      <c r="W6" s="63">
        <v>0.37463065999999995</v>
      </c>
      <c r="X6" s="63">
        <v>0.37463065999999995</v>
      </c>
      <c r="Y6" s="63">
        <v>0.37510900000000003</v>
      </c>
      <c r="Z6" s="63">
        <v>0.37510900000000003</v>
      </c>
    </row>
    <row r="7" spans="1:26" ht="33.75" x14ac:dyDescent="0.25">
      <c r="A7" s="53" t="s">
        <v>23</v>
      </c>
      <c r="B7" s="54" t="s">
        <v>19</v>
      </c>
      <c r="C7" s="55">
        <v>2541.5729999999999</v>
      </c>
      <c r="D7" s="55">
        <v>2541.5729999999999</v>
      </c>
      <c r="E7" s="55">
        <v>2429.763750000001</v>
      </c>
      <c r="F7" s="55">
        <v>2543.9550000000004</v>
      </c>
      <c r="G7" s="55">
        <v>2543.9550000000004</v>
      </c>
      <c r="H7" s="55">
        <v>2543.9550000000004</v>
      </c>
      <c r="I7" s="55">
        <v>2936.835</v>
      </c>
      <c r="J7" s="55">
        <v>2302.16</v>
      </c>
      <c r="K7" s="55">
        <v>3169.13</v>
      </c>
      <c r="L7" s="55">
        <v>3169.13</v>
      </c>
      <c r="M7" s="55">
        <v>1357.29</v>
      </c>
      <c r="N7" s="55">
        <v>1357.29</v>
      </c>
      <c r="Q7" s="53" t="s">
        <v>24</v>
      </c>
      <c r="R7" s="63">
        <v>2.3619546099999997</v>
      </c>
      <c r="S7" s="63">
        <v>2.7106529700000004</v>
      </c>
      <c r="T7" s="63">
        <v>2.82651377</v>
      </c>
      <c r="U7" s="63">
        <v>2.8910026499999999</v>
      </c>
      <c r="V7" s="63">
        <v>3.0204499600000001</v>
      </c>
      <c r="W7" s="63">
        <v>3.0204499600000001</v>
      </c>
      <c r="X7" s="63">
        <v>3.0204499600000001</v>
      </c>
      <c r="Y7" s="63">
        <v>2.9288820000000002</v>
      </c>
      <c r="Z7" s="63">
        <v>2.9288820000000002</v>
      </c>
    </row>
    <row r="8" spans="1:26" ht="33.75" x14ac:dyDescent="0.25">
      <c r="A8" s="53" t="s">
        <v>24</v>
      </c>
      <c r="B8" s="54" t="s">
        <v>19</v>
      </c>
      <c r="C8" s="55">
        <v>31745.709000000003</v>
      </c>
      <c r="D8" s="55">
        <v>31745.709000000003</v>
      </c>
      <c r="E8" s="55">
        <v>22346.73</v>
      </c>
      <c r="F8" s="55">
        <v>22227.494999999999</v>
      </c>
      <c r="G8" s="55">
        <v>22227.494999999999</v>
      </c>
      <c r="H8" s="55">
        <v>22227.494999999999</v>
      </c>
      <c r="I8" s="55">
        <v>27075.510000000002</v>
      </c>
      <c r="J8" s="55">
        <v>24197.22</v>
      </c>
      <c r="K8" s="55">
        <v>26998.74</v>
      </c>
      <c r="L8" s="55">
        <v>26998.74</v>
      </c>
      <c r="M8" s="55">
        <v>28947.375</v>
      </c>
      <c r="N8" s="55">
        <v>28947.375</v>
      </c>
      <c r="Q8" s="53" t="s">
        <v>25</v>
      </c>
      <c r="R8" s="63">
        <v>0.26168610000000003</v>
      </c>
      <c r="S8" s="63">
        <v>0.26555870000000004</v>
      </c>
      <c r="T8" s="63">
        <v>0.27384134000000004</v>
      </c>
      <c r="U8" s="63">
        <v>0.26363481</v>
      </c>
      <c r="V8" s="63">
        <v>0.26218259999999999</v>
      </c>
      <c r="W8" s="63">
        <v>0.26218259999999999</v>
      </c>
      <c r="X8" s="63">
        <v>0.26218259999999999</v>
      </c>
      <c r="Y8" s="63">
        <v>0.24048700000000001</v>
      </c>
      <c r="Z8" s="63">
        <v>0.24048700000000001</v>
      </c>
    </row>
    <row r="9" spans="1:26" ht="22.5" x14ac:dyDescent="0.25">
      <c r="A9" s="53" t="s">
        <v>25</v>
      </c>
      <c r="B9" s="54" t="s">
        <v>19</v>
      </c>
      <c r="C9" s="55">
        <v>32316.515999999996</v>
      </c>
      <c r="D9" s="55">
        <v>32316.515999999996</v>
      </c>
      <c r="E9" s="55">
        <v>26057.486249999994</v>
      </c>
      <c r="F9" s="55">
        <v>19344.36</v>
      </c>
      <c r="G9" s="55">
        <v>19344.36</v>
      </c>
      <c r="H9" s="55">
        <v>19344.36</v>
      </c>
      <c r="I9" s="55">
        <v>20399.220000000005</v>
      </c>
      <c r="J9" s="55">
        <v>17952.66</v>
      </c>
      <c r="K9" s="55">
        <v>16612.38</v>
      </c>
      <c r="L9" s="55">
        <v>16612.38</v>
      </c>
      <c r="M9" s="55">
        <v>23323.995000000003</v>
      </c>
      <c r="N9" s="55">
        <v>23323.995000000003</v>
      </c>
      <c r="Q9" s="53" t="s">
        <v>26</v>
      </c>
      <c r="R9" s="63">
        <v>6.4990300000000001E-2</v>
      </c>
      <c r="S9" s="63">
        <v>6.5680070000000007E-2</v>
      </c>
      <c r="T9" s="63">
        <v>6.2533279999999997E-2</v>
      </c>
      <c r="U9" s="63">
        <v>6.8944419999999992E-2</v>
      </c>
      <c r="V9" s="63">
        <v>6.8313460000000006E-2</v>
      </c>
      <c r="W9" s="63">
        <v>6.8313460000000006E-2</v>
      </c>
      <c r="X9" s="63">
        <v>6.8313460000000006E-2</v>
      </c>
      <c r="Y9" s="63">
        <v>9.8086999999999994E-2</v>
      </c>
      <c r="Z9" s="63">
        <v>9.8086999999999994E-2</v>
      </c>
    </row>
    <row r="10" spans="1:26" x14ac:dyDescent="0.25">
      <c r="A10" s="53" t="s">
        <v>26</v>
      </c>
      <c r="B10" s="54" t="s">
        <v>19</v>
      </c>
      <c r="C10" s="55">
        <v>597.10500000000002</v>
      </c>
      <c r="D10" s="55">
        <v>597.10500000000002</v>
      </c>
      <c r="E10" s="55">
        <v>645.08625000000006</v>
      </c>
      <c r="F10" s="55">
        <v>363.52500000000009</v>
      </c>
      <c r="G10" s="55">
        <v>363.52500000000009</v>
      </c>
      <c r="H10" s="55">
        <v>363.52500000000009</v>
      </c>
      <c r="I10" s="55">
        <v>759.10500000000059</v>
      </c>
      <c r="J10" s="55">
        <v>317.39</v>
      </c>
      <c r="K10" s="55">
        <v>137.97</v>
      </c>
      <c r="L10" s="55">
        <v>137.97</v>
      </c>
      <c r="M10" s="55">
        <v>329.58</v>
      </c>
      <c r="N10" s="55">
        <v>329.58</v>
      </c>
      <c r="Q10" s="53" t="s">
        <v>27</v>
      </c>
      <c r="R10" s="63">
        <v>0.27177831000000002</v>
      </c>
      <c r="S10" s="63">
        <v>0.27359196999999996</v>
      </c>
      <c r="T10" s="63">
        <v>0.28273438000000001</v>
      </c>
      <c r="U10" s="63">
        <v>0.2960487</v>
      </c>
      <c r="V10" s="63">
        <v>0.30022673</v>
      </c>
      <c r="W10" s="63">
        <v>0.30022673</v>
      </c>
      <c r="X10" s="63">
        <v>0.30022673</v>
      </c>
      <c r="Y10" s="63">
        <v>0.27284700000000001</v>
      </c>
      <c r="Z10" s="63">
        <v>0.27284700000000001</v>
      </c>
    </row>
    <row r="11" spans="1:26" x14ac:dyDescent="0.25">
      <c r="A11" s="53" t="s">
        <v>27</v>
      </c>
      <c r="B11" s="54" t="s">
        <v>19</v>
      </c>
      <c r="C11" s="55">
        <v>630.47700000000009</v>
      </c>
      <c r="D11" s="55">
        <v>630.47700000000009</v>
      </c>
      <c r="E11" s="55">
        <v>247.47749999999999</v>
      </c>
      <c r="F11" s="55">
        <v>423.67500000000001</v>
      </c>
      <c r="G11" s="55">
        <v>423.67500000000001</v>
      </c>
      <c r="H11" s="55">
        <v>423.67500000000001</v>
      </c>
      <c r="I11" s="55">
        <v>589.63499999999999</v>
      </c>
      <c r="J11" s="55">
        <v>336.91500000000002</v>
      </c>
      <c r="K11" s="55">
        <v>621.04999999999995</v>
      </c>
      <c r="L11" s="55">
        <v>621.04999999999995</v>
      </c>
      <c r="M11" s="55">
        <v>667.8900000000001</v>
      </c>
      <c r="N11" s="55">
        <v>667.8900000000001</v>
      </c>
      <c r="R11" s="83">
        <f>+SUM(R2:R10)</f>
        <v>5.0378559000000003</v>
      </c>
      <c r="S11" s="83">
        <f t="shared" ref="S11:Z11" si="0">+SUM(S2:S10)</f>
        <v>5.4249152</v>
      </c>
      <c r="T11" s="83">
        <f t="shared" si="0"/>
        <v>5.6797484699999998</v>
      </c>
      <c r="U11" s="83">
        <f t="shared" si="0"/>
        <v>5.7564135700000012</v>
      </c>
      <c r="V11" s="83">
        <f t="shared" si="0"/>
        <v>5.9598926199999998</v>
      </c>
      <c r="W11" s="83">
        <f t="shared" si="0"/>
        <v>5.9598926199999998</v>
      </c>
      <c r="X11" s="83">
        <f t="shared" si="0"/>
        <v>5.9598926199999998</v>
      </c>
      <c r="Y11" s="83">
        <f t="shared" si="0"/>
        <v>5.8410949999999993</v>
      </c>
      <c r="Z11" s="83">
        <f t="shared" si="0"/>
        <v>5.8410949999999993</v>
      </c>
    </row>
    <row r="12" spans="1:26" x14ac:dyDescent="0.25">
      <c r="A12" s="53" t="s">
        <v>28</v>
      </c>
      <c r="B12" s="54" t="s">
        <v>19</v>
      </c>
      <c r="C12" s="55">
        <v>1510.5600000000002</v>
      </c>
      <c r="D12" s="55">
        <v>1510.5600000000002</v>
      </c>
      <c r="E12" s="55">
        <v>3423.38625</v>
      </c>
      <c r="F12" s="55">
        <v>2300.9850000000001</v>
      </c>
      <c r="G12" s="55">
        <v>2300.9850000000001</v>
      </c>
      <c r="H12" s="55">
        <v>2300.9850000000001</v>
      </c>
      <c r="I12" s="55">
        <v>11136.69</v>
      </c>
      <c r="J12" s="55">
        <v>8601.4349999999995</v>
      </c>
      <c r="K12" s="55">
        <v>1903.73</v>
      </c>
      <c r="L12" s="55">
        <v>1903.73</v>
      </c>
      <c r="M12" s="55">
        <v>5155.1099999999997</v>
      </c>
      <c r="N12" s="55">
        <v>5155.1099999999997</v>
      </c>
      <c r="S12" s="83">
        <f>+S11-R11</f>
        <v>0.38705929999999977</v>
      </c>
      <c r="T12" s="83">
        <f t="shared" ref="T12:Z12" si="1">+T11-S11</f>
        <v>0.25483326999999978</v>
      </c>
      <c r="U12" s="83">
        <f t="shared" si="1"/>
        <v>7.6665100000001374E-2</v>
      </c>
      <c r="V12" s="83">
        <f t="shared" si="1"/>
        <v>0.20347904999999855</v>
      </c>
      <c r="W12" s="83">
        <f t="shared" si="1"/>
        <v>0</v>
      </c>
      <c r="X12" s="83">
        <f t="shared" si="1"/>
        <v>0</v>
      </c>
      <c r="Y12" s="83">
        <f>+Y11-X11</f>
        <v>-0.11879762000000049</v>
      </c>
      <c r="Z12" s="83">
        <f t="shared" si="1"/>
        <v>0</v>
      </c>
    </row>
    <row r="13" spans="1:26" x14ac:dyDescent="0.25">
      <c r="A13" s="56" t="s">
        <v>4</v>
      </c>
      <c r="B13" s="54" t="s">
        <v>19</v>
      </c>
      <c r="C13" s="55">
        <v>15257.82</v>
      </c>
      <c r="D13" s="55">
        <v>15257.82</v>
      </c>
      <c r="E13" s="55">
        <v>30989.63</v>
      </c>
      <c r="F13" s="55">
        <v>24385.99</v>
      </c>
      <c r="G13" s="55">
        <v>24385.99</v>
      </c>
      <c r="H13" s="55">
        <v>24385.99</v>
      </c>
      <c r="I13" s="55">
        <v>53547.62</v>
      </c>
      <c r="J13" s="55">
        <v>14859.45</v>
      </c>
      <c r="K13" s="55">
        <v>32440.31</v>
      </c>
      <c r="L13" s="55">
        <v>32440.31</v>
      </c>
      <c r="M13" s="55">
        <v>23216.04</v>
      </c>
      <c r="N13" s="55">
        <v>23216.04</v>
      </c>
    </row>
    <row r="14" spans="1:26" x14ac:dyDescent="0.25">
      <c r="A14" s="56" t="s">
        <v>5</v>
      </c>
      <c r="B14" s="54" t="s">
        <v>19</v>
      </c>
      <c r="C14" s="55">
        <v>2277.3959999999997</v>
      </c>
      <c r="D14" s="55">
        <v>2277.3959999999997</v>
      </c>
      <c r="E14" s="55">
        <v>1223.15625</v>
      </c>
      <c r="F14" s="55">
        <v>8319.99</v>
      </c>
      <c r="G14" s="55">
        <v>8319.99</v>
      </c>
      <c r="H14" s="55">
        <v>8319.99</v>
      </c>
      <c r="I14" s="55">
        <v>10216.44</v>
      </c>
      <c r="J14" s="55">
        <v>6730.79</v>
      </c>
      <c r="K14" s="55">
        <v>795.38</v>
      </c>
      <c r="L14" s="55">
        <v>795.38</v>
      </c>
      <c r="M14" s="55">
        <v>2562.98</v>
      </c>
      <c r="N14" s="55">
        <v>2562.98</v>
      </c>
    </row>
    <row r="15" spans="1:26" x14ac:dyDescent="0.25">
      <c r="A15" s="56" t="s">
        <v>6</v>
      </c>
      <c r="B15" s="54" t="s">
        <v>19</v>
      </c>
      <c r="C15" s="55">
        <v>0.88</v>
      </c>
      <c r="D15" s="55">
        <v>0.88</v>
      </c>
      <c r="E15" s="55">
        <v>0.08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262.35000000000002</v>
      </c>
      <c r="N15" s="55">
        <v>262.35000000000002</v>
      </c>
    </row>
    <row r="16" spans="1:26" x14ac:dyDescent="0.25">
      <c r="A16" s="56" t="s">
        <v>29</v>
      </c>
      <c r="B16" s="54" t="s">
        <v>19</v>
      </c>
      <c r="C16" s="55">
        <v>320.47200000000004</v>
      </c>
      <c r="D16" s="55">
        <v>320.47200000000004</v>
      </c>
      <c r="E16" s="55">
        <v>479.1825</v>
      </c>
      <c r="F16" s="55">
        <v>1280.52</v>
      </c>
      <c r="G16" s="55">
        <v>1280.52</v>
      </c>
      <c r="H16" s="55">
        <v>1280.52</v>
      </c>
      <c r="I16" s="55">
        <v>9229.1849999999995</v>
      </c>
      <c r="J16" s="55">
        <v>1550.39</v>
      </c>
      <c r="K16" s="55">
        <v>608.72</v>
      </c>
      <c r="L16" s="55">
        <v>608.72</v>
      </c>
      <c r="M16" s="55">
        <v>3363.16</v>
      </c>
      <c r="N16" s="55">
        <v>3363.16</v>
      </c>
    </row>
    <row r="17" spans="1:26" x14ac:dyDescent="0.25">
      <c r="A17" s="57" t="s">
        <v>14</v>
      </c>
      <c r="B17" s="58"/>
      <c r="C17" s="59">
        <v>146948.04100000003</v>
      </c>
      <c r="D17" s="59">
        <v>146948.04100000003</v>
      </c>
      <c r="E17" s="59">
        <v>143266.16124999992</v>
      </c>
      <c r="F17" s="59">
        <v>131021.48500000003</v>
      </c>
      <c r="G17" s="59">
        <v>131021.48500000003</v>
      </c>
      <c r="H17" s="59">
        <v>131021.48500000003</v>
      </c>
      <c r="I17" s="59">
        <v>174902.94499999998</v>
      </c>
      <c r="J17" s="59">
        <v>109178.20999999998</v>
      </c>
      <c r="K17" s="59">
        <v>117815.735</v>
      </c>
      <c r="L17" s="59">
        <v>117815.735</v>
      </c>
      <c r="M17" s="59">
        <v>125928.675</v>
      </c>
      <c r="N17" s="59">
        <v>125928.675</v>
      </c>
    </row>
    <row r="18" spans="1:26" x14ac:dyDescent="0.25">
      <c r="A18" s="49" t="s">
        <v>16</v>
      </c>
      <c r="B18" s="50" t="s">
        <v>17</v>
      </c>
      <c r="C18" s="51">
        <v>1994</v>
      </c>
      <c r="D18" s="52">
        <v>2000</v>
      </c>
      <c r="E18" s="51">
        <v>2006</v>
      </c>
      <c r="F18" s="51">
        <v>2010</v>
      </c>
      <c r="G18" s="51">
        <v>2012</v>
      </c>
      <c r="H18" s="51">
        <v>2014</v>
      </c>
      <c r="I18" s="51">
        <v>2016</v>
      </c>
      <c r="J18" s="51">
        <v>2018</v>
      </c>
      <c r="K18" s="51">
        <v>2019</v>
      </c>
      <c r="L18" s="51">
        <v>2020</v>
      </c>
      <c r="M18" s="51">
        <v>2021</v>
      </c>
      <c r="N18" s="51">
        <v>2022</v>
      </c>
      <c r="Q18" s="53" t="s">
        <v>18</v>
      </c>
      <c r="R18" s="63">
        <v>1.2348319999999999E-2</v>
      </c>
      <c r="S18" s="63">
        <v>1.445693E-2</v>
      </c>
      <c r="T18" s="63">
        <v>1.4711989999999999E-2</v>
      </c>
      <c r="U18" s="63">
        <v>1.4799069999999999E-2</v>
      </c>
      <c r="V18" s="63">
        <v>1.476066E-2</v>
      </c>
      <c r="W18" s="63">
        <v>1.476066E-2</v>
      </c>
      <c r="X18" s="63">
        <v>1.476066E-2</v>
      </c>
      <c r="Y18" s="63">
        <v>1.3635E-2</v>
      </c>
      <c r="Z18" s="63">
        <v>1.3635E-2</v>
      </c>
    </row>
    <row r="19" spans="1:26" x14ac:dyDescent="0.25">
      <c r="A19" s="611" t="s">
        <v>30</v>
      </c>
      <c r="B19" s="611"/>
      <c r="C19" s="611"/>
      <c r="D19" s="611"/>
      <c r="E19" s="611"/>
      <c r="F19" s="611"/>
      <c r="G19" s="611"/>
      <c r="H19" s="611"/>
      <c r="I19" s="611"/>
      <c r="J19" s="611"/>
      <c r="K19" s="611"/>
      <c r="L19" s="611"/>
      <c r="M19" s="611"/>
      <c r="N19" s="611"/>
    </row>
    <row r="20" spans="1:26" x14ac:dyDescent="0.25">
      <c r="A20" s="53" t="s">
        <v>18</v>
      </c>
      <c r="B20" s="54" t="s">
        <v>4</v>
      </c>
      <c r="C20" s="60">
        <v>0</v>
      </c>
      <c r="D20" s="60">
        <v>0</v>
      </c>
      <c r="E20" s="60">
        <v>0</v>
      </c>
      <c r="F20" s="60">
        <v>0</v>
      </c>
      <c r="G20" s="60">
        <v>0</v>
      </c>
      <c r="H20" s="60">
        <v>0</v>
      </c>
      <c r="I20" s="60">
        <v>0</v>
      </c>
      <c r="J20" s="60">
        <v>161.77500000000001</v>
      </c>
      <c r="K20" s="60">
        <v>23.94</v>
      </c>
      <c r="L20" s="60">
        <v>23.94</v>
      </c>
      <c r="M20" s="60">
        <v>1.62</v>
      </c>
      <c r="N20" s="60">
        <v>1.62</v>
      </c>
    </row>
    <row r="21" spans="1:26" x14ac:dyDescent="0.25">
      <c r="A21" s="53" t="s">
        <v>20</v>
      </c>
      <c r="B21" s="54" t="s">
        <v>4</v>
      </c>
      <c r="C21" s="60">
        <v>1.026</v>
      </c>
      <c r="D21" s="60">
        <v>1.026</v>
      </c>
      <c r="E21" s="60">
        <v>6.6937499999999996</v>
      </c>
      <c r="F21" s="60">
        <v>0</v>
      </c>
      <c r="G21" s="60">
        <v>0</v>
      </c>
      <c r="H21" s="60">
        <v>0</v>
      </c>
      <c r="I21" s="60">
        <v>0</v>
      </c>
      <c r="J21" s="60">
        <v>606.19500000000005</v>
      </c>
      <c r="K21" s="60">
        <v>194.535</v>
      </c>
      <c r="L21" s="60">
        <v>194.535</v>
      </c>
      <c r="M21" s="60">
        <v>465.88499999999999</v>
      </c>
      <c r="N21" s="60">
        <v>465.88499999999999</v>
      </c>
    </row>
    <row r="22" spans="1:26" x14ac:dyDescent="0.25">
      <c r="A22" s="53" t="s">
        <v>21</v>
      </c>
      <c r="B22" s="54" t="s">
        <v>4</v>
      </c>
      <c r="C22" s="60">
        <v>225.61199999999999</v>
      </c>
      <c r="D22" s="60">
        <v>225.61199999999999</v>
      </c>
      <c r="E22" s="60">
        <v>5.6025</v>
      </c>
      <c r="F22" s="60">
        <v>0</v>
      </c>
      <c r="G22" s="60">
        <v>0</v>
      </c>
      <c r="H22" s="60">
        <v>0</v>
      </c>
      <c r="I22" s="60">
        <v>0</v>
      </c>
      <c r="J22" s="60">
        <v>391.77</v>
      </c>
      <c r="K22" s="60">
        <v>846.23</v>
      </c>
      <c r="L22" s="60">
        <v>846.23</v>
      </c>
      <c r="M22" s="60">
        <v>79.11</v>
      </c>
      <c r="N22" s="60">
        <v>79.11</v>
      </c>
    </row>
    <row r="23" spans="1:26" ht="22.5" x14ac:dyDescent="0.25">
      <c r="A23" s="53" t="s">
        <v>22</v>
      </c>
      <c r="B23" s="54" t="s">
        <v>4</v>
      </c>
      <c r="C23" s="60">
        <v>0</v>
      </c>
      <c r="D23" s="60">
        <v>0</v>
      </c>
      <c r="E23" s="60">
        <v>0.14624999999999999</v>
      </c>
      <c r="F23" s="60">
        <v>0</v>
      </c>
      <c r="G23" s="60">
        <v>0</v>
      </c>
      <c r="H23" s="60">
        <v>0</v>
      </c>
      <c r="I23" s="60">
        <v>0</v>
      </c>
      <c r="J23" s="60">
        <v>68.084999999999994</v>
      </c>
      <c r="K23" s="60">
        <v>149.94</v>
      </c>
      <c r="L23" s="60">
        <v>149.94</v>
      </c>
      <c r="M23" s="60">
        <v>20.925000000000001</v>
      </c>
      <c r="N23" s="60">
        <v>20.925000000000001</v>
      </c>
    </row>
    <row r="24" spans="1:26" ht="22.5" x14ac:dyDescent="0.25">
      <c r="A24" s="53" t="s">
        <v>23</v>
      </c>
      <c r="B24" s="54" t="s">
        <v>4</v>
      </c>
      <c r="C24" s="60">
        <v>464.76000000000005</v>
      </c>
      <c r="D24" s="60">
        <v>464.76000000000005</v>
      </c>
      <c r="E24" s="60">
        <v>59.129999999999995</v>
      </c>
      <c r="F24" s="60">
        <v>0</v>
      </c>
      <c r="G24" s="60">
        <v>0</v>
      </c>
      <c r="H24" s="60">
        <v>0</v>
      </c>
      <c r="I24" s="60">
        <v>0</v>
      </c>
      <c r="J24" s="60">
        <v>382.41</v>
      </c>
      <c r="K24" s="60">
        <v>1335.29</v>
      </c>
      <c r="L24" s="60">
        <v>1335.29</v>
      </c>
      <c r="M24" s="60">
        <v>40.46</v>
      </c>
      <c r="N24" s="60">
        <v>40.46</v>
      </c>
    </row>
    <row r="25" spans="1:26" ht="22.5" x14ac:dyDescent="0.25">
      <c r="A25" s="53" t="s">
        <v>24</v>
      </c>
      <c r="B25" s="54" t="s">
        <v>4</v>
      </c>
      <c r="C25" s="60">
        <v>6.9480000000000004</v>
      </c>
      <c r="D25" s="60">
        <v>6.9480000000000004</v>
      </c>
      <c r="E25" s="60">
        <v>56.362499999999997</v>
      </c>
      <c r="F25" s="60">
        <v>0</v>
      </c>
      <c r="G25" s="60">
        <v>0</v>
      </c>
      <c r="H25" s="60">
        <v>0</v>
      </c>
      <c r="I25" s="60">
        <v>0</v>
      </c>
      <c r="J25" s="60">
        <v>40.634999999999998</v>
      </c>
      <c r="K25" s="60">
        <v>342.85500000000002</v>
      </c>
      <c r="L25" s="60">
        <v>342.85500000000002</v>
      </c>
      <c r="M25" s="60">
        <v>19.754999999999999</v>
      </c>
      <c r="N25" s="60">
        <v>19.754999999999999</v>
      </c>
    </row>
    <row r="26" spans="1:26" ht="22.5" x14ac:dyDescent="0.25">
      <c r="A26" s="53" t="s">
        <v>25</v>
      </c>
      <c r="B26" s="54" t="s">
        <v>4</v>
      </c>
      <c r="C26" s="60">
        <v>0.441</v>
      </c>
      <c r="D26" s="60">
        <v>0.441</v>
      </c>
      <c r="E26" s="60">
        <v>0.40499999999999997</v>
      </c>
      <c r="F26" s="60">
        <v>0</v>
      </c>
      <c r="G26" s="60">
        <v>0</v>
      </c>
      <c r="H26" s="60">
        <v>0</v>
      </c>
      <c r="I26" s="60">
        <v>0</v>
      </c>
      <c r="J26" s="60">
        <v>130.45500000000001</v>
      </c>
      <c r="K26" s="60">
        <v>582.12</v>
      </c>
      <c r="L26" s="60">
        <v>582.12</v>
      </c>
      <c r="M26" s="60">
        <v>37.395000000000003</v>
      </c>
      <c r="N26" s="60">
        <v>37.395000000000003</v>
      </c>
    </row>
    <row r="27" spans="1:26" x14ac:dyDescent="0.25">
      <c r="A27" s="53" t="s">
        <v>26</v>
      </c>
      <c r="B27" s="54" t="s">
        <v>4</v>
      </c>
      <c r="C27" s="60">
        <v>1.845</v>
      </c>
      <c r="D27" s="60">
        <v>1.845</v>
      </c>
      <c r="E27" s="60">
        <v>1.9237500000000001</v>
      </c>
      <c r="F27" s="60">
        <v>0</v>
      </c>
      <c r="G27" s="60">
        <v>0</v>
      </c>
      <c r="H27" s="60">
        <v>0</v>
      </c>
      <c r="I27" s="60">
        <v>0</v>
      </c>
      <c r="J27" s="60">
        <v>17.504999999999999</v>
      </c>
      <c r="K27" s="60">
        <v>102.69</v>
      </c>
      <c r="L27" s="60">
        <v>102.69</v>
      </c>
      <c r="M27" s="60">
        <v>140.76</v>
      </c>
      <c r="N27" s="60">
        <v>140.76</v>
      </c>
    </row>
    <row r="28" spans="1:26" x14ac:dyDescent="0.25">
      <c r="A28" s="53" t="s">
        <v>27</v>
      </c>
      <c r="B28" s="54" t="s">
        <v>4</v>
      </c>
      <c r="C28" s="60">
        <v>0</v>
      </c>
      <c r="D28" s="60">
        <v>0</v>
      </c>
      <c r="E28" s="60"/>
      <c r="F28" s="60">
        <v>0</v>
      </c>
      <c r="G28" s="60">
        <v>0</v>
      </c>
      <c r="H28" s="60">
        <v>0</v>
      </c>
      <c r="I28" s="60">
        <v>0</v>
      </c>
      <c r="J28" s="60">
        <v>1.7549999999999999</v>
      </c>
      <c r="K28" s="60">
        <v>23.535</v>
      </c>
      <c r="L28" s="60">
        <v>23.535</v>
      </c>
      <c r="M28" s="60">
        <v>0.36</v>
      </c>
      <c r="N28" s="60">
        <v>0.36</v>
      </c>
    </row>
    <row r="29" spans="1:26" x14ac:dyDescent="0.25">
      <c r="A29" s="53" t="s">
        <v>28</v>
      </c>
      <c r="B29" s="54" t="s">
        <v>4</v>
      </c>
      <c r="C29" s="60">
        <v>417.82</v>
      </c>
      <c r="D29" s="60">
        <v>417.82</v>
      </c>
      <c r="E29" s="60">
        <v>1369.63</v>
      </c>
      <c r="F29" s="60">
        <v>1629.99</v>
      </c>
      <c r="G29" s="60">
        <v>1629.99</v>
      </c>
      <c r="H29" s="60">
        <v>1629.99</v>
      </c>
      <c r="I29" s="60">
        <v>109.53</v>
      </c>
      <c r="J29" s="60">
        <v>4371.6149999999998</v>
      </c>
      <c r="K29" s="60">
        <v>236.75</v>
      </c>
      <c r="L29" s="60">
        <v>236.75</v>
      </c>
      <c r="M29" s="60">
        <v>431.1</v>
      </c>
      <c r="N29" s="60">
        <v>431.1</v>
      </c>
    </row>
    <row r="30" spans="1:26" x14ac:dyDescent="0.25">
      <c r="A30" s="56" t="s">
        <v>19</v>
      </c>
      <c r="B30" s="54" t="s">
        <v>4</v>
      </c>
      <c r="C30" s="60">
        <v>4783.0200000000004</v>
      </c>
      <c r="D30" s="60">
        <v>4783.0200000000004</v>
      </c>
      <c r="E30" s="60">
        <v>16016.74</v>
      </c>
      <c r="F30" s="60">
        <v>66529.460000000006</v>
      </c>
      <c r="G30" s="60">
        <v>66529.460000000006</v>
      </c>
      <c r="H30" s="60">
        <v>66529.460000000006</v>
      </c>
      <c r="I30" s="60">
        <v>21954.2</v>
      </c>
      <c r="J30" s="60">
        <v>16051.91</v>
      </c>
      <c r="K30" s="60">
        <v>3245.4</v>
      </c>
      <c r="L30" s="60">
        <v>3245.4</v>
      </c>
      <c r="M30" s="60">
        <v>10864.71</v>
      </c>
      <c r="N30" s="60">
        <v>10864.71</v>
      </c>
    </row>
    <row r="31" spans="1:26" x14ac:dyDescent="0.25">
      <c r="A31" s="56" t="s">
        <v>5</v>
      </c>
      <c r="B31" s="54" t="s">
        <v>4</v>
      </c>
      <c r="C31" s="60">
        <v>69.3</v>
      </c>
      <c r="D31" s="60">
        <v>69.3</v>
      </c>
      <c r="E31" s="60">
        <v>12.12</v>
      </c>
      <c r="F31" s="60">
        <v>12.48</v>
      </c>
      <c r="G31" s="60">
        <v>12.48</v>
      </c>
      <c r="H31" s="60">
        <v>12.48</v>
      </c>
      <c r="I31" s="60">
        <v>2738.43</v>
      </c>
      <c r="J31" s="60">
        <v>706.27499999999998</v>
      </c>
      <c r="K31" s="60">
        <v>104.13</v>
      </c>
      <c r="L31" s="60">
        <v>104.13</v>
      </c>
      <c r="M31" s="60">
        <v>2137.0100000000002</v>
      </c>
      <c r="N31" s="60">
        <v>2137.0100000000002</v>
      </c>
    </row>
    <row r="32" spans="1:26" x14ac:dyDescent="0.25">
      <c r="A32" s="56" t="s">
        <v>29</v>
      </c>
      <c r="B32" s="54" t="s">
        <v>4</v>
      </c>
      <c r="C32" s="60">
        <v>982.51</v>
      </c>
      <c r="D32" s="60">
        <v>982.51</v>
      </c>
      <c r="E32" s="60">
        <v>2066.65</v>
      </c>
      <c r="F32" s="60">
        <v>3687.21</v>
      </c>
      <c r="G32" s="60">
        <v>3687.21</v>
      </c>
      <c r="H32" s="60">
        <v>3687.21</v>
      </c>
      <c r="I32" s="60">
        <v>4439.4799999999996</v>
      </c>
      <c r="J32" s="60">
        <v>3296.7449999999999</v>
      </c>
      <c r="K32" s="60">
        <v>370.94</v>
      </c>
      <c r="L32" s="60">
        <v>370.94</v>
      </c>
      <c r="M32" s="60">
        <v>2590.52</v>
      </c>
      <c r="N32" s="60">
        <v>2590.52</v>
      </c>
    </row>
    <row r="33" spans="1:26" x14ac:dyDescent="0.25">
      <c r="A33" s="57" t="s">
        <v>14</v>
      </c>
      <c r="B33" s="58"/>
      <c r="C33" s="61">
        <v>6953.2820000000011</v>
      </c>
      <c r="D33" s="61">
        <v>6953.2820000000011</v>
      </c>
      <c r="E33" s="61">
        <v>19595.403750000001</v>
      </c>
      <c r="F33" s="61">
        <v>71859.140000000014</v>
      </c>
      <c r="G33" s="61">
        <v>71859.140000000014</v>
      </c>
      <c r="H33" s="61">
        <v>71859.140000000014</v>
      </c>
      <c r="I33" s="61">
        <v>29241.64</v>
      </c>
      <c r="J33" s="61">
        <v>26227.13</v>
      </c>
      <c r="K33" s="61">
        <v>7558.3549999999996</v>
      </c>
      <c r="L33" s="61">
        <v>7558.3549999999996</v>
      </c>
      <c r="M33" s="61">
        <v>16829.609999999997</v>
      </c>
      <c r="N33" s="61">
        <v>16829.609999999997</v>
      </c>
    </row>
    <row r="34" spans="1:26" x14ac:dyDescent="0.25">
      <c r="A34" s="49" t="s">
        <v>16</v>
      </c>
      <c r="B34" s="50" t="s">
        <v>17</v>
      </c>
      <c r="C34" s="51">
        <v>1994</v>
      </c>
      <c r="D34" s="52">
        <v>2000</v>
      </c>
      <c r="E34" s="51">
        <v>2006</v>
      </c>
      <c r="F34" s="51">
        <v>2010</v>
      </c>
      <c r="G34" s="51">
        <v>2012</v>
      </c>
      <c r="H34" s="51">
        <v>2014</v>
      </c>
      <c r="I34" s="51">
        <v>2016</v>
      </c>
      <c r="J34" s="51">
        <v>2018</v>
      </c>
      <c r="K34" s="51">
        <v>2019</v>
      </c>
      <c r="L34" s="51">
        <v>2020</v>
      </c>
      <c r="M34" s="51">
        <v>2021</v>
      </c>
      <c r="N34" s="51">
        <v>2022</v>
      </c>
      <c r="Q34" s="53" t="s">
        <v>18</v>
      </c>
      <c r="R34" s="63">
        <v>1.2348319999999999E-2</v>
      </c>
      <c r="S34" s="63">
        <v>1.445693E-2</v>
      </c>
      <c r="T34" s="63">
        <v>1.4711989999999999E-2</v>
      </c>
      <c r="U34" s="63">
        <v>1.4799069999999999E-2</v>
      </c>
      <c r="V34" s="63">
        <v>1.476066E-2</v>
      </c>
      <c r="W34" s="63">
        <v>1.476066E-2</v>
      </c>
      <c r="X34" s="63">
        <v>1.476066E-2</v>
      </c>
      <c r="Y34" s="63">
        <v>1.3635E-2</v>
      </c>
      <c r="Z34" s="63">
        <v>1.3635E-2</v>
      </c>
    </row>
    <row r="35" spans="1:26" x14ac:dyDescent="0.25">
      <c r="A35" s="611" t="s">
        <v>31</v>
      </c>
      <c r="B35" s="611"/>
      <c r="C35" s="611"/>
      <c r="D35" s="611"/>
      <c r="E35" s="611"/>
      <c r="F35" s="611"/>
      <c r="G35" s="611"/>
      <c r="H35" s="611"/>
      <c r="I35" s="611"/>
      <c r="J35" s="611"/>
      <c r="K35" s="611"/>
      <c r="L35" s="611"/>
      <c r="M35" s="611"/>
      <c r="N35" s="611"/>
    </row>
    <row r="36" spans="1:26" x14ac:dyDescent="0.25">
      <c r="A36" s="53" t="s">
        <v>18</v>
      </c>
      <c r="B36" s="54" t="s">
        <v>5</v>
      </c>
      <c r="C36" s="60">
        <v>0</v>
      </c>
      <c r="D36" s="60">
        <v>0</v>
      </c>
      <c r="E36" s="60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57.06</v>
      </c>
      <c r="L36" s="60">
        <v>57.06</v>
      </c>
      <c r="M36" s="60">
        <v>9.1349999999999998</v>
      </c>
      <c r="N36" s="60">
        <v>9.1349999999999998</v>
      </c>
    </row>
    <row r="37" spans="1:26" x14ac:dyDescent="0.25">
      <c r="A37" s="53" t="s">
        <v>20</v>
      </c>
      <c r="B37" s="54" t="s">
        <v>5</v>
      </c>
      <c r="C37" s="60">
        <v>61.623000000000005</v>
      </c>
      <c r="D37" s="60">
        <v>61.623000000000005</v>
      </c>
      <c r="E37" s="60">
        <v>58.263750000000002</v>
      </c>
      <c r="F37" s="60">
        <v>185.4</v>
      </c>
      <c r="G37" s="60">
        <v>185.4</v>
      </c>
      <c r="H37" s="60">
        <v>185.4</v>
      </c>
      <c r="I37" s="60">
        <v>195.61499999999998</v>
      </c>
      <c r="J37" s="60">
        <v>71.37</v>
      </c>
      <c r="K37" s="60">
        <v>97.2</v>
      </c>
      <c r="L37" s="60">
        <v>97.2</v>
      </c>
      <c r="M37" s="60">
        <v>20.34</v>
      </c>
      <c r="N37" s="60">
        <v>20.34</v>
      </c>
    </row>
    <row r="38" spans="1:26" x14ac:dyDescent="0.25">
      <c r="A38" s="53" t="s">
        <v>21</v>
      </c>
      <c r="B38" s="54" t="s">
        <v>5</v>
      </c>
      <c r="C38" s="60">
        <v>0.10800000000000001</v>
      </c>
      <c r="D38" s="60">
        <v>0.10800000000000001</v>
      </c>
      <c r="E38" s="60">
        <v>1.89</v>
      </c>
      <c r="F38" s="60">
        <v>0</v>
      </c>
      <c r="G38" s="60">
        <v>0</v>
      </c>
      <c r="H38" s="60">
        <v>0</v>
      </c>
      <c r="I38" s="60">
        <v>0</v>
      </c>
      <c r="J38" s="60">
        <v>1.125</v>
      </c>
      <c r="K38" s="60">
        <v>731.3</v>
      </c>
      <c r="L38" s="60">
        <v>731.3</v>
      </c>
      <c r="M38" s="60">
        <v>460.125</v>
      </c>
      <c r="N38" s="60">
        <v>460.125</v>
      </c>
    </row>
    <row r="39" spans="1:26" ht="22.5" x14ac:dyDescent="0.25">
      <c r="A39" s="53" t="s">
        <v>22</v>
      </c>
      <c r="B39" s="54" t="s">
        <v>5</v>
      </c>
      <c r="C39" s="60">
        <v>0</v>
      </c>
      <c r="D39" s="60">
        <v>0</v>
      </c>
      <c r="E39" s="60">
        <v>2.3175000000000003</v>
      </c>
      <c r="F39" s="60">
        <v>0</v>
      </c>
      <c r="G39" s="60">
        <v>0</v>
      </c>
      <c r="H39" s="60">
        <v>0</v>
      </c>
      <c r="I39" s="60">
        <v>0</v>
      </c>
      <c r="J39" s="60">
        <v>4.59</v>
      </c>
      <c r="K39" s="60">
        <v>237.2</v>
      </c>
      <c r="L39" s="60">
        <v>237.2</v>
      </c>
      <c r="M39" s="60">
        <v>950.44500000000005</v>
      </c>
      <c r="N39" s="60">
        <v>950.44500000000005</v>
      </c>
    </row>
    <row r="40" spans="1:26" ht="22.5" x14ac:dyDescent="0.25">
      <c r="A40" s="53" t="s">
        <v>23</v>
      </c>
      <c r="B40" s="54" t="s">
        <v>5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54.77</v>
      </c>
      <c r="L40" s="60">
        <v>54.77</v>
      </c>
      <c r="M40" s="60">
        <v>25.56</v>
      </c>
      <c r="N40" s="60">
        <v>25.56</v>
      </c>
    </row>
    <row r="41" spans="1:26" ht="22.5" x14ac:dyDescent="0.25">
      <c r="A41" s="53" t="s">
        <v>24</v>
      </c>
      <c r="B41" s="54" t="s">
        <v>5</v>
      </c>
      <c r="C41" s="60">
        <v>0.42300000000000004</v>
      </c>
      <c r="D41" s="60">
        <v>0.42300000000000004</v>
      </c>
      <c r="E41" s="60">
        <v>11.95875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3041.91</v>
      </c>
      <c r="L41" s="60">
        <v>3041.91</v>
      </c>
      <c r="M41" s="60">
        <v>5179.95</v>
      </c>
      <c r="N41" s="60">
        <v>5179.95</v>
      </c>
    </row>
    <row r="42" spans="1:26" ht="22.5" x14ac:dyDescent="0.25">
      <c r="A42" s="53" t="s">
        <v>25</v>
      </c>
      <c r="B42" s="54" t="s">
        <v>5</v>
      </c>
      <c r="C42" s="60">
        <v>20.637</v>
      </c>
      <c r="D42" s="60">
        <v>20.637</v>
      </c>
      <c r="E42" s="60">
        <v>16.897500000000004</v>
      </c>
      <c r="F42" s="60">
        <v>23.204999999999998</v>
      </c>
      <c r="G42" s="60">
        <v>23.204999999999998</v>
      </c>
      <c r="H42" s="60">
        <v>23.204999999999998</v>
      </c>
      <c r="I42" s="60">
        <v>83.835000000000022</v>
      </c>
      <c r="J42" s="60">
        <v>39.42</v>
      </c>
      <c r="K42" s="60">
        <v>17.149999999999999</v>
      </c>
      <c r="L42" s="60">
        <v>17.149999999999999</v>
      </c>
      <c r="M42" s="60">
        <v>69.3</v>
      </c>
      <c r="N42" s="60">
        <v>69.3</v>
      </c>
    </row>
    <row r="43" spans="1:26" x14ac:dyDescent="0.25">
      <c r="A43" s="53" t="s">
        <v>26</v>
      </c>
      <c r="B43" s="54" t="s">
        <v>5</v>
      </c>
      <c r="C43" s="60">
        <v>493.46099999999996</v>
      </c>
      <c r="D43" s="60">
        <v>493.46099999999996</v>
      </c>
      <c r="E43" s="60">
        <v>605.55374999999981</v>
      </c>
      <c r="F43" s="60">
        <v>709.14</v>
      </c>
      <c r="G43" s="60">
        <v>709.14</v>
      </c>
      <c r="H43" s="60">
        <v>709.14</v>
      </c>
      <c r="I43" s="60">
        <v>909.54</v>
      </c>
      <c r="J43" s="60">
        <v>985.32</v>
      </c>
      <c r="K43" s="60">
        <v>719.15</v>
      </c>
      <c r="L43" s="60">
        <v>719.15</v>
      </c>
      <c r="M43" s="60">
        <v>48.15</v>
      </c>
      <c r="N43" s="60">
        <v>48.15</v>
      </c>
    </row>
    <row r="44" spans="1:26" x14ac:dyDescent="0.25">
      <c r="A44" s="53" t="s">
        <v>27</v>
      </c>
      <c r="B44" s="54" t="s">
        <v>5</v>
      </c>
      <c r="C44" s="60">
        <v>0</v>
      </c>
      <c r="D44" s="60">
        <v>0</v>
      </c>
      <c r="E44" s="60">
        <v>4.4999999999999998E-2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552.78</v>
      </c>
      <c r="L44" s="60">
        <v>552.78</v>
      </c>
      <c r="M44" s="60">
        <v>234.63</v>
      </c>
      <c r="N44" s="60">
        <v>234.63</v>
      </c>
    </row>
    <row r="45" spans="1:26" x14ac:dyDescent="0.25">
      <c r="A45" s="53" t="s">
        <v>28</v>
      </c>
      <c r="B45" s="54" t="s">
        <v>5</v>
      </c>
      <c r="C45" s="60">
        <v>0</v>
      </c>
      <c r="D45" s="60">
        <v>0</v>
      </c>
      <c r="E45" s="60">
        <v>0.13500000000000001</v>
      </c>
      <c r="F45" s="60">
        <v>0</v>
      </c>
      <c r="G45" s="60">
        <v>0</v>
      </c>
      <c r="H45" s="60">
        <v>0</v>
      </c>
      <c r="I45" s="60">
        <v>109.62</v>
      </c>
      <c r="J45" s="60">
        <v>17.91</v>
      </c>
      <c r="K45" s="60">
        <v>18.989999999999998</v>
      </c>
      <c r="L45" s="60">
        <v>18.989999999999998</v>
      </c>
      <c r="M45" s="60">
        <v>7.2</v>
      </c>
      <c r="N45" s="60">
        <v>7.2</v>
      </c>
    </row>
    <row r="46" spans="1:26" x14ac:dyDescent="0.25">
      <c r="A46" s="56" t="s">
        <v>19</v>
      </c>
      <c r="B46" s="54" t="s">
        <v>5</v>
      </c>
      <c r="C46" s="60">
        <v>573.01199999999994</v>
      </c>
      <c r="D46" s="60">
        <v>573.01199999999994</v>
      </c>
      <c r="E46" s="60">
        <v>4498.3687500000005</v>
      </c>
      <c r="F46" s="60">
        <v>7739.04</v>
      </c>
      <c r="G46" s="60">
        <v>7739.04</v>
      </c>
      <c r="H46" s="60">
        <v>7739.04</v>
      </c>
      <c r="I46" s="60">
        <v>7532.46</v>
      </c>
      <c r="J46" s="60">
        <v>8336.2999999999993</v>
      </c>
      <c r="K46" s="60">
        <v>7082.69</v>
      </c>
      <c r="L46" s="60">
        <v>7082.69</v>
      </c>
      <c r="M46" s="60">
        <v>1511.69</v>
      </c>
      <c r="N46" s="60">
        <v>1511.69</v>
      </c>
    </row>
    <row r="47" spans="1:26" x14ac:dyDescent="0.25">
      <c r="A47" s="56" t="s">
        <v>4</v>
      </c>
      <c r="B47" s="54" t="s">
        <v>5</v>
      </c>
      <c r="C47" s="60">
        <v>111.83</v>
      </c>
      <c r="D47" s="60">
        <v>111.83</v>
      </c>
      <c r="E47" s="60">
        <v>78.989999999999995</v>
      </c>
      <c r="F47" s="60">
        <v>420.255</v>
      </c>
      <c r="G47" s="60">
        <v>420.255</v>
      </c>
      <c r="H47" s="60">
        <v>420.255</v>
      </c>
      <c r="I47" s="60">
        <v>889.07</v>
      </c>
      <c r="J47" s="60">
        <v>171.63</v>
      </c>
      <c r="K47" s="60">
        <v>1057.5899999999999</v>
      </c>
      <c r="L47" s="60">
        <v>1057.5899999999999</v>
      </c>
      <c r="M47" s="60">
        <v>137.47999999999999</v>
      </c>
      <c r="N47" s="60">
        <v>137.47999999999999</v>
      </c>
    </row>
    <row r="48" spans="1:26" x14ac:dyDescent="0.25">
      <c r="A48" s="56" t="s">
        <v>29</v>
      </c>
      <c r="B48" s="54" t="s">
        <v>5</v>
      </c>
      <c r="C48" s="60">
        <v>6.17</v>
      </c>
      <c r="D48" s="60">
        <v>6.17</v>
      </c>
      <c r="E48" s="60">
        <v>13.29</v>
      </c>
      <c r="F48" s="60">
        <v>1846.79</v>
      </c>
      <c r="G48" s="60">
        <v>1846.79</v>
      </c>
      <c r="H48" s="60">
        <v>1846.79</v>
      </c>
      <c r="I48" s="60">
        <v>3642.57</v>
      </c>
      <c r="J48" s="60">
        <v>1685.84</v>
      </c>
      <c r="K48" s="60">
        <v>3312.72</v>
      </c>
      <c r="L48" s="60">
        <v>3312.72</v>
      </c>
      <c r="M48" s="60">
        <v>218.03</v>
      </c>
      <c r="N48" s="60">
        <v>218.03</v>
      </c>
    </row>
    <row r="49" spans="1:14" x14ac:dyDescent="0.25">
      <c r="A49" s="57" t="s">
        <v>14</v>
      </c>
      <c r="B49" s="58"/>
      <c r="C49" s="59">
        <v>1267.2639999999999</v>
      </c>
      <c r="D49" s="59">
        <v>1267.2639999999999</v>
      </c>
      <c r="E49" s="59">
        <v>5287.71</v>
      </c>
      <c r="F49" s="59">
        <v>10923.829999999998</v>
      </c>
      <c r="G49" s="59">
        <v>10923.829999999998</v>
      </c>
      <c r="H49" s="59">
        <v>10923.829999999998</v>
      </c>
      <c r="I49" s="59">
        <v>13362.71</v>
      </c>
      <c r="J49" s="59">
        <v>11313.504999999999</v>
      </c>
      <c r="K49" s="59">
        <v>16980.509999999998</v>
      </c>
      <c r="L49" s="59">
        <v>16980.509999999998</v>
      </c>
      <c r="M49" s="59">
        <v>8872.0349999999999</v>
      </c>
      <c r="N49" s="59">
        <v>8872.0349999999999</v>
      </c>
    </row>
    <row r="50" spans="1:14" x14ac:dyDescent="0.25">
      <c r="A50" s="611" t="s">
        <v>32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</row>
    <row r="51" spans="1:14" x14ac:dyDescent="0.25">
      <c r="A51" s="53" t="s">
        <v>18</v>
      </c>
      <c r="B51" s="54" t="s">
        <v>6</v>
      </c>
      <c r="C51" s="60">
        <v>0</v>
      </c>
      <c r="D51" s="60">
        <v>0</v>
      </c>
      <c r="E51" s="60">
        <v>0.91125</v>
      </c>
      <c r="F51" s="60">
        <v>0</v>
      </c>
      <c r="G51" s="60">
        <v>0</v>
      </c>
      <c r="H51" s="60">
        <v>0</v>
      </c>
      <c r="I51" s="60">
        <v>0</v>
      </c>
      <c r="J51" s="60">
        <v>10.395</v>
      </c>
      <c r="K51" s="60">
        <v>7.52</v>
      </c>
      <c r="L51" s="60">
        <v>7.52</v>
      </c>
      <c r="M51" s="60">
        <v>0</v>
      </c>
      <c r="N51" s="60">
        <v>0</v>
      </c>
    </row>
    <row r="52" spans="1:14" x14ac:dyDescent="0.25">
      <c r="A52" s="53" t="s">
        <v>20</v>
      </c>
      <c r="B52" s="54" t="s">
        <v>6</v>
      </c>
      <c r="C52" s="60">
        <v>76.644000000000005</v>
      </c>
      <c r="D52" s="60">
        <v>76.644000000000005</v>
      </c>
      <c r="E52" s="60">
        <v>192.24</v>
      </c>
      <c r="F52" s="60">
        <v>390</v>
      </c>
      <c r="G52" s="60">
        <v>390</v>
      </c>
      <c r="H52" s="60">
        <v>390</v>
      </c>
      <c r="I52" s="60">
        <v>75.015000000000001</v>
      </c>
      <c r="J52" s="60">
        <v>75.465000000000003</v>
      </c>
      <c r="K52" s="60">
        <v>527.66999999999996</v>
      </c>
      <c r="L52" s="60">
        <v>527.66999999999996</v>
      </c>
      <c r="M52" s="60">
        <v>802.49</v>
      </c>
      <c r="N52" s="60">
        <v>802.49</v>
      </c>
    </row>
    <row r="53" spans="1:14" x14ac:dyDescent="0.25">
      <c r="A53" s="53" t="s">
        <v>21</v>
      </c>
      <c r="B53" s="54" t="s">
        <v>6</v>
      </c>
      <c r="C53" s="60">
        <v>15.129</v>
      </c>
      <c r="D53" s="60">
        <v>15.129</v>
      </c>
      <c r="E53" s="60">
        <v>17.201250000000002</v>
      </c>
      <c r="F53" s="60">
        <v>42.464999999999996</v>
      </c>
      <c r="G53" s="60">
        <v>42.464999999999996</v>
      </c>
      <c r="H53" s="60">
        <v>42.464999999999996</v>
      </c>
      <c r="I53" s="60">
        <v>67.185000000000002</v>
      </c>
      <c r="J53" s="60">
        <v>110.88</v>
      </c>
      <c r="K53" s="60">
        <v>59.4</v>
      </c>
      <c r="L53" s="60">
        <v>59.4</v>
      </c>
      <c r="M53" s="60">
        <v>123.44</v>
      </c>
      <c r="N53" s="60">
        <v>123.44</v>
      </c>
    </row>
    <row r="54" spans="1:14" ht="22.5" x14ac:dyDescent="0.25">
      <c r="A54" s="53" t="s">
        <v>22</v>
      </c>
      <c r="B54" s="54" t="s">
        <v>6</v>
      </c>
      <c r="C54" s="60">
        <v>25.704000000000001</v>
      </c>
      <c r="D54" s="60">
        <v>25.704000000000001</v>
      </c>
      <c r="E54" s="60">
        <v>14.85</v>
      </c>
      <c r="F54" s="60">
        <v>51.254999999999995</v>
      </c>
      <c r="G54" s="60">
        <v>51.254999999999995</v>
      </c>
      <c r="H54" s="60">
        <v>51.254999999999995</v>
      </c>
      <c r="I54" s="60">
        <v>46.664999999999992</v>
      </c>
      <c r="J54" s="60">
        <v>76.77</v>
      </c>
      <c r="K54" s="60">
        <v>99.45</v>
      </c>
      <c r="L54" s="60">
        <v>99.45</v>
      </c>
      <c r="M54" s="60">
        <v>138.56</v>
      </c>
      <c r="N54" s="60">
        <v>138.56</v>
      </c>
    </row>
    <row r="55" spans="1:14" ht="22.5" x14ac:dyDescent="0.25">
      <c r="A55" s="53" t="s">
        <v>23</v>
      </c>
      <c r="B55" s="54" t="s">
        <v>6</v>
      </c>
      <c r="C55" s="60">
        <v>1.9890000000000001</v>
      </c>
      <c r="D55" s="60">
        <v>1.9890000000000001</v>
      </c>
      <c r="E55" s="60">
        <v>2.2162500000000001</v>
      </c>
      <c r="F55" s="60">
        <v>18.059999999999999</v>
      </c>
      <c r="G55" s="60">
        <v>18.059999999999999</v>
      </c>
      <c r="H55" s="60">
        <v>18.059999999999999</v>
      </c>
      <c r="I55" s="60">
        <v>24.525000000000002</v>
      </c>
      <c r="J55" s="60">
        <v>31.814999999999998</v>
      </c>
      <c r="K55" s="60">
        <v>39.65</v>
      </c>
      <c r="L55" s="60">
        <v>39.65</v>
      </c>
      <c r="M55" s="60">
        <v>0.54</v>
      </c>
      <c r="N55" s="60">
        <v>0.54</v>
      </c>
    </row>
    <row r="56" spans="1:14" ht="22.5" x14ac:dyDescent="0.25">
      <c r="A56" s="53" t="s">
        <v>24</v>
      </c>
      <c r="B56" s="54" t="s">
        <v>6</v>
      </c>
      <c r="C56" s="60">
        <v>71.837999999999994</v>
      </c>
      <c r="D56" s="60">
        <v>71.837999999999994</v>
      </c>
      <c r="E56" s="60">
        <v>67.86</v>
      </c>
      <c r="F56" s="60">
        <v>102.55500000000001</v>
      </c>
      <c r="G56" s="60">
        <v>102.55500000000001</v>
      </c>
      <c r="H56" s="60">
        <v>102.55500000000001</v>
      </c>
      <c r="I56" s="60">
        <v>111.91500000000001</v>
      </c>
      <c r="J56" s="60">
        <v>204.03</v>
      </c>
      <c r="K56" s="60">
        <v>300.74</v>
      </c>
      <c r="L56" s="60">
        <v>300.74</v>
      </c>
      <c r="M56" s="60">
        <v>861.98</v>
      </c>
      <c r="N56" s="60">
        <v>861.98</v>
      </c>
    </row>
    <row r="57" spans="1:14" ht="22.5" x14ac:dyDescent="0.25">
      <c r="A57" s="53" t="s">
        <v>25</v>
      </c>
      <c r="B57" s="54" t="s">
        <v>6</v>
      </c>
      <c r="C57" s="60">
        <v>32.966999999999999</v>
      </c>
      <c r="D57" s="60">
        <v>32.966999999999999</v>
      </c>
      <c r="E57" s="60">
        <v>34.188749999999999</v>
      </c>
      <c r="F57" s="60">
        <v>30.825000000000003</v>
      </c>
      <c r="G57" s="60">
        <v>30.825000000000003</v>
      </c>
      <c r="H57" s="60">
        <v>30.825000000000003</v>
      </c>
      <c r="I57" s="60">
        <v>14.715</v>
      </c>
      <c r="J57" s="60">
        <v>21.465</v>
      </c>
      <c r="K57" s="60">
        <v>33.979999999999997</v>
      </c>
      <c r="L57" s="60">
        <v>33.979999999999997</v>
      </c>
      <c r="M57" s="60">
        <v>201.56</v>
      </c>
      <c r="N57" s="60">
        <v>201.56</v>
      </c>
    </row>
    <row r="58" spans="1:14" x14ac:dyDescent="0.25">
      <c r="A58" s="53" t="s">
        <v>26</v>
      </c>
      <c r="B58" s="54" t="s">
        <v>6</v>
      </c>
      <c r="C58" s="60">
        <v>17.747999999999998</v>
      </c>
      <c r="D58" s="60">
        <v>17.747999999999998</v>
      </c>
      <c r="E58" s="60">
        <v>7.4249999999999998</v>
      </c>
      <c r="F58" s="60">
        <v>33.630000000000003</v>
      </c>
      <c r="G58" s="60">
        <v>33.630000000000003</v>
      </c>
      <c r="H58" s="60">
        <v>33.630000000000003</v>
      </c>
      <c r="I58" s="60">
        <v>8.0549999999999997</v>
      </c>
      <c r="J58" s="60">
        <v>15.3</v>
      </c>
      <c r="K58" s="60">
        <v>2210.7199999999998</v>
      </c>
      <c r="L58" s="60">
        <v>2210.7199999999998</v>
      </c>
      <c r="M58" s="60">
        <v>78.709999999999994</v>
      </c>
      <c r="N58" s="60">
        <v>78.709999999999994</v>
      </c>
    </row>
    <row r="59" spans="1:14" x14ac:dyDescent="0.25">
      <c r="A59" s="53" t="s">
        <v>27</v>
      </c>
      <c r="B59" s="54" t="s">
        <v>6</v>
      </c>
      <c r="C59" s="60">
        <v>0.43200000000000005</v>
      </c>
      <c r="D59" s="60">
        <v>0.43200000000000005</v>
      </c>
      <c r="E59" s="60">
        <v>1.44</v>
      </c>
      <c r="F59" s="60">
        <v>1.83</v>
      </c>
      <c r="G59" s="60">
        <v>1.83</v>
      </c>
      <c r="H59" s="60">
        <v>1.83</v>
      </c>
      <c r="I59" s="60">
        <v>3.33</v>
      </c>
      <c r="J59" s="60">
        <v>5.9850000000000003</v>
      </c>
      <c r="K59" s="60">
        <v>6.53</v>
      </c>
      <c r="L59" s="60">
        <v>6.53</v>
      </c>
      <c r="M59" s="60">
        <v>13.23</v>
      </c>
      <c r="N59" s="60">
        <v>13.23</v>
      </c>
    </row>
    <row r="60" spans="1:14" x14ac:dyDescent="0.25">
      <c r="A60" s="53" t="s">
        <v>28</v>
      </c>
      <c r="B60" s="54" t="s">
        <v>6</v>
      </c>
      <c r="C60" s="60">
        <v>30.87</v>
      </c>
      <c r="D60" s="60">
        <v>30.87</v>
      </c>
      <c r="E60" s="60">
        <v>114.41</v>
      </c>
      <c r="F60" s="60">
        <v>20.58</v>
      </c>
      <c r="G60" s="60">
        <v>20.58</v>
      </c>
      <c r="H60" s="60">
        <v>20.58</v>
      </c>
      <c r="I60" s="60">
        <v>69.260000000000005</v>
      </c>
      <c r="J60" s="60">
        <v>176.49</v>
      </c>
      <c r="K60" s="60">
        <v>53.46</v>
      </c>
      <c r="L60" s="60">
        <v>53.46</v>
      </c>
      <c r="M60" s="60">
        <v>10.98</v>
      </c>
      <c r="N60" s="60">
        <v>10.98</v>
      </c>
    </row>
    <row r="61" spans="1:14" x14ac:dyDescent="0.25">
      <c r="A61" s="56" t="s">
        <v>19</v>
      </c>
      <c r="B61" s="54" t="s">
        <v>6</v>
      </c>
      <c r="C61" s="60">
        <v>3799.2</v>
      </c>
      <c r="D61" s="60">
        <v>3799.2</v>
      </c>
      <c r="E61" s="60">
        <v>6078.99</v>
      </c>
      <c r="F61" s="60">
        <v>9692.42</v>
      </c>
      <c r="G61" s="60">
        <v>9692.42</v>
      </c>
      <c r="H61" s="60">
        <v>9692.42</v>
      </c>
      <c r="I61" s="60">
        <v>2320.11</v>
      </c>
      <c r="J61" s="60">
        <v>14219</v>
      </c>
      <c r="K61" s="60">
        <v>3174.03</v>
      </c>
      <c r="L61" s="60">
        <v>3174.03</v>
      </c>
      <c r="M61" s="60">
        <v>11997.5</v>
      </c>
      <c r="N61" s="60">
        <v>11997.5</v>
      </c>
    </row>
    <row r="62" spans="1:14" x14ac:dyDescent="0.25">
      <c r="A62" s="56" t="s">
        <v>4</v>
      </c>
      <c r="B62" s="54" t="s">
        <v>6</v>
      </c>
      <c r="C62" s="60">
        <v>436.19</v>
      </c>
      <c r="D62" s="60">
        <v>436.19</v>
      </c>
      <c r="E62" s="60">
        <v>1063.6199999999999</v>
      </c>
      <c r="F62" s="60">
        <v>614.61</v>
      </c>
      <c r="G62" s="60">
        <v>614.61</v>
      </c>
      <c r="H62" s="60">
        <v>614.61</v>
      </c>
      <c r="I62" s="60">
        <v>349.16</v>
      </c>
      <c r="J62" s="60">
        <v>280.49</v>
      </c>
      <c r="K62" s="60">
        <v>230.99</v>
      </c>
      <c r="L62" s="60">
        <v>230.99</v>
      </c>
      <c r="M62" s="60">
        <v>1935.81</v>
      </c>
      <c r="N62" s="60">
        <v>1935.81</v>
      </c>
    </row>
    <row r="63" spans="1:14" x14ac:dyDescent="0.25">
      <c r="A63" s="56" t="s">
        <v>5</v>
      </c>
      <c r="B63" s="54" t="s">
        <v>6</v>
      </c>
      <c r="C63" s="60">
        <v>67.91</v>
      </c>
      <c r="D63" s="60">
        <v>67.91</v>
      </c>
      <c r="E63" s="60">
        <v>65.34</v>
      </c>
      <c r="F63" s="60">
        <v>275.76</v>
      </c>
      <c r="G63" s="60">
        <v>275.76</v>
      </c>
      <c r="H63" s="60">
        <v>275.76</v>
      </c>
      <c r="I63" s="60">
        <v>247.14</v>
      </c>
      <c r="J63" s="60">
        <v>443.57</v>
      </c>
      <c r="K63" s="60">
        <v>95151.11</v>
      </c>
      <c r="L63" s="60">
        <v>95151.11</v>
      </c>
      <c r="M63" s="60">
        <v>494.06</v>
      </c>
      <c r="N63" s="60">
        <v>494.06</v>
      </c>
    </row>
    <row r="64" spans="1:14" x14ac:dyDescent="0.25">
      <c r="A64" s="56" t="s">
        <v>29</v>
      </c>
      <c r="B64" s="54" t="s">
        <v>6</v>
      </c>
      <c r="C64" s="60">
        <v>167.29</v>
      </c>
      <c r="D64" s="60">
        <v>167.29</v>
      </c>
      <c r="E64" s="60">
        <v>76.25</v>
      </c>
      <c r="F64" s="60">
        <v>223.995</v>
      </c>
      <c r="G64" s="60">
        <v>223.995</v>
      </c>
      <c r="H64" s="60">
        <v>223.995</v>
      </c>
      <c r="I64" s="60">
        <v>124.86</v>
      </c>
      <c r="J64" s="60">
        <v>748.98</v>
      </c>
      <c r="K64" s="60">
        <v>871.12</v>
      </c>
      <c r="L64" s="60">
        <v>871.12</v>
      </c>
      <c r="M64" s="60">
        <v>2832.75</v>
      </c>
      <c r="N64" s="60">
        <v>2832.75</v>
      </c>
    </row>
    <row r="65" spans="1:14" x14ac:dyDescent="0.25">
      <c r="A65" s="57" t="s">
        <v>14</v>
      </c>
      <c r="B65" s="58"/>
      <c r="C65" s="61">
        <v>4743.9109999999991</v>
      </c>
      <c r="D65" s="61">
        <v>4743.9109999999991</v>
      </c>
      <c r="E65" s="61">
        <v>7736.9425000000001</v>
      </c>
      <c r="F65" s="61">
        <v>11497.985000000002</v>
      </c>
      <c r="G65" s="61">
        <v>11497.985000000002</v>
      </c>
      <c r="H65" s="61">
        <v>11497.985000000002</v>
      </c>
      <c r="I65" s="61">
        <v>3461.9349999999999</v>
      </c>
      <c r="J65" s="61">
        <v>16420.634999999998</v>
      </c>
      <c r="K65" s="61">
        <v>102766.37</v>
      </c>
      <c r="L65" s="61">
        <v>102766.37</v>
      </c>
      <c r="M65" s="61">
        <v>19491.61</v>
      </c>
      <c r="N65" s="61">
        <v>19491.61</v>
      </c>
    </row>
    <row r="66" spans="1:14" x14ac:dyDescent="0.25">
      <c r="A66" s="611" t="s">
        <v>33</v>
      </c>
      <c r="B66" s="611"/>
      <c r="C66" s="611"/>
      <c r="D66" s="611"/>
      <c r="E66" s="611"/>
      <c r="F66" s="611"/>
      <c r="G66" s="611"/>
      <c r="H66" s="611"/>
      <c r="I66" s="611"/>
      <c r="J66" s="611"/>
      <c r="K66" s="611"/>
      <c r="L66" s="611"/>
      <c r="M66" s="611"/>
      <c r="N66" s="611"/>
    </row>
    <row r="67" spans="1:14" x14ac:dyDescent="0.25">
      <c r="A67" s="53" t="s">
        <v>18</v>
      </c>
      <c r="B67" s="54" t="s">
        <v>29</v>
      </c>
      <c r="C67" s="60">
        <v>8.9550000000000001</v>
      </c>
      <c r="D67" s="60">
        <v>8.9550000000000001</v>
      </c>
      <c r="E67" s="60">
        <v>0</v>
      </c>
      <c r="F67" s="60">
        <v>0.42</v>
      </c>
      <c r="G67" s="60">
        <v>0.42</v>
      </c>
      <c r="H67" s="60">
        <v>0.42</v>
      </c>
      <c r="I67" s="60">
        <v>37.125</v>
      </c>
      <c r="J67" s="60">
        <v>19.62</v>
      </c>
      <c r="K67" s="60">
        <v>8.3699999999999992</v>
      </c>
      <c r="L67" s="60">
        <v>8.3699999999999992</v>
      </c>
      <c r="M67" s="60">
        <v>0.72</v>
      </c>
      <c r="N67" s="60">
        <v>0.72</v>
      </c>
    </row>
    <row r="68" spans="1:14" x14ac:dyDescent="0.25">
      <c r="A68" s="53" t="s">
        <v>20</v>
      </c>
      <c r="B68" s="54" t="s">
        <v>29</v>
      </c>
      <c r="C68" s="60">
        <v>67.122</v>
      </c>
      <c r="D68" s="60">
        <v>67.122</v>
      </c>
      <c r="E68" s="60">
        <v>1.98</v>
      </c>
      <c r="F68" s="60">
        <v>497.68499999999995</v>
      </c>
      <c r="G68" s="60">
        <v>497.68499999999995</v>
      </c>
      <c r="H68" s="60">
        <v>497.68499999999995</v>
      </c>
      <c r="I68" s="60">
        <v>475.83</v>
      </c>
      <c r="J68" s="60">
        <v>123.075</v>
      </c>
      <c r="K68" s="60">
        <v>87.35</v>
      </c>
      <c r="L68" s="60">
        <v>87.35</v>
      </c>
      <c r="M68" s="60">
        <v>13.32</v>
      </c>
      <c r="N68" s="60">
        <v>13.32</v>
      </c>
    </row>
    <row r="69" spans="1:14" x14ac:dyDescent="0.25">
      <c r="A69" s="53" t="s">
        <v>21</v>
      </c>
      <c r="B69" s="54" t="s">
        <v>29</v>
      </c>
      <c r="C69" s="60">
        <v>114.3</v>
      </c>
      <c r="D69" s="60">
        <v>114.3</v>
      </c>
      <c r="E69" s="60">
        <v>23.861249999999998</v>
      </c>
      <c r="F69" s="60">
        <v>52.04999999999999</v>
      </c>
      <c r="G69" s="60">
        <v>52.04999999999999</v>
      </c>
      <c r="H69" s="60">
        <v>52.04999999999999</v>
      </c>
      <c r="I69" s="60">
        <v>437.625</v>
      </c>
      <c r="J69" s="60">
        <v>226.44</v>
      </c>
      <c r="K69" s="60">
        <v>220.41</v>
      </c>
      <c r="L69" s="60">
        <v>220.41</v>
      </c>
      <c r="M69" s="60">
        <v>38.299999999999997</v>
      </c>
      <c r="N69" s="60">
        <v>38.299999999999997</v>
      </c>
    </row>
    <row r="70" spans="1:14" ht="22.5" x14ac:dyDescent="0.25">
      <c r="A70" s="53" t="s">
        <v>22</v>
      </c>
      <c r="B70" s="54" t="s">
        <v>29</v>
      </c>
      <c r="C70" s="60">
        <v>25.452000000000002</v>
      </c>
      <c r="D70" s="60">
        <v>25.452000000000002</v>
      </c>
      <c r="E70" s="60">
        <v>12.27375</v>
      </c>
      <c r="F70" s="60">
        <v>22.185000000000002</v>
      </c>
      <c r="G70" s="60">
        <v>22.185000000000002</v>
      </c>
      <c r="H70" s="60">
        <v>22.185000000000002</v>
      </c>
      <c r="I70" s="60">
        <v>104.31</v>
      </c>
      <c r="J70" s="60">
        <v>147.41999999999999</v>
      </c>
      <c r="K70" s="60">
        <v>49.95</v>
      </c>
      <c r="L70" s="60">
        <v>49.95</v>
      </c>
      <c r="M70" s="60">
        <v>62.06</v>
      </c>
      <c r="N70" s="60">
        <v>62.06</v>
      </c>
    </row>
    <row r="71" spans="1:14" ht="22.5" x14ac:dyDescent="0.25">
      <c r="A71" s="53" t="s">
        <v>23</v>
      </c>
      <c r="B71" s="54" t="s">
        <v>29</v>
      </c>
      <c r="C71" s="60">
        <v>58.355999999999995</v>
      </c>
      <c r="D71" s="60">
        <v>58.355999999999995</v>
      </c>
      <c r="E71" s="60">
        <v>17.324999999999999</v>
      </c>
      <c r="F71" s="60">
        <v>76.410000000000011</v>
      </c>
      <c r="G71" s="60">
        <v>76.410000000000011</v>
      </c>
      <c r="H71" s="60">
        <v>76.410000000000011</v>
      </c>
      <c r="I71" s="60">
        <v>219.42000000000002</v>
      </c>
      <c r="J71" s="60">
        <v>135.22499999999999</v>
      </c>
      <c r="K71" s="60">
        <v>102.15</v>
      </c>
      <c r="L71" s="60">
        <v>102.15</v>
      </c>
      <c r="M71" s="60">
        <v>7.34</v>
      </c>
      <c r="N71" s="60">
        <v>7.34</v>
      </c>
    </row>
    <row r="72" spans="1:14" ht="22.5" x14ac:dyDescent="0.25">
      <c r="A72" s="53" t="s">
        <v>24</v>
      </c>
      <c r="B72" s="54" t="s">
        <v>29</v>
      </c>
      <c r="C72" s="60">
        <v>49.283999999999999</v>
      </c>
      <c r="D72" s="60">
        <v>49.283999999999999</v>
      </c>
      <c r="E72" s="60">
        <v>23.895000000000003</v>
      </c>
      <c r="F72" s="60">
        <v>64.304999999999993</v>
      </c>
      <c r="G72" s="60">
        <v>64.304999999999993</v>
      </c>
      <c r="H72" s="60">
        <v>64.304999999999993</v>
      </c>
      <c r="I72" s="60">
        <v>506.25</v>
      </c>
      <c r="J72" s="60">
        <v>672.11999999999989</v>
      </c>
      <c r="K72" s="60">
        <v>582.98</v>
      </c>
      <c r="L72" s="60">
        <v>582.98</v>
      </c>
      <c r="M72" s="60">
        <v>170.37</v>
      </c>
      <c r="N72" s="60">
        <v>170.37</v>
      </c>
    </row>
    <row r="73" spans="1:14" ht="22.5" x14ac:dyDescent="0.25">
      <c r="A73" s="53" t="s">
        <v>25</v>
      </c>
      <c r="B73" s="54" t="s">
        <v>29</v>
      </c>
      <c r="C73" s="60">
        <v>28.017000000000003</v>
      </c>
      <c r="D73" s="60">
        <v>28.017000000000003</v>
      </c>
      <c r="E73" s="60">
        <v>2.4525000000000001</v>
      </c>
      <c r="F73" s="60">
        <v>17.655000000000001</v>
      </c>
      <c r="G73" s="60">
        <v>17.655000000000001</v>
      </c>
      <c r="H73" s="60">
        <v>17.655000000000001</v>
      </c>
      <c r="I73" s="60">
        <v>47.07</v>
      </c>
      <c r="J73" s="60">
        <v>78.164999999999978</v>
      </c>
      <c r="K73" s="60">
        <v>73.22</v>
      </c>
      <c r="L73" s="60">
        <v>73.22</v>
      </c>
      <c r="M73" s="60">
        <v>3.38</v>
      </c>
      <c r="N73" s="60">
        <v>3.38</v>
      </c>
    </row>
    <row r="74" spans="1:14" x14ac:dyDescent="0.25">
      <c r="A74" s="53" t="s">
        <v>26</v>
      </c>
      <c r="B74" s="54" t="s">
        <v>29</v>
      </c>
      <c r="C74" s="60">
        <v>145.512</v>
      </c>
      <c r="D74" s="60">
        <v>145.512</v>
      </c>
      <c r="E74" s="60">
        <v>1.9124999999999996</v>
      </c>
      <c r="F74" s="60">
        <v>71.250000000000014</v>
      </c>
      <c r="G74" s="60">
        <v>71.250000000000014</v>
      </c>
      <c r="H74" s="60">
        <v>71.250000000000014</v>
      </c>
      <c r="I74" s="60">
        <v>195.43499999999995</v>
      </c>
      <c r="J74" s="60">
        <v>187.87500000000003</v>
      </c>
      <c r="K74" s="60">
        <v>191.3</v>
      </c>
      <c r="L74" s="60">
        <v>191.3</v>
      </c>
      <c r="M74" s="60">
        <v>19.940000000000001</v>
      </c>
      <c r="N74" s="60">
        <v>19.940000000000001</v>
      </c>
    </row>
    <row r="75" spans="1:14" x14ac:dyDescent="0.25">
      <c r="A75" s="53" t="s">
        <v>27</v>
      </c>
      <c r="B75" s="54" t="s">
        <v>29</v>
      </c>
      <c r="C75" s="60">
        <v>5.4000000000000006E-2</v>
      </c>
      <c r="D75" s="60">
        <v>5.4000000000000006E-2</v>
      </c>
      <c r="E75" s="60">
        <v>0.78749999999999998</v>
      </c>
      <c r="F75" s="60">
        <v>1.6050000000000002</v>
      </c>
      <c r="G75" s="60">
        <v>1.6050000000000002</v>
      </c>
      <c r="H75" s="60">
        <v>1.6050000000000002</v>
      </c>
      <c r="I75" s="60">
        <v>11.879999999999999</v>
      </c>
      <c r="J75" s="60">
        <v>6.75</v>
      </c>
      <c r="K75" s="60">
        <v>8.5500000000000007</v>
      </c>
      <c r="L75" s="60">
        <v>8.5500000000000007</v>
      </c>
      <c r="M75" s="60">
        <v>9.6300000000000008</v>
      </c>
      <c r="N75" s="60">
        <v>9.6300000000000008</v>
      </c>
    </row>
    <row r="76" spans="1:14" x14ac:dyDescent="0.25">
      <c r="A76" s="53" t="s">
        <v>28</v>
      </c>
      <c r="B76" s="54" t="s">
        <v>29</v>
      </c>
      <c r="C76" s="60">
        <v>0</v>
      </c>
      <c r="D76" s="60">
        <v>0</v>
      </c>
      <c r="E76" s="60">
        <v>2.8125</v>
      </c>
      <c r="F76" s="60">
        <v>34.950000000000003</v>
      </c>
      <c r="G76" s="60">
        <v>34.950000000000003</v>
      </c>
      <c r="H76" s="60">
        <v>34.950000000000003</v>
      </c>
      <c r="I76" s="60">
        <v>175.995</v>
      </c>
      <c r="J76" s="60">
        <v>184.46</v>
      </c>
      <c r="K76" s="60">
        <v>7.38</v>
      </c>
      <c r="L76" s="60">
        <v>7.38</v>
      </c>
      <c r="M76" s="60">
        <v>10.35</v>
      </c>
      <c r="N76" s="60">
        <v>10.35</v>
      </c>
    </row>
    <row r="77" spans="1:14" x14ac:dyDescent="0.25">
      <c r="A77" s="56" t="s">
        <v>19</v>
      </c>
      <c r="B77" s="54" t="s">
        <v>29</v>
      </c>
      <c r="C77" s="60">
        <v>277.83</v>
      </c>
      <c r="D77" s="60">
        <v>277.83</v>
      </c>
      <c r="E77" s="60">
        <v>202.93875000000003</v>
      </c>
      <c r="F77" s="60">
        <v>3381.8250000000003</v>
      </c>
      <c r="G77" s="60">
        <v>3381.8250000000003</v>
      </c>
      <c r="H77" s="60">
        <v>3381.8250000000003</v>
      </c>
      <c r="I77" s="60">
        <v>2135.5650000000001</v>
      </c>
      <c r="J77" s="60">
        <v>5316</v>
      </c>
      <c r="K77" s="60">
        <v>196.43</v>
      </c>
      <c r="L77" s="60">
        <v>196.43</v>
      </c>
      <c r="M77" s="60">
        <v>2343.11</v>
      </c>
      <c r="N77" s="60">
        <v>2343.11</v>
      </c>
    </row>
    <row r="78" spans="1:14" x14ac:dyDescent="0.25">
      <c r="A78" s="56" t="s">
        <v>4</v>
      </c>
      <c r="B78" s="54" t="s">
        <v>29</v>
      </c>
      <c r="C78" s="60">
        <v>2140.11</v>
      </c>
      <c r="D78" s="60">
        <v>2140.11</v>
      </c>
      <c r="E78" s="60">
        <v>2243.41</v>
      </c>
      <c r="F78" s="60">
        <v>1159.8499999999999</v>
      </c>
      <c r="G78" s="60">
        <v>1159.8499999999999</v>
      </c>
      <c r="H78" s="60">
        <v>1159.8499999999999</v>
      </c>
      <c r="I78" s="60">
        <v>2422.5300000000002</v>
      </c>
      <c r="J78" s="60">
        <v>974.48</v>
      </c>
      <c r="K78" s="60">
        <v>464.04</v>
      </c>
      <c r="L78" s="60">
        <v>464.04</v>
      </c>
      <c r="M78" s="60">
        <v>465.71</v>
      </c>
      <c r="N78" s="60">
        <v>465.71</v>
      </c>
    </row>
    <row r="79" spans="1:14" x14ac:dyDescent="0.25">
      <c r="A79" s="56" t="s">
        <v>5</v>
      </c>
      <c r="B79" s="54" t="s">
        <v>29</v>
      </c>
      <c r="C79" s="60">
        <v>0.24300000000000002</v>
      </c>
      <c r="D79" s="60">
        <v>0.24300000000000002</v>
      </c>
      <c r="E79" s="60">
        <v>1.05</v>
      </c>
      <c r="F79" s="60">
        <v>1795.99</v>
      </c>
      <c r="G79" s="60">
        <v>1795.99</v>
      </c>
      <c r="H79" s="60">
        <v>1795.99</v>
      </c>
      <c r="I79" s="60">
        <v>1033.29</v>
      </c>
      <c r="J79" s="60">
        <v>4213.71</v>
      </c>
      <c r="K79" s="60">
        <v>26.96</v>
      </c>
      <c r="L79" s="60">
        <v>26.96</v>
      </c>
      <c r="M79" s="60">
        <v>341.55</v>
      </c>
      <c r="N79" s="60">
        <v>341.55</v>
      </c>
    </row>
    <row r="80" spans="1:14" x14ac:dyDescent="0.25">
      <c r="A80" s="56" t="s">
        <v>6</v>
      </c>
      <c r="B80" s="54" t="s">
        <v>29</v>
      </c>
      <c r="C80" s="60">
        <v>0.26100000000000001</v>
      </c>
      <c r="D80" s="60">
        <v>0.26100000000000001</v>
      </c>
      <c r="E80" s="60">
        <v>1.69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</row>
    <row r="81" spans="1:18" x14ac:dyDescent="0.25">
      <c r="A81" s="57" t="s">
        <v>14</v>
      </c>
      <c r="B81" s="58"/>
      <c r="C81" s="61">
        <v>2915.4960000000001</v>
      </c>
      <c r="D81" s="61">
        <v>2915.4960000000001</v>
      </c>
      <c r="E81" s="61">
        <v>2536.3887500000001</v>
      </c>
      <c r="F81" s="61">
        <v>7176.18</v>
      </c>
      <c r="G81" s="61">
        <v>7176.18</v>
      </c>
      <c r="H81" s="61">
        <v>7176.18</v>
      </c>
      <c r="I81" s="61">
        <v>7802.3249999999998</v>
      </c>
      <c r="J81" s="61">
        <v>12285.34</v>
      </c>
      <c r="K81" s="61">
        <v>2019.0900000000001</v>
      </c>
      <c r="L81" s="61">
        <v>2019.0900000000001</v>
      </c>
      <c r="M81" s="61">
        <v>3485.78</v>
      </c>
      <c r="N81" s="61">
        <v>3485.78</v>
      </c>
    </row>
    <row r="82" spans="1:18" x14ac:dyDescent="0.25">
      <c r="C82" s="82">
        <f>+C81+C65+C49+C33+C17</f>
        <v>162827.99400000004</v>
      </c>
      <c r="D82" s="82">
        <f t="shared" ref="D82:N82" si="2">+D81+D65+D49+D33+D17</f>
        <v>162827.99400000004</v>
      </c>
      <c r="E82" s="82">
        <f t="shared" si="2"/>
        <v>178422.60624999992</v>
      </c>
      <c r="F82" s="82">
        <f t="shared" si="2"/>
        <v>232478.62000000005</v>
      </c>
      <c r="G82" s="82">
        <f t="shared" si="2"/>
        <v>232478.62000000005</v>
      </c>
      <c r="H82" s="82">
        <f t="shared" si="2"/>
        <v>232478.62000000005</v>
      </c>
      <c r="I82" s="82">
        <f t="shared" si="2"/>
        <v>228771.55499999999</v>
      </c>
      <c r="J82" s="82">
        <f t="shared" si="2"/>
        <v>175424.81999999998</v>
      </c>
      <c r="K82" s="82">
        <f t="shared" si="2"/>
        <v>247140.06</v>
      </c>
      <c r="L82" s="82">
        <f t="shared" si="2"/>
        <v>247140.06</v>
      </c>
      <c r="M82" s="82">
        <f t="shared" si="2"/>
        <v>174607.71</v>
      </c>
      <c r="N82" s="82">
        <f t="shared" si="2"/>
        <v>174607.71</v>
      </c>
    </row>
    <row r="85" spans="1:18" x14ac:dyDescent="0.25">
      <c r="A85" s="607" t="s">
        <v>107</v>
      </c>
      <c r="B85" s="608"/>
      <c r="C85" s="607" t="s">
        <v>108</v>
      </c>
      <c r="D85" s="609"/>
      <c r="E85" s="609"/>
      <c r="F85" s="609"/>
      <c r="G85" s="609"/>
      <c r="H85" s="609"/>
      <c r="I85" s="609"/>
      <c r="J85" s="609"/>
      <c r="K85" s="608"/>
    </row>
    <row r="86" spans="1:18" ht="30" x14ac:dyDescent="0.25">
      <c r="A86" s="92" t="s">
        <v>109</v>
      </c>
      <c r="B86" s="93" t="s">
        <v>110</v>
      </c>
      <c r="C86" s="94">
        <v>2010</v>
      </c>
      <c r="D86" s="95">
        <v>2011</v>
      </c>
      <c r="E86" s="96">
        <v>2012</v>
      </c>
      <c r="F86" s="95">
        <v>2013</v>
      </c>
      <c r="G86" s="96">
        <v>2014</v>
      </c>
      <c r="H86" s="95">
        <v>2015</v>
      </c>
      <c r="I86" s="96">
        <v>2016</v>
      </c>
      <c r="J86" s="95">
        <v>2017</v>
      </c>
      <c r="K86" s="96">
        <v>2018</v>
      </c>
      <c r="L86" s="96">
        <v>2019</v>
      </c>
      <c r="M86" s="95">
        <v>2020</v>
      </c>
      <c r="N86" s="96">
        <v>2021</v>
      </c>
      <c r="O86" s="96">
        <v>2022</v>
      </c>
      <c r="Q86" s="110" t="s">
        <v>34</v>
      </c>
      <c r="R86" s="110" t="s">
        <v>112</v>
      </c>
    </row>
    <row r="87" spans="1:18" x14ac:dyDescent="0.25">
      <c r="A87" s="97" t="s">
        <v>2</v>
      </c>
      <c r="B87" s="98" t="s">
        <v>2</v>
      </c>
      <c r="C87" s="99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Q87" s="86" t="s">
        <v>18</v>
      </c>
      <c r="R87" s="78">
        <f>+R2/R$11</f>
        <v>2.4511062335069961E-3</v>
      </c>
    </row>
    <row r="88" spans="1:18" ht="22.5" x14ac:dyDescent="0.25">
      <c r="A88" s="101" t="s">
        <v>3</v>
      </c>
      <c r="B88" s="98" t="s">
        <v>2</v>
      </c>
      <c r="C88" s="102">
        <v>12651</v>
      </c>
      <c r="D88" s="103">
        <f>+(C88+E88)/2</f>
        <v>12651</v>
      </c>
      <c r="E88" s="104">
        <v>12651</v>
      </c>
      <c r="F88" s="103">
        <f>+(E88+G88)/2</f>
        <v>12651</v>
      </c>
      <c r="G88" s="105">
        <v>12651</v>
      </c>
      <c r="H88" s="103">
        <f>+(G88+I88)/2</f>
        <v>8941.73</v>
      </c>
      <c r="I88" s="102">
        <v>5232.46</v>
      </c>
      <c r="J88" s="103">
        <f>+(I88+K88)/2</f>
        <v>6916.9500000000007</v>
      </c>
      <c r="K88" s="102">
        <v>8601.44</v>
      </c>
      <c r="L88" s="103">
        <v>1903.73</v>
      </c>
      <c r="M88" s="103">
        <v>1903.73</v>
      </c>
      <c r="N88" s="103">
        <f>4631.58/2</f>
        <v>2315.79</v>
      </c>
      <c r="O88" s="103">
        <v>2315.79</v>
      </c>
      <c r="Q88" s="86" t="s">
        <v>20</v>
      </c>
      <c r="R88" s="78">
        <f t="shared" ref="R88:R95" si="3">+R3/R$11</f>
        <v>2.3935507960837068E-2</v>
      </c>
    </row>
    <row r="89" spans="1:18" ht="22.5" x14ac:dyDescent="0.25">
      <c r="A89" s="97" t="s">
        <v>4</v>
      </c>
      <c r="B89" s="98" t="s">
        <v>2</v>
      </c>
      <c r="C89" s="102">
        <v>1812</v>
      </c>
      <c r="D89" s="103">
        <f>+(C89+E89)/2</f>
        <v>1812</v>
      </c>
      <c r="E89" s="104">
        <v>1812</v>
      </c>
      <c r="F89" s="103">
        <f>+(E89+G89)/2</f>
        <v>1812</v>
      </c>
      <c r="G89" s="105">
        <v>1812</v>
      </c>
      <c r="H89" s="103">
        <f>+(G89+I89)/2</f>
        <v>2469.9749999999999</v>
      </c>
      <c r="I89" s="102">
        <v>3127.95</v>
      </c>
      <c r="J89" s="103">
        <f>+(I89+K89)/2</f>
        <v>3749.7849999999999</v>
      </c>
      <c r="K89" s="102">
        <v>4371.62</v>
      </c>
      <c r="L89" s="103">
        <v>236.75</v>
      </c>
      <c r="M89" s="103">
        <v>236.75</v>
      </c>
      <c r="N89" s="103">
        <f>113.04/2</f>
        <v>56.52</v>
      </c>
      <c r="O89" s="103">
        <v>56.52</v>
      </c>
      <c r="Q89" s="86" t="s">
        <v>21</v>
      </c>
      <c r="R89" s="78">
        <f t="shared" si="3"/>
        <v>0.22887366826034067</v>
      </c>
    </row>
    <row r="90" spans="1:18" ht="33.75" x14ac:dyDescent="0.25">
      <c r="A90" s="97" t="s">
        <v>5</v>
      </c>
      <c r="B90" s="98" t="s">
        <v>2</v>
      </c>
      <c r="C90" s="99">
        <v>37</v>
      </c>
      <c r="D90" s="103">
        <f>+(C90+E90)/2</f>
        <v>37</v>
      </c>
      <c r="E90" s="106">
        <v>37</v>
      </c>
      <c r="F90" s="103">
        <f>+(E90+G90)/2</f>
        <v>37</v>
      </c>
      <c r="G90" s="107">
        <v>37</v>
      </c>
      <c r="H90" s="103">
        <f>+(G90+I90)/2</f>
        <v>39.129999999999995</v>
      </c>
      <c r="I90" s="99">
        <v>41.26</v>
      </c>
      <c r="J90" s="103">
        <f>+(I90+K90)/2</f>
        <v>29.585000000000001</v>
      </c>
      <c r="K90" s="99">
        <v>17.91</v>
      </c>
      <c r="L90" s="100">
        <v>19.989999999999998</v>
      </c>
      <c r="M90" s="100">
        <v>19.989999999999998</v>
      </c>
      <c r="N90" s="100">
        <f>24.3/2</f>
        <v>12.15</v>
      </c>
      <c r="O90" s="100">
        <v>12.15</v>
      </c>
      <c r="Q90" s="86" t="s">
        <v>22</v>
      </c>
      <c r="R90" s="78">
        <f t="shared" si="3"/>
        <v>9.3035670194536527E-2</v>
      </c>
    </row>
    <row r="91" spans="1:18" ht="33.75" x14ac:dyDescent="0.25">
      <c r="A91" s="97" t="s">
        <v>6</v>
      </c>
      <c r="B91" s="98" t="s">
        <v>2</v>
      </c>
      <c r="C91" s="99">
        <v>0</v>
      </c>
      <c r="D91" s="103" t="s">
        <v>111</v>
      </c>
      <c r="E91" s="99">
        <v>0</v>
      </c>
      <c r="F91" s="103" t="s">
        <v>111</v>
      </c>
      <c r="G91" s="99">
        <v>0</v>
      </c>
      <c r="H91" s="103" t="s">
        <v>111</v>
      </c>
      <c r="I91" s="99">
        <v>0</v>
      </c>
      <c r="J91" s="103" t="s">
        <v>111</v>
      </c>
      <c r="K91" s="99">
        <v>176.49</v>
      </c>
      <c r="L91" s="99">
        <v>53.46</v>
      </c>
      <c r="M91" s="99">
        <v>53.46</v>
      </c>
      <c r="N91" s="99">
        <v>0</v>
      </c>
      <c r="O91" s="99">
        <v>0</v>
      </c>
      <c r="Q91" s="86" t="s">
        <v>23</v>
      </c>
      <c r="R91" s="78">
        <f t="shared" si="3"/>
        <v>6.4071256980573824E-2</v>
      </c>
    </row>
    <row r="92" spans="1:18" ht="33.75" x14ac:dyDescent="0.25">
      <c r="A92" s="97" t="s">
        <v>7</v>
      </c>
      <c r="B92" s="98" t="s">
        <v>2</v>
      </c>
      <c r="C92" s="99">
        <v>8</v>
      </c>
      <c r="D92" s="103">
        <f>+(C92+E92)/2</f>
        <v>8</v>
      </c>
      <c r="E92" s="106">
        <v>8</v>
      </c>
      <c r="F92" s="103">
        <f>+(E92+G92)/2</f>
        <v>8</v>
      </c>
      <c r="G92" s="107">
        <v>8</v>
      </c>
      <c r="H92" s="103">
        <f>+(G92+I92)/2</f>
        <v>15.59</v>
      </c>
      <c r="I92" s="99">
        <v>23.18</v>
      </c>
      <c r="J92" s="103">
        <f>+(I92+K92)/2</f>
        <v>103.82000000000001</v>
      </c>
      <c r="K92" s="99">
        <v>184.46</v>
      </c>
      <c r="L92" s="100">
        <v>7.38</v>
      </c>
      <c r="M92" s="100">
        <v>7.38</v>
      </c>
      <c r="N92" s="100">
        <f>76.41/2</f>
        <v>38.204999999999998</v>
      </c>
      <c r="O92" s="100">
        <v>38.204999999999998</v>
      </c>
      <c r="Q92" s="86" t="s">
        <v>24</v>
      </c>
      <c r="R92" s="78">
        <f t="shared" si="3"/>
        <v>0.46884124057617438</v>
      </c>
    </row>
    <row r="93" spans="1:18" ht="33.75" x14ac:dyDescent="0.25">
      <c r="A93" s="108"/>
      <c r="B93" s="108" t="s">
        <v>14</v>
      </c>
      <c r="C93" s="105">
        <f t="shared" ref="C93:O93" si="4">+SUM(C87:C92)</f>
        <v>14508</v>
      </c>
      <c r="D93" s="105">
        <f t="shared" si="4"/>
        <v>14508</v>
      </c>
      <c r="E93" s="105">
        <f t="shared" si="4"/>
        <v>14508</v>
      </c>
      <c r="F93" s="105">
        <f t="shared" si="4"/>
        <v>14508</v>
      </c>
      <c r="G93" s="105">
        <f t="shared" si="4"/>
        <v>14508</v>
      </c>
      <c r="H93" s="105">
        <f t="shared" si="4"/>
        <v>11466.424999999999</v>
      </c>
      <c r="I93" s="105">
        <f t="shared" si="4"/>
        <v>8424.85</v>
      </c>
      <c r="J93" s="105">
        <f t="shared" si="4"/>
        <v>10800.14</v>
      </c>
      <c r="K93" s="105">
        <f t="shared" si="4"/>
        <v>13351.92</v>
      </c>
      <c r="L93" s="105">
        <f t="shared" si="4"/>
        <v>2221.31</v>
      </c>
      <c r="M93" s="105">
        <f t="shared" si="4"/>
        <v>2221.31</v>
      </c>
      <c r="N93" s="105">
        <f t="shared" si="4"/>
        <v>2422.665</v>
      </c>
      <c r="O93" s="105">
        <f t="shared" si="4"/>
        <v>2422.665</v>
      </c>
      <c r="Q93" s="86" t="s">
        <v>25</v>
      </c>
      <c r="R93" s="78">
        <f t="shared" si="3"/>
        <v>5.1943943057204157E-2</v>
      </c>
    </row>
    <row r="94" spans="1:18" x14ac:dyDescent="0.25">
      <c r="A94" s="109" t="s">
        <v>99</v>
      </c>
      <c r="Q94" s="86" t="s">
        <v>26</v>
      </c>
      <c r="R94" s="78">
        <f t="shared" si="3"/>
        <v>1.2900388834067286E-2</v>
      </c>
    </row>
    <row r="95" spans="1:18" x14ac:dyDescent="0.25">
      <c r="Q95" s="86" t="s">
        <v>27</v>
      </c>
      <c r="R95" s="78">
        <f t="shared" si="3"/>
        <v>5.3947217902758991E-2</v>
      </c>
    </row>
    <row r="96" spans="1:18" x14ac:dyDescent="0.25">
      <c r="Q96" s="111" t="s">
        <v>14</v>
      </c>
      <c r="R96" s="78">
        <f>+SUM(R87:R95)</f>
        <v>0.99999999999999989</v>
      </c>
    </row>
  </sheetData>
  <mergeCells count="7">
    <mergeCell ref="A85:B85"/>
    <mergeCell ref="C85:K85"/>
    <mergeCell ref="A1:N1"/>
    <mergeCell ref="A19:N19"/>
    <mergeCell ref="A35:N35"/>
    <mergeCell ref="A50:N50"/>
    <mergeCell ref="A66:N6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5352-55F1-4351-B455-B8289644E6F1}">
  <dimension ref="A1:AA260"/>
  <sheetViews>
    <sheetView zoomScale="70" zoomScaleNormal="70" workbookViewId="0">
      <selection activeCell="C51" sqref="C51"/>
    </sheetView>
  </sheetViews>
  <sheetFormatPr defaultColWidth="10.85546875" defaultRowHeight="15" x14ac:dyDescent="0.25"/>
  <cols>
    <col min="1" max="1" width="36.85546875" customWidth="1"/>
    <col min="2" max="14" width="17" customWidth="1"/>
    <col min="15" max="15" width="15.5703125" customWidth="1"/>
  </cols>
  <sheetData>
    <row r="1" spans="1:27" x14ac:dyDescent="0.25">
      <c r="A1" s="73" t="s">
        <v>421</v>
      </c>
    </row>
    <row r="2" spans="1:27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27" ht="15.75" x14ac:dyDescent="0.25">
      <c r="A3" s="120" t="s">
        <v>18</v>
      </c>
      <c r="B3" s="75">
        <f>(+INGEI!C$15)*'5ta'!$R87/1000</f>
        <v>2.5353084681780169</v>
      </c>
      <c r="C3" s="75">
        <f>(+INGEI!D$15)*'5ta'!$R87/1000</f>
        <v>2.5353084681780169</v>
      </c>
      <c r="D3" s="75">
        <f>(+INGEI!E$15)*'5ta'!$R87/1000</f>
        <v>2.5353084681780169</v>
      </c>
      <c r="E3" s="75">
        <f>(+INGEI!F$15)*'5ta'!$R87/1000</f>
        <v>2.5353084681780169</v>
      </c>
      <c r="F3" s="75">
        <f>(+INGEI!G$15)*'5ta'!$R87/1000</f>
        <v>2.5353084681780169</v>
      </c>
      <c r="G3" s="75">
        <f>(+INGEI!H$15)*'5ta'!$R87/1000</f>
        <v>1.3525988046865698</v>
      </c>
      <c r="H3" s="75">
        <f>(+INGEI!I$15)*'5ta'!$R87/1000</f>
        <v>0.16988914119512269</v>
      </c>
      <c r="I3" s="75">
        <f>(+INGEI!J$15)*'5ta'!$R87/1000</f>
        <v>4.1479881168772108</v>
      </c>
      <c r="J3" s="75">
        <f>(+INGEI!K$15)*'5ta'!$R87/1000</f>
        <v>8.126087092559299</v>
      </c>
      <c r="K3" s="75">
        <f>(+INGEI!L$15)*'5ta'!$R87/1000</f>
        <v>3.8667552790646602</v>
      </c>
      <c r="L3" s="75">
        <f>(+INGEI!M$15)*'5ta'!$R87/1000</f>
        <v>3.8667552790646602</v>
      </c>
      <c r="M3" s="75">
        <f>(+INGEI!N$15)*'5ta'!$R87/1000</f>
        <v>1.1443361730861401</v>
      </c>
      <c r="N3" s="75">
        <f>(+INGEI!O$15)*'5ta'!$R87/1000</f>
        <v>1.1443361730861401</v>
      </c>
    </row>
    <row r="4" spans="1:27" ht="15.75" x14ac:dyDescent="0.25">
      <c r="A4" s="120" t="s">
        <v>20</v>
      </c>
      <c r="B4" s="75">
        <f>(+INGEI!C$15)*'5ta'!$R88/1000</f>
        <v>24.757758433190062</v>
      </c>
      <c r="C4" s="75">
        <f>(+INGEI!D$15)*'5ta'!$R88/1000</f>
        <v>24.757758433190062</v>
      </c>
      <c r="D4" s="75">
        <f>(+INGEI!E$15)*'5ta'!$R88/1000</f>
        <v>24.757758433190062</v>
      </c>
      <c r="E4" s="75">
        <f>(+INGEI!F$15)*'5ta'!$R88/1000</f>
        <v>24.757758433190062</v>
      </c>
      <c r="F4" s="75">
        <f>(+INGEI!G$15)*'5ta'!$R88/1000</f>
        <v>24.757758433190062</v>
      </c>
      <c r="G4" s="75">
        <f>(+INGEI!H$15)*'5ta'!$R88/1000</f>
        <v>13.208378737249737</v>
      </c>
      <c r="H4" s="75">
        <f>(+INGEI!I$15)*'5ta'!$R88/1000</f>
        <v>1.6589990413094124</v>
      </c>
      <c r="I4" s="75">
        <f>(+INGEI!J$15)*'5ta'!$R88/1000</f>
        <v>40.505874953823636</v>
      </c>
      <c r="J4" s="75">
        <f>(+INGEI!K$15)*'5ta'!$R88/1000</f>
        <v>79.352750866337871</v>
      </c>
      <c r="K4" s="75">
        <f>(+INGEI!L$15)*'5ta'!$R88/1000</f>
        <v>37.759584019431998</v>
      </c>
      <c r="L4" s="75">
        <f>(+INGEI!M$15)*'5ta'!$R88/1000</f>
        <v>37.759584019431998</v>
      </c>
      <c r="M4" s="75">
        <f>(+INGEI!N$15)*'5ta'!$R88/1000</f>
        <v>11.174655429596646</v>
      </c>
      <c r="N4" s="75">
        <f>(+INGEI!O$15)*'5ta'!$R88/1000</f>
        <v>11.174655429596646</v>
      </c>
    </row>
    <row r="5" spans="1:27" ht="15.75" x14ac:dyDescent="0.25">
      <c r="A5" s="120" t="s">
        <v>21</v>
      </c>
      <c r="B5" s="75">
        <f>(+INGEI!C$15)*'5ta'!$R89/1000</f>
        <v>236.73610770153169</v>
      </c>
      <c r="C5" s="75">
        <f>(+INGEI!D$15)*'5ta'!$R89/1000</f>
        <v>236.73610770153169</v>
      </c>
      <c r="D5" s="75">
        <f>(+INGEI!E$15)*'5ta'!$R89/1000</f>
        <v>236.73610770153169</v>
      </c>
      <c r="E5" s="75">
        <f>(+INGEI!F$15)*'5ta'!$R89/1000</f>
        <v>236.73610770153169</v>
      </c>
      <c r="F5" s="75">
        <f>(+INGEI!G$15)*'5ta'!$R89/1000</f>
        <v>236.73610770153169</v>
      </c>
      <c r="G5" s="75">
        <f>(+INGEI!H$15)*'5ta'!$R89/1000</f>
        <v>126.29980940084934</v>
      </c>
      <c r="H5" s="75">
        <f>(+INGEI!I$15)*'5ta'!$R89/1000</f>
        <v>15.863511100166969</v>
      </c>
      <c r="I5" s="75">
        <f>(+INGEI!J$15)*'5ta'!$R89/1000</f>
        <v>387.32113819956965</v>
      </c>
      <c r="J5" s="75">
        <f>(+INGEI!K$15)*'5ta'!$R89/1000</f>
        <v>758.77876529897242</v>
      </c>
      <c r="K5" s="75">
        <f>(+INGEI!L$15)*'5ta'!$R89/1000</f>
        <v>361.0608356694222</v>
      </c>
      <c r="L5" s="75">
        <f>(+INGEI!M$15)*'5ta'!$R89/1000</f>
        <v>361.0608356694222</v>
      </c>
      <c r="M5" s="75">
        <f>(+INGEI!N$15)*'5ta'!$R89/1000</f>
        <v>106.85314821401742</v>
      </c>
      <c r="N5" s="75">
        <f>(+INGEI!O$15)*'5ta'!$R89/1000</f>
        <v>106.85314821401742</v>
      </c>
    </row>
    <row r="6" spans="1:27" ht="15.75" x14ac:dyDescent="0.25">
      <c r="A6" s="120" t="s">
        <v>22</v>
      </c>
      <c r="B6" s="75">
        <f>(+INGEI!C$15)*'5ta'!$R90/1000</f>
        <v>96.231701124329234</v>
      </c>
      <c r="C6" s="75">
        <f>(+INGEI!D$15)*'5ta'!$R90/1000</f>
        <v>96.231701124329234</v>
      </c>
      <c r="D6" s="75">
        <f>(+INGEI!E$15)*'5ta'!$R90/1000</f>
        <v>96.231701124329234</v>
      </c>
      <c r="E6" s="75">
        <f>(+INGEI!F$15)*'5ta'!$R90/1000</f>
        <v>96.231701124329234</v>
      </c>
      <c r="F6" s="75">
        <f>(+INGEI!G$15)*'5ta'!$R90/1000</f>
        <v>96.231701124329234</v>
      </c>
      <c r="G6" s="75">
        <f>(+INGEI!H$15)*'5ta'!$R90/1000</f>
        <v>51.340058043218576</v>
      </c>
      <c r="H6" s="75">
        <f>(+INGEI!I$15)*'5ta'!$R90/1000</f>
        <v>6.4484149621079112</v>
      </c>
      <c r="I6" s="75">
        <f>(+INGEI!J$15)*'5ta'!$R90/1000</f>
        <v>157.44354493378725</v>
      </c>
      <c r="J6" s="75">
        <f>(+INGEI!K$15)*'5ta'!$R90/1000</f>
        <v>308.4386749054666</v>
      </c>
      <c r="K6" s="75">
        <f>(+INGEI!L$15)*'5ta'!$R90/1000</f>
        <v>146.76890130189292</v>
      </c>
      <c r="L6" s="75">
        <f>(+INGEI!M$15)*'5ta'!$R90/1000</f>
        <v>146.76890130189292</v>
      </c>
      <c r="M6" s="75">
        <f>(+INGEI!N$15)*'5ta'!$R90/1000</f>
        <v>43.435115677786612</v>
      </c>
      <c r="N6" s="75">
        <f>(+INGEI!O$15)*'5ta'!$R90/1000</f>
        <v>43.435115677786612</v>
      </c>
    </row>
    <row r="7" spans="1:27" ht="31.5" x14ac:dyDescent="0.25">
      <c r="A7" s="120" t="s">
        <v>23</v>
      </c>
      <c r="B7" s="75">
        <f>(+INGEI!C$15)*'5ta'!$R91/1000</f>
        <v>66.272280723321444</v>
      </c>
      <c r="C7" s="75">
        <f>(+INGEI!D$15)*'5ta'!$R91/1000</f>
        <v>66.272280723321444</v>
      </c>
      <c r="D7" s="75">
        <f>(+INGEI!E$15)*'5ta'!$R91/1000</f>
        <v>66.272280723321444</v>
      </c>
      <c r="E7" s="75">
        <f>(+INGEI!F$15)*'5ta'!$R91/1000</f>
        <v>66.272280723321444</v>
      </c>
      <c r="F7" s="75">
        <f>(+INGEI!G$15)*'5ta'!$R91/1000</f>
        <v>66.272280723321444</v>
      </c>
      <c r="G7" s="75">
        <f>(+INGEI!H$15)*'5ta'!$R91/1000</f>
        <v>35.356568565653248</v>
      </c>
      <c r="H7" s="75">
        <f>(+INGEI!I$15)*'5ta'!$R91/1000</f>
        <v>4.4408564079850716</v>
      </c>
      <c r="I7" s="75">
        <f>(+INGEI!J$15)*'5ta'!$R91/1000</f>
        <v>108.42729252438485</v>
      </c>
      <c r="J7" s="75">
        <f>(+INGEI!K$15)*'5ta'!$R91/1000</f>
        <v>212.41372864078465</v>
      </c>
      <c r="K7" s="75">
        <f>(+INGEI!L$15)*'5ta'!$R91/1000</f>
        <v>101.07594186624435</v>
      </c>
      <c r="L7" s="75">
        <f>(+INGEI!M$15)*'5ta'!$R91/1000</f>
        <v>101.07594186624435</v>
      </c>
      <c r="M7" s="75">
        <f>(+INGEI!N$15)*'5ta'!$R91/1000</f>
        <v>29.912639450581867</v>
      </c>
      <c r="N7" s="75">
        <f>(+INGEI!O$15)*'5ta'!$R91/1000</f>
        <v>29.912639450581867</v>
      </c>
    </row>
    <row r="8" spans="1:27" ht="31.5" x14ac:dyDescent="0.25">
      <c r="A8" s="120" t="s">
        <v>24</v>
      </c>
      <c r="B8" s="75">
        <f>(+INGEI!C$15)*'5ta'!$R92/1000</f>
        <v>484.94722554850421</v>
      </c>
      <c r="C8" s="75">
        <f>(+INGEI!D$15)*'5ta'!$R92/1000</f>
        <v>484.94722554850421</v>
      </c>
      <c r="D8" s="75">
        <f>(+INGEI!E$15)*'5ta'!$R92/1000</f>
        <v>484.94722554850421</v>
      </c>
      <c r="E8" s="75">
        <f>(+INGEI!F$15)*'5ta'!$R92/1000</f>
        <v>484.94722554850421</v>
      </c>
      <c r="F8" s="75">
        <f>(+INGEI!G$15)*'5ta'!$R92/1000</f>
        <v>484.94722554850421</v>
      </c>
      <c r="G8" s="75">
        <f>(+INGEI!H$15)*'5ta'!$R92/1000</f>
        <v>258.72158983650678</v>
      </c>
      <c r="H8" s="75">
        <f>(+INGEI!I$15)*'5ta'!$R92/1000</f>
        <v>32.495954124509318</v>
      </c>
      <c r="I8" s="75">
        <f>(+INGEI!J$15)*'5ta'!$R92/1000</f>
        <v>793.41640440831998</v>
      </c>
      <c r="J8" s="75">
        <f>(+INGEI!K$15)*'5ta'!$R92/1000</f>
        <v>1554.3368546921306</v>
      </c>
      <c r="K8" s="75">
        <f>(+INGEI!L$15)*'5ta'!$R92/1000</f>
        <v>739.62291689303561</v>
      </c>
      <c r="L8" s="75">
        <f>(+INGEI!M$15)*'5ta'!$R92/1000</f>
        <v>739.62291689303561</v>
      </c>
      <c r="M8" s="75">
        <f>(+INGEI!N$15)*'5ta'!$R92/1000</f>
        <v>218.88565403314513</v>
      </c>
      <c r="N8" s="75">
        <f>(+INGEI!O$15)*'5ta'!$R92/1000</f>
        <v>218.88565403314513</v>
      </c>
    </row>
    <row r="9" spans="1:27" ht="31.5" x14ac:dyDescent="0.25">
      <c r="A9" s="120" t="s">
        <v>25</v>
      </c>
      <c r="B9" s="75">
        <f>(+INGEI!C$15)*'5ta'!$R93/1000</f>
        <v>53.728360241270025</v>
      </c>
      <c r="C9" s="75">
        <f>(+INGEI!D$15)*'5ta'!$R93/1000</f>
        <v>53.728360241270025</v>
      </c>
      <c r="D9" s="75">
        <f>(+INGEI!E$15)*'5ta'!$R93/1000</f>
        <v>53.728360241270025</v>
      </c>
      <c r="E9" s="75">
        <f>(+INGEI!F$15)*'5ta'!$R93/1000</f>
        <v>53.728360241270025</v>
      </c>
      <c r="F9" s="75">
        <f>(+INGEI!G$15)*'5ta'!$R93/1000</f>
        <v>53.728360241270025</v>
      </c>
      <c r="G9" s="75">
        <f>(+INGEI!H$15)*'5ta'!$R93/1000</f>
        <v>28.6643289178682</v>
      </c>
      <c r="H9" s="75">
        <f>(+INGEI!I$15)*'5ta'!$R93/1000</f>
        <v>3.6002975944663724</v>
      </c>
      <c r="I9" s="75">
        <f>(+INGEI!J$15)*'5ta'!$R93/1000</f>
        <v>87.904332990393954</v>
      </c>
      <c r="J9" s="75">
        <f>(+INGEI!K$15)*'5ta'!$R93/1000</f>
        <v>172.20836838632155</v>
      </c>
      <c r="K9" s="75">
        <f>(+INGEI!L$15)*'5ta'!$R93/1000</f>
        <v>81.944435245672508</v>
      </c>
      <c r="L9" s="75">
        <f>(+INGEI!M$15)*'5ta'!$R93/1000</f>
        <v>81.944435245672508</v>
      </c>
      <c r="M9" s="75">
        <f>(+INGEI!N$15)*'5ta'!$R93/1000</f>
        <v>24.250818752983168</v>
      </c>
      <c r="N9" s="75">
        <f>(+INGEI!O$15)*'5ta'!$R93/1000</f>
        <v>24.250818752983168</v>
      </c>
    </row>
    <row r="10" spans="1:27" ht="15.75" x14ac:dyDescent="0.25">
      <c r="A10" s="120" t="s">
        <v>26</v>
      </c>
      <c r="B10" s="75">
        <f>(+INGEI!C$15)*'5ta'!$R94/1000</f>
        <v>13.343552640312998</v>
      </c>
      <c r="C10" s="75">
        <f>(+INGEI!D$15)*'5ta'!$R94/1000</f>
        <v>13.343552640312998</v>
      </c>
      <c r="D10" s="75">
        <f>(+INGEI!E$15)*'5ta'!$R94/1000</f>
        <v>13.343552640312998</v>
      </c>
      <c r="E10" s="75">
        <f>(+INGEI!F$15)*'5ta'!$R94/1000</f>
        <v>13.343552640312998</v>
      </c>
      <c r="F10" s="75">
        <f>(+INGEI!G$15)*'5ta'!$R94/1000</f>
        <v>13.343552640312998</v>
      </c>
      <c r="G10" s="75">
        <f>(+INGEI!H$15)*'5ta'!$R94/1000</f>
        <v>7.1188471060210299</v>
      </c>
      <c r="H10" s="75">
        <f>(+INGEI!I$15)*'5ta'!$R94/1000</f>
        <v>0.89414157172905973</v>
      </c>
      <c r="I10" s="75">
        <f>(+INGEI!J$15)*'5ta'!$R94/1000</f>
        <v>21.831228224753247</v>
      </c>
      <c r="J10" s="75">
        <f>(+INGEI!K$15)*'5ta'!$R94/1000</f>
        <v>42.768314877777435</v>
      </c>
      <c r="K10" s="75">
        <f>(+INGEI!L$15)*'5ta'!$R94/1000</f>
        <v>20.351074932703071</v>
      </c>
      <c r="L10" s="75">
        <f>(+INGEI!M$15)*'5ta'!$R94/1000</f>
        <v>20.351074932703071</v>
      </c>
      <c r="M10" s="75">
        <f>(+INGEI!N$15)*'5ta'!$R94/1000</f>
        <v>6.0227424613000151</v>
      </c>
      <c r="N10" s="75">
        <f>(+INGEI!O$15)*'5ta'!$R94/1000</f>
        <v>6.0227424613000151</v>
      </c>
    </row>
    <row r="11" spans="1:27" ht="15.75" x14ac:dyDescent="0.25">
      <c r="A11" s="120" t="s">
        <v>27</v>
      </c>
      <c r="B11" s="75">
        <f>(+INGEI!C$15)*'5ta'!$R95/1000</f>
        <v>55.800453082695498</v>
      </c>
      <c r="C11" s="75">
        <f>(+INGEI!D$15)*'5ta'!$R95/1000</f>
        <v>55.800453082695498</v>
      </c>
      <c r="D11" s="75">
        <f>(+INGEI!E$15)*'5ta'!$R95/1000</f>
        <v>55.800453082695498</v>
      </c>
      <c r="E11" s="75">
        <f>(+INGEI!F$15)*'5ta'!$R95/1000</f>
        <v>55.800453082695498</v>
      </c>
      <c r="F11" s="75">
        <f>(+INGEI!G$15)*'5ta'!$R95/1000</f>
        <v>55.800453082695498</v>
      </c>
      <c r="G11" s="75">
        <f>(+INGEI!H$15)*'5ta'!$R95/1000</f>
        <v>29.769800041279794</v>
      </c>
      <c r="H11" s="75">
        <f>(+INGEI!I$15)*'5ta'!$R95/1000</f>
        <v>3.7391469998640972</v>
      </c>
      <c r="I11" s="75">
        <f>(+INGEI!J$15)*'5ta'!$R95/1000</f>
        <v>91.294459513923428</v>
      </c>
      <c r="J11" s="75">
        <f>(+INGEI!K$15)*'5ta'!$R95/1000</f>
        <v>178.84977202798277</v>
      </c>
      <c r="K11" s="75">
        <f>(+INGEI!L$15)*'5ta'!$R95/1000</f>
        <v>85.104711809199301</v>
      </c>
      <c r="L11" s="75">
        <f>(+INGEI!M$15)*'5ta'!$R95/1000</f>
        <v>85.104711809199301</v>
      </c>
      <c r="M11" s="75">
        <f>(+INGEI!N$15)*'5ta'!$R95/1000</f>
        <v>25.186078040836222</v>
      </c>
      <c r="N11" s="75">
        <f>(+INGEI!O$15)*'5ta'!$R95/1000</f>
        <v>25.186078040836222</v>
      </c>
    </row>
    <row r="12" spans="1:27" ht="15.75" x14ac:dyDescent="0.25">
      <c r="A12" s="121" t="s">
        <v>14</v>
      </c>
      <c r="B12" s="122">
        <f>+SUM(B3:B11)</f>
        <v>1034.3527479633331</v>
      </c>
      <c r="C12" s="122">
        <f t="shared" ref="C12" si="0">+SUM(C3:C11)</f>
        <v>1034.3527479633331</v>
      </c>
      <c r="D12" s="122">
        <f t="shared" ref="D12" si="1">+SUM(D3:D11)</f>
        <v>1034.3527479633331</v>
      </c>
      <c r="E12" s="122">
        <f t="shared" ref="E12" si="2">+SUM(E3:E11)</f>
        <v>1034.3527479633331</v>
      </c>
      <c r="F12" s="122">
        <f t="shared" ref="F12" si="3">+SUM(F3:F11)</f>
        <v>1034.3527479633331</v>
      </c>
      <c r="G12" s="122">
        <f t="shared" ref="G12" si="4">+SUM(G3:G11)</f>
        <v>551.83197945333325</v>
      </c>
      <c r="H12" s="122">
        <f t="shared" ref="H12" si="5">+SUM(H3:H11)</f>
        <v>69.31121094333335</v>
      </c>
      <c r="I12" s="122">
        <f t="shared" ref="I12" si="6">+SUM(I3:I11)</f>
        <v>1692.2922638658331</v>
      </c>
      <c r="J12" s="122">
        <f t="shared" ref="J12" si="7">+SUM(J3:J11)</f>
        <v>3315.2733167883334</v>
      </c>
      <c r="K12" s="122">
        <f t="shared" ref="K12" si="8">+SUM(K3:K11)</f>
        <v>1577.5551570166665</v>
      </c>
      <c r="L12" s="122">
        <f t="shared" ref="L12" si="9">+SUM(L3:L11)</f>
        <v>1577.5551570166665</v>
      </c>
      <c r="M12" s="122">
        <f t="shared" ref="M12" si="10">+SUM(M3:M11)</f>
        <v>466.86518823333319</v>
      </c>
      <c r="N12" s="122">
        <f t="shared" ref="N12" si="11">+SUM(N3:N11)</f>
        <v>466.86518823333319</v>
      </c>
    </row>
    <row r="13" spans="1:27" ht="15.75" x14ac:dyDescent="0.25">
      <c r="A13" s="121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</row>
    <row r="14" spans="1:27" ht="15.75" x14ac:dyDescent="0.25">
      <c r="A14" s="119" t="s">
        <v>118</v>
      </c>
      <c r="B14" s="1">
        <v>2010</v>
      </c>
      <c r="C14" s="1">
        <v>2011</v>
      </c>
      <c r="D14" s="1">
        <v>2012</v>
      </c>
      <c r="E14" s="1">
        <v>2013</v>
      </c>
      <c r="F14" s="1">
        <v>2014</v>
      </c>
      <c r="G14" s="1">
        <v>2015</v>
      </c>
      <c r="H14" s="1">
        <v>2016</v>
      </c>
      <c r="I14" s="1">
        <v>2017</v>
      </c>
      <c r="J14" s="1">
        <v>2018</v>
      </c>
      <c r="K14" s="1">
        <v>2019</v>
      </c>
      <c r="L14" s="1">
        <v>2020</v>
      </c>
      <c r="M14" s="1">
        <v>2021</v>
      </c>
      <c r="N14" s="1">
        <v>2022</v>
      </c>
      <c r="O14" s="1">
        <v>2023</v>
      </c>
      <c r="P14" s="1">
        <v>2024</v>
      </c>
      <c r="Q14" s="1">
        <v>2025</v>
      </c>
      <c r="R14" s="1">
        <v>2026</v>
      </c>
      <c r="S14" s="1">
        <v>2027</v>
      </c>
      <c r="T14" s="1">
        <v>2028</v>
      </c>
      <c r="U14" s="1">
        <v>2029</v>
      </c>
      <c r="V14" s="1">
        <v>2030</v>
      </c>
      <c r="W14" s="1">
        <v>2031</v>
      </c>
      <c r="X14" s="1">
        <v>2032</v>
      </c>
      <c r="Y14" s="1">
        <v>2033</v>
      </c>
      <c r="Z14" s="1">
        <v>2034</v>
      </c>
      <c r="AA14" s="1">
        <v>2035</v>
      </c>
    </row>
    <row r="15" spans="1:27" ht="15.75" x14ac:dyDescent="0.25">
      <c r="A15" s="120" t="s">
        <v>18</v>
      </c>
      <c r="B15" s="77">
        <f>+'Cambio uso de suelo (BAU)'!D37</f>
        <v>0</v>
      </c>
      <c r="C15" s="77">
        <f>+'Cambio uso de suelo (BAU)'!E37</f>
        <v>0</v>
      </c>
      <c r="D15" s="77">
        <f>+'Cambio uso de suelo (BAU)'!F37</f>
        <v>0</v>
      </c>
      <c r="E15" s="77">
        <f>+'Cambio uso de suelo (BAU)'!G37</f>
        <v>0</v>
      </c>
      <c r="F15" s="77">
        <f>+'Cambio uso de suelo (BAU)'!H37</f>
        <v>0</v>
      </c>
      <c r="G15" s="77">
        <f>+'Cambio uso de suelo (BAU)'!I37</f>
        <v>0</v>
      </c>
      <c r="H15" s="77">
        <f>+'Cambio uso de suelo (BAU)'!J37</f>
        <v>0</v>
      </c>
      <c r="I15" s="77">
        <f>+'Cambio uso de suelo (BAU)'!K37</f>
        <v>0.161775</v>
      </c>
      <c r="J15" s="77">
        <f>+'Cambio uso de suelo (BAU)'!L37</f>
        <v>0.161775</v>
      </c>
      <c r="K15" s="77">
        <f>+'Cambio uso de suelo (BAU)'!M37</f>
        <v>2.3940000000000003E-2</v>
      </c>
      <c r="L15" s="77">
        <f>+'Cambio uso de suelo (BAU)'!N37</f>
        <v>2.3940000000000003E-2</v>
      </c>
      <c r="M15" s="77">
        <f>+'Cambio uso de suelo (BAU)'!O37</f>
        <v>1.6200000000000001E-3</v>
      </c>
      <c r="N15" s="77">
        <f>+'Cambio uso de suelo (BAU)'!P37</f>
        <v>1.6200000000000001E-3</v>
      </c>
      <c r="O15" s="77">
        <f>+'Cambio uso de suelo (BAU)'!Q37/1000</f>
        <v>1.5192442477873649E-6</v>
      </c>
      <c r="P15" s="77">
        <f>+'Cambio uso de suelo (BAU)'!R37/1000</f>
        <v>1.5080734985894361E-6</v>
      </c>
      <c r="Q15" s="77">
        <f>+'Cambio uso de suelo (BAU)'!S37/1000</f>
        <v>1.4967434972875289E-6</v>
      </c>
      <c r="R15" s="77">
        <f>+'Cambio uso de suelo (BAU)'!T37/1000</f>
        <v>1.485891296070517E-6</v>
      </c>
      <c r="S15" s="77">
        <f>+'Cambio uso de suelo (BAU)'!U37/1000</f>
        <v>1.4748798427387214E-6</v>
      </c>
      <c r="T15" s="77">
        <f>+'Cambio uso de suelo (BAU)'!V37/1000</f>
        <v>1.4638684003354272E-6</v>
      </c>
      <c r="U15" s="77">
        <f>+'Cambio uso de suelo (BAU)'!W37/1000</f>
        <v>1.4531754949523924E-6</v>
      </c>
      <c r="V15" s="77">
        <f>+'Cambio uso de suelo (BAU)'!X37/1000</f>
        <v>1.4424826004870822E-6</v>
      </c>
      <c r="W15" s="77">
        <f>+'Cambio uso de suelo (BAU)'!Y37/1000</f>
        <v>1.431789716934225E-6</v>
      </c>
      <c r="X15" s="77">
        <f>+'Cambio uso de suelo (BAU)'!Z37/1000</f>
        <v>1.4212561073369611E-6</v>
      </c>
      <c r="Y15" s="77">
        <f>+'Cambio uso de suelo (BAU)'!AA37/1000</f>
        <v>1.4107225086414307E-6</v>
      </c>
      <c r="Z15" s="77">
        <f>+'Cambio uso de suelo (BAU)'!AB37/1000</f>
        <v>1.4005074469394492E-6</v>
      </c>
      <c r="AA15" s="77">
        <f>+'Cambio uso de suelo (BAU)'!AC37/1000</f>
        <v>1.3899738700312791E-6</v>
      </c>
    </row>
    <row r="16" spans="1:27" ht="15.75" x14ac:dyDescent="0.25">
      <c r="A16" s="120" t="s">
        <v>20</v>
      </c>
      <c r="B16" s="77">
        <f>+'Cambio uso de suelo (BAU)'!D38</f>
        <v>0</v>
      </c>
      <c r="C16" s="77">
        <f>+'Cambio uso de suelo (BAU)'!E38</f>
        <v>0</v>
      </c>
      <c r="D16" s="77">
        <f>+'Cambio uso de suelo (BAU)'!F38</f>
        <v>0</v>
      </c>
      <c r="E16" s="77">
        <f>+'Cambio uso de suelo (BAU)'!G38</f>
        <v>0</v>
      </c>
      <c r="F16" s="77">
        <f>+'Cambio uso de suelo (BAU)'!H38</f>
        <v>0</v>
      </c>
      <c r="G16" s="77">
        <f>+'Cambio uso de suelo (BAU)'!I38</f>
        <v>0</v>
      </c>
      <c r="H16" s="77">
        <f>+'Cambio uso de suelo (BAU)'!J38</f>
        <v>0</v>
      </c>
      <c r="I16" s="77">
        <f>+'Cambio uso de suelo (BAU)'!K38</f>
        <v>0.60619500000000004</v>
      </c>
      <c r="J16" s="77">
        <f>+'Cambio uso de suelo (BAU)'!L38</f>
        <v>0.60619500000000004</v>
      </c>
      <c r="K16" s="77">
        <f>+'Cambio uso de suelo (BAU)'!M38</f>
        <v>0.19453499999999999</v>
      </c>
      <c r="L16" s="77">
        <f>+'Cambio uso de suelo (BAU)'!N38</f>
        <v>0.19453499999999999</v>
      </c>
      <c r="M16" s="77">
        <f>+'Cambio uso de suelo (BAU)'!O38</f>
        <v>0.46588499999999999</v>
      </c>
      <c r="N16" s="77">
        <f>+'Cambio uso de suelo (BAU)'!P38</f>
        <v>0.46588499999999999</v>
      </c>
      <c r="O16" s="77">
        <f>+'Cambio uso de suelo (BAU)'!Q38/1000</f>
        <v>4.3690932492618294E-4</v>
      </c>
      <c r="P16" s="77">
        <f>+'Cambio uso de suelo (BAU)'!R38/1000</f>
        <v>4.3369680363601192E-4</v>
      </c>
      <c r="Q16" s="77">
        <f>+'Cambio uso de suelo (BAU)'!S38/1000</f>
        <v>4.3043848409493845E-4</v>
      </c>
      <c r="R16" s="77">
        <f>+'Cambio uso de suelo (BAU)'!T38/1000</f>
        <v>4.273175718949462E-4</v>
      </c>
      <c r="S16" s="77">
        <f>+'Cambio uso de suelo (BAU)'!U38/1000</f>
        <v>4.241508614409439E-4</v>
      </c>
      <c r="T16" s="77">
        <f>+'Cambio uso de suelo (BAU)'!V38/1000</f>
        <v>4.2098415412979655E-4</v>
      </c>
      <c r="U16" s="77">
        <f>+'Cambio uso de suelo (BAU)'!W38/1000</f>
        <v>4.1790905275672542E-4</v>
      </c>
      <c r="V16" s="77">
        <f>+'Cambio uso de suelo (BAU)'!X38/1000</f>
        <v>4.1483395452341005E-4</v>
      </c>
      <c r="W16" s="77">
        <f>+'Cambio uso de suelo (BAU)'!Y38/1000</f>
        <v>4.1175885942833413E-4</v>
      </c>
      <c r="X16" s="77">
        <f>+'Cambio uso de suelo (BAU)'!Z38/1000</f>
        <v>4.0872956886832103E-4</v>
      </c>
      <c r="Y16" s="77">
        <f>+'Cambio uso de suelo (BAU)'!AA38/1000</f>
        <v>4.0570028144346472E-4</v>
      </c>
      <c r="Z16" s="77">
        <f>+'Cambio uso de suelo (BAU)'!AB38/1000</f>
        <v>4.0276259994900321E-4</v>
      </c>
      <c r="AA16" s="77">
        <f>+'Cambio uso de suelo (BAU)'!AC38/1000</f>
        <v>3.9973331878982867E-4</v>
      </c>
    </row>
    <row r="17" spans="1:27" ht="15.75" x14ac:dyDescent="0.25">
      <c r="A17" s="120" t="s">
        <v>21</v>
      </c>
      <c r="B17" s="77">
        <f>+'Cambio uso de suelo (BAU)'!D39</f>
        <v>0</v>
      </c>
      <c r="C17" s="77">
        <f>+'Cambio uso de suelo (BAU)'!E39</f>
        <v>0</v>
      </c>
      <c r="D17" s="77">
        <f>+'Cambio uso de suelo (BAU)'!F39</f>
        <v>0</v>
      </c>
      <c r="E17" s="77">
        <f>+'Cambio uso de suelo (BAU)'!G39</f>
        <v>0</v>
      </c>
      <c r="F17" s="77">
        <f>+'Cambio uso de suelo (BAU)'!H39</f>
        <v>0</v>
      </c>
      <c r="G17" s="77">
        <f>+'Cambio uso de suelo (BAU)'!I39</f>
        <v>0</v>
      </c>
      <c r="H17" s="77">
        <f>+'Cambio uso de suelo (BAU)'!J39</f>
        <v>0</v>
      </c>
      <c r="I17" s="77">
        <f>+'Cambio uso de suelo (BAU)'!K39</f>
        <v>0.39177000000000001</v>
      </c>
      <c r="J17" s="77">
        <f>+'Cambio uso de suelo (BAU)'!L39</f>
        <v>0.39177000000000001</v>
      </c>
      <c r="K17" s="77">
        <f>+'Cambio uso de suelo (BAU)'!M39</f>
        <v>0.84623000000000004</v>
      </c>
      <c r="L17" s="77">
        <f>+'Cambio uso de suelo (BAU)'!N39</f>
        <v>0.84623000000000004</v>
      </c>
      <c r="M17" s="77">
        <f>+'Cambio uso de suelo (BAU)'!O39</f>
        <v>7.911E-2</v>
      </c>
      <c r="N17" s="77">
        <f>+'Cambio uso de suelo (BAU)'!P39</f>
        <v>7.911E-2</v>
      </c>
      <c r="O17" s="77">
        <f>+'Cambio uso de suelo (BAU)'!Q39/1000</f>
        <v>7.4189760766949644E-5</v>
      </c>
      <c r="P17" s="77">
        <f>+'Cambio uso de suelo (BAU)'!R39/1000</f>
        <v>7.3644255847784109E-5</v>
      </c>
      <c r="Q17" s="77">
        <f>+'Cambio uso de suelo (BAU)'!S39/1000</f>
        <v>7.3090974117540977E-5</v>
      </c>
      <c r="R17" s="77">
        <f>+'Cambio uso de suelo (BAU)'!T39/1000</f>
        <v>7.2561024958110243E-5</v>
      </c>
      <c r="S17" s="77">
        <f>+'Cambio uso de suelo (BAU)'!U39/1000</f>
        <v>7.2023298987074219E-5</v>
      </c>
      <c r="T17" s="77">
        <f>+'Cambio uso de suelo (BAU)'!V39/1000</f>
        <v>7.1485573549713349E-5</v>
      </c>
      <c r="U17" s="77">
        <f>+'Cambio uso de suelo (BAU)'!W39/1000</f>
        <v>7.0963403336841808E-5</v>
      </c>
      <c r="V17" s="77">
        <f>+'Cambio uso de suelo (BAU)'!X39/1000</f>
        <v>7.0441233657119178E-5</v>
      </c>
      <c r="W17" s="77">
        <f>+'Cambio uso de suelo (BAU)'!Y39/1000</f>
        <v>6.9919064510287987E-5</v>
      </c>
      <c r="X17" s="77">
        <f>+'Cambio uso de suelo (BAU)'!Z39/1000</f>
        <v>6.9404673241621579E-5</v>
      </c>
      <c r="Y17" s="77">
        <f>+'Cambio uso de suelo (BAU)'!AA39/1000</f>
        <v>6.8890282505323198E-5</v>
      </c>
      <c r="Z17" s="77">
        <f>+'Cambio uso de suelo (BAU)'!AB39/1000</f>
        <v>6.8391446992209756E-5</v>
      </c>
      <c r="AA17" s="77">
        <f>+'Cambio uso de suelo (BAU)'!AC39/1000</f>
        <v>6.7877057319860786E-5</v>
      </c>
    </row>
    <row r="18" spans="1:27" ht="15.75" x14ac:dyDescent="0.25">
      <c r="A18" s="120" t="s">
        <v>22</v>
      </c>
      <c r="B18" s="77">
        <f>+'Cambio uso de suelo (BAU)'!D40</f>
        <v>0</v>
      </c>
      <c r="C18" s="77">
        <f>+'Cambio uso de suelo (BAU)'!E40</f>
        <v>0</v>
      </c>
      <c r="D18" s="77">
        <f>+'Cambio uso de suelo (BAU)'!F40</f>
        <v>0</v>
      </c>
      <c r="E18" s="77">
        <f>+'Cambio uso de suelo (BAU)'!G40</f>
        <v>0</v>
      </c>
      <c r="F18" s="77">
        <f>+'Cambio uso de suelo (BAU)'!H40</f>
        <v>0</v>
      </c>
      <c r="G18" s="77">
        <f>+'Cambio uso de suelo (BAU)'!I40</f>
        <v>0</v>
      </c>
      <c r="H18" s="77">
        <f>+'Cambio uso de suelo (BAU)'!J40</f>
        <v>0</v>
      </c>
      <c r="I18" s="77">
        <f>+'Cambio uso de suelo (BAU)'!K40</f>
        <v>6.8084999999999993E-2</v>
      </c>
      <c r="J18" s="77">
        <f>+'Cambio uso de suelo (BAU)'!L40</f>
        <v>6.8084999999999993E-2</v>
      </c>
      <c r="K18" s="77">
        <f>+'Cambio uso de suelo (BAU)'!M40</f>
        <v>0.14993999999999999</v>
      </c>
      <c r="L18" s="77">
        <f>+'Cambio uso de suelo (BAU)'!N40</f>
        <v>0.14993999999999999</v>
      </c>
      <c r="M18" s="77">
        <f>+'Cambio uso de suelo (BAU)'!O40</f>
        <v>2.0924999999999999E-2</v>
      </c>
      <c r="N18" s="77">
        <f>+'Cambio uso de suelo (BAU)'!P40</f>
        <v>2.0924999999999999E-2</v>
      </c>
      <c r="O18" s="77">
        <f>+'Cambio uso de suelo (BAU)'!Q40/1000</f>
        <v>1.9623571533920131E-5</v>
      </c>
      <c r="P18" s="77">
        <f>+'Cambio uso de suelo (BAU)'!R40/1000</f>
        <v>1.9479282690113547E-5</v>
      </c>
      <c r="Q18" s="77">
        <f>+'Cambio uso de suelo (BAU)'!S40/1000</f>
        <v>1.9332936839963913E-5</v>
      </c>
      <c r="R18" s="77">
        <f>+'Cambio uso de suelo (BAU)'!T40/1000</f>
        <v>1.9192762574244177E-5</v>
      </c>
      <c r="S18" s="77">
        <f>+'Cambio uso de suelo (BAU)'!U40/1000</f>
        <v>1.9050531302041813E-5</v>
      </c>
      <c r="T18" s="77">
        <f>+'Cambio uso de suelo (BAU)'!V40/1000</f>
        <v>1.8908300170999265E-5</v>
      </c>
      <c r="U18" s="77">
        <f>+'Cambio uso de suelo (BAU)'!W40/1000</f>
        <v>1.8770183476468398E-5</v>
      </c>
      <c r="V18" s="77">
        <f>+'Cambio uso de suelo (BAU)'!X40/1000</f>
        <v>1.8632066922958146E-5</v>
      </c>
      <c r="W18" s="77">
        <f>+'Cambio uso de suelo (BAU)'!Y40/1000</f>
        <v>1.8493950510400403E-5</v>
      </c>
      <c r="X18" s="77">
        <f>+'Cambio uso de suelo (BAU)'!Z40/1000</f>
        <v>1.8357891386435744E-5</v>
      </c>
      <c r="Y18" s="77">
        <f>+'Cambio uso de suelo (BAU)'!AA40/1000</f>
        <v>1.8221832403285146E-5</v>
      </c>
      <c r="Z18" s="77">
        <f>+'Cambio uso de suelo (BAU)'!AB40/1000</f>
        <v>1.8089887856301218E-5</v>
      </c>
      <c r="AA18" s="77">
        <f>+'Cambio uso de suelo (BAU)'!AC40/1000</f>
        <v>1.7953829154570686E-5</v>
      </c>
    </row>
    <row r="19" spans="1:27" ht="31.5" x14ac:dyDescent="0.25">
      <c r="A19" s="120" t="s">
        <v>23</v>
      </c>
      <c r="B19" s="77">
        <f>+'Cambio uso de suelo (BAU)'!D41</f>
        <v>0</v>
      </c>
      <c r="C19" s="77">
        <f>+'Cambio uso de suelo (BAU)'!E41</f>
        <v>0</v>
      </c>
      <c r="D19" s="77">
        <f>+'Cambio uso de suelo (BAU)'!F41</f>
        <v>0</v>
      </c>
      <c r="E19" s="77">
        <f>+'Cambio uso de suelo (BAU)'!G41</f>
        <v>0</v>
      </c>
      <c r="F19" s="77">
        <f>+'Cambio uso de suelo (BAU)'!H41</f>
        <v>0</v>
      </c>
      <c r="G19" s="77">
        <f>+'Cambio uso de suelo (BAU)'!I41</f>
        <v>0</v>
      </c>
      <c r="H19" s="77">
        <f>+'Cambio uso de suelo (BAU)'!J41</f>
        <v>0</v>
      </c>
      <c r="I19" s="77">
        <f>+'Cambio uso de suelo (BAU)'!K41</f>
        <v>0.38241000000000003</v>
      </c>
      <c r="J19" s="77">
        <f>+'Cambio uso de suelo (BAU)'!L41</f>
        <v>0.38241000000000003</v>
      </c>
      <c r="K19" s="77">
        <f>+'Cambio uso de suelo (BAU)'!M41</f>
        <v>1.3352899999999999</v>
      </c>
      <c r="L19" s="77">
        <f>+'Cambio uso de suelo (BAU)'!N41</f>
        <v>1.3352899999999999</v>
      </c>
      <c r="M19" s="77">
        <f>+'Cambio uso de suelo (BAU)'!O41</f>
        <v>4.0460000000000003E-2</v>
      </c>
      <c r="N19" s="77">
        <f>+'Cambio uso de suelo (BAU)'!P41</f>
        <v>4.0460000000000003E-2</v>
      </c>
      <c r="O19" s="77">
        <f>+'Cambio uso de suelo (BAU)'!Q41/1000</f>
        <v>3.7943593991035048E-5</v>
      </c>
      <c r="P19" s="77">
        <f>+'Cambio uso de suelo (BAU)'!R41/1000</f>
        <v>3.7664601082054678E-5</v>
      </c>
      <c r="Q19" s="77">
        <f>+'Cambio uso de suelo (BAU)'!S41/1000</f>
        <v>3.7381630802625568E-5</v>
      </c>
      <c r="R19" s="77">
        <f>+'Cambio uso de suelo (BAU)'!T41/1000</f>
        <v>3.7110593727785878E-5</v>
      </c>
      <c r="S19" s="77">
        <f>+'Cambio uso de suelo (BAU)'!U41/1000</f>
        <v>3.6835579282227569E-5</v>
      </c>
      <c r="T19" s="77">
        <f>+'Cambio uso de suelo (BAU)'!V41/1000</f>
        <v>3.6560565109611967E-5</v>
      </c>
      <c r="U19" s="77">
        <f>+'Cambio uso de suelo (BAU)'!W41/1000</f>
        <v>3.6293506497391228E-5</v>
      </c>
      <c r="V19" s="77">
        <f>+'Cambio uso de suelo (BAU)'!X41/1000</f>
        <v>3.6026448157844043E-5</v>
      </c>
      <c r="W19" s="77">
        <f>+'Cambio uso de suelo (BAU)'!Y41/1000</f>
        <v>3.5759390090838728E-5</v>
      </c>
      <c r="X19" s="77">
        <f>+'Cambio uso de suelo (BAU)'!Z41/1000</f>
        <v>3.549630994003299E-5</v>
      </c>
      <c r="Y19" s="77">
        <f>+'Cambio uso de suelo (BAU)'!AA41/1000</f>
        <v>3.5233230061501411E-5</v>
      </c>
      <c r="Z19" s="77">
        <f>+'Cambio uso de suelo (BAU)'!AB41/1000</f>
        <v>3.4978105742697601E-5</v>
      </c>
      <c r="AA19" s="77">
        <f>+'Cambio uso de suelo (BAU)'!AC41/1000</f>
        <v>3.471502640831207E-5</v>
      </c>
    </row>
    <row r="20" spans="1:27" ht="31.5" x14ac:dyDescent="0.25">
      <c r="A20" s="120" t="s">
        <v>24</v>
      </c>
      <c r="B20" s="77">
        <f>+'Cambio uso de suelo (BAU)'!D42</f>
        <v>0</v>
      </c>
      <c r="C20" s="77">
        <f>+'Cambio uso de suelo (BAU)'!E42</f>
        <v>0</v>
      </c>
      <c r="D20" s="77">
        <f>+'Cambio uso de suelo (BAU)'!F42</f>
        <v>0</v>
      </c>
      <c r="E20" s="77">
        <f>+'Cambio uso de suelo (BAU)'!G42</f>
        <v>0</v>
      </c>
      <c r="F20" s="77">
        <f>+'Cambio uso de suelo (BAU)'!H42</f>
        <v>0</v>
      </c>
      <c r="G20" s="77">
        <f>+'Cambio uso de suelo (BAU)'!I42</f>
        <v>0</v>
      </c>
      <c r="H20" s="77">
        <f>+'Cambio uso de suelo (BAU)'!J42</f>
        <v>0</v>
      </c>
      <c r="I20" s="77">
        <f>+'Cambio uso de suelo (BAU)'!K42</f>
        <v>4.0634999999999998E-2</v>
      </c>
      <c r="J20" s="77">
        <f>+'Cambio uso de suelo (BAU)'!L42</f>
        <v>4.0634999999999998E-2</v>
      </c>
      <c r="K20" s="77">
        <f>+'Cambio uso de suelo (BAU)'!M42</f>
        <v>0.34285500000000002</v>
      </c>
      <c r="L20" s="77">
        <f>+'Cambio uso de suelo (BAU)'!N42</f>
        <v>0.34285500000000002</v>
      </c>
      <c r="M20" s="77">
        <f>+'Cambio uso de suelo (BAU)'!O42</f>
        <v>1.9754999999999998E-2</v>
      </c>
      <c r="N20" s="77">
        <f>+'Cambio uso de suelo (BAU)'!P42</f>
        <v>1.9754999999999998E-2</v>
      </c>
      <c r="O20" s="77">
        <f>+'Cambio uso de suelo (BAU)'!Q42/1000</f>
        <v>1.8526339577184811E-5</v>
      </c>
      <c r="P20" s="77">
        <f>+'Cambio uso de suelo (BAU)'!R42/1000</f>
        <v>1.8390118496687843E-5</v>
      </c>
      <c r="Q20" s="77">
        <f>+'Cambio uso de suelo (BAU)'!S42/1000</f>
        <v>1.825195542525625E-5</v>
      </c>
      <c r="R20" s="77">
        <f>+'Cambio uso de suelo (BAU)'!T42/1000</f>
        <v>1.8119618860415469E-5</v>
      </c>
      <c r="S20" s="77">
        <f>+'Cambio uso de suelo (BAU)'!U42/1000</f>
        <v>1.7985340304508292E-5</v>
      </c>
      <c r="T20" s="77">
        <f>+'Cambio uso de suelo (BAU)'!V42/1000</f>
        <v>1.7851061881868125E-5</v>
      </c>
      <c r="U20" s="77">
        <f>+'Cambio uso de suelo (BAU)'!W42/1000</f>
        <v>1.7720667841225003E-5</v>
      </c>
      <c r="V20" s="77">
        <f>+'Cambio uso de suelo (BAU)'!X42/1000</f>
        <v>1.7590273933717475E-5</v>
      </c>
      <c r="W20" s="77">
        <f>+'Cambio uso de suelo (BAU)'!Y42/1000</f>
        <v>1.7459880159281243E-5</v>
      </c>
      <c r="X20" s="77">
        <f>+'Cambio uso de suelo (BAU)'!Z42/1000</f>
        <v>1.7331428642247938E-5</v>
      </c>
      <c r="Y20" s="77">
        <f>+'Cambio uso de suelo (BAU)'!AA42/1000</f>
        <v>1.720297725815522E-5</v>
      </c>
      <c r="Z20" s="77">
        <f>+'Cambio uso de suelo (BAU)'!AB42/1000</f>
        <v>1.7078410255733836E-5</v>
      </c>
      <c r="AA20" s="77">
        <f>+'Cambio uso de suelo (BAU)'!AC42/1000</f>
        <v>1.6949959137325874E-5</v>
      </c>
    </row>
    <row r="21" spans="1:27" ht="31.5" x14ac:dyDescent="0.25">
      <c r="A21" s="120" t="s">
        <v>25</v>
      </c>
      <c r="B21" s="77">
        <f>+'Cambio uso de suelo (BAU)'!D43</f>
        <v>0</v>
      </c>
      <c r="C21" s="77">
        <f>+'Cambio uso de suelo (BAU)'!E43</f>
        <v>0</v>
      </c>
      <c r="D21" s="77">
        <f>+'Cambio uso de suelo (BAU)'!F43</f>
        <v>0</v>
      </c>
      <c r="E21" s="77">
        <f>+'Cambio uso de suelo (BAU)'!G43</f>
        <v>0</v>
      </c>
      <c r="F21" s="77">
        <f>+'Cambio uso de suelo (BAU)'!H43</f>
        <v>0</v>
      </c>
      <c r="G21" s="77">
        <f>+'Cambio uso de suelo (BAU)'!I43</f>
        <v>0</v>
      </c>
      <c r="H21" s="77">
        <f>+'Cambio uso de suelo (BAU)'!J43</f>
        <v>0</v>
      </c>
      <c r="I21" s="77">
        <f>+'Cambio uso de suelo (BAU)'!K43</f>
        <v>0.13045500000000002</v>
      </c>
      <c r="J21" s="77">
        <f>+'Cambio uso de suelo (BAU)'!L43</f>
        <v>0.13045500000000002</v>
      </c>
      <c r="K21" s="77">
        <f>+'Cambio uso de suelo (BAU)'!M43</f>
        <v>0.58211999999999997</v>
      </c>
      <c r="L21" s="77">
        <f>+'Cambio uso de suelo (BAU)'!N43</f>
        <v>0.58211999999999997</v>
      </c>
      <c r="M21" s="77">
        <f>+'Cambio uso de suelo (BAU)'!O43</f>
        <v>3.7395000000000005E-2</v>
      </c>
      <c r="N21" s="77">
        <f>+'Cambio uso de suelo (BAU)'!P43</f>
        <v>3.7395000000000005E-2</v>
      </c>
      <c r="O21" s="77">
        <f>+'Cambio uso de suelo (BAU)'!Q43/1000</f>
        <v>3.5069221386425006E-5</v>
      </c>
      <c r="P21" s="77">
        <f>+'Cambio uso de suelo (BAU)'!R43/1000</f>
        <v>3.4811363259106154E-5</v>
      </c>
      <c r="Q21" s="77">
        <f>+'Cambio uso de suelo (BAU)'!S43/1000</f>
        <v>3.4549829062387126E-5</v>
      </c>
      <c r="R21" s="77">
        <f>+'Cambio uso de suelo (BAU)'!T43/1000</f>
        <v>3.429932408429444E-5</v>
      </c>
      <c r="S21" s="77">
        <f>+'Cambio uso de suelo (BAU)'!U43/1000</f>
        <v>3.404514303655215E-5</v>
      </c>
      <c r="T21" s="77">
        <f>+'Cambio uso de suelo (BAU)'!V43/1000</f>
        <v>3.3790962241076112E-5</v>
      </c>
      <c r="U21" s="77">
        <f>+'Cambio uso de suelo (BAU)'!W43/1000</f>
        <v>3.3544134341817723E-5</v>
      </c>
      <c r="V21" s="77">
        <f>+'Cambio uso de suelo (BAU)'!X43/1000</f>
        <v>3.3297306694576815E-5</v>
      </c>
      <c r="W21" s="77">
        <f>+'Cambio uso de suelo (BAU)'!Y43/1000</f>
        <v>3.3050479299231696E-5</v>
      </c>
      <c r="X21" s="77">
        <f>+'Cambio uso de suelo (BAU)'!Z43/1000</f>
        <v>3.2807328477694852E-5</v>
      </c>
      <c r="Y21" s="77">
        <f>+'Cambio uso de suelo (BAU)'!AA43/1000</f>
        <v>3.2564177907806354E-5</v>
      </c>
      <c r="Z21" s="77">
        <f>+'Cambio uso de suelo (BAU)'!AB43/1000</f>
        <v>3.2328380233518953E-5</v>
      </c>
      <c r="AA21" s="77">
        <f>+'Cambio uso de suelo (BAU)'!AC43/1000</f>
        <v>3.2085230166555359E-5</v>
      </c>
    </row>
    <row r="22" spans="1:27" ht="15.75" x14ac:dyDescent="0.25">
      <c r="A22" s="120" t="s">
        <v>26</v>
      </c>
      <c r="B22" s="77">
        <f>+'Cambio uso de suelo (BAU)'!D44</f>
        <v>0</v>
      </c>
      <c r="C22" s="77">
        <f>+'Cambio uso de suelo (BAU)'!E44</f>
        <v>0</v>
      </c>
      <c r="D22" s="77">
        <f>+'Cambio uso de suelo (BAU)'!F44</f>
        <v>0</v>
      </c>
      <c r="E22" s="77">
        <f>+'Cambio uso de suelo (BAU)'!G44</f>
        <v>0</v>
      </c>
      <c r="F22" s="77">
        <f>+'Cambio uso de suelo (BAU)'!H44</f>
        <v>0</v>
      </c>
      <c r="G22" s="77">
        <f>+'Cambio uso de suelo (BAU)'!I44</f>
        <v>0</v>
      </c>
      <c r="H22" s="77">
        <f>+'Cambio uso de suelo (BAU)'!J44</f>
        <v>0</v>
      </c>
      <c r="I22" s="77">
        <f>+'Cambio uso de suelo (BAU)'!K44</f>
        <v>1.7505E-2</v>
      </c>
      <c r="J22" s="77">
        <f>+'Cambio uso de suelo (BAU)'!L44</f>
        <v>1.7505E-2</v>
      </c>
      <c r="K22" s="77">
        <f>+'Cambio uso de suelo (BAU)'!M44</f>
        <v>0.10269</v>
      </c>
      <c r="L22" s="77">
        <f>+'Cambio uso de suelo (BAU)'!N44</f>
        <v>0.10269</v>
      </c>
      <c r="M22" s="77">
        <f>+'Cambio uso de suelo (BAU)'!O44</f>
        <v>0.14076</v>
      </c>
      <c r="N22" s="77">
        <f>+'Cambio uso de suelo (BAU)'!P44</f>
        <v>0.14076</v>
      </c>
      <c r="O22" s="77">
        <f>+'Cambio uso de suelo (BAU)'!Q44/1000</f>
        <v>1.320054446410799E-4</v>
      </c>
      <c r="P22" s="77">
        <f>+'Cambio uso de suelo (BAU)'!R44/1000</f>
        <v>1.3103483065521543E-4</v>
      </c>
      <c r="Q22" s="77">
        <f>+'Cambio uso de suelo (BAU)'!S44/1000</f>
        <v>1.3005037943098304E-4</v>
      </c>
      <c r="R22" s="77">
        <f>+'Cambio uso de suelo (BAU)'!T44/1000</f>
        <v>1.2910744372523824E-4</v>
      </c>
      <c r="S22" s="77">
        <f>+'Cambio uso de suelo (BAU)'!U44/1000</f>
        <v>1.2815067078018666E-4</v>
      </c>
      <c r="T22" s="77">
        <f>+'Cambio uso de suelo (BAU)'!V44/1000</f>
        <v>1.2719389878470045E-4</v>
      </c>
      <c r="U22" s="77">
        <f>+'Cambio uso de suelo (BAU)'!W44/1000</f>
        <v>1.2626480411697449E-4</v>
      </c>
      <c r="V22" s="77">
        <f>+'Cambio uso de suelo (BAU)'!X44/1000</f>
        <v>1.2533571039787759E-4</v>
      </c>
      <c r="W22" s="77">
        <f>+'Cambio uso de suelo (BAU)'!Y44/1000</f>
        <v>1.2440661762695151E-4</v>
      </c>
      <c r="X22" s="77">
        <f>+'Cambio uso de suelo (BAU)'!Z44/1000</f>
        <v>1.2349136399305593E-4</v>
      </c>
      <c r="Y22" s="77">
        <f>+'Cambio uso de suelo (BAU)'!AA44/1000</f>
        <v>1.2257611130639986E-4</v>
      </c>
      <c r="Z22" s="77">
        <f>+'Cambio uso de suelo (BAU)'!AB44/1000</f>
        <v>1.2168853594518323E-4</v>
      </c>
      <c r="AA22" s="77">
        <f>+'Cambio uso de suelo (BAU)'!AC44/1000</f>
        <v>1.2077328515160668E-4</v>
      </c>
    </row>
    <row r="23" spans="1:27" ht="15.75" x14ac:dyDescent="0.25">
      <c r="A23" s="120" t="s">
        <v>27</v>
      </c>
      <c r="B23" s="77">
        <f>+'Cambio uso de suelo (BAU)'!D45</f>
        <v>0</v>
      </c>
      <c r="C23" s="77">
        <f>+'Cambio uso de suelo (BAU)'!E45</f>
        <v>0</v>
      </c>
      <c r="D23" s="77">
        <f>+'Cambio uso de suelo (BAU)'!F45</f>
        <v>0</v>
      </c>
      <c r="E23" s="77">
        <f>+'Cambio uso de suelo (BAU)'!G45</f>
        <v>0</v>
      </c>
      <c r="F23" s="77">
        <f>+'Cambio uso de suelo (BAU)'!H45</f>
        <v>0</v>
      </c>
      <c r="G23" s="77">
        <f>+'Cambio uso de suelo (BAU)'!I45</f>
        <v>0</v>
      </c>
      <c r="H23" s="77">
        <f>+'Cambio uso de suelo (BAU)'!J45</f>
        <v>0</v>
      </c>
      <c r="I23" s="77">
        <f>+'Cambio uso de suelo (BAU)'!K45</f>
        <v>1.7549999999999998E-3</v>
      </c>
      <c r="J23" s="77">
        <f>+'Cambio uso de suelo (BAU)'!L45</f>
        <v>1.7549999999999998E-3</v>
      </c>
      <c r="K23" s="77">
        <f>+'Cambio uso de suelo (BAU)'!M45</f>
        <v>2.3535E-2</v>
      </c>
      <c r="L23" s="77">
        <f>+'Cambio uso de suelo (BAU)'!N45</f>
        <v>2.3535E-2</v>
      </c>
      <c r="M23" s="77">
        <f>+'Cambio uso de suelo (BAU)'!O45</f>
        <v>3.5999999999999997E-4</v>
      </c>
      <c r="N23" s="77">
        <f>+'Cambio uso de suelo (BAU)'!P45</f>
        <v>3.5999999999999997E-4</v>
      </c>
      <c r="O23" s="77">
        <f>+'Cambio uso de suelo (BAU)'!Q45/1000</f>
        <v>3.376098328416366E-7</v>
      </c>
      <c r="P23" s="77">
        <f>+'Cambio uso de suelo (BAU)'!R45/1000</f>
        <v>3.3512744413098576E-7</v>
      </c>
      <c r="Q23" s="77">
        <f>+'Cambio uso de suelo (BAU)'!S45/1000</f>
        <v>3.3260966606389521E-7</v>
      </c>
      <c r="R23" s="77">
        <f>+'Cambio uso de suelo (BAU)'!T45/1000</f>
        <v>3.3019806579344821E-7</v>
      </c>
      <c r="S23" s="77">
        <f>+'Cambio uso de suelo (BAU)'!U45/1000</f>
        <v>3.2775107616416022E-7</v>
      </c>
      <c r="T23" s="77">
        <f>+'Cambio uso de suelo (BAU)'!V45/1000</f>
        <v>3.2530408896342818E-7</v>
      </c>
      <c r="U23" s="77">
        <f>+'Cambio uso de suelo (BAU)'!W45/1000</f>
        <v>3.2292788776719824E-7</v>
      </c>
      <c r="V23" s="77">
        <f>+'Cambio uso de suelo (BAU)'!X45/1000</f>
        <v>3.2055168899712933E-7</v>
      </c>
      <c r="W23" s="77">
        <f>+'Cambio uso de suelo (BAU)'!Y45/1000</f>
        <v>3.1817549265204995E-7</v>
      </c>
      <c r="X23" s="77">
        <f>+'Cambio uso de suelo (BAU)'!Z45/1000</f>
        <v>3.1583469051932464E-7</v>
      </c>
      <c r="Y23" s="77">
        <f>+'Cambio uso de suelo (BAU)'!AA45/1000</f>
        <v>3.1349389080920674E-7</v>
      </c>
      <c r="Z23" s="77">
        <f>+'Cambio uso de suelo (BAU)'!AB45/1000</f>
        <v>3.1122387709765531E-7</v>
      </c>
      <c r="AA23" s="77">
        <f>+'Cambio uso de suelo (BAU)'!AC45/1000</f>
        <v>3.0888308222917303E-7</v>
      </c>
    </row>
    <row r="24" spans="1:27" ht="15.75" x14ac:dyDescent="0.25">
      <c r="A24" s="123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</row>
    <row r="25" spans="1:27" ht="16.5" thickBot="1" x14ac:dyDescent="0.3">
      <c r="A25" s="119" t="s">
        <v>119</v>
      </c>
      <c r="B25" s="1">
        <v>2010</v>
      </c>
      <c r="C25" s="1">
        <v>2011</v>
      </c>
      <c r="D25" s="1">
        <v>2012</v>
      </c>
      <c r="E25" s="1">
        <v>2013</v>
      </c>
      <c r="F25" s="1">
        <v>2014</v>
      </c>
      <c r="G25" s="1">
        <v>2015</v>
      </c>
      <c r="H25" s="1">
        <v>2016</v>
      </c>
      <c r="I25" s="1">
        <v>2017</v>
      </c>
      <c r="J25" s="1">
        <v>2018</v>
      </c>
      <c r="K25" s="1">
        <v>2019</v>
      </c>
      <c r="L25" s="1">
        <v>2020</v>
      </c>
      <c r="M25" s="1">
        <v>2021</v>
      </c>
      <c r="N25" s="1">
        <v>2022</v>
      </c>
    </row>
    <row r="26" spans="1:27" x14ac:dyDescent="0.25">
      <c r="A26" s="372" t="s">
        <v>385</v>
      </c>
      <c r="B26" s="126">
        <v>0</v>
      </c>
      <c r="C26" s="126">
        <v>0</v>
      </c>
      <c r="D26" s="126">
        <v>0</v>
      </c>
      <c r="E26" s="126">
        <v>0</v>
      </c>
      <c r="F26" s="126">
        <v>0</v>
      </c>
      <c r="G26" s="126">
        <v>0</v>
      </c>
      <c r="H26" s="126">
        <v>0</v>
      </c>
      <c r="I26" s="126">
        <f>+I3/I15</f>
        <v>25.640476692178709</v>
      </c>
      <c r="J26" s="126">
        <f t="shared" ref="J26:N26" si="12">+J3/J15</f>
        <v>50.23079643059372</v>
      </c>
      <c r="K26" s="126">
        <f t="shared" si="12"/>
        <v>161.51859979384542</v>
      </c>
      <c r="L26" s="126">
        <f t="shared" si="12"/>
        <v>161.51859979384542</v>
      </c>
      <c r="M26" s="126">
        <f t="shared" si="12"/>
        <v>706.3803537568765</v>
      </c>
      <c r="N26" s="126">
        <f t="shared" si="12"/>
        <v>706.3803537568765</v>
      </c>
      <c r="O26" s="127">
        <f t="shared" ref="O26:O34" si="13">+AVERAGE(B26:N26)</f>
        <v>139.35916770955509</v>
      </c>
    </row>
    <row r="27" spans="1:27" x14ac:dyDescent="0.25">
      <c r="A27" s="373" t="s">
        <v>386</v>
      </c>
      <c r="B27" s="126">
        <v>0</v>
      </c>
      <c r="C27" s="126">
        <v>0</v>
      </c>
      <c r="D27" s="126">
        <v>0</v>
      </c>
      <c r="E27" s="126">
        <v>0</v>
      </c>
      <c r="F27" s="126">
        <v>0</v>
      </c>
      <c r="G27" s="126">
        <v>0</v>
      </c>
      <c r="H27" s="126">
        <v>0</v>
      </c>
      <c r="I27" s="126">
        <f t="shared" ref="I27:N27" si="14">+I4/I16</f>
        <v>66.81987636622479</v>
      </c>
      <c r="J27" s="126">
        <f t="shared" si="14"/>
        <v>130.90301118672681</v>
      </c>
      <c r="K27" s="126">
        <f t="shared" si="14"/>
        <v>194.101750427594</v>
      </c>
      <c r="L27" s="126">
        <f t="shared" si="14"/>
        <v>194.101750427594</v>
      </c>
      <c r="M27" s="126">
        <f t="shared" si="14"/>
        <v>23.985866532720834</v>
      </c>
      <c r="N27" s="126">
        <f t="shared" si="14"/>
        <v>23.985866532720834</v>
      </c>
      <c r="O27" s="127">
        <f t="shared" si="13"/>
        <v>48.76139395950625</v>
      </c>
    </row>
    <row r="28" spans="1:27" x14ac:dyDescent="0.25">
      <c r="A28" s="373" t="s">
        <v>387</v>
      </c>
      <c r="B28" s="126">
        <v>0</v>
      </c>
      <c r="C28" s="126">
        <v>0</v>
      </c>
      <c r="D28" s="126">
        <v>0</v>
      </c>
      <c r="E28" s="126">
        <v>0</v>
      </c>
      <c r="F28" s="126">
        <v>0</v>
      </c>
      <c r="G28" s="126">
        <v>0</v>
      </c>
      <c r="H28" s="126">
        <v>0</v>
      </c>
      <c r="I28" s="126">
        <f t="shared" ref="I28:N28" si="15">+I5/I17</f>
        <v>988.64419991211594</v>
      </c>
      <c r="J28" s="126">
        <f t="shared" si="15"/>
        <v>1936.7965012608736</v>
      </c>
      <c r="K28" s="126">
        <f t="shared" si="15"/>
        <v>426.66986004918544</v>
      </c>
      <c r="L28" s="126">
        <f t="shared" si="15"/>
        <v>426.66986004918544</v>
      </c>
      <c r="M28" s="126">
        <f t="shared" si="15"/>
        <v>1350.6907876882497</v>
      </c>
      <c r="N28" s="126">
        <f t="shared" si="15"/>
        <v>1350.6907876882497</v>
      </c>
      <c r="O28" s="127">
        <f t="shared" si="13"/>
        <v>498.47399974214306</v>
      </c>
    </row>
    <row r="29" spans="1:27" x14ac:dyDescent="0.25">
      <c r="A29" s="373" t="s">
        <v>388</v>
      </c>
      <c r="B29" s="126">
        <v>0</v>
      </c>
      <c r="C29" s="126">
        <v>0</v>
      </c>
      <c r="D29" s="126">
        <v>0</v>
      </c>
      <c r="E29" s="126">
        <v>0</v>
      </c>
      <c r="F29" s="126">
        <v>0</v>
      </c>
      <c r="G29" s="126">
        <v>0</v>
      </c>
      <c r="H29" s="126">
        <v>0</v>
      </c>
      <c r="I29" s="126">
        <f t="shared" ref="I29:N29" si="16">+I6/I18</f>
        <v>2312.4556794269997</v>
      </c>
      <c r="J29" s="126">
        <f t="shared" si="16"/>
        <v>4530.2001161117223</v>
      </c>
      <c r="K29" s="126">
        <f t="shared" si="16"/>
        <v>978.85088236556578</v>
      </c>
      <c r="L29" s="126">
        <f t="shared" si="16"/>
        <v>978.85088236556578</v>
      </c>
      <c r="M29" s="126">
        <f t="shared" si="16"/>
        <v>2075.7522426660271</v>
      </c>
      <c r="N29" s="126">
        <f t="shared" si="16"/>
        <v>2075.7522426660271</v>
      </c>
      <c r="O29" s="127">
        <f t="shared" si="13"/>
        <v>996.29708043091591</v>
      </c>
    </row>
    <row r="30" spans="1:27" x14ac:dyDescent="0.25">
      <c r="A30" s="373" t="s">
        <v>389</v>
      </c>
      <c r="B30" s="126">
        <v>0</v>
      </c>
      <c r="C30" s="126">
        <v>0</v>
      </c>
      <c r="D30" s="126">
        <v>0</v>
      </c>
      <c r="E30" s="126">
        <v>0</v>
      </c>
      <c r="F30" s="126">
        <v>0</v>
      </c>
      <c r="G30" s="126">
        <v>0</v>
      </c>
      <c r="H30" s="126">
        <v>0</v>
      </c>
      <c r="I30" s="126">
        <f t="shared" ref="I30:N30" si="17">+I7/I19</f>
        <v>283.53676034723162</v>
      </c>
      <c r="J30" s="126">
        <f t="shared" si="17"/>
        <v>555.46070615513361</v>
      </c>
      <c r="K30" s="126">
        <f t="shared" si="17"/>
        <v>75.695872706486497</v>
      </c>
      <c r="L30" s="126">
        <f t="shared" si="17"/>
        <v>75.695872706486497</v>
      </c>
      <c r="M30" s="126">
        <f t="shared" si="17"/>
        <v>739.31387668269565</v>
      </c>
      <c r="N30" s="126">
        <f t="shared" si="17"/>
        <v>739.31387668269565</v>
      </c>
      <c r="O30" s="127">
        <f t="shared" si="13"/>
        <v>189.9243819446715</v>
      </c>
    </row>
    <row r="31" spans="1:27" x14ac:dyDescent="0.25">
      <c r="A31" s="373" t="s">
        <v>390</v>
      </c>
      <c r="B31" s="126">
        <v>0</v>
      </c>
      <c r="C31" s="126">
        <v>0</v>
      </c>
      <c r="D31" s="126">
        <v>0</v>
      </c>
      <c r="E31" s="126">
        <v>0</v>
      </c>
      <c r="F31" s="126">
        <v>0</v>
      </c>
      <c r="G31" s="126">
        <v>0</v>
      </c>
      <c r="H31" s="126">
        <v>0</v>
      </c>
      <c r="I31" s="126">
        <f>+I8/I20</f>
        <v>19525.443691603792</v>
      </c>
      <c r="J31" s="126">
        <f t="shared" ref="J31:N31" si="18">+J8/J20</f>
        <v>38251.183824095744</v>
      </c>
      <c r="K31" s="126">
        <f t="shared" si="18"/>
        <v>2157.246990398377</v>
      </c>
      <c r="L31" s="126">
        <f t="shared" si="18"/>
        <v>2157.246990398377</v>
      </c>
      <c r="M31" s="126">
        <f t="shared" si="18"/>
        <v>11080.012859182239</v>
      </c>
      <c r="N31" s="126">
        <f t="shared" si="18"/>
        <v>11080.012859182239</v>
      </c>
      <c r="O31" s="127">
        <f t="shared" si="13"/>
        <v>6480.8574780662148</v>
      </c>
    </row>
    <row r="32" spans="1:27" x14ac:dyDescent="0.25">
      <c r="A32" s="373" t="s">
        <v>391</v>
      </c>
      <c r="B32" s="126">
        <v>0</v>
      </c>
      <c r="C32" s="126">
        <v>0</v>
      </c>
      <c r="D32" s="126">
        <v>0</v>
      </c>
      <c r="E32" s="126">
        <v>0</v>
      </c>
      <c r="F32" s="126">
        <v>0</v>
      </c>
      <c r="G32" s="126">
        <v>0</v>
      </c>
      <c r="H32" s="126">
        <v>0</v>
      </c>
      <c r="I32" s="126">
        <f t="shared" ref="I32:N32" si="19">+I9/I21</f>
        <v>673.82877613271967</v>
      </c>
      <c r="J32" s="126">
        <f t="shared" si="19"/>
        <v>1320.0595483984632</v>
      </c>
      <c r="K32" s="126">
        <f t="shared" si="19"/>
        <v>140.76897417314731</v>
      </c>
      <c r="L32" s="126">
        <f t="shared" si="19"/>
        <v>140.76897417314731</v>
      </c>
      <c r="M32" s="126">
        <f t="shared" si="19"/>
        <v>648.50431215358105</v>
      </c>
      <c r="N32" s="126">
        <f t="shared" si="19"/>
        <v>648.50431215358105</v>
      </c>
      <c r="O32" s="127">
        <f t="shared" si="13"/>
        <v>274.80268439881843</v>
      </c>
    </row>
    <row r="33" spans="1:27" x14ac:dyDescent="0.25">
      <c r="A33" s="371" t="s">
        <v>392</v>
      </c>
      <c r="B33" s="126">
        <v>0</v>
      </c>
      <c r="C33" s="126">
        <v>0</v>
      </c>
      <c r="D33" s="126">
        <v>0</v>
      </c>
      <c r="E33" s="126">
        <v>0</v>
      </c>
      <c r="F33" s="126">
        <v>0</v>
      </c>
      <c r="G33" s="126">
        <v>0</v>
      </c>
      <c r="H33" s="126">
        <v>0</v>
      </c>
      <c r="I33" s="126">
        <f t="shared" ref="I33:N33" si="20">+I10/I22</f>
        <v>1247.1424292918164</v>
      </c>
      <c r="J33" s="126">
        <f t="shared" si="20"/>
        <v>2443.2056485448406</v>
      </c>
      <c r="K33" s="126">
        <f t="shared" si="20"/>
        <v>198.17971499370017</v>
      </c>
      <c r="L33" s="126">
        <f t="shared" si="20"/>
        <v>198.17971499370017</v>
      </c>
      <c r="M33" s="126">
        <f t="shared" si="20"/>
        <v>42.787315013498258</v>
      </c>
      <c r="N33" s="126">
        <f t="shared" si="20"/>
        <v>42.787315013498258</v>
      </c>
      <c r="O33" s="127">
        <f t="shared" si="13"/>
        <v>320.94477983469642</v>
      </c>
    </row>
    <row r="34" spans="1:27" x14ac:dyDescent="0.25">
      <c r="A34" s="371" t="s">
        <v>393</v>
      </c>
      <c r="B34" s="126">
        <v>0</v>
      </c>
      <c r="C34" s="126">
        <v>0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f t="shared" ref="I34:N34" si="21">+I11/I23</f>
        <v>52019.635050668629</v>
      </c>
      <c r="J34" s="126">
        <f t="shared" si="21"/>
        <v>101908.7020102466</v>
      </c>
      <c r="K34" s="126">
        <f t="shared" si="21"/>
        <v>3616.0914301763032</v>
      </c>
      <c r="L34" s="126">
        <f t="shared" si="21"/>
        <v>3616.0914301763032</v>
      </c>
      <c r="M34" s="126">
        <f t="shared" si="21"/>
        <v>69961.327891211738</v>
      </c>
      <c r="N34" s="126">
        <f t="shared" si="21"/>
        <v>69961.327891211738</v>
      </c>
      <c r="O34" s="127">
        <f t="shared" si="13"/>
        <v>23160.244284899331</v>
      </c>
    </row>
    <row r="35" spans="1:27" x14ac:dyDescent="0.25"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7"/>
    </row>
    <row r="36" spans="1:27" x14ac:dyDescent="0.25"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7"/>
    </row>
    <row r="37" spans="1:27" x14ac:dyDescent="0.25"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7"/>
    </row>
    <row r="38" spans="1:27" x14ac:dyDescent="0.25">
      <c r="A38" s="24" t="s">
        <v>8</v>
      </c>
      <c r="B38" s="126">
        <f>+INGEI!C16/1000</f>
        <v>-1.4666666666666666E-2</v>
      </c>
      <c r="C38" s="126">
        <f>+INGEI!D16/1000</f>
        <v>-1.4666666666666666E-2</v>
      </c>
      <c r="D38" s="126">
        <f>+INGEI!E16/1000</f>
        <v>-1.4666666666666666E-2</v>
      </c>
      <c r="E38" s="126">
        <f>+INGEI!F16/1000</f>
        <v>-1.4666666666666666E-2</v>
      </c>
      <c r="F38" s="126">
        <f>+INGEI!G16/1000</f>
        <v>-1.4666666666666666E-2</v>
      </c>
      <c r="G38" s="126">
        <f>+INGEI!H16/1000</f>
        <v>-1.4666666666666666E-2</v>
      </c>
      <c r="H38" s="126">
        <f>+INGEI!I16/1000</f>
        <v>-1.4666666666666666E-2</v>
      </c>
      <c r="I38" s="126">
        <f>+INGEI!J16/1000</f>
        <v>-1.4666666666666666E-2</v>
      </c>
      <c r="J38" s="126">
        <f>+INGEI!K16/1000</f>
        <v>-1.4666666666666666E-2</v>
      </c>
      <c r="K38" s="126">
        <f>+INGEI!L16/1000</f>
        <v>-1.4666666666666666E-2</v>
      </c>
      <c r="L38" s="126">
        <f>+INGEI!M16/1000</f>
        <v>-1.4666666666666666E-2</v>
      </c>
      <c r="M38" s="126">
        <f>+INGEI!N16/1000</f>
        <v>-1.4666666666666666E-2</v>
      </c>
      <c r="N38" s="126">
        <f>+INGEI!O16/1000</f>
        <v>-1.4666666666666666E-2</v>
      </c>
      <c r="O38" s="127"/>
    </row>
    <row r="39" spans="1:27" x14ac:dyDescent="0.25">
      <c r="A39" s="6" t="s">
        <v>5</v>
      </c>
      <c r="B39" s="126">
        <f>+INGEI!C17/1000</f>
        <v>-1.4666666666666666E-2</v>
      </c>
      <c r="C39" s="126">
        <f>+INGEI!D17/1000</f>
        <v>-1.4666666666666666E-2</v>
      </c>
      <c r="D39" s="126">
        <f>+INGEI!E17/1000</f>
        <v>-1.4666666666666666E-2</v>
      </c>
      <c r="E39" s="126">
        <f>+INGEI!F17/1000</f>
        <v>-1.4666666666666666E-2</v>
      </c>
      <c r="F39" s="126">
        <f>+INGEI!G17/1000</f>
        <v>-1.4666666666666666E-2</v>
      </c>
      <c r="G39" s="126">
        <f>+INGEI!H17/1000</f>
        <v>-1.4666666666666666E-2</v>
      </c>
      <c r="H39" s="126">
        <f>+INGEI!I17/1000</f>
        <v>-1.4666666666666666E-2</v>
      </c>
      <c r="I39" s="126">
        <f>+INGEI!J17/1000</f>
        <v>-1.4666666666666666E-2</v>
      </c>
      <c r="J39" s="126">
        <f>+INGEI!K17/1000</f>
        <v>-1.4666666666666666E-2</v>
      </c>
      <c r="K39" s="126">
        <f>+INGEI!L17/1000</f>
        <v>-1.4666666666666666E-2</v>
      </c>
      <c r="L39" s="126">
        <f>+INGEI!M17/1000</f>
        <v>-1.4666666666666666E-2</v>
      </c>
      <c r="M39" s="126">
        <f>+INGEI!N17/1000</f>
        <v>-1.4666666666666666E-2</v>
      </c>
      <c r="N39" s="126">
        <f>+INGEI!O17/1000</f>
        <v>-1.4666666666666666E-2</v>
      </c>
      <c r="O39" s="127"/>
    </row>
    <row r="40" spans="1:27" x14ac:dyDescent="0.25">
      <c r="A40" s="7" t="s">
        <v>7</v>
      </c>
      <c r="B40" s="126">
        <f>+INGEI!C19/1000</f>
        <v>-1.4666666666666666E-2</v>
      </c>
      <c r="C40" s="126">
        <f>+INGEI!D19/1000</f>
        <v>-1.4666666666666666E-2</v>
      </c>
      <c r="D40" s="126">
        <f>+INGEI!E19/1000</f>
        <v>-1.4666666666666666E-2</v>
      </c>
      <c r="E40" s="126">
        <f>+INGEI!F19/1000</f>
        <v>-1.4666666666666666E-2</v>
      </c>
      <c r="F40" s="126">
        <f>+INGEI!G19/1000</f>
        <v>-1.4666666666666666E-2</v>
      </c>
      <c r="G40" s="126">
        <f>+INGEI!H19/1000</f>
        <v>-1.4666666666666666E-2</v>
      </c>
      <c r="H40" s="126">
        <f>+INGEI!I19/1000</f>
        <v>-1.4666666666666666E-2</v>
      </c>
      <c r="I40" s="126">
        <f>+INGEI!J19/1000</f>
        <v>-1.4666666666666666E-2</v>
      </c>
      <c r="J40" s="126">
        <f>+INGEI!K19/1000</f>
        <v>-1.4666666666666666E-2</v>
      </c>
      <c r="K40" s="126">
        <f>+INGEI!L19/1000</f>
        <v>-1.4666666666666666E-2</v>
      </c>
      <c r="L40" s="126">
        <f>+INGEI!M19/1000</f>
        <v>-1.4666666666666666E-2</v>
      </c>
      <c r="M40" s="126">
        <f>+INGEI!N19/1000</f>
        <v>-1.4666666666666666E-2</v>
      </c>
      <c r="N40" s="126">
        <f>+INGEI!O19/1000</f>
        <v>-1.4666666666666666E-2</v>
      </c>
      <c r="O40" s="127"/>
    </row>
    <row r="41" spans="1:27" x14ac:dyDescent="0.25"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7"/>
    </row>
    <row r="42" spans="1:27" x14ac:dyDescent="0.25">
      <c r="A42" s="24" t="s">
        <v>8</v>
      </c>
      <c r="B42" s="126">
        <f>+'Cambio uso de suelo (BAU)'!D47/1000</f>
        <v>6.6529459999999999E-2</v>
      </c>
      <c r="C42" s="126">
        <f>+'Cambio uso de suelo (BAU)'!E47/1000</f>
        <v>6.6529459999999999E-2</v>
      </c>
      <c r="D42" s="126">
        <f>+'Cambio uso de suelo (BAU)'!F47/1000</f>
        <v>6.6529459999999999E-2</v>
      </c>
      <c r="E42" s="126">
        <f>+'Cambio uso de suelo (BAU)'!G47/1000</f>
        <v>6.6529459999999999E-2</v>
      </c>
      <c r="F42" s="126">
        <f>+'Cambio uso de suelo (BAU)'!H47/1000</f>
        <v>6.6529459999999999E-2</v>
      </c>
      <c r="G42" s="126">
        <f>+'Cambio uso de suelo (BAU)'!I47/1000</f>
        <v>4.4241830000000003E-2</v>
      </c>
      <c r="H42" s="126">
        <f>+'Cambio uso de suelo (BAU)'!J47/1000</f>
        <v>2.19542E-2</v>
      </c>
      <c r="I42" s="126">
        <f>+'Cambio uso de suelo (BAU)'!K47/1000</f>
        <v>1.25998E-2</v>
      </c>
      <c r="J42" s="126">
        <f>+'Cambio uso de suelo (BAU)'!L47/1000</f>
        <v>3.2453999999999998E-3</v>
      </c>
      <c r="K42" s="126">
        <f>+'Cambio uso de suelo (BAU)'!M47/1000</f>
        <v>3.2453999999999998E-3</v>
      </c>
      <c r="L42" s="126">
        <f>+'Cambio uso de suelo (BAU)'!N47/1000</f>
        <v>3.2453999999999998E-3</v>
      </c>
      <c r="M42" s="126">
        <f>+'Cambio uso de suelo (BAU)'!O47/1000</f>
        <v>1.0864709999999998E-2</v>
      </c>
      <c r="N42" s="126">
        <f>+'Cambio uso de suelo (BAU)'!P47/1000</f>
        <v>1.0864709999999998E-2</v>
      </c>
      <c r="O42" s="126">
        <f>+'Cambio uso de suelo (BAU)'!Q47/1000</f>
        <v>1.0864709999999998E-2</v>
      </c>
      <c r="P42" s="126">
        <f>+'Cambio uso de suelo (BAU)'!R47/1000</f>
        <v>1.0864709999999998E-2</v>
      </c>
      <c r="Q42" s="126">
        <f>+'Cambio uso de suelo (BAU)'!S47/1000</f>
        <v>1.0864709999999998E-2</v>
      </c>
      <c r="R42" s="126">
        <f>+'Cambio uso de suelo (BAU)'!T47/1000</f>
        <v>1.0864709999999998E-2</v>
      </c>
      <c r="S42" s="126">
        <f>+'Cambio uso de suelo (BAU)'!U47/1000</f>
        <v>1.0864709999999998E-2</v>
      </c>
      <c r="T42" s="126">
        <f>+'Cambio uso de suelo (BAU)'!V47/1000</f>
        <v>1.0864709999999998E-2</v>
      </c>
      <c r="U42" s="126">
        <f>+'Cambio uso de suelo (BAU)'!W47/1000</f>
        <v>1.0864709999999998E-2</v>
      </c>
      <c r="V42" s="126">
        <f>+'Cambio uso de suelo (BAU)'!X47/1000</f>
        <v>1.0864709999999998E-2</v>
      </c>
      <c r="W42" s="126">
        <f>+'Cambio uso de suelo (BAU)'!Y47/1000</f>
        <v>1.0864709999999998E-2</v>
      </c>
      <c r="X42" s="126">
        <f>+'Cambio uso de suelo (BAU)'!Z47/1000</f>
        <v>1.0864709999999998E-2</v>
      </c>
      <c r="Y42" s="126">
        <f>+'Cambio uso de suelo (BAU)'!AA47/1000</f>
        <v>1.0864709999999998E-2</v>
      </c>
      <c r="Z42" s="126">
        <f>+'Cambio uso de suelo (BAU)'!AB47/1000</f>
        <v>1.0864709999999998E-2</v>
      </c>
      <c r="AA42" s="126">
        <f>+'Cambio uso de suelo (BAU)'!AC47/1000</f>
        <v>1.0864709999999998E-2</v>
      </c>
    </row>
    <row r="43" spans="1:27" x14ac:dyDescent="0.25">
      <c r="A43" s="6" t="s">
        <v>5</v>
      </c>
      <c r="B43" s="126">
        <f>+'Cambio uso de suelo (BAU)'!D48/1000</f>
        <v>1.2479999999999999E-5</v>
      </c>
      <c r="C43" s="126">
        <f>+'Cambio uso de suelo (BAU)'!E48/1000</f>
        <v>1.2479999999999999E-5</v>
      </c>
      <c r="D43" s="126">
        <f>+'Cambio uso de suelo (BAU)'!F48/1000</f>
        <v>1.2479999999999999E-5</v>
      </c>
      <c r="E43" s="126">
        <f>+'Cambio uso de suelo (BAU)'!G48/1000</f>
        <v>1.2479999999999999E-5</v>
      </c>
      <c r="F43" s="126">
        <f>+'Cambio uso de suelo (BAU)'!H48/1000</f>
        <v>1.2479999999999999E-5</v>
      </c>
      <c r="G43" s="126">
        <f>+'Cambio uso de suelo (BAU)'!I48/1000</f>
        <v>1.3754549999999998E-3</v>
      </c>
      <c r="H43" s="126">
        <f>+'Cambio uso de suelo (BAU)'!J48/1000</f>
        <v>2.7384299999999996E-3</v>
      </c>
      <c r="I43" s="126">
        <f>+'Cambio uso de suelo (BAU)'!K48/1000</f>
        <v>1.4212799999999998E-3</v>
      </c>
      <c r="J43" s="126">
        <f>+'Cambio uso de suelo (BAU)'!L48/1000</f>
        <v>1.0412999999999999E-4</v>
      </c>
      <c r="K43" s="126">
        <f>+'Cambio uso de suelo (BAU)'!M48/1000</f>
        <v>1.0412999999999999E-4</v>
      </c>
      <c r="L43" s="126">
        <f>+'Cambio uso de suelo (BAU)'!N48/1000</f>
        <v>1.0412999999999999E-4</v>
      </c>
      <c r="M43" s="126">
        <f>+'Cambio uso de suelo (BAU)'!O48/1000</f>
        <v>2.13701E-3</v>
      </c>
      <c r="N43" s="126">
        <f>+'Cambio uso de suelo (BAU)'!P48/1000</f>
        <v>2.13701E-3</v>
      </c>
      <c r="O43" s="126">
        <f>+'Cambio uso de suelo (BAU)'!Q48/1000</f>
        <v>2.13701E-3</v>
      </c>
      <c r="P43" s="126">
        <f>+'Cambio uso de suelo (BAU)'!R48/1000</f>
        <v>2.13701E-3</v>
      </c>
      <c r="Q43" s="126">
        <f>+'Cambio uso de suelo (BAU)'!S48/1000</f>
        <v>2.13701E-3</v>
      </c>
      <c r="R43" s="126">
        <f>+'Cambio uso de suelo (BAU)'!T48/1000</f>
        <v>2.13701E-3</v>
      </c>
      <c r="S43" s="126">
        <f>+'Cambio uso de suelo (BAU)'!U48/1000</f>
        <v>2.13701E-3</v>
      </c>
      <c r="T43" s="126">
        <f>+'Cambio uso de suelo (BAU)'!V48/1000</f>
        <v>2.13701E-3</v>
      </c>
      <c r="U43" s="126">
        <f>+'Cambio uso de suelo (BAU)'!W48/1000</f>
        <v>2.13701E-3</v>
      </c>
      <c r="V43" s="126">
        <f>+'Cambio uso de suelo (BAU)'!X48/1000</f>
        <v>2.13701E-3</v>
      </c>
      <c r="W43" s="126">
        <f>+'Cambio uso de suelo (BAU)'!Y48/1000</f>
        <v>2.13701E-3</v>
      </c>
      <c r="X43" s="126">
        <f>+'Cambio uso de suelo (BAU)'!Z48/1000</f>
        <v>2.13701E-3</v>
      </c>
      <c r="Y43" s="126">
        <f>+'Cambio uso de suelo (BAU)'!AA48/1000</f>
        <v>2.13701E-3</v>
      </c>
      <c r="Z43" s="126">
        <f>+'Cambio uso de suelo (BAU)'!AB48/1000</f>
        <v>2.13701E-3</v>
      </c>
      <c r="AA43" s="126">
        <f>+'Cambio uso de suelo (BAU)'!AC48/1000</f>
        <v>2.13701E-3</v>
      </c>
    </row>
    <row r="44" spans="1:27" x14ac:dyDescent="0.25">
      <c r="A44" s="7" t="s">
        <v>7</v>
      </c>
      <c r="B44" s="126">
        <f>+'Cambio uso de suelo (BAU)'!D49/1000</f>
        <v>3.6872099999999998E-3</v>
      </c>
      <c r="C44" s="126">
        <f>+'Cambio uso de suelo (BAU)'!E49/1000</f>
        <v>3.6872099999999998E-3</v>
      </c>
      <c r="D44" s="126">
        <f>+'Cambio uso de suelo (BAU)'!F49/1000</f>
        <v>3.6872099999999998E-3</v>
      </c>
      <c r="E44" s="126">
        <f>+'Cambio uso de suelo (BAU)'!G49/1000</f>
        <v>3.6872099999999998E-3</v>
      </c>
      <c r="F44" s="126">
        <f>+'Cambio uso de suelo (BAU)'!H49/1000</f>
        <v>3.6872099999999998E-3</v>
      </c>
      <c r="G44" s="126">
        <f>+'Cambio uso de suelo (BAU)'!I49/1000</f>
        <v>4.0633450000000003E-3</v>
      </c>
      <c r="H44" s="126">
        <f>+'Cambio uso de suelo (BAU)'!J49/1000</f>
        <v>4.43948E-3</v>
      </c>
      <c r="I44" s="126">
        <f>+'Cambio uso de suelo (BAU)'!K49/1000</f>
        <v>2.4052099999999996E-3</v>
      </c>
      <c r="J44" s="126">
        <f>+'Cambio uso de suelo (BAU)'!L49/1000</f>
        <v>3.7094E-4</v>
      </c>
      <c r="K44" s="126">
        <f>+'Cambio uso de suelo (BAU)'!M49/1000</f>
        <v>3.7094E-4</v>
      </c>
      <c r="L44" s="126">
        <f>+'Cambio uso de suelo (BAU)'!N49/1000</f>
        <v>3.7094E-4</v>
      </c>
      <c r="M44" s="126">
        <f>+'Cambio uso de suelo (BAU)'!O49/1000</f>
        <v>2.5905200000000002E-3</v>
      </c>
      <c r="N44" s="126">
        <f>+'Cambio uso de suelo (BAU)'!P49/1000</f>
        <v>2.5905200000000002E-3</v>
      </c>
      <c r="O44" s="126">
        <f>+'Cambio uso de suelo (BAU)'!Q49/1000</f>
        <v>2.5905200000000002E-3</v>
      </c>
      <c r="P44" s="126">
        <f>+'Cambio uso de suelo (BAU)'!R49/1000</f>
        <v>2.5905200000000002E-3</v>
      </c>
      <c r="Q44" s="126">
        <f>+'Cambio uso de suelo (BAU)'!S49/1000</f>
        <v>2.5905200000000002E-3</v>
      </c>
      <c r="R44" s="126">
        <f>+'Cambio uso de suelo (BAU)'!T49/1000</f>
        <v>2.5905200000000002E-3</v>
      </c>
      <c r="S44" s="126">
        <f>+'Cambio uso de suelo (BAU)'!U49/1000</f>
        <v>2.5905200000000002E-3</v>
      </c>
      <c r="T44" s="126">
        <f>+'Cambio uso de suelo (BAU)'!V49/1000</f>
        <v>2.5905200000000002E-3</v>
      </c>
      <c r="U44" s="126">
        <f>+'Cambio uso de suelo (BAU)'!W49/1000</f>
        <v>2.5905200000000002E-3</v>
      </c>
      <c r="V44" s="126">
        <f>+'Cambio uso de suelo (BAU)'!X49/1000</f>
        <v>2.5905200000000002E-3</v>
      </c>
      <c r="W44" s="126">
        <f>+'Cambio uso de suelo (BAU)'!Y49/1000</f>
        <v>2.5905200000000002E-3</v>
      </c>
      <c r="X44" s="126">
        <f>+'Cambio uso de suelo (BAU)'!Z49/1000</f>
        <v>2.5905200000000002E-3</v>
      </c>
      <c r="Y44" s="126">
        <f>+'Cambio uso de suelo (BAU)'!AA49/1000</f>
        <v>2.5905200000000002E-3</v>
      </c>
      <c r="Z44" s="126">
        <f>+'Cambio uso de suelo (BAU)'!AB49/1000</f>
        <v>2.5905200000000002E-3</v>
      </c>
      <c r="AA44" s="126">
        <f>+'Cambio uso de suelo (BAU)'!AC49/1000</f>
        <v>2.5905200000000002E-3</v>
      </c>
    </row>
    <row r="45" spans="1:27" x14ac:dyDescent="0.25"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7"/>
    </row>
    <row r="46" spans="1:27" x14ac:dyDescent="0.25">
      <c r="A46" s="24" t="s">
        <v>8</v>
      </c>
      <c r="B46" s="126">
        <f t="shared" ref="B46:N46" si="22">+B38/B42</f>
        <v>-0.2204537157924725</v>
      </c>
      <c r="C46" s="126">
        <f t="shared" si="22"/>
        <v>-0.2204537157924725</v>
      </c>
      <c r="D46" s="126">
        <f t="shared" si="22"/>
        <v>-0.2204537157924725</v>
      </c>
      <c r="E46" s="126">
        <f t="shared" si="22"/>
        <v>-0.2204537157924725</v>
      </c>
      <c r="F46" s="126">
        <f t="shared" si="22"/>
        <v>-0.2204537157924725</v>
      </c>
      <c r="G46" s="126">
        <f t="shared" si="22"/>
        <v>-0.33151130201139206</v>
      </c>
      <c r="H46" s="126">
        <f t="shared" si="22"/>
        <v>-0.66805744079340934</v>
      </c>
      <c r="I46" s="126">
        <f t="shared" si="22"/>
        <v>-1.16403964084086</v>
      </c>
      <c r="J46" s="126">
        <f t="shared" si="22"/>
        <v>-4.5192169429551567</v>
      </c>
      <c r="K46" s="126">
        <f t="shared" si="22"/>
        <v>-4.5192169429551567</v>
      </c>
      <c r="L46" s="126">
        <f t="shared" si="22"/>
        <v>-4.5192169429551567</v>
      </c>
      <c r="M46" s="126">
        <f t="shared" si="22"/>
        <v>-1.3499363228900421</v>
      </c>
      <c r="N46" s="126">
        <f t="shared" si="22"/>
        <v>-1.3499363228900421</v>
      </c>
      <c r="O46" s="127">
        <f>+AVERAGE(B46:N46)</f>
        <v>-1.5018000336348907</v>
      </c>
    </row>
    <row r="47" spans="1:27" x14ac:dyDescent="0.25">
      <c r="A47" s="6" t="s">
        <v>5</v>
      </c>
      <c r="B47" s="126">
        <f t="shared" ref="B47:N47" si="23">+B39/B43</f>
        <v>-1175.2136752136753</v>
      </c>
      <c r="C47" s="126">
        <f t="shared" si="23"/>
        <v>-1175.2136752136753</v>
      </c>
      <c r="D47" s="126">
        <f t="shared" si="23"/>
        <v>-1175.2136752136753</v>
      </c>
      <c r="E47" s="126">
        <f t="shared" si="23"/>
        <v>-1175.2136752136753</v>
      </c>
      <c r="F47" s="126">
        <f t="shared" si="23"/>
        <v>-1175.2136752136753</v>
      </c>
      <c r="G47" s="126">
        <f t="shared" si="23"/>
        <v>-10.663138137319409</v>
      </c>
      <c r="H47" s="126">
        <f t="shared" si="23"/>
        <v>-5.3558669261827649</v>
      </c>
      <c r="I47" s="126">
        <f t="shared" si="23"/>
        <v>-10.319336560471314</v>
      </c>
      <c r="J47" s="126">
        <f t="shared" si="23"/>
        <v>-140.84957905182625</v>
      </c>
      <c r="K47" s="126">
        <f t="shared" si="23"/>
        <v>-140.84957905182625</v>
      </c>
      <c r="L47" s="126">
        <f t="shared" si="23"/>
        <v>-140.84957905182625</v>
      </c>
      <c r="M47" s="126">
        <f t="shared" si="23"/>
        <v>-6.8631717524329163</v>
      </c>
      <c r="N47" s="126">
        <f t="shared" si="23"/>
        <v>-6.8631717524329163</v>
      </c>
      <c r="O47" s="127">
        <f t="shared" ref="O47:O48" si="24">+AVERAGE(B47:N47)</f>
        <v>-487.59090756559192</v>
      </c>
    </row>
    <row r="48" spans="1:27" x14ac:dyDescent="0.25">
      <c r="A48" s="7" t="s">
        <v>7</v>
      </c>
      <c r="B48" s="126">
        <f>+B40/B44</f>
        <v>-3.9777139535493413</v>
      </c>
      <c r="C48" s="126">
        <f t="shared" ref="C48:N48" si="25">+C40/C44</f>
        <v>-3.9777139535493413</v>
      </c>
      <c r="D48" s="126">
        <f t="shared" si="25"/>
        <v>-3.9777139535493413</v>
      </c>
      <c r="E48" s="126">
        <f t="shared" si="25"/>
        <v>-3.9777139535493413</v>
      </c>
      <c r="F48" s="126">
        <f t="shared" si="25"/>
        <v>-3.9777139535493413</v>
      </c>
      <c r="G48" s="126">
        <f t="shared" si="25"/>
        <v>-3.6095056330847282</v>
      </c>
      <c r="H48" s="126">
        <f t="shared" si="25"/>
        <v>-3.3036902219779494</v>
      </c>
      <c r="I48" s="126">
        <f t="shared" si="25"/>
        <v>-6.0978736437428198</v>
      </c>
      <c r="J48" s="126">
        <f t="shared" si="25"/>
        <v>-39.539188727736743</v>
      </c>
      <c r="K48" s="126">
        <f t="shared" si="25"/>
        <v>-39.539188727736743</v>
      </c>
      <c r="L48" s="126">
        <f t="shared" si="25"/>
        <v>-39.539188727736743</v>
      </c>
      <c r="M48" s="126">
        <f t="shared" si="25"/>
        <v>-5.6616689570691081</v>
      </c>
      <c r="N48" s="126">
        <f t="shared" si="25"/>
        <v>-5.6616689570691081</v>
      </c>
      <c r="O48" s="127">
        <f t="shared" si="24"/>
        <v>-12.526195643376973</v>
      </c>
    </row>
    <row r="49" spans="1:15" x14ac:dyDescent="0.25"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7"/>
    </row>
    <row r="50" spans="1:15" x14ac:dyDescent="0.25"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7"/>
    </row>
    <row r="51" spans="1:15" x14ac:dyDescent="0.25">
      <c r="B51" s="126">
        <f>+B38+B39+B40+B12</f>
        <v>1034.308747963333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7"/>
    </row>
    <row r="52" spans="1:15" x14ac:dyDescent="0.25"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7"/>
    </row>
    <row r="53" spans="1:15" ht="13.7" customHeight="1" x14ac:dyDescent="0.25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7"/>
    </row>
    <row r="54" spans="1:15" x14ac:dyDescent="0.25">
      <c r="A54" s="73" t="s">
        <v>422</v>
      </c>
    </row>
    <row r="55" spans="1:15" ht="15.75" x14ac:dyDescent="0.25">
      <c r="A55" s="119" t="s">
        <v>129</v>
      </c>
      <c r="B55" s="1">
        <v>2010</v>
      </c>
      <c r="C55" s="1">
        <v>2011</v>
      </c>
      <c r="D55" s="1">
        <v>2012</v>
      </c>
      <c r="E55" s="1">
        <v>2013</v>
      </c>
      <c r="F55" s="1">
        <v>2014</v>
      </c>
      <c r="G55" s="1">
        <v>2015</v>
      </c>
      <c r="H55" s="1">
        <v>2016</v>
      </c>
      <c r="I55" s="1">
        <v>2017</v>
      </c>
      <c r="J55" s="1">
        <v>2018</v>
      </c>
      <c r="K55" s="1">
        <v>2019</v>
      </c>
      <c r="L55" s="1">
        <v>2020</v>
      </c>
      <c r="M55" s="1">
        <v>2021</v>
      </c>
      <c r="N55" s="1">
        <v>2022</v>
      </c>
    </row>
    <row r="56" spans="1:15" ht="15.75" x14ac:dyDescent="0.25">
      <c r="A56" s="120" t="s">
        <v>18</v>
      </c>
      <c r="B56" s="75">
        <f>(+INGEI!C$9)*'5ta'!$R87/1000</f>
        <v>91.739112408788344</v>
      </c>
      <c r="C56" s="75">
        <f>(+INGEI!D$9)*'5ta'!$R87/1000</f>
        <v>91.739112408788344</v>
      </c>
      <c r="D56" s="75">
        <f>(+INGEI!E$9)*'5ta'!$R87/1000</f>
        <v>91.739112408788344</v>
      </c>
      <c r="E56" s="75">
        <f>(+INGEI!F$9)*'5ta'!$R87/1000</f>
        <v>91.739112408788344</v>
      </c>
      <c r="F56" s="75">
        <f>(+INGEI!G$9)*'5ta'!$R87/1000</f>
        <v>91.739112408788344</v>
      </c>
      <c r="G56" s="75">
        <f>(+INGEI!H$9)*'5ta'!$R87/1000</f>
        <v>94.170916971607994</v>
      </c>
      <c r="H56" s="75">
        <f>(+INGEI!I$9)*'5ta'!$R87/1000</f>
        <v>96.602721534427602</v>
      </c>
      <c r="I56" s="75">
        <f>(+INGEI!J$9)*'5ta'!$R87/1000</f>
        <v>90.016612193529838</v>
      </c>
      <c r="J56" s="75">
        <f>(+INGEI!K$9)*'5ta'!$R87/1000</f>
        <v>83.430502852632088</v>
      </c>
      <c r="K56" s="75">
        <f>(+INGEI!L$9)*'5ta'!$R87/1000</f>
        <v>82.08584159707587</v>
      </c>
      <c r="L56" s="75">
        <f>(+INGEI!M$9)*'5ta'!$R87/1000</f>
        <v>82.08584159707587</v>
      </c>
      <c r="M56" s="75">
        <f>(+INGEI!N$9)*'5ta'!$R87/1000</f>
        <v>91.250766814995671</v>
      </c>
      <c r="N56" s="75">
        <f>(+INGEI!O$9)*'5ta'!$R87/1000</f>
        <v>91.250766814995671</v>
      </c>
    </row>
    <row r="57" spans="1:15" ht="15.75" x14ac:dyDescent="0.25">
      <c r="A57" s="120" t="s">
        <v>20</v>
      </c>
      <c r="B57" s="75">
        <f>(+INGEI!C$9)*'5ta'!$R88/1000</f>
        <v>895.84948435259764</v>
      </c>
      <c r="C57" s="75">
        <f>(+INGEI!D$9)*'5ta'!$R88/1000</f>
        <v>895.84948435259764</v>
      </c>
      <c r="D57" s="75">
        <f>(+INGEI!E$9)*'5ta'!$R88/1000</f>
        <v>895.84948435259764</v>
      </c>
      <c r="E57" s="75">
        <f>(+INGEI!F$9)*'5ta'!$R88/1000</f>
        <v>895.84948435259764</v>
      </c>
      <c r="F57" s="75">
        <f>(+INGEI!G$9)*'5ta'!$R88/1000</f>
        <v>895.84948435259764</v>
      </c>
      <c r="G57" s="75">
        <f>(+INGEI!H$9)*'5ta'!$R88/1000</f>
        <v>919.59650791154331</v>
      </c>
      <c r="H57" s="75">
        <f>(+INGEI!I$9)*'5ta'!$R88/1000</f>
        <v>943.34353147048898</v>
      </c>
      <c r="I57" s="75">
        <f>(+INGEI!J$9)*'5ta'!$R88/1000</f>
        <v>879.02894958700563</v>
      </c>
      <c r="J57" s="75">
        <f>(+INGEI!K$9)*'5ta'!$R88/1000</f>
        <v>814.71436770352261</v>
      </c>
      <c r="K57" s="75">
        <f>(+INGEI!L$9)*'5ta'!$R88/1000</f>
        <v>801.58350060889427</v>
      </c>
      <c r="L57" s="75">
        <f>(+INGEI!M$9)*'5ta'!$R88/1000</f>
        <v>801.58350060889427</v>
      </c>
      <c r="M57" s="75">
        <f>(+INGEI!N$9)*'5ta'!$R88/1000</f>
        <v>891.08069885971418</v>
      </c>
      <c r="N57" s="75">
        <f>(+INGEI!O$9)*'5ta'!$R88/1000</f>
        <v>891.08069885971418</v>
      </c>
    </row>
    <row r="58" spans="1:15" ht="15.75" x14ac:dyDescent="0.25">
      <c r="A58" s="120" t="s">
        <v>21</v>
      </c>
      <c r="B58" s="75">
        <f>(+INGEI!C$9)*'5ta'!$R89/1000</f>
        <v>8566.2003926714733</v>
      </c>
      <c r="C58" s="75">
        <f>(+INGEI!D$9)*'5ta'!$R89/1000</f>
        <v>8566.2003926714733</v>
      </c>
      <c r="D58" s="75">
        <f>(+INGEI!E$9)*'5ta'!$R89/1000</f>
        <v>8566.2003926714733</v>
      </c>
      <c r="E58" s="75">
        <f>(+INGEI!F$9)*'5ta'!$R89/1000</f>
        <v>8566.2003926714733</v>
      </c>
      <c r="F58" s="75">
        <f>(+INGEI!G$9)*'5ta'!$R89/1000</f>
        <v>8566.2003926714733</v>
      </c>
      <c r="G58" s="75">
        <f>(+INGEI!H$9)*'5ta'!$R89/1000</f>
        <v>8793.2717546452168</v>
      </c>
      <c r="H58" s="75">
        <f>(+INGEI!I$9)*'5ta'!$R89/1000</f>
        <v>9020.3431166189566</v>
      </c>
      <c r="I58" s="75">
        <f>(+INGEI!J$9)*'5ta'!$R89/1000</f>
        <v>8405.3607940216116</v>
      </c>
      <c r="J58" s="75">
        <f>(+INGEI!K$9)*'5ta'!$R89/1000</f>
        <v>7790.3784714242656</v>
      </c>
      <c r="K58" s="75">
        <f>(+INGEI!L$9)*'5ta'!$R89/1000</f>
        <v>7664.8198359315993</v>
      </c>
      <c r="L58" s="75">
        <f>(+INGEI!M$9)*'5ta'!$R89/1000</f>
        <v>7664.8198359315993</v>
      </c>
      <c r="M58" s="75">
        <f>(+INGEI!N$9)*'5ta'!$R89/1000</f>
        <v>8520.6007993522617</v>
      </c>
      <c r="N58" s="75">
        <f>(+INGEI!O$9)*'5ta'!$R89/1000</f>
        <v>8520.6007993522617</v>
      </c>
    </row>
    <row r="59" spans="1:15" ht="31.5" x14ac:dyDescent="0.25">
      <c r="A59" s="120" t="s">
        <v>22</v>
      </c>
      <c r="B59" s="75">
        <f>(+INGEI!C$9)*'5ta'!$R90/1000</f>
        <v>3482.1052181780865</v>
      </c>
      <c r="C59" s="75">
        <f>(+INGEI!D$9)*'5ta'!$R90/1000</f>
        <v>3482.1052181780865</v>
      </c>
      <c r="D59" s="75">
        <f>(+INGEI!E$9)*'5ta'!$R90/1000</f>
        <v>3482.1052181780865</v>
      </c>
      <c r="E59" s="75">
        <f>(+INGEI!F$9)*'5ta'!$R90/1000</f>
        <v>3482.1052181780865</v>
      </c>
      <c r="F59" s="75">
        <f>(+INGEI!G$9)*'5ta'!$R90/1000</f>
        <v>3482.1052181780865</v>
      </c>
      <c r="G59" s="75">
        <f>(+INGEI!H$9)*'5ta'!$R90/1000</f>
        <v>3574.4082624897769</v>
      </c>
      <c r="H59" s="75">
        <f>(+INGEI!I$9)*'5ta'!$R90/1000</f>
        <v>3666.7113068014669</v>
      </c>
      <c r="I59" s="75">
        <f>(+INGEI!J$9)*'5ta'!$R90/1000</f>
        <v>3416.7249585442473</v>
      </c>
      <c r="J59" s="75">
        <f>(+INGEI!K$9)*'5ta'!$R90/1000</f>
        <v>3166.7386102870282</v>
      </c>
      <c r="K59" s="75">
        <f>(+INGEI!L$9)*'5ta'!$R90/1000</f>
        <v>3115.6998346578275</v>
      </c>
      <c r="L59" s="75">
        <f>(+INGEI!M$9)*'5ta'!$R90/1000</f>
        <v>3115.6998346578275</v>
      </c>
      <c r="M59" s="75">
        <f>(+INGEI!N$9)*'5ta'!$R90/1000</f>
        <v>3463.5692775550456</v>
      </c>
      <c r="N59" s="75">
        <f>(+INGEI!O$9)*'5ta'!$R90/1000</f>
        <v>3463.5692775550456</v>
      </c>
    </row>
    <row r="60" spans="1:15" ht="31.5" x14ac:dyDescent="0.25">
      <c r="A60" s="120" t="s">
        <v>23</v>
      </c>
      <c r="B60" s="75">
        <f>(+INGEI!C$9)*'5ta'!$R91/1000</f>
        <v>2398.0356974994615</v>
      </c>
      <c r="C60" s="75">
        <f>(+INGEI!D$9)*'5ta'!$R91/1000</f>
        <v>2398.0356974994615</v>
      </c>
      <c r="D60" s="75">
        <f>(+INGEI!E$9)*'5ta'!$R91/1000</f>
        <v>2398.0356974994615</v>
      </c>
      <c r="E60" s="75">
        <f>(+INGEI!F$9)*'5ta'!$R91/1000</f>
        <v>2398.0356974994615</v>
      </c>
      <c r="F60" s="75">
        <f>(+INGEI!G$9)*'5ta'!$R91/1000</f>
        <v>2398.0356974994615</v>
      </c>
      <c r="G60" s="75">
        <f>(+INGEI!H$9)*'5ta'!$R91/1000</f>
        <v>2461.6024140052659</v>
      </c>
      <c r="H60" s="75">
        <f>(+INGEI!I$9)*'5ta'!$R91/1000</f>
        <v>2525.1691305110699</v>
      </c>
      <c r="I60" s="75">
        <f>(+INGEI!J$9)*'5ta'!$R91/1000</f>
        <v>2353.0100056578567</v>
      </c>
      <c r="J60" s="75">
        <f>(+INGEI!K$9)*'5ta'!$R91/1000</f>
        <v>2180.8508808046449</v>
      </c>
      <c r="K60" s="75">
        <f>(+INGEI!L$9)*'5ta'!$R91/1000</f>
        <v>2145.7017976360644</v>
      </c>
      <c r="L60" s="75">
        <f>(+INGEI!M$9)*'5ta'!$R91/1000</f>
        <v>2145.7017976360644</v>
      </c>
      <c r="M60" s="75">
        <f>(+INGEI!N$9)*'5ta'!$R91/1000</f>
        <v>2385.2704751653587</v>
      </c>
      <c r="N60" s="75">
        <f>(+INGEI!O$9)*'5ta'!$R91/1000</f>
        <v>2385.2704751653587</v>
      </c>
    </row>
    <row r="61" spans="1:15" ht="31.5" x14ac:dyDescent="0.25">
      <c r="A61" s="120" t="s">
        <v>24</v>
      </c>
      <c r="B61" s="75">
        <f>(+INGEI!C$9)*'5ta'!$R92/1000</f>
        <v>17547.619390430911</v>
      </c>
      <c r="C61" s="75">
        <f>(+INGEI!D$9)*'5ta'!$R92/1000</f>
        <v>17547.619390430911</v>
      </c>
      <c r="D61" s="75">
        <f>(+INGEI!E$9)*'5ta'!$R92/1000</f>
        <v>17547.619390430911</v>
      </c>
      <c r="E61" s="75">
        <f>(+INGEI!F$9)*'5ta'!$R92/1000</f>
        <v>17547.619390430911</v>
      </c>
      <c r="F61" s="75">
        <f>(+INGEI!G$9)*'5ta'!$R92/1000</f>
        <v>17547.619390430911</v>
      </c>
      <c r="G61" s="75">
        <f>(+INGEI!H$9)*'5ta'!$R92/1000</f>
        <v>18012.76865751914</v>
      </c>
      <c r="H61" s="75">
        <f>(+INGEI!I$9)*'5ta'!$R92/1000</f>
        <v>18477.917924607358</v>
      </c>
      <c r="I61" s="75">
        <f>(+INGEI!J$9)*'5ta'!$R92/1000</f>
        <v>17218.144018545845</v>
      </c>
      <c r="J61" s="75">
        <f>(+INGEI!K$9)*'5ta'!$R92/1000</f>
        <v>15958.370112484328</v>
      </c>
      <c r="K61" s="75">
        <f>(+INGEI!L$9)*'5ta'!$R92/1000</f>
        <v>15701.166796450292</v>
      </c>
      <c r="L61" s="75">
        <f>(+INGEI!M$9)*'5ta'!$R92/1000</f>
        <v>15701.166796450292</v>
      </c>
      <c r="M61" s="75">
        <f>(+INGEI!N$9)*'5ta'!$R92/1000</f>
        <v>17454.209912337388</v>
      </c>
      <c r="N61" s="75">
        <f>(+INGEI!O$9)*'5ta'!$R92/1000</f>
        <v>17454.209912337388</v>
      </c>
    </row>
    <row r="62" spans="1:15" ht="31.5" x14ac:dyDescent="0.25">
      <c r="A62" s="120" t="s">
        <v>25</v>
      </c>
      <c r="B62" s="75">
        <f>(+INGEI!C$9)*'5ta'!$R93/1000</f>
        <v>1944.1390038254137</v>
      </c>
      <c r="C62" s="75">
        <f>(+INGEI!D$9)*'5ta'!$R93/1000</f>
        <v>1944.1390038254137</v>
      </c>
      <c r="D62" s="75">
        <f>(+INGEI!E$9)*'5ta'!$R93/1000</f>
        <v>1944.1390038254137</v>
      </c>
      <c r="E62" s="75">
        <f>(+INGEI!F$9)*'5ta'!$R93/1000</f>
        <v>1944.1390038254137</v>
      </c>
      <c r="F62" s="75">
        <f>(+INGEI!G$9)*'5ta'!$R93/1000</f>
        <v>1944.1390038254137</v>
      </c>
      <c r="G62" s="75">
        <f>(+INGEI!H$9)*'5ta'!$R93/1000</f>
        <v>1995.6739050918593</v>
      </c>
      <c r="H62" s="75">
        <f>(+INGEI!I$9)*'5ta'!$R93/1000</f>
        <v>2047.2088063583049</v>
      </c>
      <c r="I62" s="75">
        <f>(+INGEI!J$9)*'5ta'!$R93/1000</f>
        <v>1907.6357091602154</v>
      </c>
      <c r="J62" s="75">
        <f>(+INGEI!K$9)*'5ta'!$R93/1000</f>
        <v>1768.0626119621268</v>
      </c>
      <c r="K62" s="75">
        <f>(+INGEI!L$9)*'5ta'!$R93/1000</f>
        <v>1739.5664959084763</v>
      </c>
      <c r="L62" s="75">
        <f>(+INGEI!M$9)*'5ta'!$R93/1000</f>
        <v>1739.5664959084763</v>
      </c>
      <c r="M62" s="75">
        <f>(+INGEI!N$9)*'5ta'!$R93/1000</f>
        <v>1933.7899641267511</v>
      </c>
      <c r="N62" s="75">
        <f>(+INGEI!O$9)*'5ta'!$R93/1000</f>
        <v>1933.7899641267511</v>
      </c>
    </row>
    <row r="63" spans="1:15" ht="15.75" x14ac:dyDescent="0.25">
      <c r="A63" s="120" t="s">
        <v>26</v>
      </c>
      <c r="B63" s="75">
        <f>(+INGEI!C$9)*'5ta'!$R94/1000</f>
        <v>482.83106019125506</v>
      </c>
      <c r="C63" s="75">
        <f>(+INGEI!D$9)*'5ta'!$R94/1000</f>
        <v>482.83106019125506</v>
      </c>
      <c r="D63" s="75">
        <f>(+INGEI!E$9)*'5ta'!$R94/1000</f>
        <v>482.83106019125506</v>
      </c>
      <c r="E63" s="75">
        <f>(+INGEI!F$9)*'5ta'!$R94/1000</f>
        <v>482.83106019125506</v>
      </c>
      <c r="F63" s="75">
        <f>(+INGEI!G$9)*'5ta'!$R94/1000</f>
        <v>482.83106019125506</v>
      </c>
      <c r="G63" s="75">
        <f>(+INGEI!H$9)*'5ta'!$R94/1000</f>
        <v>495.62986262583865</v>
      </c>
      <c r="H63" s="75">
        <f>(+INGEI!I$9)*'5ta'!$R94/1000</f>
        <v>508.42866506042213</v>
      </c>
      <c r="I63" s="75">
        <f>(+INGEI!J$9)*'5ta'!$R94/1000</f>
        <v>473.76538925466491</v>
      </c>
      <c r="J63" s="75">
        <f>(+INGEI!K$9)*'5ta'!$R94/1000</f>
        <v>439.10211344890769</v>
      </c>
      <c r="K63" s="75">
        <f>(+INGEI!L$9)*'5ta'!$R94/1000</f>
        <v>432.02504236579875</v>
      </c>
      <c r="L63" s="75">
        <f>(+INGEI!M$9)*'5ta'!$R94/1000</f>
        <v>432.02504236579875</v>
      </c>
      <c r="M63" s="75">
        <f>(+INGEI!N$9)*'5ta'!$R94/1000</f>
        <v>480.26085415154569</v>
      </c>
      <c r="N63" s="75">
        <f>(+INGEI!O$9)*'5ta'!$R94/1000</f>
        <v>480.26085415154569</v>
      </c>
    </row>
    <row r="64" spans="1:15" ht="15.75" x14ac:dyDescent="0.25">
      <c r="A64" s="120" t="s">
        <v>27</v>
      </c>
      <c r="B64" s="75">
        <f>(+INGEI!C$9)*'5ta'!$R95/1000</f>
        <v>2019.1168459645144</v>
      </c>
      <c r="C64" s="75">
        <f>(+INGEI!D$9)*'5ta'!$R95/1000</f>
        <v>2019.1168459645144</v>
      </c>
      <c r="D64" s="75">
        <f>(+INGEI!E$9)*'5ta'!$R95/1000</f>
        <v>2019.1168459645144</v>
      </c>
      <c r="E64" s="75">
        <f>(+INGEI!F$9)*'5ta'!$R95/1000</f>
        <v>2019.1168459645144</v>
      </c>
      <c r="F64" s="75">
        <f>(+INGEI!G$9)*'5ta'!$R95/1000</f>
        <v>2019.1168459645144</v>
      </c>
      <c r="G64" s="75">
        <f>(+INGEI!H$9)*'5ta'!$R95/1000</f>
        <v>2072.6392469335055</v>
      </c>
      <c r="H64" s="75">
        <f>(+INGEI!I$9)*'5ta'!$R95/1000</f>
        <v>2126.161647902496</v>
      </c>
      <c r="I64" s="75">
        <f>(+INGEI!J$9)*'5ta'!$R95/1000</f>
        <v>1981.2057619079308</v>
      </c>
      <c r="J64" s="75">
        <f>(+INGEI!K$9)*'5ta'!$R95/1000</f>
        <v>1836.2498759133657</v>
      </c>
      <c r="K64" s="75">
        <f>(+INGEI!L$9)*'5ta'!$R95/1000</f>
        <v>1806.6547760489671</v>
      </c>
      <c r="L64" s="75">
        <f>(+INGEI!M$9)*'5ta'!$R95/1000</f>
        <v>1806.6547760489671</v>
      </c>
      <c r="M64" s="75">
        <f>(+INGEI!N$9)*'5ta'!$R95/1000</f>
        <v>2008.3686842569364</v>
      </c>
      <c r="N64" s="75">
        <f>(+INGEI!O$9)*'5ta'!$R95/1000</f>
        <v>2008.3686842569364</v>
      </c>
    </row>
    <row r="65" spans="1:15" ht="15.75" x14ac:dyDescent="0.25">
      <c r="A65" s="121" t="s">
        <v>14</v>
      </c>
      <c r="B65" s="122">
        <f t="shared" ref="B65:N65" si="26">+SUM(B56:B64)</f>
        <v>37427.636205522496</v>
      </c>
      <c r="C65" s="122">
        <f t="shared" si="26"/>
        <v>37427.636205522496</v>
      </c>
      <c r="D65" s="122">
        <f t="shared" si="26"/>
        <v>37427.636205522496</v>
      </c>
      <c r="E65" s="122">
        <f t="shared" si="26"/>
        <v>37427.636205522496</v>
      </c>
      <c r="F65" s="122">
        <f t="shared" si="26"/>
        <v>37427.636205522496</v>
      </c>
      <c r="G65" s="122">
        <f t="shared" si="26"/>
        <v>38419.761528193754</v>
      </c>
      <c r="H65" s="122">
        <f t="shared" si="26"/>
        <v>39411.88685086499</v>
      </c>
      <c r="I65" s="122">
        <f t="shared" si="26"/>
        <v>36724.892198872905</v>
      </c>
      <c r="J65" s="122">
        <f t="shared" si="26"/>
        <v>34037.89754688082</v>
      </c>
      <c r="K65" s="122">
        <f t="shared" si="26"/>
        <v>33489.303921204999</v>
      </c>
      <c r="L65" s="122">
        <f t="shared" si="26"/>
        <v>33489.303921204999</v>
      </c>
      <c r="M65" s="122">
        <f t="shared" si="26"/>
        <v>37228.40143261999</v>
      </c>
      <c r="N65" s="122">
        <f t="shared" si="26"/>
        <v>37228.40143261999</v>
      </c>
    </row>
    <row r="66" spans="1:15" ht="15.75" x14ac:dyDescent="0.25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</row>
    <row r="67" spans="1:15" ht="15.75" x14ac:dyDescent="0.25">
      <c r="A67" s="119" t="s">
        <v>118</v>
      </c>
      <c r="B67" s="1">
        <v>2010</v>
      </c>
      <c r="C67" s="1">
        <v>2011</v>
      </c>
      <c r="D67" s="1">
        <v>2012</v>
      </c>
      <c r="E67" s="1">
        <v>2013</v>
      </c>
      <c r="F67" s="1">
        <v>2014</v>
      </c>
      <c r="G67" s="1">
        <v>2015</v>
      </c>
      <c r="H67" s="1">
        <v>2016</v>
      </c>
      <c r="I67" s="1">
        <v>2017</v>
      </c>
      <c r="J67" s="1">
        <v>2018</v>
      </c>
      <c r="K67" s="1">
        <v>2019</v>
      </c>
      <c r="L67" s="1">
        <v>2020</v>
      </c>
      <c r="M67" s="1">
        <v>2021</v>
      </c>
      <c r="N67" s="1">
        <v>2022</v>
      </c>
    </row>
    <row r="68" spans="1:15" ht="15.75" x14ac:dyDescent="0.25">
      <c r="A68" s="120" t="s">
        <v>18</v>
      </c>
      <c r="B68" s="77">
        <f>('Cambio uso de suelo (BAU)'!D22)/1000</f>
        <v>2.9216550000000004E-3</v>
      </c>
      <c r="C68" s="77">
        <f>('Cambio uso de suelo (BAU)'!E22)/1000</f>
        <v>2.9216550000000004E-3</v>
      </c>
      <c r="D68" s="77">
        <f>('Cambio uso de suelo (BAU)'!F22)/1000</f>
        <v>2.9216550000000004E-3</v>
      </c>
      <c r="E68" s="77">
        <f>('Cambio uso de suelo (BAU)'!G22)/1000</f>
        <v>2.9216550000000004E-3</v>
      </c>
      <c r="F68" s="77">
        <f>('Cambio uso de suelo (BAU)'!H22)/1000</f>
        <v>2.9216550000000004E-3</v>
      </c>
      <c r="G68" s="77">
        <f>('Cambio uso de suelo (BAU)'!I22)/1000</f>
        <v>2.0444325000000003E-3</v>
      </c>
      <c r="H68" s="77">
        <f>('Cambio uso de suelo (BAU)'!J22)/1000</f>
        <v>1.1672100000000001E-3</v>
      </c>
      <c r="I68" s="77">
        <f>('Cambio uso de suelo (BAU)'!K22)/1000</f>
        <v>1.0525500000000002E-3</v>
      </c>
      <c r="J68" s="77">
        <f>('Cambio uso de suelo (BAU)'!L22)/1000</f>
        <v>9.3789000000000003E-4</v>
      </c>
      <c r="K68" s="77">
        <f>('Cambio uso de suelo (BAU)'!M22)/1000</f>
        <v>3.3829199999999998E-3</v>
      </c>
      <c r="L68" s="77">
        <f>('Cambio uso de suelo (BAU)'!N22)/1000</f>
        <v>3.3829199999999998E-3</v>
      </c>
      <c r="M68" s="77">
        <f>('Cambio uso de suelo (BAU)'!O22)/1000</f>
        <v>2.3929200000000002E-3</v>
      </c>
      <c r="N68" s="77">
        <f>('Cambio uso de suelo (BAU)'!P22)/1000</f>
        <v>2.3929200000000002E-3</v>
      </c>
    </row>
    <row r="69" spans="1:15" ht="15.75" x14ac:dyDescent="0.25">
      <c r="A69" s="120" t="s">
        <v>20</v>
      </c>
      <c r="B69" s="77">
        <f>('Cambio uso de suelo (BAU)'!D23)/1000</f>
        <v>1.4129010000000008E-2</v>
      </c>
      <c r="C69" s="77">
        <f>('Cambio uso de suelo (BAU)'!E23)/1000</f>
        <v>1.4129010000000008E-2</v>
      </c>
      <c r="D69" s="77">
        <f>('Cambio uso de suelo (BAU)'!F23)/1000</f>
        <v>1.4129010000000008E-2</v>
      </c>
      <c r="E69" s="77">
        <f>('Cambio uso de suelo (BAU)'!G23)/1000</f>
        <v>1.4129010000000008E-2</v>
      </c>
      <c r="F69" s="77">
        <f>('Cambio uso de suelo (BAU)'!H23)/1000</f>
        <v>1.4129010000000008E-2</v>
      </c>
      <c r="G69" s="77">
        <f>('Cambio uso de suelo (BAU)'!I23)/1000</f>
        <v>1.3915642500000004E-2</v>
      </c>
      <c r="H69" s="77">
        <f>('Cambio uso de suelo (BAU)'!J23)/1000</f>
        <v>1.3702274999999998E-2</v>
      </c>
      <c r="I69" s="77">
        <f>('Cambio uso de suelo (BAU)'!K23)/1000</f>
        <v>1.18719675E-2</v>
      </c>
      <c r="J69" s="77">
        <f>('Cambio uso de suelo (BAU)'!L23)/1000</f>
        <v>1.0041660000000001E-2</v>
      </c>
      <c r="K69" s="77">
        <f>('Cambio uso de suelo (BAU)'!M23)/1000</f>
        <v>1.1193209999999999E-2</v>
      </c>
      <c r="L69" s="77">
        <f>('Cambio uso de suelo (BAU)'!N23)/1000</f>
        <v>1.1193209999999999E-2</v>
      </c>
      <c r="M69" s="77">
        <f>('Cambio uso de suelo (BAU)'!O23)/1000</f>
        <v>1.4441400000000002E-2</v>
      </c>
      <c r="N69" s="77">
        <f>('Cambio uso de suelo (BAU)'!P23)/1000</f>
        <v>1.4441400000000002E-2</v>
      </c>
    </row>
    <row r="70" spans="1:15" ht="15.75" x14ac:dyDescent="0.25">
      <c r="A70" s="120" t="s">
        <v>21</v>
      </c>
      <c r="B70" s="77">
        <f>('Cambio uso de suelo (BAU)'!D24)/1000</f>
        <v>1.3631910000000001E-2</v>
      </c>
      <c r="C70" s="77">
        <f>('Cambio uso de suelo (BAU)'!E24)/1000</f>
        <v>1.3631910000000001E-2</v>
      </c>
      <c r="D70" s="77">
        <f>('Cambio uso de suelo (BAU)'!F24)/1000</f>
        <v>1.3631910000000001E-2</v>
      </c>
      <c r="E70" s="77">
        <f>('Cambio uso de suelo (BAU)'!G24)/1000</f>
        <v>1.3631910000000001E-2</v>
      </c>
      <c r="F70" s="77">
        <f>('Cambio uso de suelo (BAU)'!H24)/1000</f>
        <v>1.3631910000000001E-2</v>
      </c>
      <c r="G70" s="77">
        <f>('Cambio uso de suelo (BAU)'!I24)/1000</f>
        <v>1.3444095E-2</v>
      </c>
      <c r="H70" s="77">
        <f>('Cambio uso de suelo (BAU)'!J24)/1000</f>
        <v>1.3256279999999997E-2</v>
      </c>
      <c r="I70" s="77">
        <f>('Cambio uso de suelo (BAU)'!K24)/1000</f>
        <v>1.2232394999999998E-2</v>
      </c>
      <c r="J70" s="77">
        <f>('Cambio uso de suelo (BAU)'!L24)/1000</f>
        <v>1.120851E-2</v>
      </c>
      <c r="K70" s="77">
        <f>('Cambio uso de suelo (BAU)'!M24)/1000</f>
        <v>1.109066E-2</v>
      </c>
      <c r="L70" s="77">
        <f>('Cambio uso de suelo (BAU)'!N24)/1000</f>
        <v>1.109066E-2</v>
      </c>
      <c r="M70" s="77">
        <f>('Cambio uso de suelo (BAU)'!O24)/1000</f>
        <v>8.75394E-3</v>
      </c>
      <c r="N70" s="77">
        <f>('Cambio uso de suelo (BAU)'!P24)/1000</f>
        <v>8.75394E-3</v>
      </c>
    </row>
    <row r="71" spans="1:15" ht="31.5" x14ac:dyDescent="0.25">
      <c r="A71" s="120" t="s">
        <v>22</v>
      </c>
      <c r="B71" s="77">
        <f>('Cambio uso de suelo (BAU)'!D25)/1000</f>
        <v>1.9148414999999998E-2</v>
      </c>
      <c r="C71" s="77">
        <f>('Cambio uso de suelo (BAU)'!E25)/1000</f>
        <v>1.9148414999999998E-2</v>
      </c>
      <c r="D71" s="77">
        <f>('Cambio uso de suelo (BAU)'!F25)/1000</f>
        <v>1.9148414999999998E-2</v>
      </c>
      <c r="E71" s="77">
        <f>('Cambio uso de suelo (BAU)'!G25)/1000</f>
        <v>1.9148414999999998E-2</v>
      </c>
      <c r="F71" s="77">
        <f>('Cambio uso de suelo (BAU)'!H25)/1000</f>
        <v>1.9148414999999998E-2</v>
      </c>
      <c r="G71" s="77">
        <f>('Cambio uso de suelo (BAU)'!I25)/1000</f>
        <v>1.5017677500000002E-2</v>
      </c>
      <c r="H71" s="77">
        <f>('Cambio uso de suelo (BAU)'!J25)/1000</f>
        <v>1.0886940000000001E-2</v>
      </c>
      <c r="I71" s="77">
        <f>('Cambio uso de suelo (BAU)'!K25)/1000</f>
        <v>1.051434E-2</v>
      </c>
      <c r="J71" s="77">
        <f>('Cambio uso de suelo (BAU)'!L25)/1000</f>
        <v>1.014174E-2</v>
      </c>
      <c r="K71" s="77">
        <f>('Cambio uso de suelo (BAU)'!M25)/1000</f>
        <v>8.8615350000000002E-3</v>
      </c>
      <c r="L71" s="77">
        <f>('Cambio uso de suelo (BAU)'!N25)/1000</f>
        <v>8.8615350000000002E-3</v>
      </c>
      <c r="M71" s="77">
        <f>('Cambio uso de suelo (BAU)'!O25)/1000</f>
        <v>1.1154645000000001E-2</v>
      </c>
      <c r="N71" s="77">
        <f>('Cambio uso de suelo (BAU)'!P25)/1000</f>
        <v>1.1154645000000001E-2</v>
      </c>
    </row>
    <row r="72" spans="1:15" ht="31.5" x14ac:dyDescent="0.25">
      <c r="A72" s="120" t="s">
        <v>23</v>
      </c>
      <c r="B72" s="77">
        <f>('Cambio uso de suelo (BAU)'!D26)/1000</f>
        <v>2.5439550000000005E-3</v>
      </c>
      <c r="C72" s="77">
        <f>('Cambio uso de suelo (BAU)'!E26)/1000</f>
        <v>2.5439550000000005E-3</v>
      </c>
      <c r="D72" s="77">
        <f>('Cambio uso de suelo (BAU)'!F26)/1000</f>
        <v>2.5439550000000005E-3</v>
      </c>
      <c r="E72" s="77">
        <f>('Cambio uso de suelo (BAU)'!G26)/1000</f>
        <v>2.5439550000000005E-3</v>
      </c>
      <c r="F72" s="77">
        <f>('Cambio uso de suelo (BAU)'!H26)/1000</f>
        <v>2.5439550000000005E-3</v>
      </c>
      <c r="G72" s="77">
        <f>('Cambio uso de suelo (BAU)'!I26)/1000</f>
        <v>2.7403950000000005E-3</v>
      </c>
      <c r="H72" s="77">
        <f>('Cambio uso de suelo (BAU)'!J26)/1000</f>
        <v>2.9368350000000001E-3</v>
      </c>
      <c r="I72" s="77">
        <f>('Cambio uso de suelo (BAU)'!K26)/1000</f>
        <v>2.6194974999999994E-3</v>
      </c>
      <c r="J72" s="77">
        <f>('Cambio uso de suelo (BAU)'!L26)/1000</f>
        <v>2.3021599999999997E-3</v>
      </c>
      <c r="K72" s="77">
        <f>('Cambio uso de suelo (BAU)'!M26)/1000</f>
        <v>3.16913E-3</v>
      </c>
      <c r="L72" s="77">
        <f>('Cambio uso de suelo (BAU)'!N26)/1000</f>
        <v>3.16913E-3</v>
      </c>
      <c r="M72" s="77">
        <f>('Cambio uso de suelo (BAU)'!O26)/1000</f>
        <v>1.3572899999999999E-3</v>
      </c>
      <c r="N72" s="77">
        <f>('Cambio uso de suelo (BAU)'!P26)/1000</f>
        <v>1.3572899999999999E-3</v>
      </c>
    </row>
    <row r="73" spans="1:15" ht="31.5" x14ac:dyDescent="0.25">
      <c r="A73" s="120" t="s">
        <v>24</v>
      </c>
      <c r="B73" s="77">
        <f>('Cambio uso de suelo (BAU)'!D27)/1000</f>
        <v>2.2227494999999996E-2</v>
      </c>
      <c r="C73" s="77">
        <f>('Cambio uso de suelo (BAU)'!E27)/1000</f>
        <v>2.2227494999999996E-2</v>
      </c>
      <c r="D73" s="77">
        <f>('Cambio uso de suelo (BAU)'!F27)/1000</f>
        <v>2.2227494999999996E-2</v>
      </c>
      <c r="E73" s="77">
        <f>('Cambio uso de suelo (BAU)'!G27)/1000</f>
        <v>2.2227494999999996E-2</v>
      </c>
      <c r="F73" s="77">
        <f>('Cambio uso de suelo (BAU)'!H27)/1000</f>
        <v>2.2227494999999996E-2</v>
      </c>
      <c r="G73" s="77">
        <f>('Cambio uso de suelo (BAU)'!I27)/1000</f>
        <v>2.4651502499999998E-2</v>
      </c>
      <c r="H73" s="77">
        <f>('Cambio uso de suelo (BAU)'!J27)/1000</f>
        <v>2.7075510000000001E-2</v>
      </c>
      <c r="I73" s="77">
        <f>('Cambio uso de suelo (BAU)'!K27)/1000</f>
        <v>2.5636365000000001E-2</v>
      </c>
      <c r="J73" s="77">
        <f>('Cambio uso de suelo (BAU)'!L27)/1000</f>
        <v>2.4197220000000002E-2</v>
      </c>
      <c r="K73" s="77">
        <f>('Cambio uso de suelo (BAU)'!M27)/1000</f>
        <v>2.699874E-2</v>
      </c>
      <c r="L73" s="77">
        <f>('Cambio uso de suelo (BAU)'!N27)/1000</f>
        <v>2.699874E-2</v>
      </c>
      <c r="M73" s="77">
        <f>('Cambio uso de suelo (BAU)'!O27)/1000</f>
        <v>2.8947375000000001E-2</v>
      </c>
      <c r="N73" s="77">
        <f>('Cambio uso de suelo (BAU)'!P27)/1000</f>
        <v>2.8947375000000001E-2</v>
      </c>
    </row>
    <row r="74" spans="1:15" ht="31.5" x14ac:dyDescent="0.25">
      <c r="A74" s="120" t="s">
        <v>25</v>
      </c>
      <c r="B74" s="77">
        <f>('Cambio uso de suelo (BAU)'!D28)/1000</f>
        <v>1.9344360000000001E-2</v>
      </c>
      <c r="C74" s="77">
        <f>('Cambio uso de suelo (BAU)'!E28)/1000</f>
        <v>1.9344360000000001E-2</v>
      </c>
      <c r="D74" s="77">
        <f>('Cambio uso de suelo (BAU)'!F28)/1000</f>
        <v>1.9344360000000001E-2</v>
      </c>
      <c r="E74" s="77">
        <f>('Cambio uso de suelo (BAU)'!G28)/1000</f>
        <v>1.9344360000000001E-2</v>
      </c>
      <c r="F74" s="77">
        <f>('Cambio uso de suelo (BAU)'!H28)/1000</f>
        <v>1.9344360000000001E-2</v>
      </c>
      <c r="G74" s="77">
        <f>('Cambio uso de suelo (BAU)'!I28)/1000</f>
        <v>1.9871790000000004E-2</v>
      </c>
      <c r="H74" s="77">
        <f>('Cambio uso de suelo (BAU)'!J28)/1000</f>
        <v>2.0399220000000003E-2</v>
      </c>
      <c r="I74" s="77">
        <f>('Cambio uso de suelo (BAU)'!K28)/1000</f>
        <v>1.9175940000000006E-2</v>
      </c>
      <c r="J74" s="77">
        <f>('Cambio uso de suelo (BAU)'!L28)/1000</f>
        <v>1.7952660000000002E-2</v>
      </c>
      <c r="K74" s="77">
        <f>('Cambio uso de suelo (BAU)'!M28)/1000</f>
        <v>1.6612380000000003E-2</v>
      </c>
      <c r="L74" s="77">
        <f>('Cambio uso de suelo (BAU)'!N28)/1000</f>
        <v>1.6612380000000003E-2</v>
      </c>
      <c r="M74" s="77">
        <f>('Cambio uso de suelo (BAU)'!O28)/1000</f>
        <v>2.3323995000000004E-2</v>
      </c>
      <c r="N74" s="77">
        <f>('Cambio uso de suelo (BAU)'!P28)/1000</f>
        <v>2.3323995000000004E-2</v>
      </c>
    </row>
    <row r="75" spans="1:15" ht="15.75" x14ac:dyDescent="0.25">
      <c r="A75" s="120" t="s">
        <v>26</v>
      </c>
      <c r="B75" s="77">
        <f>('Cambio uso de suelo (BAU)'!D29)/1000</f>
        <v>3.6352500000000012E-4</v>
      </c>
      <c r="C75" s="77">
        <f>('Cambio uso de suelo (BAU)'!E29)/1000</f>
        <v>3.6352500000000012E-4</v>
      </c>
      <c r="D75" s="77">
        <f>('Cambio uso de suelo (BAU)'!F29)/1000</f>
        <v>3.6352500000000012E-4</v>
      </c>
      <c r="E75" s="77">
        <f>('Cambio uso de suelo (BAU)'!G29)/1000</f>
        <v>3.6352500000000012E-4</v>
      </c>
      <c r="F75" s="77">
        <f>('Cambio uso de suelo (BAU)'!H29)/1000</f>
        <v>3.6352500000000012E-4</v>
      </c>
      <c r="G75" s="77">
        <f>('Cambio uso de suelo (BAU)'!I29)/1000</f>
        <v>5.6131500000000038E-4</v>
      </c>
      <c r="H75" s="77">
        <f>('Cambio uso de suelo (BAU)'!J29)/1000</f>
        <v>7.5910500000000059E-4</v>
      </c>
      <c r="I75" s="77">
        <f>('Cambio uso de suelo (BAU)'!K29)/1000</f>
        <v>5.3824750000000033E-4</v>
      </c>
      <c r="J75" s="77">
        <f>('Cambio uso de suelo (BAU)'!L29)/1000</f>
        <v>3.1739000000000002E-4</v>
      </c>
      <c r="K75" s="77">
        <f>('Cambio uso de suelo (BAU)'!M29)/1000</f>
        <v>1.3797000000000001E-4</v>
      </c>
      <c r="L75" s="77">
        <f>('Cambio uso de suelo (BAU)'!N29)/1000</f>
        <v>1.3797000000000001E-4</v>
      </c>
      <c r="M75" s="77">
        <f>('Cambio uso de suelo (BAU)'!O29)/1000</f>
        <v>3.2958E-4</v>
      </c>
      <c r="N75" s="77">
        <f>('Cambio uso de suelo (BAU)'!P29)/1000</f>
        <v>3.2958E-4</v>
      </c>
    </row>
    <row r="76" spans="1:15" ht="15.75" x14ac:dyDescent="0.25">
      <c r="A76" s="120" t="s">
        <v>27</v>
      </c>
      <c r="B76" s="77">
        <f>('Cambio uso de suelo (BAU)'!D30)/1000</f>
        <v>4.2367500000000004E-4</v>
      </c>
      <c r="C76" s="77">
        <f>('Cambio uso de suelo (BAU)'!E30)/1000</f>
        <v>4.2367500000000004E-4</v>
      </c>
      <c r="D76" s="77">
        <f>('Cambio uso de suelo (BAU)'!F30)/1000</f>
        <v>4.2367500000000004E-4</v>
      </c>
      <c r="E76" s="77">
        <f>('Cambio uso de suelo (BAU)'!G30)/1000</f>
        <v>4.2367500000000004E-4</v>
      </c>
      <c r="F76" s="77">
        <f>('Cambio uso de suelo (BAU)'!H30)/1000</f>
        <v>4.2367500000000004E-4</v>
      </c>
      <c r="G76" s="77">
        <f>('Cambio uso de suelo (BAU)'!I30)/1000</f>
        <v>5.0665500000000006E-4</v>
      </c>
      <c r="H76" s="77">
        <f>('Cambio uso de suelo (BAU)'!J30)/1000</f>
        <v>5.8963500000000003E-4</v>
      </c>
      <c r="I76" s="77">
        <f>('Cambio uso de suelo (BAU)'!K30)/1000</f>
        <v>4.6327499999999997E-4</v>
      </c>
      <c r="J76" s="77">
        <f>('Cambio uso de suelo (BAU)'!L30)/1000</f>
        <v>3.3691500000000002E-4</v>
      </c>
      <c r="K76" s="77">
        <f>('Cambio uso de suelo (BAU)'!M30)/1000</f>
        <v>6.2104999999999994E-4</v>
      </c>
      <c r="L76" s="77">
        <f>('Cambio uso de suelo (BAU)'!N30)/1000</f>
        <v>6.2104999999999994E-4</v>
      </c>
      <c r="M76" s="77">
        <f>('Cambio uso de suelo (BAU)'!O30)/1000</f>
        <v>6.6789000000000009E-4</v>
      </c>
      <c r="N76" s="77">
        <f>('Cambio uso de suelo (BAU)'!P30)/1000</f>
        <v>6.6789000000000009E-4</v>
      </c>
    </row>
    <row r="77" spans="1:15" ht="15.75" x14ac:dyDescent="0.25">
      <c r="A77" s="123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</row>
    <row r="78" spans="1:15" ht="16.5" thickBot="1" x14ac:dyDescent="0.3">
      <c r="A78" s="119" t="s">
        <v>119</v>
      </c>
      <c r="B78" s="1">
        <v>2010</v>
      </c>
      <c r="C78" s="1">
        <v>2011</v>
      </c>
      <c r="D78" s="1">
        <v>2012</v>
      </c>
      <c r="E78" s="1">
        <v>2013</v>
      </c>
      <c r="F78" s="1">
        <v>2014</v>
      </c>
      <c r="G78" s="1">
        <v>2015</v>
      </c>
      <c r="H78" s="1">
        <v>2016</v>
      </c>
      <c r="I78" s="1">
        <v>2017</v>
      </c>
      <c r="J78" s="1">
        <v>2018</v>
      </c>
      <c r="K78" s="1">
        <v>2019</v>
      </c>
      <c r="L78" s="1">
        <v>2020</v>
      </c>
      <c r="M78" s="1">
        <v>2021</v>
      </c>
      <c r="N78" s="1">
        <v>2022</v>
      </c>
    </row>
    <row r="79" spans="1:15" x14ac:dyDescent="0.25">
      <c r="A79" s="29" t="s">
        <v>170</v>
      </c>
      <c r="B79" s="126">
        <f>+B56/B68</f>
        <v>31399.707497561598</v>
      </c>
      <c r="C79" s="126">
        <f t="shared" ref="C79:N79" si="27">+C56/C68</f>
        <v>31399.707497561598</v>
      </c>
      <c r="D79" s="126">
        <f t="shared" si="27"/>
        <v>31399.707497561598</v>
      </c>
      <c r="E79" s="126">
        <f t="shared" si="27"/>
        <v>31399.707497561598</v>
      </c>
      <c r="F79" s="126">
        <f t="shared" si="27"/>
        <v>31399.707497561598</v>
      </c>
      <c r="G79" s="126">
        <f t="shared" si="27"/>
        <v>46062.130675191271</v>
      </c>
      <c r="H79" s="126">
        <f t="shared" si="27"/>
        <v>82763.788465167017</v>
      </c>
      <c r="I79" s="126">
        <f t="shared" si="27"/>
        <v>85522.409570595046</v>
      </c>
      <c r="J79" s="126">
        <f t="shared" si="27"/>
        <v>88955.530875296768</v>
      </c>
      <c r="K79" s="126">
        <f t="shared" si="27"/>
        <v>24264.789470952866</v>
      </c>
      <c r="L79" s="126">
        <f t="shared" si="27"/>
        <v>24264.789470952866</v>
      </c>
      <c r="M79" s="126">
        <f t="shared" si="27"/>
        <v>38133.647098522168</v>
      </c>
      <c r="N79" s="126">
        <f t="shared" si="27"/>
        <v>38133.647098522168</v>
      </c>
      <c r="O79" s="127">
        <f t="shared" ref="O79:O87" si="28">+AVERAGE(B79:N79)</f>
        <v>45007.636170231395</v>
      </c>
    </row>
    <row r="80" spans="1:15" x14ac:dyDescent="0.25">
      <c r="A80" s="27" t="s">
        <v>171</v>
      </c>
      <c r="B80" s="126">
        <f t="shared" ref="B80:N80" si="29">+B57/B69</f>
        <v>63404.972064751681</v>
      </c>
      <c r="C80" s="126">
        <f t="shared" si="29"/>
        <v>63404.972064751681</v>
      </c>
      <c r="D80" s="126">
        <f t="shared" si="29"/>
        <v>63404.972064751681</v>
      </c>
      <c r="E80" s="126">
        <f t="shared" si="29"/>
        <v>63404.972064751681</v>
      </c>
      <c r="F80" s="126">
        <f t="shared" si="29"/>
        <v>63404.972064751681</v>
      </c>
      <c r="G80" s="126">
        <f t="shared" si="29"/>
        <v>66083.654269757433</v>
      </c>
      <c r="H80" s="126">
        <f t="shared" si="29"/>
        <v>68845.75966184368</v>
      </c>
      <c r="I80" s="126">
        <f t="shared" si="29"/>
        <v>74042.398581954141</v>
      </c>
      <c r="J80" s="126">
        <f t="shared" si="29"/>
        <v>81133.434880639514</v>
      </c>
      <c r="K80" s="126">
        <f t="shared" si="29"/>
        <v>71613.371017687896</v>
      </c>
      <c r="L80" s="126">
        <f t="shared" si="29"/>
        <v>71613.371017687896</v>
      </c>
      <c r="M80" s="126">
        <f t="shared" si="29"/>
        <v>61703.207366302027</v>
      </c>
      <c r="N80" s="126">
        <f t="shared" si="29"/>
        <v>61703.207366302027</v>
      </c>
      <c r="O80" s="127">
        <f t="shared" si="28"/>
        <v>67212.558806610235</v>
      </c>
    </row>
    <row r="81" spans="1:15" x14ac:dyDescent="0.25">
      <c r="A81" s="27" t="s">
        <v>172</v>
      </c>
      <c r="B81" s="126">
        <f t="shared" ref="B81:N81" si="30">+B58/B70</f>
        <v>628393.26203528873</v>
      </c>
      <c r="C81" s="126">
        <f t="shared" si="30"/>
        <v>628393.26203528873</v>
      </c>
      <c r="D81" s="126">
        <f t="shared" si="30"/>
        <v>628393.26203528873</v>
      </c>
      <c r="E81" s="126">
        <f t="shared" si="30"/>
        <v>628393.26203528873</v>
      </c>
      <c r="F81" s="126">
        <f t="shared" si="30"/>
        <v>628393.26203528873</v>
      </c>
      <c r="G81" s="126">
        <f t="shared" si="30"/>
        <v>654062.00675056351</v>
      </c>
      <c r="H81" s="126">
        <f t="shared" si="30"/>
        <v>680458.10111275245</v>
      </c>
      <c r="I81" s="126">
        <f t="shared" si="30"/>
        <v>687139.41906074912</v>
      </c>
      <c r="J81" s="126">
        <f t="shared" si="30"/>
        <v>695041.39902844047</v>
      </c>
      <c r="K81" s="126">
        <f t="shared" si="30"/>
        <v>691105.83463306958</v>
      </c>
      <c r="L81" s="126">
        <f t="shared" si="30"/>
        <v>691105.83463306958</v>
      </c>
      <c r="M81" s="126">
        <f t="shared" si="30"/>
        <v>973344.66529954073</v>
      </c>
      <c r="N81" s="126">
        <f t="shared" si="30"/>
        <v>973344.66529954073</v>
      </c>
      <c r="O81" s="127">
        <f t="shared" si="28"/>
        <v>706736.01815339748</v>
      </c>
    </row>
    <row r="82" spans="1:15" x14ac:dyDescent="0.25">
      <c r="A82" s="27" t="s">
        <v>173</v>
      </c>
      <c r="B82" s="126">
        <f t="shared" ref="B82:N82" si="31">+B59/B71</f>
        <v>181848.22180729249</v>
      </c>
      <c r="C82" s="126">
        <f t="shared" si="31"/>
        <v>181848.22180729249</v>
      </c>
      <c r="D82" s="126">
        <f t="shared" si="31"/>
        <v>181848.22180729249</v>
      </c>
      <c r="E82" s="126">
        <f t="shared" si="31"/>
        <v>181848.22180729249</v>
      </c>
      <c r="F82" s="126">
        <f t="shared" si="31"/>
        <v>181848.22180729249</v>
      </c>
      <c r="G82" s="126">
        <f t="shared" si="31"/>
        <v>238013.38539130145</v>
      </c>
      <c r="H82" s="126">
        <f t="shared" si="31"/>
        <v>336799.07364249887</v>
      </c>
      <c r="I82" s="126">
        <f t="shared" si="31"/>
        <v>324958.57643411256</v>
      </c>
      <c r="J82" s="126">
        <f t="shared" si="31"/>
        <v>312248.05706782348</v>
      </c>
      <c r="K82" s="126">
        <f t="shared" si="31"/>
        <v>351598.20896242326</v>
      </c>
      <c r="L82" s="126">
        <f t="shared" si="31"/>
        <v>351598.20896242326</v>
      </c>
      <c r="M82" s="126">
        <f t="shared" si="31"/>
        <v>310504.66218826734</v>
      </c>
      <c r="N82" s="126">
        <f t="shared" si="31"/>
        <v>310504.66218826734</v>
      </c>
      <c r="O82" s="127">
        <f t="shared" si="28"/>
        <v>265035.84183642926</v>
      </c>
    </row>
    <row r="83" spans="1:15" x14ac:dyDescent="0.25">
      <c r="A83" s="27" t="s">
        <v>174</v>
      </c>
      <c r="B83" s="126">
        <f t="shared" ref="B83:N83" si="32">+B60/B72</f>
        <v>942640.76899923978</v>
      </c>
      <c r="C83" s="126">
        <f t="shared" si="32"/>
        <v>942640.76899923978</v>
      </c>
      <c r="D83" s="126">
        <f t="shared" si="32"/>
        <v>942640.76899923978</v>
      </c>
      <c r="E83" s="126">
        <f t="shared" si="32"/>
        <v>942640.76899923978</v>
      </c>
      <c r="F83" s="126">
        <f t="shared" si="32"/>
        <v>942640.76899923978</v>
      </c>
      <c r="G83" s="126">
        <f t="shared" si="32"/>
        <v>898265.54712195345</v>
      </c>
      <c r="H83" s="126">
        <f t="shared" si="32"/>
        <v>859826.69455760019</v>
      </c>
      <c r="I83" s="126">
        <f t="shared" si="32"/>
        <v>898267.70426688984</v>
      </c>
      <c r="J83" s="126">
        <f t="shared" si="32"/>
        <v>947306.39086972456</v>
      </c>
      <c r="K83" s="126">
        <f t="shared" si="32"/>
        <v>677063.35733657645</v>
      </c>
      <c r="L83" s="126">
        <f t="shared" si="32"/>
        <v>677063.35733657645</v>
      </c>
      <c r="M83" s="126">
        <f t="shared" si="32"/>
        <v>1757377.181858968</v>
      </c>
      <c r="N83" s="126">
        <f t="shared" si="32"/>
        <v>1757377.181858968</v>
      </c>
      <c r="O83" s="127">
        <f t="shared" si="28"/>
        <v>1014288.5584771889</v>
      </c>
    </row>
    <row r="84" spans="1:15" x14ac:dyDescent="0.25">
      <c r="A84" s="27" t="s">
        <v>175</v>
      </c>
      <c r="B84" s="126">
        <f t="shared" ref="B84:N84" si="33">+B61/B73</f>
        <v>789455.5545026965</v>
      </c>
      <c r="C84" s="126">
        <f t="shared" si="33"/>
        <v>789455.5545026965</v>
      </c>
      <c r="D84" s="126">
        <f t="shared" si="33"/>
        <v>789455.5545026965</v>
      </c>
      <c r="E84" s="126">
        <f t="shared" si="33"/>
        <v>789455.5545026965</v>
      </c>
      <c r="F84" s="126">
        <f t="shared" si="33"/>
        <v>789455.5545026965</v>
      </c>
      <c r="G84" s="126">
        <f t="shared" si="33"/>
        <v>730696.58360658307</v>
      </c>
      <c r="H84" s="126">
        <f t="shared" si="33"/>
        <v>682458.72098465951</v>
      </c>
      <c r="I84" s="126">
        <f t="shared" si="33"/>
        <v>671629.69549488951</v>
      </c>
      <c r="J84" s="126">
        <f t="shared" si="33"/>
        <v>659512.54369238811</v>
      </c>
      <c r="K84" s="126">
        <f t="shared" si="33"/>
        <v>581551.83525047067</v>
      </c>
      <c r="L84" s="126">
        <f t="shared" si="33"/>
        <v>581551.83525047067</v>
      </c>
      <c r="M84" s="126">
        <f t="shared" si="33"/>
        <v>602963.47811631928</v>
      </c>
      <c r="N84" s="126">
        <f t="shared" si="33"/>
        <v>602963.47811631928</v>
      </c>
      <c r="O84" s="127">
        <f t="shared" si="28"/>
        <v>696969.68792504468</v>
      </c>
    </row>
    <row r="85" spans="1:15" x14ac:dyDescent="0.25">
      <c r="A85" s="27" t="s">
        <v>176</v>
      </c>
      <c r="B85" s="126">
        <f t="shared" ref="B85:N85" si="34">+B62/B74</f>
        <v>100501.59342699441</v>
      </c>
      <c r="C85" s="126">
        <f t="shared" si="34"/>
        <v>100501.59342699441</v>
      </c>
      <c r="D85" s="126">
        <f t="shared" si="34"/>
        <v>100501.59342699441</v>
      </c>
      <c r="E85" s="126">
        <f t="shared" si="34"/>
        <v>100501.59342699441</v>
      </c>
      <c r="F85" s="126">
        <f t="shared" si="34"/>
        <v>100501.59342699441</v>
      </c>
      <c r="G85" s="126">
        <f t="shared" si="34"/>
        <v>100427.485651361</v>
      </c>
      <c r="H85" s="126">
        <f t="shared" si="34"/>
        <v>100357.21004814422</v>
      </c>
      <c r="I85" s="126">
        <f t="shared" si="34"/>
        <v>99480.688256232272</v>
      </c>
      <c r="J85" s="126">
        <f t="shared" si="34"/>
        <v>98484.715466238791</v>
      </c>
      <c r="K85" s="126">
        <f t="shared" si="34"/>
        <v>104715.06767293284</v>
      </c>
      <c r="L85" s="126">
        <f t="shared" si="34"/>
        <v>104715.06767293284</v>
      </c>
      <c r="M85" s="126">
        <f t="shared" si="34"/>
        <v>82909.894472484273</v>
      </c>
      <c r="N85" s="126">
        <f t="shared" si="34"/>
        <v>82909.894472484273</v>
      </c>
      <c r="O85" s="127">
        <f t="shared" si="28"/>
        <v>98192.922372906338</v>
      </c>
    </row>
    <row r="86" spans="1:15" x14ac:dyDescent="0.25">
      <c r="A86" s="27" t="s">
        <v>177</v>
      </c>
      <c r="B86" s="126">
        <f t="shared" ref="B86:N86" si="35">+B63/B75</f>
        <v>1328192.1743793546</v>
      </c>
      <c r="C86" s="126">
        <f t="shared" si="35"/>
        <v>1328192.1743793546</v>
      </c>
      <c r="D86" s="126">
        <f t="shared" si="35"/>
        <v>1328192.1743793546</v>
      </c>
      <c r="E86" s="126">
        <f t="shared" si="35"/>
        <v>1328192.1743793546</v>
      </c>
      <c r="F86" s="126">
        <f t="shared" si="35"/>
        <v>1328192.1743793546</v>
      </c>
      <c r="G86" s="126">
        <f t="shared" si="35"/>
        <v>882979.90010214993</v>
      </c>
      <c r="H86" s="126">
        <f t="shared" si="35"/>
        <v>669773.83242163039</v>
      </c>
      <c r="I86" s="126">
        <f t="shared" si="35"/>
        <v>880199.88807131408</v>
      </c>
      <c r="J86" s="126">
        <f t="shared" si="35"/>
        <v>1383478.0977627137</v>
      </c>
      <c r="K86" s="126">
        <f t="shared" si="35"/>
        <v>3131296.965759214</v>
      </c>
      <c r="L86" s="126">
        <f t="shared" si="35"/>
        <v>3131296.965759214</v>
      </c>
      <c r="M86" s="126">
        <f t="shared" si="35"/>
        <v>1457190.5277976384</v>
      </c>
      <c r="N86" s="126">
        <f t="shared" si="35"/>
        <v>1457190.5277976384</v>
      </c>
      <c r="O86" s="127">
        <f t="shared" si="28"/>
        <v>1510335.9674898682</v>
      </c>
    </row>
    <row r="87" spans="1:15" x14ac:dyDescent="0.25">
      <c r="A87" s="129" t="s">
        <v>178</v>
      </c>
      <c r="B87" s="126">
        <f t="shared" ref="B87:N87" si="36">+B64/B76</f>
        <v>4765721.0030436404</v>
      </c>
      <c r="C87" s="126">
        <f t="shared" si="36"/>
        <v>4765721.0030436404</v>
      </c>
      <c r="D87" s="126">
        <f t="shared" si="36"/>
        <v>4765721.0030436404</v>
      </c>
      <c r="E87" s="126">
        <f t="shared" si="36"/>
        <v>4765721.0030436404</v>
      </c>
      <c r="F87" s="126">
        <f t="shared" si="36"/>
        <v>4765721.0030436404</v>
      </c>
      <c r="G87" s="126">
        <f t="shared" si="36"/>
        <v>4090829.5525229303</v>
      </c>
      <c r="H87" s="126">
        <f t="shared" si="36"/>
        <v>3605894.5752923349</v>
      </c>
      <c r="I87" s="126">
        <f t="shared" si="36"/>
        <v>4276522.0698460545</v>
      </c>
      <c r="J87" s="126">
        <f t="shared" si="36"/>
        <v>5450187.3645084538</v>
      </c>
      <c r="K87" s="126">
        <f t="shared" si="36"/>
        <v>2909032.7285226104</v>
      </c>
      <c r="L87" s="126">
        <f t="shared" si="36"/>
        <v>2909032.7285226104</v>
      </c>
      <c r="M87" s="126">
        <f t="shared" si="36"/>
        <v>3007035.1169458088</v>
      </c>
      <c r="N87" s="126">
        <f t="shared" si="36"/>
        <v>3007035.1169458088</v>
      </c>
      <c r="O87" s="127">
        <f t="shared" si="28"/>
        <v>4083398.0206403709</v>
      </c>
    </row>
    <row r="89" spans="1:15" x14ac:dyDescent="0.25">
      <c r="A89" s="73" t="s">
        <v>179</v>
      </c>
    </row>
    <row r="90" spans="1:15" ht="15.75" x14ac:dyDescent="0.25">
      <c r="A90" s="119" t="s">
        <v>129</v>
      </c>
      <c r="B90" s="1">
        <v>2010</v>
      </c>
      <c r="C90" s="1">
        <v>2011</v>
      </c>
      <c r="D90" s="1">
        <v>2012</v>
      </c>
      <c r="E90" s="1">
        <v>2013</v>
      </c>
      <c r="F90" s="1">
        <v>2014</v>
      </c>
      <c r="G90" s="1">
        <v>2015</v>
      </c>
      <c r="H90" s="1">
        <v>2016</v>
      </c>
      <c r="I90" s="1">
        <v>2017</v>
      </c>
      <c r="J90" s="1">
        <v>2018</v>
      </c>
      <c r="K90" s="1">
        <v>2019</v>
      </c>
      <c r="L90" s="1">
        <v>2020</v>
      </c>
      <c r="M90" s="1">
        <v>2021</v>
      </c>
      <c r="N90" s="1">
        <v>2022</v>
      </c>
    </row>
    <row r="91" spans="1:15" s="132" customFormat="1" ht="15.75" x14ac:dyDescent="0.25">
      <c r="A91" s="130" t="s">
        <v>4</v>
      </c>
      <c r="B91" s="131">
        <f>(+INGEI!C10+INGEI!C16)/1000</f>
        <v>-64.393680266666678</v>
      </c>
      <c r="C91" s="131">
        <f>(+INGEI!D10+INGEI!D16)/1000</f>
        <v>-64.393680266666678</v>
      </c>
      <c r="D91" s="131">
        <f>(+INGEI!E10+INGEI!E16)/1000</f>
        <v>-64.393680266666678</v>
      </c>
      <c r="E91" s="131">
        <f>(+INGEI!F10+INGEI!F16)/1000</f>
        <v>-64.393680266666678</v>
      </c>
      <c r="F91" s="131">
        <f>(+INGEI!G10+INGEI!G16)/1000</f>
        <v>-64.393680266666678</v>
      </c>
      <c r="G91" s="131">
        <f>(+INGEI!H10+INGEI!H16)/1000</f>
        <v>-102.8870318666667</v>
      </c>
      <c r="H91" s="131">
        <f>(+INGEI!I10+INGEI!I16)/1000</f>
        <v>-141.38038346666667</v>
      </c>
      <c r="I91" s="131">
        <f>(+INGEI!J10+INGEI!J16)/1000</f>
        <v>-90.311999066666687</v>
      </c>
      <c r="J91" s="131">
        <f>(+INGEI!K10+INGEI!K16)/1000</f>
        <v>-39.243614666666659</v>
      </c>
      <c r="K91" s="131">
        <f>(+INGEI!L10+INGEI!L16)/1000</f>
        <v>-85.657349066666697</v>
      </c>
      <c r="L91" s="131">
        <f>(+INGEI!M10+INGEI!M16)/1000</f>
        <v>-85.657349066666697</v>
      </c>
      <c r="M91" s="131">
        <f>(+INGEI!N10+INGEI!N16)/1000</f>
        <v>-61.305012266666679</v>
      </c>
      <c r="N91" s="131">
        <f>(+INGEI!O10+INGEI!O16)/1000</f>
        <v>-61.305012266666679</v>
      </c>
    </row>
    <row r="92" spans="1:15" ht="15.75" x14ac:dyDescent="0.25">
      <c r="A92" s="120" t="s">
        <v>5</v>
      </c>
      <c r="B92" s="78">
        <f>(+INGEI!C11+INGEI!C17)/1000</f>
        <v>-79.331904666666674</v>
      </c>
      <c r="C92" s="78">
        <f>(+INGEI!D11+INGEI!D17)/1000</f>
        <v>-79.331904666666674</v>
      </c>
      <c r="D92" s="78">
        <f>(+INGEI!E11+INGEI!E17)/1000</f>
        <v>-79.331904666666674</v>
      </c>
      <c r="E92" s="78">
        <f>(+INGEI!F11+INGEI!F17)/1000</f>
        <v>-79.331904666666674</v>
      </c>
      <c r="F92" s="78">
        <f>(+INGEI!G11+INGEI!G17)/1000</f>
        <v>-79.331904666666674</v>
      </c>
      <c r="G92" s="78">
        <f>(+INGEI!H11+INGEI!H17)/1000</f>
        <v>-88.371649666666684</v>
      </c>
      <c r="H92" s="78">
        <f>(+INGEI!I11+INGEI!I17)/1000</f>
        <v>-97.411394666666681</v>
      </c>
      <c r="I92" s="78">
        <f>(+INGEI!J11+INGEI!J17)/1000</f>
        <v>-80.796463000000003</v>
      </c>
      <c r="J92" s="78">
        <f>(+INGEI!K11+INGEI!K17)/1000</f>
        <v>-64.181531333333325</v>
      </c>
      <c r="K92" s="78">
        <f>(+INGEI!L11+INGEI!L17)/1000</f>
        <v>-7.5972893333333342</v>
      </c>
      <c r="L92" s="78">
        <f>(+INGEI!M11+INGEI!M17)/1000</f>
        <v>-7.5972893333333342</v>
      </c>
      <c r="M92" s="78">
        <f>(+INGEI!N11+INGEI!N17)/1000</f>
        <v>-24.448361666666667</v>
      </c>
      <c r="N92" s="78">
        <f>(+INGEI!O11+INGEI!O17)/1000</f>
        <v>-24.448361666666667</v>
      </c>
    </row>
    <row r="93" spans="1:15" ht="15.75" x14ac:dyDescent="0.25">
      <c r="A93" s="120" t="s">
        <v>6</v>
      </c>
      <c r="B93" s="78">
        <f>(+INGEI!C12)/1000</f>
        <v>0</v>
      </c>
      <c r="C93" s="78">
        <f>(+INGEI!D12)/1000</f>
        <v>0</v>
      </c>
      <c r="D93" s="78">
        <f>(+INGEI!E12)/1000</f>
        <v>0</v>
      </c>
      <c r="E93" s="78">
        <f>(+INGEI!F12)/1000</f>
        <v>0</v>
      </c>
      <c r="F93" s="78">
        <f>(+INGEI!G12)/1000</f>
        <v>0</v>
      </c>
      <c r="G93" s="78">
        <f>(+INGEI!H12)/1000</f>
        <v>0</v>
      </c>
      <c r="H93" s="78">
        <f>(+INGEI!I12)/1000</f>
        <v>0</v>
      </c>
      <c r="I93" s="78">
        <f>(+INGEI!J12)/1000</f>
        <v>0</v>
      </c>
      <c r="J93" s="78">
        <f>(+INGEI!K12)/1000</f>
        <v>0</v>
      </c>
      <c r="K93" s="78">
        <f>(+INGEI!L12)/1000</f>
        <v>0</v>
      </c>
      <c r="L93" s="78">
        <f>(+INGEI!M12)/1000</f>
        <v>0</v>
      </c>
      <c r="M93" s="78">
        <f>(+INGEI!N12)/1000</f>
        <v>-2.5010700000000003</v>
      </c>
      <c r="N93" s="78">
        <f>(+INGEI!O12)/1000</f>
        <v>-2.5010700000000003</v>
      </c>
    </row>
    <row r="94" spans="1:15" ht="15.75" x14ac:dyDescent="0.25">
      <c r="A94" s="120" t="s">
        <v>7</v>
      </c>
      <c r="B94" s="78">
        <f>(+INGEI!C13+INGEI!C19)/1000</f>
        <v>-12.222290666666666</v>
      </c>
      <c r="C94" s="78">
        <f>(+INGEI!D13+INGEI!D19)/1000</f>
        <v>-12.222290666666666</v>
      </c>
      <c r="D94" s="78">
        <f>(+INGEI!E13+INGEI!E19)/1000</f>
        <v>-12.222290666666666</v>
      </c>
      <c r="E94" s="78">
        <f>(+INGEI!F13+INGEI!F19)/1000</f>
        <v>-12.222290666666666</v>
      </c>
      <c r="F94" s="78">
        <f>(+INGEI!G13+INGEI!G19)/1000</f>
        <v>-12.222290666666666</v>
      </c>
      <c r="G94" s="78">
        <f>(+INGEI!H13+INGEI!H19)/1000</f>
        <v>-50.110927166666663</v>
      </c>
      <c r="H94" s="78">
        <f>(+INGEI!I13+INGEI!I19)/1000</f>
        <v>-87.999563666666674</v>
      </c>
      <c r="I94" s="78">
        <f>(+INGEI!J13+INGEI!J19)/1000</f>
        <v>-51.397307499999997</v>
      </c>
      <c r="J94" s="78">
        <f>(+INGEI!K13+INGEI!K19)/1000</f>
        <v>-14.795051333333335</v>
      </c>
      <c r="K94" s="78">
        <f>(+INGEI!L13+INGEI!L19)/1000</f>
        <v>-5.8177973333333339</v>
      </c>
      <c r="L94" s="78">
        <f>(+INGEI!M13+INGEI!M19)/1000</f>
        <v>-5.8177973333333339</v>
      </c>
      <c r="M94" s="78">
        <f>(+INGEI!N13+INGEI!N19)/1000</f>
        <v>-32.076839666666665</v>
      </c>
      <c r="N94" s="78">
        <f>(+INGEI!O13+INGEI!O19)/1000</f>
        <v>-32.076839666666665</v>
      </c>
    </row>
    <row r="95" spans="1:15" ht="15.75" x14ac:dyDescent="0.25">
      <c r="A95" s="121" t="s">
        <v>14</v>
      </c>
      <c r="B95" s="122">
        <f t="shared" ref="B95:N95" si="37">+SUM(B91:B94)</f>
        <v>-155.94787560000003</v>
      </c>
      <c r="C95" s="122">
        <f t="shared" si="37"/>
        <v>-155.94787560000003</v>
      </c>
      <c r="D95" s="122">
        <f t="shared" si="37"/>
        <v>-155.94787560000003</v>
      </c>
      <c r="E95" s="122">
        <f t="shared" si="37"/>
        <v>-155.94787560000003</v>
      </c>
      <c r="F95" s="122">
        <f t="shared" si="37"/>
        <v>-155.94787560000003</v>
      </c>
      <c r="G95" s="122">
        <f t="shared" si="37"/>
        <v>-241.36960870000007</v>
      </c>
      <c r="H95" s="122">
        <f t="shared" si="37"/>
        <v>-326.79134180000005</v>
      </c>
      <c r="I95" s="122">
        <f t="shared" si="37"/>
        <v>-222.50576956666669</v>
      </c>
      <c r="J95" s="122">
        <f t="shared" si="37"/>
        <v>-118.22019733333332</v>
      </c>
      <c r="K95" s="122">
        <f t="shared" si="37"/>
        <v>-99.072435733333364</v>
      </c>
      <c r="L95" s="122">
        <f t="shared" si="37"/>
        <v>-99.072435733333364</v>
      </c>
      <c r="M95" s="122">
        <f t="shared" si="37"/>
        <v>-120.33128360000001</v>
      </c>
      <c r="N95" s="122">
        <f t="shared" si="37"/>
        <v>-120.33128360000001</v>
      </c>
    </row>
    <row r="96" spans="1:15" ht="15.75" x14ac:dyDescent="0.25">
      <c r="A96" s="121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</row>
    <row r="97" spans="1:15" ht="15.75" x14ac:dyDescent="0.25">
      <c r="A97" s="119" t="s">
        <v>118</v>
      </c>
      <c r="B97" s="1">
        <v>2010</v>
      </c>
      <c r="C97" s="1">
        <v>2011</v>
      </c>
      <c r="D97" s="1">
        <v>2012</v>
      </c>
      <c r="E97" s="1">
        <v>2013</v>
      </c>
      <c r="F97" s="1">
        <v>2014</v>
      </c>
      <c r="G97" s="1">
        <v>2015</v>
      </c>
      <c r="H97" s="1">
        <v>2016</v>
      </c>
      <c r="I97" s="1">
        <v>2017</v>
      </c>
      <c r="J97" s="1">
        <v>2018</v>
      </c>
      <c r="K97" s="1">
        <v>2019</v>
      </c>
      <c r="L97" s="1">
        <v>2020</v>
      </c>
      <c r="M97" s="1">
        <v>2021</v>
      </c>
      <c r="N97" s="1">
        <v>2022</v>
      </c>
    </row>
    <row r="98" spans="1:15" ht="15.75" x14ac:dyDescent="0.25">
      <c r="A98" s="130" t="s">
        <v>4</v>
      </c>
      <c r="B98" s="75">
        <f>+'Cambio uso de suelo'!C31/1000</f>
        <v>24.385990000000003</v>
      </c>
      <c r="C98" s="75">
        <f>+'Cambio uso de suelo'!D31/1000</f>
        <v>24.385990000000003</v>
      </c>
      <c r="D98" s="75">
        <f>+'Cambio uso de suelo'!E31/1000</f>
        <v>24.385990000000003</v>
      </c>
      <c r="E98" s="75">
        <f>+'Cambio uso de suelo'!F31/1000</f>
        <v>24.385990000000003</v>
      </c>
      <c r="F98" s="75">
        <f>+'Cambio uso de suelo'!G31/1000</f>
        <v>24.385990000000003</v>
      </c>
      <c r="G98" s="75">
        <f>+'Cambio uso de suelo'!H31/1000</f>
        <v>38.966805000000001</v>
      </c>
      <c r="H98" s="75">
        <f>+'Cambio uso de suelo'!I31/1000</f>
        <v>53.547620000000002</v>
      </c>
      <c r="I98" s="75">
        <f>+'Cambio uso de suelo'!J31/1000</f>
        <v>34.203535000000002</v>
      </c>
      <c r="J98" s="75">
        <f>+'Cambio uso de suelo'!K31/1000</f>
        <v>14.859450000000001</v>
      </c>
      <c r="K98" s="75">
        <f>+'Cambio uso de suelo'!L31/1000</f>
        <v>32.440310000000004</v>
      </c>
      <c r="L98" s="75">
        <f>+'Cambio uso de suelo'!M31/1000</f>
        <v>32.440310000000004</v>
      </c>
      <c r="M98" s="75">
        <f>+'Cambio uso de suelo'!N31/1000</f>
        <v>23.21604</v>
      </c>
      <c r="N98" s="75">
        <f>+'Cambio uso de suelo'!O31/1000</f>
        <v>23.21604</v>
      </c>
    </row>
    <row r="99" spans="1:15" ht="15.75" x14ac:dyDescent="0.25">
      <c r="A99" s="120" t="s">
        <v>5</v>
      </c>
      <c r="B99" s="75">
        <f>+'Cambio uso de suelo'!C32/1000</f>
        <v>8.3199900000000007</v>
      </c>
      <c r="C99" s="75">
        <f>+'Cambio uso de suelo'!D32/1000</f>
        <v>8.3199900000000007</v>
      </c>
      <c r="D99" s="75">
        <f>+'Cambio uso de suelo'!E32/1000</f>
        <v>8.3199900000000007</v>
      </c>
      <c r="E99" s="75">
        <f>+'Cambio uso de suelo'!F32/1000</f>
        <v>8.3199900000000007</v>
      </c>
      <c r="F99" s="75">
        <f>+'Cambio uso de suelo'!G32/1000</f>
        <v>8.3199900000000007</v>
      </c>
      <c r="G99" s="75">
        <f>+'Cambio uso de suelo'!H32/1000</f>
        <v>9.2682149999999996</v>
      </c>
      <c r="H99" s="75">
        <f>+'Cambio uso de suelo'!I32/1000</f>
        <v>10.21644</v>
      </c>
      <c r="I99" s="75">
        <f>+'Cambio uso de suelo'!J32/1000</f>
        <v>8.4736150000000006</v>
      </c>
      <c r="J99" s="75">
        <f>+'Cambio uso de suelo'!K32/1000</f>
        <v>6.7307899999999998</v>
      </c>
      <c r="K99" s="75">
        <f>+'Cambio uso de suelo'!L32/1000</f>
        <v>0.79537999999999998</v>
      </c>
      <c r="L99" s="75">
        <f>+'Cambio uso de suelo'!M32/1000</f>
        <v>0.79537999999999998</v>
      </c>
      <c r="M99" s="75">
        <f>+'Cambio uso de suelo'!N32/1000</f>
        <v>2.56298</v>
      </c>
      <c r="N99" s="75">
        <f>+'Cambio uso de suelo'!O32/1000</f>
        <v>2.56298</v>
      </c>
    </row>
    <row r="100" spans="1:15" ht="15.75" x14ac:dyDescent="0.25">
      <c r="A100" s="120" t="s">
        <v>6</v>
      </c>
      <c r="B100" s="75">
        <f>+'Cambio uso de suelo'!C33/1000</f>
        <v>0</v>
      </c>
      <c r="C100" s="75">
        <f>+'Cambio uso de suelo'!D33/1000</f>
        <v>0</v>
      </c>
      <c r="D100" s="75">
        <f>+'Cambio uso de suelo'!E33/1000</f>
        <v>0</v>
      </c>
      <c r="E100" s="75">
        <f>+'Cambio uso de suelo'!F33/1000</f>
        <v>0</v>
      </c>
      <c r="F100" s="75">
        <f>+'Cambio uso de suelo'!G33/1000</f>
        <v>0</v>
      </c>
      <c r="G100" s="75">
        <f>+'Cambio uso de suelo'!H33/1000</f>
        <v>0</v>
      </c>
      <c r="H100" s="75">
        <f>+'Cambio uso de suelo'!I33/1000</f>
        <v>0</v>
      </c>
      <c r="I100" s="75">
        <f>+'Cambio uso de suelo'!J33/1000</f>
        <v>0</v>
      </c>
      <c r="J100" s="75">
        <f>+'Cambio uso de suelo'!K33/1000</f>
        <v>0</v>
      </c>
      <c r="K100" s="75">
        <f>+'Cambio uso de suelo'!L33/1000</f>
        <v>0</v>
      </c>
      <c r="L100" s="75">
        <f>+'Cambio uso de suelo'!M33/1000</f>
        <v>0</v>
      </c>
      <c r="M100" s="75">
        <f>+'Cambio uso de suelo'!N33/1000</f>
        <v>0.26235000000000003</v>
      </c>
      <c r="N100" s="75">
        <f>+'Cambio uso de suelo'!O33/1000</f>
        <v>0.26235000000000003</v>
      </c>
    </row>
    <row r="101" spans="1:15" ht="15.75" x14ac:dyDescent="0.25">
      <c r="A101" s="120" t="s">
        <v>7</v>
      </c>
      <c r="B101" s="75">
        <f>+'Cambio uso de suelo'!C34/1000</f>
        <v>1.2805199999999999</v>
      </c>
      <c r="C101" s="75">
        <f>+'Cambio uso de suelo'!D34/1000</f>
        <v>1.2805199999999999</v>
      </c>
      <c r="D101" s="75">
        <f>+'Cambio uso de suelo'!E34/1000</f>
        <v>1.2805199999999999</v>
      </c>
      <c r="E101" s="75">
        <f>+'Cambio uso de suelo'!F34/1000</f>
        <v>1.2805199999999999</v>
      </c>
      <c r="F101" s="75">
        <f>+'Cambio uso de suelo'!G34/1000</f>
        <v>1.2805199999999999</v>
      </c>
      <c r="G101" s="75">
        <f>+'Cambio uso de suelo'!H34/1000</f>
        <v>5.2548525000000001</v>
      </c>
      <c r="H101" s="75">
        <f>+'Cambio uso de suelo'!I34/1000</f>
        <v>9.2291849999999993</v>
      </c>
      <c r="I101" s="75">
        <f>+'Cambio uso de suelo'!J34/1000</f>
        <v>5.3897874999999997</v>
      </c>
      <c r="J101" s="75">
        <f>+'Cambio uso de suelo'!K34/1000</f>
        <v>1.5503900000000002</v>
      </c>
      <c r="K101" s="75">
        <f>+'Cambio uso de suelo'!L34/1000</f>
        <v>0.60872000000000004</v>
      </c>
      <c r="L101" s="75">
        <f>+'Cambio uso de suelo'!M34/1000</f>
        <v>0.60872000000000004</v>
      </c>
      <c r="M101" s="75">
        <f>+'Cambio uso de suelo'!N34/1000</f>
        <v>3.3631599999999997</v>
      </c>
      <c r="N101" s="75">
        <f>+'Cambio uso de suelo'!O34/1000</f>
        <v>3.3631599999999997</v>
      </c>
    </row>
    <row r="102" spans="1:15" ht="15.75" x14ac:dyDescent="0.25">
      <c r="A102" s="123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</row>
    <row r="103" spans="1:15" ht="15.75" x14ac:dyDescent="0.25">
      <c r="A103" s="119" t="s">
        <v>119</v>
      </c>
      <c r="B103" s="1">
        <v>2010</v>
      </c>
      <c r="C103" s="1">
        <v>2011</v>
      </c>
      <c r="D103" s="1">
        <v>2012</v>
      </c>
      <c r="E103" s="1">
        <v>2013</v>
      </c>
      <c r="F103" s="1">
        <v>2014</v>
      </c>
      <c r="G103" s="1">
        <v>2015</v>
      </c>
      <c r="H103" s="1">
        <v>2016</v>
      </c>
      <c r="I103" s="1">
        <v>2017</v>
      </c>
      <c r="J103" s="1">
        <v>2018</v>
      </c>
      <c r="K103" s="1">
        <v>2019</v>
      </c>
      <c r="L103" s="1">
        <v>2020</v>
      </c>
      <c r="M103" s="1">
        <v>2021</v>
      </c>
      <c r="N103" s="1">
        <v>2022</v>
      </c>
    </row>
    <row r="104" spans="1:15" x14ac:dyDescent="0.25">
      <c r="A104" s="27" t="s">
        <v>183</v>
      </c>
      <c r="B104" s="126">
        <f t="shared" ref="B104:N104" si="38">+B91/B98</f>
        <v>-2.640601438230175</v>
      </c>
      <c r="C104" s="126">
        <f t="shared" si="38"/>
        <v>-2.640601438230175</v>
      </c>
      <c r="D104" s="126">
        <f t="shared" si="38"/>
        <v>-2.640601438230175</v>
      </c>
      <c r="E104" s="126">
        <f t="shared" si="38"/>
        <v>-2.640601438230175</v>
      </c>
      <c r="F104" s="126">
        <f t="shared" si="38"/>
        <v>-2.640601438230175</v>
      </c>
      <c r="G104" s="126">
        <f t="shared" si="38"/>
        <v>-2.6403763887407936</v>
      </c>
      <c r="H104" s="126">
        <f t="shared" si="38"/>
        <v>-2.6402738995060222</v>
      </c>
      <c r="I104" s="126">
        <f t="shared" si="38"/>
        <v>-2.6404288055800862</v>
      </c>
      <c r="J104" s="126">
        <f t="shared" si="38"/>
        <v>-2.6409870262133968</v>
      </c>
      <c r="K104" s="126">
        <f t="shared" si="38"/>
        <v>-2.6404602504312287</v>
      </c>
      <c r="L104" s="126">
        <f t="shared" si="38"/>
        <v>-2.6404602504312287</v>
      </c>
      <c r="M104" s="126">
        <f t="shared" si="38"/>
        <v>-2.6406317471311507</v>
      </c>
      <c r="N104" s="126">
        <f t="shared" si="38"/>
        <v>-2.6406317471311507</v>
      </c>
      <c r="O104" s="127">
        <f>+AVERAGE(B104:N104)</f>
        <v>-2.640558254331995</v>
      </c>
    </row>
    <row r="105" spans="1:15" x14ac:dyDescent="0.25">
      <c r="A105" s="128" t="s">
        <v>180</v>
      </c>
      <c r="B105" s="126">
        <f t="shared" ref="B105:N105" si="39">+B92/B99</f>
        <v>-9.535096155964931</v>
      </c>
      <c r="C105" s="126">
        <f t="shared" si="39"/>
        <v>-9.535096155964931</v>
      </c>
      <c r="D105" s="126">
        <f t="shared" si="39"/>
        <v>-9.535096155964931</v>
      </c>
      <c r="E105" s="126">
        <f t="shared" si="39"/>
        <v>-9.535096155964931</v>
      </c>
      <c r="F105" s="126">
        <f t="shared" si="39"/>
        <v>-9.535096155964931</v>
      </c>
      <c r="G105" s="126">
        <f t="shared" si="39"/>
        <v>-9.5349158027372791</v>
      </c>
      <c r="H105" s="126">
        <f t="shared" si="39"/>
        <v>-9.5347689279892673</v>
      </c>
      <c r="I105" s="126">
        <f t="shared" si="39"/>
        <v>-9.5350641963317901</v>
      </c>
      <c r="J105" s="126">
        <f t="shared" si="39"/>
        <v>-9.5355123742284817</v>
      </c>
      <c r="K105" s="126">
        <f t="shared" si="39"/>
        <v>-9.5517731566463002</v>
      </c>
      <c r="L105" s="126">
        <f t="shared" si="39"/>
        <v>-9.5517731566463002</v>
      </c>
      <c r="M105" s="126">
        <f t="shared" si="39"/>
        <v>-9.5390372405038928</v>
      </c>
      <c r="N105" s="126">
        <f t="shared" si="39"/>
        <v>-9.5390372405038928</v>
      </c>
      <c r="O105" s="127">
        <f>+AVERAGE(B105:N105)</f>
        <v>-9.5382586827239884</v>
      </c>
    </row>
    <row r="106" spans="1:15" x14ac:dyDescent="0.25">
      <c r="A106" s="128" t="s">
        <v>181</v>
      </c>
      <c r="B106" s="126">
        <v>0</v>
      </c>
      <c r="C106" s="126">
        <v>0</v>
      </c>
      <c r="D106" s="126">
        <v>0</v>
      </c>
      <c r="E106" s="126">
        <v>0</v>
      </c>
      <c r="F106" s="126">
        <v>0</v>
      </c>
      <c r="G106" s="126">
        <v>0</v>
      </c>
      <c r="H106" s="126">
        <v>0</v>
      </c>
      <c r="I106" s="126">
        <v>0</v>
      </c>
      <c r="J106" s="126">
        <v>0</v>
      </c>
      <c r="K106" s="126">
        <v>0</v>
      </c>
      <c r="L106" s="126">
        <v>0</v>
      </c>
      <c r="M106" s="126">
        <f>+M93/M100</f>
        <v>-9.5333333333333332</v>
      </c>
      <c r="N106" s="126">
        <f>+N93/N100</f>
        <v>-9.5333333333333332</v>
      </c>
      <c r="O106" s="127">
        <f>+AVERAGE(B106:N106)</f>
        <v>-1.4666666666666666</v>
      </c>
    </row>
    <row r="107" spans="1:15" x14ac:dyDescent="0.25">
      <c r="A107" s="128" t="s">
        <v>182</v>
      </c>
      <c r="B107" s="126">
        <f t="shared" ref="B107:L107" si="40">+B94/B101</f>
        <v>-9.5447870136090547</v>
      </c>
      <c r="C107" s="126">
        <f t="shared" si="40"/>
        <v>-9.5447870136090547</v>
      </c>
      <c r="D107" s="126">
        <f t="shared" si="40"/>
        <v>-9.5447870136090547</v>
      </c>
      <c r="E107" s="126">
        <f t="shared" si="40"/>
        <v>-9.5447870136090547</v>
      </c>
      <c r="F107" s="126">
        <f t="shared" si="40"/>
        <v>-9.5447870136090547</v>
      </c>
      <c r="G107" s="126">
        <f t="shared" si="40"/>
        <v>-9.536124404379887</v>
      </c>
      <c r="H107" s="126">
        <f t="shared" si="40"/>
        <v>-9.534922494962089</v>
      </c>
      <c r="I107" s="126">
        <f t="shared" si="40"/>
        <v>-9.5360545290514693</v>
      </c>
      <c r="J107" s="126">
        <f t="shared" si="40"/>
        <v>-9.5427933186703555</v>
      </c>
      <c r="K107" s="126">
        <f t="shared" si="40"/>
        <v>-9.5574276076575995</v>
      </c>
      <c r="L107" s="126">
        <f t="shared" si="40"/>
        <v>-9.5574276076575995</v>
      </c>
      <c r="M107" s="126">
        <f>+M94/M101</f>
        <v>-9.5377084844808646</v>
      </c>
      <c r="N107" s="126">
        <f>+N94/N101</f>
        <v>-9.5377084844808646</v>
      </c>
      <c r="O107" s="127">
        <f>+AVERAGE(B107:N107)</f>
        <v>-9.54339246149123</v>
      </c>
    </row>
    <row r="109" spans="1:15" x14ac:dyDescent="0.25">
      <c r="A109" s="73" t="s">
        <v>184</v>
      </c>
    </row>
    <row r="110" spans="1:15" ht="15.75" x14ac:dyDescent="0.25">
      <c r="A110" s="119" t="s">
        <v>129</v>
      </c>
      <c r="B110" s="1">
        <v>2010</v>
      </c>
      <c r="C110" s="1">
        <v>2011</v>
      </c>
      <c r="D110" s="1">
        <v>2012</v>
      </c>
      <c r="E110" s="1">
        <v>2013</v>
      </c>
      <c r="F110" s="1">
        <v>2014</v>
      </c>
      <c r="G110" s="1">
        <v>2015</v>
      </c>
      <c r="H110" s="1">
        <v>2016</v>
      </c>
      <c r="I110" s="1">
        <v>2017</v>
      </c>
      <c r="J110" s="1">
        <v>2018</v>
      </c>
      <c r="K110" s="1">
        <v>2019</v>
      </c>
      <c r="L110" s="1">
        <v>2020</v>
      </c>
      <c r="M110" s="1">
        <v>2021</v>
      </c>
      <c r="N110" s="1">
        <v>2022</v>
      </c>
    </row>
    <row r="111" spans="1:15" ht="15.75" x14ac:dyDescent="0.25">
      <c r="A111" s="120" t="s">
        <v>18</v>
      </c>
      <c r="B111" s="75">
        <f>+INGEI!C$21*'5ta'!$R87/1000</f>
        <v>0.63196910355773239</v>
      </c>
      <c r="C111" s="75">
        <f>+INGEI!D$21*'5ta'!$R87/1000</f>
        <v>0.63196910355773239</v>
      </c>
      <c r="D111" s="75">
        <f>+INGEI!E$21*'5ta'!$R87/1000</f>
        <v>0.63196910355773239</v>
      </c>
      <c r="E111" s="75">
        <f>+INGEI!F$21*'5ta'!$R87/1000</f>
        <v>0.63196910355773239</v>
      </c>
      <c r="F111" s="75">
        <f>+INGEI!G$21*'5ta'!$R87/1000</f>
        <v>0.63196910355773239</v>
      </c>
      <c r="G111" s="75">
        <f>+INGEI!H$21*'5ta'!$R87/1000</f>
        <v>0.77724086641942169</v>
      </c>
      <c r="H111" s="75">
        <f>+INGEI!I$21*'5ta'!$R87/1000</f>
        <v>0.92251262928111077</v>
      </c>
      <c r="I111" s="75">
        <f>+INGEI!J$21*'5ta'!$R87/1000</f>
        <v>0.88185932141226986</v>
      </c>
      <c r="J111" s="75">
        <f>+INGEI!K$21*'5ta'!$R87/1000</f>
        <v>0.84120601354342894</v>
      </c>
      <c r="K111" s="75">
        <f>+INGEI!L$21*'5ta'!$R87/1000</f>
        <v>6.5664062446099427</v>
      </c>
      <c r="L111" s="75">
        <f>+INGEI!M$21*'5ta'!$R87/1000</f>
        <v>6.5664062446099427</v>
      </c>
      <c r="M111" s="75">
        <f>+INGEI!N$21*'5ta'!$R87/1000</f>
        <v>9.3700237857492059</v>
      </c>
      <c r="N111" s="75">
        <f>+INGEI!O$21*'5ta'!$R87/1000</f>
        <v>9.3700237857492059</v>
      </c>
    </row>
    <row r="112" spans="1:15" ht="15.75" x14ac:dyDescent="0.25">
      <c r="A112" s="120" t="s">
        <v>20</v>
      </c>
      <c r="B112" s="75">
        <f>+INGEI!C$21*'5ta'!$R88/1000</f>
        <v>6.1712957612475492</v>
      </c>
      <c r="C112" s="75">
        <f>+INGEI!D$21*'5ta'!$R88/1000</f>
        <v>6.1712957612475492</v>
      </c>
      <c r="D112" s="75">
        <f>+INGEI!E$21*'5ta'!$R88/1000</f>
        <v>6.1712957612475492</v>
      </c>
      <c r="E112" s="75">
        <f>+INGEI!F$21*'5ta'!$R88/1000</f>
        <v>6.1712957612475492</v>
      </c>
      <c r="F112" s="75">
        <f>+INGEI!G$21*'5ta'!$R88/1000</f>
        <v>6.1712957612475492</v>
      </c>
      <c r="G112" s="75">
        <f>+INGEI!H$21*'5ta'!$R88/1000</f>
        <v>7.5899015274634642</v>
      </c>
      <c r="H112" s="75">
        <f>+INGEI!I$21*'5ta'!$R88/1000</f>
        <v>9.0085072936793793</v>
      </c>
      <c r="I112" s="75">
        <f>+INGEI!J$21*'5ta'!$R88/1000</f>
        <v>8.6115201860513384</v>
      </c>
      <c r="J112" s="75">
        <f>+INGEI!K$21*'5ta'!$R88/1000</f>
        <v>8.2145330784232975</v>
      </c>
      <c r="K112" s="75">
        <f>+INGEI!L$21*'5ta'!$R88/1000</f>
        <v>64.122177485989781</v>
      </c>
      <c r="L112" s="75">
        <f>+INGEI!M$21*'5ta'!$R88/1000</f>
        <v>64.122177485989781</v>
      </c>
      <c r="M112" s="75">
        <f>+INGEI!N$21*'5ta'!$R88/1000</f>
        <v>91.500023887639742</v>
      </c>
      <c r="N112" s="75">
        <f>+INGEI!O$21*'5ta'!$R88/1000</f>
        <v>91.500023887639742</v>
      </c>
    </row>
    <row r="113" spans="1:14" ht="15.75" x14ac:dyDescent="0.25">
      <c r="A113" s="120" t="s">
        <v>21</v>
      </c>
      <c r="B113" s="75">
        <f>+INGEI!C$21*'5ta'!$R89/1000</f>
        <v>59.010533685236325</v>
      </c>
      <c r="C113" s="75">
        <f>+INGEI!D$21*'5ta'!$R89/1000</f>
        <v>59.010533685236325</v>
      </c>
      <c r="D113" s="75">
        <f>+INGEI!E$21*'5ta'!$R89/1000</f>
        <v>59.010533685236325</v>
      </c>
      <c r="E113" s="75">
        <f>+INGEI!F$21*'5ta'!$R89/1000</f>
        <v>59.010533685236325</v>
      </c>
      <c r="F113" s="75">
        <f>+INGEI!G$21*'5ta'!$R89/1000</f>
        <v>59.010533685236325</v>
      </c>
      <c r="G113" s="75">
        <f>+INGEI!H$21*'5ta'!$R89/1000</f>
        <v>72.575380776024915</v>
      </c>
      <c r="H113" s="75">
        <f>+INGEI!I$21*'5ta'!$R89/1000</f>
        <v>86.140227866813476</v>
      </c>
      <c r="I113" s="75">
        <f>+INGEI!J$21*'5ta'!$R89/1000</f>
        <v>82.344198314252679</v>
      </c>
      <c r="J113" s="75">
        <f>+INGEI!K$21*'5ta'!$R89/1000</f>
        <v>78.548168761691855</v>
      </c>
      <c r="K113" s="75">
        <f>+INGEI!L$21*'5ta'!$R89/1000</f>
        <v>613.14253292938554</v>
      </c>
      <c r="L113" s="75">
        <f>+INGEI!M$21*'5ta'!$R89/1000</f>
        <v>613.14253292938554</v>
      </c>
      <c r="M113" s="75">
        <f>+INGEI!N$21*'5ta'!$R89/1000</f>
        <v>874.93217805687743</v>
      </c>
      <c r="N113" s="75">
        <f>+INGEI!O$21*'5ta'!$R89/1000</f>
        <v>874.93217805687743</v>
      </c>
    </row>
    <row r="114" spans="1:14" ht="31.5" x14ac:dyDescent="0.25">
      <c r="A114" s="120" t="s">
        <v>22</v>
      </c>
      <c r="B114" s="75">
        <f>+INGEI!C$21*'5ta'!$R90/1000</f>
        <v>23.987401397780452</v>
      </c>
      <c r="C114" s="75">
        <f>+INGEI!D$21*'5ta'!$R90/1000</f>
        <v>23.987401397780452</v>
      </c>
      <c r="D114" s="75">
        <f>+INGEI!E$21*'5ta'!$R90/1000</f>
        <v>23.987401397780452</v>
      </c>
      <c r="E114" s="75">
        <f>+INGEI!F$21*'5ta'!$R90/1000</f>
        <v>23.987401397780452</v>
      </c>
      <c r="F114" s="75">
        <f>+INGEI!G$21*'5ta'!$R90/1000</f>
        <v>23.987401397780452</v>
      </c>
      <c r="G114" s="75">
        <f>+INGEI!H$21*'5ta'!$R90/1000</f>
        <v>29.501424263628</v>
      </c>
      <c r="H114" s="75">
        <f>+INGEI!I$21*'5ta'!$R90/1000</f>
        <v>35.015447129475547</v>
      </c>
      <c r="I114" s="75">
        <f>+INGEI!J$21*'5ta'!$R90/1000</f>
        <v>33.472385596075206</v>
      </c>
      <c r="J114" s="75">
        <f>+INGEI!K$21*'5ta'!$R90/1000</f>
        <v>31.929324062674866</v>
      </c>
      <c r="K114" s="75">
        <f>+INGEI!L$21*'5ta'!$R90/1000</f>
        <v>249.2384856215707</v>
      </c>
      <c r="L114" s="75">
        <f>+INGEI!M$21*'5ta'!$R90/1000</f>
        <v>249.2384856215707</v>
      </c>
      <c r="M114" s="75">
        <f>+INGEI!N$21*'5ta'!$R90/1000</f>
        <v>355.65428814509096</v>
      </c>
      <c r="N114" s="75">
        <f>+INGEI!O$21*'5ta'!$R90/1000</f>
        <v>355.65428814509096</v>
      </c>
    </row>
    <row r="115" spans="1:14" ht="31.5" x14ac:dyDescent="0.25">
      <c r="A115" s="120" t="s">
        <v>23</v>
      </c>
      <c r="B115" s="75">
        <f>+INGEI!C$21*'5ta'!$R91/1000</f>
        <v>16.519502208558507</v>
      </c>
      <c r="C115" s="75">
        <f>+INGEI!D$21*'5ta'!$R91/1000</f>
        <v>16.519502208558507</v>
      </c>
      <c r="D115" s="75">
        <f>+INGEI!E$21*'5ta'!$R91/1000</f>
        <v>16.519502208558507</v>
      </c>
      <c r="E115" s="75">
        <f>+INGEI!F$21*'5ta'!$R91/1000</f>
        <v>16.519502208558507</v>
      </c>
      <c r="F115" s="75">
        <f>+INGEI!G$21*'5ta'!$R91/1000</f>
        <v>16.519502208558507</v>
      </c>
      <c r="G115" s="75">
        <f>+INGEI!H$21*'5ta'!$R91/1000</f>
        <v>20.316866975166331</v>
      </c>
      <c r="H115" s="75">
        <f>+INGEI!I$21*'5ta'!$R91/1000</f>
        <v>24.114231741774152</v>
      </c>
      <c r="I115" s="75">
        <f>+INGEI!J$21*'5ta'!$R91/1000</f>
        <v>23.05156522003465</v>
      </c>
      <c r="J115" s="75">
        <f>+INGEI!K$21*'5ta'!$R91/1000</f>
        <v>21.988898698295145</v>
      </c>
      <c r="K115" s="75">
        <f>+INGEI!L$21*'5ta'!$R91/1000</f>
        <v>171.64409122133119</v>
      </c>
      <c r="L115" s="75">
        <f>+INGEI!M$21*'5ta'!$R91/1000</f>
        <v>171.64409122133119</v>
      </c>
      <c r="M115" s="75">
        <f>+INGEI!N$21*'5ta'!$R91/1000</f>
        <v>244.92989886931929</v>
      </c>
      <c r="N115" s="75">
        <f>+INGEI!O$21*'5ta'!$R91/1000</f>
        <v>244.92989886931929</v>
      </c>
    </row>
    <row r="116" spans="1:14" ht="31.5" x14ac:dyDescent="0.25">
      <c r="A116" s="120" t="s">
        <v>24</v>
      </c>
      <c r="B116" s="75">
        <f>+INGEI!C$21*'5ta'!$R92/1000</f>
        <v>120.88141038827578</v>
      </c>
      <c r="C116" s="75">
        <f>+INGEI!D$21*'5ta'!$R92/1000</f>
        <v>120.88141038827578</v>
      </c>
      <c r="D116" s="75">
        <f>+INGEI!E$21*'5ta'!$R92/1000</f>
        <v>120.88141038827578</v>
      </c>
      <c r="E116" s="75">
        <f>+INGEI!F$21*'5ta'!$R92/1000</f>
        <v>120.88141038827578</v>
      </c>
      <c r="F116" s="75">
        <f>+INGEI!G$21*'5ta'!$R92/1000</f>
        <v>120.88141038827578</v>
      </c>
      <c r="G116" s="75">
        <f>+INGEI!H$21*'5ta'!$R92/1000</f>
        <v>148.66861625870945</v>
      </c>
      <c r="H116" s="75">
        <f>+INGEI!I$21*'5ta'!$R92/1000</f>
        <v>176.45582212914312</v>
      </c>
      <c r="I116" s="75">
        <f>+INGEI!J$21*'5ta'!$R92/1000</f>
        <v>168.67976288120025</v>
      </c>
      <c r="J116" s="75">
        <f>+INGEI!K$21*'5ta'!$R92/1000</f>
        <v>160.90370363325735</v>
      </c>
      <c r="K116" s="75">
        <f>+INGEI!L$21*'5ta'!$R92/1000</f>
        <v>1256.0051489262703</v>
      </c>
      <c r="L116" s="75">
        <f>+INGEI!M$21*'5ta'!$R92/1000</f>
        <v>1256.0051489262703</v>
      </c>
      <c r="M116" s="75">
        <f>+INGEI!N$21*'5ta'!$R92/1000</f>
        <v>1792.2738377819808</v>
      </c>
      <c r="N116" s="75">
        <f>+INGEI!O$21*'5ta'!$R92/1000</f>
        <v>1792.2738377819808</v>
      </c>
    </row>
    <row r="117" spans="1:14" ht="31.5" x14ac:dyDescent="0.25">
      <c r="A117" s="120" t="s">
        <v>25</v>
      </c>
      <c r="B117" s="75">
        <f>+INGEI!C$21*'5ta'!$R93/1000</f>
        <v>13.39271496288719</v>
      </c>
      <c r="C117" s="75">
        <f>+INGEI!D$21*'5ta'!$R93/1000</f>
        <v>13.39271496288719</v>
      </c>
      <c r="D117" s="75">
        <f>+INGEI!E$21*'5ta'!$R93/1000</f>
        <v>13.39271496288719</v>
      </c>
      <c r="E117" s="75">
        <f>+INGEI!F$21*'5ta'!$R93/1000</f>
        <v>13.39271496288719</v>
      </c>
      <c r="F117" s="75">
        <f>+INGEI!G$21*'5ta'!$R93/1000</f>
        <v>13.39271496288719</v>
      </c>
      <c r="G117" s="75">
        <f>+INGEI!H$21*'5ta'!$R93/1000</f>
        <v>16.471320073817285</v>
      </c>
      <c r="H117" s="75">
        <f>+INGEI!I$21*'5ta'!$R93/1000</f>
        <v>19.54992518474738</v>
      </c>
      <c r="I117" s="75">
        <f>+INGEI!J$21*'5ta'!$R93/1000</f>
        <v>18.688398629856</v>
      </c>
      <c r="J117" s="75">
        <f>+INGEI!K$21*'5ta'!$R93/1000</f>
        <v>17.826872074964623</v>
      </c>
      <c r="K117" s="75">
        <f>+INGEI!L$21*'5ta'!$R93/1000</f>
        <v>139.15554837966803</v>
      </c>
      <c r="L117" s="75">
        <f>+INGEI!M$21*'5ta'!$R93/1000</f>
        <v>139.15554837966803</v>
      </c>
      <c r="M117" s="75">
        <f>+INGEI!N$21*'5ta'!$R93/1000</f>
        <v>198.56992541495086</v>
      </c>
      <c r="N117" s="75">
        <f>+INGEI!O$21*'5ta'!$R93/1000</f>
        <v>198.56992541495086</v>
      </c>
    </row>
    <row r="118" spans="1:14" ht="15.75" x14ac:dyDescent="0.25">
      <c r="A118" s="120" t="s">
        <v>26</v>
      </c>
      <c r="B118" s="75">
        <f>+INGEI!C$21*'5ta'!$R94/1000</f>
        <v>3.3261092708115845</v>
      </c>
      <c r="C118" s="75">
        <f>+INGEI!D$21*'5ta'!$R94/1000</f>
        <v>3.3261092708115845</v>
      </c>
      <c r="D118" s="75">
        <f>+INGEI!E$21*'5ta'!$R94/1000</f>
        <v>3.3261092708115845</v>
      </c>
      <c r="E118" s="75">
        <f>+INGEI!F$21*'5ta'!$R94/1000</f>
        <v>3.3261092708115845</v>
      </c>
      <c r="F118" s="75">
        <f>+INGEI!G$21*'5ta'!$R94/1000</f>
        <v>3.3261092708115845</v>
      </c>
      <c r="G118" s="75">
        <f>+INGEI!H$21*'5ta'!$R94/1000</f>
        <v>4.0906874037001106</v>
      </c>
      <c r="H118" s="75">
        <f>+INGEI!I$21*'5ta'!$R94/1000</f>
        <v>4.8552655365886359</v>
      </c>
      <c r="I118" s="75">
        <f>+INGEI!J$21*'5ta'!$R94/1000</f>
        <v>4.6413035827043556</v>
      </c>
      <c r="J118" s="75">
        <f>+INGEI!K$21*'5ta'!$R94/1000</f>
        <v>4.4273416288200762</v>
      </c>
      <c r="K118" s="75">
        <f>+INGEI!L$21*'5ta'!$R94/1000</f>
        <v>34.559576667844176</v>
      </c>
      <c r="L118" s="75">
        <f>+INGEI!M$21*'5ta'!$R94/1000</f>
        <v>34.559576667844176</v>
      </c>
      <c r="M118" s="75">
        <f>+INGEI!N$21*'5ta'!$R94/1000</f>
        <v>49.315263683074036</v>
      </c>
      <c r="N118" s="75">
        <f>+INGEI!O$21*'5ta'!$R94/1000</f>
        <v>49.315263683074036</v>
      </c>
    </row>
    <row r="119" spans="1:14" ht="15.75" x14ac:dyDescent="0.25">
      <c r="A119" s="120" t="s">
        <v>27</v>
      </c>
      <c r="B119" s="75">
        <f>+INGEI!C$21*'5ta'!$R95/1000</f>
        <v>13.909219629644806</v>
      </c>
      <c r="C119" s="75">
        <f>+INGEI!D$21*'5ta'!$R95/1000</f>
        <v>13.909219629644806</v>
      </c>
      <c r="D119" s="75">
        <f>+INGEI!E$21*'5ta'!$R95/1000</f>
        <v>13.909219629644806</v>
      </c>
      <c r="E119" s="75">
        <f>+INGEI!F$21*'5ta'!$R95/1000</f>
        <v>13.909219629644806</v>
      </c>
      <c r="F119" s="75">
        <f>+INGEI!G$21*'5ta'!$R95/1000</f>
        <v>13.909219629644806</v>
      </c>
      <c r="G119" s="75">
        <f>+INGEI!H$21*'5ta'!$R95/1000</f>
        <v>17.106554506070967</v>
      </c>
      <c r="H119" s="75">
        <f>+INGEI!I$21*'5ta'!$R95/1000</f>
        <v>20.303889382497125</v>
      </c>
      <c r="I119" s="75">
        <f>+INGEI!J$21*'5ta'!$R95/1000</f>
        <v>19.409137115913225</v>
      </c>
      <c r="J119" s="75">
        <f>+INGEI!K$21*'5ta'!$R95/1000</f>
        <v>18.514384849329325</v>
      </c>
      <c r="K119" s="75">
        <f>+INGEI!L$21*'5ta'!$R95/1000</f>
        <v>144.52223395032985</v>
      </c>
      <c r="L119" s="75">
        <f>+INGEI!M$21*'5ta'!$R95/1000</f>
        <v>144.52223395032985</v>
      </c>
      <c r="M119" s="75">
        <f>+INGEI!N$21*'5ta'!$R95/1000</f>
        <v>206.22799126931614</v>
      </c>
      <c r="N119" s="75">
        <f>+INGEI!O$21*'5ta'!$R95/1000</f>
        <v>206.22799126931614</v>
      </c>
    </row>
    <row r="120" spans="1:14" ht="15.75" x14ac:dyDescent="0.25">
      <c r="A120" s="121" t="s">
        <v>14</v>
      </c>
      <c r="B120" s="122">
        <f t="shared" ref="B120:N120" si="41">+SUM(B111:B119)</f>
        <v>257.83015640799994</v>
      </c>
      <c r="C120" s="122">
        <f t="shared" si="41"/>
        <v>257.83015640799994</v>
      </c>
      <c r="D120" s="122">
        <f t="shared" si="41"/>
        <v>257.83015640799994</v>
      </c>
      <c r="E120" s="122">
        <f t="shared" si="41"/>
        <v>257.83015640799994</v>
      </c>
      <c r="F120" s="122">
        <f t="shared" si="41"/>
        <v>257.83015640799994</v>
      </c>
      <c r="G120" s="122">
        <f t="shared" si="41"/>
        <v>317.09799265099991</v>
      </c>
      <c r="H120" s="122">
        <f t="shared" si="41"/>
        <v>376.36582889399995</v>
      </c>
      <c r="I120" s="122">
        <f t="shared" si="41"/>
        <v>359.7801308475</v>
      </c>
      <c r="J120" s="122">
        <f t="shared" si="41"/>
        <v>343.194432801</v>
      </c>
      <c r="K120" s="122">
        <f t="shared" si="41"/>
        <v>2678.9562014269991</v>
      </c>
      <c r="L120" s="122">
        <f t="shared" si="41"/>
        <v>2678.9562014269991</v>
      </c>
      <c r="M120" s="122">
        <f t="shared" si="41"/>
        <v>3822.7734308939985</v>
      </c>
      <c r="N120" s="122">
        <f t="shared" si="41"/>
        <v>3822.7734308939985</v>
      </c>
    </row>
    <row r="121" spans="1:14" ht="15.75" x14ac:dyDescent="0.25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</row>
    <row r="122" spans="1:14" ht="15.75" x14ac:dyDescent="0.25">
      <c r="A122" s="119" t="s">
        <v>118</v>
      </c>
      <c r="B122" s="1">
        <v>2010</v>
      </c>
      <c r="C122" s="1">
        <v>2011</v>
      </c>
      <c r="D122" s="1">
        <v>2012</v>
      </c>
      <c r="E122" s="1">
        <v>2013</v>
      </c>
      <c r="F122" s="1">
        <v>2014</v>
      </c>
      <c r="G122" s="1">
        <v>2015</v>
      </c>
      <c r="H122" s="1">
        <v>2016</v>
      </c>
      <c r="I122" s="1">
        <v>2017</v>
      </c>
      <c r="J122" s="1">
        <v>2018</v>
      </c>
      <c r="K122" s="1">
        <v>2019</v>
      </c>
      <c r="L122" s="1">
        <v>2020</v>
      </c>
      <c r="M122" s="1">
        <v>2021</v>
      </c>
      <c r="N122" s="1">
        <v>2022</v>
      </c>
    </row>
    <row r="123" spans="1:14" ht="15.75" x14ac:dyDescent="0.25">
      <c r="A123" s="120" t="s">
        <v>18</v>
      </c>
      <c r="B123" s="77">
        <f>+'Cambio uso de suelo (BAU)'!D51/1000</f>
        <v>0</v>
      </c>
      <c r="C123" s="77">
        <f>+'Cambio uso de suelo (BAU)'!E51/1000</f>
        <v>0</v>
      </c>
      <c r="D123" s="77">
        <f>+'Cambio uso de suelo (BAU)'!F51/1000</f>
        <v>0</v>
      </c>
      <c r="E123" s="77">
        <f>+'Cambio uso de suelo (BAU)'!G51/1000</f>
        <v>0</v>
      </c>
      <c r="F123" s="77">
        <f>+'Cambio uso de suelo (BAU)'!H51/1000</f>
        <v>0</v>
      </c>
      <c r="G123" s="77">
        <f>+'Cambio uso de suelo (BAU)'!I51/1000</f>
        <v>0</v>
      </c>
      <c r="H123" s="77">
        <f>+'Cambio uso de suelo (BAU)'!J51/1000</f>
        <v>0</v>
      </c>
      <c r="I123" s="77">
        <f>+'Cambio uso de suelo (BAU)'!K51/1000</f>
        <v>0</v>
      </c>
      <c r="J123" s="77">
        <f>+'Cambio uso de suelo (BAU)'!L51/1000</f>
        <v>0</v>
      </c>
      <c r="K123" s="77">
        <f>+'Cambio uso de suelo (BAU)'!M51/1000</f>
        <v>5.7059999999999999E-5</v>
      </c>
      <c r="L123" s="77">
        <f>+'Cambio uso de suelo (BAU)'!N51/1000</f>
        <v>5.7059999999999999E-5</v>
      </c>
      <c r="M123" s="77">
        <f>+'Cambio uso de suelo (BAU)'!O51/1000</f>
        <v>9.1349999999999998E-6</v>
      </c>
      <c r="N123" s="77">
        <f>+'Cambio uso de suelo (BAU)'!P51/1000</f>
        <v>9.1349999999999998E-6</v>
      </c>
    </row>
    <row r="124" spans="1:14" ht="15.75" x14ac:dyDescent="0.25">
      <c r="A124" s="120" t="s">
        <v>20</v>
      </c>
      <c r="B124" s="77">
        <f>+'Cambio uso de suelo (BAU)'!D52/1000</f>
        <v>1.8540000000000001E-4</v>
      </c>
      <c r="C124" s="77">
        <f>+'Cambio uso de suelo (BAU)'!E52/1000</f>
        <v>1.8540000000000001E-4</v>
      </c>
      <c r="D124" s="77">
        <f>+'Cambio uso de suelo (BAU)'!F52/1000</f>
        <v>1.8540000000000001E-4</v>
      </c>
      <c r="E124" s="77">
        <f>+'Cambio uso de suelo (BAU)'!G52/1000</f>
        <v>1.8540000000000001E-4</v>
      </c>
      <c r="F124" s="77">
        <f>+'Cambio uso de suelo (BAU)'!H52/1000</f>
        <v>1.8540000000000001E-4</v>
      </c>
      <c r="G124" s="77">
        <f>+'Cambio uso de suelo (BAU)'!I52/1000</f>
        <v>1.9050750000000001E-4</v>
      </c>
      <c r="H124" s="77">
        <f>+'Cambio uso de suelo (BAU)'!J52/1000</f>
        <v>1.9561499999999998E-4</v>
      </c>
      <c r="I124" s="77">
        <f>+'Cambio uso de suelo (BAU)'!K52/1000</f>
        <v>1.3349249999999998E-4</v>
      </c>
      <c r="J124" s="77">
        <f>+'Cambio uso de suelo (BAU)'!L52/1000</f>
        <v>7.1370000000000003E-5</v>
      </c>
      <c r="K124" s="77">
        <f>+'Cambio uso de suelo (BAU)'!M52/1000</f>
        <v>9.7200000000000004E-5</v>
      </c>
      <c r="L124" s="77">
        <f>+'Cambio uso de suelo (BAU)'!N52/1000</f>
        <v>9.7200000000000004E-5</v>
      </c>
      <c r="M124" s="77">
        <f>+'Cambio uso de suelo (BAU)'!O52/1000</f>
        <v>2.0340000000000002E-5</v>
      </c>
      <c r="N124" s="77">
        <f>+'Cambio uso de suelo (BAU)'!P52/1000</f>
        <v>2.0340000000000002E-5</v>
      </c>
    </row>
    <row r="125" spans="1:14" ht="15.75" x14ac:dyDescent="0.25">
      <c r="A125" s="120" t="s">
        <v>21</v>
      </c>
      <c r="B125" s="77">
        <f>+'Cambio uso de suelo (BAU)'!D53/1000</f>
        <v>0</v>
      </c>
      <c r="C125" s="77">
        <f>+'Cambio uso de suelo (BAU)'!E53/1000</f>
        <v>0</v>
      </c>
      <c r="D125" s="77">
        <f>+'Cambio uso de suelo (BAU)'!F53/1000</f>
        <v>0</v>
      </c>
      <c r="E125" s="77">
        <f>+'Cambio uso de suelo (BAU)'!G53/1000</f>
        <v>0</v>
      </c>
      <c r="F125" s="77">
        <f>+'Cambio uso de suelo (BAU)'!H53/1000</f>
        <v>0</v>
      </c>
      <c r="G125" s="77">
        <f>+'Cambio uso de suelo (BAU)'!I53/1000</f>
        <v>0</v>
      </c>
      <c r="H125" s="77">
        <f>+'Cambio uso de suelo (BAU)'!J53/1000</f>
        <v>0</v>
      </c>
      <c r="I125" s="77">
        <f>+'Cambio uso de suelo (BAU)'!K53/1000</f>
        <v>5.6249999999999991E-7</v>
      </c>
      <c r="J125" s="77">
        <f>+'Cambio uso de suelo (BAU)'!L53/1000</f>
        <v>1.1249999999999998E-6</v>
      </c>
      <c r="K125" s="77">
        <f>+'Cambio uso de suelo (BAU)'!M53/1000</f>
        <v>7.3129999999999994E-4</v>
      </c>
      <c r="L125" s="77">
        <f>+'Cambio uso de suelo (BAU)'!N53/1000</f>
        <v>7.3129999999999994E-4</v>
      </c>
      <c r="M125" s="77">
        <f>+'Cambio uso de suelo (BAU)'!O53/1000</f>
        <v>4.6012500000000003E-4</v>
      </c>
      <c r="N125" s="77">
        <f>+'Cambio uso de suelo (BAU)'!P53/1000</f>
        <v>4.6012500000000003E-4</v>
      </c>
    </row>
    <row r="126" spans="1:14" ht="31.5" x14ac:dyDescent="0.25">
      <c r="A126" s="120" t="s">
        <v>22</v>
      </c>
      <c r="B126" s="77">
        <f>+'Cambio uso de suelo (BAU)'!D54/1000</f>
        <v>0</v>
      </c>
      <c r="C126" s="77">
        <f>+'Cambio uso de suelo (BAU)'!E54/1000</f>
        <v>0</v>
      </c>
      <c r="D126" s="77">
        <f>+'Cambio uso de suelo (BAU)'!F54/1000</f>
        <v>0</v>
      </c>
      <c r="E126" s="77">
        <f>+'Cambio uso de suelo (BAU)'!G54/1000</f>
        <v>0</v>
      </c>
      <c r="F126" s="77">
        <f>+'Cambio uso de suelo (BAU)'!H54/1000</f>
        <v>0</v>
      </c>
      <c r="G126" s="77">
        <f>+'Cambio uso de suelo (BAU)'!I54/1000</f>
        <v>0</v>
      </c>
      <c r="H126" s="77">
        <f>+'Cambio uso de suelo (BAU)'!J54/1000</f>
        <v>0</v>
      </c>
      <c r="I126" s="77">
        <f>+'Cambio uso de suelo (BAU)'!K54/1000</f>
        <v>2.2949999999999996E-6</v>
      </c>
      <c r="J126" s="77">
        <f>+'Cambio uso de suelo (BAU)'!L54/1000</f>
        <v>4.5899999999999993E-6</v>
      </c>
      <c r="K126" s="77">
        <f>+'Cambio uso de suelo (BAU)'!M54/1000</f>
        <v>2.3719999999999999E-4</v>
      </c>
      <c r="L126" s="77">
        <f>+'Cambio uso de suelo (BAU)'!N54/1000</f>
        <v>2.3719999999999999E-4</v>
      </c>
      <c r="M126" s="77">
        <f>+'Cambio uso de suelo (BAU)'!O54/1000</f>
        <v>9.5044500000000007E-4</v>
      </c>
      <c r="N126" s="77">
        <f>+'Cambio uso de suelo (BAU)'!P54/1000</f>
        <v>9.5044500000000007E-4</v>
      </c>
    </row>
    <row r="127" spans="1:14" ht="31.5" x14ac:dyDescent="0.25">
      <c r="A127" s="120" t="s">
        <v>23</v>
      </c>
      <c r="B127" s="77">
        <f>+'Cambio uso de suelo (BAU)'!D55/1000</f>
        <v>0</v>
      </c>
      <c r="C127" s="77">
        <f>+'Cambio uso de suelo (BAU)'!E55/1000</f>
        <v>0</v>
      </c>
      <c r="D127" s="77">
        <f>+'Cambio uso de suelo (BAU)'!F55/1000</f>
        <v>0</v>
      </c>
      <c r="E127" s="77">
        <f>+'Cambio uso de suelo (BAU)'!G55/1000</f>
        <v>0</v>
      </c>
      <c r="F127" s="77">
        <f>+'Cambio uso de suelo (BAU)'!H55/1000</f>
        <v>0</v>
      </c>
      <c r="G127" s="77">
        <f>+'Cambio uso de suelo (BAU)'!I55/1000</f>
        <v>0</v>
      </c>
      <c r="H127" s="77">
        <f>+'Cambio uso de suelo (BAU)'!J55/1000</f>
        <v>0</v>
      </c>
      <c r="I127" s="77">
        <f>+'Cambio uso de suelo (BAU)'!K55/1000</f>
        <v>0</v>
      </c>
      <c r="J127" s="77">
        <f>+'Cambio uso de suelo (BAU)'!L55/1000</f>
        <v>0</v>
      </c>
      <c r="K127" s="77">
        <f>+'Cambio uso de suelo (BAU)'!M55/1000</f>
        <v>5.4770000000000006E-5</v>
      </c>
      <c r="L127" s="77">
        <f>+'Cambio uso de suelo (BAU)'!N55/1000</f>
        <v>5.4770000000000006E-5</v>
      </c>
      <c r="M127" s="77">
        <f>+'Cambio uso de suelo (BAU)'!O55/1000</f>
        <v>2.5559999999999999E-5</v>
      </c>
      <c r="N127" s="77">
        <f>+'Cambio uso de suelo (BAU)'!P55/1000</f>
        <v>2.5559999999999999E-5</v>
      </c>
    </row>
    <row r="128" spans="1:14" ht="31.5" x14ac:dyDescent="0.25">
      <c r="A128" s="120" t="s">
        <v>24</v>
      </c>
      <c r="B128" s="77">
        <f>+'Cambio uso de suelo (BAU)'!D56/1000</f>
        <v>0</v>
      </c>
      <c r="C128" s="77">
        <f>+'Cambio uso de suelo (BAU)'!E56/1000</f>
        <v>0</v>
      </c>
      <c r="D128" s="77">
        <f>+'Cambio uso de suelo (BAU)'!F56/1000</f>
        <v>0</v>
      </c>
      <c r="E128" s="77">
        <f>+'Cambio uso de suelo (BAU)'!G56/1000</f>
        <v>0</v>
      </c>
      <c r="F128" s="77">
        <f>+'Cambio uso de suelo (BAU)'!H56/1000</f>
        <v>0</v>
      </c>
      <c r="G128" s="77">
        <f>+'Cambio uso de suelo (BAU)'!I56/1000</f>
        <v>0</v>
      </c>
      <c r="H128" s="77">
        <f>+'Cambio uso de suelo (BAU)'!J56/1000</f>
        <v>0</v>
      </c>
      <c r="I128" s="77">
        <f>+'Cambio uso de suelo (BAU)'!K56/1000</f>
        <v>0</v>
      </c>
      <c r="J128" s="77">
        <f>+'Cambio uso de suelo (BAU)'!L56/1000</f>
        <v>0</v>
      </c>
      <c r="K128" s="77">
        <f>+'Cambio uso de suelo (BAU)'!M56/1000</f>
        <v>3.0419099999999997E-3</v>
      </c>
      <c r="L128" s="77">
        <f>+'Cambio uso de suelo (BAU)'!N56/1000</f>
        <v>3.0419099999999997E-3</v>
      </c>
      <c r="M128" s="77">
        <f>+'Cambio uso de suelo (BAU)'!O56/1000</f>
        <v>5.17995E-3</v>
      </c>
      <c r="N128" s="77">
        <f>+'Cambio uso de suelo (BAU)'!P56/1000</f>
        <v>5.17995E-3</v>
      </c>
    </row>
    <row r="129" spans="1:15" ht="31.5" x14ac:dyDescent="0.25">
      <c r="A129" s="120" t="s">
        <v>25</v>
      </c>
      <c r="B129" s="77">
        <f>+'Cambio uso de suelo (BAU)'!D57/1000</f>
        <v>2.3204999999999999E-5</v>
      </c>
      <c r="C129" s="77">
        <f>+'Cambio uso de suelo (BAU)'!E57/1000</f>
        <v>2.3204999999999999E-5</v>
      </c>
      <c r="D129" s="77">
        <f>+'Cambio uso de suelo (BAU)'!F57/1000</f>
        <v>2.3204999999999999E-5</v>
      </c>
      <c r="E129" s="77">
        <f>+'Cambio uso de suelo (BAU)'!G57/1000</f>
        <v>2.3204999999999999E-5</v>
      </c>
      <c r="F129" s="77">
        <f>+'Cambio uso de suelo (BAU)'!H57/1000</f>
        <v>2.3204999999999999E-5</v>
      </c>
      <c r="G129" s="77">
        <f>+'Cambio uso de suelo (BAU)'!I57/1000</f>
        <v>5.3520000000000009E-5</v>
      </c>
      <c r="H129" s="77">
        <f>+'Cambio uso de suelo (BAU)'!J57/1000</f>
        <v>8.3835000000000027E-5</v>
      </c>
      <c r="I129" s="77">
        <f>+'Cambio uso de suelo (BAU)'!K57/1000</f>
        <v>6.1627500000000019E-5</v>
      </c>
      <c r="J129" s="77">
        <f>+'Cambio uso de suelo (BAU)'!L57/1000</f>
        <v>3.9420000000000005E-5</v>
      </c>
      <c r="K129" s="77">
        <f>+'Cambio uso de suelo (BAU)'!M57/1000</f>
        <v>1.715E-5</v>
      </c>
      <c r="L129" s="77">
        <f>+'Cambio uso de suelo (BAU)'!N57/1000</f>
        <v>1.715E-5</v>
      </c>
      <c r="M129" s="77">
        <f>+'Cambio uso de suelo (BAU)'!O57/1000</f>
        <v>6.9300000000000004E-5</v>
      </c>
      <c r="N129" s="77">
        <f>+'Cambio uso de suelo (BAU)'!P57/1000</f>
        <v>6.9300000000000004E-5</v>
      </c>
    </row>
    <row r="130" spans="1:15" ht="15.75" x14ac:dyDescent="0.25">
      <c r="A130" s="120" t="s">
        <v>26</v>
      </c>
      <c r="B130" s="77">
        <f>+'Cambio uso de suelo (BAU)'!D58/1000</f>
        <v>7.0914000000000003E-4</v>
      </c>
      <c r="C130" s="77">
        <f>+'Cambio uso de suelo (BAU)'!E58/1000</f>
        <v>7.0914000000000003E-4</v>
      </c>
      <c r="D130" s="77">
        <f>+'Cambio uso de suelo (BAU)'!F58/1000</f>
        <v>7.0914000000000003E-4</v>
      </c>
      <c r="E130" s="77">
        <f>+'Cambio uso de suelo (BAU)'!G58/1000</f>
        <v>7.0914000000000003E-4</v>
      </c>
      <c r="F130" s="77">
        <f>+'Cambio uso de suelo (BAU)'!H58/1000</f>
        <v>7.0914000000000003E-4</v>
      </c>
      <c r="G130" s="77">
        <f>+'Cambio uso de suelo (BAU)'!I58/1000</f>
        <v>8.0933999999999997E-4</v>
      </c>
      <c r="H130" s="77">
        <f>+'Cambio uso de suelo (BAU)'!J58/1000</f>
        <v>9.0954000000000002E-4</v>
      </c>
      <c r="I130" s="77">
        <f>+'Cambio uso de suelo (BAU)'!K58/1000</f>
        <v>9.4742999999999997E-4</v>
      </c>
      <c r="J130" s="77">
        <f>+'Cambio uso de suelo (BAU)'!L58/1000</f>
        <v>9.8532000000000003E-4</v>
      </c>
      <c r="K130" s="77">
        <f>+'Cambio uso de suelo (BAU)'!M58/1000</f>
        <v>7.1915E-4</v>
      </c>
      <c r="L130" s="77">
        <f>+'Cambio uso de suelo (BAU)'!N58/1000</f>
        <v>7.1915E-4</v>
      </c>
      <c r="M130" s="77">
        <f>+'Cambio uso de suelo (BAU)'!O58/1000</f>
        <v>4.8149999999999998E-5</v>
      </c>
      <c r="N130" s="77">
        <f>+'Cambio uso de suelo (BAU)'!P58/1000</f>
        <v>4.8149999999999998E-5</v>
      </c>
    </row>
    <row r="131" spans="1:15" ht="15.75" x14ac:dyDescent="0.25">
      <c r="A131" s="120" t="s">
        <v>27</v>
      </c>
      <c r="B131" s="77">
        <f>+'Cambio uso de suelo (BAU)'!D59/1000</f>
        <v>0</v>
      </c>
      <c r="C131" s="77">
        <f>+'Cambio uso de suelo (BAU)'!E59/1000</f>
        <v>0</v>
      </c>
      <c r="D131" s="77">
        <f>+'Cambio uso de suelo (BAU)'!F59/1000</f>
        <v>0</v>
      </c>
      <c r="E131" s="77">
        <f>+'Cambio uso de suelo (BAU)'!G59/1000</f>
        <v>0</v>
      </c>
      <c r="F131" s="77">
        <f>+'Cambio uso de suelo (BAU)'!H59/1000</f>
        <v>0</v>
      </c>
      <c r="G131" s="77">
        <f>+'Cambio uso de suelo (BAU)'!I59/1000</f>
        <v>0</v>
      </c>
      <c r="H131" s="77">
        <f>+'Cambio uso de suelo (BAU)'!J59/1000</f>
        <v>0</v>
      </c>
      <c r="I131" s="77">
        <f>+'Cambio uso de suelo (BAU)'!K59/1000</f>
        <v>0</v>
      </c>
      <c r="J131" s="77">
        <f>+'Cambio uso de suelo (BAU)'!L59/1000</f>
        <v>0</v>
      </c>
      <c r="K131" s="77">
        <f>+'Cambio uso de suelo (BAU)'!M59/1000</f>
        <v>5.5277999999999989E-4</v>
      </c>
      <c r="L131" s="77">
        <f>+'Cambio uso de suelo (BAU)'!N59/1000</f>
        <v>5.5277999999999989E-4</v>
      </c>
      <c r="M131" s="77">
        <f>+'Cambio uso de suelo (BAU)'!O59/1000</f>
        <v>2.3462999999999999E-4</v>
      </c>
      <c r="N131" s="77">
        <f>+'Cambio uso de suelo (BAU)'!P59/1000</f>
        <v>2.3462999999999999E-4</v>
      </c>
    </row>
    <row r="132" spans="1:15" ht="15.75" x14ac:dyDescent="0.25">
      <c r="A132" s="123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</row>
    <row r="133" spans="1:15" ht="16.5" thickBot="1" x14ac:dyDescent="0.3">
      <c r="A133" s="119" t="s">
        <v>119</v>
      </c>
      <c r="B133" s="1">
        <v>2010</v>
      </c>
      <c r="C133" s="1">
        <v>2011</v>
      </c>
      <c r="D133" s="1">
        <v>2012</v>
      </c>
      <c r="E133" s="1">
        <v>2013</v>
      </c>
      <c r="F133" s="1">
        <v>2014</v>
      </c>
      <c r="G133" s="1">
        <v>2015</v>
      </c>
      <c r="H133" s="1">
        <v>2016</v>
      </c>
      <c r="I133" s="1">
        <v>2017</v>
      </c>
      <c r="J133" s="1">
        <v>2018</v>
      </c>
      <c r="K133" s="1">
        <v>2019</v>
      </c>
      <c r="L133" s="1">
        <v>2020</v>
      </c>
      <c r="M133" s="1">
        <v>2021</v>
      </c>
      <c r="N133" s="1">
        <v>2022</v>
      </c>
    </row>
    <row r="134" spans="1:15" x14ac:dyDescent="0.25">
      <c r="A134" s="29" t="s">
        <v>186</v>
      </c>
      <c r="B134" s="74">
        <v>0</v>
      </c>
      <c r="C134" s="74">
        <v>0</v>
      </c>
      <c r="D134" s="74">
        <v>0</v>
      </c>
      <c r="E134" s="74">
        <v>0</v>
      </c>
      <c r="F134" s="74">
        <v>0</v>
      </c>
      <c r="G134" s="74">
        <v>0</v>
      </c>
      <c r="H134" s="74">
        <v>0</v>
      </c>
      <c r="I134" s="74">
        <v>0</v>
      </c>
      <c r="J134" s="74">
        <v>0</v>
      </c>
      <c r="K134" s="74">
        <f t="shared" ref="K134:N142" si="42">+K111/K123</f>
        <v>115078.97379267338</v>
      </c>
      <c r="L134" s="74">
        <f t="shared" si="42"/>
        <v>115078.97379267338</v>
      </c>
      <c r="M134" s="74">
        <f t="shared" si="42"/>
        <v>1025727.8364257478</v>
      </c>
      <c r="N134" s="74">
        <f t="shared" si="42"/>
        <v>1025727.8364257478</v>
      </c>
      <c r="O134" s="388">
        <f t="shared" ref="O134:O142" si="43">+AVERAGE(B134:N134)</f>
        <v>175508.74003360327</v>
      </c>
    </row>
    <row r="135" spans="1:15" x14ac:dyDescent="0.25">
      <c r="A135" s="27" t="s">
        <v>187</v>
      </c>
      <c r="B135" s="74">
        <f t="shared" ref="B135:J135" si="44">+B112/B124</f>
        <v>33286.38490424784</v>
      </c>
      <c r="C135" s="74">
        <f t="shared" si="44"/>
        <v>33286.38490424784</v>
      </c>
      <c r="D135" s="74">
        <f t="shared" si="44"/>
        <v>33286.38490424784</v>
      </c>
      <c r="E135" s="74">
        <f t="shared" si="44"/>
        <v>33286.38490424784</v>
      </c>
      <c r="F135" s="74">
        <f t="shared" si="44"/>
        <v>33286.38490424784</v>
      </c>
      <c r="G135" s="74">
        <f t="shared" si="44"/>
        <v>39840.434247803707</v>
      </c>
      <c r="H135" s="74">
        <f t="shared" si="44"/>
        <v>46052.23164726315</v>
      </c>
      <c r="I135" s="74">
        <f t="shared" si="44"/>
        <v>64509.393307124665</v>
      </c>
      <c r="J135" s="74">
        <f t="shared" si="44"/>
        <v>115097.84332945631</v>
      </c>
      <c r="K135" s="74">
        <f t="shared" si="42"/>
        <v>659693.1840122405</v>
      </c>
      <c r="L135" s="74">
        <f t="shared" si="42"/>
        <v>659693.1840122405</v>
      </c>
      <c r="M135" s="74">
        <f t="shared" si="42"/>
        <v>4498526.2481632121</v>
      </c>
      <c r="N135" s="74">
        <f t="shared" si="42"/>
        <v>4498526.2481632121</v>
      </c>
      <c r="O135" s="388">
        <f t="shared" si="43"/>
        <v>826797.74549259932</v>
      </c>
    </row>
    <row r="136" spans="1:15" x14ac:dyDescent="0.25">
      <c r="A136" s="27" t="s">
        <v>188</v>
      </c>
      <c r="B136" s="74">
        <v>0</v>
      </c>
      <c r="C136" s="74">
        <v>0</v>
      </c>
      <c r="D136" s="74">
        <v>0</v>
      </c>
      <c r="E136" s="74">
        <v>0</v>
      </c>
      <c r="F136" s="74">
        <v>0</v>
      </c>
      <c r="G136" s="74">
        <v>0</v>
      </c>
      <c r="H136" s="74">
        <v>0</v>
      </c>
      <c r="I136" s="74">
        <f>+I113/I125</f>
        <v>146389685.89200479</v>
      </c>
      <c r="J136" s="74">
        <f>+J113/J125</f>
        <v>69820594.454837218</v>
      </c>
      <c r="K136" s="74">
        <f t="shared" si="42"/>
        <v>838428.18669408665</v>
      </c>
      <c r="L136" s="74">
        <f t="shared" si="42"/>
        <v>838428.18669408665</v>
      </c>
      <c r="M136" s="74">
        <f t="shared" si="42"/>
        <v>1901509.7594281498</v>
      </c>
      <c r="N136" s="74">
        <f t="shared" si="42"/>
        <v>1901509.7594281498</v>
      </c>
      <c r="O136" s="388">
        <f t="shared" si="43"/>
        <v>17053088.941468187</v>
      </c>
    </row>
    <row r="137" spans="1:15" x14ac:dyDescent="0.25">
      <c r="A137" s="27" t="s">
        <v>189</v>
      </c>
      <c r="B137" s="74">
        <v>0</v>
      </c>
      <c r="C137" s="74">
        <v>0</v>
      </c>
      <c r="D137" s="74">
        <v>0</v>
      </c>
      <c r="E137" s="74">
        <v>0</v>
      </c>
      <c r="F137" s="74">
        <v>0</v>
      </c>
      <c r="G137" s="74">
        <v>0</v>
      </c>
      <c r="H137" s="74">
        <v>0</v>
      </c>
      <c r="I137" s="74">
        <f>+I114/I126</f>
        <v>14584917.471056737</v>
      </c>
      <c r="J137" s="74">
        <f>+J114/J126</f>
        <v>6956279.752216747</v>
      </c>
      <c r="K137" s="74">
        <f t="shared" si="42"/>
        <v>1050752.4688936369</v>
      </c>
      <c r="L137" s="74">
        <f t="shared" si="42"/>
        <v>1050752.4688936369</v>
      </c>
      <c r="M137" s="74">
        <f t="shared" si="42"/>
        <v>374197.652831138</v>
      </c>
      <c r="N137" s="74">
        <f t="shared" si="42"/>
        <v>374197.652831138</v>
      </c>
      <c r="O137" s="388">
        <f t="shared" si="43"/>
        <v>1876238.2666710024</v>
      </c>
    </row>
    <row r="138" spans="1:15" x14ac:dyDescent="0.25">
      <c r="A138" s="27" t="s">
        <v>190</v>
      </c>
      <c r="B138" s="74">
        <v>0</v>
      </c>
      <c r="C138" s="74">
        <v>0</v>
      </c>
      <c r="D138" s="74">
        <v>0</v>
      </c>
      <c r="E138" s="74">
        <v>0</v>
      </c>
      <c r="F138" s="74">
        <v>0</v>
      </c>
      <c r="G138" s="74">
        <v>0</v>
      </c>
      <c r="H138" s="74">
        <v>0</v>
      </c>
      <c r="I138" s="74">
        <v>0</v>
      </c>
      <c r="J138" s="74">
        <v>0</v>
      </c>
      <c r="K138" s="74">
        <f t="shared" si="42"/>
        <v>3133907.0882112687</v>
      </c>
      <c r="L138" s="74">
        <f t="shared" si="42"/>
        <v>3133907.0882112687</v>
      </c>
      <c r="M138" s="74">
        <f t="shared" si="42"/>
        <v>9582546.9041204732</v>
      </c>
      <c r="N138" s="74">
        <f t="shared" si="42"/>
        <v>9582546.9041204732</v>
      </c>
      <c r="O138" s="388">
        <f t="shared" si="43"/>
        <v>1956377.5372818066</v>
      </c>
    </row>
    <row r="139" spans="1:15" x14ac:dyDescent="0.25">
      <c r="A139" s="27" t="s">
        <v>191</v>
      </c>
      <c r="B139" s="74">
        <v>0</v>
      </c>
      <c r="C139" s="74">
        <v>0</v>
      </c>
      <c r="D139" s="74">
        <v>0</v>
      </c>
      <c r="E139" s="74">
        <v>0</v>
      </c>
      <c r="F139" s="74">
        <v>0</v>
      </c>
      <c r="G139" s="74">
        <v>0</v>
      </c>
      <c r="H139" s="74">
        <v>0</v>
      </c>
      <c r="I139" s="74">
        <v>0</v>
      </c>
      <c r="J139" s="74">
        <v>0</v>
      </c>
      <c r="K139" s="74">
        <f t="shared" si="42"/>
        <v>412900.16763358231</v>
      </c>
      <c r="L139" s="74">
        <f t="shared" si="42"/>
        <v>412900.16763358231</v>
      </c>
      <c r="M139" s="74">
        <f t="shared" si="42"/>
        <v>346002.15017171612</v>
      </c>
      <c r="N139" s="74">
        <f t="shared" si="42"/>
        <v>346002.15017171612</v>
      </c>
      <c r="O139" s="388">
        <f t="shared" si="43"/>
        <v>116754.20273927668</v>
      </c>
    </row>
    <row r="140" spans="1:15" x14ac:dyDescent="0.25">
      <c r="A140" s="27" t="s">
        <v>192</v>
      </c>
      <c r="B140" s="74">
        <f t="shared" ref="B140:J140" si="45">+B117/B129</f>
        <v>577147.811371997</v>
      </c>
      <c r="C140" s="74">
        <f t="shared" si="45"/>
        <v>577147.811371997</v>
      </c>
      <c r="D140" s="74">
        <f t="shared" si="45"/>
        <v>577147.811371997</v>
      </c>
      <c r="E140" s="74">
        <f t="shared" si="45"/>
        <v>577147.811371997</v>
      </c>
      <c r="F140" s="74">
        <f t="shared" si="45"/>
        <v>577147.811371997</v>
      </c>
      <c r="G140" s="74">
        <f t="shared" si="45"/>
        <v>307760.09106534533</v>
      </c>
      <c r="H140" s="74">
        <f t="shared" si="45"/>
        <v>233195.26671136607</v>
      </c>
      <c r="I140" s="74">
        <f t="shared" si="45"/>
        <v>303247.71619578911</v>
      </c>
      <c r="J140" s="74">
        <f t="shared" si="45"/>
        <v>452229.12417464791</v>
      </c>
      <c r="K140" s="74">
        <f t="shared" si="42"/>
        <v>8114026.1445870576</v>
      </c>
      <c r="L140" s="74">
        <f t="shared" si="42"/>
        <v>8114026.1445870576</v>
      </c>
      <c r="M140" s="74">
        <f t="shared" si="42"/>
        <v>2865366.8891046299</v>
      </c>
      <c r="N140" s="74">
        <f t="shared" si="42"/>
        <v>2865366.8891046299</v>
      </c>
      <c r="O140" s="388">
        <f t="shared" si="43"/>
        <v>2010842.8709531163</v>
      </c>
    </row>
    <row r="141" spans="1:15" x14ac:dyDescent="0.25">
      <c r="A141" s="27" t="s">
        <v>193</v>
      </c>
      <c r="B141" s="74">
        <f t="shared" ref="B141:J141" si="46">+B118/B130</f>
        <v>4690.3422043765468</v>
      </c>
      <c r="C141" s="74">
        <f t="shared" si="46"/>
        <v>4690.3422043765468</v>
      </c>
      <c r="D141" s="74">
        <f t="shared" si="46"/>
        <v>4690.3422043765468</v>
      </c>
      <c r="E141" s="74">
        <f t="shared" si="46"/>
        <v>4690.3422043765468</v>
      </c>
      <c r="F141" s="74">
        <f t="shared" si="46"/>
        <v>4690.3422043765468</v>
      </c>
      <c r="G141" s="74">
        <f t="shared" si="46"/>
        <v>5054.3497216251644</v>
      </c>
      <c r="H141" s="74">
        <f t="shared" si="46"/>
        <v>5338.1550416569207</v>
      </c>
      <c r="I141" s="74">
        <f t="shared" si="46"/>
        <v>4898.8353574452531</v>
      </c>
      <c r="J141" s="74">
        <f t="shared" si="46"/>
        <v>4493.3033215808837</v>
      </c>
      <c r="K141" s="74">
        <f t="shared" si="42"/>
        <v>48056.144987616179</v>
      </c>
      <c r="L141" s="74">
        <f t="shared" si="42"/>
        <v>48056.144987616179</v>
      </c>
      <c r="M141" s="74">
        <f t="shared" si="42"/>
        <v>1024200.6995446321</v>
      </c>
      <c r="N141" s="74">
        <f t="shared" si="42"/>
        <v>1024200.6995446321</v>
      </c>
      <c r="O141" s="388">
        <f t="shared" si="43"/>
        <v>168288.4648868221</v>
      </c>
    </row>
    <row r="142" spans="1:15" x14ac:dyDescent="0.25">
      <c r="A142" s="129" t="s">
        <v>194</v>
      </c>
      <c r="B142" s="74">
        <v>0</v>
      </c>
      <c r="C142" s="74">
        <v>0</v>
      </c>
      <c r="D142" s="74">
        <v>0</v>
      </c>
      <c r="E142" s="74">
        <v>0</v>
      </c>
      <c r="F142" s="74">
        <v>0</v>
      </c>
      <c r="G142" s="74">
        <v>0</v>
      </c>
      <c r="H142" s="74">
        <v>0</v>
      </c>
      <c r="I142" s="74">
        <v>0</v>
      </c>
      <c r="J142" s="74">
        <v>0</v>
      </c>
      <c r="K142" s="74">
        <f t="shared" si="42"/>
        <v>261446.20635755613</v>
      </c>
      <c r="L142" s="74">
        <f t="shared" si="42"/>
        <v>261446.20635755613</v>
      </c>
      <c r="M142" s="74">
        <f t="shared" si="42"/>
        <v>878949.79870142834</v>
      </c>
      <c r="N142" s="74">
        <f t="shared" si="42"/>
        <v>878949.79870142834</v>
      </c>
      <c r="O142" s="388">
        <f t="shared" si="43"/>
        <v>175445.53923984378</v>
      </c>
    </row>
    <row r="143" spans="1:15" x14ac:dyDescent="0.25">
      <c r="B143" s="388"/>
      <c r="C143" s="388"/>
      <c r="D143" s="388"/>
      <c r="E143" s="388"/>
      <c r="F143" s="388"/>
      <c r="G143" s="388"/>
      <c r="H143" s="388"/>
      <c r="I143" s="388"/>
      <c r="J143" s="388"/>
      <c r="K143" s="388"/>
      <c r="L143" s="388"/>
      <c r="M143" s="388"/>
      <c r="N143" s="388"/>
      <c r="O143" s="388"/>
    </row>
    <row r="144" spans="1:15" x14ac:dyDescent="0.25">
      <c r="A144" s="73" t="s">
        <v>185</v>
      </c>
    </row>
    <row r="145" spans="1:15" ht="15.75" x14ac:dyDescent="0.25">
      <c r="A145" s="119" t="s">
        <v>129</v>
      </c>
      <c r="B145" s="1">
        <v>2010</v>
      </c>
      <c r="C145" s="1">
        <v>2011</v>
      </c>
      <c r="D145" s="1">
        <v>2012</v>
      </c>
      <c r="E145" s="1">
        <v>2013</v>
      </c>
      <c r="F145" s="1">
        <v>2014</v>
      </c>
      <c r="G145" s="1">
        <v>2015</v>
      </c>
      <c r="H145" s="1">
        <v>2016</v>
      </c>
      <c r="I145" s="1">
        <v>2017</v>
      </c>
      <c r="J145" s="1">
        <v>2018</v>
      </c>
      <c r="K145" s="1">
        <v>2019</v>
      </c>
      <c r="L145" s="1">
        <v>2020</v>
      </c>
      <c r="M145" s="1">
        <v>2021</v>
      </c>
      <c r="N145" s="1">
        <v>2022</v>
      </c>
    </row>
    <row r="146" spans="1:15" s="132" customFormat="1" ht="15.75" x14ac:dyDescent="0.25">
      <c r="A146" s="130" t="s">
        <v>423</v>
      </c>
      <c r="B146" s="131">
        <f>+(INGEI!C22)/1000</f>
        <v>280.07585759999995</v>
      </c>
      <c r="C146" s="131">
        <f>+(INGEI!D22+INGEI!D23)/1000</f>
        <v>282.97281539999989</v>
      </c>
      <c r="D146" s="131">
        <f>+(INGEI!E22+INGEI!E23)/1000</f>
        <v>282.97281539999989</v>
      </c>
      <c r="E146" s="131">
        <f>+(INGEI!F22+INGEI!F23)/1000</f>
        <v>282.97281539999989</v>
      </c>
      <c r="F146" s="131">
        <f>+(INGEI!G22+INGEI!G23)/1000</f>
        <v>282.97281539999989</v>
      </c>
      <c r="G146" s="131">
        <f>+(INGEI!H22+INGEI!H23)/1000</f>
        <v>280.85059933333332</v>
      </c>
      <c r="H146" s="131">
        <f>+(INGEI!I22+INGEI!I23)/1000</f>
        <v>278.72838326666664</v>
      </c>
      <c r="I146" s="131">
        <f>+(INGEI!J22+INGEI!J23)/1000</f>
        <v>290.80109153333331</v>
      </c>
      <c r="J146" s="131">
        <f>+(INGEI!K22+INGEI!K23)/1000</f>
        <v>302.87379979999992</v>
      </c>
      <c r="K146" s="131">
        <f>+(INGEI!L22+INGEI!L23)/1000</f>
        <v>263.61287149999993</v>
      </c>
      <c r="L146" s="131">
        <f>+(INGEI!M22+INGEI!M23)/1000</f>
        <v>263.61287149999993</v>
      </c>
      <c r="M146" s="131">
        <f>+(INGEI!N22+INGEI!N23)/1000</f>
        <v>55.65575656666666</v>
      </c>
      <c r="N146" s="131">
        <f>+(INGEI!O22+INGEI!O23)/1000</f>
        <v>55.65575656666666</v>
      </c>
    </row>
    <row r="147" spans="1:15" s="132" customFormat="1" ht="15.75" x14ac:dyDescent="0.25">
      <c r="A147" s="389" t="s">
        <v>4</v>
      </c>
      <c r="B147" s="131">
        <f>+(INGEI!C23)/1000</f>
        <v>2.8969577999999996</v>
      </c>
      <c r="C147" s="131">
        <f>+(INGEI!D23)/1000</f>
        <v>2.8969577999999996</v>
      </c>
      <c r="D147" s="131">
        <f>+(INGEI!E23)/1000</f>
        <v>2.8969577999999996</v>
      </c>
      <c r="E147" s="131">
        <f>+(INGEI!F23)/1000</f>
        <v>2.8969577999999996</v>
      </c>
      <c r="F147" s="131">
        <f>+(INGEI!G23)/1000</f>
        <v>2.8969577999999996</v>
      </c>
      <c r="G147" s="131">
        <f>+(INGEI!H23)/1000</f>
        <v>4.5128068333333333</v>
      </c>
      <c r="H147" s="131">
        <f>+(INGEI!I23)/1000</f>
        <v>6.1286558666666666</v>
      </c>
      <c r="I147" s="131">
        <f>+(INGEI!J23)/1000</f>
        <v>3.6558793333333335</v>
      </c>
      <c r="J147" s="131">
        <f>+(INGEI!K23)/1000</f>
        <v>1.1831027999999999</v>
      </c>
      <c r="K147" s="131">
        <f>+(INGEI!L23)/1000</f>
        <v>7.2903203999999988</v>
      </c>
      <c r="L147" s="131">
        <f>+(INGEI!M23)/1000</f>
        <v>7.2903203999999988</v>
      </c>
      <c r="M147" s="131">
        <f>+(INGEI!N23)/1000</f>
        <v>0.94769546666666649</v>
      </c>
      <c r="N147" s="131">
        <f>+(INGEI!O23)/1000</f>
        <v>0.94769546666666649</v>
      </c>
    </row>
    <row r="148" spans="1:15" s="132" customFormat="1" ht="15.75" x14ac:dyDescent="0.25">
      <c r="A148" s="389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</row>
    <row r="149" spans="1:15" ht="15.75" x14ac:dyDescent="0.25">
      <c r="A149" s="121" t="s">
        <v>14</v>
      </c>
      <c r="B149" s="122">
        <f>+SUM(B146:B147)</f>
        <v>282.97281539999994</v>
      </c>
      <c r="C149" s="122">
        <f t="shared" ref="C149:N149" si="47">+SUM(C146:C147)</f>
        <v>285.86977319999988</v>
      </c>
      <c r="D149" s="122">
        <f t="shared" si="47"/>
        <v>285.86977319999988</v>
      </c>
      <c r="E149" s="122">
        <f t="shared" si="47"/>
        <v>285.86977319999988</v>
      </c>
      <c r="F149" s="122">
        <f t="shared" si="47"/>
        <v>285.86977319999988</v>
      </c>
      <c r="G149" s="122">
        <f t="shared" si="47"/>
        <v>285.36340616666666</v>
      </c>
      <c r="H149" s="122">
        <f t="shared" si="47"/>
        <v>284.85703913333333</v>
      </c>
      <c r="I149" s="122">
        <f t="shared" si="47"/>
        <v>294.45697086666667</v>
      </c>
      <c r="J149" s="122">
        <f t="shared" si="47"/>
        <v>304.05690259999989</v>
      </c>
      <c r="K149" s="122">
        <f t="shared" si="47"/>
        <v>270.90319189999991</v>
      </c>
      <c r="L149" s="122">
        <f t="shared" si="47"/>
        <v>270.90319189999991</v>
      </c>
      <c r="M149" s="122">
        <f t="shared" si="47"/>
        <v>56.603452033333326</v>
      </c>
      <c r="N149" s="122">
        <f t="shared" si="47"/>
        <v>56.603452033333326</v>
      </c>
    </row>
    <row r="150" spans="1:15" ht="15.75" x14ac:dyDescent="0.25">
      <c r="A150" s="121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</row>
    <row r="151" spans="1:15" ht="15.75" x14ac:dyDescent="0.25">
      <c r="A151" s="119" t="s">
        <v>118</v>
      </c>
      <c r="B151" s="1">
        <v>2010</v>
      </c>
      <c r="C151" s="1">
        <v>2011</v>
      </c>
      <c r="D151" s="1">
        <v>2012</v>
      </c>
      <c r="E151" s="1">
        <v>2013</v>
      </c>
      <c r="F151" s="1">
        <v>2014</v>
      </c>
      <c r="G151" s="1">
        <v>2015</v>
      </c>
      <c r="H151" s="1">
        <v>2016</v>
      </c>
      <c r="I151" s="1">
        <v>2017</v>
      </c>
      <c r="J151" s="1">
        <v>2018</v>
      </c>
      <c r="K151" s="1">
        <v>2019</v>
      </c>
      <c r="L151" s="1">
        <v>2020</v>
      </c>
      <c r="M151" s="1">
        <v>2021</v>
      </c>
      <c r="N151" s="1">
        <v>2022</v>
      </c>
    </row>
    <row r="152" spans="1:15" ht="15.75" x14ac:dyDescent="0.25">
      <c r="A152" s="130" t="s">
        <v>423</v>
      </c>
      <c r="B152" s="75">
        <f>+('Cambio uso de suelo (BAU)'!D61)/1000</f>
        <v>7.73904E-3</v>
      </c>
      <c r="C152" s="75">
        <f>+('Cambio uso de suelo (BAU)'!E61)/1000</f>
        <v>7.73904E-3</v>
      </c>
      <c r="D152" s="75">
        <f>+('Cambio uso de suelo (BAU)'!F61)/1000</f>
        <v>7.73904E-3</v>
      </c>
      <c r="E152" s="75">
        <f>+('Cambio uso de suelo (BAU)'!G61)/1000</f>
        <v>7.73904E-3</v>
      </c>
      <c r="F152" s="75">
        <f>+('Cambio uso de suelo (BAU)'!H61)/1000</f>
        <v>7.73904E-3</v>
      </c>
      <c r="G152" s="75">
        <f>+('Cambio uso de suelo (BAU)'!I61)/1000</f>
        <v>7.6357500000000002E-3</v>
      </c>
      <c r="H152" s="75">
        <f>+('Cambio uso de suelo (BAU)'!J61)/1000</f>
        <v>7.5324600000000004E-3</v>
      </c>
      <c r="I152" s="75">
        <f>+('Cambio uso de suelo (BAU)'!K61)/1000</f>
        <v>7.9343799999999996E-3</v>
      </c>
      <c r="J152" s="75">
        <f>+('Cambio uso de suelo (BAU)'!L61)/1000</f>
        <v>8.3362999999999996E-3</v>
      </c>
      <c r="K152" s="75">
        <f>+('Cambio uso de suelo (BAU)'!M61)/1000</f>
        <v>7.0826899999999991E-3</v>
      </c>
      <c r="L152" s="75">
        <f>+('Cambio uso de suelo (BAU)'!N61)/1000</f>
        <v>7.0826899999999991E-3</v>
      </c>
      <c r="M152" s="75">
        <f>+('Cambio uso de suelo (BAU)'!O61)/1000</f>
        <v>1.51169E-3</v>
      </c>
      <c r="N152" s="75">
        <f>+('Cambio uso de suelo (BAU)'!P61)/1000</f>
        <v>1.51169E-3</v>
      </c>
    </row>
    <row r="153" spans="1:15" ht="15.75" x14ac:dyDescent="0.25">
      <c r="A153" s="389" t="s">
        <v>4</v>
      </c>
      <c r="B153" s="75">
        <f>+('Cambio uso de suelo (BAU)'!D62)/1000</f>
        <v>4.2025499999999997E-4</v>
      </c>
      <c r="C153" s="75">
        <f>+('Cambio uso de suelo (BAU)'!E62)/1000</f>
        <v>4.2025499999999997E-4</v>
      </c>
      <c r="D153" s="75">
        <f>+('Cambio uso de suelo (BAU)'!F62)/1000</f>
        <v>4.2025499999999997E-4</v>
      </c>
      <c r="E153" s="75">
        <f>+('Cambio uso de suelo (BAU)'!G62)/1000</f>
        <v>4.2025499999999997E-4</v>
      </c>
      <c r="F153" s="75">
        <f>+('Cambio uso de suelo (BAU)'!H62)/1000</f>
        <v>4.2025499999999997E-4</v>
      </c>
      <c r="G153" s="75">
        <f>+('Cambio uso de suelo (BAU)'!I62)/1000</f>
        <v>6.5466250000000004E-4</v>
      </c>
      <c r="H153" s="75">
        <f>+('Cambio uso de suelo (BAU)'!J62)/1000</f>
        <v>8.8907000000000005E-4</v>
      </c>
      <c r="I153" s="75">
        <f>+('Cambio uso de suelo (BAU)'!K62)/1000</f>
        <v>5.3034999999999996E-4</v>
      </c>
      <c r="J153" s="75">
        <f>+('Cambio uso de suelo (BAU)'!L62)/1000</f>
        <v>1.7163000000000001E-4</v>
      </c>
      <c r="K153" s="75">
        <f>+('Cambio uso de suelo (BAU)'!M62)/1000</f>
        <v>1.0575899999999997E-3</v>
      </c>
      <c r="L153" s="75">
        <f>+('Cambio uso de suelo (BAU)'!N62)/1000</f>
        <v>1.0575899999999997E-3</v>
      </c>
      <c r="M153" s="75">
        <f>+('Cambio uso de suelo (BAU)'!O62)/1000</f>
        <v>1.3747999999999999E-4</v>
      </c>
      <c r="N153" s="75">
        <f>+('Cambio uso de suelo (BAU)'!P62)/1000</f>
        <v>1.3747999999999999E-4</v>
      </c>
    </row>
    <row r="154" spans="1:15" ht="15.75" x14ac:dyDescent="0.25">
      <c r="A154" s="389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</row>
    <row r="155" spans="1:15" ht="15.75" x14ac:dyDescent="0.25">
      <c r="A155" s="119" t="s">
        <v>119</v>
      </c>
      <c r="B155" s="1">
        <v>2010</v>
      </c>
      <c r="C155" s="1">
        <v>2011</v>
      </c>
      <c r="D155" s="1">
        <v>2012</v>
      </c>
      <c r="E155" s="1">
        <v>2013</v>
      </c>
      <c r="F155" s="1">
        <v>2014</v>
      </c>
      <c r="G155" s="1">
        <v>2015</v>
      </c>
      <c r="H155" s="1">
        <v>2016</v>
      </c>
      <c r="I155" s="1">
        <v>2017</v>
      </c>
      <c r="J155" s="1">
        <v>2018</v>
      </c>
      <c r="K155" s="1">
        <v>2019</v>
      </c>
      <c r="L155" s="1">
        <v>2020</v>
      </c>
      <c r="M155" s="1">
        <v>2021</v>
      </c>
      <c r="N155" s="1">
        <v>2022</v>
      </c>
    </row>
    <row r="156" spans="1:15" x14ac:dyDescent="0.25">
      <c r="A156" s="27" t="s">
        <v>183</v>
      </c>
      <c r="B156" s="126">
        <f>+B146/B152</f>
        <v>36189.999999999993</v>
      </c>
      <c r="C156" s="126">
        <f t="shared" ref="C156:M156" si="48">+C146/C152</f>
        <v>36564.330382062879</v>
      </c>
      <c r="D156" s="126">
        <f t="shared" si="48"/>
        <v>36564.330382062879</v>
      </c>
      <c r="E156" s="126">
        <f t="shared" si="48"/>
        <v>36564.330382062879</v>
      </c>
      <c r="F156" s="126">
        <f t="shared" si="48"/>
        <v>36564.330382062879</v>
      </c>
      <c r="G156" s="126">
        <f t="shared" si="48"/>
        <v>36781.010291501596</v>
      </c>
      <c r="H156" s="126">
        <f t="shared" si="48"/>
        <v>37003.632713172941</v>
      </c>
      <c r="I156" s="126">
        <f t="shared" si="48"/>
        <v>36650.764336133805</v>
      </c>
      <c r="J156" s="126">
        <f t="shared" si="48"/>
        <v>36331.921811834982</v>
      </c>
      <c r="K156" s="126">
        <f t="shared" si="48"/>
        <v>37219.315189567802</v>
      </c>
      <c r="L156" s="126">
        <f t="shared" si="48"/>
        <v>37219.315189567802</v>
      </c>
      <c r="M156" s="126">
        <f t="shared" si="48"/>
        <v>36816.911249440469</v>
      </c>
      <c r="N156" s="126">
        <f>+N146/N152</f>
        <v>36816.911249440469</v>
      </c>
      <c r="O156" s="127">
        <f>+AVERAGE(B156:N156)</f>
        <v>36714.392581454718</v>
      </c>
    </row>
    <row r="157" spans="1:15" x14ac:dyDescent="0.25">
      <c r="A157" s="390"/>
      <c r="B157" s="126">
        <f>+B147/B153</f>
        <v>6893.333333333333</v>
      </c>
      <c r="C157" s="126">
        <f t="shared" ref="C157:N157" si="49">+C147/C153</f>
        <v>6893.333333333333</v>
      </c>
      <c r="D157" s="126">
        <f t="shared" si="49"/>
        <v>6893.333333333333</v>
      </c>
      <c r="E157" s="126">
        <f t="shared" si="49"/>
        <v>6893.333333333333</v>
      </c>
      <c r="F157" s="126">
        <f t="shared" si="49"/>
        <v>6893.333333333333</v>
      </c>
      <c r="G157" s="126">
        <f t="shared" si="49"/>
        <v>6893.333333333333</v>
      </c>
      <c r="H157" s="126">
        <f t="shared" si="49"/>
        <v>6893.333333333333</v>
      </c>
      <c r="I157" s="126">
        <f t="shared" si="49"/>
        <v>6893.3333333333339</v>
      </c>
      <c r="J157" s="126">
        <f t="shared" si="49"/>
        <v>6893.3333333333321</v>
      </c>
      <c r="K157" s="126">
        <f t="shared" si="49"/>
        <v>6893.3333333333339</v>
      </c>
      <c r="L157" s="126">
        <f t="shared" si="49"/>
        <v>6893.3333333333339</v>
      </c>
      <c r="M157" s="126">
        <f t="shared" si="49"/>
        <v>6893.3333333333321</v>
      </c>
      <c r="N157" s="126">
        <f t="shared" si="49"/>
        <v>6893.3333333333321</v>
      </c>
      <c r="O157" s="127">
        <f>+AVERAGE(B157:N157)</f>
        <v>6893.3333333333321</v>
      </c>
    </row>
    <row r="159" spans="1:15" x14ac:dyDescent="0.25">
      <c r="A159" s="73" t="s">
        <v>196</v>
      </c>
    </row>
    <row r="160" spans="1:15" ht="15.75" x14ac:dyDescent="0.25">
      <c r="A160" s="119" t="s">
        <v>129</v>
      </c>
      <c r="B160" s="1">
        <v>2010</v>
      </c>
      <c r="C160" s="1">
        <v>2011</v>
      </c>
      <c r="D160" s="1">
        <v>2012</v>
      </c>
      <c r="E160" s="1">
        <v>2013</v>
      </c>
      <c r="F160" s="1">
        <v>2014</v>
      </c>
      <c r="G160" s="1">
        <v>2015</v>
      </c>
      <c r="H160" s="1">
        <v>2016</v>
      </c>
      <c r="I160" s="1">
        <v>2017</v>
      </c>
      <c r="J160" s="1">
        <v>2018</v>
      </c>
      <c r="K160" s="1">
        <v>2019</v>
      </c>
      <c r="L160" s="1">
        <v>2020</v>
      </c>
      <c r="M160" s="1">
        <v>2021</v>
      </c>
      <c r="N160" s="1">
        <v>2022</v>
      </c>
    </row>
    <row r="161" spans="1:14" ht="15.75" x14ac:dyDescent="0.25">
      <c r="A161" s="120" t="s">
        <v>18</v>
      </c>
      <c r="B161" s="75">
        <f>INGEI!C$27*'5ta'!$R87/1000</f>
        <v>0.40077369553478676</v>
      </c>
      <c r="C161" s="75">
        <f>INGEI!D$27*'5ta'!$R87/1000</f>
        <v>0.40077369553478676</v>
      </c>
      <c r="D161" s="75">
        <f>INGEI!E$27*'5ta'!$R87/1000</f>
        <v>0.40077369553478676</v>
      </c>
      <c r="E161" s="75">
        <f>INGEI!F$27*'5ta'!$R87/1000</f>
        <v>0.40077369553478676</v>
      </c>
      <c r="F161" s="75">
        <f>INGEI!G$27*'5ta'!$R87/1000</f>
        <v>0.40077369553478676</v>
      </c>
      <c r="G161" s="75">
        <f>INGEI!H$27*'5ta'!$R87/1000</f>
        <v>0.37736327499739808</v>
      </c>
      <c r="H161" s="75">
        <f>INGEI!I$27*'5ta'!$R87/1000</f>
        <v>0.35395285446000951</v>
      </c>
      <c r="I161" s="75">
        <f>INGEI!J$27*'5ta'!$R87/1000</f>
        <v>0.4964426115656948</v>
      </c>
      <c r="J161" s="75">
        <f>INGEI!K$27*'5ta'!$R87/1000</f>
        <v>0.63893236867138026</v>
      </c>
      <c r="K161" s="75">
        <f>INGEI!L$27*'5ta'!$R87/1000</f>
        <v>2.3851707966486315</v>
      </c>
      <c r="L161" s="75">
        <f>INGEI!M$27*'5ta'!$R87/1000</f>
        <v>2.3851707966486315</v>
      </c>
      <c r="M161" s="75">
        <f>INGEI!N$27*'5ta'!$R87/1000</f>
        <v>1.7406186176429808</v>
      </c>
      <c r="N161" s="75">
        <f>INGEI!O$27*'5ta'!$R87/1000</f>
        <v>1.7406186176429808</v>
      </c>
    </row>
    <row r="162" spans="1:14" ht="15.75" x14ac:dyDescent="0.25">
      <c r="A162" s="120" t="s">
        <v>20</v>
      </c>
      <c r="B162" s="75">
        <f>INGEI!C$27*'5ta'!$R88/1000</f>
        <v>3.913629629280448</v>
      </c>
      <c r="C162" s="75">
        <f>INGEI!D$27*'5ta'!$R88/1000</f>
        <v>3.913629629280448</v>
      </c>
      <c r="D162" s="75">
        <f>INGEI!E$27*'5ta'!$R88/1000</f>
        <v>3.913629629280448</v>
      </c>
      <c r="E162" s="75">
        <f>INGEI!F$27*'5ta'!$R88/1000</f>
        <v>3.913629629280448</v>
      </c>
      <c r="F162" s="75">
        <f>INGEI!G$27*'5ta'!$R88/1000</f>
        <v>3.913629629280448</v>
      </c>
      <c r="G162" s="75">
        <f>INGEI!H$27*'5ta'!$R88/1000</f>
        <v>3.6850225214043095</v>
      </c>
      <c r="H162" s="75">
        <f>INGEI!I$27*'5ta'!$R88/1000</f>
        <v>3.4564154135281711</v>
      </c>
      <c r="I162" s="75">
        <f>INGEI!J$27*'5ta'!$R88/1000</f>
        <v>4.8478543764412958</v>
      </c>
      <c r="J162" s="75">
        <f>INGEI!K$27*'5ta'!$R88/1000</f>
        <v>6.2392933393544219</v>
      </c>
      <c r="K162" s="75">
        <f>INGEI!L$27*'5ta'!$R88/1000</f>
        <v>23.291636164400646</v>
      </c>
      <c r="L162" s="75">
        <f>INGEI!M$27*'5ta'!$R88/1000</f>
        <v>23.291636164400646</v>
      </c>
      <c r="M162" s="75">
        <f>INGEI!N$27*'5ta'!$R88/1000</f>
        <v>16.997464332569844</v>
      </c>
      <c r="N162" s="75">
        <f>INGEI!O$27*'5ta'!$R88/1000</f>
        <v>16.997464332569844</v>
      </c>
    </row>
    <row r="163" spans="1:14" ht="15.75" x14ac:dyDescent="0.25">
      <c r="A163" s="120" t="s">
        <v>21</v>
      </c>
      <c r="B163" s="75">
        <f>INGEI!C$27*'5ta'!$R89/1000</f>
        <v>37.422509308402745</v>
      </c>
      <c r="C163" s="75">
        <f>INGEI!D$27*'5ta'!$R89/1000</f>
        <v>37.422509308402745</v>
      </c>
      <c r="D163" s="75">
        <f>INGEI!E$27*'5ta'!$R89/1000</f>
        <v>37.422509308402745</v>
      </c>
      <c r="E163" s="75">
        <f>INGEI!F$27*'5ta'!$R89/1000</f>
        <v>37.422509308402745</v>
      </c>
      <c r="F163" s="75">
        <f>INGEI!G$27*'5ta'!$R89/1000</f>
        <v>37.422509308402745</v>
      </c>
      <c r="G163" s="75">
        <f>INGEI!H$27*'5ta'!$R89/1000</f>
        <v>35.236545782765106</v>
      </c>
      <c r="H163" s="75">
        <f>INGEI!I$27*'5ta'!$R89/1000</f>
        <v>33.050582257127466</v>
      </c>
      <c r="I163" s="75">
        <f>INGEI!J$27*'5ta'!$R89/1000</f>
        <v>46.355657717542044</v>
      </c>
      <c r="J163" s="75">
        <f>INGEI!K$27*'5ta'!$R89/1000</f>
        <v>59.660733177956629</v>
      </c>
      <c r="K163" s="75">
        <f>INGEI!L$27*'5ta'!$R89/1000</f>
        <v>222.71690316553276</v>
      </c>
      <c r="L163" s="75">
        <f>INGEI!M$27*'5ta'!$R89/1000</f>
        <v>222.71690316553276</v>
      </c>
      <c r="M163" s="75">
        <f>INGEI!N$27*'5ta'!$R89/1000</f>
        <v>162.53141647483605</v>
      </c>
      <c r="N163" s="75">
        <f>INGEI!O$27*'5ta'!$R89/1000</f>
        <v>162.53141647483605</v>
      </c>
    </row>
    <row r="164" spans="1:14" ht="31.5" x14ac:dyDescent="0.25">
      <c r="A164" s="120" t="s">
        <v>22</v>
      </c>
      <c r="B164" s="75">
        <f>INGEI!C$27*'5ta'!$R90/1000</f>
        <v>15.212008704768198</v>
      </c>
      <c r="C164" s="75">
        <f>INGEI!D$27*'5ta'!$R90/1000</f>
        <v>15.212008704768198</v>
      </c>
      <c r="D164" s="75">
        <f>INGEI!E$27*'5ta'!$R90/1000</f>
        <v>15.212008704768198</v>
      </c>
      <c r="E164" s="75">
        <f>INGEI!F$27*'5ta'!$R90/1000</f>
        <v>15.212008704768198</v>
      </c>
      <c r="F164" s="75">
        <f>INGEI!G$27*'5ta'!$R90/1000</f>
        <v>15.212008704768198</v>
      </c>
      <c r="G164" s="75">
        <f>INGEI!H$27*'5ta'!$R90/1000</f>
        <v>14.323428628369124</v>
      </c>
      <c r="H164" s="75">
        <f>INGEI!I$27*'5ta'!$R90/1000</f>
        <v>13.434848551970052</v>
      </c>
      <c r="I164" s="75">
        <f>INGEI!J$27*'5ta'!$R90/1000</f>
        <v>18.843275925277663</v>
      </c>
      <c r="J164" s="75">
        <f>INGEI!K$27*'5ta'!$R90/1000</f>
        <v>24.25170329858528</v>
      </c>
      <c r="K164" s="75">
        <f>INGEI!L$27*'5ta'!$R90/1000</f>
        <v>90.532984887049636</v>
      </c>
      <c r="L164" s="75">
        <f>INGEI!M$27*'5ta'!$R90/1000</f>
        <v>90.532984887049636</v>
      </c>
      <c r="M164" s="75">
        <f>INGEI!N$27*'5ta'!$R90/1000</f>
        <v>66.06797266954942</v>
      </c>
      <c r="N164" s="75">
        <f>INGEI!O$27*'5ta'!$R90/1000</f>
        <v>66.06797266954942</v>
      </c>
    </row>
    <row r="165" spans="1:14" ht="31.5" x14ac:dyDescent="0.25">
      <c r="A165" s="120" t="s">
        <v>23</v>
      </c>
      <c r="B165" s="75">
        <f>INGEI!C$27*'5ta'!$R91/1000</f>
        <v>10.476116492480163</v>
      </c>
      <c r="C165" s="75">
        <f>INGEI!D$27*'5ta'!$R91/1000</f>
        <v>10.476116492480163</v>
      </c>
      <c r="D165" s="75">
        <f>INGEI!E$27*'5ta'!$R91/1000</f>
        <v>10.476116492480163</v>
      </c>
      <c r="E165" s="75">
        <f>INGEI!F$27*'5ta'!$R91/1000</f>
        <v>10.476116492480163</v>
      </c>
      <c r="F165" s="75">
        <f>INGEI!G$27*'5ta'!$R91/1000</f>
        <v>10.476116492480163</v>
      </c>
      <c r="G165" s="75">
        <f>INGEI!H$27*'5ta'!$R91/1000</f>
        <v>9.8641744029166869</v>
      </c>
      <c r="H165" s="75">
        <f>INGEI!I$27*'5ta'!$R91/1000</f>
        <v>9.2522323133532129</v>
      </c>
      <c r="I165" s="75">
        <f>INGEI!J$27*'5ta'!$R91/1000</f>
        <v>12.976876198557486</v>
      </c>
      <c r="J165" s="75">
        <f>INGEI!K$27*'5ta'!$R91/1000</f>
        <v>16.701520083761761</v>
      </c>
      <c r="K165" s="75">
        <f>INGEI!L$27*'5ta'!$R91/1000</f>
        <v>62.347722414291781</v>
      </c>
      <c r="L165" s="75">
        <f>INGEI!M$27*'5ta'!$R91/1000</f>
        <v>62.347722414291781</v>
      </c>
      <c r="M165" s="75">
        <f>INGEI!N$27*'5ta'!$R91/1000</f>
        <v>45.49930200153289</v>
      </c>
      <c r="N165" s="75">
        <f>INGEI!O$27*'5ta'!$R91/1000</f>
        <v>45.49930200153289</v>
      </c>
    </row>
    <row r="166" spans="1:14" ht="31.5" x14ac:dyDescent="0.25">
      <c r="A166" s="120" t="s">
        <v>24</v>
      </c>
      <c r="B166" s="75">
        <f>INGEI!C$27*'5ta'!$R92/1000</f>
        <v>76.65895261340215</v>
      </c>
      <c r="C166" s="75">
        <f>INGEI!D$27*'5ta'!$R92/1000</f>
        <v>76.65895261340215</v>
      </c>
      <c r="D166" s="75">
        <f>INGEI!E$27*'5ta'!$R92/1000</f>
        <v>76.65895261340215</v>
      </c>
      <c r="E166" s="75">
        <f>INGEI!F$27*'5ta'!$R92/1000</f>
        <v>76.65895261340215</v>
      </c>
      <c r="F166" s="75">
        <f>INGEI!G$27*'5ta'!$R92/1000</f>
        <v>76.65895261340215</v>
      </c>
      <c r="G166" s="75">
        <f>INGEI!H$27*'5ta'!$R92/1000</f>
        <v>72.181068114917821</v>
      </c>
      <c r="H166" s="75">
        <f>INGEI!I$27*'5ta'!$R92/1000</f>
        <v>67.70318361643352</v>
      </c>
      <c r="I166" s="75">
        <f>INGEI!J$27*'5ta'!$R92/1000</f>
        <v>94.958254644197126</v>
      </c>
      <c r="J166" s="75">
        <f>INGEI!K$27*'5ta'!$R92/1000</f>
        <v>122.21332567196072</v>
      </c>
      <c r="K166" s="75">
        <f>INGEI!L$27*'5ta'!$R92/1000</f>
        <v>456.22928129345587</v>
      </c>
      <c r="L166" s="75">
        <f>INGEI!M$27*'5ta'!$R92/1000</f>
        <v>456.22928129345587</v>
      </c>
      <c r="M166" s="75">
        <f>INGEI!N$27*'5ta'!$R92/1000</f>
        <v>332.94101288221117</v>
      </c>
      <c r="N166" s="75">
        <f>INGEI!O$27*'5ta'!$R92/1000</f>
        <v>332.94101288221117</v>
      </c>
    </row>
    <row r="167" spans="1:14" ht="31.5" x14ac:dyDescent="0.25">
      <c r="A167" s="120" t="s">
        <v>25</v>
      </c>
      <c r="B167" s="75">
        <f>INGEI!C$27*'5ta'!$R93/1000</f>
        <v>8.4932124667230671</v>
      </c>
      <c r="C167" s="75">
        <f>INGEI!D$27*'5ta'!$R93/1000</f>
        <v>8.4932124667230671</v>
      </c>
      <c r="D167" s="75">
        <f>INGEI!E$27*'5ta'!$R93/1000</f>
        <v>8.4932124667230671</v>
      </c>
      <c r="E167" s="75">
        <f>INGEI!F$27*'5ta'!$R93/1000</f>
        <v>8.4932124667230671</v>
      </c>
      <c r="F167" s="75">
        <f>INGEI!G$27*'5ta'!$R93/1000</f>
        <v>8.4932124667230671</v>
      </c>
      <c r="G167" s="75">
        <f>INGEI!H$27*'5ta'!$R93/1000</f>
        <v>7.9970978819221274</v>
      </c>
      <c r="H167" s="75">
        <f>INGEI!I$27*'5ta'!$R93/1000</f>
        <v>7.5009832971211878</v>
      </c>
      <c r="I167" s="75">
        <f>INGEI!J$27*'5ta'!$R93/1000</f>
        <v>10.52063202884616</v>
      </c>
      <c r="J167" s="75">
        <f>INGEI!K$27*'5ta'!$R93/1000</f>
        <v>13.540280760571129</v>
      </c>
      <c r="K167" s="75">
        <f>INGEI!L$27*'5ta'!$R93/1000</f>
        <v>50.546636595818178</v>
      </c>
      <c r="L167" s="75">
        <f>INGEI!M$27*'5ta'!$R93/1000</f>
        <v>50.546636595818178</v>
      </c>
      <c r="M167" s="75">
        <f>INGEI!N$27*'5ta'!$R93/1000</f>
        <v>36.88726058592448</v>
      </c>
      <c r="N167" s="75">
        <f>INGEI!O$27*'5ta'!$R93/1000</f>
        <v>36.88726058592448</v>
      </c>
    </row>
    <row r="168" spans="1:14" ht="15.75" x14ac:dyDescent="0.25">
      <c r="A168" s="120" t="s">
        <v>26</v>
      </c>
      <c r="B168" s="75">
        <f>INGEI!C$27*'5ta'!$R94/1000</f>
        <v>2.109307396059906</v>
      </c>
      <c r="C168" s="75">
        <f>INGEI!D$27*'5ta'!$R94/1000</f>
        <v>2.109307396059906</v>
      </c>
      <c r="D168" s="75">
        <f>INGEI!E$27*'5ta'!$R94/1000</f>
        <v>2.109307396059906</v>
      </c>
      <c r="E168" s="75">
        <f>INGEI!F$27*'5ta'!$R94/1000</f>
        <v>2.109307396059906</v>
      </c>
      <c r="F168" s="75">
        <f>INGEI!G$27*'5ta'!$R94/1000</f>
        <v>2.109307396059906</v>
      </c>
      <c r="G168" s="75">
        <f>INGEI!H$27*'5ta'!$R94/1000</f>
        <v>1.9860962828193154</v>
      </c>
      <c r="H168" s="75">
        <f>INGEI!I$27*'5ta'!$R94/1000</f>
        <v>1.8628851695787247</v>
      </c>
      <c r="I168" s="75">
        <f>INGEI!J$27*'5ta'!$R94/1000</f>
        <v>2.6128213601881054</v>
      </c>
      <c r="J168" s="75">
        <f>INGEI!K$27*'5ta'!$R94/1000</f>
        <v>3.3627575507974856</v>
      </c>
      <c r="K168" s="75">
        <f>INGEI!L$27*'5ta'!$R94/1000</f>
        <v>12.553364799862132</v>
      </c>
      <c r="L168" s="75">
        <f>INGEI!M$27*'5ta'!$R94/1000</f>
        <v>12.553364799862132</v>
      </c>
      <c r="M168" s="75">
        <f>INGEI!N$27*'5ta'!$R94/1000</f>
        <v>9.1610296903710502</v>
      </c>
      <c r="N168" s="75">
        <f>INGEI!O$27*'5ta'!$R94/1000</f>
        <v>9.1610296903710502</v>
      </c>
    </row>
    <row r="169" spans="1:14" ht="15.75" x14ac:dyDescent="0.25">
      <c r="A169" s="120" t="s">
        <v>27</v>
      </c>
      <c r="B169" s="75">
        <f>INGEI!C$27*'5ta'!$R95/1000</f>
        <v>8.8207624733485144</v>
      </c>
      <c r="C169" s="75">
        <f>INGEI!D$27*'5ta'!$R95/1000</f>
        <v>8.8207624733485144</v>
      </c>
      <c r="D169" s="75">
        <f>INGEI!E$27*'5ta'!$R95/1000</f>
        <v>8.8207624733485144</v>
      </c>
      <c r="E169" s="75">
        <f>INGEI!F$27*'5ta'!$R95/1000</f>
        <v>8.8207624733485144</v>
      </c>
      <c r="F169" s="75">
        <f>INGEI!G$27*'5ta'!$R95/1000</f>
        <v>8.8207624733485144</v>
      </c>
      <c r="G169" s="75">
        <f>INGEI!H$27*'5ta'!$R95/1000</f>
        <v>8.3055146882214057</v>
      </c>
      <c r="H169" s="75">
        <f>INGEI!I$27*'5ta'!$R95/1000</f>
        <v>7.790266903094297</v>
      </c>
      <c r="I169" s="75">
        <f>INGEI!J$27*'5ta'!$R95/1000</f>
        <v>10.926371683217718</v>
      </c>
      <c r="J169" s="75">
        <f>INGEI!K$27*'5ta'!$R95/1000</f>
        <v>14.062476463341142</v>
      </c>
      <c r="K169" s="75">
        <f>INGEI!L$27*'5ta'!$R95/1000</f>
        <v>52.49602279294016</v>
      </c>
      <c r="L169" s="75">
        <f>INGEI!M$27*'5ta'!$R95/1000</f>
        <v>52.49602279294016</v>
      </c>
      <c r="M169" s="75">
        <f>INGEI!N$27*'5ta'!$R95/1000</f>
        <v>38.309858042028843</v>
      </c>
      <c r="N169" s="75">
        <f>INGEI!O$27*'5ta'!$R95/1000</f>
        <v>38.309858042028843</v>
      </c>
    </row>
    <row r="170" spans="1:14" ht="15.75" x14ac:dyDescent="0.25">
      <c r="A170" s="121" t="s">
        <v>14</v>
      </c>
      <c r="B170" s="122">
        <f>+SUM(B161:B169)</f>
        <v>163.50727277999997</v>
      </c>
      <c r="C170" s="122">
        <f t="shared" ref="C170:N170" si="50">+SUM(C161:C169)</f>
        <v>163.50727277999997</v>
      </c>
      <c r="D170" s="122">
        <f t="shared" si="50"/>
        <v>163.50727277999997</v>
      </c>
      <c r="E170" s="122">
        <f t="shared" si="50"/>
        <v>163.50727277999997</v>
      </c>
      <c r="F170" s="122">
        <f t="shared" si="50"/>
        <v>163.50727277999997</v>
      </c>
      <c r="G170" s="122">
        <f t="shared" si="50"/>
        <v>153.95631157833327</v>
      </c>
      <c r="H170" s="122">
        <f t="shared" si="50"/>
        <v>144.40535037666666</v>
      </c>
      <c r="I170" s="122">
        <f t="shared" si="50"/>
        <v>202.5381865458333</v>
      </c>
      <c r="J170" s="122">
        <f t="shared" si="50"/>
        <v>260.67102271499994</v>
      </c>
      <c r="K170" s="122">
        <f t="shared" si="50"/>
        <v>973.09972290999985</v>
      </c>
      <c r="L170" s="122">
        <f t="shared" si="50"/>
        <v>973.09972290999985</v>
      </c>
      <c r="M170" s="122">
        <f t="shared" si="50"/>
        <v>710.13593529666673</v>
      </c>
      <c r="N170" s="122">
        <f t="shared" si="50"/>
        <v>710.13593529666673</v>
      </c>
    </row>
    <row r="171" spans="1:14" ht="15.75" x14ac:dyDescent="0.25">
      <c r="A171" s="121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</row>
    <row r="172" spans="1:14" ht="15.75" x14ac:dyDescent="0.25">
      <c r="A172" s="119" t="s">
        <v>118</v>
      </c>
      <c r="B172" s="1">
        <v>2010</v>
      </c>
      <c r="C172" s="1">
        <v>2011</v>
      </c>
      <c r="D172" s="1">
        <v>2012</v>
      </c>
      <c r="E172" s="1">
        <v>2013</v>
      </c>
      <c r="F172" s="1">
        <v>2014</v>
      </c>
      <c r="G172" s="1">
        <v>2015</v>
      </c>
      <c r="H172" s="1">
        <v>2016</v>
      </c>
      <c r="I172" s="1">
        <v>2017</v>
      </c>
      <c r="J172" s="1">
        <v>2018</v>
      </c>
      <c r="K172" s="1">
        <v>2019</v>
      </c>
      <c r="L172" s="1">
        <v>2020</v>
      </c>
      <c r="M172" s="1">
        <v>2021</v>
      </c>
      <c r="N172" s="1">
        <v>2022</v>
      </c>
    </row>
    <row r="173" spans="1:14" ht="15.75" x14ac:dyDescent="0.25">
      <c r="A173" s="120" t="s">
        <v>18</v>
      </c>
      <c r="B173" s="126">
        <f>+'Cambio uso de suelo (BAU)'!D65/1000</f>
        <v>0</v>
      </c>
      <c r="C173" s="126">
        <f>+'Cambio uso de suelo (BAU)'!E65/1000</f>
        <v>0</v>
      </c>
      <c r="D173" s="126">
        <f>+'Cambio uso de suelo (BAU)'!F65/1000</f>
        <v>0</v>
      </c>
      <c r="E173" s="126">
        <f>+'Cambio uso de suelo (BAU)'!G65/1000</f>
        <v>0</v>
      </c>
      <c r="F173" s="126">
        <f>+'Cambio uso de suelo (BAU)'!H65/1000</f>
        <v>0</v>
      </c>
      <c r="G173" s="126">
        <f>+'Cambio uso de suelo (BAU)'!I65/1000</f>
        <v>0</v>
      </c>
      <c r="H173" s="126">
        <f>+'Cambio uso de suelo (BAU)'!J65/1000</f>
        <v>0</v>
      </c>
      <c r="I173" s="126">
        <f>+'Cambio uso de suelo (BAU)'!K65/1000</f>
        <v>5.1974999999999998E-6</v>
      </c>
      <c r="J173" s="126">
        <f>+'Cambio uso de suelo (BAU)'!L65/1000</f>
        <v>1.0395E-5</v>
      </c>
      <c r="K173" s="126">
        <f>+'Cambio uso de suelo (BAU)'!M65/1000</f>
        <v>7.52E-6</v>
      </c>
      <c r="L173" s="126">
        <f>+'Cambio uso de suelo (BAU)'!N65/1000</f>
        <v>7.52E-6</v>
      </c>
      <c r="M173" s="126">
        <f>+'Cambio uso de suelo (BAU)'!O65/1000</f>
        <v>0</v>
      </c>
      <c r="N173" s="126">
        <f>+'Cambio uso de suelo (BAU)'!P65/1000</f>
        <v>0</v>
      </c>
    </row>
    <row r="174" spans="1:14" ht="15.75" x14ac:dyDescent="0.25">
      <c r="A174" s="120" t="s">
        <v>20</v>
      </c>
      <c r="B174" s="126">
        <f>+'Cambio uso de suelo (BAU)'!D66/1000</f>
        <v>3.8999999999999999E-4</v>
      </c>
      <c r="C174" s="126">
        <f>+'Cambio uso de suelo (BAU)'!E66/1000</f>
        <v>3.8999999999999999E-4</v>
      </c>
      <c r="D174" s="126">
        <f>+'Cambio uso de suelo (BAU)'!F66/1000</f>
        <v>3.8999999999999999E-4</v>
      </c>
      <c r="E174" s="126">
        <f>+'Cambio uso de suelo (BAU)'!G66/1000</f>
        <v>3.8999999999999999E-4</v>
      </c>
      <c r="F174" s="126">
        <f>+'Cambio uso de suelo (BAU)'!H66/1000</f>
        <v>3.8999999999999999E-4</v>
      </c>
      <c r="G174" s="126">
        <f>+'Cambio uso de suelo (BAU)'!I66/1000</f>
        <v>2.325075E-4</v>
      </c>
      <c r="H174" s="126">
        <f>+'Cambio uso de suelo (BAU)'!J66/1000</f>
        <v>7.5014999999999999E-5</v>
      </c>
      <c r="I174" s="126">
        <f>+'Cambio uso de suelo (BAU)'!K66/1000</f>
        <v>7.5240000000000005E-5</v>
      </c>
      <c r="J174" s="126">
        <f>+'Cambio uso de suelo (BAU)'!L66/1000</f>
        <v>7.546500000000001E-5</v>
      </c>
      <c r="K174" s="126">
        <f>+'Cambio uso de suelo (BAU)'!M66/1000</f>
        <v>5.2766999999999994E-4</v>
      </c>
      <c r="L174" s="126">
        <f>+'Cambio uso de suelo (BAU)'!N66/1000</f>
        <v>5.2766999999999994E-4</v>
      </c>
      <c r="M174" s="126">
        <f>+'Cambio uso de suelo (BAU)'!O66/1000</f>
        <v>8.0249E-4</v>
      </c>
      <c r="N174" s="126">
        <f>+'Cambio uso de suelo (BAU)'!P66/1000</f>
        <v>8.0249E-4</v>
      </c>
    </row>
    <row r="175" spans="1:14" ht="15.75" x14ac:dyDescent="0.25">
      <c r="A175" s="120" t="s">
        <v>21</v>
      </c>
      <c r="B175" s="126">
        <f>+'Cambio uso de suelo (BAU)'!D67/1000</f>
        <v>4.2464999999999994E-5</v>
      </c>
      <c r="C175" s="126">
        <f>+'Cambio uso de suelo (BAU)'!E67/1000</f>
        <v>4.2464999999999994E-5</v>
      </c>
      <c r="D175" s="126">
        <f>+'Cambio uso de suelo (BAU)'!F67/1000</f>
        <v>4.2464999999999994E-5</v>
      </c>
      <c r="E175" s="126">
        <f>+'Cambio uso de suelo (BAU)'!G67/1000</f>
        <v>4.2464999999999994E-5</v>
      </c>
      <c r="F175" s="126">
        <f>+'Cambio uso de suelo (BAU)'!H67/1000</f>
        <v>4.2464999999999994E-5</v>
      </c>
      <c r="G175" s="126">
        <f>+'Cambio uso de suelo (BAU)'!I67/1000</f>
        <v>5.4824999999999998E-5</v>
      </c>
      <c r="H175" s="126">
        <f>+'Cambio uso de suelo (BAU)'!J67/1000</f>
        <v>6.7185000000000015E-5</v>
      </c>
      <c r="I175" s="126">
        <f>+'Cambio uso de suelo (BAU)'!K67/1000</f>
        <v>8.9032500000000005E-5</v>
      </c>
      <c r="J175" s="126">
        <f>+'Cambio uso de suelo (BAU)'!L67/1000</f>
        <v>1.1088E-4</v>
      </c>
      <c r="K175" s="126">
        <f>+'Cambio uso de suelo (BAU)'!M67/1000</f>
        <v>5.94E-5</v>
      </c>
      <c r="L175" s="126">
        <f>+'Cambio uso de suelo (BAU)'!N67/1000</f>
        <v>5.94E-5</v>
      </c>
      <c r="M175" s="126">
        <f>+'Cambio uso de suelo (BAU)'!O67/1000</f>
        <v>1.2344E-4</v>
      </c>
      <c r="N175" s="126">
        <f>+'Cambio uso de suelo (BAU)'!P67/1000</f>
        <v>1.2344E-4</v>
      </c>
    </row>
    <row r="176" spans="1:14" ht="31.5" x14ac:dyDescent="0.25">
      <c r="A176" s="120" t="s">
        <v>22</v>
      </c>
      <c r="B176" s="126">
        <f>+'Cambio uso de suelo (BAU)'!D68/1000</f>
        <v>5.1254999999999996E-5</v>
      </c>
      <c r="C176" s="126">
        <f>+'Cambio uso de suelo (BAU)'!E68/1000</f>
        <v>5.1254999999999996E-5</v>
      </c>
      <c r="D176" s="126">
        <f>+'Cambio uso de suelo (BAU)'!F68/1000</f>
        <v>5.1254999999999996E-5</v>
      </c>
      <c r="E176" s="126">
        <f>+'Cambio uso de suelo (BAU)'!G68/1000</f>
        <v>5.1254999999999996E-5</v>
      </c>
      <c r="F176" s="126">
        <f>+'Cambio uso de suelo (BAU)'!H68/1000</f>
        <v>5.1254999999999996E-5</v>
      </c>
      <c r="G176" s="126">
        <f>+'Cambio uso de suelo (BAU)'!I68/1000</f>
        <v>4.8959999999999992E-5</v>
      </c>
      <c r="H176" s="126">
        <f>+'Cambio uso de suelo (BAU)'!J68/1000</f>
        <v>4.6664999999999995E-5</v>
      </c>
      <c r="I176" s="126">
        <f>+'Cambio uso de suelo (BAU)'!K68/1000</f>
        <v>6.17175E-5</v>
      </c>
      <c r="J176" s="126">
        <f>+'Cambio uso de suelo (BAU)'!L68/1000</f>
        <v>7.6769999999999985E-5</v>
      </c>
      <c r="K176" s="126">
        <f>+'Cambio uso de suelo (BAU)'!M68/1000</f>
        <v>9.9449999999999991E-5</v>
      </c>
      <c r="L176" s="126">
        <f>+'Cambio uso de suelo (BAU)'!N68/1000</f>
        <v>9.9449999999999991E-5</v>
      </c>
      <c r="M176" s="126">
        <f>+'Cambio uso de suelo (BAU)'!O68/1000</f>
        <v>1.3856E-4</v>
      </c>
      <c r="N176" s="126">
        <f>+'Cambio uso de suelo (BAU)'!P68/1000</f>
        <v>1.3856E-4</v>
      </c>
    </row>
    <row r="177" spans="1:15" ht="31.5" x14ac:dyDescent="0.25">
      <c r="A177" s="120" t="s">
        <v>23</v>
      </c>
      <c r="B177" s="126">
        <f>+'Cambio uso de suelo (BAU)'!D69/1000</f>
        <v>1.806E-5</v>
      </c>
      <c r="C177" s="126">
        <f>+'Cambio uso de suelo (BAU)'!E69/1000</f>
        <v>1.806E-5</v>
      </c>
      <c r="D177" s="126">
        <f>+'Cambio uso de suelo (BAU)'!F69/1000</f>
        <v>1.806E-5</v>
      </c>
      <c r="E177" s="126">
        <f>+'Cambio uso de suelo (BAU)'!G69/1000</f>
        <v>1.806E-5</v>
      </c>
      <c r="F177" s="126">
        <f>+'Cambio uso de suelo (BAU)'!H69/1000</f>
        <v>1.806E-5</v>
      </c>
      <c r="G177" s="126">
        <f>+'Cambio uso de suelo (BAU)'!I69/1000</f>
        <v>2.12925E-5</v>
      </c>
      <c r="H177" s="126">
        <f>+'Cambio uso de suelo (BAU)'!J69/1000</f>
        <v>2.4525000000000003E-5</v>
      </c>
      <c r="I177" s="126">
        <f>+'Cambio uso de suelo (BAU)'!K69/1000</f>
        <v>2.817E-5</v>
      </c>
      <c r="J177" s="126">
        <f>+'Cambio uso de suelo (BAU)'!L69/1000</f>
        <v>3.1814999999999993E-5</v>
      </c>
      <c r="K177" s="126">
        <f>+'Cambio uso de suelo (BAU)'!M69/1000</f>
        <v>3.9649999999999995E-5</v>
      </c>
      <c r="L177" s="126">
        <f>+'Cambio uso de suelo (BAU)'!N69/1000</f>
        <v>3.9649999999999995E-5</v>
      </c>
      <c r="M177" s="126">
        <f>+'Cambio uso de suelo (BAU)'!O69/1000</f>
        <v>5.4000000000000002E-7</v>
      </c>
      <c r="N177" s="126">
        <f>+'Cambio uso de suelo (BAU)'!P69/1000</f>
        <v>5.4000000000000002E-7</v>
      </c>
    </row>
    <row r="178" spans="1:15" ht="31.5" x14ac:dyDescent="0.25">
      <c r="A178" s="120" t="s">
        <v>24</v>
      </c>
      <c r="B178" s="126">
        <f>+'Cambio uso de suelo (BAU)'!D70/1000</f>
        <v>1.0255500000000001E-4</v>
      </c>
      <c r="C178" s="126">
        <f>+'Cambio uso de suelo (BAU)'!E70/1000</f>
        <v>1.0255500000000001E-4</v>
      </c>
      <c r="D178" s="126">
        <f>+'Cambio uso de suelo (BAU)'!F70/1000</f>
        <v>1.0255500000000001E-4</v>
      </c>
      <c r="E178" s="126">
        <f>+'Cambio uso de suelo (BAU)'!G70/1000</f>
        <v>1.0255500000000001E-4</v>
      </c>
      <c r="F178" s="126">
        <f>+'Cambio uso de suelo (BAU)'!H70/1000</f>
        <v>1.0255500000000001E-4</v>
      </c>
      <c r="G178" s="126">
        <f>+'Cambio uso de suelo (BAU)'!I70/1000</f>
        <v>1.07235E-4</v>
      </c>
      <c r="H178" s="126">
        <f>+'Cambio uso de suelo (BAU)'!J70/1000</f>
        <v>1.11915E-4</v>
      </c>
      <c r="I178" s="126">
        <f>+'Cambio uso de suelo (BAU)'!K70/1000</f>
        <v>1.5797249999999999E-4</v>
      </c>
      <c r="J178" s="126">
        <f>+'Cambio uso de suelo (BAU)'!L70/1000</f>
        <v>2.0402999999999998E-4</v>
      </c>
      <c r="K178" s="126">
        <f>+'Cambio uso de suelo (BAU)'!M70/1000</f>
        <v>3.0074000000000002E-4</v>
      </c>
      <c r="L178" s="126">
        <f>+'Cambio uso de suelo (BAU)'!N70/1000</f>
        <v>3.0074000000000002E-4</v>
      </c>
      <c r="M178" s="126">
        <f>+'Cambio uso de suelo (BAU)'!O70/1000</f>
        <v>8.6197999999999993E-4</v>
      </c>
      <c r="N178" s="126">
        <f>+'Cambio uso de suelo (BAU)'!P70/1000</f>
        <v>8.6197999999999993E-4</v>
      </c>
    </row>
    <row r="179" spans="1:15" ht="31.5" x14ac:dyDescent="0.25">
      <c r="A179" s="120" t="s">
        <v>25</v>
      </c>
      <c r="B179" s="126">
        <f>+'Cambio uso de suelo (BAU)'!D71/1000</f>
        <v>3.0825000000000004E-5</v>
      </c>
      <c r="C179" s="126">
        <f>+'Cambio uso de suelo (BAU)'!E71/1000</f>
        <v>3.0825000000000004E-5</v>
      </c>
      <c r="D179" s="126">
        <f>+'Cambio uso de suelo (BAU)'!F71/1000</f>
        <v>3.0825000000000004E-5</v>
      </c>
      <c r="E179" s="126">
        <f>+'Cambio uso de suelo (BAU)'!G71/1000</f>
        <v>3.0825000000000004E-5</v>
      </c>
      <c r="F179" s="126">
        <f>+'Cambio uso de suelo (BAU)'!H71/1000</f>
        <v>3.0825000000000004E-5</v>
      </c>
      <c r="G179" s="126">
        <f>+'Cambio uso de suelo (BAU)'!I71/1000</f>
        <v>2.2770000000000001E-5</v>
      </c>
      <c r="H179" s="126">
        <f>+'Cambio uso de suelo (BAU)'!J71/1000</f>
        <v>1.4715000000000001E-5</v>
      </c>
      <c r="I179" s="126">
        <f>+'Cambio uso de suelo (BAU)'!K71/1000</f>
        <v>1.8090000000000001E-5</v>
      </c>
      <c r="J179" s="126">
        <f>+'Cambio uso de suelo (BAU)'!L71/1000</f>
        <v>2.1465000000000002E-5</v>
      </c>
      <c r="K179" s="126">
        <f>+'Cambio uso de suelo (BAU)'!M71/1000</f>
        <v>3.3979999999999997E-5</v>
      </c>
      <c r="L179" s="126">
        <f>+'Cambio uso de suelo (BAU)'!N71/1000</f>
        <v>3.3979999999999997E-5</v>
      </c>
      <c r="M179" s="126">
        <f>+'Cambio uso de suelo (BAU)'!O71/1000</f>
        <v>2.0155999999999999E-4</v>
      </c>
      <c r="N179" s="126">
        <f>+'Cambio uso de suelo (BAU)'!P71/1000</f>
        <v>2.0155999999999999E-4</v>
      </c>
    </row>
    <row r="180" spans="1:15" ht="15.75" x14ac:dyDescent="0.25">
      <c r="A180" s="120" t="s">
        <v>26</v>
      </c>
      <c r="B180" s="126">
        <f>+'Cambio uso de suelo (BAU)'!D72/1000</f>
        <v>3.3630000000000002E-5</v>
      </c>
      <c r="C180" s="126">
        <f>+'Cambio uso de suelo (BAU)'!E72/1000</f>
        <v>3.3630000000000002E-5</v>
      </c>
      <c r="D180" s="126">
        <f>+'Cambio uso de suelo (BAU)'!F72/1000</f>
        <v>3.3630000000000002E-5</v>
      </c>
      <c r="E180" s="126">
        <f>+'Cambio uso de suelo (BAU)'!G72/1000</f>
        <v>3.3630000000000002E-5</v>
      </c>
      <c r="F180" s="126">
        <f>+'Cambio uso de suelo (BAU)'!H72/1000</f>
        <v>3.3630000000000002E-5</v>
      </c>
      <c r="G180" s="126">
        <f>+'Cambio uso de suelo (BAU)'!I72/1000</f>
        <v>2.0842499999999999E-5</v>
      </c>
      <c r="H180" s="126">
        <f>+'Cambio uso de suelo (BAU)'!J72/1000</f>
        <v>8.055E-6</v>
      </c>
      <c r="I180" s="126">
        <f>+'Cambio uso de suelo (BAU)'!K72/1000</f>
        <v>1.16775E-5</v>
      </c>
      <c r="J180" s="126">
        <f>+'Cambio uso de suelo (BAU)'!L72/1000</f>
        <v>1.5300000000000003E-5</v>
      </c>
      <c r="K180" s="126">
        <f>+'Cambio uso de suelo (BAU)'!M72/1000</f>
        <v>2.2107199999999998E-3</v>
      </c>
      <c r="L180" s="126">
        <f>+'Cambio uso de suelo (BAU)'!N72/1000</f>
        <v>2.2107199999999998E-3</v>
      </c>
      <c r="M180" s="126">
        <f>+'Cambio uso de suelo (BAU)'!O72/1000</f>
        <v>7.8709999999999983E-5</v>
      </c>
      <c r="N180" s="126">
        <f>+'Cambio uso de suelo (BAU)'!P72/1000</f>
        <v>7.8709999999999983E-5</v>
      </c>
    </row>
    <row r="181" spans="1:15" ht="15.75" x14ac:dyDescent="0.25">
      <c r="A181" s="120" t="s">
        <v>27</v>
      </c>
      <c r="B181" s="126">
        <f>+'Cambio uso de suelo (BAU)'!D73/1000</f>
        <v>1.8300000000000001E-6</v>
      </c>
      <c r="C181" s="126">
        <f>+'Cambio uso de suelo (BAU)'!E73/1000</f>
        <v>1.8300000000000001E-6</v>
      </c>
      <c r="D181" s="126">
        <f>+'Cambio uso de suelo (BAU)'!F73/1000</f>
        <v>1.8300000000000001E-6</v>
      </c>
      <c r="E181" s="126">
        <f>+'Cambio uso de suelo (BAU)'!G73/1000</f>
        <v>1.8300000000000001E-6</v>
      </c>
      <c r="F181" s="126">
        <f>+'Cambio uso de suelo (BAU)'!H73/1000</f>
        <v>1.8300000000000001E-6</v>
      </c>
      <c r="G181" s="126">
        <f>+'Cambio uso de suelo (BAU)'!I73/1000</f>
        <v>2.5799999999999999E-6</v>
      </c>
      <c r="H181" s="126">
        <f>+'Cambio uso de suelo (BAU)'!J73/1000</f>
        <v>3.3299999999999999E-6</v>
      </c>
      <c r="I181" s="126">
        <f>+'Cambio uso de suelo (BAU)'!K73/1000</f>
        <v>4.6574999999999999E-6</v>
      </c>
      <c r="J181" s="126">
        <f>+'Cambio uso de suelo (BAU)'!L73/1000</f>
        <v>5.9850000000000011E-6</v>
      </c>
      <c r="K181" s="126">
        <f>+'Cambio uso de suelo (BAU)'!M73/1000</f>
        <v>6.5300000000000002E-6</v>
      </c>
      <c r="L181" s="126">
        <f>+'Cambio uso de suelo (BAU)'!N73/1000</f>
        <v>6.5300000000000002E-6</v>
      </c>
      <c r="M181" s="126">
        <f>+'Cambio uso de suelo (BAU)'!O73/1000</f>
        <v>1.323E-5</v>
      </c>
      <c r="N181" s="126">
        <f>+'Cambio uso de suelo (BAU)'!P73/1000</f>
        <v>1.323E-5</v>
      </c>
    </row>
    <row r="182" spans="1:15" ht="15.75" x14ac:dyDescent="0.25">
      <c r="A182" s="123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</row>
    <row r="183" spans="1:15" ht="16.5" thickBot="1" x14ac:dyDescent="0.3">
      <c r="A183" s="119" t="s">
        <v>119</v>
      </c>
      <c r="B183" s="1">
        <v>2010</v>
      </c>
      <c r="C183" s="1">
        <v>2011</v>
      </c>
      <c r="D183" s="1">
        <v>2012</v>
      </c>
      <c r="E183" s="1">
        <v>2013</v>
      </c>
      <c r="F183" s="1">
        <v>2014</v>
      </c>
      <c r="G183" s="1">
        <v>2015</v>
      </c>
      <c r="H183" s="1">
        <v>2016</v>
      </c>
      <c r="I183" s="1">
        <v>2017</v>
      </c>
      <c r="J183" s="1">
        <v>2018</v>
      </c>
      <c r="K183" s="1">
        <v>2019</v>
      </c>
      <c r="L183" s="1">
        <v>2020</v>
      </c>
      <c r="M183" s="1">
        <v>2021</v>
      </c>
      <c r="N183" s="1">
        <v>2022</v>
      </c>
    </row>
    <row r="184" spans="1:15" x14ac:dyDescent="0.25">
      <c r="A184" s="29" t="s">
        <v>197</v>
      </c>
      <c r="B184" s="126">
        <v>0</v>
      </c>
      <c r="C184" s="126">
        <v>0</v>
      </c>
      <c r="D184" s="126">
        <v>0</v>
      </c>
      <c r="E184" s="126">
        <v>0</v>
      </c>
      <c r="F184" s="126">
        <v>0</v>
      </c>
      <c r="G184" s="126">
        <v>0</v>
      </c>
      <c r="H184" s="126">
        <v>0</v>
      </c>
      <c r="I184" s="126">
        <v>0</v>
      </c>
      <c r="J184" s="126">
        <v>0</v>
      </c>
      <c r="K184" s="126">
        <f t="shared" ref="K184:L192" si="51">+K161/K173</f>
        <v>317176.96763944568</v>
      </c>
      <c r="L184" s="126">
        <f t="shared" si="51"/>
        <v>317176.96763944568</v>
      </c>
      <c r="M184" s="126">
        <v>0</v>
      </c>
      <c r="N184" s="126">
        <v>0</v>
      </c>
      <c r="O184" s="127">
        <f t="shared" ref="O184:O192" si="52">+AVERAGE(B184:N184)</f>
        <v>48796.456559914717</v>
      </c>
    </row>
    <row r="185" spans="1:15" x14ac:dyDescent="0.25">
      <c r="A185" s="27" t="s">
        <v>198</v>
      </c>
      <c r="B185" s="126">
        <f>+B162/B174</f>
        <v>10034.947767385764</v>
      </c>
      <c r="C185" s="126">
        <f t="shared" ref="C185:J185" si="53">+C162/C174</f>
        <v>10034.947767385764</v>
      </c>
      <c r="D185" s="126">
        <f t="shared" si="53"/>
        <v>10034.947767385764</v>
      </c>
      <c r="E185" s="126">
        <f t="shared" si="53"/>
        <v>10034.947767385764</v>
      </c>
      <c r="F185" s="126">
        <f t="shared" si="53"/>
        <v>10034.947767385764</v>
      </c>
      <c r="G185" s="126">
        <f t="shared" si="53"/>
        <v>15849.047972234484</v>
      </c>
      <c r="H185" s="126">
        <f t="shared" si="53"/>
        <v>46076.323582325815</v>
      </c>
      <c r="I185" s="126">
        <f t="shared" si="53"/>
        <v>64431.876348236248</v>
      </c>
      <c r="J185" s="126">
        <f t="shared" si="53"/>
        <v>82677.974416675555</v>
      </c>
      <c r="K185" s="126">
        <f t="shared" si="51"/>
        <v>44140.535115509032</v>
      </c>
      <c r="L185" s="126">
        <f t="shared" si="51"/>
        <v>44140.535115509032</v>
      </c>
      <c r="M185" s="126">
        <f t="shared" ref="M185:N192" si="54">+M162/M174</f>
        <v>21180.904849368646</v>
      </c>
      <c r="N185" s="126">
        <f t="shared" si="54"/>
        <v>21180.904849368646</v>
      </c>
      <c r="O185" s="127">
        <f t="shared" si="52"/>
        <v>29988.680083550487</v>
      </c>
    </row>
    <row r="186" spans="1:15" x14ac:dyDescent="0.25">
      <c r="A186" s="27" t="s">
        <v>199</v>
      </c>
      <c r="B186" s="126">
        <v>0</v>
      </c>
      <c r="C186" s="126">
        <v>0</v>
      </c>
      <c r="D186" s="126">
        <v>0</v>
      </c>
      <c r="E186" s="126">
        <v>0</v>
      </c>
      <c r="F186" s="126">
        <v>0</v>
      </c>
      <c r="G186" s="126">
        <v>0</v>
      </c>
      <c r="H186" s="126">
        <v>0</v>
      </c>
      <c r="I186" s="126">
        <f>+I163/I175</f>
        <v>520659.95807757886</v>
      </c>
      <c r="J186" s="126">
        <f>+J163/J175</f>
        <v>538065.77541447175</v>
      </c>
      <c r="K186" s="126">
        <f t="shared" si="51"/>
        <v>3749442.814234558</v>
      </c>
      <c r="L186" s="126">
        <f t="shared" si="51"/>
        <v>3749442.814234558</v>
      </c>
      <c r="M186" s="126">
        <f t="shared" si="54"/>
        <v>1316683.5424079394</v>
      </c>
      <c r="N186" s="126">
        <f t="shared" si="54"/>
        <v>1316683.5424079394</v>
      </c>
      <c r="O186" s="127">
        <f t="shared" si="52"/>
        <v>860844.49590592657</v>
      </c>
    </row>
    <row r="187" spans="1:15" x14ac:dyDescent="0.25">
      <c r="A187" s="27" t="s">
        <v>200</v>
      </c>
      <c r="B187" s="126">
        <v>0</v>
      </c>
      <c r="C187" s="126">
        <v>0</v>
      </c>
      <c r="D187" s="126">
        <v>0</v>
      </c>
      <c r="E187" s="126">
        <v>0</v>
      </c>
      <c r="F187" s="126">
        <v>0</v>
      </c>
      <c r="G187" s="126">
        <v>0</v>
      </c>
      <c r="H187" s="126">
        <v>0</v>
      </c>
      <c r="I187" s="126">
        <f>+I164/I176</f>
        <v>305314.95807959919</v>
      </c>
      <c r="J187" s="126">
        <f>+J164/J176</f>
        <v>315900.78544464352</v>
      </c>
      <c r="K187" s="126">
        <f t="shared" si="51"/>
        <v>910336.70072448114</v>
      </c>
      <c r="L187" s="126">
        <f t="shared" si="51"/>
        <v>910336.70072448114</v>
      </c>
      <c r="M187" s="126">
        <f t="shared" si="54"/>
        <v>476818.50945113611</v>
      </c>
      <c r="N187" s="126">
        <f t="shared" si="54"/>
        <v>476818.50945113611</v>
      </c>
      <c r="O187" s="127">
        <f t="shared" si="52"/>
        <v>261194.3202981136</v>
      </c>
    </row>
    <row r="188" spans="1:15" x14ac:dyDescent="0.25">
      <c r="A188" s="27" t="s">
        <v>201</v>
      </c>
      <c r="B188" s="126">
        <v>0</v>
      </c>
      <c r="C188" s="126">
        <v>0</v>
      </c>
      <c r="D188" s="126">
        <v>0</v>
      </c>
      <c r="E188" s="126">
        <v>0</v>
      </c>
      <c r="F188" s="126">
        <v>0</v>
      </c>
      <c r="G188" s="126">
        <v>0</v>
      </c>
      <c r="H188" s="126">
        <v>0</v>
      </c>
      <c r="I188" s="126">
        <v>0</v>
      </c>
      <c r="J188" s="126">
        <v>0</v>
      </c>
      <c r="K188" s="126">
        <f t="shared" si="51"/>
        <v>1572452.0154928572</v>
      </c>
      <c r="L188" s="126">
        <f t="shared" si="51"/>
        <v>1572452.0154928572</v>
      </c>
      <c r="M188" s="126">
        <f t="shared" si="54"/>
        <v>84257966.669505343</v>
      </c>
      <c r="N188" s="126">
        <f t="shared" si="54"/>
        <v>84257966.669505343</v>
      </c>
      <c r="O188" s="127">
        <f t="shared" si="52"/>
        <v>13204679.797692031</v>
      </c>
    </row>
    <row r="189" spans="1:15" x14ac:dyDescent="0.25">
      <c r="A189" s="27" t="s">
        <v>202</v>
      </c>
      <c r="B189" s="126">
        <v>0</v>
      </c>
      <c r="C189" s="126">
        <v>0</v>
      </c>
      <c r="D189" s="126">
        <v>0</v>
      </c>
      <c r="E189" s="126">
        <v>0</v>
      </c>
      <c r="F189" s="126">
        <v>0</v>
      </c>
      <c r="G189" s="126">
        <v>0</v>
      </c>
      <c r="H189" s="126">
        <v>0</v>
      </c>
      <c r="I189" s="126">
        <v>0</v>
      </c>
      <c r="J189" s="126">
        <v>0</v>
      </c>
      <c r="K189" s="126">
        <f t="shared" si="51"/>
        <v>1517022.2826809066</v>
      </c>
      <c r="L189" s="126">
        <f t="shared" si="51"/>
        <v>1517022.2826809066</v>
      </c>
      <c r="M189" s="126">
        <f t="shared" si="54"/>
        <v>386251.43609156966</v>
      </c>
      <c r="N189" s="126">
        <f t="shared" si="54"/>
        <v>386251.43609156966</v>
      </c>
      <c r="O189" s="127">
        <f t="shared" si="52"/>
        <v>292811.34134961176</v>
      </c>
    </row>
    <row r="190" spans="1:15" x14ac:dyDescent="0.25">
      <c r="A190" s="27" t="s">
        <v>203</v>
      </c>
      <c r="B190" s="126">
        <f t="shared" ref="B190:J190" si="55">+B167/B179</f>
        <v>275530.00703075639</v>
      </c>
      <c r="C190" s="126">
        <f t="shared" si="55"/>
        <v>275530.00703075639</v>
      </c>
      <c r="D190" s="126">
        <f t="shared" si="55"/>
        <v>275530.00703075639</v>
      </c>
      <c r="E190" s="126">
        <f t="shared" si="55"/>
        <v>275530.00703075639</v>
      </c>
      <c r="F190" s="126">
        <f t="shared" si="55"/>
        <v>275530.00703075639</v>
      </c>
      <c r="G190" s="126">
        <f t="shared" si="55"/>
        <v>351212.02819157345</v>
      </c>
      <c r="H190" s="126">
        <f t="shared" si="55"/>
        <v>509750.81869664881</v>
      </c>
      <c r="I190" s="126">
        <f t="shared" si="55"/>
        <v>581571.69866479596</v>
      </c>
      <c r="J190" s="126">
        <f t="shared" si="55"/>
        <v>630807.39625302248</v>
      </c>
      <c r="K190" s="126">
        <f t="shared" si="51"/>
        <v>1487540.8062336133</v>
      </c>
      <c r="L190" s="126">
        <f t="shared" si="51"/>
        <v>1487540.8062336133</v>
      </c>
      <c r="M190" s="126">
        <f t="shared" si="54"/>
        <v>183008.83402423339</v>
      </c>
      <c r="N190" s="126">
        <f t="shared" si="54"/>
        <v>183008.83402423339</v>
      </c>
      <c r="O190" s="127">
        <f t="shared" si="52"/>
        <v>522468.5582673474</v>
      </c>
    </row>
    <row r="191" spans="1:15" x14ac:dyDescent="0.25">
      <c r="A191" s="27" t="s">
        <v>204</v>
      </c>
      <c r="B191" s="126">
        <f t="shared" ref="B191:J191" si="56">+B168/B180</f>
        <v>62721.00493785031</v>
      </c>
      <c r="C191" s="126">
        <f t="shared" si="56"/>
        <v>62721.00493785031</v>
      </c>
      <c r="D191" s="126">
        <f t="shared" si="56"/>
        <v>62721.00493785031</v>
      </c>
      <c r="E191" s="126">
        <f t="shared" si="56"/>
        <v>62721.00493785031</v>
      </c>
      <c r="F191" s="126">
        <f t="shared" si="56"/>
        <v>62721.00493785031</v>
      </c>
      <c r="G191" s="126">
        <f t="shared" si="56"/>
        <v>95290.69367011229</v>
      </c>
      <c r="H191" s="126">
        <f t="shared" si="56"/>
        <v>231270.66040704219</v>
      </c>
      <c r="I191" s="126">
        <f t="shared" si="56"/>
        <v>223748.35026230832</v>
      </c>
      <c r="J191" s="126">
        <f t="shared" si="56"/>
        <v>219788.07521552191</v>
      </c>
      <c r="K191" s="126">
        <f t="shared" si="51"/>
        <v>5678.4055872576055</v>
      </c>
      <c r="L191" s="126">
        <f t="shared" si="51"/>
        <v>5678.4055872576055</v>
      </c>
      <c r="M191" s="126">
        <f t="shared" si="54"/>
        <v>116389.6543053113</v>
      </c>
      <c r="N191" s="126">
        <f t="shared" si="54"/>
        <v>116389.6543053113</v>
      </c>
      <c r="O191" s="127">
        <f t="shared" si="52"/>
        <v>102141.45569456725</v>
      </c>
    </row>
    <row r="192" spans="1:15" x14ac:dyDescent="0.25">
      <c r="A192" s="129" t="s">
        <v>205</v>
      </c>
      <c r="B192" s="126">
        <v>0</v>
      </c>
      <c r="C192" s="126">
        <v>0</v>
      </c>
      <c r="D192" s="126">
        <v>0</v>
      </c>
      <c r="E192" s="126">
        <v>0</v>
      </c>
      <c r="F192" s="126">
        <v>0</v>
      </c>
      <c r="G192" s="126">
        <v>0</v>
      </c>
      <c r="H192" s="126">
        <v>0</v>
      </c>
      <c r="I192" s="126">
        <v>0</v>
      </c>
      <c r="J192" s="126">
        <v>0</v>
      </c>
      <c r="K192" s="126">
        <f t="shared" si="51"/>
        <v>8039207.1658407589</v>
      </c>
      <c r="L192" s="126">
        <f t="shared" si="51"/>
        <v>8039207.1658407589</v>
      </c>
      <c r="M192" s="126">
        <f t="shared" si="54"/>
        <v>2895680.8799719457</v>
      </c>
      <c r="N192" s="126">
        <f t="shared" si="54"/>
        <v>2895680.8799719457</v>
      </c>
      <c r="O192" s="127">
        <f t="shared" si="52"/>
        <v>1682290.4685865699</v>
      </c>
    </row>
    <row r="194" spans="1:15" x14ac:dyDescent="0.25">
      <c r="A194" s="73" t="s">
        <v>207</v>
      </c>
    </row>
    <row r="195" spans="1:15" ht="15.75" x14ac:dyDescent="0.25">
      <c r="A195" s="119" t="s">
        <v>129</v>
      </c>
      <c r="B195" s="1">
        <v>2010</v>
      </c>
      <c r="C195" s="1">
        <v>2011</v>
      </c>
      <c r="D195" s="1">
        <v>2012</v>
      </c>
      <c r="E195" s="1">
        <v>2013</v>
      </c>
      <c r="F195" s="1">
        <v>2014</v>
      </c>
      <c r="G195" s="1">
        <v>2015</v>
      </c>
      <c r="H195" s="1">
        <v>2016</v>
      </c>
      <c r="I195" s="1">
        <v>2017</v>
      </c>
      <c r="J195" s="1">
        <v>2018</v>
      </c>
      <c r="K195" s="1">
        <v>2019</v>
      </c>
      <c r="L195" s="1">
        <v>2020</v>
      </c>
      <c r="M195" s="1">
        <v>2021</v>
      </c>
      <c r="N195" s="1">
        <v>2022</v>
      </c>
    </row>
    <row r="196" spans="1:15" s="132" customFormat="1" ht="15.75" x14ac:dyDescent="0.25">
      <c r="A196" s="130" t="s">
        <v>195</v>
      </c>
      <c r="B196" s="131">
        <f>+(INGEI!C28+INGEI!C29)/1000</f>
        <v>355.00539139999995</v>
      </c>
      <c r="C196" s="131">
        <f>+(INGEI!D28+INGEI!D29)/1000</f>
        <v>355.00539139999995</v>
      </c>
      <c r="D196" s="131">
        <f>+(INGEI!E28+INGEI!E29)/1000</f>
        <v>355.00539139999995</v>
      </c>
      <c r="E196" s="131">
        <f>+(INGEI!F28+INGEI!F29)/1000</f>
        <v>355.00539139999995</v>
      </c>
      <c r="F196" s="131">
        <f>+(INGEI!G28+INGEI!G29)/1000</f>
        <v>355.00539139999995</v>
      </c>
      <c r="G196" s="131">
        <f>+(INGEI!H28+INGEI!H29)/1000</f>
        <v>220.68852428333332</v>
      </c>
      <c r="H196" s="131">
        <f>+(INGEI!I28+INGEI!I29)/1000</f>
        <v>86.371657166666665</v>
      </c>
      <c r="I196" s="131">
        <f>+(INGEI!J28+INGEI!J29)/1000</f>
        <v>301.44538911666666</v>
      </c>
      <c r="J196" s="131">
        <f>+(INGEI!K28+INGEI!K29)/1000</f>
        <v>516.51912106666668</v>
      </c>
      <c r="K196" s="131">
        <f>+(INGEI!L28+INGEI!L29)/1000</f>
        <v>116.46043676666666</v>
      </c>
      <c r="L196" s="131">
        <f>+(INGEI!M28+INGEI!M29)/1000</f>
        <v>116.46043676666666</v>
      </c>
      <c r="M196" s="131">
        <f>+(INGEI!N28+INGEI!N29)/1000</f>
        <v>447.53370859999995</v>
      </c>
      <c r="N196" s="131">
        <f>+(INGEI!O28+INGEI!O29)/1000</f>
        <v>447.53370859999995</v>
      </c>
    </row>
    <row r="197" spans="1:15" ht="15.75" x14ac:dyDescent="0.25">
      <c r="A197" s="121" t="s">
        <v>14</v>
      </c>
      <c r="B197" s="122">
        <f t="shared" ref="B197:N197" si="57">+SUM(B196:B196)</f>
        <v>355.00539139999995</v>
      </c>
      <c r="C197" s="122">
        <f t="shared" si="57"/>
        <v>355.00539139999995</v>
      </c>
      <c r="D197" s="122">
        <f t="shared" si="57"/>
        <v>355.00539139999995</v>
      </c>
      <c r="E197" s="122">
        <f t="shared" si="57"/>
        <v>355.00539139999995</v>
      </c>
      <c r="F197" s="122">
        <f t="shared" si="57"/>
        <v>355.00539139999995</v>
      </c>
      <c r="G197" s="122">
        <f t="shared" si="57"/>
        <v>220.68852428333332</v>
      </c>
      <c r="H197" s="122">
        <f t="shared" si="57"/>
        <v>86.371657166666665</v>
      </c>
      <c r="I197" s="122">
        <f t="shared" si="57"/>
        <v>301.44538911666666</v>
      </c>
      <c r="J197" s="122">
        <f t="shared" si="57"/>
        <v>516.51912106666668</v>
      </c>
      <c r="K197" s="122">
        <f t="shared" si="57"/>
        <v>116.46043676666666</v>
      </c>
      <c r="L197" s="122">
        <f t="shared" si="57"/>
        <v>116.46043676666666</v>
      </c>
      <c r="M197" s="122">
        <f t="shared" si="57"/>
        <v>447.53370859999995</v>
      </c>
      <c r="N197" s="122">
        <f t="shared" si="57"/>
        <v>447.53370859999995</v>
      </c>
    </row>
    <row r="198" spans="1:15" ht="15.75" x14ac:dyDescent="0.25">
      <c r="A198" s="121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>
        <f>+K196+SUM(K161:K169)</f>
        <v>1089.5601596766664</v>
      </c>
      <c r="L198" s="122">
        <f>+L196+SUM(L161:L169)</f>
        <v>1089.5601596766664</v>
      </c>
      <c r="M198" s="122"/>
      <c r="N198" s="122"/>
    </row>
    <row r="199" spans="1:15" ht="15.75" x14ac:dyDescent="0.25">
      <c r="A199" s="119" t="s">
        <v>118</v>
      </c>
      <c r="B199" s="1">
        <v>2010</v>
      </c>
      <c r="C199" s="1">
        <v>2011</v>
      </c>
      <c r="D199" s="1">
        <v>2012</v>
      </c>
      <c r="E199" s="1">
        <v>2013</v>
      </c>
      <c r="F199" s="1">
        <v>2014</v>
      </c>
      <c r="G199" s="1">
        <v>2015</v>
      </c>
      <c r="H199" s="1">
        <v>2016</v>
      </c>
      <c r="I199" s="1">
        <v>2017</v>
      </c>
      <c r="J199" s="1">
        <v>2018</v>
      </c>
      <c r="K199" s="1">
        <v>2019</v>
      </c>
      <c r="L199" s="1">
        <v>2020</v>
      </c>
      <c r="M199" s="1">
        <v>2021</v>
      </c>
      <c r="N199" s="1">
        <v>2022</v>
      </c>
    </row>
    <row r="200" spans="1:15" ht="15.75" x14ac:dyDescent="0.25">
      <c r="A200" s="130" t="s">
        <v>195</v>
      </c>
      <c r="B200" s="75">
        <f>+('Cambio uso de suelo'!C74+'Cambio uso de suelo'!C75)/1000</f>
        <v>10.307030000000001</v>
      </c>
      <c r="C200" s="75">
        <f>+('Cambio uso de suelo'!D74+'Cambio uso de suelo'!D75)/1000</f>
        <v>10.307030000000001</v>
      </c>
      <c r="D200" s="75">
        <f>+('Cambio uso de suelo'!E74+'Cambio uso de suelo'!E75)/1000</f>
        <v>10.307030000000001</v>
      </c>
      <c r="E200" s="75">
        <f>+('Cambio uso de suelo'!F74+'Cambio uso de suelo'!F75)/1000</f>
        <v>10.307030000000001</v>
      </c>
      <c r="F200" s="75">
        <f>+('Cambio uso de suelo'!G74+'Cambio uso de suelo'!G75)/1000</f>
        <v>10.307030000000001</v>
      </c>
      <c r="G200" s="75">
        <f>+('Cambio uso de suelo'!H74+'Cambio uso de suelo'!H75)/1000</f>
        <v>6.488150000000001</v>
      </c>
      <c r="H200" s="75">
        <f>+('Cambio uso de suelo'!I74+'Cambio uso de suelo'!I75)/1000</f>
        <v>2.66927</v>
      </c>
      <c r="I200" s="75">
        <f>+('Cambio uso de suelo'!J74+'Cambio uso de suelo'!J75)/1000</f>
        <v>8.5843800000000012</v>
      </c>
      <c r="J200" s="75">
        <f>+('Cambio uso de suelo'!K74+'Cambio uso de suelo'!K75)/1000</f>
        <v>14.49949</v>
      </c>
      <c r="K200" s="75">
        <f>+('Cambio uso de suelo'!L74+'Cambio uso de suelo'!L75)/1000</f>
        <v>3.4050200000000004</v>
      </c>
      <c r="L200" s="75">
        <f>+('Cambio uso de suelo'!M74+'Cambio uso de suelo'!M75)/1000</f>
        <v>3.4050200000000004</v>
      </c>
      <c r="M200" s="75">
        <f>+('Cambio uso de suelo'!N74+'Cambio uso de suelo'!N75)/1000</f>
        <v>13.933309999999999</v>
      </c>
      <c r="N200" s="75">
        <f>+('Cambio uso de suelo'!O74+'Cambio uso de suelo'!O75)/1000</f>
        <v>13.933309999999999</v>
      </c>
    </row>
    <row r="201" spans="1:15" ht="15.75" x14ac:dyDescent="0.25">
      <c r="A201" s="123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</row>
    <row r="202" spans="1:15" ht="15.75" x14ac:dyDescent="0.25">
      <c r="A202" s="119" t="s">
        <v>119</v>
      </c>
      <c r="B202" s="1">
        <v>2010</v>
      </c>
      <c r="C202" s="1">
        <v>2011</v>
      </c>
      <c r="D202" s="1">
        <v>2012</v>
      </c>
      <c r="E202" s="1">
        <v>2013</v>
      </c>
      <c r="F202" s="1">
        <v>2014</v>
      </c>
      <c r="G202" s="1">
        <v>2015</v>
      </c>
      <c r="H202" s="1">
        <v>2016</v>
      </c>
      <c r="I202" s="1">
        <v>2017</v>
      </c>
      <c r="J202" s="1">
        <v>2018</v>
      </c>
      <c r="K202" s="1">
        <v>2019</v>
      </c>
      <c r="L202" s="1">
        <v>2020</v>
      </c>
      <c r="M202" s="1">
        <v>2021</v>
      </c>
      <c r="N202" s="1">
        <v>2022</v>
      </c>
    </row>
    <row r="203" spans="1:15" x14ac:dyDescent="0.25">
      <c r="A203" s="27" t="s">
        <v>206</v>
      </c>
      <c r="B203" s="126">
        <f t="shared" ref="B203:N203" si="58">+B196/B200</f>
        <v>34.443034647226206</v>
      </c>
      <c r="C203" s="126">
        <f t="shared" si="58"/>
        <v>34.443034647226206</v>
      </c>
      <c r="D203" s="126">
        <f t="shared" si="58"/>
        <v>34.443034647226206</v>
      </c>
      <c r="E203" s="126">
        <f t="shared" si="58"/>
        <v>34.443034647226206</v>
      </c>
      <c r="F203" s="126">
        <f t="shared" si="58"/>
        <v>34.443034647226206</v>
      </c>
      <c r="G203" s="126">
        <f t="shared" si="58"/>
        <v>34.014090963268927</v>
      </c>
      <c r="H203" s="126">
        <f t="shared" si="58"/>
        <v>32.357782152673451</v>
      </c>
      <c r="I203" s="126">
        <f t="shared" si="58"/>
        <v>35.115569105359576</v>
      </c>
      <c r="J203" s="126">
        <f t="shared" si="58"/>
        <v>35.623261305512585</v>
      </c>
      <c r="K203" s="126">
        <f t="shared" si="58"/>
        <v>34.202570547799027</v>
      </c>
      <c r="L203" s="126">
        <f t="shared" si="58"/>
        <v>34.202570547799027</v>
      </c>
      <c r="M203" s="126">
        <f t="shared" si="58"/>
        <v>32.119697946862587</v>
      </c>
      <c r="N203" s="126">
        <f t="shared" si="58"/>
        <v>32.119697946862587</v>
      </c>
      <c r="O203" s="127">
        <f>+AVERAGE(B203:N203)</f>
        <v>33.997724134789905</v>
      </c>
    </row>
    <row r="205" spans="1:15" x14ac:dyDescent="0.25">
      <c r="A205" s="73" t="s">
        <v>208</v>
      </c>
    </row>
    <row r="206" spans="1:15" ht="15.75" x14ac:dyDescent="0.25">
      <c r="A206" s="119" t="s">
        <v>129</v>
      </c>
      <c r="B206" s="1">
        <v>2010</v>
      </c>
      <c r="C206" s="1">
        <v>2011</v>
      </c>
      <c r="D206" s="1">
        <v>2012</v>
      </c>
      <c r="E206" s="1">
        <v>2013</v>
      </c>
      <c r="F206" s="1">
        <v>2014</v>
      </c>
      <c r="G206" s="1">
        <v>2015</v>
      </c>
      <c r="H206" s="1">
        <v>2016</v>
      </c>
      <c r="I206" s="1">
        <v>2017</v>
      </c>
      <c r="J206" s="1">
        <v>2018</v>
      </c>
      <c r="K206" s="1">
        <v>2019</v>
      </c>
      <c r="L206" s="1">
        <v>2020</v>
      </c>
      <c r="M206" s="1">
        <v>2021</v>
      </c>
      <c r="N206" s="1">
        <v>2022</v>
      </c>
    </row>
    <row r="207" spans="1:15" ht="15.75" x14ac:dyDescent="0.25">
      <c r="A207" s="120" t="s">
        <v>18</v>
      </c>
      <c r="B207" s="75">
        <f>INGEI!C$33*'5ta'!$R87/1000</f>
        <v>0.58073378944486509</v>
      </c>
      <c r="C207" s="75">
        <f>INGEI!D$33*'5ta'!$R87/1000</f>
        <v>0.58073378944486509</v>
      </c>
      <c r="D207" s="75">
        <f>INGEI!E$33*'5ta'!$R87/1000</f>
        <v>0.58073378944486509</v>
      </c>
      <c r="E207" s="75">
        <f>INGEI!F$33*'5ta'!$R87/1000</f>
        <v>0.58073378944486509</v>
      </c>
      <c r="F207" s="75">
        <f>INGEI!G$33*'5ta'!$R87/1000</f>
        <v>0.58073378944486509</v>
      </c>
      <c r="G207" s="75">
        <f>INGEI!H$33*'5ta'!$R87/1000</f>
        <v>1.3475503505322886</v>
      </c>
      <c r="H207" s="75">
        <f>INGEI!I$33*'5ta'!$R87/1000</f>
        <v>2.1143669116197126</v>
      </c>
      <c r="I207" s="75">
        <f>INGEI!J$33*'5ta'!$R87/1000</f>
        <v>2.0664886839171435</v>
      </c>
      <c r="J207" s="75">
        <f>INGEI!K$33*'5ta'!$R87/1000</f>
        <v>2.0186104562145752</v>
      </c>
      <c r="K207" s="75">
        <f>INGEI!L$33*'5ta'!$R87/1000</f>
        <v>1.7311818721806209</v>
      </c>
      <c r="L207" s="75">
        <f>INGEI!M$33*'5ta'!$R87/1000</f>
        <v>1.7311818721806209</v>
      </c>
      <c r="M207" s="75">
        <f>INGEI!N$33*'5ta'!$R87/1000</f>
        <v>0.70103102304199383</v>
      </c>
      <c r="N207" s="75">
        <f>INGEI!O$33*'5ta'!$R87/1000</f>
        <v>0.70103102304199383</v>
      </c>
    </row>
    <row r="208" spans="1:15" ht="15.75" x14ac:dyDescent="0.25">
      <c r="A208" s="120" t="s">
        <v>20</v>
      </c>
      <c r="B208" s="75">
        <f>INGEI!C$33*'5ta'!$R88/1000</f>
        <v>5.6709733957538688</v>
      </c>
      <c r="C208" s="75">
        <f>INGEI!D$33*'5ta'!$R88/1000</f>
        <v>5.6709733957538688</v>
      </c>
      <c r="D208" s="75">
        <f>INGEI!E$33*'5ta'!$R88/1000</f>
        <v>5.6709733957538688</v>
      </c>
      <c r="E208" s="75">
        <f>INGEI!F$33*'5ta'!$R88/1000</f>
        <v>5.6709733957538688</v>
      </c>
      <c r="F208" s="75">
        <f>INGEI!G$33*'5ta'!$R88/1000</f>
        <v>5.6709733957538688</v>
      </c>
      <c r="G208" s="75">
        <f>INGEI!H$33*'5ta'!$R88/1000</f>
        <v>13.159079644069745</v>
      </c>
      <c r="H208" s="75">
        <f>INGEI!I$33*'5ta'!$R88/1000</f>
        <v>20.647185892385622</v>
      </c>
      <c r="I208" s="75">
        <f>INGEI!J$33*'5ta'!$R88/1000</f>
        <v>20.179646099674994</v>
      </c>
      <c r="J208" s="75">
        <f>INGEI!K$33*'5ta'!$R88/1000</f>
        <v>19.712106306964358</v>
      </c>
      <c r="K208" s="75">
        <f>INGEI!L$33*'5ta'!$R88/1000</f>
        <v>16.905312759108448</v>
      </c>
      <c r="L208" s="75">
        <f>INGEI!M$33*'5ta'!$R88/1000</f>
        <v>16.905312759108448</v>
      </c>
      <c r="M208" s="75">
        <f>INGEI!N$33*'5ta'!$R88/1000</f>
        <v>6.845698241649675</v>
      </c>
      <c r="N208" s="75">
        <f>INGEI!O$33*'5ta'!$R88/1000</f>
        <v>6.845698241649675</v>
      </c>
    </row>
    <row r="209" spans="1:14" ht="15.75" x14ac:dyDescent="0.25">
      <c r="A209" s="120" t="s">
        <v>21</v>
      </c>
      <c r="B209" s="75">
        <f>INGEI!C$33*'5ta'!$R89/1000</f>
        <v>54.226402289713413</v>
      </c>
      <c r="C209" s="75">
        <f>INGEI!D$33*'5ta'!$R89/1000</f>
        <v>54.226402289713413</v>
      </c>
      <c r="D209" s="75">
        <f>INGEI!E$33*'5ta'!$R89/1000</f>
        <v>54.226402289713413</v>
      </c>
      <c r="E209" s="75">
        <f>INGEI!F$33*'5ta'!$R89/1000</f>
        <v>54.226402289713413</v>
      </c>
      <c r="F209" s="75">
        <f>INGEI!G$33*'5ta'!$R89/1000</f>
        <v>54.226402289713413</v>
      </c>
      <c r="G209" s="75">
        <f>INGEI!H$33*'5ta'!$R89/1000</f>
        <v>125.82840664990398</v>
      </c>
      <c r="H209" s="75">
        <f>INGEI!I$33*'5ta'!$R89/1000</f>
        <v>197.43041101009456</v>
      </c>
      <c r="I209" s="75">
        <f>INGEI!J$33*'5ta'!$R89/1000</f>
        <v>192.9597497819959</v>
      </c>
      <c r="J209" s="75">
        <f>INGEI!K$33*'5ta'!$R89/1000</f>
        <v>188.4890885538972</v>
      </c>
      <c r="K209" s="75">
        <f>INGEI!L$33*'5ta'!$R89/1000</f>
        <v>161.65025411602664</v>
      </c>
      <c r="L209" s="75">
        <f>INGEI!M$33*'5ta'!$R89/1000</f>
        <v>161.65025411602664</v>
      </c>
      <c r="M209" s="75">
        <f>INGEI!N$33*'5ta'!$R89/1000</f>
        <v>65.459236166339167</v>
      </c>
      <c r="N209" s="75">
        <f>INGEI!O$33*'5ta'!$R89/1000</f>
        <v>65.459236166339167</v>
      </c>
    </row>
    <row r="210" spans="1:14" ht="31.5" x14ac:dyDescent="0.25">
      <c r="A210" s="120" t="s">
        <v>22</v>
      </c>
      <c r="B210" s="75">
        <f>INGEI!C$33*'5ta'!$R90/1000</f>
        <v>22.042682837256013</v>
      </c>
      <c r="C210" s="75">
        <f>INGEI!D$33*'5ta'!$R90/1000</f>
        <v>22.042682837256013</v>
      </c>
      <c r="D210" s="75">
        <f>INGEI!E$33*'5ta'!$R90/1000</f>
        <v>22.042682837256013</v>
      </c>
      <c r="E210" s="75">
        <f>INGEI!F$33*'5ta'!$R90/1000</f>
        <v>22.042682837256013</v>
      </c>
      <c r="F210" s="75">
        <f>INGEI!G$33*'5ta'!$R90/1000</f>
        <v>22.042682837256013</v>
      </c>
      <c r="G210" s="75">
        <f>INGEI!H$33*'5ta'!$R90/1000</f>
        <v>51.148435864926476</v>
      </c>
      <c r="H210" s="75">
        <f>INGEI!I$33*'5ta'!$R90/1000</f>
        <v>80.254188892596957</v>
      </c>
      <c r="I210" s="75">
        <f>INGEI!J$33*'5ta'!$R90/1000</f>
        <v>78.436893933633939</v>
      </c>
      <c r="J210" s="75">
        <f>INGEI!K$33*'5ta'!$R90/1000</f>
        <v>76.619598974670922</v>
      </c>
      <c r="K210" s="75">
        <f>INGEI!L$33*'5ta'!$R90/1000</f>
        <v>65.709785853105416</v>
      </c>
      <c r="L210" s="75">
        <f>INGEI!M$33*'5ta'!$R90/1000</f>
        <v>65.709785853105416</v>
      </c>
      <c r="M210" s="75">
        <f>INGEI!N$33*'5ta'!$R90/1000</f>
        <v>26.608757370159626</v>
      </c>
      <c r="N210" s="75">
        <f>INGEI!O$33*'5ta'!$R90/1000</f>
        <v>26.608757370159626</v>
      </c>
    </row>
    <row r="211" spans="1:14" ht="31.5" x14ac:dyDescent="0.25">
      <c r="A211" s="120" t="s">
        <v>23</v>
      </c>
      <c r="B211" s="75">
        <f>INGEI!C$33*'5ta'!$R91/1000</f>
        <v>15.180224892818055</v>
      </c>
      <c r="C211" s="75">
        <f>INGEI!D$33*'5ta'!$R91/1000</f>
        <v>15.180224892818055</v>
      </c>
      <c r="D211" s="75">
        <f>INGEI!E$33*'5ta'!$R91/1000</f>
        <v>15.180224892818055</v>
      </c>
      <c r="E211" s="75">
        <f>INGEI!F$33*'5ta'!$R91/1000</f>
        <v>15.180224892818055</v>
      </c>
      <c r="F211" s="75">
        <f>INGEI!G$33*'5ta'!$R91/1000</f>
        <v>15.180224892818055</v>
      </c>
      <c r="G211" s="75">
        <f>INGEI!H$33*'5ta'!$R91/1000</f>
        <v>35.224603333362694</v>
      </c>
      <c r="H211" s="75">
        <f>INGEI!I$33*'5ta'!$R91/1000</f>
        <v>55.268981773907328</v>
      </c>
      <c r="I211" s="75">
        <f>INGEI!J$33*'5ta'!$R91/1000</f>
        <v>54.017457793032534</v>
      </c>
      <c r="J211" s="75">
        <f>INGEI!K$33*'5ta'!$R91/1000</f>
        <v>52.765933812157748</v>
      </c>
      <c r="K211" s="75">
        <f>INGEI!L$33*'5ta'!$R91/1000</f>
        <v>45.25262801600185</v>
      </c>
      <c r="L211" s="75">
        <f>INGEI!M$33*'5ta'!$R91/1000</f>
        <v>45.25262801600185</v>
      </c>
      <c r="M211" s="75">
        <f>INGEI!N$33*'5ta'!$R91/1000</f>
        <v>18.324762188872285</v>
      </c>
      <c r="N211" s="75">
        <f>INGEI!O$33*'5ta'!$R91/1000</f>
        <v>18.324762188872285</v>
      </c>
    </row>
    <row r="212" spans="1:14" ht="31.5" x14ac:dyDescent="0.25">
      <c r="A212" s="120" t="s">
        <v>24</v>
      </c>
      <c r="B212" s="75">
        <f>INGEI!C$33*'5ta'!$R92/1000</f>
        <v>111.08125244260502</v>
      </c>
      <c r="C212" s="75">
        <f>INGEI!D$33*'5ta'!$R92/1000</f>
        <v>111.08125244260502</v>
      </c>
      <c r="D212" s="75">
        <f>INGEI!E$33*'5ta'!$R92/1000</f>
        <v>111.08125244260502</v>
      </c>
      <c r="E212" s="75">
        <f>INGEI!F$33*'5ta'!$R92/1000</f>
        <v>111.08125244260502</v>
      </c>
      <c r="F212" s="75">
        <f>INGEI!G$33*'5ta'!$R92/1000</f>
        <v>111.08125244260502</v>
      </c>
      <c r="G212" s="75">
        <f>INGEI!H$33*'5ta'!$R92/1000</f>
        <v>257.75593462486029</v>
      </c>
      <c r="H212" s="75">
        <f>INGEI!I$33*'5ta'!$R92/1000</f>
        <v>404.4306168071156</v>
      </c>
      <c r="I212" s="75">
        <f>INGEI!J$33*'5ta'!$R92/1000</f>
        <v>395.27259363953397</v>
      </c>
      <c r="J212" s="75">
        <f>INGEI!K$33*'5ta'!$R92/1000</f>
        <v>386.11457047195239</v>
      </c>
      <c r="K212" s="75">
        <f>INGEI!L$33*'5ta'!$R92/1000</f>
        <v>331.13597669524665</v>
      </c>
      <c r="L212" s="75">
        <f>INGEI!M$33*'5ta'!$R92/1000</f>
        <v>331.13597669524665</v>
      </c>
      <c r="M212" s="75">
        <f>INGEI!N$33*'5ta'!$R92/1000</f>
        <v>134.09139515553969</v>
      </c>
      <c r="N212" s="75">
        <f>INGEI!O$33*'5ta'!$R92/1000</f>
        <v>134.09139515553969</v>
      </c>
    </row>
    <row r="213" spans="1:14" ht="31.5" x14ac:dyDescent="0.25">
      <c r="A213" s="120" t="s">
        <v>25</v>
      </c>
      <c r="B213" s="75">
        <f>INGEI!C$33*'5ta'!$R93/1000</f>
        <v>12.306934100998998</v>
      </c>
      <c r="C213" s="75">
        <f>INGEI!D$33*'5ta'!$R93/1000</f>
        <v>12.306934100998998</v>
      </c>
      <c r="D213" s="75">
        <f>INGEI!E$33*'5ta'!$R93/1000</f>
        <v>12.306934100998998</v>
      </c>
      <c r="E213" s="75">
        <f>INGEI!F$33*'5ta'!$R93/1000</f>
        <v>12.306934100998998</v>
      </c>
      <c r="F213" s="75">
        <f>INGEI!G$33*'5ta'!$R93/1000</f>
        <v>12.306934100998998</v>
      </c>
      <c r="G213" s="75">
        <f>INGEI!H$33*'5ta'!$R93/1000</f>
        <v>28.557341871965384</v>
      </c>
      <c r="H213" s="75">
        <f>INGEI!I$33*'5ta'!$R93/1000</f>
        <v>44.807749642931775</v>
      </c>
      <c r="I213" s="75">
        <f>INGEI!J$33*'5ta'!$R93/1000</f>
        <v>43.793112292879528</v>
      </c>
      <c r="J213" s="75">
        <f>INGEI!K$33*'5ta'!$R93/1000</f>
        <v>42.778474942827287</v>
      </c>
      <c r="K213" s="75">
        <f>INGEI!L$33*'5ta'!$R93/1000</f>
        <v>36.68727669202331</v>
      </c>
      <c r="L213" s="75">
        <f>INGEI!M$33*'5ta'!$R93/1000</f>
        <v>36.68727669202331</v>
      </c>
      <c r="M213" s="75">
        <f>INGEI!N$33*'5ta'!$R93/1000</f>
        <v>14.856277971324809</v>
      </c>
      <c r="N213" s="75">
        <f>INGEI!O$33*'5ta'!$R93/1000</f>
        <v>14.856277971324809</v>
      </c>
    </row>
    <row r="214" spans="1:14" ht="15.75" x14ac:dyDescent="0.25">
      <c r="A214" s="120" t="s">
        <v>26</v>
      </c>
      <c r="B214" s="75">
        <f>INGEI!C$33*'5ta'!$R94/1000</f>
        <v>3.0564532824026771</v>
      </c>
      <c r="C214" s="75">
        <f>INGEI!D$33*'5ta'!$R94/1000</f>
        <v>3.0564532824026771</v>
      </c>
      <c r="D214" s="75">
        <f>INGEI!E$33*'5ta'!$R94/1000</f>
        <v>3.0564532824026771</v>
      </c>
      <c r="E214" s="75">
        <f>INGEI!F$33*'5ta'!$R94/1000</f>
        <v>3.0564532824026771</v>
      </c>
      <c r="F214" s="75">
        <f>INGEI!G$33*'5ta'!$R94/1000</f>
        <v>3.0564532824026771</v>
      </c>
      <c r="G214" s="75">
        <f>INGEI!H$33*'5ta'!$R94/1000</f>
        <v>7.092276645422098</v>
      </c>
      <c r="H214" s="75">
        <f>INGEI!I$33*'5ta'!$R94/1000</f>
        <v>11.128100008441521</v>
      </c>
      <c r="I214" s="75">
        <f>INGEI!J$33*'5ta'!$R94/1000</f>
        <v>10.876112662644017</v>
      </c>
      <c r="J214" s="75">
        <f>INGEI!K$33*'5ta'!$R94/1000</f>
        <v>10.624125316846511</v>
      </c>
      <c r="K214" s="75">
        <f>INGEI!L$33*'5ta'!$R94/1000</f>
        <v>9.1113632646044334</v>
      </c>
      <c r="L214" s="75">
        <f>INGEI!M$33*'5ta'!$R94/1000</f>
        <v>9.1113632646044334</v>
      </c>
      <c r="M214" s="75">
        <f>INGEI!N$33*'5ta'!$R94/1000</f>
        <v>3.6895882595208178</v>
      </c>
      <c r="N214" s="75">
        <f>INGEI!O$33*'5ta'!$R94/1000</f>
        <v>3.6895882595208178</v>
      </c>
    </row>
    <row r="215" spans="1:14" ht="15.75" x14ac:dyDescent="0.25">
      <c r="A215" s="120" t="s">
        <v>27</v>
      </c>
      <c r="B215" s="75">
        <f>INGEI!C$33*'5ta'!$R95/1000</f>
        <v>12.781564444007065</v>
      </c>
      <c r="C215" s="75">
        <f>INGEI!D$33*'5ta'!$R95/1000</f>
        <v>12.781564444007065</v>
      </c>
      <c r="D215" s="75">
        <f>INGEI!E$33*'5ta'!$R95/1000</f>
        <v>12.781564444007065</v>
      </c>
      <c r="E215" s="75">
        <f>INGEI!F$33*'5ta'!$R95/1000</f>
        <v>12.781564444007065</v>
      </c>
      <c r="F215" s="75">
        <f>INGEI!G$33*'5ta'!$R95/1000</f>
        <v>12.781564444007065</v>
      </c>
      <c r="G215" s="75">
        <f>INGEI!H$33*'5ta'!$R95/1000</f>
        <v>29.658686923206805</v>
      </c>
      <c r="H215" s="75">
        <f>INGEI!I$33*'5ta'!$R95/1000</f>
        <v>46.535809402406549</v>
      </c>
      <c r="I215" s="75">
        <f>INGEI!J$33*'5ta'!$R95/1000</f>
        <v>45.482041455770961</v>
      </c>
      <c r="J215" s="75">
        <f>INGEI!K$33*'5ta'!$R95/1000</f>
        <v>44.428273509135359</v>
      </c>
      <c r="K215" s="75">
        <f>INGEI!L$33*'5ta'!$R95/1000</f>
        <v>38.102161551035707</v>
      </c>
      <c r="L215" s="75">
        <f>INGEI!M$33*'5ta'!$R95/1000</f>
        <v>38.102161551035707</v>
      </c>
      <c r="M215" s="75">
        <f>INGEI!N$33*'5ta'!$R95/1000</f>
        <v>15.429226542551879</v>
      </c>
      <c r="N215" s="75">
        <f>INGEI!O$33*'5ta'!$R95/1000</f>
        <v>15.429226542551879</v>
      </c>
    </row>
    <row r="216" spans="1:14" ht="15.75" x14ac:dyDescent="0.25">
      <c r="A216" s="121" t="s">
        <v>14</v>
      </c>
      <c r="B216" s="122">
        <f t="shared" ref="B216:N216" si="59">+SUM(B207:B215)</f>
        <v>236.92722147500001</v>
      </c>
      <c r="C216" s="122">
        <f t="shared" si="59"/>
        <v>236.92722147500001</v>
      </c>
      <c r="D216" s="122">
        <f t="shared" si="59"/>
        <v>236.92722147500001</v>
      </c>
      <c r="E216" s="122">
        <f t="shared" si="59"/>
        <v>236.92722147500001</v>
      </c>
      <c r="F216" s="122">
        <f t="shared" si="59"/>
        <v>236.92722147500001</v>
      </c>
      <c r="G216" s="122">
        <f t="shared" si="59"/>
        <v>549.77231590824977</v>
      </c>
      <c r="H216" s="122">
        <f t="shared" si="59"/>
        <v>862.61741034149964</v>
      </c>
      <c r="I216" s="122">
        <f t="shared" si="59"/>
        <v>843.08409634308305</v>
      </c>
      <c r="J216" s="122">
        <f t="shared" si="59"/>
        <v>823.55078234466635</v>
      </c>
      <c r="K216" s="122">
        <f t="shared" si="59"/>
        <v>706.28594081933295</v>
      </c>
      <c r="L216" s="122">
        <f t="shared" si="59"/>
        <v>706.28594081933295</v>
      </c>
      <c r="M216" s="122">
        <f t="shared" si="59"/>
        <v>286.00597291899993</v>
      </c>
      <c r="N216" s="122">
        <f t="shared" si="59"/>
        <v>286.00597291899993</v>
      </c>
    </row>
    <row r="217" spans="1:14" ht="15.75" x14ac:dyDescent="0.25">
      <c r="A217" s="121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</row>
    <row r="218" spans="1:14" ht="15.75" x14ac:dyDescent="0.25">
      <c r="A218" s="119" t="s">
        <v>118</v>
      </c>
      <c r="B218" s="1">
        <v>2010</v>
      </c>
      <c r="C218" s="1">
        <v>2011</v>
      </c>
      <c r="D218" s="1">
        <v>2012</v>
      </c>
      <c r="E218" s="1">
        <v>2013</v>
      </c>
      <c r="F218" s="1">
        <v>2014</v>
      </c>
      <c r="G218" s="1">
        <v>2015</v>
      </c>
      <c r="H218" s="1">
        <v>2016</v>
      </c>
      <c r="I218" s="1">
        <v>2017</v>
      </c>
      <c r="J218" s="1">
        <v>2018</v>
      </c>
      <c r="K218" s="1">
        <v>2019</v>
      </c>
      <c r="L218" s="1">
        <v>2020</v>
      </c>
      <c r="M218" s="1">
        <v>2021</v>
      </c>
      <c r="N218" s="1">
        <v>2022</v>
      </c>
    </row>
    <row r="219" spans="1:14" ht="15.75" x14ac:dyDescent="0.25">
      <c r="A219" s="120" t="s">
        <v>18</v>
      </c>
      <c r="B219" s="506">
        <f>+'Cambio uso de suelo (BAU)'!D80</f>
        <v>4.1999999999999996E-4</v>
      </c>
      <c r="C219" s="506">
        <f>+'Cambio uso de suelo (BAU)'!E80</f>
        <v>4.1999999999999996E-4</v>
      </c>
      <c r="D219" s="506">
        <f>+'Cambio uso de suelo (BAU)'!F80</f>
        <v>4.1999999999999996E-4</v>
      </c>
      <c r="E219" s="506">
        <f>+'Cambio uso de suelo (BAU)'!G80</f>
        <v>4.1999999999999996E-4</v>
      </c>
      <c r="F219" s="506">
        <f>+'Cambio uso de suelo (BAU)'!H80</f>
        <v>4.1999999999999996E-4</v>
      </c>
      <c r="G219" s="506">
        <f>+'Cambio uso de suelo (BAU)'!I80</f>
        <v>1.8772499999999998E-2</v>
      </c>
      <c r="H219" s="506">
        <f>+'Cambio uso de suelo (BAU)'!J80</f>
        <v>3.7124999999999998E-2</v>
      </c>
      <c r="I219" s="506">
        <f>+'Cambio uso de suelo (BAU)'!K80</f>
        <v>2.8372500000000002E-2</v>
      </c>
      <c r="J219" s="506">
        <f>+'Cambio uso de suelo (BAU)'!L80</f>
        <v>1.9620000000000002E-2</v>
      </c>
      <c r="K219" s="506">
        <f>+'Cambio uso de suelo (BAU)'!M80</f>
        <v>8.369999999999999E-3</v>
      </c>
      <c r="L219" s="506">
        <f>+'Cambio uso de suelo (BAU)'!N80</f>
        <v>8.369999999999999E-3</v>
      </c>
      <c r="M219" s="506">
        <f>+'Cambio uso de suelo (BAU)'!O80</f>
        <v>7.1999999999999994E-4</v>
      </c>
      <c r="N219" s="506">
        <f>+'Cambio uso de suelo (BAU)'!P80</f>
        <v>7.1999999999999994E-4</v>
      </c>
    </row>
    <row r="220" spans="1:14" ht="15.75" x14ac:dyDescent="0.25">
      <c r="A220" s="120" t="s">
        <v>20</v>
      </c>
      <c r="B220" s="506">
        <f>+'Cambio uso de suelo (BAU)'!D81</f>
        <v>0.49768499999999993</v>
      </c>
      <c r="C220" s="506">
        <f>+'Cambio uso de suelo (BAU)'!E81</f>
        <v>0.49768499999999993</v>
      </c>
      <c r="D220" s="506">
        <f>+'Cambio uso de suelo (BAU)'!F81</f>
        <v>0.49768499999999993</v>
      </c>
      <c r="E220" s="506">
        <f>+'Cambio uso de suelo (BAU)'!G81</f>
        <v>0.49768499999999993</v>
      </c>
      <c r="F220" s="506">
        <f>+'Cambio uso de suelo (BAU)'!H81</f>
        <v>0.49768499999999993</v>
      </c>
      <c r="G220" s="506">
        <f>+'Cambio uso de suelo (BAU)'!I81</f>
        <v>0.48675749999999995</v>
      </c>
      <c r="H220" s="506">
        <f>+'Cambio uso de suelo (BAU)'!J81</f>
        <v>0.47582999999999998</v>
      </c>
      <c r="I220" s="506">
        <f>+'Cambio uso de suelo (BAU)'!K81</f>
        <v>0.29945250000000001</v>
      </c>
      <c r="J220" s="506">
        <f>+'Cambio uso de suelo (BAU)'!L81</f>
        <v>0.123075</v>
      </c>
      <c r="K220" s="506">
        <f>+'Cambio uso de suelo (BAU)'!M81</f>
        <v>8.7349999999999997E-2</v>
      </c>
      <c r="L220" s="506">
        <f>+'Cambio uso de suelo (BAU)'!N81</f>
        <v>8.7349999999999997E-2</v>
      </c>
      <c r="M220" s="506">
        <f>+'Cambio uso de suelo (BAU)'!O81</f>
        <v>1.332E-2</v>
      </c>
      <c r="N220" s="506">
        <f>+'Cambio uso de suelo (BAU)'!P81</f>
        <v>1.332E-2</v>
      </c>
    </row>
    <row r="221" spans="1:14" ht="15.75" x14ac:dyDescent="0.25">
      <c r="A221" s="120" t="s">
        <v>21</v>
      </c>
      <c r="B221" s="506">
        <f>+'Cambio uso de suelo (BAU)'!D82</f>
        <v>5.2049999999999992E-2</v>
      </c>
      <c r="C221" s="506">
        <f>+'Cambio uso de suelo (BAU)'!E82</f>
        <v>5.2049999999999992E-2</v>
      </c>
      <c r="D221" s="506">
        <f>+'Cambio uso de suelo (BAU)'!F82</f>
        <v>5.2049999999999992E-2</v>
      </c>
      <c r="E221" s="506">
        <f>+'Cambio uso de suelo (BAU)'!G82</f>
        <v>5.2049999999999992E-2</v>
      </c>
      <c r="F221" s="506">
        <f>+'Cambio uso de suelo (BAU)'!H82</f>
        <v>5.2049999999999992E-2</v>
      </c>
      <c r="G221" s="506">
        <f>+'Cambio uso de suelo (BAU)'!I82</f>
        <v>0.24483749999999999</v>
      </c>
      <c r="H221" s="506">
        <f>+'Cambio uso de suelo (BAU)'!J82</f>
        <v>0.43762499999999999</v>
      </c>
      <c r="I221" s="506">
        <f>+'Cambio uso de suelo (BAU)'!K82</f>
        <v>0.33203250000000001</v>
      </c>
      <c r="J221" s="506">
        <f>+'Cambio uso de suelo (BAU)'!L82</f>
        <v>0.22644</v>
      </c>
      <c r="K221" s="506">
        <f>+'Cambio uso de suelo (BAU)'!M82</f>
        <v>0.22040999999999999</v>
      </c>
      <c r="L221" s="506">
        <f>+'Cambio uso de suelo (BAU)'!N82</f>
        <v>0.22040999999999999</v>
      </c>
      <c r="M221" s="506">
        <f>+'Cambio uso de suelo (BAU)'!O82</f>
        <v>3.8299999999999994E-2</v>
      </c>
      <c r="N221" s="506">
        <f>+'Cambio uso de suelo (BAU)'!P82</f>
        <v>3.8299999999999994E-2</v>
      </c>
    </row>
    <row r="222" spans="1:14" ht="31.5" x14ac:dyDescent="0.25">
      <c r="A222" s="120" t="s">
        <v>22</v>
      </c>
      <c r="B222" s="506">
        <f>+'Cambio uso de suelo (BAU)'!D83</f>
        <v>2.2185000000000003E-2</v>
      </c>
      <c r="C222" s="506">
        <f>+'Cambio uso de suelo (BAU)'!E83</f>
        <v>2.2185000000000003E-2</v>
      </c>
      <c r="D222" s="506">
        <f>+'Cambio uso de suelo (BAU)'!F83</f>
        <v>2.2185000000000003E-2</v>
      </c>
      <c r="E222" s="506">
        <f>+'Cambio uso de suelo (BAU)'!G83</f>
        <v>2.2185000000000003E-2</v>
      </c>
      <c r="F222" s="506">
        <f>+'Cambio uso de suelo (BAU)'!H83</f>
        <v>2.2185000000000003E-2</v>
      </c>
      <c r="G222" s="506">
        <f>+'Cambio uso de suelo (BAU)'!I83</f>
        <v>6.3247499999999998E-2</v>
      </c>
      <c r="H222" s="506">
        <f>+'Cambio uso de suelo (BAU)'!J83</f>
        <v>0.10431</v>
      </c>
      <c r="I222" s="506">
        <f>+'Cambio uso de suelo (BAU)'!K83</f>
        <v>0.125865</v>
      </c>
      <c r="J222" s="506">
        <f>+'Cambio uso de suelo (BAU)'!L83</f>
        <v>0.14742</v>
      </c>
      <c r="K222" s="506">
        <f>+'Cambio uso de suelo (BAU)'!M83</f>
        <v>4.9950000000000001E-2</v>
      </c>
      <c r="L222" s="506">
        <f>+'Cambio uso de suelo (BAU)'!N83</f>
        <v>4.9950000000000001E-2</v>
      </c>
      <c r="M222" s="506">
        <f>+'Cambio uso de suelo (BAU)'!O83</f>
        <v>6.2060000000000004E-2</v>
      </c>
      <c r="N222" s="506">
        <f>+'Cambio uso de suelo (BAU)'!P83</f>
        <v>6.2060000000000004E-2</v>
      </c>
    </row>
    <row r="223" spans="1:14" ht="31.5" x14ac:dyDescent="0.25">
      <c r="A223" s="120" t="s">
        <v>23</v>
      </c>
      <c r="B223" s="506">
        <f>+'Cambio uso de suelo (BAU)'!D84</f>
        <v>7.6410000000000006E-2</v>
      </c>
      <c r="C223" s="506">
        <f>+'Cambio uso de suelo (BAU)'!E84</f>
        <v>7.6410000000000006E-2</v>
      </c>
      <c r="D223" s="506">
        <f>+'Cambio uso de suelo (BAU)'!F84</f>
        <v>7.6410000000000006E-2</v>
      </c>
      <c r="E223" s="506">
        <f>+'Cambio uso de suelo (BAU)'!G84</f>
        <v>7.6410000000000006E-2</v>
      </c>
      <c r="F223" s="506">
        <f>+'Cambio uso de suelo (BAU)'!H84</f>
        <v>7.6410000000000006E-2</v>
      </c>
      <c r="G223" s="506">
        <f>+'Cambio uso de suelo (BAU)'!I84</f>
        <v>0.14791500000000002</v>
      </c>
      <c r="H223" s="506">
        <f>+'Cambio uso de suelo (BAU)'!J84</f>
        <v>0.21942</v>
      </c>
      <c r="I223" s="506">
        <f>+'Cambio uso de suelo (BAU)'!K84</f>
        <v>0.17732249999999999</v>
      </c>
      <c r="J223" s="506">
        <f>+'Cambio uso de suelo (BAU)'!L84</f>
        <v>0.13522499999999998</v>
      </c>
      <c r="K223" s="506">
        <f>+'Cambio uso de suelo (BAU)'!M84</f>
        <v>0.10215</v>
      </c>
      <c r="L223" s="506">
        <f>+'Cambio uso de suelo (BAU)'!N84</f>
        <v>0.10215</v>
      </c>
      <c r="M223" s="506">
        <f>+'Cambio uso de suelo (BAU)'!O84</f>
        <v>7.3400000000000002E-3</v>
      </c>
      <c r="N223" s="506">
        <f>+'Cambio uso de suelo (BAU)'!P84</f>
        <v>7.3400000000000002E-3</v>
      </c>
    </row>
    <row r="224" spans="1:14" ht="31.5" x14ac:dyDescent="0.25">
      <c r="A224" s="120" t="s">
        <v>24</v>
      </c>
      <c r="B224" s="506">
        <f>+'Cambio uso de suelo (BAU)'!D85</f>
        <v>6.4304999999999987E-2</v>
      </c>
      <c r="C224" s="506">
        <f>+'Cambio uso de suelo (BAU)'!E85</f>
        <v>6.4304999999999987E-2</v>
      </c>
      <c r="D224" s="506">
        <f>+'Cambio uso de suelo (BAU)'!F85</f>
        <v>6.4304999999999987E-2</v>
      </c>
      <c r="E224" s="506">
        <f>+'Cambio uso de suelo (BAU)'!G85</f>
        <v>6.4304999999999987E-2</v>
      </c>
      <c r="F224" s="506">
        <f>+'Cambio uso de suelo (BAU)'!H85</f>
        <v>6.4304999999999987E-2</v>
      </c>
      <c r="G224" s="506">
        <f>+'Cambio uso de suelo (BAU)'!I85</f>
        <v>0.28527749999999996</v>
      </c>
      <c r="H224" s="506">
        <f>+'Cambio uso de suelo (BAU)'!J85</f>
        <v>0.50624999999999998</v>
      </c>
      <c r="I224" s="506">
        <f>+'Cambio uso de suelo (BAU)'!K85</f>
        <v>0.58918499999999996</v>
      </c>
      <c r="J224" s="506">
        <f>+'Cambio uso de suelo (BAU)'!L85</f>
        <v>0.67211999999999994</v>
      </c>
      <c r="K224" s="506">
        <f>+'Cambio uso de suelo (BAU)'!M85</f>
        <v>0.58298000000000005</v>
      </c>
      <c r="L224" s="506">
        <f>+'Cambio uso de suelo (BAU)'!N85</f>
        <v>0.58298000000000005</v>
      </c>
      <c r="M224" s="506">
        <f>+'Cambio uso de suelo (BAU)'!O85</f>
        <v>0.17036999999999999</v>
      </c>
      <c r="N224" s="506">
        <f>+'Cambio uso de suelo (BAU)'!P85</f>
        <v>0.17036999999999999</v>
      </c>
    </row>
    <row r="225" spans="1:15" ht="31.5" x14ac:dyDescent="0.25">
      <c r="A225" s="120" t="s">
        <v>25</v>
      </c>
      <c r="B225" s="506">
        <f>+'Cambio uso de suelo (BAU)'!D86</f>
        <v>1.7655000000000001E-2</v>
      </c>
      <c r="C225" s="506">
        <f>+'Cambio uso de suelo (BAU)'!E86</f>
        <v>1.7655000000000001E-2</v>
      </c>
      <c r="D225" s="506">
        <f>+'Cambio uso de suelo (BAU)'!F86</f>
        <v>1.7655000000000001E-2</v>
      </c>
      <c r="E225" s="506">
        <f>+'Cambio uso de suelo (BAU)'!G86</f>
        <v>1.7655000000000001E-2</v>
      </c>
      <c r="F225" s="506">
        <f>+'Cambio uso de suelo (BAU)'!H86</f>
        <v>1.7655000000000001E-2</v>
      </c>
      <c r="G225" s="506">
        <f>+'Cambio uso de suelo (BAU)'!I86</f>
        <v>3.2362500000000002E-2</v>
      </c>
      <c r="H225" s="506">
        <f>+'Cambio uso de suelo (BAU)'!J86</f>
        <v>4.7070000000000001E-2</v>
      </c>
      <c r="I225" s="506">
        <f>+'Cambio uso de suelo (BAU)'!K86</f>
        <v>6.2617499999999993E-2</v>
      </c>
      <c r="J225" s="506">
        <f>+'Cambio uso de suelo (BAU)'!L86</f>
        <v>7.8164999999999984E-2</v>
      </c>
      <c r="K225" s="506">
        <f>+'Cambio uso de suelo (BAU)'!M86</f>
        <v>7.3219999999999993E-2</v>
      </c>
      <c r="L225" s="506">
        <f>+'Cambio uso de suelo (BAU)'!N86</f>
        <v>7.3219999999999993E-2</v>
      </c>
      <c r="M225" s="506">
        <f>+'Cambio uso de suelo (BAU)'!O86</f>
        <v>3.3799999999999998E-3</v>
      </c>
      <c r="N225" s="506">
        <f>+'Cambio uso de suelo (BAU)'!P86</f>
        <v>3.3799999999999998E-3</v>
      </c>
    </row>
    <row r="226" spans="1:15" ht="15.75" x14ac:dyDescent="0.25">
      <c r="A226" s="120" t="s">
        <v>26</v>
      </c>
      <c r="B226" s="506">
        <f>+'Cambio uso de suelo (BAU)'!D87</f>
        <v>7.1250000000000008E-2</v>
      </c>
      <c r="C226" s="506">
        <f>+'Cambio uso de suelo (BAU)'!E87</f>
        <v>7.1250000000000008E-2</v>
      </c>
      <c r="D226" s="506">
        <f>+'Cambio uso de suelo (BAU)'!F87</f>
        <v>7.1250000000000008E-2</v>
      </c>
      <c r="E226" s="506">
        <f>+'Cambio uso de suelo (BAU)'!G87</f>
        <v>7.1250000000000008E-2</v>
      </c>
      <c r="F226" s="506">
        <f>+'Cambio uso de suelo (BAU)'!H87</f>
        <v>7.1250000000000008E-2</v>
      </c>
      <c r="G226" s="506">
        <f>+'Cambio uso de suelo (BAU)'!I87</f>
        <v>0.13334249999999997</v>
      </c>
      <c r="H226" s="506">
        <f>+'Cambio uso de suelo (BAU)'!J87</f>
        <v>0.19543499999999994</v>
      </c>
      <c r="I226" s="506">
        <f>+'Cambio uso de suelo (BAU)'!K87</f>
        <v>0.19165499999999999</v>
      </c>
      <c r="J226" s="506">
        <f>+'Cambio uso de suelo (BAU)'!L87</f>
        <v>0.18787500000000004</v>
      </c>
      <c r="K226" s="506">
        <f>+'Cambio uso de suelo (BAU)'!M87</f>
        <v>0.1913</v>
      </c>
      <c r="L226" s="506">
        <f>+'Cambio uso de suelo (BAU)'!N87</f>
        <v>0.1913</v>
      </c>
      <c r="M226" s="506">
        <f>+'Cambio uso de suelo (BAU)'!O87</f>
        <v>1.9940000000000003E-2</v>
      </c>
      <c r="N226" s="506">
        <f>+'Cambio uso de suelo (BAU)'!P87</f>
        <v>1.9940000000000003E-2</v>
      </c>
    </row>
    <row r="227" spans="1:15" ht="15.75" x14ac:dyDescent="0.25">
      <c r="A227" s="120" t="s">
        <v>27</v>
      </c>
      <c r="B227" s="506">
        <f>+'Cambio uso de suelo (BAU)'!D88</f>
        <v>1.6050000000000003E-3</v>
      </c>
      <c r="C227" s="506">
        <f>+'Cambio uso de suelo (BAU)'!E88</f>
        <v>1.6050000000000003E-3</v>
      </c>
      <c r="D227" s="506">
        <f>+'Cambio uso de suelo (BAU)'!F88</f>
        <v>1.6050000000000003E-3</v>
      </c>
      <c r="E227" s="506">
        <f>+'Cambio uso de suelo (BAU)'!G88</f>
        <v>1.6050000000000003E-3</v>
      </c>
      <c r="F227" s="506">
        <f>+'Cambio uso de suelo (BAU)'!H88</f>
        <v>1.6050000000000003E-3</v>
      </c>
      <c r="G227" s="506">
        <f>+'Cambio uso de suelo (BAU)'!I88</f>
        <v>6.7424999999999994E-3</v>
      </c>
      <c r="H227" s="506">
        <f>+'Cambio uso de suelo (BAU)'!J88</f>
        <v>1.1879999999999998E-2</v>
      </c>
      <c r="I227" s="506">
        <f>+'Cambio uso de suelo (BAU)'!K88</f>
        <v>9.3149999999999986E-3</v>
      </c>
      <c r="J227" s="506">
        <f>+'Cambio uso de suelo (BAU)'!L88</f>
        <v>6.7499999999999999E-3</v>
      </c>
      <c r="K227" s="506">
        <f>+'Cambio uso de suelo (BAU)'!M88</f>
        <v>8.5500000000000003E-3</v>
      </c>
      <c r="L227" s="506">
        <f>+'Cambio uso de suelo (BAU)'!N88</f>
        <v>8.5500000000000003E-3</v>
      </c>
      <c r="M227" s="506">
        <f>+'Cambio uso de suelo (BAU)'!O88</f>
        <v>9.6300000000000014E-3</v>
      </c>
      <c r="N227" s="506">
        <f>+'Cambio uso de suelo (BAU)'!P88</f>
        <v>9.6300000000000014E-3</v>
      </c>
    </row>
    <row r="228" spans="1:15" ht="15.75" x14ac:dyDescent="0.25">
      <c r="A228" s="123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</row>
    <row r="229" spans="1:15" ht="16.5" thickBot="1" x14ac:dyDescent="0.3">
      <c r="A229" s="119" t="s">
        <v>119</v>
      </c>
      <c r="B229" s="1">
        <v>2010</v>
      </c>
      <c r="C229" s="1">
        <v>2011</v>
      </c>
      <c r="D229" s="1">
        <v>2012</v>
      </c>
      <c r="E229" s="1">
        <v>2013</v>
      </c>
      <c r="F229" s="1">
        <v>2014</v>
      </c>
      <c r="G229" s="1">
        <v>2015</v>
      </c>
      <c r="H229" s="1">
        <v>2016</v>
      </c>
      <c r="I229" s="1">
        <v>2017</v>
      </c>
      <c r="J229" s="1">
        <v>2018</v>
      </c>
      <c r="K229" s="1">
        <v>2019</v>
      </c>
      <c r="L229" s="1">
        <v>2020</v>
      </c>
      <c r="M229" s="1">
        <v>2021</v>
      </c>
      <c r="N229" s="1">
        <v>2022</v>
      </c>
    </row>
    <row r="230" spans="1:15" x14ac:dyDescent="0.25">
      <c r="A230" s="29" t="s">
        <v>210</v>
      </c>
      <c r="B230" s="126">
        <v>0</v>
      </c>
      <c r="C230" s="126">
        <v>0</v>
      </c>
      <c r="D230" s="126">
        <v>0</v>
      </c>
      <c r="E230" s="126">
        <v>0</v>
      </c>
      <c r="F230" s="126">
        <v>0</v>
      </c>
      <c r="G230" s="126">
        <v>0</v>
      </c>
      <c r="H230" s="126">
        <v>0</v>
      </c>
      <c r="I230" s="126">
        <v>0</v>
      </c>
      <c r="J230" s="126">
        <v>0</v>
      </c>
      <c r="K230" s="126">
        <f t="shared" ref="K230:L238" si="60">+K207/K219</f>
        <v>206.83176489613155</v>
      </c>
      <c r="L230" s="126">
        <f t="shared" si="60"/>
        <v>206.83176489613155</v>
      </c>
      <c r="M230" s="126">
        <v>0</v>
      </c>
      <c r="N230" s="126">
        <v>0</v>
      </c>
      <c r="O230" s="127">
        <f>+AVERAGE(B230:N230)</f>
        <v>31.820271522481775</v>
      </c>
    </row>
    <row r="231" spans="1:15" x14ac:dyDescent="0.25">
      <c r="A231" s="27" t="s">
        <v>211</v>
      </c>
      <c r="B231" s="126">
        <f>+B208/B220</f>
        <v>11.394704272288434</v>
      </c>
      <c r="C231" s="126">
        <f t="shared" ref="C231:J231" si="61">+C208/C220</f>
        <v>11.394704272288434</v>
      </c>
      <c r="D231" s="126">
        <f t="shared" si="61"/>
        <v>11.394704272288434</v>
      </c>
      <c r="E231" s="126">
        <f t="shared" si="61"/>
        <v>11.394704272288434</v>
      </c>
      <c r="F231" s="126">
        <f t="shared" si="61"/>
        <v>11.394704272288434</v>
      </c>
      <c r="G231" s="126">
        <f t="shared" si="61"/>
        <v>27.034158988962155</v>
      </c>
      <c r="H231" s="126">
        <f t="shared" si="61"/>
        <v>43.391938071129651</v>
      </c>
      <c r="I231" s="126">
        <f t="shared" si="61"/>
        <v>67.388470958415752</v>
      </c>
      <c r="J231" s="126">
        <f t="shared" si="61"/>
        <v>160.16336629668379</v>
      </c>
      <c r="K231" s="126">
        <f t="shared" si="60"/>
        <v>193.53534927428103</v>
      </c>
      <c r="L231" s="126">
        <f t="shared" si="60"/>
        <v>193.53534927428103</v>
      </c>
      <c r="M231" s="126">
        <f t="shared" ref="M231:N238" si="62">+M208/M220</f>
        <v>513.94130943315872</v>
      </c>
      <c r="N231" s="126">
        <f t="shared" si="62"/>
        <v>513.94130943315872</v>
      </c>
      <c r="O231" s="127">
        <f t="shared" ref="O231:O238" si="63">+AVERAGE(B231:N231)</f>
        <v>136.14652100703947</v>
      </c>
    </row>
    <row r="232" spans="1:15" x14ac:dyDescent="0.25">
      <c r="A232" s="27" t="s">
        <v>212</v>
      </c>
      <c r="B232" s="126">
        <v>0</v>
      </c>
      <c r="C232" s="126">
        <v>0</v>
      </c>
      <c r="D232" s="126">
        <v>0</v>
      </c>
      <c r="E232" s="126">
        <v>0</v>
      </c>
      <c r="F232" s="126">
        <v>0</v>
      </c>
      <c r="G232" s="126">
        <v>0</v>
      </c>
      <c r="H232" s="126">
        <v>0</v>
      </c>
      <c r="I232" s="126">
        <f>+I209/I221</f>
        <v>581.14717620111253</v>
      </c>
      <c r="J232" s="126">
        <f>+J209/J221</f>
        <v>832.40191023625334</v>
      </c>
      <c r="K232" s="126">
        <f t="shared" si="60"/>
        <v>733.40707824520962</v>
      </c>
      <c r="L232" s="126">
        <f t="shared" si="60"/>
        <v>733.40707824520962</v>
      </c>
      <c r="M232" s="126">
        <f t="shared" si="62"/>
        <v>1709.1184377634249</v>
      </c>
      <c r="N232" s="126">
        <f t="shared" si="62"/>
        <v>1709.1184377634249</v>
      </c>
      <c r="O232" s="127">
        <f t="shared" si="63"/>
        <v>484.50770141958731</v>
      </c>
    </row>
    <row r="233" spans="1:15" x14ac:dyDescent="0.25">
      <c r="A233" s="27" t="s">
        <v>213</v>
      </c>
      <c r="B233" s="126">
        <v>0</v>
      </c>
      <c r="C233" s="126">
        <v>0</v>
      </c>
      <c r="D233" s="126">
        <v>0</v>
      </c>
      <c r="E233" s="126">
        <v>0</v>
      </c>
      <c r="F233" s="126">
        <v>0</v>
      </c>
      <c r="G233" s="126">
        <v>0</v>
      </c>
      <c r="H233" s="126">
        <v>0</v>
      </c>
      <c r="I233" s="126">
        <f>+I210/I222</f>
        <v>623.18272699824365</v>
      </c>
      <c r="J233" s="126">
        <f>+J210/J222</f>
        <v>519.73679944831724</v>
      </c>
      <c r="K233" s="126">
        <f t="shared" si="60"/>
        <v>1315.5112282903988</v>
      </c>
      <c r="L233" s="126">
        <f t="shared" si="60"/>
        <v>1315.5112282903988</v>
      </c>
      <c r="M233" s="126">
        <f t="shared" si="62"/>
        <v>428.75857831388373</v>
      </c>
      <c r="N233" s="126">
        <f t="shared" si="62"/>
        <v>428.75857831388373</v>
      </c>
      <c r="O233" s="127">
        <f t="shared" si="63"/>
        <v>356.26608766577891</v>
      </c>
    </row>
    <row r="234" spans="1:15" x14ac:dyDescent="0.25">
      <c r="A234" s="27" t="s">
        <v>214</v>
      </c>
      <c r="B234" s="126">
        <v>0</v>
      </c>
      <c r="C234" s="126">
        <v>0</v>
      </c>
      <c r="D234" s="126">
        <v>0</v>
      </c>
      <c r="E234" s="126">
        <v>0</v>
      </c>
      <c r="F234" s="126">
        <v>0</v>
      </c>
      <c r="G234" s="126">
        <v>0</v>
      </c>
      <c r="H234" s="126">
        <v>0</v>
      </c>
      <c r="I234" s="126">
        <v>0</v>
      </c>
      <c r="J234" s="126">
        <v>0</v>
      </c>
      <c r="K234" s="126">
        <f t="shared" si="60"/>
        <v>443.0017426921375</v>
      </c>
      <c r="L234" s="126">
        <f t="shared" si="60"/>
        <v>443.0017426921375</v>
      </c>
      <c r="M234" s="126">
        <f t="shared" si="62"/>
        <v>2496.5616061133901</v>
      </c>
      <c r="N234" s="126">
        <f t="shared" si="62"/>
        <v>2496.5616061133901</v>
      </c>
      <c r="O234" s="127">
        <f t="shared" si="63"/>
        <v>452.24051520085038</v>
      </c>
    </row>
    <row r="235" spans="1:15" x14ac:dyDescent="0.25">
      <c r="A235" s="27" t="s">
        <v>215</v>
      </c>
      <c r="B235" s="126">
        <v>0</v>
      </c>
      <c r="C235" s="126">
        <v>0</v>
      </c>
      <c r="D235" s="126">
        <v>0</v>
      </c>
      <c r="E235" s="126">
        <v>0</v>
      </c>
      <c r="F235" s="126">
        <v>0</v>
      </c>
      <c r="G235" s="126">
        <v>0</v>
      </c>
      <c r="H235" s="126">
        <v>0</v>
      </c>
      <c r="I235" s="126">
        <v>0</v>
      </c>
      <c r="J235" s="126">
        <v>0</v>
      </c>
      <c r="K235" s="126">
        <f t="shared" si="60"/>
        <v>568.00572351580945</v>
      </c>
      <c r="L235" s="126">
        <f t="shared" si="60"/>
        <v>568.00572351580945</v>
      </c>
      <c r="M235" s="126">
        <f t="shared" si="62"/>
        <v>787.0598999562111</v>
      </c>
      <c r="N235" s="126">
        <f t="shared" si="62"/>
        <v>787.0598999562111</v>
      </c>
      <c r="O235" s="127">
        <f t="shared" si="63"/>
        <v>208.47163438031086</v>
      </c>
    </row>
    <row r="236" spans="1:15" x14ac:dyDescent="0.25">
      <c r="A236" s="27" t="s">
        <v>216</v>
      </c>
      <c r="B236" s="126">
        <f t="shared" ref="B236:J236" si="64">+B213/B225</f>
        <v>697.07924672891522</v>
      </c>
      <c r="C236" s="126">
        <f t="shared" si="64"/>
        <v>697.07924672891522</v>
      </c>
      <c r="D236" s="126">
        <f t="shared" si="64"/>
        <v>697.07924672891522</v>
      </c>
      <c r="E236" s="126">
        <f t="shared" si="64"/>
        <v>697.07924672891522</v>
      </c>
      <c r="F236" s="126">
        <f t="shared" si="64"/>
        <v>697.07924672891522</v>
      </c>
      <c r="G236" s="126">
        <f t="shared" si="64"/>
        <v>882.4207608177793</v>
      </c>
      <c r="H236" s="126">
        <f t="shared" si="64"/>
        <v>951.93859449610738</v>
      </c>
      <c r="I236" s="126">
        <f t="shared" si="64"/>
        <v>699.37497173920281</v>
      </c>
      <c r="J236" s="126">
        <f t="shared" si="64"/>
        <v>547.28426972209172</v>
      </c>
      <c r="K236" s="126">
        <f t="shared" si="60"/>
        <v>501.05540415218945</v>
      </c>
      <c r="L236" s="126">
        <f t="shared" si="60"/>
        <v>501.05540415218945</v>
      </c>
      <c r="M236" s="126">
        <f t="shared" si="62"/>
        <v>4395.3485122262755</v>
      </c>
      <c r="N236" s="126">
        <f t="shared" si="62"/>
        <v>4395.3485122262755</v>
      </c>
      <c r="O236" s="127">
        <f t="shared" si="63"/>
        <v>1258.4017433212834</v>
      </c>
    </row>
    <row r="237" spans="1:15" x14ac:dyDescent="0.25">
      <c r="A237" s="27" t="s">
        <v>217</v>
      </c>
      <c r="B237" s="126">
        <f t="shared" ref="B237:J237" si="65">+B214/B226</f>
        <v>42.897589928458622</v>
      </c>
      <c r="C237" s="126">
        <f t="shared" si="65"/>
        <v>42.897589928458622</v>
      </c>
      <c r="D237" s="126">
        <f t="shared" si="65"/>
        <v>42.897589928458622</v>
      </c>
      <c r="E237" s="126">
        <f t="shared" si="65"/>
        <v>42.897589928458622</v>
      </c>
      <c r="F237" s="126">
        <f t="shared" si="65"/>
        <v>42.897589928458622</v>
      </c>
      <c r="G237" s="126">
        <f t="shared" si="65"/>
        <v>53.188418136918834</v>
      </c>
      <c r="H237" s="126">
        <f t="shared" si="65"/>
        <v>56.940159175385801</v>
      </c>
      <c r="I237" s="126">
        <f t="shared" si="65"/>
        <v>56.748389881005025</v>
      </c>
      <c r="J237" s="126">
        <f t="shared" si="65"/>
        <v>56.548903882083877</v>
      </c>
      <c r="K237" s="126">
        <f t="shared" si="60"/>
        <v>47.62866317095888</v>
      </c>
      <c r="L237" s="126">
        <f t="shared" si="60"/>
        <v>47.62866317095888</v>
      </c>
      <c r="M237" s="126">
        <f t="shared" si="62"/>
        <v>185.0345165256177</v>
      </c>
      <c r="N237" s="126">
        <f t="shared" si="62"/>
        <v>185.0345165256177</v>
      </c>
      <c r="O237" s="127">
        <f t="shared" si="63"/>
        <v>69.480013854679996</v>
      </c>
    </row>
    <row r="238" spans="1:15" x14ac:dyDescent="0.25">
      <c r="A238" s="129" t="s">
        <v>218</v>
      </c>
      <c r="B238" s="126">
        <v>0</v>
      </c>
      <c r="C238" s="126">
        <v>0</v>
      </c>
      <c r="D238" s="126">
        <v>0</v>
      </c>
      <c r="E238" s="126">
        <v>0</v>
      </c>
      <c r="F238" s="126">
        <v>0</v>
      </c>
      <c r="G238" s="126">
        <v>0</v>
      </c>
      <c r="H238" s="126">
        <v>0</v>
      </c>
      <c r="I238" s="126">
        <v>0</v>
      </c>
      <c r="J238" s="126">
        <v>0</v>
      </c>
      <c r="K238" s="126">
        <f t="shared" si="60"/>
        <v>4456.3931638638251</v>
      </c>
      <c r="L238" s="126">
        <f t="shared" si="60"/>
        <v>4456.3931638638251</v>
      </c>
      <c r="M238" s="126">
        <f t="shared" si="62"/>
        <v>1602.2042100261554</v>
      </c>
      <c r="N238" s="126">
        <f t="shared" si="62"/>
        <v>1602.2042100261554</v>
      </c>
      <c r="O238" s="127">
        <f t="shared" si="63"/>
        <v>932.09190367538156</v>
      </c>
    </row>
    <row r="240" spans="1:15" x14ac:dyDescent="0.25">
      <c r="A240" s="73" t="s">
        <v>209</v>
      </c>
    </row>
    <row r="241" spans="1:15" ht="15.75" x14ac:dyDescent="0.25">
      <c r="A241" s="119" t="s">
        <v>129</v>
      </c>
      <c r="B241" s="1">
        <v>2010</v>
      </c>
      <c r="C241" s="1">
        <v>2011</v>
      </c>
      <c r="D241" s="1">
        <v>2012</v>
      </c>
      <c r="E241" s="1">
        <v>2013</v>
      </c>
      <c r="F241" s="1">
        <v>2014</v>
      </c>
      <c r="G241" s="1">
        <v>2015</v>
      </c>
      <c r="H241" s="1">
        <v>2016</v>
      </c>
      <c r="I241" s="1">
        <v>2017</v>
      </c>
      <c r="J241" s="1">
        <v>2018</v>
      </c>
      <c r="K241" s="1">
        <v>2019</v>
      </c>
      <c r="L241" s="1">
        <v>2020</v>
      </c>
      <c r="M241" s="1">
        <v>2021</v>
      </c>
      <c r="N241" s="1">
        <v>2022</v>
      </c>
    </row>
    <row r="242" spans="1:15" s="132" customFormat="1" ht="15.75" x14ac:dyDescent="0.25">
      <c r="A242" s="130" t="s">
        <v>423</v>
      </c>
      <c r="B242" s="131">
        <f>+(INGEI!C34)/1000</f>
        <v>122.38824674999999</v>
      </c>
      <c r="C242" s="131">
        <f>+(INGEI!D34+INGEI!D35)/1000</f>
        <v>130.38347941666666</v>
      </c>
      <c r="D242" s="131">
        <f>+(INGEI!E34+INGEI!E35)/1000</f>
        <v>130.38347941666666</v>
      </c>
      <c r="E242" s="131">
        <f>+(INGEI!F34+INGEI!F35)/1000</f>
        <v>130.38347941666666</v>
      </c>
      <c r="F242" s="131">
        <f>+(INGEI!G34+INGEI!G35)/1000</f>
        <v>130.38347941666666</v>
      </c>
      <c r="G242" s="131">
        <f>+(INGEI!H34+INGEI!H35)/1000</f>
        <v>112.18444178333333</v>
      </c>
      <c r="H242" s="131">
        <f>+(INGEI!I34+INGEI!I35)/1000</f>
        <v>93.985404149999994</v>
      </c>
      <c r="I242" s="131">
        <f>+(INGEI!J34+INGEI!J35)/1000</f>
        <v>146.54442980833332</v>
      </c>
      <c r="J242" s="131">
        <f>+(INGEI!K34+INGEI!K35)/1000</f>
        <v>199.10345546666665</v>
      </c>
      <c r="K242" s="131">
        <f>+(INGEI!L34+INGEI!L35)/1000</f>
        <v>10.3075841</v>
      </c>
      <c r="L242" s="131">
        <f>+(INGEI!M34+INGEI!M35)/1000</f>
        <v>10.3075841</v>
      </c>
      <c r="M242" s="131">
        <f>+(INGEI!N34+INGEI!N35)/1000</f>
        <v>88.007445166666656</v>
      </c>
      <c r="N242" s="131">
        <f>+(INGEI!O34+INGEI!O35)/1000</f>
        <v>88.007445166666656</v>
      </c>
    </row>
    <row r="243" spans="1:15" ht="15.75" x14ac:dyDescent="0.25">
      <c r="A243" s="121" t="s">
        <v>14</v>
      </c>
      <c r="B243" s="122">
        <f t="shared" ref="B243:N243" si="66">+SUM(B242:B242)</f>
        <v>122.38824674999999</v>
      </c>
      <c r="C243" s="122">
        <f t="shared" si="66"/>
        <v>130.38347941666666</v>
      </c>
      <c r="D243" s="122">
        <f t="shared" si="66"/>
        <v>130.38347941666666</v>
      </c>
      <c r="E243" s="122">
        <f t="shared" si="66"/>
        <v>130.38347941666666</v>
      </c>
      <c r="F243" s="122">
        <f t="shared" si="66"/>
        <v>130.38347941666666</v>
      </c>
      <c r="G243" s="122">
        <f t="shared" si="66"/>
        <v>112.18444178333333</v>
      </c>
      <c r="H243" s="122">
        <f t="shared" si="66"/>
        <v>93.985404149999994</v>
      </c>
      <c r="I243" s="122">
        <f t="shared" si="66"/>
        <v>146.54442980833332</v>
      </c>
      <c r="J243" s="122">
        <f t="shared" si="66"/>
        <v>199.10345546666665</v>
      </c>
      <c r="K243" s="122">
        <f t="shared" si="66"/>
        <v>10.3075841</v>
      </c>
      <c r="L243" s="122">
        <f t="shared" si="66"/>
        <v>10.3075841</v>
      </c>
      <c r="M243" s="122">
        <f t="shared" si="66"/>
        <v>88.007445166666656</v>
      </c>
      <c r="N243" s="122">
        <f t="shared" si="66"/>
        <v>88.007445166666656</v>
      </c>
    </row>
    <row r="244" spans="1:15" ht="15.75" x14ac:dyDescent="0.25">
      <c r="A244" s="121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</row>
    <row r="245" spans="1:15" ht="15.75" x14ac:dyDescent="0.25">
      <c r="A245" s="119" t="s">
        <v>118</v>
      </c>
      <c r="B245" s="1">
        <v>2010</v>
      </c>
      <c r="C245" s="1">
        <v>2011</v>
      </c>
      <c r="D245" s="1">
        <v>2012</v>
      </c>
      <c r="E245" s="1">
        <v>2013</v>
      </c>
      <c r="F245" s="1">
        <v>2014</v>
      </c>
      <c r="G245" s="1">
        <v>2015</v>
      </c>
      <c r="H245" s="1">
        <v>2016</v>
      </c>
      <c r="I245" s="1">
        <v>2017</v>
      </c>
      <c r="J245" s="1">
        <v>2018</v>
      </c>
      <c r="K245" s="1">
        <v>2019</v>
      </c>
      <c r="L245" s="1">
        <v>2020</v>
      </c>
      <c r="M245" s="1">
        <v>2021</v>
      </c>
      <c r="N245" s="1">
        <v>2022</v>
      </c>
    </row>
    <row r="246" spans="1:15" ht="15.75" x14ac:dyDescent="0.25">
      <c r="A246" s="130" t="s">
        <v>195</v>
      </c>
      <c r="B246" s="75">
        <f>+'Cambio uso de suelo (BAU)'!D90</f>
        <v>3.3818250000000001</v>
      </c>
      <c r="C246" s="75">
        <f>+'Cambio uso de suelo (BAU)'!E90</f>
        <v>3.3818250000000001</v>
      </c>
      <c r="D246" s="75">
        <f>+'Cambio uso de suelo (BAU)'!F90</f>
        <v>3.3818250000000001</v>
      </c>
      <c r="E246" s="75">
        <f>+'Cambio uso de suelo (BAU)'!G90</f>
        <v>3.3818250000000001</v>
      </c>
      <c r="F246" s="75">
        <f>+'Cambio uso de suelo (BAU)'!H90</f>
        <v>3.3818250000000001</v>
      </c>
      <c r="G246" s="75">
        <f>+'Cambio uso de suelo (BAU)'!I90</f>
        <v>2.7586950000000003</v>
      </c>
      <c r="H246" s="75">
        <f>+'Cambio uso de suelo (BAU)'!J90</f>
        <v>2.1355650000000002</v>
      </c>
      <c r="I246" s="75">
        <f>+'Cambio uso de suelo (BAU)'!K90</f>
        <v>3.7257825000000002</v>
      </c>
      <c r="J246" s="75">
        <f>+'Cambio uso de suelo (BAU)'!L90</f>
        <v>5.3159999999999998</v>
      </c>
      <c r="K246" s="75">
        <f>+'Cambio uso de suelo (BAU)'!M90</f>
        <v>0.19642999999999999</v>
      </c>
      <c r="L246" s="75">
        <f>+'Cambio uso de suelo (BAU)'!N90</f>
        <v>0.19642999999999999</v>
      </c>
      <c r="M246" s="75">
        <f>+'Cambio uso de suelo (BAU)'!O90</f>
        <v>2.3431100000000002</v>
      </c>
      <c r="N246" s="75">
        <f>+'Cambio uso de suelo (BAU)'!P90</f>
        <v>2.3431100000000002</v>
      </c>
    </row>
    <row r="247" spans="1:15" ht="15.75" x14ac:dyDescent="0.25">
      <c r="A247" s="123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</row>
    <row r="248" spans="1:15" ht="15.75" x14ac:dyDescent="0.25">
      <c r="A248" s="119" t="s">
        <v>119</v>
      </c>
      <c r="B248" s="1">
        <v>2010</v>
      </c>
      <c r="C248" s="1">
        <v>2011</v>
      </c>
      <c r="D248" s="1">
        <v>2012</v>
      </c>
      <c r="E248" s="1">
        <v>2013</v>
      </c>
      <c r="F248" s="1">
        <v>2014</v>
      </c>
      <c r="G248" s="1">
        <v>2015</v>
      </c>
      <c r="H248" s="1">
        <v>2016</v>
      </c>
      <c r="I248" s="1">
        <v>2017</v>
      </c>
      <c r="J248" s="1">
        <v>2018</v>
      </c>
      <c r="K248" s="1">
        <v>2019</v>
      </c>
      <c r="L248" s="1">
        <v>2020</v>
      </c>
      <c r="M248" s="1">
        <v>2021</v>
      </c>
      <c r="N248" s="1">
        <v>2022</v>
      </c>
    </row>
    <row r="249" spans="1:15" x14ac:dyDescent="0.25">
      <c r="A249" s="27" t="s">
        <v>219</v>
      </c>
      <c r="B249" s="126">
        <f t="shared" ref="B249:N249" si="67">+B242/B246</f>
        <v>36.19</v>
      </c>
      <c r="C249" s="126">
        <f t="shared" si="67"/>
        <v>38.554176936023197</v>
      </c>
      <c r="D249" s="126">
        <f t="shared" si="67"/>
        <v>38.554176936023197</v>
      </c>
      <c r="E249" s="126">
        <f t="shared" si="67"/>
        <v>38.554176936023197</v>
      </c>
      <c r="F249" s="126">
        <f t="shared" si="67"/>
        <v>38.554176936023197</v>
      </c>
      <c r="G249" s="126">
        <f t="shared" si="67"/>
        <v>40.665764712421385</v>
      </c>
      <c r="H249" s="126">
        <f t="shared" si="67"/>
        <v>44.009620006883416</v>
      </c>
      <c r="I249" s="126">
        <f t="shared" si="67"/>
        <v>39.332524055908607</v>
      </c>
      <c r="J249" s="126">
        <f t="shared" si="67"/>
        <v>37.453622172059191</v>
      </c>
      <c r="K249" s="126">
        <f t="shared" si="67"/>
        <v>52.474591966603882</v>
      </c>
      <c r="L249" s="126">
        <f t="shared" si="67"/>
        <v>52.474591966603882</v>
      </c>
      <c r="M249" s="126">
        <f t="shared" si="67"/>
        <v>37.560099682331021</v>
      </c>
      <c r="N249" s="126">
        <f t="shared" si="67"/>
        <v>37.560099682331021</v>
      </c>
      <c r="O249" s="127">
        <f>+AVERAGE(B249:N249)</f>
        <v>40.918278614556556</v>
      </c>
    </row>
    <row r="251" spans="1:15" x14ac:dyDescent="0.25">
      <c r="A251" t="s">
        <v>541</v>
      </c>
    </row>
    <row r="252" spans="1:15" ht="15.75" x14ac:dyDescent="0.25">
      <c r="A252" s="119" t="s">
        <v>129</v>
      </c>
      <c r="B252" s="1">
        <v>2010</v>
      </c>
      <c r="C252" s="1">
        <v>2011</v>
      </c>
      <c r="D252" s="1">
        <v>2012</v>
      </c>
      <c r="E252" s="1">
        <v>2013</v>
      </c>
      <c r="F252" s="1">
        <v>2014</v>
      </c>
      <c r="G252" s="1">
        <v>2015</v>
      </c>
      <c r="H252" s="1">
        <v>2016</v>
      </c>
      <c r="I252" s="1">
        <v>2017</v>
      </c>
      <c r="J252" s="1">
        <v>2018</v>
      </c>
      <c r="K252" s="1">
        <v>2019</v>
      </c>
      <c r="L252" s="1">
        <v>2020</v>
      </c>
      <c r="M252" s="1">
        <v>2021</v>
      </c>
      <c r="N252" s="1">
        <v>2022</v>
      </c>
    </row>
    <row r="253" spans="1:15" s="132" customFormat="1" ht="15.75" x14ac:dyDescent="0.25">
      <c r="A253" s="130" t="s">
        <v>423</v>
      </c>
      <c r="B253" s="131">
        <f>+INGEI_diffs!C34/1000</f>
        <v>4.2367115999999996</v>
      </c>
      <c r="C253" s="131">
        <f>+INGEI_diffs!D34/1000</f>
        <v>4.2367115999999996</v>
      </c>
      <c r="D253" s="131">
        <f>+INGEI_diffs!E34/1000</f>
        <v>4.2367115999999996</v>
      </c>
      <c r="E253" s="131">
        <f>+INGEI_diffs!F34/1000</f>
        <v>4.2367115999999996</v>
      </c>
      <c r="F253" s="131">
        <f>+INGEI_diffs!G34/1000</f>
        <v>4.2367115999999996</v>
      </c>
      <c r="G253" s="131">
        <f>+INGEI_diffs!H34/1000</f>
        <v>3.3217939333333333</v>
      </c>
      <c r="H253" s="131">
        <f>+INGEI_diffs!I34/1000</f>
        <v>2.4068762666666665</v>
      </c>
      <c r="I253" s="131">
        <f>+INGEI_diffs!J34/1000</f>
        <v>2.1701936666666666</v>
      </c>
      <c r="J253" s="131">
        <f>+INGEI_diffs!K34/1000</f>
        <v>1.9335110666666664</v>
      </c>
      <c r="K253" s="131">
        <f>+INGEI_diffs!L34/1000</f>
        <v>1.5922910666666665</v>
      </c>
      <c r="L253" s="131">
        <f>+INGEI_diffs!M34/1000</f>
        <v>1.5922910666666665</v>
      </c>
      <c r="M253" s="131">
        <f>+INGEI_diffs!N34/1000</f>
        <v>13.344183599999999</v>
      </c>
      <c r="N253" s="131">
        <f>+INGEI_diffs!O34/1000</f>
        <v>13.344183599999999</v>
      </c>
    </row>
    <row r="254" spans="1:15" ht="15.75" x14ac:dyDescent="0.25">
      <c r="A254" s="121" t="s">
        <v>14</v>
      </c>
      <c r="B254" s="122">
        <f t="shared" ref="B254:N254" si="68">+SUM(B253:B253)</f>
        <v>4.2367115999999996</v>
      </c>
      <c r="C254" s="122">
        <f t="shared" si="68"/>
        <v>4.2367115999999996</v>
      </c>
      <c r="D254" s="122">
        <f t="shared" si="68"/>
        <v>4.2367115999999996</v>
      </c>
      <c r="E254" s="122">
        <f t="shared" si="68"/>
        <v>4.2367115999999996</v>
      </c>
      <c r="F254" s="122">
        <f t="shared" si="68"/>
        <v>4.2367115999999996</v>
      </c>
      <c r="G254" s="122">
        <f t="shared" si="68"/>
        <v>3.3217939333333333</v>
      </c>
      <c r="H254" s="122">
        <f t="shared" si="68"/>
        <v>2.4068762666666665</v>
      </c>
      <c r="I254" s="122">
        <f t="shared" si="68"/>
        <v>2.1701936666666666</v>
      </c>
      <c r="J254" s="122">
        <f t="shared" si="68"/>
        <v>1.9335110666666664</v>
      </c>
      <c r="K254" s="122">
        <f t="shared" si="68"/>
        <v>1.5922910666666665</v>
      </c>
      <c r="L254" s="122">
        <f t="shared" si="68"/>
        <v>1.5922910666666665</v>
      </c>
      <c r="M254" s="122">
        <f t="shared" si="68"/>
        <v>13.344183599999999</v>
      </c>
      <c r="N254" s="122">
        <f t="shared" si="68"/>
        <v>13.344183599999999</v>
      </c>
    </row>
    <row r="255" spans="1:15" ht="15.75" x14ac:dyDescent="0.25">
      <c r="A255" s="121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</row>
    <row r="256" spans="1:15" ht="15.75" x14ac:dyDescent="0.25">
      <c r="A256" s="119" t="s">
        <v>118</v>
      </c>
      <c r="B256" s="1">
        <v>2010</v>
      </c>
      <c r="C256" s="1">
        <v>2011</v>
      </c>
      <c r="D256" s="1">
        <v>2012</v>
      </c>
      <c r="E256" s="1">
        <v>2013</v>
      </c>
      <c r="F256" s="1">
        <v>2014</v>
      </c>
      <c r="G256" s="1">
        <v>2015</v>
      </c>
      <c r="H256" s="1">
        <v>2016</v>
      </c>
      <c r="I256" s="1">
        <v>2017</v>
      </c>
      <c r="J256" s="1">
        <v>2018</v>
      </c>
      <c r="K256" s="1">
        <v>2019</v>
      </c>
      <c r="L256" s="1">
        <v>2020</v>
      </c>
      <c r="M256" s="1">
        <v>2021</v>
      </c>
      <c r="N256" s="1">
        <v>2022</v>
      </c>
    </row>
    <row r="257" spans="1:15" ht="15.75" x14ac:dyDescent="0.25">
      <c r="A257" s="130" t="s">
        <v>195</v>
      </c>
      <c r="B257" s="75">
        <f>+'Cambio uso de suelo (BAU)'!D91</f>
        <v>1.1598499999999998</v>
      </c>
      <c r="C257" s="75">
        <f>+'Cambio uso de suelo (BAU)'!E91</f>
        <v>1.1598499999999998</v>
      </c>
      <c r="D257" s="75">
        <f>+'Cambio uso de suelo (BAU)'!F91</f>
        <v>1.1598499999999998</v>
      </c>
      <c r="E257" s="75">
        <f>+'Cambio uso de suelo (BAU)'!G91</f>
        <v>1.1598499999999998</v>
      </c>
      <c r="F257" s="75">
        <f>+'Cambio uso de suelo (BAU)'!H91</f>
        <v>1.1598499999999998</v>
      </c>
      <c r="G257" s="75">
        <f>+'Cambio uso de suelo (BAU)'!I91</f>
        <v>1.7911899999999998</v>
      </c>
      <c r="H257" s="75">
        <f>+'Cambio uso de suelo (BAU)'!J91</f>
        <v>2.4225300000000001</v>
      </c>
      <c r="I257" s="75">
        <f>+'Cambio uso de suelo (BAU)'!K91</f>
        <v>1.6985049999999999</v>
      </c>
      <c r="J257" s="75">
        <f>+'Cambio uso de suelo (BAU)'!L91</f>
        <v>0.97448000000000001</v>
      </c>
      <c r="K257" s="75">
        <f>+'Cambio uso de suelo (BAU)'!M91</f>
        <v>0.46404000000000001</v>
      </c>
      <c r="L257" s="75">
        <f>+'Cambio uso de suelo (BAU)'!N91</f>
        <v>0.46404000000000001</v>
      </c>
      <c r="M257" s="75">
        <f>+'Cambio uso de suelo (BAU)'!O91</f>
        <v>0.46570999999999996</v>
      </c>
      <c r="N257" s="75">
        <f>+'Cambio uso de suelo (BAU)'!P91</f>
        <v>0.46570999999999996</v>
      </c>
    </row>
    <row r="258" spans="1:15" ht="15.75" x14ac:dyDescent="0.25">
      <c r="A258" s="123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</row>
    <row r="259" spans="1:15" ht="15.75" x14ac:dyDescent="0.25">
      <c r="A259" s="119" t="s">
        <v>119</v>
      </c>
      <c r="B259" s="1">
        <v>2010</v>
      </c>
      <c r="C259" s="1">
        <v>2011</v>
      </c>
      <c r="D259" s="1">
        <v>2012</v>
      </c>
      <c r="E259" s="1">
        <v>2013</v>
      </c>
      <c r="F259" s="1">
        <v>2014</v>
      </c>
      <c r="G259" s="1">
        <v>2015</v>
      </c>
      <c r="H259" s="1">
        <v>2016</v>
      </c>
      <c r="I259" s="1">
        <v>2017</v>
      </c>
      <c r="J259" s="1">
        <v>2018</v>
      </c>
      <c r="K259" s="1">
        <v>2019</v>
      </c>
      <c r="L259" s="1">
        <v>2020</v>
      </c>
      <c r="M259" s="1">
        <v>2021</v>
      </c>
      <c r="N259" s="1">
        <v>2022</v>
      </c>
    </row>
    <row r="260" spans="1:15" x14ac:dyDescent="0.25">
      <c r="A260" s="27" t="s">
        <v>219</v>
      </c>
      <c r="B260" s="126">
        <f t="shared" ref="B260:N260" si="69">+B253/B257</f>
        <v>3.6528099323188346</v>
      </c>
      <c r="C260" s="126">
        <f t="shared" si="69"/>
        <v>3.6528099323188346</v>
      </c>
      <c r="D260" s="126">
        <f t="shared" si="69"/>
        <v>3.6528099323188346</v>
      </c>
      <c r="E260" s="126">
        <f t="shared" si="69"/>
        <v>3.6528099323188346</v>
      </c>
      <c r="F260" s="126">
        <f t="shared" si="69"/>
        <v>3.6528099323188346</v>
      </c>
      <c r="G260" s="126">
        <f t="shared" si="69"/>
        <v>1.8545179089506605</v>
      </c>
      <c r="H260" s="126">
        <f t="shared" si="69"/>
        <v>0.99353827059589206</v>
      </c>
      <c r="I260" s="126">
        <f t="shared" si="69"/>
        <v>1.2777081413753075</v>
      </c>
      <c r="J260" s="126">
        <f t="shared" si="69"/>
        <v>1.98414648496292</v>
      </c>
      <c r="K260" s="126">
        <f t="shared" si="69"/>
        <v>3.4313659741976261</v>
      </c>
      <c r="L260" s="126">
        <f t="shared" si="69"/>
        <v>3.4313659741976261</v>
      </c>
      <c r="M260" s="126">
        <f t="shared" si="69"/>
        <v>28.653418651091883</v>
      </c>
      <c r="N260" s="126">
        <f t="shared" si="69"/>
        <v>28.653418651091883</v>
      </c>
      <c r="O260" s="127">
        <f>+AVERAGE(B260:N260)</f>
        <v>6.8110407475429202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FF77-7DFF-4187-A531-568ABA11752C}">
  <dimension ref="A1:P190"/>
  <sheetViews>
    <sheetView topLeftCell="A42" workbookViewId="0">
      <selection activeCell="A7" sqref="A7"/>
    </sheetView>
  </sheetViews>
  <sheetFormatPr defaultColWidth="10.85546875" defaultRowHeight="15" x14ac:dyDescent="0.25"/>
  <cols>
    <col min="1" max="1" width="35.28515625" customWidth="1"/>
    <col min="2" max="2" width="17" customWidth="1"/>
    <col min="3" max="14" width="12.5703125" bestFit="1" customWidth="1"/>
    <col min="15" max="15" width="17.5703125" customWidth="1"/>
  </cols>
  <sheetData>
    <row r="1" spans="1:16" ht="15" customHeight="1" x14ac:dyDescent="0.25">
      <c r="A1" t="s">
        <v>444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</row>
    <row r="2" spans="1:16" x14ac:dyDescent="0.25">
      <c r="A2" t="s">
        <v>443</v>
      </c>
      <c r="B2">
        <f>+INGEI_diffs!C18/1000</f>
        <v>1034.3527479633333</v>
      </c>
      <c r="C2">
        <f>+INGEI_diffs!D18/1000</f>
        <v>1034.3527479633333</v>
      </c>
      <c r="D2">
        <f>+INGEI_diffs!E18/1000</f>
        <v>1034.3527479633333</v>
      </c>
      <c r="E2">
        <f>+INGEI_diffs!F18/1000</f>
        <v>1034.3527479633333</v>
      </c>
      <c r="F2">
        <f>+INGEI_diffs!G18/1000</f>
        <v>1034.3527479633333</v>
      </c>
      <c r="G2">
        <f>+INGEI_diffs!H18/1000</f>
        <v>551.83197945333336</v>
      </c>
      <c r="H2">
        <f>+INGEI_diffs!I18/1000</f>
        <v>69.311210943333336</v>
      </c>
      <c r="I2">
        <f>+INGEI_diffs!J18/1000</f>
        <v>1692.2922638658333</v>
      </c>
      <c r="J2">
        <f>+INGEI_diffs!K18/1000</f>
        <v>3315.2733167883334</v>
      </c>
      <c r="K2">
        <f>+INGEI_diffs!L18/1000</f>
        <v>1577.5551570166667</v>
      </c>
      <c r="L2">
        <f>+INGEI_diffs!M18/1000</f>
        <v>1577.5551570166667</v>
      </c>
      <c r="M2">
        <f>+INGEI_diffs!N18/1000</f>
        <v>466.8651882333333</v>
      </c>
      <c r="N2">
        <f>+INGEI_diffs!O18/1000</f>
        <v>466.8651882333333</v>
      </c>
    </row>
    <row r="3" spans="1:16" x14ac:dyDescent="0.25">
      <c r="A3" t="s">
        <v>118</v>
      </c>
      <c r="B3" s="397">
        <v>1.62999</v>
      </c>
      <c r="C3" s="397">
        <v>1.62999</v>
      </c>
      <c r="D3" s="397">
        <v>1.62999</v>
      </c>
      <c r="E3" s="397">
        <v>1.62999</v>
      </c>
      <c r="F3" s="397">
        <v>1.62999</v>
      </c>
      <c r="G3" s="397">
        <v>0.86975999999999998</v>
      </c>
      <c r="H3" s="397">
        <v>0.10953</v>
      </c>
      <c r="I3" s="397">
        <v>2.2405724999999999</v>
      </c>
      <c r="J3" s="397">
        <v>4.3716149999999994</v>
      </c>
      <c r="K3" s="397">
        <v>0.23674999999999999</v>
      </c>
      <c r="L3" s="397">
        <v>0.23674999999999999</v>
      </c>
      <c r="M3" s="397">
        <v>0.43110000000000004</v>
      </c>
      <c r="N3" s="397">
        <v>0.43110000000000004</v>
      </c>
      <c r="O3" s="397"/>
      <c r="P3" s="397"/>
    </row>
    <row r="4" spans="1:16" x14ac:dyDescent="0.25">
      <c r="A4" t="s">
        <v>119</v>
      </c>
      <c r="B4">
        <f>+B2/B3</f>
        <v>634.57613111941373</v>
      </c>
      <c r="C4">
        <f t="shared" ref="C4:H4" si="0">+C2/C3</f>
        <v>634.57613111941373</v>
      </c>
      <c r="D4">
        <f t="shared" si="0"/>
        <v>634.57613111941373</v>
      </c>
      <c r="E4">
        <f t="shared" si="0"/>
        <v>634.57613111941373</v>
      </c>
      <c r="F4">
        <f t="shared" si="0"/>
        <v>634.57613111941373</v>
      </c>
      <c r="G4">
        <f t="shared" si="0"/>
        <v>634.46465628832482</v>
      </c>
      <c r="H4">
        <f t="shared" si="0"/>
        <v>632.8057239416903</v>
      </c>
      <c r="I4">
        <f>+I2/I3</f>
        <v>755.2945793389116</v>
      </c>
      <c r="J4">
        <f t="shared" ref="J4:M4" si="1">+J2/J3</f>
        <v>758.36351480821941</v>
      </c>
      <c r="K4">
        <f t="shared" si="1"/>
        <v>6663.3797550862382</v>
      </c>
      <c r="L4">
        <f t="shared" si="1"/>
        <v>6663.3797550862382</v>
      </c>
      <c r="M4">
        <f t="shared" si="1"/>
        <v>1082.9626263821231</v>
      </c>
      <c r="N4">
        <f>+N2/N3</f>
        <v>1082.9626263821231</v>
      </c>
      <c r="O4">
        <f>+AVERAGE(B4:N4)</f>
        <v>1649.7302994546876</v>
      </c>
    </row>
    <row r="6" spans="1:16" ht="15" customHeight="1" thickBot="1" x14ac:dyDescent="0.3">
      <c r="A6" t="s">
        <v>455</v>
      </c>
    </row>
    <row r="7" spans="1:16" x14ac:dyDescent="0.25">
      <c r="A7" s="425" t="s">
        <v>186</v>
      </c>
      <c r="B7">
        <f>+INGEI_diffs!C$25/1000*'5ta'!$R87</f>
        <v>0.63196910355773239</v>
      </c>
      <c r="C7">
        <f>+INGEI_diffs!D$25/1000*'5ta'!$R87</f>
        <v>0.63196910355773239</v>
      </c>
      <c r="D7">
        <f>+INGEI_diffs!E$25/1000*'5ta'!$R87</f>
        <v>0.63196910355773239</v>
      </c>
      <c r="E7">
        <f>+INGEI_diffs!F$25/1000*'5ta'!$R87</f>
        <v>0.63196910355773239</v>
      </c>
      <c r="F7">
        <f>+INGEI_diffs!G$25/1000*'5ta'!$R87</f>
        <v>0.63196910355773239</v>
      </c>
      <c r="G7">
        <f>+INGEI_diffs!H$25/1000*'5ta'!$R87</f>
        <v>0.77724086641942169</v>
      </c>
      <c r="H7">
        <f>+INGEI_diffs!I$25/1000*'5ta'!$R87</f>
        <v>0.92251262928111089</v>
      </c>
      <c r="I7">
        <f>+INGEI_diffs!J$25/1000*'5ta'!$R87</f>
        <v>0.88185932141226997</v>
      </c>
      <c r="J7">
        <f>+INGEI_diffs!K$25/1000*'5ta'!$R87</f>
        <v>0.84120601354342894</v>
      </c>
      <c r="K7">
        <f>+INGEI_diffs!L$25/1000*'5ta'!$R87</f>
        <v>6.5664062446099427</v>
      </c>
      <c r="L7">
        <f>+INGEI_diffs!M$25/1000*'5ta'!$R87</f>
        <v>6.5664062446099427</v>
      </c>
      <c r="M7">
        <f>+INGEI_diffs!N$25/1000*'5ta'!$R87</f>
        <v>9.3700237857492059</v>
      </c>
      <c r="N7">
        <f>+INGEI_diffs!O$25/1000*'5ta'!$R87</f>
        <v>9.3700237857492059</v>
      </c>
    </row>
    <row r="8" spans="1:16" x14ac:dyDescent="0.25">
      <c r="A8" s="426" t="s">
        <v>187</v>
      </c>
      <c r="B8">
        <f>+INGEI_diffs!C$25/1000*'5ta'!$R88</f>
        <v>6.1712957612475492</v>
      </c>
      <c r="C8">
        <f>+INGEI_diffs!D$25/1000*'5ta'!$R88</f>
        <v>6.1712957612475492</v>
      </c>
      <c r="D8">
        <f>+INGEI_diffs!E$25/1000*'5ta'!$R88</f>
        <v>6.1712957612475492</v>
      </c>
      <c r="E8">
        <f>+INGEI_diffs!F$25/1000*'5ta'!$R88</f>
        <v>6.1712957612475492</v>
      </c>
      <c r="F8">
        <f>+INGEI_diffs!G$25/1000*'5ta'!$R88</f>
        <v>6.1712957612475492</v>
      </c>
      <c r="G8">
        <f>+INGEI_diffs!H$25/1000*'5ta'!$R88</f>
        <v>7.5899015274634642</v>
      </c>
      <c r="H8">
        <f>+INGEI_diffs!I$25/1000*'5ta'!$R88</f>
        <v>9.0085072936793793</v>
      </c>
      <c r="I8">
        <f>+INGEI_diffs!J$25/1000*'5ta'!$R88</f>
        <v>8.6115201860513384</v>
      </c>
      <c r="J8">
        <f>+INGEI_diffs!K$25/1000*'5ta'!$R88</f>
        <v>8.2145330784232975</v>
      </c>
      <c r="K8">
        <f>+INGEI_diffs!L$25/1000*'5ta'!$R88</f>
        <v>64.122177485989781</v>
      </c>
      <c r="L8">
        <f>+INGEI_diffs!M$25/1000*'5ta'!$R88</f>
        <v>64.122177485989781</v>
      </c>
      <c r="M8">
        <f>+INGEI_diffs!N$25/1000*'5ta'!$R88</f>
        <v>91.500023887639742</v>
      </c>
      <c r="N8">
        <f>+INGEI_diffs!O$25/1000*'5ta'!$R88</f>
        <v>91.500023887639742</v>
      </c>
    </row>
    <row r="9" spans="1:16" x14ac:dyDescent="0.25">
      <c r="A9" s="426" t="s">
        <v>188</v>
      </c>
      <c r="B9">
        <f>+INGEI_diffs!C$25/1000*'5ta'!$R89</f>
        <v>59.010533685236325</v>
      </c>
      <c r="C9">
        <f>+INGEI_diffs!D$25/1000*'5ta'!$R89</f>
        <v>59.010533685236325</v>
      </c>
      <c r="D9">
        <f>+INGEI_diffs!E$25/1000*'5ta'!$R89</f>
        <v>59.010533685236325</v>
      </c>
      <c r="E9">
        <f>+INGEI_diffs!F$25/1000*'5ta'!$R89</f>
        <v>59.010533685236325</v>
      </c>
      <c r="F9">
        <f>+INGEI_diffs!G$25/1000*'5ta'!$R89</f>
        <v>59.010533685236325</v>
      </c>
      <c r="G9">
        <f>+INGEI_diffs!H$25/1000*'5ta'!$R89</f>
        <v>72.575380776024915</v>
      </c>
      <c r="H9">
        <f>+INGEI_diffs!I$25/1000*'5ta'!$R89</f>
        <v>86.14022786681349</v>
      </c>
      <c r="I9">
        <f>+INGEI_diffs!J$25/1000*'5ta'!$R89</f>
        <v>82.344198314252679</v>
      </c>
      <c r="J9">
        <f>+INGEI_diffs!K$25/1000*'5ta'!$R89</f>
        <v>78.548168761691855</v>
      </c>
      <c r="K9">
        <f>+INGEI_diffs!L$25/1000*'5ta'!$R89</f>
        <v>613.14253292938542</v>
      </c>
      <c r="L9">
        <f>+INGEI_diffs!M$25/1000*'5ta'!$R89</f>
        <v>613.14253292938542</v>
      </c>
      <c r="M9">
        <f>+INGEI_diffs!N$25/1000*'5ta'!$R89</f>
        <v>874.93217805687743</v>
      </c>
      <c r="N9">
        <f>+INGEI_diffs!O$25/1000*'5ta'!$R89</f>
        <v>874.93217805687743</v>
      </c>
    </row>
    <row r="10" spans="1:16" x14ac:dyDescent="0.25">
      <c r="A10" s="426" t="s">
        <v>189</v>
      </c>
      <c r="B10">
        <f>+INGEI_diffs!C$25/1000*'5ta'!$R90</f>
        <v>23.987401397780452</v>
      </c>
      <c r="C10">
        <f>+INGEI_diffs!D$25/1000*'5ta'!$R90</f>
        <v>23.987401397780452</v>
      </c>
      <c r="D10">
        <f>+INGEI_diffs!E$25/1000*'5ta'!$R90</f>
        <v>23.987401397780452</v>
      </c>
      <c r="E10">
        <f>+INGEI_diffs!F$25/1000*'5ta'!$R90</f>
        <v>23.987401397780452</v>
      </c>
      <c r="F10">
        <f>+INGEI_diffs!G$25/1000*'5ta'!$R90</f>
        <v>23.987401397780452</v>
      </c>
      <c r="G10">
        <f>+INGEI_diffs!H$25/1000*'5ta'!$R90</f>
        <v>29.501424263628</v>
      </c>
      <c r="H10">
        <f>+INGEI_diffs!I$25/1000*'5ta'!$R90</f>
        <v>35.015447129475554</v>
      </c>
      <c r="I10">
        <f>+INGEI_diffs!J$25/1000*'5ta'!$R90</f>
        <v>33.472385596075206</v>
      </c>
      <c r="J10">
        <f>+INGEI_diffs!K$25/1000*'5ta'!$R90</f>
        <v>31.929324062674866</v>
      </c>
      <c r="K10">
        <f>+INGEI_diffs!L$25/1000*'5ta'!$R90</f>
        <v>249.2384856215707</v>
      </c>
      <c r="L10">
        <f>+INGEI_diffs!M$25/1000*'5ta'!$R90</f>
        <v>249.2384856215707</v>
      </c>
      <c r="M10">
        <f>+INGEI_diffs!N$25/1000*'5ta'!$R90</f>
        <v>355.65428814509096</v>
      </c>
      <c r="N10">
        <f>+INGEI_diffs!O$25/1000*'5ta'!$R90</f>
        <v>355.65428814509096</v>
      </c>
    </row>
    <row r="11" spans="1:16" x14ac:dyDescent="0.25">
      <c r="A11" s="427" t="s">
        <v>190</v>
      </c>
      <c r="B11">
        <f>+INGEI_diffs!C$25/1000*'5ta'!$R91</f>
        <v>16.519502208558507</v>
      </c>
      <c r="C11">
        <f>+INGEI_diffs!D$25/1000*'5ta'!$R91</f>
        <v>16.519502208558507</v>
      </c>
      <c r="D11">
        <f>+INGEI_diffs!E$25/1000*'5ta'!$R91</f>
        <v>16.519502208558507</v>
      </c>
      <c r="E11">
        <f>+INGEI_diffs!F$25/1000*'5ta'!$R91</f>
        <v>16.519502208558507</v>
      </c>
      <c r="F11">
        <f>+INGEI_diffs!G$25/1000*'5ta'!$R91</f>
        <v>16.519502208558507</v>
      </c>
      <c r="G11">
        <f>+INGEI_diffs!H$25/1000*'5ta'!$R91</f>
        <v>20.316866975166327</v>
      </c>
      <c r="H11">
        <f>+INGEI_diffs!I$25/1000*'5ta'!$R91</f>
        <v>24.114231741774152</v>
      </c>
      <c r="I11">
        <f>+INGEI_diffs!J$25/1000*'5ta'!$R91</f>
        <v>23.051565220034647</v>
      </c>
      <c r="J11">
        <f>+INGEI_diffs!K$25/1000*'5ta'!$R91</f>
        <v>21.988898698295145</v>
      </c>
      <c r="K11">
        <f>+INGEI_diffs!L$25/1000*'5ta'!$R91</f>
        <v>171.64409122133117</v>
      </c>
      <c r="L11">
        <f>+INGEI_diffs!M$25/1000*'5ta'!$R91</f>
        <v>171.64409122133117</v>
      </c>
      <c r="M11">
        <f>+INGEI_diffs!N$25/1000*'5ta'!$R91</f>
        <v>244.92989886931926</v>
      </c>
      <c r="N11">
        <f>+INGEI_diffs!O$25/1000*'5ta'!$R91</f>
        <v>244.92989886931926</v>
      </c>
    </row>
    <row r="12" spans="1:16" ht="15" customHeight="1" x14ac:dyDescent="0.25">
      <c r="A12" s="426" t="s">
        <v>191</v>
      </c>
      <c r="B12">
        <f>+INGEI_diffs!C$25/1000*'5ta'!$R92</f>
        <v>120.88141038827577</v>
      </c>
      <c r="C12">
        <f>+INGEI_diffs!D$25/1000*'5ta'!$R92</f>
        <v>120.88141038827577</v>
      </c>
      <c r="D12">
        <f>+INGEI_diffs!E$25/1000*'5ta'!$R92</f>
        <v>120.88141038827577</v>
      </c>
      <c r="E12">
        <f>+INGEI_diffs!F$25/1000*'5ta'!$R92</f>
        <v>120.88141038827577</v>
      </c>
      <c r="F12">
        <f>+INGEI_diffs!G$25/1000*'5ta'!$R92</f>
        <v>120.88141038827577</v>
      </c>
      <c r="G12">
        <f>+INGEI_diffs!H$25/1000*'5ta'!$R92</f>
        <v>148.66861625870945</v>
      </c>
      <c r="H12">
        <f>+INGEI_diffs!I$25/1000*'5ta'!$R92</f>
        <v>176.45582212914314</v>
      </c>
      <c r="I12">
        <f>+INGEI_diffs!J$25/1000*'5ta'!$R92</f>
        <v>168.67976288120025</v>
      </c>
      <c r="J12">
        <f>+INGEI_diffs!K$25/1000*'5ta'!$R92</f>
        <v>160.90370363325735</v>
      </c>
      <c r="K12">
        <f>+INGEI_diffs!L$25/1000*'5ta'!$R92</f>
        <v>1256.0051489262701</v>
      </c>
      <c r="L12">
        <f>+INGEI_diffs!M$25/1000*'5ta'!$R92</f>
        <v>1256.0051489262701</v>
      </c>
      <c r="M12">
        <f>+INGEI_diffs!N$25/1000*'5ta'!$R92</f>
        <v>1792.2738377819808</v>
      </c>
      <c r="N12">
        <f>+INGEI_diffs!O$25/1000*'5ta'!$R92</f>
        <v>1792.2738377819808</v>
      </c>
    </row>
    <row r="13" spans="1:16" x14ac:dyDescent="0.25">
      <c r="A13" s="426" t="s">
        <v>192</v>
      </c>
      <c r="B13">
        <f>+INGEI_diffs!C$25/1000*'5ta'!$R93</f>
        <v>13.39271496288719</v>
      </c>
      <c r="C13">
        <f>+INGEI_diffs!D$25/1000*'5ta'!$R93</f>
        <v>13.39271496288719</v>
      </c>
      <c r="D13">
        <f>+INGEI_diffs!E$25/1000*'5ta'!$R93</f>
        <v>13.39271496288719</v>
      </c>
      <c r="E13">
        <f>+INGEI_diffs!F$25/1000*'5ta'!$R93</f>
        <v>13.39271496288719</v>
      </c>
      <c r="F13">
        <f>+INGEI_diffs!G$25/1000*'5ta'!$R93</f>
        <v>13.39271496288719</v>
      </c>
      <c r="G13">
        <f>+INGEI_diffs!H$25/1000*'5ta'!$R93</f>
        <v>16.471320073817285</v>
      </c>
      <c r="H13">
        <f>+INGEI_diffs!I$25/1000*'5ta'!$R93</f>
        <v>19.54992518474738</v>
      </c>
      <c r="I13">
        <f>+INGEI_diffs!J$25/1000*'5ta'!$R93</f>
        <v>18.688398629856</v>
      </c>
      <c r="J13">
        <f>+INGEI_diffs!K$25/1000*'5ta'!$R93</f>
        <v>17.826872074964623</v>
      </c>
      <c r="K13">
        <f>+INGEI_diffs!L$25/1000*'5ta'!$R93</f>
        <v>139.15554837966801</v>
      </c>
      <c r="L13">
        <f>+INGEI_diffs!M$25/1000*'5ta'!$R93</f>
        <v>139.15554837966801</v>
      </c>
      <c r="M13">
        <f>+INGEI_diffs!N$25/1000*'5ta'!$R93</f>
        <v>198.56992541495086</v>
      </c>
      <c r="N13">
        <f>+INGEI_diffs!O$25/1000*'5ta'!$R93</f>
        <v>198.56992541495086</v>
      </c>
    </row>
    <row r="14" spans="1:16" x14ac:dyDescent="0.25">
      <c r="A14" s="426" t="s">
        <v>193</v>
      </c>
      <c r="B14">
        <f>+INGEI_diffs!C$25/1000*'5ta'!$R94</f>
        <v>3.3261092708115845</v>
      </c>
      <c r="C14">
        <f>+INGEI_diffs!D$25/1000*'5ta'!$R94</f>
        <v>3.3261092708115845</v>
      </c>
      <c r="D14">
        <f>+INGEI_diffs!E$25/1000*'5ta'!$R94</f>
        <v>3.3261092708115845</v>
      </c>
      <c r="E14">
        <f>+INGEI_diffs!F$25/1000*'5ta'!$R94</f>
        <v>3.3261092708115845</v>
      </c>
      <c r="F14">
        <f>+INGEI_diffs!G$25/1000*'5ta'!$R94</f>
        <v>3.3261092708115845</v>
      </c>
      <c r="G14">
        <f>+INGEI_diffs!H$25/1000*'5ta'!$R94</f>
        <v>4.0906874037001106</v>
      </c>
      <c r="H14">
        <f>+INGEI_diffs!I$25/1000*'5ta'!$R94</f>
        <v>4.8552655365886368</v>
      </c>
      <c r="I14">
        <f>+INGEI_diffs!J$25/1000*'5ta'!$R94</f>
        <v>4.6413035827043565</v>
      </c>
      <c r="J14">
        <f>+INGEI_diffs!K$25/1000*'5ta'!$R94</f>
        <v>4.4273416288200762</v>
      </c>
      <c r="K14">
        <f>+INGEI_diffs!L$25/1000*'5ta'!$R94</f>
        <v>34.559576667844176</v>
      </c>
      <c r="L14">
        <f>+INGEI_diffs!M$25/1000*'5ta'!$R94</f>
        <v>34.559576667844176</v>
      </c>
      <c r="M14">
        <f>+INGEI_diffs!N$25/1000*'5ta'!$R94</f>
        <v>49.315263683074036</v>
      </c>
      <c r="N14">
        <f>+INGEI_diffs!O$25/1000*'5ta'!$R94</f>
        <v>49.315263683074036</v>
      </c>
    </row>
    <row r="15" spans="1:16" x14ac:dyDescent="0.25">
      <c r="A15" s="427" t="s">
        <v>194</v>
      </c>
      <c r="B15">
        <f>+INGEI_diffs!C$25/1000*'5ta'!$R95</f>
        <v>13.909219629644806</v>
      </c>
      <c r="C15">
        <f>+INGEI_diffs!D$25/1000*'5ta'!$R95</f>
        <v>13.909219629644806</v>
      </c>
      <c r="D15">
        <f>+INGEI_diffs!E$25/1000*'5ta'!$R95</f>
        <v>13.909219629644806</v>
      </c>
      <c r="E15">
        <f>+INGEI_diffs!F$25/1000*'5ta'!$R95</f>
        <v>13.909219629644806</v>
      </c>
      <c r="F15">
        <f>+INGEI_diffs!G$25/1000*'5ta'!$R95</f>
        <v>13.909219629644806</v>
      </c>
      <c r="G15">
        <f>+INGEI_diffs!H$25/1000*'5ta'!$R95</f>
        <v>17.106554506070964</v>
      </c>
      <c r="H15">
        <f>+INGEI_diffs!I$25/1000*'5ta'!$R95</f>
        <v>20.303889382497125</v>
      </c>
      <c r="I15">
        <f>+INGEI_diffs!J$25/1000*'5ta'!$R95</f>
        <v>19.409137115913225</v>
      </c>
      <c r="J15">
        <f>+INGEI_diffs!K$25/1000*'5ta'!$R95</f>
        <v>18.514384849329325</v>
      </c>
      <c r="K15">
        <f>+INGEI_diffs!L$25/1000*'5ta'!$R95</f>
        <v>144.52223395032985</v>
      </c>
      <c r="L15">
        <f>+INGEI_diffs!M$25/1000*'5ta'!$R95</f>
        <v>144.52223395032985</v>
      </c>
      <c r="M15">
        <f>+INGEI_diffs!N$25/1000*'5ta'!$R95</f>
        <v>206.22799126931616</v>
      </c>
      <c r="N15">
        <f>+INGEI_diffs!O$25/1000*'5ta'!$R95</f>
        <v>206.22799126931616</v>
      </c>
    </row>
    <row r="16" spans="1:16" x14ac:dyDescent="0.25">
      <c r="A16" s="375" t="s">
        <v>411</v>
      </c>
      <c r="B16">
        <f>+INGEI_diffs!C26/1000</f>
        <v>280.07585759999995</v>
      </c>
      <c r="C16">
        <f>+INGEI_diffs!D26/1000</f>
        <v>280.07585759999995</v>
      </c>
      <c r="D16">
        <f>+INGEI_diffs!E26/1000</f>
        <v>280.07585759999995</v>
      </c>
      <c r="E16">
        <f>+INGEI_diffs!F26/1000</f>
        <v>280.07585759999995</v>
      </c>
      <c r="F16">
        <f>+INGEI_diffs!G26/1000</f>
        <v>280.07585759999995</v>
      </c>
      <c r="G16">
        <f>+INGEI_diffs!H26/1000</f>
        <v>276.33779249999998</v>
      </c>
      <c r="H16">
        <f>+INGEI_diffs!I26/1000</f>
        <v>272.59972739999995</v>
      </c>
      <c r="I16">
        <f>+INGEI_diffs!J26/1000</f>
        <v>287.14521219999995</v>
      </c>
      <c r="J16">
        <f>+INGEI_diffs!K26/1000</f>
        <v>301.69069699999994</v>
      </c>
      <c r="K16">
        <f>+INGEI_diffs!L26/1000</f>
        <v>256.32255109999994</v>
      </c>
      <c r="L16">
        <f>+INGEI_diffs!M26/1000</f>
        <v>256.32255109999994</v>
      </c>
      <c r="M16">
        <f>+INGEI_diffs!N26/1000</f>
        <v>54.708061100000002</v>
      </c>
      <c r="N16">
        <f>+INGEI_diffs!O26/1000</f>
        <v>54.708061100000002</v>
      </c>
    </row>
    <row r="17" spans="1:14" ht="15" customHeight="1" x14ac:dyDescent="0.25">
      <c r="A17" s="376" t="s">
        <v>419</v>
      </c>
      <c r="B17">
        <f>+INGEI_diffs!C27/1000</f>
        <v>2.8969577999999996</v>
      </c>
      <c r="C17">
        <f>+INGEI_diffs!D27/1000</f>
        <v>2.8969577999999996</v>
      </c>
      <c r="D17">
        <f>+INGEI_diffs!E27/1000</f>
        <v>2.8969577999999996</v>
      </c>
      <c r="E17">
        <f>+INGEI_diffs!F27/1000</f>
        <v>2.8969577999999996</v>
      </c>
      <c r="F17">
        <f>+INGEI_diffs!G27/1000</f>
        <v>2.8969577999999996</v>
      </c>
      <c r="G17">
        <f>+INGEI_diffs!H27/1000</f>
        <v>4.5128068333333333</v>
      </c>
      <c r="H17">
        <f>+INGEI_diffs!I27/1000</f>
        <v>6.1286558666666666</v>
      </c>
      <c r="I17">
        <f>+INGEI_diffs!J27/1000</f>
        <v>3.6558793333333335</v>
      </c>
      <c r="J17">
        <f>+INGEI_diffs!K27/1000</f>
        <v>1.1831027999999999</v>
      </c>
      <c r="K17">
        <f>+INGEI_diffs!L27/1000</f>
        <v>7.2903203999999988</v>
      </c>
      <c r="L17">
        <f>+INGEI_diffs!M27/1000</f>
        <v>7.2903203999999988</v>
      </c>
      <c r="M17">
        <f>+INGEI_diffs!N27/1000</f>
        <v>0.94769546666666649</v>
      </c>
      <c r="N17">
        <f>+INGEI_diffs!O27/1000</f>
        <v>0.94769546666666649</v>
      </c>
    </row>
    <row r="18" spans="1:14" ht="16.350000000000001" customHeight="1" x14ac:dyDescent="0.25">
      <c r="B18">
        <f>+SUM(B7:B17)</f>
        <v>540.80297180799982</v>
      </c>
      <c r="C18">
        <f t="shared" ref="C18:N18" si="2">+SUM(C7:C17)</f>
        <v>540.80297180799982</v>
      </c>
      <c r="D18">
        <f t="shared" si="2"/>
        <v>540.80297180799982</v>
      </c>
      <c r="E18">
        <f t="shared" si="2"/>
        <v>540.80297180799982</v>
      </c>
      <c r="F18">
        <f t="shared" si="2"/>
        <v>540.80297180799982</v>
      </c>
      <c r="G18">
        <f t="shared" si="2"/>
        <v>597.94859198433323</v>
      </c>
      <c r="H18">
        <f t="shared" si="2"/>
        <v>655.09421216066664</v>
      </c>
      <c r="I18">
        <f t="shared" si="2"/>
        <v>650.58122238083331</v>
      </c>
      <c r="J18">
        <f t="shared" si="2"/>
        <v>646.06823260099998</v>
      </c>
      <c r="K18">
        <f t="shared" si="2"/>
        <v>2942.5690729269991</v>
      </c>
      <c r="L18">
        <f t="shared" si="2"/>
        <v>2942.5690729269991</v>
      </c>
      <c r="M18">
        <f t="shared" si="2"/>
        <v>3878.4291874606652</v>
      </c>
      <c r="N18">
        <f t="shared" si="2"/>
        <v>3878.4291874606652</v>
      </c>
    </row>
    <row r="19" spans="1:14" ht="15" customHeight="1" thickBot="1" x14ac:dyDescent="0.3">
      <c r="A19" t="s">
        <v>456</v>
      </c>
    </row>
    <row r="20" spans="1:14" x14ac:dyDescent="0.25">
      <c r="A20" s="425" t="s">
        <v>186</v>
      </c>
      <c r="B20" s="430">
        <v>0</v>
      </c>
      <c r="C20" s="430">
        <v>0</v>
      </c>
      <c r="D20" s="430">
        <v>0</v>
      </c>
      <c r="E20" s="430">
        <v>0</v>
      </c>
      <c r="F20" s="430">
        <v>0</v>
      </c>
      <c r="G20" s="430">
        <v>0</v>
      </c>
      <c r="H20" s="430">
        <v>0</v>
      </c>
      <c r="I20" s="430">
        <v>0</v>
      </c>
      <c r="J20" s="430">
        <v>0</v>
      </c>
      <c r="K20" s="430">
        <v>5.7000000000000002E-2</v>
      </c>
      <c r="L20" s="430">
        <v>5.7000000000000002E-2</v>
      </c>
      <c r="M20" s="430">
        <v>8.9999999999999993E-3</v>
      </c>
      <c r="N20" s="430">
        <v>8.9999999999999993E-3</v>
      </c>
    </row>
    <row r="21" spans="1:14" x14ac:dyDescent="0.25">
      <c r="A21" s="426" t="s">
        <v>187</v>
      </c>
      <c r="B21" s="429">
        <v>0.185</v>
      </c>
      <c r="C21" s="429">
        <v>0.185</v>
      </c>
      <c r="D21" s="429">
        <v>0.185</v>
      </c>
      <c r="E21" s="429">
        <v>0.185</v>
      </c>
      <c r="F21" s="429">
        <v>0.185</v>
      </c>
      <c r="G21" s="429">
        <v>0.191</v>
      </c>
      <c r="H21" s="429">
        <v>0.19600000000000001</v>
      </c>
      <c r="I21" s="429">
        <v>0.13300000000000001</v>
      </c>
      <c r="J21" s="429">
        <v>7.0999999999999994E-2</v>
      </c>
      <c r="K21" s="429">
        <v>9.7000000000000003E-2</v>
      </c>
      <c r="L21" s="429">
        <v>9.7000000000000003E-2</v>
      </c>
      <c r="M21" s="429">
        <v>0.02</v>
      </c>
      <c r="N21" s="429">
        <v>0.02</v>
      </c>
    </row>
    <row r="22" spans="1:14" x14ac:dyDescent="0.25">
      <c r="A22" s="426" t="s">
        <v>188</v>
      </c>
      <c r="B22" s="429">
        <v>0</v>
      </c>
      <c r="C22" s="429">
        <v>0</v>
      </c>
      <c r="D22" s="429">
        <v>0</v>
      </c>
      <c r="E22" s="429">
        <v>0</v>
      </c>
      <c r="F22" s="429">
        <v>0</v>
      </c>
      <c r="G22" s="429">
        <v>0</v>
      </c>
      <c r="H22" s="429">
        <v>0</v>
      </c>
      <c r="I22" s="429">
        <v>1E-3</v>
      </c>
      <c r="J22" s="429">
        <v>1E-3</v>
      </c>
      <c r="K22" s="429">
        <v>0.73099999999999998</v>
      </c>
      <c r="L22" s="429">
        <v>0.73099999999999998</v>
      </c>
      <c r="M22" s="429">
        <v>0.46</v>
      </c>
      <c r="N22" s="429">
        <v>0.46</v>
      </c>
    </row>
    <row r="23" spans="1:14" x14ac:dyDescent="0.25">
      <c r="A23" s="426" t="s">
        <v>189</v>
      </c>
      <c r="B23" s="429">
        <v>0</v>
      </c>
      <c r="C23" s="429">
        <v>0</v>
      </c>
      <c r="D23" s="429">
        <v>0</v>
      </c>
      <c r="E23" s="429">
        <v>0</v>
      </c>
      <c r="F23" s="429">
        <v>0</v>
      </c>
      <c r="G23" s="429">
        <v>0</v>
      </c>
      <c r="H23" s="429">
        <v>0</v>
      </c>
      <c r="I23" s="429">
        <v>2E-3</v>
      </c>
      <c r="J23" s="429">
        <v>5.0000000000000001E-3</v>
      </c>
      <c r="K23" s="429">
        <v>0.23699999999999999</v>
      </c>
      <c r="L23" s="429">
        <v>0.23699999999999999</v>
      </c>
      <c r="M23" s="429">
        <v>0.95</v>
      </c>
      <c r="N23" s="429">
        <v>0.95</v>
      </c>
    </row>
    <row r="24" spans="1:14" x14ac:dyDescent="0.25">
      <c r="A24" s="427" t="s">
        <v>190</v>
      </c>
      <c r="B24" s="429">
        <v>0</v>
      </c>
      <c r="C24" s="429">
        <v>0</v>
      </c>
      <c r="D24" s="429">
        <v>0</v>
      </c>
      <c r="E24" s="429">
        <v>0</v>
      </c>
      <c r="F24" s="429">
        <v>0</v>
      </c>
      <c r="G24" s="429">
        <v>0</v>
      </c>
      <c r="H24" s="429">
        <v>0</v>
      </c>
      <c r="I24" s="429">
        <v>0</v>
      </c>
      <c r="J24" s="429">
        <v>0</v>
      </c>
      <c r="K24" s="429">
        <v>5.5E-2</v>
      </c>
      <c r="L24" s="429">
        <v>5.5E-2</v>
      </c>
      <c r="M24" s="429">
        <v>2.5999999999999999E-2</v>
      </c>
      <c r="N24" s="429">
        <v>2.5999999999999999E-2</v>
      </c>
    </row>
    <row r="25" spans="1:14" ht="15" customHeight="1" x14ac:dyDescent="0.25">
      <c r="A25" s="426" t="s">
        <v>191</v>
      </c>
      <c r="B25" s="429">
        <v>0</v>
      </c>
      <c r="C25" s="429">
        <v>0</v>
      </c>
      <c r="D25" s="429">
        <v>0</v>
      </c>
      <c r="E25" s="429">
        <v>0</v>
      </c>
      <c r="F25" s="429">
        <v>0</v>
      </c>
      <c r="G25" s="429">
        <v>0</v>
      </c>
      <c r="H25" s="429">
        <v>0</v>
      </c>
      <c r="I25" s="429">
        <v>0</v>
      </c>
      <c r="J25" s="429">
        <v>0</v>
      </c>
      <c r="K25" s="429">
        <v>3.0419999999999998</v>
      </c>
      <c r="L25" s="429">
        <v>3.0419999999999998</v>
      </c>
      <c r="M25" s="429">
        <v>5.18</v>
      </c>
      <c r="N25" s="429">
        <v>5.18</v>
      </c>
    </row>
    <row r="26" spans="1:14" x14ac:dyDescent="0.25">
      <c r="A26" s="426" t="s">
        <v>192</v>
      </c>
      <c r="B26" s="429">
        <v>2.3E-2</v>
      </c>
      <c r="C26" s="429">
        <v>2.3E-2</v>
      </c>
      <c r="D26" s="429">
        <v>2.3E-2</v>
      </c>
      <c r="E26" s="429">
        <v>2.3E-2</v>
      </c>
      <c r="F26" s="429">
        <v>2.3E-2</v>
      </c>
      <c r="G26" s="429">
        <v>5.3999999999999999E-2</v>
      </c>
      <c r="H26" s="429">
        <v>8.4000000000000005E-2</v>
      </c>
      <c r="I26" s="429">
        <v>6.2E-2</v>
      </c>
      <c r="J26" s="429">
        <v>3.9E-2</v>
      </c>
      <c r="K26" s="429">
        <v>1.7000000000000001E-2</v>
      </c>
      <c r="L26" s="429">
        <v>1.7000000000000001E-2</v>
      </c>
      <c r="M26" s="429">
        <v>6.9000000000000006E-2</v>
      </c>
      <c r="N26" s="429">
        <v>6.9000000000000006E-2</v>
      </c>
    </row>
    <row r="27" spans="1:14" x14ac:dyDescent="0.25">
      <c r="A27" s="426" t="s">
        <v>193</v>
      </c>
      <c r="B27" s="429">
        <v>0.70899999999999996</v>
      </c>
      <c r="C27" s="429">
        <v>0.70899999999999996</v>
      </c>
      <c r="D27" s="429">
        <v>0.70899999999999996</v>
      </c>
      <c r="E27" s="429">
        <v>0.70899999999999996</v>
      </c>
      <c r="F27" s="429">
        <v>0.70899999999999996</v>
      </c>
      <c r="G27" s="429">
        <v>0.80900000000000005</v>
      </c>
      <c r="H27" s="429">
        <v>0.91</v>
      </c>
      <c r="I27" s="429">
        <v>0.94699999999999995</v>
      </c>
      <c r="J27" s="429">
        <v>0.98499999999999999</v>
      </c>
      <c r="K27" s="429">
        <v>0.71899999999999997</v>
      </c>
      <c r="L27" s="429">
        <v>0.71899999999999997</v>
      </c>
      <c r="M27" s="429">
        <v>4.8000000000000001E-2</v>
      </c>
      <c r="N27" s="429">
        <v>4.8000000000000001E-2</v>
      </c>
    </row>
    <row r="28" spans="1:14" x14ac:dyDescent="0.25">
      <c r="A28" s="427" t="s">
        <v>194</v>
      </c>
      <c r="B28" s="429">
        <v>0</v>
      </c>
      <c r="C28" s="429">
        <v>0</v>
      </c>
      <c r="D28" s="429">
        <v>0</v>
      </c>
      <c r="E28" s="429">
        <v>0</v>
      </c>
      <c r="F28" s="429">
        <v>0</v>
      </c>
      <c r="G28" s="429">
        <v>0</v>
      </c>
      <c r="H28" s="429">
        <v>0</v>
      </c>
      <c r="I28" s="429">
        <v>0</v>
      </c>
      <c r="J28" s="429">
        <v>0</v>
      </c>
      <c r="K28" s="428">
        <v>0.55300000000000005</v>
      </c>
      <c r="L28" s="428">
        <v>0.55300000000000005</v>
      </c>
      <c r="M28" s="428">
        <v>0.23499999999999999</v>
      </c>
      <c r="N28" s="428">
        <v>0.23499999999999999</v>
      </c>
    </row>
    <row r="29" spans="1:14" x14ac:dyDescent="0.25">
      <c r="A29" s="375" t="s">
        <v>411</v>
      </c>
      <c r="B29" s="428">
        <v>7.7390400000000001</v>
      </c>
      <c r="C29" s="428">
        <v>7.7390400000000001</v>
      </c>
      <c r="D29" s="428">
        <v>7.7390400000000001</v>
      </c>
      <c r="E29" s="428">
        <v>7.7390400000000001</v>
      </c>
      <c r="F29" s="428">
        <v>7.7390400000000001</v>
      </c>
      <c r="G29" s="428">
        <v>7.6357499999999998</v>
      </c>
      <c r="H29" s="428">
        <v>7.5324600000000004</v>
      </c>
      <c r="I29" s="428">
        <v>7.93438</v>
      </c>
      <c r="J29" s="428">
        <v>8.3362999999999996</v>
      </c>
      <c r="K29" s="428">
        <v>7.0826899999999995</v>
      </c>
      <c r="L29" s="428">
        <v>7.0826899999999995</v>
      </c>
      <c r="M29" s="428">
        <v>1.51169</v>
      </c>
      <c r="N29" s="428">
        <v>1.51169</v>
      </c>
    </row>
    <row r="30" spans="1:14" ht="15" customHeight="1" x14ac:dyDescent="0.25">
      <c r="A30" s="376" t="s">
        <v>419</v>
      </c>
      <c r="B30" s="428">
        <v>0.42025999999999997</v>
      </c>
      <c r="C30" s="428">
        <v>0.42025999999999997</v>
      </c>
      <c r="D30" s="428">
        <v>0.42025999999999997</v>
      </c>
      <c r="E30" s="428">
        <v>0.42025999999999997</v>
      </c>
      <c r="F30" s="428">
        <v>0.42025999999999997</v>
      </c>
      <c r="G30" s="428">
        <v>0.65466000000000002</v>
      </c>
      <c r="H30" s="428">
        <v>0.88907000000000003</v>
      </c>
      <c r="I30" s="428">
        <v>0.53034999999999999</v>
      </c>
      <c r="J30" s="428">
        <v>0.17163</v>
      </c>
      <c r="K30" s="428">
        <v>1.0575899999999998</v>
      </c>
      <c r="L30" s="428">
        <v>1.0575899999999998</v>
      </c>
      <c r="M30" s="428">
        <v>0.13747999999999999</v>
      </c>
      <c r="N30" s="428">
        <v>0.13747999999999999</v>
      </c>
    </row>
    <row r="32" spans="1:14" ht="15" customHeight="1" thickBot="1" x14ac:dyDescent="0.3">
      <c r="A32" t="s">
        <v>457</v>
      </c>
    </row>
    <row r="33" spans="1:14" ht="15.75" thickBot="1" x14ac:dyDescent="0.3">
      <c r="A33" s="425" t="s">
        <v>186</v>
      </c>
      <c r="B33" s="430">
        <v>0</v>
      </c>
      <c r="C33" s="430">
        <v>0</v>
      </c>
      <c r="D33" s="430">
        <v>0</v>
      </c>
      <c r="E33" s="430">
        <v>0</v>
      </c>
      <c r="F33" s="430">
        <v>0</v>
      </c>
      <c r="G33" s="430">
        <v>0</v>
      </c>
      <c r="H33" s="430">
        <v>0</v>
      </c>
      <c r="I33" s="430">
        <v>0</v>
      </c>
      <c r="J33" s="430">
        <v>0</v>
      </c>
      <c r="K33" s="430">
        <f t="shared" ref="K33:N33" si="3">+K7/K20</f>
        <v>115.2001095545604</v>
      </c>
      <c r="L33" s="430">
        <f t="shared" si="3"/>
        <v>115.2001095545604</v>
      </c>
      <c r="M33" s="430">
        <f t="shared" si="3"/>
        <v>1041.113753972134</v>
      </c>
      <c r="N33" s="430">
        <f t="shared" si="3"/>
        <v>1041.113753972134</v>
      </c>
    </row>
    <row r="34" spans="1:14" ht="15.75" thickBot="1" x14ac:dyDescent="0.3">
      <c r="A34" s="426" t="s">
        <v>187</v>
      </c>
      <c r="B34" s="430">
        <f t="shared" ref="B34:N43" si="4">+B8/B21</f>
        <v>33.358355466202966</v>
      </c>
      <c r="C34" s="430">
        <f t="shared" si="4"/>
        <v>33.358355466202966</v>
      </c>
      <c r="D34" s="430">
        <f t="shared" si="4"/>
        <v>33.358355466202966</v>
      </c>
      <c r="E34" s="430">
        <f t="shared" si="4"/>
        <v>33.358355466202966</v>
      </c>
      <c r="F34" s="430">
        <f t="shared" si="4"/>
        <v>33.358355466202966</v>
      </c>
      <c r="G34" s="430">
        <f t="shared" si="4"/>
        <v>39.737704332269445</v>
      </c>
      <c r="H34" s="430">
        <f t="shared" si="4"/>
        <v>45.961771906527446</v>
      </c>
      <c r="I34" s="430">
        <f t="shared" si="4"/>
        <v>64.748272075573965</v>
      </c>
      <c r="J34" s="430">
        <f t="shared" si="4"/>
        <v>115.69764899187744</v>
      </c>
      <c r="K34" s="430">
        <f t="shared" si="4"/>
        <v>661.05337614422456</v>
      </c>
      <c r="L34" s="430">
        <f t="shared" si="4"/>
        <v>661.05337614422456</v>
      </c>
      <c r="M34" s="430">
        <f t="shared" si="4"/>
        <v>4575.0011943819873</v>
      </c>
      <c r="N34" s="430">
        <f t="shared" si="4"/>
        <v>4575.0011943819873</v>
      </c>
    </row>
    <row r="35" spans="1:14" ht="15.75" thickBot="1" x14ac:dyDescent="0.3">
      <c r="A35" s="426" t="s">
        <v>188</v>
      </c>
      <c r="B35" s="430">
        <v>0</v>
      </c>
      <c r="C35" s="430">
        <v>0</v>
      </c>
      <c r="D35" s="430">
        <v>0</v>
      </c>
      <c r="E35" s="430">
        <v>0</v>
      </c>
      <c r="F35" s="430">
        <v>0</v>
      </c>
      <c r="G35" s="430">
        <v>0</v>
      </c>
      <c r="H35" s="430">
        <v>0</v>
      </c>
      <c r="I35" s="430">
        <f t="shared" si="4"/>
        <v>82344.198314252673</v>
      </c>
      <c r="J35" s="430">
        <f t="shared" si="4"/>
        <v>78548.16876169185</v>
      </c>
      <c r="K35" s="430">
        <f t="shared" si="4"/>
        <v>838.77227486920037</v>
      </c>
      <c r="L35" s="430">
        <f t="shared" si="4"/>
        <v>838.77227486920037</v>
      </c>
      <c r="M35" s="430">
        <f t="shared" si="4"/>
        <v>1902.0264740366899</v>
      </c>
      <c r="N35" s="430">
        <f t="shared" si="4"/>
        <v>1902.0264740366899</v>
      </c>
    </row>
    <row r="36" spans="1:14" ht="15.75" thickBot="1" x14ac:dyDescent="0.3">
      <c r="A36" s="426" t="s">
        <v>189</v>
      </c>
      <c r="B36" s="430">
        <v>0</v>
      </c>
      <c r="C36" s="430">
        <v>0</v>
      </c>
      <c r="D36" s="430">
        <v>0</v>
      </c>
      <c r="E36" s="430">
        <v>0</v>
      </c>
      <c r="F36" s="430">
        <v>0</v>
      </c>
      <c r="G36" s="430">
        <v>0</v>
      </c>
      <c r="H36" s="430">
        <v>0</v>
      </c>
      <c r="I36" s="430">
        <f t="shared" si="4"/>
        <v>16736.192798037602</v>
      </c>
      <c r="J36" s="430">
        <f t="shared" si="4"/>
        <v>6385.8648125349728</v>
      </c>
      <c r="K36" s="430">
        <f t="shared" si="4"/>
        <v>1051.6391798378511</v>
      </c>
      <c r="L36" s="430">
        <f t="shared" si="4"/>
        <v>1051.6391798378511</v>
      </c>
      <c r="M36" s="430">
        <f t="shared" si="4"/>
        <v>374.37293488956942</v>
      </c>
      <c r="N36" s="430">
        <f t="shared" si="4"/>
        <v>374.37293488956942</v>
      </c>
    </row>
    <row r="37" spans="1:14" ht="15.75" thickBot="1" x14ac:dyDescent="0.3">
      <c r="A37" s="427" t="s">
        <v>190</v>
      </c>
      <c r="B37" s="430">
        <v>0</v>
      </c>
      <c r="C37" s="430">
        <v>0</v>
      </c>
      <c r="D37" s="430">
        <v>0</v>
      </c>
      <c r="E37" s="430">
        <v>0</v>
      </c>
      <c r="F37" s="430">
        <v>0</v>
      </c>
      <c r="G37" s="430">
        <v>0</v>
      </c>
      <c r="H37" s="430">
        <v>0</v>
      </c>
      <c r="I37" s="430">
        <v>0</v>
      </c>
      <c r="J37" s="430">
        <v>0</v>
      </c>
      <c r="K37" s="430">
        <f t="shared" si="4"/>
        <v>3120.8016585696578</v>
      </c>
      <c r="L37" s="430">
        <f t="shared" si="4"/>
        <v>3120.8016585696578</v>
      </c>
      <c r="M37" s="430">
        <f t="shared" si="4"/>
        <v>9420.380725743049</v>
      </c>
      <c r="N37" s="430">
        <f t="shared" si="4"/>
        <v>9420.380725743049</v>
      </c>
    </row>
    <row r="38" spans="1:14" ht="15" customHeight="1" thickBot="1" x14ac:dyDescent="0.3">
      <c r="A38" s="426" t="s">
        <v>191</v>
      </c>
      <c r="B38" s="430">
        <v>0</v>
      </c>
      <c r="C38" s="430">
        <v>0</v>
      </c>
      <c r="D38" s="430">
        <v>0</v>
      </c>
      <c r="E38" s="430">
        <v>0</v>
      </c>
      <c r="F38" s="430">
        <v>0</v>
      </c>
      <c r="G38" s="430">
        <v>0</v>
      </c>
      <c r="H38" s="430">
        <v>0</v>
      </c>
      <c r="I38" s="430">
        <v>0</v>
      </c>
      <c r="J38" s="430">
        <v>0</v>
      </c>
      <c r="K38" s="430">
        <f t="shared" si="4"/>
        <v>412.88795165229129</v>
      </c>
      <c r="L38" s="430">
        <f t="shared" si="4"/>
        <v>412.88795165229129</v>
      </c>
      <c r="M38" s="430">
        <f t="shared" si="4"/>
        <v>345.9988103826218</v>
      </c>
      <c r="N38" s="430">
        <f t="shared" si="4"/>
        <v>345.9988103826218</v>
      </c>
    </row>
    <row r="39" spans="1:14" ht="15.75" thickBot="1" x14ac:dyDescent="0.3">
      <c r="A39" s="426" t="s">
        <v>192</v>
      </c>
      <c r="B39" s="430">
        <f t="shared" si="4"/>
        <v>582.29195490813868</v>
      </c>
      <c r="C39" s="430">
        <f t="shared" si="4"/>
        <v>582.29195490813868</v>
      </c>
      <c r="D39" s="430">
        <f t="shared" si="4"/>
        <v>582.29195490813868</v>
      </c>
      <c r="E39" s="430">
        <f t="shared" si="4"/>
        <v>582.29195490813868</v>
      </c>
      <c r="F39" s="430">
        <f t="shared" si="4"/>
        <v>582.29195490813868</v>
      </c>
      <c r="G39" s="430">
        <f t="shared" si="4"/>
        <v>305.02444581143124</v>
      </c>
      <c r="H39" s="430">
        <f t="shared" si="4"/>
        <v>232.73720458032594</v>
      </c>
      <c r="I39" s="430">
        <f t="shared" si="4"/>
        <v>301.42578435251613</v>
      </c>
      <c r="J39" s="430">
        <f t="shared" si="4"/>
        <v>457.09928397345186</v>
      </c>
      <c r="K39" s="430">
        <f t="shared" si="4"/>
        <v>8185.6204929216465</v>
      </c>
      <c r="L39" s="430">
        <f t="shared" si="4"/>
        <v>8185.6204929216465</v>
      </c>
      <c r="M39" s="430">
        <f t="shared" si="4"/>
        <v>2877.8250060137802</v>
      </c>
      <c r="N39" s="430">
        <f t="shared" si="4"/>
        <v>2877.8250060137802</v>
      </c>
    </row>
    <row r="40" spans="1:14" ht="15.75" thickBot="1" x14ac:dyDescent="0.3">
      <c r="A40" s="426" t="s">
        <v>193</v>
      </c>
      <c r="B40" s="430">
        <f t="shared" si="4"/>
        <v>4.6912683650374962</v>
      </c>
      <c r="C40" s="430">
        <f t="shared" si="4"/>
        <v>4.6912683650374962</v>
      </c>
      <c r="D40" s="430">
        <f t="shared" si="4"/>
        <v>4.6912683650374962</v>
      </c>
      <c r="E40" s="430">
        <f t="shared" si="4"/>
        <v>4.6912683650374962</v>
      </c>
      <c r="F40" s="430">
        <f t="shared" si="4"/>
        <v>4.6912683650374962</v>
      </c>
      <c r="G40" s="430">
        <f t="shared" si="4"/>
        <v>5.0564739229914837</v>
      </c>
      <c r="H40" s="430">
        <f t="shared" si="4"/>
        <v>5.3354566336138864</v>
      </c>
      <c r="I40" s="430">
        <f t="shared" si="4"/>
        <v>4.9010597494238191</v>
      </c>
      <c r="J40" s="430">
        <f t="shared" si="4"/>
        <v>4.49476307494424</v>
      </c>
      <c r="K40" s="430">
        <f t="shared" si="4"/>
        <v>48.066170608962693</v>
      </c>
      <c r="L40" s="430">
        <f t="shared" si="4"/>
        <v>48.066170608962693</v>
      </c>
      <c r="M40" s="430">
        <f t="shared" si="4"/>
        <v>1027.4013267307091</v>
      </c>
      <c r="N40" s="430">
        <f t="shared" si="4"/>
        <v>1027.4013267307091</v>
      </c>
    </row>
    <row r="41" spans="1:14" ht="15.75" thickBot="1" x14ac:dyDescent="0.3">
      <c r="A41" s="427" t="s">
        <v>194</v>
      </c>
      <c r="B41" s="430">
        <v>0</v>
      </c>
      <c r="C41" s="430">
        <v>0</v>
      </c>
      <c r="D41" s="430">
        <v>0</v>
      </c>
      <c r="E41" s="430">
        <v>0</v>
      </c>
      <c r="F41" s="430">
        <v>0</v>
      </c>
      <c r="G41" s="430">
        <v>0</v>
      </c>
      <c r="H41" s="430">
        <v>0</v>
      </c>
      <c r="I41" s="430">
        <v>0</v>
      </c>
      <c r="J41" s="430">
        <v>0</v>
      </c>
      <c r="K41" s="430">
        <f t="shared" si="4"/>
        <v>261.34219520855305</v>
      </c>
      <c r="L41" s="430">
        <f t="shared" si="4"/>
        <v>261.34219520855305</v>
      </c>
      <c r="M41" s="430">
        <f t="shared" si="4"/>
        <v>877.56592029496244</v>
      </c>
      <c r="N41" s="430">
        <f t="shared" si="4"/>
        <v>877.56592029496244</v>
      </c>
    </row>
    <row r="42" spans="1:14" ht="15.75" thickBot="1" x14ac:dyDescent="0.3">
      <c r="A42" s="375" t="s">
        <v>411</v>
      </c>
      <c r="B42" s="430">
        <f t="shared" si="4"/>
        <v>36.189999999999991</v>
      </c>
      <c r="C42" s="430">
        <f t="shared" si="4"/>
        <v>36.189999999999991</v>
      </c>
      <c r="D42" s="430">
        <f t="shared" si="4"/>
        <v>36.189999999999991</v>
      </c>
      <c r="E42" s="430">
        <f t="shared" si="4"/>
        <v>36.189999999999991</v>
      </c>
      <c r="F42" s="430">
        <f t="shared" si="4"/>
        <v>36.189999999999991</v>
      </c>
      <c r="G42" s="430">
        <f t="shared" si="4"/>
        <v>36.19</v>
      </c>
      <c r="H42" s="430">
        <f t="shared" si="4"/>
        <v>36.189999999999991</v>
      </c>
      <c r="I42" s="430">
        <f t="shared" si="4"/>
        <v>36.189999999999991</v>
      </c>
      <c r="J42" s="430">
        <f t="shared" si="4"/>
        <v>36.19</v>
      </c>
      <c r="K42" s="430">
        <f t="shared" si="4"/>
        <v>36.19</v>
      </c>
      <c r="L42" s="430">
        <f t="shared" si="4"/>
        <v>36.19</v>
      </c>
      <c r="M42" s="430">
        <f t="shared" si="4"/>
        <v>36.190000000000005</v>
      </c>
      <c r="N42" s="430">
        <f t="shared" si="4"/>
        <v>36.190000000000005</v>
      </c>
    </row>
    <row r="43" spans="1:14" ht="15" customHeight="1" x14ac:dyDescent="0.25">
      <c r="A43" s="376" t="s">
        <v>419</v>
      </c>
      <c r="B43" s="430">
        <f t="shared" si="4"/>
        <v>6.8932513206110499</v>
      </c>
      <c r="C43" s="430">
        <f t="shared" si="4"/>
        <v>6.8932513206110499</v>
      </c>
      <c r="D43" s="430">
        <f t="shared" si="4"/>
        <v>6.8932513206110499</v>
      </c>
      <c r="E43" s="430">
        <f t="shared" si="4"/>
        <v>6.8932513206110499</v>
      </c>
      <c r="F43" s="430">
        <f t="shared" si="4"/>
        <v>6.8932513206110499</v>
      </c>
      <c r="G43" s="430">
        <f t="shared" si="4"/>
        <v>6.8933596574303202</v>
      </c>
      <c r="H43" s="430">
        <f t="shared" si="4"/>
        <v>6.8933333333333326</v>
      </c>
      <c r="I43" s="430">
        <f t="shared" si="4"/>
        <v>6.8933333333333335</v>
      </c>
      <c r="J43" s="430">
        <f t="shared" si="4"/>
        <v>6.8933333333333326</v>
      </c>
      <c r="K43" s="430">
        <f t="shared" si="4"/>
        <v>6.8933333333333335</v>
      </c>
      <c r="L43" s="430">
        <f t="shared" si="4"/>
        <v>6.8933333333333335</v>
      </c>
      <c r="M43" s="430">
        <f t="shared" si="4"/>
        <v>6.8933333333333326</v>
      </c>
      <c r="N43" s="430">
        <f t="shared" si="4"/>
        <v>6.8933333333333326</v>
      </c>
    </row>
    <row r="44" spans="1:14" hidden="1" x14ac:dyDescent="0.25"/>
    <row r="45" spans="1:14" hidden="1" x14ac:dyDescent="0.25">
      <c r="A45" s="402" t="s">
        <v>18</v>
      </c>
      <c r="B45" s="127">
        <f>+'Cambio uso de suelo (BAU)'!D51/1000</f>
        <v>0</v>
      </c>
      <c r="C45" s="127">
        <f>+'Cambio uso de suelo (BAU)'!E51/1000</f>
        <v>0</v>
      </c>
      <c r="D45" s="127">
        <f>+'Cambio uso de suelo (BAU)'!F51/1000</f>
        <v>0</v>
      </c>
      <c r="E45" s="127">
        <f>+'Cambio uso de suelo (BAU)'!G51/1000</f>
        <v>0</v>
      </c>
      <c r="F45" s="127">
        <f>+'Cambio uso de suelo (BAU)'!H51/1000</f>
        <v>0</v>
      </c>
      <c r="G45" s="127">
        <f>+'Cambio uso de suelo (BAU)'!I51/1000</f>
        <v>0</v>
      </c>
      <c r="H45" s="127">
        <f>+'Cambio uso de suelo (BAU)'!J51/1000</f>
        <v>0</v>
      </c>
      <c r="I45" s="127">
        <f>+'Cambio uso de suelo (BAU)'!K51/1000</f>
        <v>0</v>
      </c>
      <c r="J45" s="127">
        <f>+'Cambio uso de suelo (BAU)'!L51/1000</f>
        <v>0</v>
      </c>
      <c r="K45" s="127">
        <f>+'Cambio uso de suelo (BAU)'!M51/1000</f>
        <v>5.7059999999999999E-5</v>
      </c>
      <c r="L45" s="127">
        <f>+'Cambio uso de suelo (BAU)'!N51/1000</f>
        <v>5.7059999999999999E-5</v>
      </c>
      <c r="M45" s="127">
        <f>+'Cambio uso de suelo (BAU)'!O51/1000</f>
        <v>9.1349999999999998E-6</v>
      </c>
      <c r="N45" s="127">
        <f>+'Cambio uso de suelo (BAU)'!P51/1000</f>
        <v>9.1349999999999998E-6</v>
      </c>
    </row>
    <row r="46" spans="1:14" s="398" customFormat="1" hidden="1" x14ac:dyDescent="0.25">
      <c r="A46" s="402" t="s">
        <v>20</v>
      </c>
      <c r="B46" s="400">
        <f>+'Cambio uso de suelo (BAU)'!D52/1000</f>
        <v>1.8540000000000001E-4</v>
      </c>
      <c r="C46" s="400">
        <f>+'Cambio uso de suelo (BAU)'!E52/1000</f>
        <v>1.8540000000000001E-4</v>
      </c>
      <c r="D46" s="400">
        <f>+'Cambio uso de suelo (BAU)'!F52/1000</f>
        <v>1.8540000000000001E-4</v>
      </c>
      <c r="E46" s="400">
        <f>+'Cambio uso de suelo (BAU)'!G52/1000</f>
        <v>1.8540000000000001E-4</v>
      </c>
      <c r="F46" s="400">
        <f>+'Cambio uso de suelo (BAU)'!H52/1000</f>
        <v>1.8540000000000001E-4</v>
      </c>
      <c r="G46" s="400">
        <f>+'Cambio uso de suelo (BAU)'!I52/1000</f>
        <v>1.9050750000000001E-4</v>
      </c>
      <c r="H46" s="400">
        <f>+'Cambio uso de suelo (BAU)'!J52/1000</f>
        <v>1.9561499999999998E-4</v>
      </c>
      <c r="I46" s="400">
        <f>+'Cambio uso de suelo (BAU)'!K52/1000</f>
        <v>1.3349249999999998E-4</v>
      </c>
      <c r="J46" s="400">
        <f>+'Cambio uso de suelo (BAU)'!L52/1000</f>
        <v>7.1370000000000003E-5</v>
      </c>
      <c r="K46" s="400">
        <f>+'Cambio uso de suelo (BAU)'!M52/1000</f>
        <v>9.7200000000000004E-5</v>
      </c>
      <c r="L46" s="400">
        <f>+'Cambio uso de suelo (BAU)'!N52/1000</f>
        <v>9.7200000000000004E-5</v>
      </c>
      <c r="M46" s="400">
        <f>+'Cambio uso de suelo (BAU)'!O52/1000</f>
        <v>2.0340000000000002E-5</v>
      </c>
      <c r="N46" s="400">
        <f>+'Cambio uso de suelo (BAU)'!P52/1000</f>
        <v>2.0340000000000002E-5</v>
      </c>
    </row>
    <row r="47" spans="1:14" hidden="1" x14ac:dyDescent="0.25">
      <c r="A47" s="402" t="s">
        <v>21</v>
      </c>
      <c r="B47" s="127">
        <f>+'Cambio uso de suelo (BAU)'!D53/1000</f>
        <v>0</v>
      </c>
      <c r="C47" s="127">
        <f>+'Cambio uso de suelo (BAU)'!E53/1000</f>
        <v>0</v>
      </c>
      <c r="D47" s="127">
        <f>+'Cambio uso de suelo (BAU)'!F53/1000</f>
        <v>0</v>
      </c>
      <c r="E47" s="127">
        <f>+'Cambio uso de suelo (BAU)'!G53/1000</f>
        <v>0</v>
      </c>
      <c r="F47" s="127">
        <f>+'Cambio uso de suelo (BAU)'!H53/1000</f>
        <v>0</v>
      </c>
      <c r="G47" s="127">
        <f>+'Cambio uso de suelo (BAU)'!I53/1000</f>
        <v>0</v>
      </c>
      <c r="H47" s="127">
        <f>+'Cambio uso de suelo (BAU)'!J53/1000</f>
        <v>0</v>
      </c>
      <c r="I47" s="400">
        <f>+'Cambio uso de suelo (BAU)'!K53/1000</f>
        <v>5.6249999999999991E-7</v>
      </c>
      <c r="J47" s="400">
        <f>+'Cambio uso de suelo (BAU)'!L53/1000</f>
        <v>1.1249999999999998E-6</v>
      </c>
      <c r="K47" s="400">
        <f>+'Cambio uso de suelo (BAU)'!M53/1000</f>
        <v>7.3129999999999994E-4</v>
      </c>
      <c r="L47" s="400">
        <f>+'Cambio uso de suelo (BAU)'!N53/1000</f>
        <v>7.3129999999999994E-4</v>
      </c>
      <c r="M47" s="400">
        <f>+'Cambio uso de suelo (BAU)'!O53/1000</f>
        <v>4.6012500000000003E-4</v>
      </c>
      <c r="N47" s="400">
        <f>+'Cambio uso de suelo (BAU)'!P53/1000</f>
        <v>4.6012500000000003E-4</v>
      </c>
    </row>
    <row r="48" spans="1:14" hidden="1" x14ac:dyDescent="0.25">
      <c r="A48" s="402" t="s">
        <v>22</v>
      </c>
      <c r="B48" s="127">
        <f>+'Cambio uso de suelo (BAU)'!D54/1000</f>
        <v>0</v>
      </c>
      <c r="C48" s="127">
        <f>+'Cambio uso de suelo (BAU)'!E54/1000</f>
        <v>0</v>
      </c>
      <c r="D48" s="127">
        <f>+'Cambio uso de suelo (BAU)'!F54/1000</f>
        <v>0</v>
      </c>
      <c r="E48" s="127">
        <f>+'Cambio uso de suelo (BAU)'!G54/1000</f>
        <v>0</v>
      </c>
      <c r="F48" s="127">
        <f>+'Cambio uso de suelo (BAU)'!H54/1000</f>
        <v>0</v>
      </c>
      <c r="G48" s="127">
        <f>+'Cambio uso de suelo (BAU)'!I54/1000</f>
        <v>0</v>
      </c>
      <c r="H48" s="127">
        <f>+'Cambio uso de suelo (BAU)'!J54/1000</f>
        <v>0</v>
      </c>
      <c r="I48" s="400">
        <f>+'Cambio uso de suelo (BAU)'!K54/1000</f>
        <v>2.2949999999999996E-6</v>
      </c>
      <c r="J48" s="400">
        <f>+'Cambio uso de suelo (BAU)'!L54/1000</f>
        <v>4.5899999999999993E-6</v>
      </c>
      <c r="K48" s="400">
        <f>+'Cambio uso de suelo (BAU)'!M54/1000</f>
        <v>2.3719999999999999E-4</v>
      </c>
      <c r="L48" s="400">
        <f>+'Cambio uso de suelo (BAU)'!N54/1000</f>
        <v>2.3719999999999999E-4</v>
      </c>
      <c r="M48" s="400">
        <f>+'Cambio uso de suelo (BAU)'!O54/1000</f>
        <v>9.5044500000000007E-4</v>
      </c>
      <c r="N48" s="400">
        <f>+'Cambio uso de suelo (BAU)'!P54/1000</f>
        <v>9.5044500000000007E-4</v>
      </c>
    </row>
    <row r="49" spans="1:14" hidden="1" x14ac:dyDescent="0.25">
      <c r="A49" s="402" t="s">
        <v>23</v>
      </c>
      <c r="B49" s="127">
        <f>+'Cambio uso de suelo (BAU)'!D55/1000</f>
        <v>0</v>
      </c>
      <c r="C49" s="127">
        <f>+'Cambio uso de suelo (BAU)'!E55/1000</f>
        <v>0</v>
      </c>
      <c r="D49" s="127">
        <f>+'Cambio uso de suelo (BAU)'!F55/1000</f>
        <v>0</v>
      </c>
      <c r="E49" s="127">
        <f>+'Cambio uso de suelo (BAU)'!G55/1000</f>
        <v>0</v>
      </c>
      <c r="F49" s="127">
        <f>+'Cambio uso de suelo (BAU)'!H55/1000</f>
        <v>0</v>
      </c>
      <c r="G49" s="127">
        <f>+'Cambio uso de suelo (BAU)'!I55/1000</f>
        <v>0</v>
      </c>
      <c r="H49" s="127">
        <f>+'Cambio uso de suelo (BAU)'!J55/1000</f>
        <v>0</v>
      </c>
      <c r="I49" s="127">
        <f>+'Cambio uso de suelo (BAU)'!K55/1000</f>
        <v>0</v>
      </c>
      <c r="J49" s="127">
        <f>+'Cambio uso de suelo (BAU)'!L55/1000</f>
        <v>0</v>
      </c>
      <c r="K49" s="400">
        <f>+'Cambio uso de suelo (BAU)'!M55/1000</f>
        <v>5.4770000000000006E-5</v>
      </c>
      <c r="L49" s="400">
        <f>+'Cambio uso de suelo (BAU)'!N55/1000</f>
        <v>5.4770000000000006E-5</v>
      </c>
      <c r="M49" s="400">
        <f>+'Cambio uso de suelo (BAU)'!O55/1000</f>
        <v>2.5559999999999999E-5</v>
      </c>
      <c r="N49" s="400">
        <f>+'Cambio uso de suelo (BAU)'!P55/1000</f>
        <v>2.5559999999999999E-5</v>
      </c>
    </row>
    <row r="50" spans="1:14" hidden="1" x14ac:dyDescent="0.25">
      <c r="A50" s="402" t="s">
        <v>24</v>
      </c>
      <c r="B50" s="127">
        <f>+'Cambio uso de suelo (BAU)'!D56/1000</f>
        <v>0</v>
      </c>
      <c r="C50" s="127">
        <f>+'Cambio uso de suelo (BAU)'!E56/1000</f>
        <v>0</v>
      </c>
      <c r="D50" s="127">
        <f>+'Cambio uso de suelo (BAU)'!F56/1000</f>
        <v>0</v>
      </c>
      <c r="E50" s="127">
        <f>+'Cambio uso de suelo (BAU)'!G56/1000</f>
        <v>0</v>
      </c>
      <c r="F50" s="127">
        <f>+'Cambio uso de suelo (BAU)'!H56/1000</f>
        <v>0</v>
      </c>
      <c r="G50" s="127">
        <f>+'Cambio uso de suelo (BAU)'!I56/1000</f>
        <v>0</v>
      </c>
      <c r="H50" s="127">
        <f>+'Cambio uso de suelo (BAU)'!J56/1000</f>
        <v>0</v>
      </c>
      <c r="I50" s="127">
        <f>+'Cambio uso de suelo (BAU)'!K56/1000</f>
        <v>0</v>
      </c>
      <c r="J50" s="127">
        <f>+'Cambio uso de suelo (BAU)'!L56/1000</f>
        <v>0</v>
      </c>
      <c r="K50" s="400">
        <f>+'Cambio uso de suelo (BAU)'!M56/1000</f>
        <v>3.0419099999999997E-3</v>
      </c>
      <c r="L50" s="400">
        <f>+'Cambio uso de suelo (BAU)'!N56/1000</f>
        <v>3.0419099999999997E-3</v>
      </c>
      <c r="M50" s="400">
        <f>+'Cambio uso de suelo (BAU)'!O56/1000</f>
        <v>5.17995E-3</v>
      </c>
      <c r="N50" s="400">
        <f>+'Cambio uso de suelo (BAU)'!P56/1000</f>
        <v>5.17995E-3</v>
      </c>
    </row>
    <row r="51" spans="1:14" s="398" customFormat="1" hidden="1" x14ac:dyDescent="0.25">
      <c r="A51" s="402" t="s">
        <v>25</v>
      </c>
      <c r="B51" s="400">
        <f>+'Cambio uso de suelo (BAU)'!D57/1000</f>
        <v>2.3204999999999999E-5</v>
      </c>
      <c r="C51" s="400">
        <f>+'Cambio uso de suelo (BAU)'!E57/1000</f>
        <v>2.3204999999999999E-5</v>
      </c>
      <c r="D51" s="400">
        <f>+'Cambio uso de suelo (BAU)'!F57/1000</f>
        <v>2.3204999999999999E-5</v>
      </c>
      <c r="E51" s="400">
        <f>+'Cambio uso de suelo (BAU)'!G57/1000</f>
        <v>2.3204999999999999E-5</v>
      </c>
      <c r="F51" s="400">
        <f>+'Cambio uso de suelo (BAU)'!H57/1000</f>
        <v>2.3204999999999999E-5</v>
      </c>
      <c r="G51" s="400">
        <f>+'Cambio uso de suelo (BAU)'!I57/1000</f>
        <v>5.3520000000000009E-5</v>
      </c>
      <c r="H51" s="400">
        <f>+'Cambio uso de suelo (BAU)'!J57/1000</f>
        <v>8.3835000000000027E-5</v>
      </c>
      <c r="I51" s="400">
        <f>+'Cambio uso de suelo (BAU)'!K57/1000</f>
        <v>6.1627500000000019E-5</v>
      </c>
      <c r="J51" s="400">
        <f>+'Cambio uso de suelo (BAU)'!L57/1000</f>
        <v>3.9420000000000005E-5</v>
      </c>
      <c r="K51" s="400">
        <f>+'Cambio uso de suelo (BAU)'!M57/1000</f>
        <v>1.715E-5</v>
      </c>
      <c r="L51" s="400">
        <f>+'Cambio uso de suelo (BAU)'!N57/1000</f>
        <v>1.715E-5</v>
      </c>
      <c r="M51" s="400">
        <f>+'Cambio uso de suelo (BAU)'!O57/1000</f>
        <v>6.9300000000000004E-5</v>
      </c>
      <c r="N51" s="400">
        <f>+'Cambio uso de suelo (BAU)'!P57/1000</f>
        <v>6.9300000000000004E-5</v>
      </c>
    </row>
    <row r="52" spans="1:14" s="398" customFormat="1" hidden="1" x14ac:dyDescent="0.25">
      <c r="A52" s="402" t="s">
        <v>26</v>
      </c>
      <c r="B52" s="400">
        <f>+'Cambio uso de suelo (BAU)'!D58/1000</f>
        <v>7.0914000000000003E-4</v>
      </c>
      <c r="C52" s="400">
        <f>+'Cambio uso de suelo (BAU)'!E58/1000</f>
        <v>7.0914000000000003E-4</v>
      </c>
      <c r="D52" s="400">
        <f>+'Cambio uso de suelo (BAU)'!F58/1000</f>
        <v>7.0914000000000003E-4</v>
      </c>
      <c r="E52" s="400">
        <f>+'Cambio uso de suelo (BAU)'!G58/1000</f>
        <v>7.0914000000000003E-4</v>
      </c>
      <c r="F52" s="400">
        <f>+'Cambio uso de suelo (BAU)'!H58/1000</f>
        <v>7.0914000000000003E-4</v>
      </c>
      <c r="G52" s="400">
        <f>+'Cambio uso de suelo (BAU)'!I58/1000</f>
        <v>8.0933999999999997E-4</v>
      </c>
      <c r="H52" s="400">
        <f>+'Cambio uso de suelo (BAU)'!J58/1000</f>
        <v>9.0954000000000002E-4</v>
      </c>
      <c r="I52" s="400">
        <f>+'Cambio uso de suelo (BAU)'!K58/1000</f>
        <v>9.4742999999999997E-4</v>
      </c>
      <c r="J52" s="400">
        <f>+'Cambio uso de suelo (BAU)'!L58/1000</f>
        <v>9.8532000000000003E-4</v>
      </c>
      <c r="K52" s="400">
        <f>+'Cambio uso de suelo (BAU)'!M58/1000</f>
        <v>7.1915E-4</v>
      </c>
      <c r="L52" s="400">
        <f>+'Cambio uso de suelo (BAU)'!N58/1000</f>
        <v>7.1915E-4</v>
      </c>
      <c r="M52" s="400">
        <f>+'Cambio uso de suelo (BAU)'!O58/1000</f>
        <v>4.8149999999999998E-5</v>
      </c>
      <c r="N52" s="400">
        <f>+'Cambio uso de suelo (BAU)'!P58/1000</f>
        <v>4.8149999999999998E-5</v>
      </c>
    </row>
    <row r="53" spans="1:14" hidden="1" x14ac:dyDescent="0.25">
      <c r="A53" s="402" t="s">
        <v>27</v>
      </c>
      <c r="B53" s="127">
        <f>+'Cambio uso de suelo (BAU)'!D59/1000</f>
        <v>0</v>
      </c>
      <c r="C53" s="127">
        <f>+'Cambio uso de suelo (BAU)'!E59/1000</f>
        <v>0</v>
      </c>
      <c r="D53" s="127">
        <f>+'Cambio uso de suelo (BAU)'!F59/1000</f>
        <v>0</v>
      </c>
      <c r="E53" s="127">
        <f>+'Cambio uso de suelo (BAU)'!G59/1000</f>
        <v>0</v>
      </c>
      <c r="F53" s="127">
        <f>+'Cambio uso de suelo (BAU)'!H59/1000</f>
        <v>0</v>
      </c>
      <c r="G53" s="127">
        <f>+'Cambio uso de suelo (BAU)'!I59/1000</f>
        <v>0</v>
      </c>
      <c r="H53" s="127">
        <f>+'Cambio uso de suelo (BAU)'!J59/1000</f>
        <v>0</v>
      </c>
      <c r="I53" s="127">
        <f>+'Cambio uso de suelo (BAU)'!K59/1000</f>
        <v>0</v>
      </c>
      <c r="J53" s="127">
        <f>+'Cambio uso de suelo (BAU)'!L59/1000</f>
        <v>0</v>
      </c>
      <c r="K53" s="127">
        <f>+'Cambio uso de suelo (BAU)'!M59/1000</f>
        <v>5.5277999999999989E-4</v>
      </c>
      <c r="L53" s="127">
        <f>+'Cambio uso de suelo (BAU)'!N59/1000</f>
        <v>5.5277999999999989E-4</v>
      </c>
      <c r="M53" s="127">
        <f>+'Cambio uso de suelo (BAU)'!O59/1000</f>
        <v>2.3462999999999999E-4</v>
      </c>
      <c r="N53" s="127">
        <f>+'Cambio uso de suelo (BAU)'!P59/1000</f>
        <v>2.3462999999999999E-4</v>
      </c>
    </row>
    <row r="54" spans="1:14" hidden="1" x14ac:dyDescent="0.25">
      <c r="B54" s="127">
        <f>+SUM(B45:B53)</f>
        <v>9.1774499999999998E-4</v>
      </c>
      <c r="C54" s="127">
        <f t="shared" ref="C54:N54" si="5">+SUM(C45:C53)</f>
        <v>9.1774499999999998E-4</v>
      </c>
      <c r="D54" s="127">
        <f t="shared" si="5"/>
        <v>9.1774499999999998E-4</v>
      </c>
      <c r="E54" s="127">
        <f t="shared" si="5"/>
        <v>9.1774499999999998E-4</v>
      </c>
      <c r="F54" s="127">
        <f t="shared" si="5"/>
        <v>9.1774499999999998E-4</v>
      </c>
      <c r="G54" s="127">
        <f t="shared" si="5"/>
        <v>1.0533675000000001E-3</v>
      </c>
      <c r="H54" s="127">
        <f t="shared" si="5"/>
        <v>1.18899E-3</v>
      </c>
      <c r="I54" s="127">
        <f t="shared" si="5"/>
        <v>1.1454074999999999E-3</v>
      </c>
      <c r="J54" s="127">
        <f t="shared" si="5"/>
        <v>1.1018250000000001E-3</v>
      </c>
      <c r="K54" s="127">
        <f t="shared" si="5"/>
        <v>5.5085199999999994E-3</v>
      </c>
      <c r="L54" s="127">
        <f t="shared" si="5"/>
        <v>5.5085199999999994E-3</v>
      </c>
      <c r="M54" s="127">
        <f t="shared" si="5"/>
        <v>6.9976350000000003E-3</v>
      </c>
      <c r="N54" s="127">
        <f t="shared" si="5"/>
        <v>6.9976350000000003E-3</v>
      </c>
    </row>
    <row r="55" spans="1:14" hidden="1" x14ac:dyDescent="0.25">
      <c r="A55" s="402" t="s">
        <v>18</v>
      </c>
      <c r="B55" s="127">
        <v>0</v>
      </c>
      <c r="C55" s="127">
        <v>0</v>
      </c>
      <c r="D55" s="127">
        <v>0</v>
      </c>
      <c r="E55" s="127">
        <v>0</v>
      </c>
      <c r="F55" s="127">
        <v>0</v>
      </c>
      <c r="G55" s="127">
        <v>0</v>
      </c>
      <c r="H55" s="127">
        <v>0</v>
      </c>
      <c r="I55" s="127">
        <v>0</v>
      </c>
      <c r="J55" s="127">
        <v>0</v>
      </c>
      <c r="K55" s="127">
        <f t="shared" ref="K55:N55" si="6">+K35/K45</f>
        <v>14699829.563077468</v>
      </c>
      <c r="L55" s="127">
        <f t="shared" si="6"/>
        <v>14699829.563077468</v>
      </c>
      <c r="M55" s="127">
        <f t="shared" si="6"/>
        <v>208213078.71228135</v>
      </c>
      <c r="N55" s="127">
        <f t="shared" si="6"/>
        <v>208213078.71228135</v>
      </c>
    </row>
    <row r="56" spans="1:14" hidden="1" x14ac:dyDescent="0.25">
      <c r="A56" s="402" t="s">
        <v>20</v>
      </c>
      <c r="B56" s="127">
        <f t="shared" ref="B56:N63" si="7">+B36/B46</f>
        <v>0</v>
      </c>
      <c r="C56" s="127">
        <f t="shared" si="7"/>
        <v>0</v>
      </c>
      <c r="D56" s="127">
        <f t="shared" si="7"/>
        <v>0</v>
      </c>
      <c r="E56" s="127">
        <f t="shared" si="7"/>
        <v>0</v>
      </c>
      <c r="F56" s="127">
        <f t="shared" si="7"/>
        <v>0</v>
      </c>
      <c r="G56" s="127">
        <f t="shared" si="7"/>
        <v>0</v>
      </c>
      <c r="H56" s="127">
        <f t="shared" si="7"/>
        <v>0</v>
      </c>
      <c r="I56" s="127">
        <f t="shared" si="7"/>
        <v>125371783.41882581</v>
      </c>
      <c r="J56" s="127">
        <f t="shared" si="7"/>
        <v>89475477.26684843</v>
      </c>
      <c r="K56" s="127">
        <f t="shared" si="7"/>
        <v>10819333.125903817</v>
      </c>
      <c r="L56" s="127">
        <f t="shared" si="7"/>
        <v>10819333.125903817</v>
      </c>
      <c r="M56" s="127">
        <f t="shared" si="7"/>
        <v>18405749.011286598</v>
      </c>
      <c r="N56" s="127">
        <f t="shared" si="7"/>
        <v>18405749.011286598</v>
      </c>
    </row>
    <row r="57" spans="1:14" hidden="1" x14ac:dyDescent="0.25">
      <c r="A57" s="402" t="s">
        <v>21</v>
      </c>
      <c r="B57" s="127">
        <v>0</v>
      </c>
      <c r="C57" s="127">
        <v>0</v>
      </c>
      <c r="D57" s="127">
        <v>0</v>
      </c>
      <c r="E57" s="127">
        <v>0</v>
      </c>
      <c r="F57" s="127">
        <v>0</v>
      </c>
      <c r="G57" s="127">
        <v>0</v>
      </c>
      <c r="H57" s="127">
        <v>0</v>
      </c>
      <c r="I57" s="127">
        <f t="shared" si="7"/>
        <v>0</v>
      </c>
      <c r="J57" s="127">
        <f t="shared" si="7"/>
        <v>0</v>
      </c>
      <c r="K57" s="127">
        <f t="shared" si="7"/>
        <v>4267471.158990371</v>
      </c>
      <c r="L57" s="127">
        <f t="shared" si="7"/>
        <v>4267471.158990371</v>
      </c>
      <c r="M57" s="127">
        <f t="shared" si="7"/>
        <v>20473525.076322842</v>
      </c>
      <c r="N57" s="127">
        <f t="shared" si="7"/>
        <v>20473525.076322842</v>
      </c>
    </row>
    <row r="58" spans="1:14" hidden="1" x14ac:dyDescent="0.25">
      <c r="A58" s="402" t="s">
        <v>22</v>
      </c>
      <c r="B58" s="127">
        <v>0</v>
      </c>
      <c r="C58" s="127">
        <v>0</v>
      </c>
      <c r="D58" s="127">
        <v>0</v>
      </c>
      <c r="E58" s="127">
        <v>0</v>
      </c>
      <c r="F58" s="127">
        <v>0</v>
      </c>
      <c r="G58" s="127">
        <v>0</v>
      </c>
      <c r="H58" s="127">
        <v>0</v>
      </c>
      <c r="I58" s="127">
        <f t="shared" si="7"/>
        <v>0</v>
      </c>
      <c r="J58" s="127">
        <f t="shared" si="7"/>
        <v>0</v>
      </c>
      <c r="K58" s="127">
        <f t="shared" si="7"/>
        <v>1740674.3324295587</v>
      </c>
      <c r="L58" s="127">
        <f t="shared" si="7"/>
        <v>1740674.3324295587</v>
      </c>
      <c r="M58" s="127">
        <f t="shared" si="7"/>
        <v>364038.75067218172</v>
      </c>
      <c r="N58" s="127">
        <f t="shared" si="7"/>
        <v>364038.75067218172</v>
      </c>
    </row>
    <row r="59" spans="1:14" hidden="1" x14ac:dyDescent="0.25">
      <c r="A59" s="402" t="s">
        <v>23</v>
      </c>
      <c r="B59" s="127">
        <v>0</v>
      </c>
      <c r="C59" s="127">
        <v>0</v>
      </c>
      <c r="D59" s="127">
        <v>0</v>
      </c>
      <c r="E59" s="127">
        <v>0</v>
      </c>
      <c r="F59" s="127">
        <v>0</v>
      </c>
      <c r="G59" s="127">
        <v>0</v>
      </c>
      <c r="H59" s="127">
        <v>0</v>
      </c>
      <c r="I59" s="127">
        <v>0</v>
      </c>
      <c r="J59" s="127">
        <v>0</v>
      </c>
      <c r="K59" s="127">
        <f t="shared" si="7"/>
        <v>149454454.86437184</v>
      </c>
      <c r="L59" s="127">
        <f t="shared" si="7"/>
        <v>149454454.86437184</v>
      </c>
      <c r="M59" s="127">
        <f t="shared" si="7"/>
        <v>112590962.67659548</v>
      </c>
      <c r="N59" s="127">
        <f t="shared" si="7"/>
        <v>112590962.67659548</v>
      </c>
    </row>
    <row r="60" spans="1:14" hidden="1" x14ac:dyDescent="0.25">
      <c r="A60" s="402" t="s">
        <v>24</v>
      </c>
      <c r="B60" s="127">
        <v>0</v>
      </c>
      <c r="C60" s="127">
        <v>0</v>
      </c>
      <c r="D60" s="127">
        <v>0</v>
      </c>
      <c r="E60" s="127">
        <v>0</v>
      </c>
      <c r="F60" s="127">
        <v>0</v>
      </c>
      <c r="G60" s="127">
        <v>0</v>
      </c>
      <c r="H60" s="127">
        <v>0</v>
      </c>
      <c r="I60" s="127">
        <v>0</v>
      </c>
      <c r="J60" s="127">
        <v>0</v>
      </c>
      <c r="K60" s="127">
        <f t="shared" si="7"/>
        <v>15801.312533560395</v>
      </c>
      <c r="L60" s="127">
        <f t="shared" si="7"/>
        <v>15801.312533560395</v>
      </c>
      <c r="M60" s="127">
        <f t="shared" si="7"/>
        <v>198341.93896286818</v>
      </c>
      <c r="N60" s="127">
        <f t="shared" si="7"/>
        <v>198341.93896286818</v>
      </c>
    </row>
    <row r="61" spans="1:14" hidden="1" x14ac:dyDescent="0.25">
      <c r="A61" s="402" t="s">
        <v>25</v>
      </c>
      <c r="B61" s="127">
        <f t="shared" si="7"/>
        <v>0</v>
      </c>
      <c r="C61" s="127">
        <f t="shared" si="7"/>
        <v>0</v>
      </c>
      <c r="D61" s="127">
        <f t="shared" si="7"/>
        <v>0</v>
      </c>
      <c r="E61" s="127">
        <f t="shared" si="7"/>
        <v>0</v>
      </c>
      <c r="F61" s="127">
        <f t="shared" si="7"/>
        <v>0</v>
      </c>
      <c r="G61" s="127">
        <f t="shared" si="7"/>
        <v>0</v>
      </c>
      <c r="H61" s="127">
        <f t="shared" si="7"/>
        <v>0</v>
      </c>
      <c r="I61" s="127">
        <f t="shared" si="7"/>
        <v>0</v>
      </c>
      <c r="J61" s="127">
        <f t="shared" si="7"/>
        <v>0</v>
      </c>
      <c r="K61" s="127">
        <f t="shared" si="7"/>
        <v>15238611.965513296</v>
      </c>
      <c r="L61" s="127">
        <f t="shared" si="7"/>
        <v>15238611.965513296</v>
      </c>
      <c r="M61" s="127">
        <f t="shared" si="7"/>
        <v>12663288.8931452</v>
      </c>
      <c r="N61" s="127">
        <f t="shared" si="7"/>
        <v>12663288.8931452</v>
      </c>
    </row>
    <row r="62" spans="1:14" hidden="1" x14ac:dyDescent="0.25">
      <c r="A62" s="402" t="s">
        <v>26</v>
      </c>
      <c r="B62" s="127">
        <f t="shared" si="7"/>
        <v>51033.646388583336</v>
      </c>
      <c r="C62" s="127">
        <f t="shared" si="7"/>
        <v>51033.646388583336</v>
      </c>
      <c r="D62" s="127">
        <f t="shared" si="7"/>
        <v>51033.646388583336</v>
      </c>
      <c r="E62" s="127">
        <f t="shared" si="7"/>
        <v>51033.646388583336</v>
      </c>
      <c r="F62" s="127">
        <f t="shared" si="7"/>
        <v>51033.646388583336</v>
      </c>
      <c r="G62" s="127">
        <f t="shared" si="7"/>
        <v>44715.447154471542</v>
      </c>
      <c r="H62" s="127">
        <f t="shared" si="7"/>
        <v>39789.344064032353</v>
      </c>
      <c r="I62" s="127">
        <f t="shared" si="7"/>
        <v>38198.07268083129</v>
      </c>
      <c r="J62" s="127">
        <f t="shared" si="7"/>
        <v>36729.184427394146</v>
      </c>
      <c r="K62" s="127">
        <f t="shared" si="7"/>
        <v>50323.298338316068</v>
      </c>
      <c r="L62" s="127">
        <f t="shared" si="7"/>
        <v>50323.298338316068</v>
      </c>
      <c r="M62" s="127">
        <f t="shared" si="7"/>
        <v>751609.55347871245</v>
      </c>
      <c r="N62" s="127">
        <f t="shared" si="7"/>
        <v>751609.55347871245</v>
      </c>
    </row>
    <row r="63" spans="1:14" hidden="1" x14ac:dyDescent="0.25">
      <c r="A63" s="402" t="s">
        <v>27</v>
      </c>
      <c r="B63" s="127">
        <v>0</v>
      </c>
      <c r="C63" s="127">
        <v>0</v>
      </c>
      <c r="D63" s="127">
        <v>0</v>
      </c>
      <c r="E63" s="127">
        <v>0</v>
      </c>
      <c r="F63" s="127">
        <v>0</v>
      </c>
      <c r="G63" s="127">
        <v>0</v>
      </c>
      <c r="H63" s="127">
        <v>0</v>
      </c>
      <c r="I63" s="127">
        <v>0</v>
      </c>
      <c r="J63" s="127">
        <v>0</v>
      </c>
      <c r="K63" s="127">
        <f t="shared" si="7"/>
        <v>12470.301626928136</v>
      </c>
      <c r="L63" s="127">
        <f t="shared" si="7"/>
        <v>12470.301626928136</v>
      </c>
      <c r="M63" s="127">
        <f t="shared" si="7"/>
        <v>29379.590561025158</v>
      </c>
      <c r="N63" s="127">
        <f t="shared" si="7"/>
        <v>29379.590561025158</v>
      </c>
    </row>
    <row r="64" spans="1:14" hidden="1" x14ac:dyDescent="0.25"/>
    <row r="65" spans="1:14" hidden="1" x14ac:dyDescent="0.25">
      <c r="A65" s="403" t="s">
        <v>223</v>
      </c>
      <c r="B65" s="401">
        <v>2010</v>
      </c>
      <c r="C65" s="401">
        <v>2011</v>
      </c>
      <c r="D65" s="401">
        <v>2012</v>
      </c>
      <c r="E65" s="401">
        <v>2013</v>
      </c>
      <c r="F65" s="401">
        <v>2014</v>
      </c>
      <c r="G65" s="401">
        <v>2015</v>
      </c>
      <c r="H65" s="401">
        <v>2016</v>
      </c>
      <c r="I65" s="401">
        <v>2017</v>
      </c>
      <c r="J65" s="401">
        <v>2018</v>
      </c>
      <c r="K65" s="401">
        <v>2019</v>
      </c>
      <c r="L65" s="401">
        <v>2020</v>
      </c>
      <c r="M65" s="401">
        <v>2021</v>
      </c>
      <c r="N65" s="401">
        <v>2022</v>
      </c>
    </row>
    <row r="66" spans="1:14" hidden="1" x14ac:dyDescent="0.25">
      <c r="A66" s="402" t="s">
        <v>18</v>
      </c>
      <c r="B66" s="127">
        <f>+B45/B$54</f>
        <v>0</v>
      </c>
      <c r="C66" s="127">
        <f t="shared" ref="C66:H66" si="8">+C45/C$54</f>
        <v>0</v>
      </c>
      <c r="D66" s="127">
        <f t="shared" si="8"/>
        <v>0</v>
      </c>
      <c r="E66" s="127">
        <f t="shared" si="8"/>
        <v>0</v>
      </c>
      <c r="F66" s="127">
        <f t="shared" si="8"/>
        <v>0</v>
      </c>
      <c r="G66" s="127">
        <f t="shared" si="8"/>
        <v>0</v>
      </c>
      <c r="H66" s="127">
        <f t="shared" si="8"/>
        <v>0</v>
      </c>
      <c r="I66" s="127">
        <f t="shared" ref="I66:N66" si="9">+I45/I$54</f>
        <v>0</v>
      </c>
      <c r="J66" s="127">
        <f t="shared" si="9"/>
        <v>0</v>
      </c>
      <c r="K66" s="127">
        <f t="shared" si="9"/>
        <v>1.0358499197606617E-2</v>
      </c>
      <c r="L66" s="127">
        <f t="shared" si="9"/>
        <v>1.0358499197606617E-2</v>
      </c>
      <c r="M66" s="127">
        <f t="shared" si="9"/>
        <v>1.3054410525841944E-3</v>
      </c>
      <c r="N66" s="127">
        <f t="shared" si="9"/>
        <v>1.3054410525841944E-3</v>
      </c>
    </row>
    <row r="67" spans="1:14" hidden="1" x14ac:dyDescent="0.25">
      <c r="A67" s="402" t="s">
        <v>20</v>
      </c>
      <c r="B67" s="127">
        <f t="shared" ref="B67:H74" si="10">+B46/B$54</f>
        <v>0.2020169001193142</v>
      </c>
      <c r="C67" s="127">
        <f t="shared" si="10"/>
        <v>0.2020169001193142</v>
      </c>
      <c r="D67" s="127">
        <f t="shared" si="10"/>
        <v>0.2020169001193142</v>
      </c>
      <c r="E67" s="127">
        <f t="shared" si="10"/>
        <v>0.2020169001193142</v>
      </c>
      <c r="F67" s="127">
        <f t="shared" si="10"/>
        <v>0.2020169001193142</v>
      </c>
      <c r="G67" s="127">
        <f t="shared" si="10"/>
        <v>0.18085568426973492</v>
      </c>
      <c r="H67" s="127">
        <f t="shared" si="10"/>
        <v>0.1645219892513814</v>
      </c>
      <c r="I67" s="127">
        <f t="shared" ref="I67:N67" si="11">+I46/I$54</f>
        <v>0.11654585813345904</v>
      </c>
      <c r="J67" s="127">
        <f t="shared" si="11"/>
        <v>6.4774351643863595E-2</v>
      </c>
      <c r="K67" s="127">
        <f t="shared" si="11"/>
        <v>1.7645392954913481E-2</v>
      </c>
      <c r="L67" s="127">
        <f t="shared" si="11"/>
        <v>1.7645392954913481E-2</v>
      </c>
      <c r="M67" s="127">
        <f t="shared" si="11"/>
        <v>2.9066963338327881E-3</v>
      </c>
      <c r="N67" s="127">
        <f t="shared" si="11"/>
        <v>2.9066963338327881E-3</v>
      </c>
    </row>
    <row r="68" spans="1:14" hidden="1" x14ac:dyDescent="0.25">
      <c r="A68" s="402" t="s">
        <v>21</v>
      </c>
      <c r="B68" s="127">
        <f t="shared" si="10"/>
        <v>0</v>
      </c>
      <c r="C68" s="127">
        <f t="shared" si="10"/>
        <v>0</v>
      </c>
      <c r="D68" s="127">
        <f t="shared" si="10"/>
        <v>0</v>
      </c>
      <c r="E68" s="127">
        <f t="shared" si="10"/>
        <v>0</v>
      </c>
      <c r="F68" s="127">
        <f t="shared" si="10"/>
        <v>0</v>
      </c>
      <c r="G68" s="127">
        <f t="shared" si="10"/>
        <v>0</v>
      </c>
      <c r="H68" s="127">
        <f t="shared" si="10"/>
        <v>0</v>
      </c>
      <c r="I68" s="127">
        <f t="shared" ref="I68:N68" si="12">+I47/I$54</f>
        <v>4.9109159840493447E-4</v>
      </c>
      <c r="J68" s="127">
        <f t="shared" si="12"/>
        <v>1.0210332856851131E-3</v>
      </c>
      <c r="K68" s="127">
        <f t="shared" si="12"/>
        <v>0.13275798218033155</v>
      </c>
      <c r="L68" s="127">
        <f t="shared" si="12"/>
        <v>0.13275798218033155</v>
      </c>
      <c r="M68" s="127">
        <f t="shared" si="12"/>
        <v>6.5754358436814722E-2</v>
      </c>
      <c r="N68" s="127">
        <f t="shared" si="12"/>
        <v>6.5754358436814722E-2</v>
      </c>
    </row>
    <row r="69" spans="1:14" hidden="1" x14ac:dyDescent="0.25">
      <c r="A69" s="402" t="s">
        <v>22</v>
      </c>
      <c r="B69" s="127">
        <f t="shared" si="10"/>
        <v>0</v>
      </c>
      <c r="C69" s="127">
        <f t="shared" si="10"/>
        <v>0</v>
      </c>
      <c r="D69" s="127">
        <f t="shared" si="10"/>
        <v>0</v>
      </c>
      <c r="E69" s="127">
        <f t="shared" si="10"/>
        <v>0</v>
      </c>
      <c r="F69" s="127">
        <f t="shared" si="10"/>
        <v>0</v>
      </c>
      <c r="G69" s="127">
        <f t="shared" si="10"/>
        <v>0</v>
      </c>
      <c r="H69" s="127">
        <f t="shared" si="10"/>
        <v>0</v>
      </c>
      <c r="I69" s="127">
        <f t="shared" ref="I69:N69" si="13">+I48/I$54</f>
        <v>2.0036537214921323E-3</v>
      </c>
      <c r="J69" s="127">
        <f t="shared" si="13"/>
        <v>4.1658158055952613E-3</v>
      </c>
      <c r="K69" s="127">
        <f t="shared" si="13"/>
        <v>4.3060567992854709E-2</v>
      </c>
      <c r="L69" s="127">
        <f t="shared" si="13"/>
        <v>4.3060567992854709E-2</v>
      </c>
      <c r="M69" s="127">
        <f t="shared" si="13"/>
        <v>0.13582374616566883</v>
      </c>
      <c r="N69" s="127">
        <f t="shared" si="13"/>
        <v>0.13582374616566883</v>
      </c>
    </row>
    <row r="70" spans="1:14" hidden="1" x14ac:dyDescent="0.25">
      <c r="A70" s="402" t="s">
        <v>23</v>
      </c>
      <c r="B70" s="127">
        <f t="shared" si="10"/>
        <v>0</v>
      </c>
      <c r="C70" s="127">
        <f t="shared" si="10"/>
        <v>0</v>
      </c>
      <c r="D70" s="127">
        <f t="shared" si="10"/>
        <v>0</v>
      </c>
      <c r="E70" s="127">
        <f t="shared" si="10"/>
        <v>0</v>
      </c>
      <c r="F70" s="127">
        <f t="shared" si="10"/>
        <v>0</v>
      </c>
      <c r="G70" s="127">
        <f t="shared" si="10"/>
        <v>0</v>
      </c>
      <c r="H70" s="127">
        <f t="shared" si="10"/>
        <v>0</v>
      </c>
      <c r="I70" s="127">
        <f t="shared" ref="I70:N70" si="14">+I49/I$54</f>
        <v>0</v>
      </c>
      <c r="J70" s="127">
        <f t="shared" si="14"/>
        <v>0</v>
      </c>
      <c r="K70" s="127">
        <f t="shared" si="14"/>
        <v>9.9427795487717231E-3</v>
      </c>
      <c r="L70" s="127">
        <f t="shared" si="14"/>
        <v>9.9427795487717231E-3</v>
      </c>
      <c r="M70" s="127">
        <f t="shared" si="14"/>
        <v>3.6526626495951846E-3</v>
      </c>
      <c r="N70" s="127">
        <f t="shared" si="14"/>
        <v>3.6526626495951846E-3</v>
      </c>
    </row>
    <row r="71" spans="1:14" hidden="1" x14ac:dyDescent="0.25">
      <c r="A71" s="402" t="s">
        <v>24</v>
      </c>
      <c r="B71" s="127">
        <f t="shared" si="10"/>
        <v>0</v>
      </c>
      <c r="C71" s="127">
        <f t="shared" si="10"/>
        <v>0</v>
      </c>
      <c r="D71" s="127">
        <f t="shared" si="10"/>
        <v>0</v>
      </c>
      <c r="E71" s="127">
        <f t="shared" si="10"/>
        <v>0</v>
      </c>
      <c r="F71" s="127">
        <f t="shared" si="10"/>
        <v>0</v>
      </c>
      <c r="G71" s="127">
        <f t="shared" si="10"/>
        <v>0</v>
      </c>
      <c r="H71" s="127">
        <f t="shared" si="10"/>
        <v>0</v>
      </c>
      <c r="I71" s="127">
        <f t="shared" ref="I71:N71" si="15">+I50/I$54</f>
        <v>0</v>
      </c>
      <c r="J71" s="127">
        <f t="shared" si="15"/>
        <v>0</v>
      </c>
      <c r="K71" s="127">
        <f t="shared" si="15"/>
        <v>0.55221910785474138</v>
      </c>
      <c r="L71" s="127">
        <f t="shared" si="15"/>
        <v>0.55221910785474138</v>
      </c>
      <c r="M71" s="127">
        <f t="shared" si="15"/>
        <v>0.74024295351215086</v>
      </c>
      <c r="N71" s="127">
        <f t="shared" si="15"/>
        <v>0.74024295351215086</v>
      </c>
    </row>
    <row r="72" spans="1:14" hidden="1" x14ac:dyDescent="0.25">
      <c r="A72" s="402" t="s">
        <v>25</v>
      </c>
      <c r="B72" s="127">
        <f t="shared" si="10"/>
        <v>2.5284801333703807E-2</v>
      </c>
      <c r="C72" s="127">
        <f t="shared" si="10"/>
        <v>2.5284801333703807E-2</v>
      </c>
      <c r="D72" s="127">
        <f t="shared" si="10"/>
        <v>2.5284801333703807E-2</v>
      </c>
      <c r="E72" s="127">
        <f t="shared" si="10"/>
        <v>2.5284801333703807E-2</v>
      </c>
      <c r="F72" s="127">
        <f t="shared" si="10"/>
        <v>2.5284801333703807E-2</v>
      </c>
      <c r="G72" s="127">
        <f t="shared" si="10"/>
        <v>5.0808478522452995E-2</v>
      </c>
      <c r="H72" s="127">
        <f t="shared" si="10"/>
        <v>7.0509423964877777E-2</v>
      </c>
      <c r="I72" s="127">
        <f t="shared" ref="I72:N72" si="16">+I51/I$54</f>
        <v>5.3803995521244645E-2</v>
      </c>
      <c r="J72" s="127">
        <f t="shared" si="16"/>
        <v>3.5777006330406376E-2</v>
      </c>
      <c r="K72" s="127">
        <f t="shared" si="16"/>
        <v>3.1133589421478004E-3</v>
      </c>
      <c r="L72" s="127">
        <f t="shared" si="16"/>
        <v>3.1133589421478004E-3</v>
      </c>
      <c r="M72" s="127">
        <f t="shared" si="16"/>
        <v>9.9033459161559593E-3</v>
      </c>
      <c r="N72" s="127">
        <f t="shared" si="16"/>
        <v>9.9033459161559593E-3</v>
      </c>
    </row>
    <row r="73" spans="1:14" hidden="1" x14ac:dyDescent="0.25">
      <c r="A73" s="402" t="s">
        <v>26</v>
      </c>
      <c r="B73" s="127">
        <f t="shared" si="10"/>
        <v>0.77269829854698202</v>
      </c>
      <c r="C73" s="127">
        <f t="shared" si="10"/>
        <v>0.77269829854698202</v>
      </c>
      <c r="D73" s="127">
        <f t="shared" si="10"/>
        <v>0.77269829854698202</v>
      </c>
      <c r="E73" s="127">
        <f t="shared" si="10"/>
        <v>0.77269829854698202</v>
      </c>
      <c r="F73" s="127">
        <f t="shared" si="10"/>
        <v>0.77269829854698202</v>
      </c>
      <c r="G73" s="127">
        <f t="shared" si="10"/>
        <v>0.76833583720781196</v>
      </c>
      <c r="H73" s="127">
        <f t="shared" si="10"/>
        <v>0.7649685867837408</v>
      </c>
      <c r="I73" s="127">
        <f t="shared" ref="I73:N73" si="17">+I52/I$54</f>
        <v>0.82715540102539931</v>
      </c>
      <c r="J73" s="127">
        <f t="shared" si="17"/>
        <v>0.89426179293444963</v>
      </c>
      <c r="K73" s="127">
        <f t="shared" si="17"/>
        <v>0.13055230806096738</v>
      </c>
      <c r="L73" s="127">
        <f t="shared" si="17"/>
        <v>0.13055230806096738</v>
      </c>
      <c r="M73" s="127">
        <f t="shared" si="17"/>
        <v>6.8808961884979708E-3</v>
      </c>
      <c r="N73" s="127">
        <f t="shared" si="17"/>
        <v>6.8808961884979708E-3</v>
      </c>
    </row>
    <row r="74" spans="1:14" hidden="1" x14ac:dyDescent="0.25">
      <c r="A74" s="402" t="s">
        <v>27</v>
      </c>
      <c r="B74" s="127">
        <f t="shared" si="10"/>
        <v>0</v>
      </c>
      <c r="C74" s="127">
        <f t="shared" si="10"/>
        <v>0</v>
      </c>
      <c r="D74" s="127">
        <f t="shared" si="10"/>
        <v>0</v>
      </c>
      <c r="E74" s="127">
        <f t="shared" si="10"/>
        <v>0</v>
      </c>
      <c r="F74" s="127">
        <f t="shared" si="10"/>
        <v>0</v>
      </c>
      <c r="G74" s="127">
        <f t="shared" si="10"/>
        <v>0</v>
      </c>
      <c r="H74" s="127">
        <f t="shared" si="10"/>
        <v>0</v>
      </c>
      <c r="I74" s="127">
        <f t="shared" ref="I74:N74" si="18">+I53/I$54</f>
        <v>0</v>
      </c>
      <c r="J74" s="127">
        <f t="shared" si="18"/>
        <v>0</v>
      </c>
      <c r="K74" s="127">
        <f t="shared" si="18"/>
        <v>0.10035000326766536</v>
      </c>
      <c r="L74" s="127">
        <f t="shared" si="18"/>
        <v>0.10035000326766536</v>
      </c>
      <c r="M74" s="127">
        <f t="shared" si="18"/>
        <v>3.3529899744699457E-2</v>
      </c>
      <c r="N74" s="127">
        <f t="shared" si="18"/>
        <v>3.3529899744699457E-2</v>
      </c>
    </row>
    <row r="75" spans="1:14" hidden="1" x14ac:dyDescent="0.25">
      <c r="B75" s="127">
        <f>+SUM(B66:B74)</f>
        <v>1</v>
      </c>
      <c r="C75" s="127">
        <f t="shared" ref="C75:N75" si="19">+SUM(C66:C74)</f>
        <v>1</v>
      </c>
      <c r="D75" s="127">
        <f t="shared" si="19"/>
        <v>1</v>
      </c>
      <c r="E75" s="127">
        <f t="shared" si="19"/>
        <v>1</v>
      </c>
      <c r="F75" s="127">
        <f t="shared" si="19"/>
        <v>1</v>
      </c>
      <c r="G75" s="127">
        <f t="shared" si="19"/>
        <v>0.99999999999999989</v>
      </c>
      <c r="H75" s="127">
        <f t="shared" si="19"/>
        <v>1</v>
      </c>
      <c r="I75" s="127">
        <f t="shared" si="19"/>
        <v>1</v>
      </c>
      <c r="J75" s="127">
        <f t="shared" si="19"/>
        <v>1</v>
      </c>
      <c r="K75" s="127">
        <f t="shared" si="19"/>
        <v>1</v>
      </c>
      <c r="L75" s="127">
        <f t="shared" si="19"/>
        <v>1</v>
      </c>
      <c r="M75" s="127">
        <f t="shared" si="19"/>
        <v>1</v>
      </c>
      <c r="N75" s="127">
        <f t="shared" si="19"/>
        <v>1</v>
      </c>
    </row>
    <row r="76" spans="1:14" hidden="1" x14ac:dyDescent="0.25">
      <c r="A76" t="s">
        <v>445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</row>
    <row r="77" spans="1:14" hidden="1" x14ac:dyDescent="0.25">
      <c r="A77" s="402" t="s">
        <v>18</v>
      </c>
      <c r="B77" s="127">
        <f>+INGEI_diffs!C$25/1000*Hoja1!B66</f>
        <v>0</v>
      </c>
      <c r="C77" s="127">
        <f>+INGEI_diffs!D$25/1000*Hoja1!C66</f>
        <v>0</v>
      </c>
      <c r="D77" s="127">
        <f>+INGEI_diffs!E$25/1000*Hoja1!D66</f>
        <v>0</v>
      </c>
      <c r="E77" s="127">
        <f>+INGEI_diffs!F$25/1000*Hoja1!E66</f>
        <v>0</v>
      </c>
      <c r="F77" s="127">
        <f>+INGEI_diffs!G$25/1000*Hoja1!F66</f>
        <v>0</v>
      </c>
      <c r="G77" s="127">
        <f>+INGEI_diffs!H$25/1000*Hoja1!G66</f>
        <v>0</v>
      </c>
      <c r="H77" s="127">
        <f>+INGEI_diffs!I$25/1000*Hoja1!H66</f>
        <v>0</v>
      </c>
      <c r="I77" s="127">
        <f>+INGEI_diffs!J$25/1000*Hoja1!I66</f>
        <v>0</v>
      </c>
      <c r="J77" s="127">
        <f>+INGEI_diffs!K$25/1000*Hoja1!J66</f>
        <v>0</v>
      </c>
      <c r="K77" s="127">
        <f>+INGEI_diffs!L$25/1000*Hoja1!K66</f>
        <v>27.749965662904845</v>
      </c>
      <c r="L77" s="127">
        <f>+INGEI_diffs!M$25/1000*Hoja1!L66</f>
        <v>27.749965662904845</v>
      </c>
      <c r="M77" s="127">
        <f>+INGEI_diffs!N$25/1000*Hoja1!M66</f>
        <v>4.9904053714171539</v>
      </c>
      <c r="N77" s="127">
        <f>+INGEI_diffs!O$25/1000*Hoja1!N66</f>
        <v>4.9904053714171539</v>
      </c>
    </row>
    <row r="78" spans="1:14" hidden="1" x14ac:dyDescent="0.25">
      <c r="A78" s="402" t="s">
        <v>20</v>
      </c>
      <c r="B78" s="127">
        <f>+INGEI_diffs!C$25/1000*Hoja1!B67</f>
        <v>52.086048954822083</v>
      </c>
      <c r="C78" s="127">
        <f>+INGEI_diffs!D$25/1000*Hoja1!C67</f>
        <v>52.086048954822083</v>
      </c>
      <c r="D78" s="127">
        <f>+INGEI_diffs!E$25/1000*Hoja1!D67</f>
        <v>52.086048954822083</v>
      </c>
      <c r="E78" s="127">
        <f>+INGEI_diffs!F$25/1000*Hoja1!E67</f>
        <v>52.086048954822083</v>
      </c>
      <c r="F78" s="127">
        <f>+INGEI_diffs!G$25/1000*Hoja1!F67</f>
        <v>52.086048954822083</v>
      </c>
      <c r="G78" s="127">
        <f>+INGEI_diffs!H$25/1000*Hoja1!G67</f>
        <v>57.348974441455972</v>
      </c>
      <c r="H78" s="127">
        <f>+INGEI_diffs!I$25/1000*Hoja1!H67</f>
        <v>61.920454855885914</v>
      </c>
      <c r="I78" s="127">
        <f>+INGEI_diffs!J$25/1000*Hoja1!I67</f>
        <v>41.930884088990062</v>
      </c>
      <c r="J78" s="127">
        <f>+INGEI_diffs!K$25/1000*Hoja1!J67</f>
        <v>22.230196872468287</v>
      </c>
      <c r="K78" s="127">
        <f>+INGEI_diffs!L$25/1000*Hoja1!K67</f>
        <v>47.271234883181755</v>
      </c>
      <c r="L78" s="127">
        <f>+INGEI_diffs!M$25/1000*Hoja1!L67</f>
        <v>47.271234883181755</v>
      </c>
      <c r="M78" s="127">
        <f>+INGEI_diffs!N$25/1000*Hoja1!M67</f>
        <v>11.111641516652975</v>
      </c>
      <c r="N78" s="127">
        <f>+INGEI_diffs!O$25/1000*Hoja1!N67</f>
        <v>11.111641516652975</v>
      </c>
    </row>
    <row r="79" spans="1:14" hidden="1" x14ac:dyDescent="0.25">
      <c r="A79" s="402" t="s">
        <v>21</v>
      </c>
      <c r="B79" s="127">
        <f>+INGEI_diffs!C$25/1000*Hoja1!B68</f>
        <v>0</v>
      </c>
      <c r="C79" s="127">
        <f>+INGEI_diffs!D$25/1000*Hoja1!C68</f>
        <v>0</v>
      </c>
      <c r="D79" s="127">
        <f>+INGEI_diffs!E$25/1000*Hoja1!D68</f>
        <v>0</v>
      </c>
      <c r="E79" s="127">
        <f>+INGEI_diffs!F$25/1000*Hoja1!E68</f>
        <v>0</v>
      </c>
      <c r="F79" s="127">
        <f>+INGEI_diffs!G$25/1000*Hoja1!F68</f>
        <v>0</v>
      </c>
      <c r="G79" s="127">
        <f>+INGEI_diffs!H$25/1000*Hoja1!G68</f>
        <v>0</v>
      </c>
      <c r="H79" s="127">
        <f>+INGEI_diffs!I$25/1000*Hoja1!H68</f>
        <v>0</v>
      </c>
      <c r="I79" s="127">
        <f>+INGEI_diffs!J$25/1000*Hoja1!I68</f>
        <v>0.17668499953223524</v>
      </c>
      <c r="J79" s="127">
        <f>+INGEI_diffs!K$25/1000*Hoja1!J68</f>
        <v>0.3504129393516438</v>
      </c>
      <c r="K79" s="127">
        <f>+INGEI_diffs!L$25/1000*Hoja1!K68</f>
        <v>355.6528196509343</v>
      </c>
      <c r="L79" s="127">
        <f>+INGEI_diffs!M$25/1000*Hoja1!L68</f>
        <v>355.6528196509343</v>
      </c>
      <c r="M79" s="127">
        <f>+INGEI_diffs!N$25/1000*Hoja1!M68</f>
        <v>251.36401439773599</v>
      </c>
      <c r="N79" s="127">
        <f>+INGEI_diffs!O$25/1000*Hoja1!N68</f>
        <v>251.36401439773599</v>
      </c>
    </row>
    <row r="80" spans="1:14" hidden="1" x14ac:dyDescent="0.25">
      <c r="A80" s="402" t="s">
        <v>22</v>
      </c>
      <c r="B80" s="127">
        <f>+INGEI_diffs!C$25/1000*Hoja1!B69</f>
        <v>0</v>
      </c>
      <c r="C80" s="127">
        <f>+INGEI_diffs!D$25/1000*Hoja1!C69</f>
        <v>0</v>
      </c>
      <c r="D80" s="127">
        <f>+INGEI_diffs!E$25/1000*Hoja1!D69</f>
        <v>0</v>
      </c>
      <c r="E80" s="127">
        <f>+INGEI_diffs!F$25/1000*Hoja1!E69</f>
        <v>0</v>
      </c>
      <c r="F80" s="127">
        <f>+INGEI_diffs!G$25/1000*Hoja1!F69</f>
        <v>0</v>
      </c>
      <c r="G80" s="127">
        <f>+INGEI_diffs!H$25/1000*Hoja1!G69</f>
        <v>0</v>
      </c>
      <c r="H80" s="127">
        <f>+INGEI_diffs!I$25/1000*Hoja1!H69</f>
        <v>0</v>
      </c>
      <c r="I80" s="127">
        <f>+INGEI_diffs!J$25/1000*Hoja1!I69</f>
        <v>0.72087479809151966</v>
      </c>
      <c r="J80" s="127">
        <f>+INGEI_diffs!K$25/1000*Hoja1!J69</f>
        <v>1.4296847925547067</v>
      </c>
      <c r="K80" s="127">
        <f>+INGEI_diffs!L$25/1000*Hoja1!K69</f>
        <v>115.35737566142708</v>
      </c>
      <c r="L80" s="127">
        <f>+INGEI_diffs!M$25/1000*Hoja1!L69</f>
        <v>115.35737566142708</v>
      </c>
      <c r="M80" s="127">
        <f>+INGEI_diffs!N$25/1000*Hoja1!M69</f>
        <v>519.22340812660946</v>
      </c>
      <c r="N80" s="127">
        <f>+INGEI_diffs!O$25/1000*Hoja1!N69</f>
        <v>519.22340812660946</v>
      </c>
    </row>
    <row r="81" spans="1:15" hidden="1" x14ac:dyDescent="0.25">
      <c r="A81" s="402" t="s">
        <v>23</v>
      </c>
      <c r="B81" s="127">
        <f>+INGEI_diffs!C$25/1000*Hoja1!B70</f>
        <v>0</v>
      </c>
      <c r="C81" s="127">
        <f>+INGEI_diffs!D$25/1000*Hoja1!C70</f>
        <v>0</v>
      </c>
      <c r="D81" s="127">
        <f>+INGEI_diffs!E$25/1000*Hoja1!D70</f>
        <v>0</v>
      </c>
      <c r="E81" s="127">
        <f>+INGEI_diffs!F$25/1000*Hoja1!E70</f>
        <v>0</v>
      </c>
      <c r="F81" s="127">
        <f>+INGEI_diffs!G$25/1000*Hoja1!F70</f>
        <v>0</v>
      </c>
      <c r="G81" s="127">
        <f>+INGEI_diffs!H$25/1000*Hoja1!G70</f>
        <v>0</v>
      </c>
      <c r="H81" s="127">
        <f>+INGEI_diffs!I$25/1000*Hoja1!H70</f>
        <v>0</v>
      </c>
      <c r="I81" s="127">
        <f>+INGEI_diffs!J$25/1000*Hoja1!I70</f>
        <v>0</v>
      </c>
      <c r="J81" s="127">
        <f>+INGEI_diffs!K$25/1000*Hoja1!J70</f>
        <v>0</v>
      </c>
      <c r="K81" s="127">
        <f>+INGEI_diffs!L$25/1000*Hoja1!K70</f>
        <v>26.636270931603551</v>
      </c>
      <c r="L81" s="127">
        <f>+INGEI_diffs!M$25/1000*Hoja1!L70</f>
        <v>26.636270931603551</v>
      </c>
      <c r="M81" s="127">
        <f>+INGEI_diffs!N$25/1000*Hoja1!M70</f>
        <v>13.963301728891349</v>
      </c>
      <c r="N81" s="127">
        <f>+INGEI_diffs!O$25/1000*Hoja1!N70</f>
        <v>13.963301728891349</v>
      </c>
    </row>
    <row r="82" spans="1:15" hidden="1" x14ac:dyDescent="0.25">
      <c r="A82" s="402" t="s">
        <v>24</v>
      </c>
      <c r="B82" s="127">
        <f>+INGEI_diffs!C$25/1000*Hoja1!B71</f>
        <v>0</v>
      </c>
      <c r="C82" s="127">
        <f>+INGEI_diffs!D$25/1000*Hoja1!C71</f>
        <v>0</v>
      </c>
      <c r="D82" s="127">
        <f>+INGEI_diffs!E$25/1000*Hoja1!D71</f>
        <v>0</v>
      </c>
      <c r="E82" s="127">
        <f>+INGEI_diffs!F$25/1000*Hoja1!E71</f>
        <v>0</v>
      </c>
      <c r="F82" s="127">
        <f>+INGEI_diffs!G$25/1000*Hoja1!F71</f>
        <v>0</v>
      </c>
      <c r="G82" s="127">
        <f>+INGEI_diffs!H$25/1000*Hoja1!G71</f>
        <v>0</v>
      </c>
      <c r="H82" s="127">
        <f>+INGEI_diffs!I$25/1000*Hoja1!H71</f>
        <v>0</v>
      </c>
      <c r="I82" s="127">
        <f>+INGEI_diffs!J$25/1000*Hoja1!I71</f>
        <v>0</v>
      </c>
      <c r="J82" s="127">
        <f>+INGEI_diffs!K$25/1000*Hoja1!J71</f>
        <v>0</v>
      </c>
      <c r="K82" s="127">
        <f>+INGEI_diffs!L$25/1000*Hoja1!K71</f>
        <v>1479.3708035339446</v>
      </c>
      <c r="L82" s="127">
        <f>+INGEI_diffs!M$25/1000*Hoja1!L71</f>
        <v>1479.3708035339446</v>
      </c>
      <c r="M82" s="127">
        <f>+INGEI_diffs!N$25/1000*Hoja1!M71</f>
        <v>2829.7810950927519</v>
      </c>
      <c r="N82" s="127">
        <f>+INGEI_diffs!O$25/1000*Hoja1!N71</f>
        <v>2829.7810950927519</v>
      </c>
    </row>
    <row r="83" spans="1:15" hidden="1" x14ac:dyDescent="0.25">
      <c r="A83" s="402" t="s">
        <v>25</v>
      </c>
      <c r="B83" s="127">
        <f>+INGEI_diffs!C$25/1000*Hoja1!B72</f>
        <v>6.5191842826140576</v>
      </c>
      <c r="C83" s="127">
        <f>+INGEI_diffs!D$25/1000*Hoja1!C72</f>
        <v>6.5191842826140576</v>
      </c>
      <c r="D83" s="127">
        <f>+INGEI_diffs!E$25/1000*Hoja1!D72</f>
        <v>6.5191842826140576</v>
      </c>
      <c r="E83" s="127">
        <f>+INGEI_diffs!F$25/1000*Hoja1!E72</f>
        <v>6.5191842826140576</v>
      </c>
      <c r="F83" s="127">
        <f>+INGEI_diffs!G$25/1000*Hoja1!F72</f>
        <v>6.5191842826140576</v>
      </c>
      <c r="G83" s="127">
        <f>+INGEI_diffs!H$25/1000*Hoja1!G72</f>
        <v>16.111266549121289</v>
      </c>
      <c r="H83" s="127">
        <f>+INGEI_diffs!I$25/1000*Hoja1!H72</f>
        <v>26.537337795379692</v>
      </c>
      <c r="I83" s="127">
        <f>+INGEI_diffs!J$25/1000*Hoja1!I72</f>
        <v>19.357608548751703</v>
      </c>
      <c r="J83" s="127">
        <f>+INGEI_diffs!K$25/1000*Hoja1!J72</f>
        <v>12.278469394881602</v>
      </c>
      <c r="K83" s="127">
        <f>+INGEI_diffs!L$25/1000*Hoja1!K72</f>
        <v>8.3405522453350525</v>
      </c>
      <c r="L83" s="127">
        <f>+INGEI_diffs!M$25/1000*Hoja1!L72</f>
        <v>8.3405522453350525</v>
      </c>
      <c r="M83" s="127">
        <f>+INGEI_diffs!N$25/1000*Hoja1!M72</f>
        <v>37.85824764523359</v>
      </c>
      <c r="N83" s="127">
        <f>+INGEI_diffs!O$25/1000*Hoja1!N72</f>
        <v>37.85824764523359</v>
      </c>
    </row>
    <row r="84" spans="1:15" hidden="1" x14ac:dyDescent="0.25">
      <c r="A84" s="402" t="s">
        <v>26</v>
      </c>
      <c r="B84" s="127">
        <f>+INGEI_diffs!C$25/1000*Hoja1!B73</f>
        <v>199.22492317056381</v>
      </c>
      <c r="C84" s="127">
        <f>+INGEI_diffs!D$25/1000*Hoja1!C73</f>
        <v>199.22492317056381</v>
      </c>
      <c r="D84" s="127">
        <f>+INGEI_diffs!E$25/1000*Hoja1!D73</f>
        <v>199.22492317056381</v>
      </c>
      <c r="E84" s="127">
        <f>+INGEI_diffs!F$25/1000*Hoja1!E73</f>
        <v>199.22492317056381</v>
      </c>
      <c r="F84" s="127">
        <f>+INGEI_diffs!G$25/1000*Hoja1!F73</f>
        <v>199.22492317056381</v>
      </c>
      <c r="G84" s="127">
        <f>+INGEI_diffs!H$25/1000*Hoja1!G73</f>
        <v>243.63775166042265</v>
      </c>
      <c r="H84" s="127">
        <f>+INGEI_diffs!I$25/1000*Hoja1!H73</f>
        <v>287.9080362427344</v>
      </c>
      <c r="I84" s="127">
        <f>+INGEI_diffs!J$25/1000*Hoja1!I73</f>
        <v>297.59407841213448</v>
      </c>
      <c r="J84" s="127">
        <f>+INGEI_diffs!K$25/1000*Hoja1!J73</f>
        <v>306.90566880174373</v>
      </c>
      <c r="K84" s="127">
        <f>+INGEI_diffs!L$25/1000*Hoja1!K73</f>
        <v>349.74391529053662</v>
      </c>
      <c r="L84" s="127">
        <f>+INGEI_diffs!M$25/1000*Hoja1!L73</f>
        <v>349.74391529053662</v>
      </c>
      <c r="M84" s="127">
        <f>+INGEI_diffs!N$25/1000*Hoja1!M73</f>
        <v>26.304107130129829</v>
      </c>
      <c r="N84" s="127">
        <f>+INGEI_diffs!O$25/1000*Hoja1!N73</f>
        <v>26.304107130129829</v>
      </c>
    </row>
    <row r="85" spans="1:15" hidden="1" x14ac:dyDescent="0.25">
      <c r="A85" s="402" t="s">
        <v>27</v>
      </c>
      <c r="B85" s="127">
        <f>+INGEI_diffs!C$25/1000*Hoja1!B74</f>
        <v>0</v>
      </c>
      <c r="C85" s="127">
        <f>+INGEI_diffs!D$25/1000*Hoja1!C74</f>
        <v>0</v>
      </c>
      <c r="D85" s="127">
        <f>+INGEI_diffs!E$25/1000*Hoja1!D74</f>
        <v>0</v>
      </c>
      <c r="E85" s="127">
        <f>+INGEI_diffs!F$25/1000*Hoja1!E74</f>
        <v>0</v>
      </c>
      <c r="F85" s="127">
        <f>+INGEI_diffs!G$25/1000*Hoja1!F74</f>
        <v>0</v>
      </c>
      <c r="G85" s="127">
        <f>+INGEI_diffs!H$25/1000*Hoja1!G74</f>
        <v>0</v>
      </c>
      <c r="H85" s="127">
        <f>+INGEI_diffs!I$25/1000*Hoja1!H74</f>
        <v>0</v>
      </c>
      <c r="I85" s="127">
        <f>+INGEI_diffs!J$25/1000*Hoja1!I74</f>
        <v>0</v>
      </c>
      <c r="J85" s="127">
        <f>+INGEI_diffs!K$25/1000*Hoja1!J74</f>
        <v>0</v>
      </c>
      <c r="K85" s="127">
        <f>+INGEI_diffs!L$25/1000*Hoja1!K74</f>
        <v>268.83326356713178</v>
      </c>
      <c r="L85" s="127">
        <f>+INGEI_diffs!M$25/1000*Hoja1!L74</f>
        <v>268.83326356713178</v>
      </c>
      <c r="M85" s="127">
        <f>+INGEI_diffs!N$25/1000*Hoja1!M74</f>
        <v>128.17720988457657</v>
      </c>
      <c r="N85" s="127">
        <f>+INGEI_diffs!O$25/1000*Hoja1!N74</f>
        <v>128.17720988457657</v>
      </c>
    </row>
    <row r="86" spans="1:15" hidden="1" x14ac:dyDescent="0.25">
      <c r="B86" s="127">
        <f>+SUM(B77:B85)</f>
        <v>257.83015640799994</v>
      </c>
      <c r="C86" s="127">
        <f t="shared" ref="C86:N86" si="20">+SUM(C77:C85)</f>
        <v>257.83015640799994</v>
      </c>
      <c r="D86" s="127">
        <f t="shared" si="20"/>
        <v>257.83015640799994</v>
      </c>
      <c r="E86" s="127">
        <f t="shared" si="20"/>
        <v>257.83015640799994</v>
      </c>
      <c r="F86" s="127">
        <f t="shared" si="20"/>
        <v>257.83015640799994</v>
      </c>
      <c r="G86" s="127">
        <f t="shared" si="20"/>
        <v>317.09799265099991</v>
      </c>
      <c r="H86" s="127">
        <f t="shared" si="20"/>
        <v>376.365828894</v>
      </c>
      <c r="I86" s="127">
        <f t="shared" si="20"/>
        <v>359.7801308475</v>
      </c>
      <c r="J86" s="127">
        <f t="shared" si="20"/>
        <v>343.19443280099995</v>
      </c>
      <c r="K86" s="127">
        <f t="shared" si="20"/>
        <v>2678.9562014269995</v>
      </c>
      <c r="L86" s="127">
        <f t="shared" si="20"/>
        <v>2678.9562014269995</v>
      </c>
      <c r="M86" s="127">
        <f t="shared" si="20"/>
        <v>3822.7734308939989</v>
      </c>
      <c r="N86" s="127">
        <f t="shared" si="20"/>
        <v>3822.7734308939989</v>
      </c>
    </row>
    <row r="87" spans="1:15" hidden="1" x14ac:dyDescent="0.25">
      <c r="A87" t="s">
        <v>119</v>
      </c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</row>
    <row r="88" spans="1:15" hidden="1" x14ac:dyDescent="0.25">
      <c r="A88" s="402" t="s">
        <v>18</v>
      </c>
      <c r="B88" s="127">
        <v>0</v>
      </c>
      <c r="C88" s="127">
        <v>0</v>
      </c>
      <c r="D88" s="127">
        <v>0</v>
      </c>
      <c r="E88" s="127">
        <v>0</v>
      </c>
      <c r="F88" s="127">
        <v>0</v>
      </c>
      <c r="G88" s="127">
        <v>0</v>
      </c>
      <c r="H88" s="127">
        <v>0</v>
      </c>
      <c r="I88" s="127">
        <v>0</v>
      </c>
      <c r="J88" s="127">
        <v>0</v>
      </c>
      <c r="K88" s="127">
        <f t="shared" ref="K88:N88" si="21">+K77/K45</f>
        <v>486329.5769874666</v>
      </c>
      <c r="L88" s="127">
        <f t="shared" si="21"/>
        <v>486329.5769874666</v>
      </c>
      <c r="M88" s="127">
        <f t="shared" si="21"/>
        <v>546295.05981578038</v>
      </c>
      <c r="N88" s="127">
        <f t="shared" si="21"/>
        <v>546295.05981578038</v>
      </c>
      <c r="O88" s="127">
        <f>+AVERAGE(B88:N88)</f>
        <v>158865.32873896108</v>
      </c>
    </row>
    <row r="89" spans="1:15" hidden="1" x14ac:dyDescent="0.25">
      <c r="A89" s="402" t="s">
        <v>20</v>
      </c>
      <c r="B89" s="127">
        <f t="shared" ref="B89:N96" si="22">+B78/B46</f>
        <v>280938.77537660237</v>
      </c>
      <c r="C89" s="127">
        <f t="shared" si="22"/>
        <v>280938.77537660237</v>
      </c>
      <c r="D89" s="127">
        <f t="shared" si="22"/>
        <v>280938.77537660237</v>
      </c>
      <c r="E89" s="127">
        <f t="shared" si="22"/>
        <v>280938.77537660237</v>
      </c>
      <c r="F89" s="127">
        <f t="shared" si="22"/>
        <v>280938.77537660237</v>
      </c>
      <c r="G89" s="127">
        <f t="shared" si="22"/>
        <v>301032.63357849937</v>
      </c>
      <c r="H89" s="127">
        <f t="shared" si="22"/>
        <v>316542.4678878712</v>
      </c>
      <c r="I89" s="127">
        <f t="shared" si="22"/>
        <v>314106.66583508486</v>
      </c>
      <c r="J89" s="127">
        <f t="shared" si="22"/>
        <v>311478.16831257229</v>
      </c>
      <c r="K89" s="127">
        <f t="shared" si="22"/>
        <v>486329.5769874666</v>
      </c>
      <c r="L89" s="127">
        <f t="shared" si="22"/>
        <v>486329.5769874666</v>
      </c>
      <c r="M89" s="127">
        <f t="shared" si="22"/>
        <v>546295.05981578049</v>
      </c>
      <c r="N89" s="127">
        <f t="shared" si="22"/>
        <v>546295.05981578049</v>
      </c>
      <c r="O89" s="127">
        <f t="shared" ref="O89:O96" si="23">+AVERAGE(B89:N89)</f>
        <v>362546.39123873343</v>
      </c>
    </row>
    <row r="90" spans="1:15" hidden="1" x14ac:dyDescent="0.25">
      <c r="A90" s="402" t="s">
        <v>21</v>
      </c>
      <c r="B90" s="127">
        <v>0</v>
      </c>
      <c r="C90" s="127">
        <v>0</v>
      </c>
      <c r="D90" s="127">
        <v>0</v>
      </c>
      <c r="E90" s="127">
        <v>0</v>
      </c>
      <c r="F90" s="127">
        <v>0</v>
      </c>
      <c r="G90" s="127">
        <v>0</v>
      </c>
      <c r="H90" s="127">
        <v>0</v>
      </c>
      <c r="I90" s="127">
        <f t="shared" si="22"/>
        <v>314106.66583508492</v>
      </c>
      <c r="J90" s="127">
        <f t="shared" si="22"/>
        <v>311478.16831257229</v>
      </c>
      <c r="K90" s="127">
        <f t="shared" si="22"/>
        <v>486329.5769874666</v>
      </c>
      <c r="L90" s="127">
        <f t="shared" si="22"/>
        <v>486329.5769874666</v>
      </c>
      <c r="M90" s="127">
        <f t="shared" si="22"/>
        <v>546295.05981578038</v>
      </c>
      <c r="N90" s="127">
        <f t="shared" si="22"/>
        <v>546295.05981578038</v>
      </c>
      <c r="O90" s="127">
        <f t="shared" si="23"/>
        <v>206987.23905801162</v>
      </c>
    </row>
    <row r="91" spans="1:15" hidden="1" x14ac:dyDescent="0.25">
      <c r="A91" s="402" t="s">
        <v>22</v>
      </c>
      <c r="B91" s="127">
        <v>0</v>
      </c>
      <c r="C91" s="127">
        <v>0</v>
      </c>
      <c r="D91" s="127">
        <v>0</v>
      </c>
      <c r="E91" s="127">
        <v>0</v>
      </c>
      <c r="F91" s="127">
        <v>0</v>
      </c>
      <c r="G91" s="127">
        <v>0</v>
      </c>
      <c r="H91" s="127">
        <v>0</v>
      </c>
      <c r="I91" s="127">
        <f t="shared" si="22"/>
        <v>314106.66583508486</v>
      </c>
      <c r="J91" s="127">
        <f t="shared" si="22"/>
        <v>311478.16831257229</v>
      </c>
      <c r="K91" s="127">
        <f t="shared" si="22"/>
        <v>486329.57698746666</v>
      </c>
      <c r="L91" s="127">
        <f t="shared" si="22"/>
        <v>486329.57698746666</v>
      </c>
      <c r="M91" s="127">
        <f t="shared" si="22"/>
        <v>546295.05981578038</v>
      </c>
      <c r="N91" s="127">
        <f t="shared" si="22"/>
        <v>546295.05981578038</v>
      </c>
      <c r="O91" s="127">
        <f t="shared" si="23"/>
        <v>206987.23905801162</v>
      </c>
    </row>
    <row r="92" spans="1:15" hidden="1" x14ac:dyDescent="0.25">
      <c r="A92" s="402" t="s">
        <v>23</v>
      </c>
      <c r="B92" s="127">
        <v>0</v>
      </c>
      <c r="C92" s="127">
        <v>0</v>
      </c>
      <c r="D92" s="127">
        <v>0</v>
      </c>
      <c r="E92" s="127">
        <v>0</v>
      </c>
      <c r="F92" s="127">
        <v>0</v>
      </c>
      <c r="G92" s="127">
        <v>0</v>
      </c>
      <c r="H92" s="127">
        <v>0</v>
      </c>
      <c r="I92" s="127">
        <v>0</v>
      </c>
      <c r="J92" s="127">
        <v>0</v>
      </c>
      <c r="K92" s="127">
        <f t="shared" si="22"/>
        <v>486329.57698746666</v>
      </c>
      <c r="L92" s="127">
        <f t="shared" si="22"/>
        <v>486329.57698746666</v>
      </c>
      <c r="M92" s="127">
        <f t="shared" si="22"/>
        <v>546295.05981578049</v>
      </c>
      <c r="N92" s="127">
        <f t="shared" si="22"/>
        <v>546295.05981578049</v>
      </c>
      <c r="O92" s="127">
        <f t="shared" si="23"/>
        <v>158865.32873896111</v>
      </c>
    </row>
    <row r="93" spans="1:15" hidden="1" x14ac:dyDescent="0.25">
      <c r="A93" s="402" t="s">
        <v>24</v>
      </c>
      <c r="B93" s="127">
        <v>0</v>
      </c>
      <c r="C93" s="127">
        <v>0</v>
      </c>
      <c r="D93" s="127">
        <v>0</v>
      </c>
      <c r="E93" s="127">
        <v>0</v>
      </c>
      <c r="F93" s="127">
        <v>0</v>
      </c>
      <c r="G93" s="127">
        <v>0</v>
      </c>
      <c r="H93" s="127">
        <v>0</v>
      </c>
      <c r="I93" s="127">
        <v>0</v>
      </c>
      <c r="J93" s="127">
        <v>0</v>
      </c>
      <c r="K93" s="127">
        <f t="shared" si="22"/>
        <v>486329.57698746666</v>
      </c>
      <c r="L93" s="127">
        <f t="shared" si="22"/>
        <v>486329.57698746666</v>
      </c>
      <c r="M93" s="127">
        <f t="shared" si="22"/>
        <v>546295.05981578049</v>
      </c>
      <c r="N93" s="127">
        <f t="shared" si="22"/>
        <v>546295.05981578049</v>
      </c>
      <c r="O93" s="127">
        <f t="shared" si="23"/>
        <v>158865.32873896111</v>
      </c>
    </row>
    <row r="94" spans="1:15" hidden="1" x14ac:dyDescent="0.25">
      <c r="A94" s="402" t="s">
        <v>25</v>
      </c>
      <c r="B94" s="127">
        <f t="shared" si="22"/>
        <v>280938.77537660237</v>
      </c>
      <c r="C94" s="127">
        <f t="shared" si="22"/>
        <v>280938.77537660237</v>
      </c>
      <c r="D94" s="127">
        <f t="shared" si="22"/>
        <v>280938.77537660237</v>
      </c>
      <c r="E94" s="127">
        <f t="shared" si="22"/>
        <v>280938.77537660237</v>
      </c>
      <c r="F94" s="127">
        <f t="shared" si="22"/>
        <v>280938.77537660237</v>
      </c>
      <c r="G94" s="127">
        <f t="shared" si="22"/>
        <v>301032.63357849937</v>
      </c>
      <c r="H94" s="127">
        <f t="shared" si="22"/>
        <v>316542.4678878712</v>
      </c>
      <c r="I94" s="127">
        <f t="shared" si="22"/>
        <v>314106.66583508492</v>
      </c>
      <c r="J94" s="127">
        <f t="shared" si="22"/>
        <v>311478.16831257229</v>
      </c>
      <c r="K94" s="127">
        <f t="shared" si="22"/>
        <v>486329.5769874666</v>
      </c>
      <c r="L94" s="127">
        <f t="shared" si="22"/>
        <v>486329.5769874666</v>
      </c>
      <c r="M94" s="127">
        <f t="shared" si="22"/>
        <v>546295.05981578049</v>
      </c>
      <c r="N94" s="127">
        <f t="shared" si="22"/>
        <v>546295.05981578049</v>
      </c>
      <c r="O94" s="127">
        <f t="shared" si="23"/>
        <v>362546.39123873343</v>
      </c>
    </row>
    <row r="95" spans="1:15" hidden="1" x14ac:dyDescent="0.25">
      <c r="A95" s="402" t="s">
        <v>26</v>
      </c>
      <c r="B95" s="127">
        <f t="shared" si="22"/>
        <v>280938.77537660237</v>
      </c>
      <c r="C95" s="127">
        <f t="shared" si="22"/>
        <v>280938.77537660237</v>
      </c>
      <c r="D95" s="127">
        <f t="shared" si="22"/>
        <v>280938.77537660237</v>
      </c>
      <c r="E95" s="127">
        <f t="shared" si="22"/>
        <v>280938.77537660237</v>
      </c>
      <c r="F95" s="127">
        <f t="shared" si="22"/>
        <v>280938.77537660237</v>
      </c>
      <c r="G95" s="127">
        <f t="shared" si="22"/>
        <v>301032.63357849937</v>
      </c>
      <c r="H95" s="127">
        <f t="shared" si="22"/>
        <v>316542.4678878712</v>
      </c>
      <c r="I95" s="127">
        <f t="shared" si="22"/>
        <v>314106.66583508492</v>
      </c>
      <c r="J95" s="127">
        <f t="shared" si="22"/>
        <v>311478.16831257229</v>
      </c>
      <c r="K95" s="127">
        <f t="shared" si="22"/>
        <v>486329.5769874666</v>
      </c>
      <c r="L95" s="127">
        <f t="shared" si="22"/>
        <v>486329.5769874666</v>
      </c>
      <c r="M95" s="127">
        <f t="shared" si="22"/>
        <v>546295.05981578049</v>
      </c>
      <c r="N95" s="127">
        <f t="shared" si="22"/>
        <v>546295.05981578049</v>
      </c>
      <c r="O95" s="127">
        <f t="shared" si="23"/>
        <v>362546.39123873343</v>
      </c>
    </row>
    <row r="96" spans="1:15" hidden="1" x14ac:dyDescent="0.25">
      <c r="A96" s="402" t="s">
        <v>27</v>
      </c>
      <c r="B96" s="127">
        <v>0</v>
      </c>
      <c r="C96" s="127">
        <v>0</v>
      </c>
      <c r="D96" s="127">
        <v>0</v>
      </c>
      <c r="E96" s="127">
        <v>0</v>
      </c>
      <c r="F96" s="127">
        <v>0</v>
      </c>
      <c r="G96" s="127">
        <v>0</v>
      </c>
      <c r="H96" s="127">
        <v>0</v>
      </c>
      <c r="I96" s="127">
        <v>0</v>
      </c>
      <c r="J96" s="127">
        <v>0</v>
      </c>
      <c r="K96" s="127">
        <f t="shared" si="22"/>
        <v>486329.57698746666</v>
      </c>
      <c r="L96" s="127">
        <f t="shared" si="22"/>
        <v>486329.57698746666</v>
      </c>
      <c r="M96" s="127">
        <f t="shared" si="22"/>
        <v>546295.05981578049</v>
      </c>
      <c r="N96" s="127">
        <f t="shared" si="22"/>
        <v>546295.05981578049</v>
      </c>
      <c r="O96" s="127">
        <f t="shared" si="23"/>
        <v>158865.32873896111</v>
      </c>
    </row>
    <row r="97" spans="1:14" hidden="1" x14ac:dyDescent="0.25"/>
    <row r="98" spans="1:14" hidden="1" x14ac:dyDescent="0.25"/>
    <row r="99" spans="1:14" hidden="1" x14ac:dyDescent="0.25">
      <c r="A99" t="s">
        <v>196</v>
      </c>
      <c r="B99">
        <v>2010</v>
      </c>
      <c r="C99">
        <v>2011</v>
      </c>
      <c r="D99">
        <v>2012</v>
      </c>
      <c r="E99">
        <v>2013</v>
      </c>
      <c r="F99">
        <v>2014</v>
      </c>
      <c r="G99">
        <v>2015</v>
      </c>
      <c r="H99">
        <v>2016</v>
      </c>
      <c r="I99">
        <v>2017</v>
      </c>
      <c r="J99">
        <v>2018</v>
      </c>
      <c r="K99">
        <v>2019</v>
      </c>
      <c r="L99">
        <v>2020</v>
      </c>
      <c r="M99">
        <v>2021</v>
      </c>
      <c r="N99">
        <v>2022</v>
      </c>
    </row>
    <row r="100" spans="1:14" hidden="1" x14ac:dyDescent="0.25">
      <c r="A100" s="402" t="s">
        <v>18</v>
      </c>
      <c r="B100" s="399">
        <f>+INGEI_diffs!C$32/1000*'5ta'!$R87</f>
        <v>0.40077369553478676</v>
      </c>
      <c r="C100" s="399">
        <f>+INGEI_diffs!D$32/1000*'5ta'!$R87</f>
        <v>0.40077369553478676</v>
      </c>
      <c r="D100" s="399">
        <f>+INGEI_diffs!E$32/1000*'5ta'!$R87</f>
        <v>0.40077369553478676</v>
      </c>
      <c r="E100" s="399">
        <f>+INGEI_diffs!F$32/1000*'5ta'!$R87</f>
        <v>0.40077369553478676</v>
      </c>
      <c r="F100" s="399">
        <f>+INGEI_diffs!G$32/1000*'5ta'!$R87</f>
        <v>0.40077369553478676</v>
      </c>
      <c r="G100" s="399">
        <f>+INGEI_diffs!H$32/1000*'5ta'!$R87</f>
        <v>0.37736327499739813</v>
      </c>
      <c r="H100" s="399">
        <f>+INGEI_diffs!I$32/1000*'5ta'!$R87</f>
        <v>0.35395285446000951</v>
      </c>
      <c r="I100" s="399">
        <f>+INGEI_diffs!J$32/1000*'5ta'!$R87</f>
        <v>0.4964426115656948</v>
      </c>
      <c r="J100" s="399">
        <f>+INGEI_diffs!K$32/1000*'5ta'!$R87</f>
        <v>0.63893236867138026</v>
      </c>
      <c r="K100" s="399">
        <f>+INGEI_diffs!L$32/1000*'5ta'!$R87</f>
        <v>2.3851707966486311</v>
      </c>
      <c r="L100" s="399">
        <f>+INGEI_diffs!M$32/1000*'5ta'!$R87</f>
        <v>2.3851707966486311</v>
      </c>
      <c r="M100" s="399">
        <f>+INGEI_diffs!N$32/1000*'5ta'!$R87</f>
        <v>1.740618617642981</v>
      </c>
      <c r="N100" s="399">
        <f>+INGEI_diffs!O$32/1000*'5ta'!$R87</f>
        <v>1.740618617642981</v>
      </c>
    </row>
    <row r="101" spans="1:14" hidden="1" x14ac:dyDescent="0.25">
      <c r="A101" s="402" t="s">
        <v>20</v>
      </c>
      <c r="B101" s="399">
        <f>+INGEI_diffs!C$32/1000*'5ta'!$R88</f>
        <v>3.913629629280448</v>
      </c>
      <c r="C101" s="399">
        <f>+INGEI_diffs!D$32/1000*'5ta'!$R88</f>
        <v>3.913629629280448</v>
      </c>
      <c r="D101" s="399">
        <f>+INGEI_diffs!E$32/1000*'5ta'!$R88</f>
        <v>3.913629629280448</v>
      </c>
      <c r="E101" s="399">
        <f>+INGEI_diffs!F$32/1000*'5ta'!$R88</f>
        <v>3.913629629280448</v>
      </c>
      <c r="F101" s="399">
        <f>+INGEI_diffs!G$32/1000*'5ta'!$R88</f>
        <v>3.913629629280448</v>
      </c>
      <c r="G101" s="399">
        <f>+INGEI_diffs!H$32/1000*'5ta'!$R88</f>
        <v>3.6850225214043095</v>
      </c>
      <c r="H101" s="399">
        <f>+INGEI_diffs!I$32/1000*'5ta'!$R88</f>
        <v>3.4564154135281711</v>
      </c>
      <c r="I101" s="399">
        <f>+INGEI_diffs!J$32/1000*'5ta'!$R88</f>
        <v>4.8478543764412958</v>
      </c>
      <c r="J101" s="399">
        <f>+INGEI_diffs!K$32/1000*'5ta'!$R88</f>
        <v>6.2392933393544228</v>
      </c>
      <c r="K101" s="399">
        <f>+INGEI_diffs!L$32/1000*'5ta'!$R88</f>
        <v>23.291636164400646</v>
      </c>
      <c r="L101" s="399">
        <f>+INGEI_diffs!M$32/1000*'5ta'!$R88</f>
        <v>23.291636164400646</v>
      </c>
      <c r="M101" s="399">
        <f>+INGEI_diffs!N$32/1000*'5ta'!$R88</f>
        <v>16.997464332569844</v>
      </c>
      <c r="N101" s="399">
        <f>+INGEI_diffs!O$32/1000*'5ta'!$R88</f>
        <v>16.997464332569844</v>
      </c>
    </row>
    <row r="102" spans="1:14" hidden="1" x14ac:dyDescent="0.25">
      <c r="A102" s="402" t="s">
        <v>21</v>
      </c>
      <c r="B102" s="399">
        <f>+INGEI_diffs!C$32/1000*'5ta'!$R89</f>
        <v>37.422509308402745</v>
      </c>
      <c r="C102" s="399">
        <f>+INGEI_diffs!D$32/1000*'5ta'!$R89</f>
        <v>37.422509308402745</v>
      </c>
      <c r="D102" s="399">
        <f>+INGEI_diffs!E$32/1000*'5ta'!$R89</f>
        <v>37.422509308402745</v>
      </c>
      <c r="E102" s="399">
        <f>+INGEI_diffs!F$32/1000*'5ta'!$R89</f>
        <v>37.422509308402745</v>
      </c>
      <c r="F102" s="399">
        <f>+INGEI_diffs!G$32/1000*'5ta'!$R89</f>
        <v>37.422509308402745</v>
      </c>
      <c r="G102" s="399">
        <f>+INGEI_diffs!H$32/1000*'5ta'!$R89</f>
        <v>35.236545782765106</v>
      </c>
      <c r="H102" s="399">
        <f>+INGEI_diffs!I$32/1000*'5ta'!$R89</f>
        <v>33.050582257127466</v>
      </c>
      <c r="I102" s="399">
        <f>+INGEI_diffs!J$32/1000*'5ta'!$R89</f>
        <v>46.355657717542044</v>
      </c>
      <c r="J102" s="399">
        <f>+INGEI_diffs!K$32/1000*'5ta'!$R89</f>
        <v>59.660733177956637</v>
      </c>
      <c r="K102" s="399">
        <f>+INGEI_diffs!L$32/1000*'5ta'!$R89</f>
        <v>222.71690316553273</v>
      </c>
      <c r="L102" s="399">
        <f>+INGEI_diffs!M$32/1000*'5ta'!$R89</f>
        <v>222.71690316553273</v>
      </c>
      <c r="M102" s="399">
        <f>+INGEI_diffs!N$32/1000*'5ta'!$R89</f>
        <v>162.53141647483608</v>
      </c>
      <c r="N102" s="399">
        <f>+INGEI_diffs!O$32/1000*'5ta'!$R89</f>
        <v>162.53141647483608</v>
      </c>
    </row>
    <row r="103" spans="1:14" hidden="1" x14ac:dyDescent="0.25">
      <c r="A103" s="402" t="s">
        <v>22</v>
      </c>
      <c r="B103" s="399">
        <f>+INGEI_diffs!C$32/1000*'5ta'!$R90</f>
        <v>15.212008704768198</v>
      </c>
      <c r="C103" s="399">
        <f>+INGEI_diffs!D$32/1000*'5ta'!$R90</f>
        <v>15.212008704768198</v>
      </c>
      <c r="D103" s="399">
        <f>+INGEI_diffs!E$32/1000*'5ta'!$R90</f>
        <v>15.212008704768198</v>
      </c>
      <c r="E103" s="399">
        <f>+INGEI_diffs!F$32/1000*'5ta'!$R90</f>
        <v>15.212008704768198</v>
      </c>
      <c r="F103" s="399">
        <f>+INGEI_diffs!G$32/1000*'5ta'!$R90</f>
        <v>15.212008704768198</v>
      </c>
      <c r="G103" s="399">
        <f>+INGEI_diffs!H$32/1000*'5ta'!$R90</f>
        <v>14.323428628369125</v>
      </c>
      <c r="H103" s="399">
        <f>+INGEI_diffs!I$32/1000*'5ta'!$R90</f>
        <v>13.434848551970051</v>
      </c>
      <c r="I103" s="399">
        <f>+INGEI_diffs!J$32/1000*'5ta'!$R90</f>
        <v>18.843275925277663</v>
      </c>
      <c r="J103" s="399">
        <f>+INGEI_diffs!K$32/1000*'5ta'!$R90</f>
        <v>24.25170329858528</v>
      </c>
      <c r="K103" s="399">
        <f>+INGEI_diffs!L$32/1000*'5ta'!$R90</f>
        <v>90.532984887049622</v>
      </c>
      <c r="L103" s="399">
        <f>+INGEI_diffs!M$32/1000*'5ta'!$R90</f>
        <v>90.532984887049622</v>
      </c>
      <c r="M103" s="399">
        <f>+INGEI_diffs!N$32/1000*'5ta'!$R90</f>
        <v>66.067972669549434</v>
      </c>
      <c r="N103" s="399">
        <f>+INGEI_diffs!O$32/1000*'5ta'!$R90</f>
        <v>66.067972669549434</v>
      </c>
    </row>
    <row r="104" spans="1:14" hidden="1" x14ac:dyDescent="0.25">
      <c r="A104" s="402" t="s">
        <v>23</v>
      </c>
      <c r="B104" s="399">
        <f>+INGEI_diffs!C$32/1000*'5ta'!$R91</f>
        <v>10.476116492480163</v>
      </c>
      <c r="C104" s="399">
        <f>+INGEI_diffs!D$32/1000*'5ta'!$R91</f>
        <v>10.476116492480163</v>
      </c>
      <c r="D104" s="399">
        <f>+INGEI_diffs!E$32/1000*'5ta'!$R91</f>
        <v>10.476116492480163</v>
      </c>
      <c r="E104" s="399">
        <f>+INGEI_diffs!F$32/1000*'5ta'!$R91</f>
        <v>10.476116492480163</v>
      </c>
      <c r="F104" s="399">
        <f>+INGEI_diffs!G$32/1000*'5ta'!$R91</f>
        <v>10.476116492480163</v>
      </c>
      <c r="G104" s="399">
        <f>+INGEI_diffs!H$32/1000*'5ta'!$R91</f>
        <v>9.8641744029166869</v>
      </c>
      <c r="H104" s="399">
        <f>+INGEI_diffs!I$32/1000*'5ta'!$R91</f>
        <v>9.2522323133532129</v>
      </c>
      <c r="I104" s="399">
        <f>+INGEI_diffs!J$32/1000*'5ta'!$R91</f>
        <v>12.976876198557486</v>
      </c>
      <c r="J104" s="399">
        <f>+INGEI_diffs!K$32/1000*'5ta'!$R91</f>
        <v>16.701520083761761</v>
      </c>
      <c r="K104" s="399">
        <f>+INGEI_diffs!L$32/1000*'5ta'!$R91</f>
        <v>62.347722414291781</v>
      </c>
      <c r="L104" s="399">
        <f>+INGEI_diffs!M$32/1000*'5ta'!$R91</f>
        <v>62.347722414291781</v>
      </c>
      <c r="M104" s="399">
        <f>+INGEI_diffs!N$32/1000*'5ta'!$R91</f>
        <v>45.49930200153289</v>
      </c>
      <c r="N104" s="399">
        <f>+INGEI_diffs!O$32/1000*'5ta'!$R91</f>
        <v>45.49930200153289</v>
      </c>
    </row>
    <row r="105" spans="1:14" hidden="1" x14ac:dyDescent="0.25">
      <c r="A105" s="402" t="s">
        <v>24</v>
      </c>
      <c r="B105" s="399">
        <f>+INGEI_diffs!C$32/1000*'5ta'!$R92</f>
        <v>76.65895261340215</v>
      </c>
      <c r="C105" s="399">
        <f>+INGEI_diffs!D$32/1000*'5ta'!$R92</f>
        <v>76.65895261340215</v>
      </c>
      <c r="D105" s="399">
        <f>+INGEI_diffs!E$32/1000*'5ta'!$R92</f>
        <v>76.65895261340215</v>
      </c>
      <c r="E105" s="399">
        <f>+INGEI_diffs!F$32/1000*'5ta'!$R92</f>
        <v>76.65895261340215</v>
      </c>
      <c r="F105" s="399">
        <f>+INGEI_diffs!G$32/1000*'5ta'!$R92</f>
        <v>76.65895261340215</v>
      </c>
      <c r="G105" s="399">
        <f>+INGEI_diffs!H$32/1000*'5ta'!$R92</f>
        <v>72.181068114917835</v>
      </c>
      <c r="H105" s="399">
        <f>+INGEI_diffs!I$32/1000*'5ta'!$R92</f>
        <v>67.70318361643352</v>
      </c>
      <c r="I105" s="399">
        <f>+INGEI_diffs!J$32/1000*'5ta'!$R92</f>
        <v>94.958254644197112</v>
      </c>
      <c r="J105" s="399">
        <f>+INGEI_diffs!K$32/1000*'5ta'!$R92</f>
        <v>122.21332567196073</v>
      </c>
      <c r="K105" s="399">
        <f>+INGEI_diffs!L$32/1000*'5ta'!$R92</f>
        <v>456.22928129345587</v>
      </c>
      <c r="L105" s="399">
        <f>+INGEI_diffs!M$32/1000*'5ta'!$R92</f>
        <v>456.22928129345587</v>
      </c>
      <c r="M105" s="399">
        <f>+INGEI_diffs!N$32/1000*'5ta'!$R92</f>
        <v>332.94101288221117</v>
      </c>
      <c r="N105" s="399">
        <f>+INGEI_diffs!O$32/1000*'5ta'!$R92</f>
        <v>332.94101288221117</v>
      </c>
    </row>
    <row r="106" spans="1:14" hidden="1" x14ac:dyDescent="0.25">
      <c r="A106" s="402" t="s">
        <v>25</v>
      </c>
      <c r="B106" s="399">
        <f>+INGEI_diffs!C$32/1000*'5ta'!$R93</f>
        <v>8.4932124667230671</v>
      </c>
      <c r="C106" s="399">
        <f>+INGEI_diffs!D$32/1000*'5ta'!$R93</f>
        <v>8.4932124667230671</v>
      </c>
      <c r="D106" s="399">
        <f>+INGEI_diffs!E$32/1000*'5ta'!$R93</f>
        <v>8.4932124667230671</v>
      </c>
      <c r="E106" s="399">
        <f>+INGEI_diffs!F$32/1000*'5ta'!$R93</f>
        <v>8.4932124667230671</v>
      </c>
      <c r="F106" s="399">
        <f>+INGEI_diffs!G$32/1000*'5ta'!$R93</f>
        <v>8.4932124667230671</v>
      </c>
      <c r="G106" s="399">
        <f>+INGEI_diffs!H$32/1000*'5ta'!$R93</f>
        <v>7.9970978819221274</v>
      </c>
      <c r="H106" s="399">
        <f>+INGEI_diffs!I$32/1000*'5ta'!$R93</f>
        <v>7.5009832971211878</v>
      </c>
      <c r="I106" s="399">
        <f>+INGEI_diffs!J$32/1000*'5ta'!$R93</f>
        <v>10.520632028846158</v>
      </c>
      <c r="J106" s="399">
        <f>+INGEI_diffs!K$32/1000*'5ta'!$R93</f>
        <v>13.540280760571131</v>
      </c>
      <c r="K106" s="399">
        <f>+INGEI_diffs!L$32/1000*'5ta'!$R93</f>
        <v>50.546636595818178</v>
      </c>
      <c r="L106" s="399">
        <f>+INGEI_diffs!M$32/1000*'5ta'!$R93</f>
        <v>50.546636595818178</v>
      </c>
      <c r="M106" s="399">
        <f>+INGEI_diffs!N$32/1000*'5ta'!$R93</f>
        <v>36.88726058592448</v>
      </c>
      <c r="N106" s="399">
        <f>+INGEI_diffs!O$32/1000*'5ta'!$R93</f>
        <v>36.88726058592448</v>
      </c>
    </row>
    <row r="107" spans="1:14" hidden="1" x14ac:dyDescent="0.25">
      <c r="A107" s="402" t="s">
        <v>26</v>
      </c>
      <c r="B107" s="399">
        <f>+INGEI_diffs!C$32/1000*'5ta'!$R94</f>
        <v>2.109307396059906</v>
      </c>
      <c r="C107" s="399">
        <f>+INGEI_diffs!D$32/1000*'5ta'!$R94</f>
        <v>2.109307396059906</v>
      </c>
      <c r="D107" s="399">
        <f>+INGEI_diffs!E$32/1000*'5ta'!$R94</f>
        <v>2.109307396059906</v>
      </c>
      <c r="E107" s="399">
        <f>+INGEI_diffs!F$32/1000*'5ta'!$R94</f>
        <v>2.109307396059906</v>
      </c>
      <c r="F107" s="399">
        <f>+INGEI_diffs!G$32/1000*'5ta'!$R94</f>
        <v>2.109307396059906</v>
      </c>
      <c r="G107" s="399">
        <f>+INGEI_diffs!H$32/1000*'5ta'!$R94</f>
        <v>1.9860962828193154</v>
      </c>
      <c r="H107" s="399">
        <f>+INGEI_diffs!I$32/1000*'5ta'!$R94</f>
        <v>1.8628851695787247</v>
      </c>
      <c r="I107" s="399">
        <f>+INGEI_diffs!J$32/1000*'5ta'!$R94</f>
        <v>2.612821360188105</v>
      </c>
      <c r="J107" s="399">
        <f>+INGEI_diffs!K$32/1000*'5ta'!$R94</f>
        <v>3.3627575507974856</v>
      </c>
      <c r="K107" s="399">
        <f>+INGEI_diffs!L$32/1000*'5ta'!$R94</f>
        <v>12.553364799862132</v>
      </c>
      <c r="L107" s="399">
        <f>+INGEI_diffs!M$32/1000*'5ta'!$R94</f>
        <v>12.553364799862132</v>
      </c>
      <c r="M107" s="399">
        <f>+INGEI_diffs!N$32/1000*'5ta'!$R94</f>
        <v>9.1610296903710502</v>
      </c>
      <c r="N107" s="399">
        <f>+INGEI_diffs!O$32/1000*'5ta'!$R94</f>
        <v>9.1610296903710502</v>
      </c>
    </row>
    <row r="108" spans="1:14" hidden="1" x14ac:dyDescent="0.25">
      <c r="A108" s="402" t="s">
        <v>27</v>
      </c>
      <c r="B108" s="399">
        <f>+INGEI_diffs!C$32/1000*'5ta'!$R95</f>
        <v>8.8207624733485144</v>
      </c>
      <c r="C108" s="399">
        <f>+INGEI_diffs!D$32/1000*'5ta'!$R95</f>
        <v>8.8207624733485144</v>
      </c>
      <c r="D108" s="399">
        <f>+INGEI_diffs!E$32/1000*'5ta'!$R95</f>
        <v>8.8207624733485144</v>
      </c>
      <c r="E108" s="399">
        <f>+INGEI_diffs!F$32/1000*'5ta'!$R95</f>
        <v>8.8207624733485144</v>
      </c>
      <c r="F108" s="399">
        <f>+INGEI_diffs!G$32/1000*'5ta'!$R95</f>
        <v>8.8207624733485144</v>
      </c>
      <c r="G108" s="399">
        <f>+INGEI_diffs!H$32/1000*'5ta'!$R95</f>
        <v>8.3055146882214057</v>
      </c>
      <c r="H108" s="399">
        <f>+INGEI_diffs!I$32/1000*'5ta'!$R95</f>
        <v>7.7902669030942961</v>
      </c>
      <c r="I108" s="399">
        <f>+INGEI_diffs!J$32/1000*'5ta'!$R95</f>
        <v>10.926371683217718</v>
      </c>
      <c r="J108" s="399">
        <f>+INGEI_diffs!K$32/1000*'5ta'!$R95</f>
        <v>14.062476463341143</v>
      </c>
      <c r="K108" s="399">
        <f>+INGEI_diffs!L$32/1000*'5ta'!$R95</f>
        <v>52.49602279294016</v>
      </c>
      <c r="L108" s="399">
        <f>+INGEI_diffs!M$32/1000*'5ta'!$R95</f>
        <v>52.49602279294016</v>
      </c>
      <c r="M108" s="399">
        <f>+INGEI_diffs!N$32/1000*'5ta'!$R95</f>
        <v>38.309858042028843</v>
      </c>
      <c r="N108" s="399">
        <f>+INGEI_diffs!O$32/1000*'5ta'!$R95</f>
        <v>38.309858042028843</v>
      </c>
    </row>
    <row r="109" spans="1:14" hidden="1" x14ac:dyDescent="0.25">
      <c r="B109" s="399"/>
      <c r="C109" s="399"/>
      <c r="D109" s="399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</row>
    <row r="110" spans="1:14" hidden="1" x14ac:dyDescent="0.25">
      <c r="A110" t="s">
        <v>446</v>
      </c>
    </row>
    <row r="111" spans="1:14" hidden="1" x14ac:dyDescent="0.25">
      <c r="A111" s="402" t="s">
        <v>18</v>
      </c>
      <c r="B111" s="127">
        <f>+'Cambio uso de suelo (BAU)'!D65/1000</f>
        <v>0</v>
      </c>
      <c r="C111" s="127">
        <f>+'Cambio uso de suelo (BAU)'!E65/1000</f>
        <v>0</v>
      </c>
      <c r="D111" s="127">
        <f>+'Cambio uso de suelo (BAU)'!F65/1000</f>
        <v>0</v>
      </c>
      <c r="E111" s="127">
        <f>+'Cambio uso de suelo (BAU)'!G65/1000</f>
        <v>0</v>
      </c>
      <c r="F111" s="127">
        <f>+'Cambio uso de suelo (BAU)'!H65/1000</f>
        <v>0</v>
      </c>
      <c r="G111" s="127">
        <f>+'Cambio uso de suelo (BAU)'!I65/1000</f>
        <v>0</v>
      </c>
      <c r="H111" s="127">
        <f>+'Cambio uso de suelo (BAU)'!J65/1000</f>
        <v>0</v>
      </c>
      <c r="I111" s="127">
        <f>+'Cambio uso de suelo (BAU)'!K65/1000</f>
        <v>5.1974999999999998E-6</v>
      </c>
      <c r="J111" s="127">
        <f>+'Cambio uso de suelo (BAU)'!L65/1000</f>
        <v>1.0395E-5</v>
      </c>
      <c r="K111" s="127">
        <f>+'Cambio uso de suelo (BAU)'!M65/1000</f>
        <v>7.52E-6</v>
      </c>
      <c r="L111" s="127">
        <f>+'Cambio uso de suelo (BAU)'!N65/1000</f>
        <v>7.52E-6</v>
      </c>
      <c r="M111" s="127">
        <f>+'Cambio uso de suelo (BAU)'!O65/1000</f>
        <v>0</v>
      </c>
      <c r="N111" s="127">
        <f>+'Cambio uso de suelo (BAU)'!P65/1000</f>
        <v>0</v>
      </c>
    </row>
    <row r="112" spans="1:14" s="398" customFormat="1" hidden="1" x14ac:dyDescent="0.25">
      <c r="A112" s="402" t="s">
        <v>20</v>
      </c>
      <c r="B112" s="127">
        <f>+'Cambio uso de suelo (BAU)'!D66/1000</f>
        <v>3.8999999999999999E-4</v>
      </c>
      <c r="C112" s="127">
        <f>+'Cambio uso de suelo (BAU)'!E66/1000</f>
        <v>3.8999999999999999E-4</v>
      </c>
      <c r="D112" s="127">
        <f>+'Cambio uso de suelo (BAU)'!F66/1000</f>
        <v>3.8999999999999999E-4</v>
      </c>
      <c r="E112" s="127">
        <f>+'Cambio uso de suelo (BAU)'!G66/1000</f>
        <v>3.8999999999999999E-4</v>
      </c>
      <c r="F112" s="127">
        <f>+'Cambio uso de suelo (BAU)'!H66/1000</f>
        <v>3.8999999999999999E-4</v>
      </c>
      <c r="G112" s="127">
        <f>+'Cambio uso de suelo (BAU)'!I66/1000</f>
        <v>2.325075E-4</v>
      </c>
      <c r="H112" s="127">
        <f>+'Cambio uso de suelo (BAU)'!J66/1000</f>
        <v>7.5014999999999999E-5</v>
      </c>
      <c r="I112" s="127">
        <f>+'Cambio uso de suelo (BAU)'!K66/1000</f>
        <v>7.5240000000000005E-5</v>
      </c>
      <c r="J112" s="127">
        <f>+'Cambio uso de suelo (BAU)'!L66/1000</f>
        <v>7.546500000000001E-5</v>
      </c>
      <c r="K112" s="127">
        <f>+'Cambio uso de suelo (BAU)'!M66/1000</f>
        <v>5.2766999999999994E-4</v>
      </c>
      <c r="L112" s="127">
        <f>+'Cambio uso de suelo (BAU)'!N66/1000</f>
        <v>5.2766999999999994E-4</v>
      </c>
      <c r="M112" s="127">
        <f>+'Cambio uso de suelo (BAU)'!O66/1000</f>
        <v>8.0249E-4</v>
      </c>
      <c r="N112" s="127">
        <f>+'Cambio uso de suelo (BAU)'!P66/1000</f>
        <v>8.0249E-4</v>
      </c>
    </row>
    <row r="113" spans="1:14" hidden="1" x14ac:dyDescent="0.25">
      <c r="A113" s="402" t="s">
        <v>21</v>
      </c>
      <c r="B113" s="127">
        <f>+'Cambio uso de suelo (BAU)'!D67/1000</f>
        <v>4.2464999999999994E-5</v>
      </c>
      <c r="C113" s="127">
        <f>+'Cambio uso de suelo (BAU)'!E67/1000</f>
        <v>4.2464999999999994E-5</v>
      </c>
      <c r="D113" s="127">
        <f>+'Cambio uso de suelo (BAU)'!F67/1000</f>
        <v>4.2464999999999994E-5</v>
      </c>
      <c r="E113" s="127">
        <f>+'Cambio uso de suelo (BAU)'!G67/1000</f>
        <v>4.2464999999999994E-5</v>
      </c>
      <c r="F113" s="127">
        <f>+'Cambio uso de suelo (BAU)'!H67/1000</f>
        <v>4.2464999999999994E-5</v>
      </c>
      <c r="G113" s="127">
        <f>+'Cambio uso de suelo (BAU)'!I67/1000</f>
        <v>5.4824999999999998E-5</v>
      </c>
      <c r="H113" s="127">
        <f>+'Cambio uso de suelo (BAU)'!J67/1000</f>
        <v>6.7185000000000015E-5</v>
      </c>
      <c r="I113" s="127">
        <f>+'Cambio uso de suelo (BAU)'!K67/1000</f>
        <v>8.9032500000000005E-5</v>
      </c>
      <c r="J113" s="127">
        <f>+'Cambio uso de suelo (BAU)'!L67/1000</f>
        <v>1.1088E-4</v>
      </c>
      <c r="K113" s="127">
        <f>+'Cambio uso de suelo (BAU)'!M67/1000</f>
        <v>5.94E-5</v>
      </c>
      <c r="L113" s="127">
        <f>+'Cambio uso de suelo (BAU)'!N67/1000</f>
        <v>5.94E-5</v>
      </c>
      <c r="M113" s="127">
        <f>+'Cambio uso de suelo (BAU)'!O67/1000</f>
        <v>1.2344E-4</v>
      </c>
      <c r="N113" s="127">
        <f>+'Cambio uso de suelo (BAU)'!P67/1000</f>
        <v>1.2344E-4</v>
      </c>
    </row>
    <row r="114" spans="1:14" hidden="1" x14ac:dyDescent="0.25">
      <c r="A114" s="402" t="s">
        <v>22</v>
      </c>
      <c r="B114" s="127">
        <f>+'Cambio uso de suelo (BAU)'!D68/1000</f>
        <v>5.1254999999999996E-5</v>
      </c>
      <c r="C114" s="127">
        <f>+'Cambio uso de suelo (BAU)'!E68/1000</f>
        <v>5.1254999999999996E-5</v>
      </c>
      <c r="D114" s="127">
        <f>+'Cambio uso de suelo (BAU)'!F68/1000</f>
        <v>5.1254999999999996E-5</v>
      </c>
      <c r="E114" s="127">
        <f>+'Cambio uso de suelo (BAU)'!G68/1000</f>
        <v>5.1254999999999996E-5</v>
      </c>
      <c r="F114" s="127">
        <f>+'Cambio uso de suelo (BAU)'!H68/1000</f>
        <v>5.1254999999999996E-5</v>
      </c>
      <c r="G114" s="127">
        <f>+'Cambio uso de suelo (BAU)'!I68/1000</f>
        <v>4.8959999999999992E-5</v>
      </c>
      <c r="H114" s="127">
        <f>+'Cambio uso de suelo (BAU)'!J68/1000</f>
        <v>4.6664999999999995E-5</v>
      </c>
      <c r="I114" s="127">
        <f>+'Cambio uso de suelo (BAU)'!K68/1000</f>
        <v>6.17175E-5</v>
      </c>
      <c r="J114" s="127">
        <f>+'Cambio uso de suelo (BAU)'!L68/1000</f>
        <v>7.6769999999999985E-5</v>
      </c>
      <c r="K114" s="127">
        <f>+'Cambio uso de suelo (BAU)'!M68/1000</f>
        <v>9.9449999999999991E-5</v>
      </c>
      <c r="L114" s="127">
        <f>+'Cambio uso de suelo (BAU)'!N68/1000</f>
        <v>9.9449999999999991E-5</v>
      </c>
      <c r="M114" s="127">
        <f>+'Cambio uso de suelo (BAU)'!O68/1000</f>
        <v>1.3856E-4</v>
      </c>
      <c r="N114" s="127">
        <f>+'Cambio uso de suelo (BAU)'!P68/1000</f>
        <v>1.3856E-4</v>
      </c>
    </row>
    <row r="115" spans="1:14" hidden="1" x14ac:dyDescent="0.25">
      <c r="A115" s="402" t="s">
        <v>23</v>
      </c>
      <c r="B115" s="127">
        <f>+'Cambio uso de suelo (BAU)'!D69/1000</f>
        <v>1.806E-5</v>
      </c>
      <c r="C115" s="127">
        <f>+'Cambio uso de suelo (BAU)'!E69/1000</f>
        <v>1.806E-5</v>
      </c>
      <c r="D115" s="127">
        <f>+'Cambio uso de suelo (BAU)'!F69/1000</f>
        <v>1.806E-5</v>
      </c>
      <c r="E115" s="127">
        <f>+'Cambio uso de suelo (BAU)'!G69/1000</f>
        <v>1.806E-5</v>
      </c>
      <c r="F115" s="127">
        <f>+'Cambio uso de suelo (BAU)'!H69/1000</f>
        <v>1.806E-5</v>
      </c>
      <c r="G115" s="127">
        <f>+'Cambio uso de suelo (BAU)'!I69/1000</f>
        <v>2.12925E-5</v>
      </c>
      <c r="H115" s="127">
        <f>+'Cambio uso de suelo (BAU)'!J69/1000</f>
        <v>2.4525000000000003E-5</v>
      </c>
      <c r="I115" s="127">
        <f>+'Cambio uso de suelo (BAU)'!K69/1000</f>
        <v>2.817E-5</v>
      </c>
      <c r="J115" s="127">
        <f>+'Cambio uso de suelo (BAU)'!L69/1000</f>
        <v>3.1814999999999993E-5</v>
      </c>
      <c r="K115" s="127">
        <f>+'Cambio uso de suelo (BAU)'!M69/1000</f>
        <v>3.9649999999999995E-5</v>
      </c>
      <c r="L115" s="127">
        <f>+'Cambio uso de suelo (BAU)'!N69/1000</f>
        <v>3.9649999999999995E-5</v>
      </c>
      <c r="M115" s="127">
        <f>+'Cambio uso de suelo (BAU)'!O69/1000</f>
        <v>5.4000000000000002E-7</v>
      </c>
      <c r="N115" s="127">
        <f>+'Cambio uso de suelo (BAU)'!P69/1000</f>
        <v>5.4000000000000002E-7</v>
      </c>
    </row>
    <row r="116" spans="1:14" hidden="1" x14ac:dyDescent="0.25">
      <c r="A116" s="402" t="s">
        <v>24</v>
      </c>
      <c r="B116" s="127">
        <f>+'Cambio uso de suelo (BAU)'!D70/1000</f>
        <v>1.0255500000000001E-4</v>
      </c>
      <c r="C116" s="127">
        <f>+'Cambio uso de suelo (BAU)'!E70/1000</f>
        <v>1.0255500000000001E-4</v>
      </c>
      <c r="D116" s="127">
        <f>+'Cambio uso de suelo (BAU)'!F70/1000</f>
        <v>1.0255500000000001E-4</v>
      </c>
      <c r="E116" s="127">
        <f>+'Cambio uso de suelo (BAU)'!G70/1000</f>
        <v>1.0255500000000001E-4</v>
      </c>
      <c r="F116" s="127">
        <f>+'Cambio uso de suelo (BAU)'!H70/1000</f>
        <v>1.0255500000000001E-4</v>
      </c>
      <c r="G116" s="127">
        <f>+'Cambio uso de suelo (BAU)'!I70/1000</f>
        <v>1.07235E-4</v>
      </c>
      <c r="H116" s="127">
        <f>+'Cambio uso de suelo (BAU)'!J70/1000</f>
        <v>1.11915E-4</v>
      </c>
      <c r="I116" s="127">
        <f>+'Cambio uso de suelo (BAU)'!K70/1000</f>
        <v>1.5797249999999999E-4</v>
      </c>
      <c r="J116" s="127">
        <f>+'Cambio uso de suelo (BAU)'!L70/1000</f>
        <v>2.0402999999999998E-4</v>
      </c>
      <c r="K116" s="127">
        <f>+'Cambio uso de suelo (BAU)'!M70/1000</f>
        <v>3.0074000000000002E-4</v>
      </c>
      <c r="L116" s="127">
        <f>+'Cambio uso de suelo (BAU)'!N70/1000</f>
        <v>3.0074000000000002E-4</v>
      </c>
      <c r="M116" s="127">
        <f>+'Cambio uso de suelo (BAU)'!O70/1000</f>
        <v>8.6197999999999993E-4</v>
      </c>
      <c r="N116" s="127">
        <f>+'Cambio uso de suelo (BAU)'!P70/1000</f>
        <v>8.6197999999999993E-4</v>
      </c>
    </row>
    <row r="117" spans="1:14" s="398" customFormat="1" hidden="1" x14ac:dyDescent="0.25">
      <c r="A117" s="402" t="s">
        <v>25</v>
      </c>
      <c r="B117" s="127">
        <f>+'Cambio uso de suelo (BAU)'!D71/1000</f>
        <v>3.0825000000000004E-5</v>
      </c>
      <c r="C117" s="127">
        <f>+'Cambio uso de suelo (BAU)'!E71/1000</f>
        <v>3.0825000000000004E-5</v>
      </c>
      <c r="D117" s="127">
        <f>+'Cambio uso de suelo (BAU)'!F71/1000</f>
        <v>3.0825000000000004E-5</v>
      </c>
      <c r="E117" s="127">
        <f>+'Cambio uso de suelo (BAU)'!G71/1000</f>
        <v>3.0825000000000004E-5</v>
      </c>
      <c r="F117" s="127">
        <f>+'Cambio uso de suelo (BAU)'!H71/1000</f>
        <v>3.0825000000000004E-5</v>
      </c>
      <c r="G117" s="127">
        <f>+'Cambio uso de suelo (BAU)'!I71/1000</f>
        <v>2.2770000000000001E-5</v>
      </c>
      <c r="H117" s="127">
        <f>+'Cambio uso de suelo (BAU)'!J71/1000</f>
        <v>1.4715000000000001E-5</v>
      </c>
      <c r="I117" s="127">
        <f>+'Cambio uso de suelo (BAU)'!K71/1000</f>
        <v>1.8090000000000001E-5</v>
      </c>
      <c r="J117" s="127">
        <f>+'Cambio uso de suelo (BAU)'!L71/1000</f>
        <v>2.1465000000000002E-5</v>
      </c>
      <c r="K117" s="127">
        <f>+'Cambio uso de suelo (BAU)'!M71/1000</f>
        <v>3.3979999999999997E-5</v>
      </c>
      <c r="L117" s="127">
        <f>+'Cambio uso de suelo (BAU)'!N71/1000</f>
        <v>3.3979999999999997E-5</v>
      </c>
      <c r="M117" s="127">
        <f>+'Cambio uso de suelo (BAU)'!O71/1000</f>
        <v>2.0155999999999999E-4</v>
      </c>
      <c r="N117" s="127">
        <f>+'Cambio uso de suelo (BAU)'!P71/1000</f>
        <v>2.0155999999999999E-4</v>
      </c>
    </row>
    <row r="118" spans="1:14" s="398" customFormat="1" hidden="1" x14ac:dyDescent="0.25">
      <c r="A118" s="402" t="s">
        <v>26</v>
      </c>
      <c r="B118" s="127">
        <f>+'Cambio uso de suelo (BAU)'!D72/1000</f>
        <v>3.3630000000000002E-5</v>
      </c>
      <c r="C118" s="127">
        <f>+'Cambio uso de suelo (BAU)'!E72/1000</f>
        <v>3.3630000000000002E-5</v>
      </c>
      <c r="D118" s="127">
        <f>+'Cambio uso de suelo (BAU)'!F72/1000</f>
        <v>3.3630000000000002E-5</v>
      </c>
      <c r="E118" s="127">
        <f>+'Cambio uso de suelo (BAU)'!G72/1000</f>
        <v>3.3630000000000002E-5</v>
      </c>
      <c r="F118" s="127">
        <f>+'Cambio uso de suelo (BAU)'!H72/1000</f>
        <v>3.3630000000000002E-5</v>
      </c>
      <c r="G118" s="127">
        <f>+'Cambio uso de suelo (BAU)'!I72/1000</f>
        <v>2.0842499999999999E-5</v>
      </c>
      <c r="H118" s="127">
        <f>+'Cambio uso de suelo (BAU)'!J72/1000</f>
        <v>8.055E-6</v>
      </c>
      <c r="I118" s="127">
        <f>+'Cambio uso de suelo (BAU)'!K72/1000</f>
        <v>1.16775E-5</v>
      </c>
      <c r="J118" s="127">
        <f>+'Cambio uso de suelo (BAU)'!L72/1000</f>
        <v>1.5300000000000003E-5</v>
      </c>
      <c r="K118" s="127">
        <f>+'Cambio uso de suelo (BAU)'!M72/1000</f>
        <v>2.2107199999999998E-3</v>
      </c>
      <c r="L118" s="127">
        <f>+'Cambio uso de suelo (BAU)'!N72/1000</f>
        <v>2.2107199999999998E-3</v>
      </c>
      <c r="M118" s="127">
        <f>+'Cambio uso de suelo (BAU)'!O72/1000</f>
        <v>7.8709999999999983E-5</v>
      </c>
      <c r="N118" s="127">
        <f>+'Cambio uso de suelo (BAU)'!P72/1000</f>
        <v>7.8709999999999983E-5</v>
      </c>
    </row>
    <row r="119" spans="1:14" hidden="1" x14ac:dyDescent="0.25">
      <c r="A119" s="402" t="s">
        <v>27</v>
      </c>
      <c r="B119" s="127">
        <f>+'Cambio uso de suelo (BAU)'!D73/1000</f>
        <v>1.8300000000000001E-6</v>
      </c>
      <c r="C119" s="127">
        <f>+'Cambio uso de suelo (BAU)'!E73/1000</f>
        <v>1.8300000000000001E-6</v>
      </c>
      <c r="D119" s="127">
        <f>+'Cambio uso de suelo (BAU)'!F73/1000</f>
        <v>1.8300000000000001E-6</v>
      </c>
      <c r="E119" s="127">
        <f>+'Cambio uso de suelo (BAU)'!G73/1000</f>
        <v>1.8300000000000001E-6</v>
      </c>
      <c r="F119" s="127">
        <f>+'Cambio uso de suelo (BAU)'!H73/1000</f>
        <v>1.8300000000000001E-6</v>
      </c>
      <c r="G119" s="127">
        <f>+'Cambio uso de suelo (BAU)'!I73/1000</f>
        <v>2.5799999999999999E-6</v>
      </c>
      <c r="H119" s="127">
        <f>+'Cambio uso de suelo (BAU)'!J73/1000</f>
        <v>3.3299999999999999E-6</v>
      </c>
      <c r="I119" s="127">
        <f>+'Cambio uso de suelo (BAU)'!K73/1000</f>
        <v>4.6574999999999999E-6</v>
      </c>
      <c r="J119" s="127">
        <f>+'Cambio uso de suelo (BAU)'!L73/1000</f>
        <v>5.9850000000000011E-6</v>
      </c>
      <c r="K119" s="127">
        <f>+'Cambio uso de suelo (BAU)'!M73/1000</f>
        <v>6.5300000000000002E-6</v>
      </c>
      <c r="L119" s="127">
        <f>+'Cambio uso de suelo (BAU)'!N73/1000</f>
        <v>6.5300000000000002E-6</v>
      </c>
      <c r="M119" s="127">
        <f>+'Cambio uso de suelo (BAU)'!O73/1000</f>
        <v>1.323E-5</v>
      </c>
      <c r="N119" s="127">
        <f>+'Cambio uso de suelo (BAU)'!P73/1000</f>
        <v>1.323E-5</v>
      </c>
    </row>
    <row r="120" spans="1:14" hidden="1" x14ac:dyDescent="0.25">
      <c r="B120" s="127">
        <f>+SUM(B111:B119)</f>
        <v>6.7062000000000003E-4</v>
      </c>
      <c r="C120" s="127">
        <f t="shared" ref="C120" si="24">+SUM(C111:C119)</f>
        <v>6.7062000000000003E-4</v>
      </c>
      <c r="D120" s="127">
        <f t="shared" ref="D120" si="25">+SUM(D111:D119)</f>
        <v>6.7062000000000003E-4</v>
      </c>
      <c r="E120" s="127">
        <f t="shared" ref="E120" si="26">+SUM(E111:E119)</f>
        <v>6.7062000000000003E-4</v>
      </c>
      <c r="F120" s="127">
        <f t="shared" ref="F120" si="27">+SUM(F111:F119)</f>
        <v>6.7062000000000003E-4</v>
      </c>
      <c r="G120" s="127">
        <f t="shared" ref="G120" si="28">+SUM(G111:G119)</f>
        <v>5.110125000000001E-4</v>
      </c>
      <c r="H120" s="127">
        <f t="shared" ref="H120" si="29">+SUM(H111:H119)</f>
        <v>3.51405E-4</v>
      </c>
      <c r="I120" s="127">
        <f t="shared" ref="I120" si="30">+SUM(I111:I119)</f>
        <v>4.5175499999999997E-4</v>
      </c>
      <c r="J120" s="127">
        <f t="shared" ref="J120" si="31">+SUM(J111:J119)</f>
        <v>5.52105E-4</v>
      </c>
      <c r="K120" s="127">
        <f t="shared" ref="K120" si="32">+SUM(K111:K119)</f>
        <v>3.2856599999999997E-3</v>
      </c>
      <c r="L120" s="127">
        <f t="shared" ref="L120" si="33">+SUM(L111:L119)</f>
        <v>3.2856599999999997E-3</v>
      </c>
      <c r="M120" s="127">
        <f t="shared" ref="M120" si="34">+SUM(M111:M119)</f>
        <v>2.2205099999999998E-3</v>
      </c>
      <c r="N120" s="127">
        <f t="shared" ref="N120" si="35">+SUM(N111:N119)</f>
        <v>2.2205099999999998E-3</v>
      </c>
    </row>
    <row r="121" spans="1:14" hidden="1" x14ac:dyDescent="0.25">
      <c r="A121" t="s">
        <v>119</v>
      </c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</row>
    <row r="122" spans="1:14" hidden="1" x14ac:dyDescent="0.25">
      <c r="A122" s="402" t="s">
        <v>18</v>
      </c>
      <c r="B122" s="127">
        <v>0</v>
      </c>
      <c r="C122" s="127">
        <v>0</v>
      </c>
      <c r="D122" s="127">
        <v>0</v>
      </c>
      <c r="E122" s="127">
        <v>0</v>
      </c>
      <c r="F122" s="127">
        <v>0</v>
      </c>
      <c r="G122" s="127">
        <v>0</v>
      </c>
      <c r="H122" s="127">
        <v>0</v>
      </c>
      <c r="I122" s="127">
        <f>+I100/I111</f>
        <v>95515.653980893665</v>
      </c>
      <c r="J122" s="127">
        <f t="shared" ref="J122:N122" si="36">+J100/J111</f>
        <v>61465.355331542116</v>
      </c>
      <c r="K122" s="127">
        <f t="shared" si="36"/>
        <v>317176.96763944562</v>
      </c>
      <c r="L122" s="127">
        <f t="shared" si="36"/>
        <v>317176.96763944562</v>
      </c>
      <c r="M122" s="127" t="e">
        <f t="shared" si="36"/>
        <v>#DIV/0!</v>
      </c>
      <c r="N122" s="127" t="e">
        <f t="shared" si="36"/>
        <v>#DIV/0!</v>
      </c>
    </row>
    <row r="123" spans="1:14" hidden="1" x14ac:dyDescent="0.25">
      <c r="A123" s="402" t="s">
        <v>20</v>
      </c>
      <c r="B123" s="127">
        <f t="shared" ref="B123:N130" si="37">+B101/B112</f>
        <v>10034.947767385764</v>
      </c>
      <c r="C123" s="127">
        <f t="shared" si="37"/>
        <v>10034.947767385764</v>
      </c>
      <c r="D123" s="127">
        <f t="shared" si="37"/>
        <v>10034.947767385764</v>
      </c>
      <c r="E123" s="127">
        <f t="shared" si="37"/>
        <v>10034.947767385764</v>
      </c>
      <c r="F123" s="127">
        <f t="shared" si="37"/>
        <v>10034.947767385764</v>
      </c>
      <c r="G123" s="127">
        <f t="shared" si="37"/>
        <v>15849.047972234484</v>
      </c>
      <c r="H123" s="127">
        <f t="shared" si="37"/>
        <v>46076.323582325815</v>
      </c>
      <c r="I123" s="127">
        <f t="shared" si="37"/>
        <v>64431.876348236248</v>
      </c>
      <c r="J123" s="127">
        <f t="shared" si="37"/>
        <v>82677.97441667557</v>
      </c>
      <c r="K123" s="127">
        <f t="shared" si="37"/>
        <v>44140.535115509032</v>
      </c>
      <c r="L123" s="127">
        <f t="shared" si="37"/>
        <v>44140.535115509032</v>
      </c>
      <c r="M123" s="127">
        <f t="shared" si="37"/>
        <v>21180.904849368646</v>
      </c>
      <c r="N123" s="127">
        <f t="shared" si="37"/>
        <v>21180.904849368646</v>
      </c>
    </row>
    <row r="124" spans="1:14" hidden="1" x14ac:dyDescent="0.25">
      <c r="A124" s="402" t="s">
        <v>21</v>
      </c>
      <c r="B124" s="127">
        <f t="shared" si="37"/>
        <v>881255.37050283176</v>
      </c>
      <c r="C124" s="127">
        <f t="shared" si="37"/>
        <v>881255.37050283176</v>
      </c>
      <c r="D124" s="127">
        <f t="shared" si="37"/>
        <v>881255.37050283176</v>
      </c>
      <c r="E124" s="127">
        <f t="shared" si="37"/>
        <v>881255.37050283176</v>
      </c>
      <c r="F124" s="127">
        <f t="shared" si="37"/>
        <v>881255.37050283176</v>
      </c>
      <c r="G124" s="127">
        <f t="shared" si="37"/>
        <v>642709.4534020084</v>
      </c>
      <c r="H124" s="127">
        <f t="shared" si="37"/>
        <v>491933.94741575437</v>
      </c>
      <c r="I124" s="127">
        <f t="shared" si="37"/>
        <v>520659.95807757886</v>
      </c>
      <c r="J124" s="127">
        <f t="shared" si="37"/>
        <v>538065.77541447186</v>
      </c>
      <c r="K124" s="127">
        <f t="shared" si="37"/>
        <v>3749442.8142345576</v>
      </c>
      <c r="L124" s="127">
        <f t="shared" si="37"/>
        <v>3749442.8142345576</v>
      </c>
      <c r="M124" s="127">
        <f t="shared" si="37"/>
        <v>1316683.5424079397</v>
      </c>
      <c r="N124" s="127">
        <f t="shared" si="37"/>
        <v>1316683.5424079397</v>
      </c>
    </row>
    <row r="125" spans="1:14" hidden="1" x14ac:dyDescent="0.25">
      <c r="A125" s="402" t="s">
        <v>22</v>
      </c>
      <c r="B125" s="127">
        <f t="shared" si="37"/>
        <v>296790.72685139399</v>
      </c>
      <c r="C125" s="127">
        <f t="shared" si="37"/>
        <v>296790.72685139399</v>
      </c>
      <c r="D125" s="127">
        <f t="shared" si="37"/>
        <v>296790.72685139399</v>
      </c>
      <c r="E125" s="127">
        <f t="shared" si="37"/>
        <v>296790.72685139399</v>
      </c>
      <c r="F125" s="127">
        <f t="shared" si="37"/>
        <v>296790.72685139399</v>
      </c>
      <c r="G125" s="127">
        <f t="shared" si="37"/>
        <v>292553.68930492498</v>
      </c>
      <c r="H125" s="127">
        <f t="shared" si="37"/>
        <v>287899.89396699995</v>
      </c>
      <c r="I125" s="127">
        <f t="shared" si="37"/>
        <v>305314.95807959919</v>
      </c>
      <c r="J125" s="127">
        <f t="shared" si="37"/>
        <v>315900.78544464352</v>
      </c>
      <c r="K125" s="127">
        <f t="shared" si="37"/>
        <v>910336.70072448091</v>
      </c>
      <c r="L125" s="127">
        <f t="shared" si="37"/>
        <v>910336.70072448091</v>
      </c>
      <c r="M125" s="127">
        <f t="shared" si="37"/>
        <v>476818.50945113623</v>
      </c>
      <c r="N125" s="127">
        <f t="shared" si="37"/>
        <v>476818.50945113623</v>
      </c>
    </row>
    <row r="126" spans="1:14" hidden="1" x14ac:dyDescent="0.25">
      <c r="A126" s="402" t="s">
        <v>23</v>
      </c>
      <c r="B126" s="127">
        <f t="shared" si="37"/>
        <v>580072.89548616624</v>
      </c>
      <c r="C126" s="127">
        <f t="shared" si="37"/>
        <v>580072.89548616624</v>
      </c>
      <c r="D126" s="127">
        <f t="shared" si="37"/>
        <v>580072.89548616624</v>
      </c>
      <c r="E126" s="127">
        <f t="shared" si="37"/>
        <v>580072.89548616624</v>
      </c>
      <c r="F126" s="127">
        <f t="shared" si="37"/>
        <v>580072.89548616624</v>
      </c>
      <c r="G126" s="127">
        <f t="shared" si="37"/>
        <v>463269.90268482739</v>
      </c>
      <c r="H126" s="127">
        <f t="shared" si="37"/>
        <v>377257.17893387203</v>
      </c>
      <c r="I126" s="127">
        <f t="shared" si="37"/>
        <v>460662.98184442619</v>
      </c>
      <c r="J126" s="127">
        <f t="shared" si="37"/>
        <v>524957.41265949281</v>
      </c>
      <c r="K126" s="127">
        <f t="shared" si="37"/>
        <v>1572452.0154928572</v>
      </c>
      <c r="L126" s="127">
        <f t="shared" si="37"/>
        <v>1572452.0154928572</v>
      </c>
      <c r="M126" s="127">
        <f t="shared" si="37"/>
        <v>84257966.669505343</v>
      </c>
      <c r="N126" s="127">
        <f t="shared" si="37"/>
        <v>84257966.669505343</v>
      </c>
    </row>
    <row r="127" spans="1:14" hidden="1" x14ac:dyDescent="0.25">
      <c r="A127" s="402" t="s">
        <v>24</v>
      </c>
      <c r="B127" s="127">
        <f t="shared" si="37"/>
        <v>747491.12781826477</v>
      </c>
      <c r="C127" s="127">
        <f t="shared" si="37"/>
        <v>747491.12781826477</v>
      </c>
      <c r="D127" s="127">
        <f t="shared" si="37"/>
        <v>747491.12781826477</v>
      </c>
      <c r="E127" s="127">
        <f t="shared" si="37"/>
        <v>747491.12781826477</v>
      </c>
      <c r="F127" s="127">
        <f t="shared" si="37"/>
        <v>747491.12781826477</v>
      </c>
      <c r="G127" s="127">
        <f t="shared" si="37"/>
        <v>673111.09353212884</v>
      </c>
      <c r="H127" s="127">
        <f t="shared" si="37"/>
        <v>604951.82608616829</v>
      </c>
      <c r="I127" s="127">
        <f t="shared" si="37"/>
        <v>601106.23459271144</v>
      </c>
      <c r="J127" s="127">
        <f t="shared" si="37"/>
        <v>598996.84199363203</v>
      </c>
      <c r="K127" s="127">
        <f t="shared" si="37"/>
        <v>1517022.2826809066</v>
      </c>
      <c r="L127" s="127">
        <f t="shared" si="37"/>
        <v>1517022.2826809066</v>
      </c>
      <c r="M127" s="127">
        <f t="shared" si="37"/>
        <v>386251.43609156966</v>
      </c>
      <c r="N127" s="127">
        <f t="shared" si="37"/>
        <v>386251.43609156966</v>
      </c>
    </row>
    <row r="128" spans="1:14" hidden="1" x14ac:dyDescent="0.25">
      <c r="A128" s="402" t="s">
        <v>25</v>
      </c>
      <c r="B128" s="127">
        <f t="shared" si="37"/>
        <v>275530.00703075639</v>
      </c>
      <c r="C128" s="127">
        <f t="shared" si="37"/>
        <v>275530.00703075639</v>
      </c>
      <c r="D128" s="127">
        <f t="shared" si="37"/>
        <v>275530.00703075639</v>
      </c>
      <c r="E128" s="127">
        <f t="shared" si="37"/>
        <v>275530.00703075639</v>
      </c>
      <c r="F128" s="127">
        <f t="shared" si="37"/>
        <v>275530.00703075639</v>
      </c>
      <c r="G128" s="127">
        <f t="shared" si="37"/>
        <v>351212.02819157345</v>
      </c>
      <c r="H128" s="127">
        <f t="shared" si="37"/>
        <v>509750.81869664881</v>
      </c>
      <c r="I128" s="127">
        <f t="shared" si="37"/>
        <v>581571.69866479584</v>
      </c>
      <c r="J128" s="127">
        <f t="shared" si="37"/>
        <v>630807.3962530226</v>
      </c>
      <c r="K128" s="127">
        <f t="shared" si="37"/>
        <v>1487540.8062336133</v>
      </c>
      <c r="L128" s="127">
        <f t="shared" si="37"/>
        <v>1487540.8062336133</v>
      </c>
      <c r="M128" s="127">
        <f t="shared" si="37"/>
        <v>183008.83402423339</v>
      </c>
      <c r="N128" s="127">
        <f t="shared" si="37"/>
        <v>183008.83402423339</v>
      </c>
    </row>
    <row r="129" spans="1:14" hidden="1" x14ac:dyDescent="0.25">
      <c r="A129" s="402" t="s">
        <v>26</v>
      </c>
      <c r="B129" s="127">
        <f t="shared" si="37"/>
        <v>62721.00493785031</v>
      </c>
      <c r="C129" s="127">
        <f t="shared" si="37"/>
        <v>62721.00493785031</v>
      </c>
      <c r="D129" s="127">
        <f t="shared" si="37"/>
        <v>62721.00493785031</v>
      </c>
      <c r="E129" s="127">
        <f t="shared" si="37"/>
        <v>62721.00493785031</v>
      </c>
      <c r="F129" s="127">
        <f t="shared" si="37"/>
        <v>62721.00493785031</v>
      </c>
      <c r="G129" s="127">
        <f t="shared" si="37"/>
        <v>95290.69367011229</v>
      </c>
      <c r="H129" s="127">
        <f t="shared" si="37"/>
        <v>231270.66040704219</v>
      </c>
      <c r="I129" s="127">
        <f t="shared" si="37"/>
        <v>223748.35026230829</v>
      </c>
      <c r="J129" s="127">
        <f t="shared" si="37"/>
        <v>219788.07521552191</v>
      </c>
      <c r="K129" s="127">
        <f t="shared" si="37"/>
        <v>5678.4055872576055</v>
      </c>
      <c r="L129" s="127">
        <f t="shared" si="37"/>
        <v>5678.4055872576055</v>
      </c>
      <c r="M129" s="127">
        <f t="shared" si="37"/>
        <v>116389.6543053113</v>
      </c>
      <c r="N129" s="127">
        <f t="shared" si="37"/>
        <v>116389.6543053113</v>
      </c>
    </row>
    <row r="130" spans="1:14" hidden="1" x14ac:dyDescent="0.25">
      <c r="A130" s="402" t="s">
        <v>27</v>
      </c>
      <c r="B130" s="127">
        <f t="shared" si="37"/>
        <v>4820088.7832505545</v>
      </c>
      <c r="C130" s="127">
        <f t="shared" si="37"/>
        <v>4820088.7832505545</v>
      </c>
      <c r="D130" s="127">
        <f t="shared" si="37"/>
        <v>4820088.7832505545</v>
      </c>
      <c r="E130" s="127">
        <f t="shared" si="37"/>
        <v>4820088.7832505545</v>
      </c>
      <c r="F130" s="127">
        <f t="shared" si="37"/>
        <v>4820088.7832505545</v>
      </c>
      <c r="G130" s="127">
        <f t="shared" si="37"/>
        <v>3219191.7396207</v>
      </c>
      <c r="H130" s="127">
        <f t="shared" si="37"/>
        <v>2339419.4904187075</v>
      </c>
      <c r="I130" s="127">
        <f t="shared" si="37"/>
        <v>2345973.5229667672</v>
      </c>
      <c r="J130" s="127">
        <f t="shared" si="37"/>
        <v>2349620.1275423793</v>
      </c>
      <c r="K130" s="127">
        <f t="shared" si="37"/>
        <v>8039207.1658407589</v>
      </c>
      <c r="L130" s="127">
        <f t="shared" si="37"/>
        <v>8039207.1658407589</v>
      </c>
      <c r="M130" s="127">
        <f t="shared" si="37"/>
        <v>2895680.8799719457</v>
      </c>
      <c r="N130" s="127">
        <f t="shared" si="37"/>
        <v>2895680.8799719457</v>
      </c>
    </row>
    <row r="131" spans="1:14" hidden="1" x14ac:dyDescent="0.25"/>
    <row r="132" spans="1:14" hidden="1" x14ac:dyDescent="0.25">
      <c r="A132" s="403" t="s">
        <v>223</v>
      </c>
      <c r="B132" s="401">
        <v>2010</v>
      </c>
      <c r="C132" s="401">
        <v>2011</v>
      </c>
      <c r="D132" s="401">
        <v>2012</v>
      </c>
      <c r="E132" s="401">
        <v>2013</v>
      </c>
      <c r="F132" s="401">
        <v>2014</v>
      </c>
      <c r="G132" s="401">
        <v>2015</v>
      </c>
      <c r="H132" s="401">
        <v>2016</v>
      </c>
      <c r="I132" s="401">
        <v>2017</v>
      </c>
      <c r="J132" s="401">
        <v>2018</v>
      </c>
      <c r="K132" s="401">
        <v>2019</v>
      </c>
      <c r="L132" s="401">
        <v>2020</v>
      </c>
      <c r="M132" s="401">
        <v>2021</v>
      </c>
      <c r="N132" s="401">
        <v>2022</v>
      </c>
    </row>
    <row r="133" spans="1:14" hidden="1" x14ac:dyDescent="0.25">
      <c r="A133" s="402" t="s">
        <v>18</v>
      </c>
      <c r="B133" s="127">
        <f>+B111/B$120</f>
        <v>0</v>
      </c>
      <c r="C133" s="127">
        <f t="shared" ref="C133:N133" si="38">+C111/C$120</f>
        <v>0</v>
      </c>
      <c r="D133" s="127">
        <f t="shared" si="38"/>
        <v>0</v>
      </c>
      <c r="E133" s="127">
        <f t="shared" si="38"/>
        <v>0</v>
      </c>
      <c r="F133" s="127">
        <f t="shared" si="38"/>
        <v>0</v>
      </c>
      <c r="G133" s="127">
        <f t="shared" si="38"/>
        <v>0</v>
      </c>
      <c r="H133" s="127">
        <f t="shared" si="38"/>
        <v>0</v>
      </c>
      <c r="I133" s="127">
        <f t="shared" si="38"/>
        <v>1.1505129993027195E-2</v>
      </c>
      <c r="J133" s="127">
        <f t="shared" si="38"/>
        <v>1.8827940337435813E-2</v>
      </c>
      <c r="K133" s="127">
        <f t="shared" si="38"/>
        <v>2.2887334660311783E-3</v>
      </c>
      <c r="L133" s="127">
        <f t="shared" si="38"/>
        <v>2.2887334660311783E-3</v>
      </c>
      <c r="M133" s="127">
        <f t="shared" si="38"/>
        <v>0</v>
      </c>
      <c r="N133" s="127">
        <f t="shared" si="38"/>
        <v>0</v>
      </c>
    </row>
    <row r="134" spans="1:14" hidden="1" x14ac:dyDescent="0.25">
      <c r="A134" s="402" t="s">
        <v>20</v>
      </c>
      <c r="B134" s="127">
        <f t="shared" ref="B134:N141" si="39">+B112/B$120</f>
        <v>0.58155140019683271</v>
      </c>
      <c r="C134" s="127">
        <f t="shared" si="39"/>
        <v>0.58155140019683271</v>
      </c>
      <c r="D134" s="127">
        <f t="shared" si="39"/>
        <v>0.58155140019683271</v>
      </c>
      <c r="E134" s="127">
        <f t="shared" si="39"/>
        <v>0.58155140019683271</v>
      </c>
      <c r="F134" s="127">
        <f t="shared" si="39"/>
        <v>0.58155140019683271</v>
      </c>
      <c r="G134" s="127">
        <f t="shared" si="39"/>
        <v>0.45499376238350325</v>
      </c>
      <c r="H134" s="127">
        <f t="shared" si="39"/>
        <v>0.21347163529261109</v>
      </c>
      <c r="I134" s="127">
        <f t="shared" si="39"/>
        <v>0.16655045323239367</v>
      </c>
      <c r="J134" s="127">
        <f t="shared" si="39"/>
        <v>0.13668595647567042</v>
      </c>
      <c r="K134" s="127">
        <f t="shared" si="39"/>
        <v>0.16059787074742973</v>
      </c>
      <c r="L134" s="127">
        <f t="shared" si="39"/>
        <v>0.16059787074742973</v>
      </c>
      <c r="M134" s="127">
        <f t="shared" si="39"/>
        <v>0.36139895789705972</v>
      </c>
      <c r="N134" s="127">
        <f t="shared" si="39"/>
        <v>0.36139895789705972</v>
      </c>
    </row>
    <row r="135" spans="1:14" hidden="1" x14ac:dyDescent="0.25">
      <c r="A135" s="402" t="s">
        <v>21</v>
      </c>
      <c r="B135" s="127">
        <f t="shared" si="39"/>
        <v>6.3322000536816664E-2</v>
      </c>
      <c r="C135" s="127">
        <f t="shared" si="39"/>
        <v>6.3322000536816664E-2</v>
      </c>
      <c r="D135" s="127">
        <f t="shared" si="39"/>
        <v>6.3322000536816664E-2</v>
      </c>
      <c r="E135" s="127">
        <f t="shared" si="39"/>
        <v>6.3322000536816664E-2</v>
      </c>
      <c r="F135" s="127">
        <f t="shared" si="39"/>
        <v>6.3322000536816664E-2</v>
      </c>
      <c r="G135" s="127">
        <f t="shared" si="39"/>
        <v>0.10728700374256987</v>
      </c>
      <c r="H135" s="127">
        <f t="shared" si="39"/>
        <v>0.19118965296452814</v>
      </c>
      <c r="I135" s="127">
        <f t="shared" si="39"/>
        <v>0.19708138260782948</v>
      </c>
      <c r="J135" s="127">
        <f t="shared" si="39"/>
        <v>0.20083136359931533</v>
      </c>
      <c r="K135" s="127">
        <f t="shared" si="39"/>
        <v>1.8078559558810103E-2</v>
      </c>
      <c r="L135" s="127">
        <f t="shared" si="39"/>
        <v>1.8078559558810103E-2</v>
      </c>
      <c r="M135" s="127">
        <f t="shared" si="39"/>
        <v>5.5590832736623574E-2</v>
      </c>
      <c r="N135" s="127">
        <f t="shared" si="39"/>
        <v>5.5590832736623574E-2</v>
      </c>
    </row>
    <row r="136" spans="1:14" hidden="1" x14ac:dyDescent="0.25">
      <c r="A136" s="402" t="s">
        <v>22</v>
      </c>
      <c r="B136" s="127">
        <f t="shared" si="39"/>
        <v>7.6429274402791444E-2</v>
      </c>
      <c r="C136" s="127">
        <f t="shared" si="39"/>
        <v>7.6429274402791444E-2</v>
      </c>
      <c r="D136" s="127">
        <f t="shared" si="39"/>
        <v>7.6429274402791444E-2</v>
      </c>
      <c r="E136" s="127">
        <f t="shared" si="39"/>
        <v>7.6429274402791444E-2</v>
      </c>
      <c r="F136" s="127">
        <f t="shared" si="39"/>
        <v>7.6429274402791444E-2</v>
      </c>
      <c r="G136" s="127">
        <f t="shared" si="39"/>
        <v>9.5809789388713554E-2</v>
      </c>
      <c r="H136" s="127">
        <f t="shared" si="39"/>
        <v>0.13279549238058649</v>
      </c>
      <c r="I136" s="127">
        <f t="shared" si="39"/>
        <v>0.13661719294750474</v>
      </c>
      <c r="J136" s="127">
        <f t="shared" si="39"/>
        <v>0.13904963729725323</v>
      </c>
      <c r="K136" s="127">
        <f t="shared" si="39"/>
        <v>3.0267891382553275E-2</v>
      </c>
      <c r="L136" s="127">
        <f t="shared" si="39"/>
        <v>3.0267891382553275E-2</v>
      </c>
      <c r="M136" s="127">
        <f t="shared" si="39"/>
        <v>6.2400079261070662E-2</v>
      </c>
      <c r="N136" s="127">
        <f t="shared" si="39"/>
        <v>6.2400079261070662E-2</v>
      </c>
    </row>
    <row r="137" spans="1:14" hidden="1" x14ac:dyDescent="0.25">
      <c r="A137" s="402" t="s">
        <v>23</v>
      </c>
      <c r="B137" s="127">
        <f t="shared" si="39"/>
        <v>2.6930303301422563E-2</v>
      </c>
      <c r="C137" s="127">
        <f t="shared" si="39"/>
        <v>2.6930303301422563E-2</v>
      </c>
      <c r="D137" s="127">
        <f t="shared" si="39"/>
        <v>2.6930303301422563E-2</v>
      </c>
      <c r="E137" s="127">
        <f t="shared" si="39"/>
        <v>2.6930303301422563E-2</v>
      </c>
      <c r="F137" s="127">
        <f t="shared" si="39"/>
        <v>2.6930303301422563E-2</v>
      </c>
      <c r="G137" s="127">
        <f t="shared" si="39"/>
        <v>4.1667278197695744E-2</v>
      </c>
      <c r="H137" s="127">
        <f t="shared" si="39"/>
        <v>6.9791266487386358E-2</v>
      </c>
      <c r="I137" s="127">
        <f t="shared" si="39"/>
        <v>6.2356808447056482E-2</v>
      </c>
      <c r="J137" s="127">
        <f t="shared" si="39"/>
        <v>5.7624908305485355E-2</v>
      </c>
      <c r="K137" s="127">
        <f t="shared" si="39"/>
        <v>1.2067590681933006E-2</v>
      </c>
      <c r="L137" s="127">
        <f t="shared" si="39"/>
        <v>1.2067590681933006E-2</v>
      </c>
      <c r="M137" s="127">
        <f t="shared" si="39"/>
        <v>2.4318737587311027E-4</v>
      </c>
      <c r="N137" s="127">
        <f t="shared" si="39"/>
        <v>2.4318737587311027E-4</v>
      </c>
    </row>
    <row r="138" spans="1:14" hidden="1" x14ac:dyDescent="0.25">
      <c r="A138" s="402" t="s">
        <v>24</v>
      </c>
      <c r="B138" s="127">
        <f t="shared" si="39"/>
        <v>0.152925650890221</v>
      </c>
      <c r="C138" s="127">
        <f t="shared" si="39"/>
        <v>0.152925650890221</v>
      </c>
      <c r="D138" s="127">
        <f t="shared" si="39"/>
        <v>0.152925650890221</v>
      </c>
      <c r="E138" s="127">
        <f t="shared" si="39"/>
        <v>0.152925650890221</v>
      </c>
      <c r="F138" s="127">
        <f t="shared" si="39"/>
        <v>0.152925650890221</v>
      </c>
      <c r="G138" s="127">
        <f t="shared" si="39"/>
        <v>0.20984809569237539</v>
      </c>
      <c r="H138" s="127">
        <f t="shared" si="39"/>
        <v>0.3184786784479447</v>
      </c>
      <c r="I138" s="127">
        <f t="shared" si="39"/>
        <v>0.34968622372746289</v>
      </c>
      <c r="J138" s="127">
        <f t="shared" si="39"/>
        <v>0.36954927051919467</v>
      </c>
      <c r="K138" s="127">
        <f t="shared" si="39"/>
        <v>9.1531077469975602E-2</v>
      </c>
      <c r="L138" s="127">
        <f t="shared" si="39"/>
        <v>9.1531077469975602E-2</v>
      </c>
      <c r="M138" s="127">
        <f t="shared" si="39"/>
        <v>0.38819010047241398</v>
      </c>
      <c r="N138" s="127">
        <f t="shared" si="39"/>
        <v>0.38819010047241398</v>
      </c>
    </row>
    <row r="139" spans="1:14" hidden="1" x14ac:dyDescent="0.25">
      <c r="A139" s="402" t="s">
        <v>25</v>
      </c>
      <c r="B139" s="127">
        <f t="shared" si="39"/>
        <v>4.5964927977095824E-2</v>
      </c>
      <c r="C139" s="127">
        <f t="shared" si="39"/>
        <v>4.5964927977095824E-2</v>
      </c>
      <c r="D139" s="127">
        <f t="shared" si="39"/>
        <v>4.5964927977095824E-2</v>
      </c>
      <c r="E139" s="127">
        <f t="shared" si="39"/>
        <v>4.5964927977095824E-2</v>
      </c>
      <c r="F139" s="127">
        <f t="shared" si="39"/>
        <v>4.5964927977095824E-2</v>
      </c>
      <c r="G139" s="127">
        <f t="shared" si="39"/>
        <v>4.4558596903206862E-2</v>
      </c>
      <c r="H139" s="127">
        <f t="shared" si="39"/>
        <v>4.1874759892431813E-2</v>
      </c>
      <c r="I139" s="127">
        <f t="shared" si="39"/>
        <v>4.0043829066640106E-2</v>
      </c>
      <c r="J139" s="127">
        <f t="shared" si="39"/>
        <v>3.8878474203276552E-2</v>
      </c>
      <c r="K139" s="127">
        <f t="shared" si="39"/>
        <v>1.0341909996773859E-2</v>
      </c>
      <c r="L139" s="127">
        <f t="shared" si="39"/>
        <v>1.0341909996773859E-2</v>
      </c>
      <c r="M139" s="127">
        <f t="shared" si="39"/>
        <v>9.0771939779600186E-2</v>
      </c>
      <c r="N139" s="127">
        <f t="shared" si="39"/>
        <v>9.0771939779600186E-2</v>
      </c>
    </row>
    <row r="140" spans="1:14" hidden="1" x14ac:dyDescent="0.25">
      <c r="A140" s="402" t="s">
        <v>26</v>
      </c>
      <c r="B140" s="127">
        <f t="shared" si="39"/>
        <v>5.0147624586203809E-2</v>
      </c>
      <c r="C140" s="127">
        <f t="shared" si="39"/>
        <v>5.0147624586203809E-2</v>
      </c>
      <c r="D140" s="127">
        <f t="shared" si="39"/>
        <v>5.0147624586203809E-2</v>
      </c>
      <c r="E140" s="127">
        <f t="shared" si="39"/>
        <v>5.0147624586203809E-2</v>
      </c>
      <c r="F140" s="127">
        <f t="shared" si="39"/>
        <v>5.0147624586203809E-2</v>
      </c>
      <c r="G140" s="127">
        <f t="shared" si="39"/>
        <v>4.0786673515814185E-2</v>
      </c>
      <c r="H140" s="127">
        <f t="shared" si="39"/>
        <v>2.2922269176591112E-2</v>
      </c>
      <c r="I140" s="127">
        <f t="shared" si="39"/>
        <v>2.5849188166152007E-2</v>
      </c>
      <c r="J140" s="127">
        <f t="shared" si="39"/>
        <v>2.7712119977178259E-2</v>
      </c>
      <c r="K140" s="127">
        <f t="shared" si="39"/>
        <v>0.67283894255644228</v>
      </c>
      <c r="L140" s="127">
        <f t="shared" si="39"/>
        <v>0.67283894255644228</v>
      </c>
      <c r="M140" s="127">
        <f t="shared" si="39"/>
        <v>3.5446811768467604E-2</v>
      </c>
      <c r="N140" s="127">
        <f t="shared" si="39"/>
        <v>3.5446811768467604E-2</v>
      </c>
    </row>
    <row r="141" spans="1:14" hidden="1" x14ac:dyDescent="0.25">
      <c r="A141" s="402" t="s">
        <v>27</v>
      </c>
      <c r="B141" s="127">
        <f t="shared" si="39"/>
        <v>2.7288181086159075E-3</v>
      </c>
      <c r="C141" s="127">
        <f t="shared" si="39"/>
        <v>2.7288181086159075E-3</v>
      </c>
      <c r="D141" s="127">
        <f t="shared" si="39"/>
        <v>2.7288181086159075E-3</v>
      </c>
      <c r="E141" s="127">
        <f t="shared" si="39"/>
        <v>2.7288181086159075E-3</v>
      </c>
      <c r="F141" s="127">
        <f t="shared" si="39"/>
        <v>2.7288181086159075E-3</v>
      </c>
      <c r="G141" s="127">
        <f t="shared" si="39"/>
        <v>5.0488001761209355E-3</v>
      </c>
      <c r="H141" s="127">
        <f t="shared" si="39"/>
        <v>9.4762453579203473E-3</v>
      </c>
      <c r="I141" s="127">
        <f t="shared" si="39"/>
        <v>1.030979181193346E-2</v>
      </c>
      <c r="J141" s="127">
        <f t="shared" si="39"/>
        <v>1.0840329285190319E-2</v>
      </c>
      <c r="K141" s="127">
        <f t="shared" si="39"/>
        <v>1.9874241400510096E-3</v>
      </c>
      <c r="L141" s="127">
        <f t="shared" si="39"/>
        <v>1.9874241400510096E-3</v>
      </c>
      <c r="M141" s="127">
        <f t="shared" si="39"/>
        <v>5.9580907088912019E-3</v>
      </c>
      <c r="N141" s="127">
        <f t="shared" si="39"/>
        <v>5.9580907088912019E-3</v>
      </c>
    </row>
    <row r="142" spans="1:14" hidden="1" x14ac:dyDescent="0.25">
      <c r="B142" s="127">
        <f>+SUM(B133:B141)</f>
        <v>1</v>
      </c>
      <c r="C142" s="127">
        <f t="shared" ref="C142" si="40">+SUM(C133:C141)</f>
        <v>1</v>
      </c>
      <c r="D142" s="127">
        <f t="shared" ref="D142" si="41">+SUM(D133:D141)</f>
        <v>1</v>
      </c>
      <c r="E142" s="127">
        <f t="shared" ref="E142" si="42">+SUM(E133:E141)</f>
        <v>1</v>
      </c>
      <c r="F142" s="127">
        <f t="shared" ref="F142" si="43">+SUM(F133:F141)</f>
        <v>1</v>
      </c>
      <c r="G142" s="127">
        <f t="shared" ref="G142" si="44">+SUM(G133:G141)</f>
        <v>0.99999999999999989</v>
      </c>
      <c r="H142" s="127">
        <f t="shared" ref="H142" si="45">+SUM(H133:H141)</f>
        <v>1</v>
      </c>
      <c r="I142" s="127">
        <f t="shared" ref="I142" si="46">+SUM(I133:I141)</f>
        <v>1</v>
      </c>
      <c r="J142" s="127">
        <f t="shared" ref="J142" si="47">+SUM(J133:J141)</f>
        <v>0.99999999999999989</v>
      </c>
      <c r="K142" s="127">
        <f t="shared" ref="K142" si="48">+SUM(K133:K141)</f>
        <v>1</v>
      </c>
      <c r="L142" s="127">
        <f t="shared" ref="L142" si="49">+SUM(L133:L141)</f>
        <v>1</v>
      </c>
      <c r="M142" s="127">
        <f t="shared" ref="M142" si="50">+SUM(M133:M141)</f>
        <v>1.0000000000000002</v>
      </c>
      <c r="N142" s="127">
        <f t="shared" ref="N142" si="51">+SUM(N133:N141)</f>
        <v>1.0000000000000002</v>
      </c>
    </row>
    <row r="143" spans="1:14" hidden="1" x14ac:dyDescent="0.25">
      <c r="A143" t="s">
        <v>447</v>
      </c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</row>
    <row r="144" spans="1:14" hidden="1" x14ac:dyDescent="0.25">
      <c r="A144" s="402" t="s">
        <v>18</v>
      </c>
      <c r="B144" s="127">
        <f>+INGEI_diffs!C$32*Hoja1!B133</f>
        <v>0</v>
      </c>
      <c r="C144" s="127">
        <f>+INGEI_diffs!D$32*Hoja1!C133</f>
        <v>0</v>
      </c>
      <c r="D144" s="127">
        <f>+INGEI_diffs!E$32*Hoja1!D133</f>
        <v>0</v>
      </c>
      <c r="E144" s="127">
        <f>+INGEI_diffs!F$32*Hoja1!E133</f>
        <v>0</v>
      </c>
      <c r="F144" s="127">
        <f>+INGEI_diffs!G$32*Hoja1!F133</f>
        <v>0</v>
      </c>
      <c r="G144" s="127">
        <f>+INGEI_diffs!H$32*Hoja1!G133</f>
        <v>0</v>
      </c>
      <c r="H144" s="127">
        <f>+INGEI_diffs!I$32*Hoja1!H133</f>
        <v>0</v>
      </c>
      <c r="I144" s="127">
        <f>+INGEI_diffs!J$32/1000*Hoja1!I133</f>
        <v>2.3302281647618037</v>
      </c>
      <c r="J144" s="127">
        <f>+INGEI_diffs!K$32/1000*Hoja1!J133</f>
        <v>4.9078984633763953</v>
      </c>
      <c r="K144" s="127">
        <f>+INGEI_diffs!L$32/1000*Hoja1!K133</f>
        <v>2.2271659016097831</v>
      </c>
      <c r="L144" s="127">
        <f>+INGEI_diffs!M$32/1000*Hoja1!L133</f>
        <v>2.2271659016097831</v>
      </c>
      <c r="M144" s="127">
        <f>+INGEI_diffs!N$32/1000*Hoja1!M133</f>
        <v>0</v>
      </c>
      <c r="N144" s="127">
        <f>+INGEI_diffs!O$32/1000*Hoja1!N133</f>
        <v>0</v>
      </c>
    </row>
    <row r="145" spans="1:15" hidden="1" x14ac:dyDescent="0.25">
      <c r="A145" s="402" t="s">
        <v>20</v>
      </c>
      <c r="B145" s="127">
        <f>+INGEI_diffs!C$32/1000*Hoja1!B134</f>
        <v>95.087883427574468</v>
      </c>
      <c r="C145" s="127">
        <f>+INGEI_diffs!D$32/1000*Hoja1!C134</f>
        <v>95.087883427574468</v>
      </c>
      <c r="D145" s="127">
        <f>+INGEI_diffs!E$32/1000*Hoja1!D134</f>
        <v>95.087883427574468</v>
      </c>
      <c r="E145" s="127">
        <f>+INGEI_diffs!F$32/1000*Hoja1!E134</f>
        <v>95.087883427574468</v>
      </c>
      <c r="F145" s="127">
        <f>+INGEI_diffs!G$32/1000*Hoja1!F134</f>
        <v>95.087883427574468</v>
      </c>
      <c r="G145" s="127">
        <f>+INGEI_diffs!H$32/1000*Hoja1!G134</f>
        <v>70.049161447712791</v>
      </c>
      <c r="H145" s="127">
        <f>+INGEI_diffs!I$32/1000*Hoja1!H134</f>
        <v>30.826446289909505</v>
      </c>
      <c r="I145" s="127">
        <f>+INGEI_diffs!J$32/1000*Hoja1!I134</f>
        <v>33.732826766075632</v>
      </c>
      <c r="J145" s="127">
        <f>+INGEI_diffs!K$32/1000*Hoja1!J134</f>
        <v>35.630068065290985</v>
      </c>
      <c r="K145" s="127">
        <f>+INGEI_diffs!L$32/1000*Hoja1!K134</f>
        <v>156.27774352425985</v>
      </c>
      <c r="L145" s="127">
        <f>+INGEI_diffs!M$32/1000*Hoja1!L134</f>
        <v>156.27774352425985</v>
      </c>
      <c r="M145" s="127">
        <f>+INGEI_diffs!N$32/1000*Hoja1!M134</f>
        <v>256.64238698146926</v>
      </c>
      <c r="N145" s="127">
        <f>+INGEI_diffs!O$32/1000*Hoja1!N134</f>
        <v>256.64238698146926</v>
      </c>
    </row>
    <row r="146" spans="1:15" hidden="1" x14ac:dyDescent="0.25">
      <c r="A146" s="402" t="s">
        <v>21</v>
      </c>
      <c r="B146" s="127">
        <f>+INGEI_diffs!C$32/1000*Hoja1!B135</f>
        <v>10.353607614748588</v>
      </c>
      <c r="C146" s="127">
        <f>+INGEI_diffs!D$32/1000*Hoja1!C135</f>
        <v>10.353607614748588</v>
      </c>
      <c r="D146" s="127">
        <f>+INGEI_diffs!E$32/1000*Hoja1!D135</f>
        <v>10.353607614748588</v>
      </c>
      <c r="E146" s="127">
        <f>+INGEI_diffs!F$32/1000*Hoja1!E135</f>
        <v>10.353607614748588</v>
      </c>
      <c r="F146" s="127">
        <f>+INGEI_diffs!G$32/1000*Hoja1!F135</f>
        <v>10.353607614748588</v>
      </c>
      <c r="G146" s="127">
        <f>+INGEI_diffs!H$32/1000*Hoja1!G135</f>
        <v>16.517511376496902</v>
      </c>
      <c r="H146" s="127">
        <f>+INGEI_diffs!I$32/1000*Hoja1!H135</f>
        <v>27.608808824735991</v>
      </c>
      <c r="I146" s="127">
        <f>+INGEI_diffs!J$32/1000*Hoja1!I135</f>
        <v>39.916505835335315</v>
      </c>
      <c r="J146" s="127">
        <f>+INGEI_diffs!K$32/1000*Hoja1!J135</f>
        <v>52.35091694268155</v>
      </c>
      <c r="K146" s="127">
        <f>+INGEI_diffs!L$32/1000*Hoja1!K135</f>
        <v>17.592241297290041</v>
      </c>
      <c r="L146" s="127">
        <f>+INGEI_diffs!M$32/1000*Hoja1!L135</f>
        <v>17.592241297290041</v>
      </c>
      <c r="M146" s="127">
        <f>+INGEI_diffs!N$32/1000*Hoja1!M135</f>
        <v>39.477047999342744</v>
      </c>
      <c r="N146" s="127">
        <f>+INGEI_diffs!O$32/1000*Hoja1!N135</f>
        <v>39.477047999342744</v>
      </c>
    </row>
    <row r="147" spans="1:15" hidden="1" x14ac:dyDescent="0.25">
      <c r="A147" s="402" t="s">
        <v>22</v>
      </c>
      <c r="B147" s="127">
        <f>+INGEI_diffs!C$32/1000*Hoja1!B136</f>
        <v>12.496742218154692</v>
      </c>
      <c r="C147" s="127">
        <f>+INGEI_diffs!D$32/1000*Hoja1!C136</f>
        <v>12.496742218154692</v>
      </c>
      <c r="D147" s="127">
        <f>+INGEI_diffs!E$32/1000*Hoja1!D136</f>
        <v>12.496742218154692</v>
      </c>
      <c r="E147" s="127">
        <f>+INGEI_diffs!F$32/1000*Hoja1!E136</f>
        <v>12.496742218154692</v>
      </c>
      <c r="F147" s="127">
        <f>+INGEI_diffs!G$32/1000*Hoja1!F136</f>
        <v>12.496742218154692</v>
      </c>
      <c r="G147" s="127">
        <f>+INGEI_diffs!H$32/1000*Hoja1!G136</f>
        <v>14.750521787383278</v>
      </c>
      <c r="H147" s="127">
        <f>+INGEI_diffs!I$32/1000*Hoja1!H136</f>
        <v>19.176379605660561</v>
      </c>
      <c r="I147" s="127">
        <f>+INGEI_diffs!J$32/1000*Hoja1!I136</f>
        <v>27.670198510569815</v>
      </c>
      <c r="J147" s="127">
        <f>+INGEI_diffs!K$32/1000*Hoja1!J136</f>
        <v>36.246211162424807</v>
      </c>
      <c r="K147" s="127">
        <f>+INGEI_diffs!L$32/1000*Hoja1!K136</f>
        <v>29.453676717432565</v>
      </c>
      <c r="L147" s="127">
        <f>+INGEI_diffs!M$32/1000*Hoja1!L136</f>
        <v>29.453676717432565</v>
      </c>
      <c r="M147" s="127">
        <f>+INGEI_diffs!N$32/1000*Hoja1!M136</f>
        <v>44.312538648646559</v>
      </c>
      <c r="N147" s="127">
        <f>+INGEI_diffs!O$32/1000*Hoja1!N136</f>
        <v>44.312538648646559</v>
      </c>
    </row>
    <row r="148" spans="1:15" hidden="1" x14ac:dyDescent="0.25">
      <c r="A148" s="402" t="s">
        <v>23</v>
      </c>
      <c r="B148" s="127">
        <f>+INGEI_diffs!C$32/1000*Hoja1!B137</f>
        <v>4.4033004479538338</v>
      </c>
      <c r="C148" s="127">
        <f>+INGEI_diffs!D$32/1000*Hoja1!C137</f>
        <v>4.4033004479538338</v>
      </c>
      <c r="D148" s="127">
        <f>+INGEI_diffs!E$32/1000*Hoja1!D137</f>
        <v>4.4033004479538338</v>
      </c>
      <c r="E148" s="127">
        <f>+INGEI_diffs!F$32/1000*Hoja1!E137</f>
        <v>4.4033004479538338</v>
      </c>
      <c r="F148" s="127">
        <f>+INGEI_diffs!G$32/1000*Hoja1!F137</f>
        <v>4.4033004479538338</v>
      </c>
      <c r="G148" s="127">
        <f>+INGEI_diffs!H$32/1000*Hoja1!G137</f>
        <v>6.4149404648255413</v>
      </c>
      <c r="H148" s="127">
        <f>+INGEI_diffs!I$32/1000*Hoja1!H137</f>
        <v>10.07823229034234</v>
      </c>
      <c r="I148" s="127">
        <f>+INGEI_diffs!J$32/1000*Hoja1!I137</f>
        <v>12.62963490165272</v>
      </c>
      <c r="J148" s="127">
        <f>+INGEI_diffs!K$32/1000*Hoja1!J137</f>
        <v>15.021143781848965</v>
      </c>
      <c r="K148" s="127">
        <f>+INGEI_diffs!L$32/1000*Hoja1!K137</f>
        <v>11.742969148780304</v>
      </c>
      <c r="L148" s="127">
        <f>+INGEI_diffs!M$32/1000*Hoja1!L137</f>
        <v>11.742969148780304</v>
      </c>
      <c r="M148" s="127">
        <f>+INGEI_diffs!N$32/1000*Hoja1!M137</f>
        <v>0.17269609461799323</v>
      </c>
      <c r="N148" s="127">
        <f>+INGEI_diffs!O$32/1000*Hoja1!N137</f>
        <v>0.17269609461799323</v>
      </c>
    </row>
    <row r="149" spans="1:15" hidden="1" x14ac:dyDescent="0.25">
      <c r="A149" s="402" t="s">
        <v>24</v>
      </c>
      <c r="B149" s="127">
        <f>+INGEI_diffs!C$32/1000*Hoja1!B138</f>
        <v>25.004456115166416</v>
      </c>
      <c r="C149" s="127">
        <f>+INGEI_diffs!D$32/1000*Hoja1!C138</f>
        <v>25.004456115166416</v>
      </c>
      <c r="D149" s="127">
        <f>+INGEI_diffs!E$32/1000*Hoja1!D138</f>
        <v>25.004456115166416</v>
      </c>
      <c r="E149" s="127">
        <f>+INGEI_diffs!F$32/1000*Hoja1!E138</f>
        <v>25.004456115166416</v>
      </c>
      <c r="F149" s="127">
        <f>+INGEI_diffs!G$32/1000*Hoja1!F138</f>
        <v>25.004456115166416</v>
      </c>
      <c r="G149" s="127">
        <f>+INGEI_diffs!H$32/1000*Hoja1!G138</f>
        <v>32.307438804535252</v>
      </c>
      <c r="H149" s="127">
        <f>+INGEI_diffs!I$32/1000*Hoja1!H138</f>
        <v>45.990025148773213</v>
      </c>
      <c r="I149" s="127">
        <f>+INGEI_diffs!J$32/1000*Hoja1!I138</f>
        <v>70.824813613820879</v>
      </c>
      <c r="J149" s="127">
        <f>+INGEI_diffs!K$32/1000*Hoja1!J138</f>
        <v>96.330786289820665</v>
      </c>
      <c r="K149" s="127">
        <f>+INGEI_diffs!L$32/1000*Hoja1!K138</f>
        <v>89.068866123686988</v>
      </c>
      <c r="L149" s="127">
        <f>+INGEI_diffs!M$32/1000*Hoja1!L138</f>
        <v>89.068866123686988</v>
      </c>
      <c r="M149" s="127">
        <f>+INGEI_diffs!N$32/1000*Hoja1!M138</f>
        <v>275.66774007188479</v>
      </c>
      <c r="N149" s="127">
        <f>+INGEI_diffs!O$32/1000*Hoja1!N138</f>
        <v>275.66774007188479</v>
      </c>
    </row>
    <row r="150" spans="1:15" hidden="1" x14ac:dyDescent="0.25">
      <c r="A150" s="402" t="s">
        <v>25</v>
      </c>
      <c r="B150" s="127">
        <f>+INGEI_diffs!C$32/1000*Hoja1!B139</f>
        <v>7.5156000170640604</v>
      </c>
      <c r="C150" s="127">
        <f>+INGEI_diffs!D$32/1000*Hoja1!C139</f>
        <v>7.5156000170640604</v>
      </c>
      <c r="D150" s="127">
        <f>+INGEI_diffs!E$32/1000*Hoja1!D139</f>
        <v>7.5156000170640604</v>
      </c>
      <c r="E150" s="127">
        <f>+INGEI_diffs!F$32/1000*Hoja1!E139</f>
        <v>7.5156000170640604</v>
      </c>
      <c r="F150" s="127">
        <f>+INGEI_diffs!G$32/1000*Hoja1!F139</f>
        <v>7.5156000170640604</v>
      </c>
      <c r="G150" s="127">
        <f>+INGEI_diffs!H$32/1000*Hoja1!G139</f>
        <v>6.8600772283234743</v>
      </c>
      <c r="H150" s="127">
        <f>+INGEI_diffs!I$32/1000*Hoja1!H139</f>
        <v>6.0469393742054045</v>
      </c>
      <c r="I150" s="127">
        <f>+INGEI_diffs!J$32/1000*Hoja1!I139</f>
        <v>8.1104045215086149</v>
      </c>
      <c r="J150" s="127">
        <f>+INGEI_diffs!K$32/1000*Hoja1!J139</f>
        <v>10.134491632166844</v>
      </c>
      <c r="K150" s="127">
        <f>+INGEI_diffs!L$32/1000*Hoja1!K139</f>
        <v>10.063709752220801</v>
      </c>
      <c r="L150" s="127">
        <f>+INGEI_diffs!M$32/1000*Hoja1!L139</f>
        <v>10.063709752220801</v>
      </c>
      <c r="M150" s="127">
        <f>+INGEI_diffs!N$32/1000*Hoja1!M139</f>
        <v>64.460416354079101</v>
      </c>
      <c r="N150" s="127">
        <f>+INGEI_diffs!O$32/1000*Hoja1!N139</f>
        <v>64.460416354079101</v>
      </c>
    </row>
    <row r="151" spans="1:15" hidden="1" x14ac:dyDescent="0.25">
      <c r="A151" s="402" t="s">
        <v>26</v>
      </c>
      <c r="B151" s="127">
        <f>+INGEI_diffs!C$32/1000*Hoja1!B140</f>
        <v>8.1995013324854611</v>
      </c>
      <c r="C151" s="127">
        <f>+INGEI_diffs!D$32/1000*Hoja1!C140</f>
        <v>8.1995013324854611</v>
      </c>
      <c r="D151" s="127">
        <f>+INGEI_diffs!E$32/1000*Hoja1!D140</f>
        <v>8.1995013324854611</v>
      </c>
      <c r="E151" s="127">
        <f>+INGEI_diffs!F$32/1000*Hoja1!E140</f>
        <v>8.1995013324854611</v>
      </c>
      <c r="F151" s="127">
        <f>+INGEI_diffs!G$32/1000*Hoja1!F140</f>
        <v>8.1995013324854611</v>
      </c>
      <c r="G151" s="127">
        <f>+INGEI_diffs!H$32/1000*Hoja1!G140</f>
        <v>6.2793658160444448</v>
      </c>
      <c r="H151" s="127">
        <f>+INGEI_diffs!I$32/1000*Hoja1!H140</f>
        <v>3.3100983118739058</v>
      </c>
      <c r="I151" s="127">
        <f>+INGEI_diffs!J$32/1000*Hoja1!I140</f>
        <v>5.2354476948544422</v>
      </c>
      <c r="J151" s="127">
        <f>+INGEI_diffs!K$32/1000*Hoja1!J140</f>
        <v>7.2237466560518389</v>
      </c>
      <c r="K151" s="127">
        <f>+INGEI_diffs!L$32/1000*Hoja1!K140</f>
        <v>654.73938856473126</v>
      </c>
      <c r="L151" s="127">
        <f>+INGEI_diffs!M$32/1000*Hoja1!L140</f>
        <v>654.73938856473126</v>
      </c>
      <c r="M151" s="127">
        <f>+INGEI_diffs!N$32/1000*Hoja1!M140</f>
        <v>25.172054828485638</v>
      </c>
      <c r="N151" s="127">
        <f>+INGEI_diffs!O$32/1000*Hoja1!N140</f>
        <v>25.172054828485638</v>
      </c>
    </row>
    <row r="152" spans="1:15" hidden="1" x14ac:dyDescent="0.25">
      <c r="A152" s="402" t="s">
        <v>27</v>
      </c>
      <c r="B152" s="127">
        <f>+INGEI_diffs!C$32/1000*Hoja1!B141</f>
        <v>0.44618160685246483</v>
      </c>
      <c r="C152" s="127">
        <f>+INGEI_diffs!D$32/1000*Hoja1!C141</f>
        <v>0.44618160685246483</v>
      </c>
      <c r="D152" s="127">
        <f>+INGEI_diffs!E$32/1000*Hoja1!D141</f>
        <v>0.44618160685246483</v>
      </c>
      <c r="E152" s="127">
        <f>+INGEI_diffs!F$32/1000*Hoja1!E141</f>
        <v>0.44618160685246483</v>
      </c>
      <c r="F152" s="127">
        <f>+INGEI_diffs!G$32/1000*Hoja1!F141</f>
        <v>0.44618160685246483</v>
      </c>
      <c r="G152" s="127">
        <f>+INGEI_diffs!H$32/1000*Hoja1!G141</f>
        <v>0.77729465301161893</v>
      </c>
      <c r="H152" s="127">
        <f>+INGEI_diffs!I$32/1000*Hoja1!H141</f>
        <v>1.3684205311657487</v>
      </c>
      <c r="I152" s="127">
        <f>+INGEI_diffs!J$32/1000*Hoja1!I141</f>
        <v>2.0881265372540838</v>
      </c>
      <c r="J152" s="127">
        <f>+INGEI_diffs!K$32/1000*Hoja1!J141</f>
        <v>2.8257597213379251</v>
      </c>
      <c r="K152" s="127">
        <f>+INGEI_diffs!L$32/1000*Hoja1!K141</f>
        <v>1.9339618799882823</v>
      </c>
      <c r="L152" s="127">
        <f>+INGEI_diffs!M$32/1000*Hoja1!L141</f>
        <v>1.9339618799882823</v>
      </c>
      <c r="M152" s="127">
        <f>+INGEI_diffs!N$32/1000*Hoja1!M141</f>
        <v>4.2310543181408349</v>
      </c>
      <c r="N152" s="127">
        <f>+INGEI_diffs!O$32/1000*Hoja1!N141</f>
        <v>4.2310543181408349</v>
      </c>
    </row>
    <row r="153" spans="1:15" hidden="1" x14ac:dyDescent="0.25">
      <c r="B153" s="127">
        <f>+SUM(B144:B152)</f>
        <v>163.50727277999997</v>
      </c>
      <c r="C153" s="127">
        <f t="shared" ref="C153" si="52">+SUM(C144:C152)</f>
        <v>163.50727277999997</v>
      </c>
      <c r="D153" s="127">
        <f t="shared" ref="D153" si="53">+SUM(D144:D152)</f>
        <v>163.50727277999997</v>
      </c>
      <c r="E153" s="127">
        <f t="shared" ref="E153" si="54">+SUM(E144:E152)</f>
        <v>163.50727277999997</v>
      </c>
      <c r="F153" s="127">
        <f t="shared" ref="F153" si="55">+SUM(F144:F152)</f>
        <v>163.50727277999997</v>
      </c>
      <c r="G153" s="127">
        <f t="shared" ref="G153" si="56">+SUM(G144:G152)</f>
        <v>153.95631157833327</v>
      </c>
      <c r="H153" s="127">
        <f t="shared" ref="H153" si="57">+SUM(H144:H152)</f>
        <v>144.40535037666669</v>
      </c>
      <c r="I153" s="127">
        <f t="shared" ref="I153" si="58">+SUM(I144:I152)</f>
        <v>202.53818654583333</v>
      </c>
      <c r="J153" s="127">
        <f t="shared" ref="J153" si="59">+SUM(J144:J152)</f>
        <v>260.67102271499999</v>
      </c>
      <c r="K153" s="127">
        <f t="shared" ref="K153" si="60">+SUM(K144:K152)</f>
        <v>973.09972290999985</v>
      </c>
      <c r="L153" s="127">
        <f t="shared" ref="L153" si="61">+SUM(L144:L152)</f>
        <v>973.09972290999985</v>
      </c>
      <c r="M153" s="127">
        <f t="shared" ref="M153" si="62">+SUM(M144:M152)</f>
        <v>710.13593529666707</v>
      </c>
      <c r="N153" s="127">
        <f t="shared" ref="N153" si="63">+SUM(N144:N152)</f>
        <v>710.13593529666707</v>
      </c>
    </row>
    <row r="154" spans="1:15" hidden="1" x14ac:dyDescent="0.25">
      <c r="A154" t="s">
        <v>119</v>
      </c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</row>
    <row r="155" spans="1:15" hidden="1" x14ac:dyDescent="0.25">
      <c r="A155" s="402" t="s">
        <v>18</v>
      </c>
      <c r="B155" s="127">
        <v>0</v>
      </c>
      <c r="C155" s="127">
        <v>0</v>
      </c>
      <c r="D155" s="127">
        <v>0</v>
      </c>
      <c r="E155" s="127">
        <v>0</v>
      </c>
      <c r="F155" s="127">
        <v>0</v>
      </c>
      <c r="G155" s="127">
        <v>0</v>
      </c>
      <c r="H155" s="127">
        <v>0</v>
      </c>
      <c r="I155" s="127">
        <f>+I144/I111</f>
        <v>448336.34723651828</v>
      </c>
      <c r="J155" s="127">
        <f t="shared" ref="J155:L155" si="64">+J144/J111</f>
        <v>472140.30431711359</v>
      </c>
      <c r="K155" s="127">
        <f t="shared" si="64"/>
        <v>296165.67840555625</v>
      </c>
      <c r="L155" s="127">
        <f t="shared" si="64"/>
        <v>296165.67840555625</v>
      </c>
      <c r="M155" s="127">
        <v>0</v>
      </c>
      <c r="N155" s="127">
        <v>0</v>
      </c>
      <c r="O155" s="127">
        <f>+AVERAGE(B155:N155)</f>
        <v>116369.84679728803</v>
      </c>
    </row>
    <row r="156" spans="1:15" hidden="1" x14ac:dyDescent="0.25">
      <c r="A156" s="402" t="s">
        <v>20</v>
      </c>
      <c r="B156" s="127">
        <f>+B145/B112</f>
        <v>243815.08571172942</v>
      </c>
      <c r="C156" s="127">
        <f t="shared" ref="B156:N163" si="65">+C145/C112</f>
        <v>243815.08571172942</v>
      </c>
      <c r="D156" s="127">
        <f t="shared" si="65"/>
        <v>243815.08571172942</v>
      </c>
      <c r="E156" s="127">
        <f t="shared" si="65"/>
        <v>243815.08571172942</v>
      </c>
      <c r="F156" s="127">
        <f t="shared" si="65"/>
        <v>243815.08571172942</v>
      </c>
      <c r="G156" s="127">
        <f t="shared" si="65"/>
        <v>301276.99729132518</v>
      </c>
      <c r="H156" s="127">
        <f t="shared" si="65"/>
        <v>410937.09644617082</v>
      </c>
      <c r="I156" s="127">
        <f t="shared" si="65"/>
        <v>448336.34723651822</v>
      </c>
      <c r="J156" s="127">
        <f t="shared" si="65"/>
        <v>472140.30431711365</v>
      </c>
      <c r="K156" s="127">
        <f t="shared" si="65"/>
        <v>296165.67840555625</v>
      </c>
      <c r="L156" s="127">
        <f t="shared" si="65"/>
        <v>296165.67840555625</v>
      </c>
      <c r="M156" s="127">
        <f t="shared" si="65"/>
        <v>319807.58262591343</v>
      </c>
      <c r="N156" s="127">
        <f t="shared" si="65"/>
        <v>319807.58262591343</v>
      </c>
      <c r="O156" s="127">
        <f t="shared" ref="O156:O163" si="66">+AVERAGE(B156:N156)</f>
        <v>314131.74583943957</v>
      </c>
    </row>
    <row r="157" spans="1:15" hidden="1" x14ac:dyDescent="0.25">
      <c r="A157" s="402" t="s">
        <v>21</v>
      </c>
      <c r="B157" s="127">
        <f t="shared" si="65"/>
        <v>243815.08571172942</v>
      </c>
      <c r="C157" s="127">
        <f t="shared" si="65"/>
        <v>243815.08571172942</v>
      </c>
      <c r="D157" s="127">
        <f t="shared" si="65"/>
        <v>243815.08571172942</v>
      </c>
      <c r="E157" s="127">
        <f t="shared" si="65"/>
        <v>243815.08571172942</v>
      </c>
      <c r="F157" s="127">
        <f t="shared" si="65"/>
        <v>243815.08571172942</v>
      </c>
      <c r="G157" s="127">
        <f t="shared" si="65"/>
        <v>301276.99729132518</v>
      </c>
      <c r="H157" s="127">
        <f t="shared" si="65"/>
        <v>410937.09644617082</v>
      </c>
      <c r="I157" s="127">
        <f t="shared" si="65"/>
        <v>448336.34723651828</v>
      </c>
      <c r="J157" s="127">
        <f t="shared" si="65"/>
        <v>472140.30431711359</v>
      </c>
      <c r="K157" s="127">
        <f t="shared" si="65"/>
        <v>296165.67840555625</v>
      </c>
      <c r="L157" s="127">
        <f t="shared" si="65"/>
        <v>296165.67840555625</v>
      </c>
      <c r="M157" s="127">
        <f t="shared" si="65"/>
        <v>319807.58262591338</v>
      </c>
      <c r="N157" s="127">
        <f t="shared" si="65"/>
        <v>319807.58262591338</v>
      </c>
      <c r="O157" s="127">
        <f t="shared" si="66"/>
        <v>314131.74583943957</v>
      </c>
    </row>
    <row r="158" spans="1:15" hidden="1" x14ac:dyDescent="0.25">
      <c r="A158" s="402" t="s">
        <v>22</v>
      </c>
      <c r="B158" s="127">
        <f t="shared" si="65"/>
        <v>243815.08571172945</v>
      </c>
      <c r="C158" s="127">
        <f t="shared" si="65"/>
        <v>243815.08571172945</v>
      </c>
      <c r="D158" s="127">
        <f t="shared" si="65"/>
        <v>243815.08571172945</v>
      </c>
      <c r="E158" s="127">
        <f t="shared" si="65"/>
        <v>243815.08571172945</v>
      </c>
      <c r="F158" s="127">
        <f t="shared" si="65"/>
        <v>243815.08571172945</v>
      </c>
      <c r="G158" s="127">
        <f t="shared" si="65"/>
        <v>301276.99729132518</v>
      </c>
      <c r="H158" s="127">
        <f t="shared" si="65"/>
        <v>410937.09644617088</v>
      </c>
      <c r="I158" s="127">
        <f t="shared" si="65"/>
        <v>448336.34723651822</v>
      </c>
      <c r="J158" s="127">
        <f t="shared" si="65"/>
        <v>472140.30431711365</v>
      </c>
      <c r="K158" s="127">
        <f t="shared" si="65"/>
        <v>296165.67840555625</v>
      </c>
      <c r="L158" s="127">
        <f t="shared" si="65"/>
        <v>296165.67840555625</v>
      </c>
      <c r="M158" s="127">
        <f t="shared" si="65"/>
        <v>319807.58262591338</v>
      </c>
      <c r="N158" s="127">
        <f t="shared" si="65"/>
        <v>319807.58262591338</v>
      </c>
      <c r="O158" s="127">
        <f t="shared" si="66"/>
        <v>314131.74583943957</v>
      </c>
    </row>
    <row r="159" spans="1:15" hidden="1" x14ac:dyDescent="0.25">
      <c r="A159" s="402" t="s">
        <v>23</v>
      </c>
      <c r="B159" s="127">
        <f t="shared" si="65"/>
        <v>243815.08571172945</v>
      </c>
      <c r="C159" s="127">
        <f t="shared" si="65"/>
        <v>243815.08571172945</v>
      </c>
      <c r="D159" s="127">
        <f t="shared" si="65"/>
        <v>243815.08571172945</v>
      </c>
      <c r="E159" s="127">
        <f t="shared" si="65"/>
        <v>243815.08571172945</v>
      </c>
      <c r="F159" s="127">
        <f t="shared" si="65"/>
        <v>243815.08571172945</v>
      </c>
      <c r="G159" s="127">
        <f t="shared" si="65"/>
        <v>301276.99729132518</v>
      </c>
      <c r="H159" s="127">
        <f t="shared" si="65"/>
        <v>410937.09644617082</v>
      </c>
      <c r="I159" s="127">
        <f t="shared" si="65"/>
        <v>448336.34723651828</v>
      </c>
      <c r="J159" s="127">
        <f t="shared" si="65"/>
        <v>472140.30431711354</v>
      </c>
      <c r="K159" s="127">
        <f t="shared" si="65"/>
        <v>296165.67840555625</v>
      </c>
      <c r="L159" s="127">
        <f t="shared" si="65"/>
        <v>296165.67840555625</v>
      </c>
      <c r="M159" s="127">
        <f t="shared" si="65"/>
        <v>319807.58262591338</v>
      </c>
      <c r="N159" s="127">
        <f t="shared" si="65"/>
        <v>319807.58262591338</v>
      </c>
      <c r="O159" s="127">
        <f t="shared" si="66"/>
        <v>314131.74583943957</v>
      </c>
    </row>
    <row r="160" spans="1:15" hidden="1" x14ac:dyDescent="0.25">
      <c r="A160" s="402" t="s">
        <v>24</v>
      </c>
      <c r="B160" s="127">
        <f t="shared" si="65"/>
        <v>243815.08571172945</v>
      </c>
      <c r="C160" s="127">
        <f t="shared" si="65"/>
        <v>243815.08571172945</v>
      </c>
      <c r="D160" s="127">
        <f t="shared" si="65"/>
        <v>243815.08571172945</v>
      </c>
      <c r="E160" s="127">
        <f t="shared" si="65"/>
        <v>243815.08571172945</v>
      </c>
      <c r="F160" s="127">
        <f t="shared" si="65"/>
        <v>243815.08571172945</v>
      </c>
      <c r="G160" s="127">
        <f t="shared" si="65"/>
        <v>301276.99729132513</v>
      </c>
      <c r="H160" s="127">
        <f t="shared" si="65"/>
        <v>410937.09644617088</v>
      </c>
      <c r="I160" s="127">
        <f t="shared" si="65"/>
        <v>448336.34723651828</v>
      </c>
      <c r="J160" s="127">
        <f t="shared" si="65"/>
        <v>472140.30431711354</v>
      </c>
      <c r="K160" s="127">
        <f t="shared" si="65"/>
        <v>296165.67840555625</v>
      </c>
      <c r="L160" s="127">
        <f t="shared" si="65"/>
        <v>296165.67840555625</v>
      </c>
      <c r="M160" s="127">
        <f t="shared" si="65"/>
        <v>319807.58262591338</v>
      </c>
      <c r="N160" s="127">
        <f t="shared" si="65"/>
        <v>319807.58262591338</v>
      </c>
      <c r="O160" s="127">
        <f t="shared" si="66"/>
        <v>314131.74583943957</v>
      </c>
    </row>
    <row r="161" spans="1:15" hidden="1" x14ac:dyDescent="0.25">
      <c r="A161" s="402" t="s">
        <v>25</v>
      </c>
      <c r="B161" s="127">
        <f t="shared" si="65"/>
        <v>243815.08571172942</v>
      </c>
      <c r="C161" s="127">
        <f t="shared" si="65"/>
        <v>243815.08571172942</v>
      </c>
      <c r="D161" s="127">
        <f t="shared" si="65"/>
        <v>243815.08571172942</v>
      </c>
      <c r="E161" s="127">
        <f t="shared" si="65"/>
        <v>243815.08571172942</v>
      </c>
      <c r="F161" s="127">
        <f t="shared" si="65"/>
        <v>243815.08571172942</v>
      </c>
      <c r="G161" s="127">
        <f t="shared" si="65"/>
        <v>301276.99729132518</v>
      </c>
      <c r="H161" s="127">
        <f t="shared" si="65"/>
        <v>410937.09644617088</v>
      </c>
      <c r="I161" s="127">
        <f t="shared" si="65"/>
        <v>448336.34723651822</v>
      </c>
      <c r="J161" s="127">
        <f t="shared" si="65"/>
        <v>472140.30431711359</v>
      </c>
      <c r="K161" s="127">
        <f t="shared" si="65"/>
        <v>296165.67840555625</v>
      </c>
      <c r="L161" s="127">
        <f t="shared" si="65"/>
        <v>296165.67840555625</v>
      </c>
      <c r="M161" s="127">
        <f t="shared" si="65"/>
        <v>319807.58262591338</v>
      </c>
      <c r="N161" s="127">
        <f t="shared" si="65"/>
        <v>319807.58262591338</v>
      </c>
      <c r="O161" s="127">
        <f t="shared" si="66"/>
        <v>314131.74583943957</v>
      </c>
    </row>
    <row r="162" spans="1:15" hidden="1" x14ac:dyDescent="0.25">
      <c r="A162" s="402" t="s">
        <v>26</v>
      </c>
      <c r="B162" s="127">
        <f t="shared" si="65"/>
        <v>243815.08571172942</v>
      </c>
      <c r="C162" s="127">
        <f t="shared" si="65"/>
        <v>243815.08571172942</v>
      </c>
      <c r="D162" s="127">
        <f t="shared" si="65"/>
        <v>243815.08571172942</v>
      </c>
      <c r="E162" s="127">
        <f t="shared" si="65"/>
        <v>243815.08571172942</v>
      </c>
      <c r="F162" s="127">
        <f t="shared" si="65"/>
        <v>243815.08571172942</v>
      </c>
      <c r="G162" s="127">
        <f t="shared" si="65"/>
        <v>301276.99729132518</v>
      </c>
      <c r="H162" s="127">
        <f t="shared" si="65"/>
        <v>410937.09644617082</v>
      </c>
      <c r="I162" s="127">
        <f t="shared" si="65"/>
        <v>448336.34723651828</v>
      </c>
      <c r="J162" s="127">
        <f t="shared" si="65"/>
        <v>472140.30431711359</v>
      </c>
      <c r="K162" s="127">
        <f t="shared" si="65"/>
        <v>296165.67840555625</v>
      </c>
      <c r="L162" s="127">
        <f t="shared" si="65"/>
        <v>296165.67840555625</v>
      </c>
      <c r="M162" s="127">
        <f t="shared" si="65"/>
        <v>319807.58262591338</v>
      </c>
      <c r="N162" s="127">
        <f t="shared" si="65"/>
        <v>319807.58262591338</v>
      </c>
      <c r="O162" s="127">
        <f t="shared" si="66"/>
        <v>314131.74583943957</v>
      </c>
    </row>
    <row r="163" spans="1:15" hidden="1" x14ac:dyDescent="0.25">
      <c r="A163" s="402" t="s">
        <v>27</v>
      </c>
      <c r="B163" s="127">
        <f t="shared" si="65"/>
        <v>243815.08571172942</v>
      </c>
      <c r="C163" s="127">
        <f t="shared" si="65"/>
        <v>243815.08571172942</v>
      </c>
      <c r="D163" s="127">
        <f t="shared" si="65"/>
        <v>243815.08571172942</v>
      </c>
      <c r="E163" s="127">
        <f t="shared" si="65"/>
        <v>243815.08571172942</v>
      </c>
      <c r="F163" s="127">
        <f t="shared" si="65"/>
        <v>243815.08571172942</v>
      </c>
      <c r="G163" s="127">
        <f t="shared" si="65"/>
        <v>301276.99729132518</v>
      </c>
      <c r="H163" s="127">
        <f t="shared" si="65"/>
        <v>410937.09644617082</v>
      </c>
      <c r="I163" s="127">
        <f t="shared" si="65"/>
        <v>448336.34723651828</v>
      </c>
      <c r="J163" s="127">
        <f t="shared" si="65"/>
        <v>472140.30431711354</v>
      </c>
      <c r="K163" s="127">
        <f t="shared" si="65"/>
        <v>296165.67840555625</v>
      </c>
      <c r="L163" s="127">
        <f t="shared" si="65"/>
        <v>296165.67840555625</v>
      </c>
      <c r="M163" s="127">
        <f t="shared" si="65"/>
        <v>319807.58262591343</v>
      </c>
      <c r="N163" s="127">
        <f t="shared" si="65"/>
        <v>319807.58262591343</v>
      </c>
      <c r="O163" s="127">
        <f t="shared" si="66"/>
        <v>314131.74583943957</v>
      </c>
    </row>
    <row r="165" spans="1:15" x14ac:dyDescent="0.25">
      <c r="B165" s="127">
        <f>+B33*B20</f>
        <v>0</v>
      </c>
      <c r="C165" s="127">
        <f t="shared" ref="C165:N165" si="67">+C33*C20</f>
        <v>0</v>
      </c>
      <c r="D165" s="127">
        <f t="shared" si="67"/>
        <v>0</v>
      </c>
      <c r="E165" s="127">
        <f t="shared" si="67"/>
        <v>0</v>
      </c>
      <c r="F165" s="127">
        <f t="shared" si="67"/>
        <v>0</v>
      </c>
      <c r="G165" s="127">
        <f t="shared" si="67"/>
        <v>0</v>
      </c>
      <c r="H165" s="127">
        <f t="shared" si="67"/>
        <v>0</v>
      </c>
      <c r="I165" s="127">
        <f t="shared" si="67"/>
        <v>0</v>
      </c>
      <c r="J165" s="127">
        <f t="shared" si="67"/>
        <v>0</v>
      </c>
      <c r="K165" s="127">
        <f t="shared" si="67"/>
        <v>6.5664062446099427</v>
      </c>
      <c r="L165" s="127">
        <f t="shared" si="67"/>
        <v>6.5664062446099427</v>
      </c>
      <c r="M165" s="127">
        <f t="shared" si="67"/>
        <v>9.3700237857492041</v>
      </c>
      <c r="N165" s="127">
        <f t="shared" si="67"/>
        <v>9.3700237857492041</v>
      </c>
    </row>
    <row r="166" spans="1:15" x14ac:dyDescent="0.25">
      <c r="B166" s="127">
        <f t="shared" ref="B166:N174" si="68">+B34*B21</f>
        <v>6.1712957612475483</v>
      </c>
      <c r="C166" s="127">
        <f t="shared" si="68"/>
        <v>6.1712957612475483</v>
      </c>
      <c r="D166" s="127">
        <f t="shared" si="68"/>
        <v>6.1712957612475483</v>
      </c>
      <c r="E166" s="127">
        <f t="shared" si="68"/>
        <v>6.1712957612475483</v>
      </c>
      <c r="F166" s="127">
        <f t="shared" si="68"/>
        <v>6.1712957612475483</v>
      </c>
      <c r="G166" s="127">
        <f t="shared" si="68"/>
        <v>7.5899015274634642</v>
      </c>
      <c r="H166" s="127">
        <f t="shared" si="68"/>
        <v>9.0085072936793793</v>
      </c>
      <c r="I166" s="127">
        <f t="shared" si="68"/>
        <v>8.6115201860513384</v>
      </c>
      <c r="J166" s="127">
        <f t="shared" si="68"/>
        <v>8.2145330784232975</v>
      </c>
      <c r="K166" s="127">
        <f t="shared" si="68"/>
        <v>64.122177485989781</v>
      </c>
      <c r="L166" s="127">
        <f t="shared" si="68"/>
        <v>64.122177485989781</v>
      </c>
      <c r="M166" s="127">
        <f t="shared" si="68"/>
        <v>91.500023887639742</v>
      </c>
      <c r="N166" s="127">
        <f t="shared" si="68"/>
        <v>91.500023887639742</v>
      </c>
    </row>
    <row r="167" spans="1:15" x14ac:dyDescent="0.25">
      <c r="B167" s="127">
        <f t="shared" si="68"/>
        <v>0</v>
      </c>
      <c r="C167" s="127">
        <f t="shared" si="68"/>
        <v>0</v>
      </c>
      <c r="D167" s="127">
        <f t="shared" si="68"/>
        <v>0</v>
      </c>
      <c r="E167" s="127">
        <f t="shared" si="68"/>
        <v>0</v>
      </c>
      <c r="F167" s="127">
        <f t="shared" si="68"/>
        <v>0</v>
      </c>
      <c r="G167" s="127">
        <f t="shared" si="68"/>
        <v>0</v>
      </c>
      <c r="H167" s="127">
        <f t="shared" si="68"/>
        <v>0</v>
      </c>
      <c r="I167" s="127">
        <f t="shared" si="68"/>
        <v>82.344198314252679</v>
      </c>
      <c r="J167" s="127">
        <f t="shared" si="68"/>
        <v>78.548168761691855</v>
      </c>
      <c r="K167" s="127">
        <f t="shared" si="68"/>
        <v>613.14253292938542</v>
      </c>
      <c r="L167" s="127">
        <f t="shared" si="68"/>
        <v>613.14253292938542</v>
      </c>
      <c r="M167" s="127">
        <f t="shared" si="68"/>
        <v>874.93217805687743</v>
      </c>
      <c r="N167" s="127">
        <f t="shared" si="68"/>
        <v>874.93217805687743</v>
      </c>
    </row>
    <row r="168" spans="1:15" x14ac:dyDescent="0.25">
      <c r="B168" s="127">
        <f t="shared" si="68"/>
        <v>0</v>
      </c>
      <c r="C168" s="127">
        <f t="shared" si="68"/>
        <v>0</v>
      </c>
      <c r="D168" s="127">
        <f t="shared" si="68"/>
        <v>0</v>
      </c>
      <c r="E168" s="127">
        <f t="shared" si="68"/>
        <v>0</v>
      </c>
      <c r="F168" s="127">
        <f t="shared" si="68"/>
        <v>0</v>
      </c>
      <c r="G168" s="127">
        <f t="shared" si="68"/>
        <v>0</v>
      </c>
      <c r="H168" s="127">
        <f t="shared" si="68"/>
        <v>0</v>
      </c>
      <c r="I168" s="127">
        <f t="shared" si="68"/>
        <v>33.472385596075206</v>
      </c>
      <c r="J168" s="127">
        <f t="shared" si="68"/>
        <v>31.929324062674866</v>
      </c>
      <c r="K168" s="127">
        <f t="shared" si="68"/>
        <v>249.2384856215707</v>
      </c>
      <c r="L168" s="127">
        <f t="shared" si="68"/>
        <v>249.2384856215707</v>
      </c>
      <c r="M168" s="127">
        <f t="shared" si="68"/>
        <v>355.65428814509096</v>
      </c>
      <c r="N168" s="127">
        <f t="shared" si="68"/>
        <v>355.65428814509096</v>
      </c>
    </row>
    <row r="169" spans="1:15" x14ac:dyDescent="0.25">
      <c r="B169" s="127">
        <f t="shared" si="68"/>
        <v>0</v>
      </c>
      <c r="C169" s="127">
        <f t="shared" si="68"/>
        <v>0</v>
      </c>
      <c r="D169" s="127">
        <f t="shared" si="68"/>
        <v>0</v>
      </c>
      <c r="E169" s="127">
        <f t="shared" si="68"/>
        <v>0</v>
      </c>
      <c r="F169" s="127">
        <f t="shared" si="68"/>
        <v>0</v>
      </c>
      <c r="G169" s="127">
        <f t="shared" si="68"/>
        <v>0</v>
      </c>
      <c r="H169" s="127">
        <f t="shared" si="68"/>
        <v>0</v>
      </c>
      <c r="I169" s="127">
        <f t="shared" si="68"/>
        <v>0</v>
      </c>
      <c r="J169" s="127">
        <f t="shared" si="68"/>
        <v>0</v>
      </c>
      <c r="K169" s="127">
        <f t="shared" si="68"/>
        <v>171.64409122133117</v>
      </c>
      <c r="L169" s="127">
        <f t="shared" si="68"/>
        <v>171.64409122133117</v>
      </c>
      <c r="M169" s="127">
        <f t="shared" si="68"/>
        <v>244.92989886931926</v>
      </c>
      <c r="N169" s="127">
        <f t="shared" si="68"/>
        <v>244.92989886931926</v>
      </c>
    </row>
    <row r="170" spans="1:15" x14ac:dyDescent="0.25">
      <c r="B170" s="127">
        <f t="shared" si="68"/>
        <v>0</v>
      </c>
      <c r="C170" s="127">
        <f t="shared" si="68"/>
        <v>0</v>
      </c>
      <c r="D170" s="127">
        <f t="shared" si="68"/>
        <v>0</v>
      </c>
      <c r="E170" s="127">
        <f t="shared" si="68"/>
        <v>0</v>
      </c>
      <c r="F170" s="127">
        <f t="shared" si="68"/>
        <v>0</v>
      </c>
      <c r="G170" s="127">
        <f t="shared" si="68"/>
        <v>0</v>
      </c>
      <c r="H170" s="127">
        <f t="shared" si="68"/>
        <v>0</v>
      </c>
      <c r="I170" s="127">
        <f t="shared" si="68"/>
        <v>0</v>
      </c>
      <c r="J170" s="127">
        <f t="shared" si="68"/>
        <v>0</v>
      </c>
      <c r="K170" s="127">
        <f t="shared" si="68"/>
        <v>1256.0051489262701</v>
      </c>
      <c r="L170" s="127">
        <f t="shared" si="68"/>
        <v>1256.0051489262701</v>
      </c>
      <c r="M170" s="127">
        <f t="shared" si="68"/>
        <v>1792.2738377819808</v>
      </c>
      <c r="N170" s="127">
        <f t="shared" si="68"/>
        <v>1792.2738377819808</v>
      </c>
    </row>
    <row r="171" spans="1:15" x14ac:dyDescent="0.25">
      <c r="B171" s="127">
        <f t="shared" si="68"/>
        <v>13.39271496288719</v>
      </c>
      <c r="C171" s="127">
        <f t="shared" si="68"/>
        <v>13.39271496288719</v>
      </c>
      <c r="D171" s="127">
        <f t="shared" si="68"/>
        <v>13.39271496288719</v>
      </c>
      <c r="E171" s="127">
        <f t="shared" si="68"/>
        <v>13.39271496288719</v>
      </c>
      <c r="F171" s="127">
        <f t="shared" si="68"/>
        <v>13.39271496288719</v>
      </c>
      <c r="G171" s="127">
        <f t="shared" si="68"/>
        <v>16.471320073817285</v>
      </c>
      <c r="H171" s="127">
        <f t="shared" si="68"/>
        <v>19.54992518474738</v>
      </c>
      <c r="I171" s="127">
        <f t="shared" si="68"/>
        <v>18.688398629856</v>
      </c>
      <c r="J171" s="127">
        <f t="shared" si="68"/>
        <v>17.826872074964623</v>
      </c>
      <c r="K171" s="127">
        <f t="shared" si="68"/>
        <v>139.15554837966801</v>
      </c>
      <c r="L171" s="127">
        <f t="shared" si="68"/>
        <v>139.15554837966801</v>
      </c>
      <c r="M171" s="127">
        <f t="shared" si="68"/>
        <v>198.56992541495086</v>
      </c>
      <c r="N171" s="127">
        <f t="shared" si="68"/>
        <v>198.56992541495086</v>
      </c>
    </row>
    <row r="172" spans="1:15" x14ac:dyDescent="0.25">
      <c r="B172" s="127">
        <f t="shared" si="68"/>
        <v>3.3261092708115845</v>
      </c>
      <c r="C172" s="127">
        <f t="shared" si="68"/>
        <v>3.3261092708115845</v>
      </c>
      <c r="D172" s="127">
        <f t="shared" si="68"/>
        <v>3.3261092708115845</v>
      </c>
      <c r="E172" s="127">
        <f t="shared" si="68"/>
        <v>3.3261092708115845</v>
      </c>
      <c r="F172" s="127">
        <f t="shared" si="68"/>
        <v>3.3261092708115845</v>
      </c>
      <c r="G172" s="127">
        <f t="shared" si="68"/>
        <v>4.0906874037001106</v>
      </c>
      <c r="H172" s="127">
        <f t="shared" si="68"/>
        <v>4.8552655365886368</v>
      </c>
      <c r="I172" s="127">
        <f t="shared" si="68"/>
        <v>4.6413035827043565</v>
      </c>
      <c r="J172" s="127">
        <f t="shared" si="68"/>
        <v>4.4273416288200762</v>
      </c>
      <c r="K172" s="127">
        <f t="shared" si="68"/>
        <v>34.559576667844176</v>
      </c>
      <c r="L172" s="127">
        <f t="shared" si="68"/>
        <v>34.559576667844176</v>
      </c>
      <c r="M172" s="127">
        <f t="shared" si="68"/>
        <v>49.315263683074036</v>
      </c>
      <c r="N172" s="127">
        <f t="shared" si="68"/>
        <v>49.315263683074036</v>
      </c>
    </row>
    <row r="173" spans="1:15" x14ac:dyDescent="0.25">
      <c r="B173" s="127">
        <f t="shared" si="68"/>
        <v>0</v>
      </c>
      <c r="C173" s="127">
        <f t="shared" si="68"/>
        <v>0</v>
      </c>
      <c r="D173" s="127">
        <f t="shared" si="68"/>
        <v>0</v>
      </c>
      <c r="E173" s="127">
        <f t="shared" si="68"/>
        <v>0</v>
      </c>
      <c r="F173" s="127">
        <f t="shared" si="68"/>
        <v>0</v>
      </c>
      <c r="G173" s="127">
        <f t="shared" si="68"/>
        <v>0</v>
      </c>
      <c r="H173" s="127">
        <f t="shared" si="68"/>
        <v>0</v>
      </c>
      <c r="I173" s="127">
        <f t="shared" si="68"/>
        <v>0</v>
      </c>
      <c r="J173" s="127">
        <f t="shared" si="68"/>
        <v>0</v>
      </c>
      <c r="K173" s="127">
        <f t="shared" si="68"/>
        <v>144.52223395032985</v>
      </c>
      <c r="L173" s="127">
        <f t="shared" si="68"/>
        <v>144.52223395032985</v>
      </c>
      <c r="M173" s="127">
        <f t="shared" si="68"/>
        <v>206.22799126931616</v>
      </c>
      <c r="N173" s="127">
        <f t="shared" si="68"/>
        <v>206.22799126931616</v>
      </c>
    </row>
    <row r="174" spans="1:15" x14ac:dyDescent="0.25">
      <c r="B174" s="127">
        <f t="shared" si="68"/>
        <v>280.07585759999995</v>
      </c>
      <c r="C174" s="127">
        <f t="shared" si="68"/>
        <v>280.07585759999995</v>
      </c>
      <c r="D174" s="127">
        <f t="shared" si="68"/>
        <v>280.07585759999995</v>
      </c>
      <c r="E174" s="127">
        <f t="shared" si="68"/>
        <v>280.07585759999995</v>
      </c>
      <c r="F174" s="127">
        <f t="shared" si="68"/>
        <v>280.07585759999995</v>
      </c>
      <c r="G174" s="127">
        <f t="shared" si="68"/>
        <v>276.33779249999998</v>
      </c>
      <c r="H174" s="127">
        <f t="shared" si="68"/>
        <v>272.59972739999995</v>
      </c>
      <c r="I174" s="127">
        <f t="shared" si="68"/>
        <v>287.14521219999995</v>
      </c>
      <c r="J174" s="127">
        <f t="shared" si="68"/>
        <v>301.69069699999994</v>
      </c>
      <c r="K174" s="127">
        <f t="shared" si="68"/>
        <v>256.32255109999994</v>
      </c>
      <c r="L174" s="127">
        <f t="shared" si="68"/>
        <v>256.32255109999994</v>
      </c>
      <c r="M174" s="127">
        <f t="shared" si="68"/>
        <v>54.708061100000009</v>
      </c>
      <c r="N174" s="127">
        <f t="shared" si="68"/>
        <v>54.708061100000009</v>
      </c>
    </row>
    <row r="175" spans="1:15" x14ac:dyDescent="0.25">
      <c r="B175" s="127">
        <f>+B43*B30</f>
        <v>2.8969577999999996</v>
      </c>
      <c r="C175" s="127">
        <f t="shared" ref="C175:N175" si="69">+C43*C30</f>
        <v>2.8969577999999996</v>
      </c>
      <c r="D175" s="127">
        <f t="shared" si="69"/>
        <v>2.8969577999999996</v>
      </c>
      <c r="E175" s="127">
        <f t="shared" si="69"/>
        <v>2.8969577999999996</v>
      </c>
      <c r="F175" s="127">
        <f t="shared" si="69"/>
        <v>2.8969577999999996</v>
      </c>
      <c r="G175" s="127">
        <f t="shared" si="69"/>
        <v>4.5128068333333333</v>
      </c>
      <c r="H175" s="127">
        <f t="shared" si="69"/>
        <v>6.1286558666666666</v>
      </c>
      <c r="I175" s="127">
        <f t="shared" si="69"/>
        <v>3.6558793333333335</v>
      </c>
      <c r="J175" s="127">
        <f t="shared" si="69"/>
        <v>1.1831027999999999</v>
      </c>
      <c r="K175" s="127">
        <f t="shared" si="69"/>
        <v>7.2903203999999988</v>
      </c>
      <c r="L175" s="127">
        <f t="shared" si="69"/>
        <v>7.2903203999999988</v>
      </c>
      <c r="M175" s="127">
        <f t="shared" si="69"/>
        <v>0.94769546666666649</v>
      </c>
      <c r="N175" s="127">
        <f t="shared" si="69"/>
        <v>0.94769546666666649</v>
      </c>
    </row>
    <row r="176" spans="1:15" x14ac:dyDescent="0.25">
      <c r="B176" s="127">
        <f>+SUM(B165:B175)</f>
        <v>305.86293539494625</v>
      </c>
      <c r="C176" s="127">
        <f t="shared" ref="C176:N176" si="70">+SUM(C165:C175)</f>
        <v>305.86293539494625</v>
      </c>
      <c r="D176" s="127">
        <f t="shared" si="70"/>
        <v>305.86293539494625</v>
      </c>
      <c r="E176" s="127">
        <f t="shared" si="70"/>
        <v>305.86293539494625</v>
      </c>
      <c r="F176" s="127">
        <f t="shared" si="70"/>
        <v>305.86293539494625</v>
      </c>
      <c r="G176" s="127">
        <f t="shared" si="70"/>
        <v>309.00250833831416</v>
      </c>
      <c r="H176" s="127">
        <f t="shared" si="70"/>
        <v>312.14208128168207</v>
      </c>
      <c r="I176" s="127">
        <f t="shared" si="70"/>
        <v>438.55889784227293</v>
      </c>
      <c r="J176" s="127">
        <f t="shared" si="70"/>
        <v>443.82003940657461</v>
      </c>
      <c r="K176" s="127">
        <f t="shared" si="70"/>
        <v>2942.5690729269991</v>
      </c>
      <c r="L176" s="127">
        <f t="shared" si="70"/>
        <v>2942.5690729269991</v>
      </c>
      <c r="M176" s="127">
        <f t="shared" si="70"/>
        <v>3878.4291874606652</v>
      </c>
      <c r="N176" s="127">
        <f t="shared" si="70"/>
        <v>3878.4291874606652</v>
      </c>
    </row>
    <row r="178" spans="1:14" x14ac:dyDescent="0.25">
      <c r="A178" t="s">
        <v>458</v>
      </c>
      <c r="B178" s="127">
        <f>+B18-B176</f>
        <v>234.94003641305358</v>
      </c>
      <c r="C178" s="127">
        <f t="shared" ref="C178:N178" si="71">+C18-C176</f>
        <v>234.94003641305358</v>
      </c>
      <c r="D178" s="127">
        <f t="shared" si="71"/>
        <v>234.94003641305358</v>
      </c>
      <c r="E178" s="127">
        <f t="shared" si="71"/>
        <v>234.94003641305358</v>
      </c>
      <c r="F178" s="127">
        <f t="shared" si="71"/>
        <v>234.94003641305358</v>
      </c>
      <c r="G178" s="127">
        <f t="shared" si="71"/>
        <v>288.94608364601908</v>
      </c>
      <c r="H178" s="127">
        <f t="shared" si="71"/>
        <v>342.95213087898458</v>
      </c>
      <c r="I178" s="127">
        <f t="shared" si="71"/>
        <v>212.02232453856038</v>
      </c>
      <c r="J178" s="127">
        <f t="shared" si="71"/>
        <v>202.24819319442537</v>
      </c>
      <c r="K178" s="127">
        <f>+K18-K176</f>
        <v>0</v>
      </c>
      <c r="L178" s="127">
        <f t="shared" si="71"/>
        <v>0</v>
      </c>
      <c r="M178" s="127">
        <f t="shared" si="71"/>
        <v>0</v>
      </c>
      <c r="N178" s="127">
        <f t="shared" si="71"/>
        <v>0</v>
      </c>
    </row>
    <row r="179" spans="1:14" x14ac:dyDescent="0.25">
      <c r="A179" t="s">
        <v>459</v>
      </c>
      <c r="B179" s="431">
        <v>5.4810000000000005E-2</v>
      </c>
      <c r="C179" s="431">
        <v>5.4810000000000005E-2</v>
      </c>
      <c r="D179" s="431">
        <v>5.4810000000000005E-2</v>
      </c>
      <c r="E179" s="431">
        <v>5.4810000000000005E-2</v>
      </c>
      <c r="F179" s="431">
        <v>5.4810000000000005E-2</v>
      </c>
      <c r="G179" s="431">
        <v>5.4810000000000005E-2</v>
      </c>
      <c r="H179" s="431">
        <v>0.10962000000000001</v>
      </c>
      <c r="I179" s="431">
        <v>6.3770000000000007E-2</v>
      </c>
      <c r="J179" s="431">
        <v>1.7909999999999999E-2</v>
      </c>
      <c r="K179" s="431">
        <v>1.899E-2</v>
      </c>
      <c r="L179" s="431">
        <v>1.899E-2</v>
      </c>
      <c r="M179" s="431">
        <v>7.1999999999999998E-3</v>
      </c>
      <c r="N179" s="431">
        <v>7.1999999999999998E-3</v>
      </c>
    </row>
    <row r="180" spans="1:14" x14ac:dyDescent="0.25">
      <c r="A180" t="s">
        <v>460</v>
      </c>
      <c r="B180">
        <f>+B178/B179</f>
        <v>4286.444743898076</v>
      </c>
      <c r="C180">
        <f t="shared" ref="C180:J180" si="72">+C178/C179</f>
        <v>4286.444743898076</v>
      </c>
      <c r="D180">
        <f t="shared" si="72"/>
        <v>4286.444743898076</v>
      </c>
      <c r="E180">
        <f t="shared" si="72"/>
        <v>4286.444743898076</v>
      </c>
      <c r="F180">
        <f t="shared" si="72"/>
        <v>4286.444743898076</v>
      </c>
      <c r="G180">
        <f t="shared" si="72"/>
        <v>5271.7767496080833</v>
      </c>
      <c r="H180">
        <f t="shared" si="72"/>
        <v>3128.5543776590453</v>
      </c>
      <c r="I180">
        <f t="shared" si="72"/>
        <v>3324.7973112523187</v>
      </c>
      <c r="J180">
        <f t="shared" si="72"/>
        <v>11292.473098516213</v>
      </c>
      <c r="K180">
        <f t="shared" ref="K180" si="73">+K178/K179</f>
        <v>0</v>
      </c>
      <c r="L180">
        <f t="shared" ref="L180" si="74">+L178/L179</f>
        <v>0</v>
      </c>
      <c r="M180">
        <f t="shared" ref="M180" si="75">+M178/M179</f>
        <v>0</v>
      </c>
      <c r="N180">
        <f t="shared" ref="N180" si="76">+N178/N179</f>
        <v>0</v>
      </c>
    </row>
    <row r="183" spans="1:14" ht="15" customHeight="1" thickBot="1" x14ac:dyDescent="0.3">
      <c r="A183" t="s">
        <v>461</v>
      </c>
      <c r="B183">
        <f>+INGEI_diffs!B60-INGEI_diffs!B50</f>
        <v>-0.50929910833337999</v>
      </c>
      <c r="C183">
        <f>+INGEI_diffs!C60-INGEI_diffs!C50</f>
        <v>-0.50929910833337999</v>
      </c>
      <c r="D183">
        <f>+INGEI_diffs!D60-INGEI_diffs!D50</f>
        <v>-0.50929910833337999</v>
      </c>
      <c r="E183">
        <f>+INGEI_diffs!E60-INGEI_diffs!E50</f>
        <v>-0.50929910833337999</v>
      </c>
      <c r="F183">
        <f>+INGEI_diffs!F60-INGEI_diffs!F50</f>
        <v>-0.50929910833337999</v>
      </c>
      <c r="G183">
        <f>+INGEI_diffs!G60-INGEI_diffs!G50</f>
        <v>-1.2132423084167385</v>
      </c>
      <c r="H183">
        <f>+INGEI_diffs!H60-INGEI_diffs!H50</f>
        <v>-1.8571855085002653</v>
      </c>
      <c r="I183">
        <f>+INGEI_diffs!I60-INGEI_diffs!I50</f>
        <v>-4.2614738485835915</v>
      </c>
      <c r="J183">
        <f>+INGEI_diffs!J60-INGEI_diffs!J50</f>
        <v>-6.3557621886669722</v>
      </c>
      <c r="K183">
        <f>+INGEI_diffs!K60-INGEI_diffs!K50</f>
        <v>-1.9564750806667917</v>
      </c>
      <c r="L183">
        <f>+INGEI_diffs!L60-INGEI_diffs!L50</f>
        <v>-1.9564750806667917</v>
      </c>
      <c r="M183">
        <f>+INGEI_diffs!M60-INGEI_diffs!M50</f>
        <v>-0.41658191433333513</v>
      </c>
      <c r="N183">
        <f>+INGEI_diffs!N60-INGEI_diffs!N50</f>
        <v>-0.41658191433333513</v>
      </c>
    </row>
    <row r="184" spans="1:14" x14ac:dyDescent="0.25">
      <c r="A184" s="425" t="s">
        <v>462</v>
      </c>
      <c r="B184" s="432">
        <v>3.4950000000000002E-2</v>
      </c>
      <c r="C184" s="432">
        <v>3.4950000000000002E-2</v>
      </c>
      <c r="D184" s="432">
        <v>3.4950000000000002E-2</v>
      </c>
      <c r="E184" s="432">
        <v>3.4950000000000002E-2</v>
      </c>
      <c r="F184" s="432">
        <v>3.4950000000000002E-2</v>
      </c>
      <c r="G184" s="432">
        <v>0.10546999999999999</v>
      </c>
      <c r="H184" s="432">
        <v>0.17599999999999999</v>
      </c>
      <c r="I184" s="432">
        <v>0.18023</v>
      </c>
      <c r="J184" s="432">
        <v>0.18446000000000001</v>
      </c>
      <c r="K184" s="432">
        <v>7.3800000000000003E-3</v>
      </c>
      <c r="L184" s="432">
        <v>7.3800000000000003E-3</v>
      </c>
      <c r="M184" s="432">
        <v>1.035E-2</v>
      </c>
      <c r="N184" s="432">
        <v>1.035E-2</v>
      </c>
    </row>
    <row r="185" spans="1:14" ht="16.350000000000001" customHeight="1" x14ac:dyDescent="0.25">
      <c r="A185" t="s">
        <v>119</v>
      </c>
      <c r="B185" s="388">
        <f>+B183/B184</f>
        <v>-14.572220553172532</v>
      </c>
      <c r="C185" s="388">
        <f t="shared" ref="C185:N185" si="77">+C183/C184</f>
        <v>-14.572220553172532</v>
      </c>
      <c r="D185" s="388">
        <f t="shared" si="77"/>
        <v>-14.572220553172532</v>
      </c>
      <c r="E185" s="388">
        <f t="shared" si="77"/>
        <v>-14.572220553172532</v>
      </c>
      <c r="F185" s="388">
        <f t="shared" si="77"/>
        <v>-14.572220553172532</v>
      </c>
      <c r="G185" s="388">
        <f t="shared" si="77"/>
        <v>-11.503198145602907</v>
      </c>
      <c r="H185" s="388">
        <f t="shared" si="77"/>
        <v>-10.552190389206054</v>
      </c>
      <c r="I185" s="388">
        <f t="shared" si="77"/>
        <v>-23.644642116093834</v>
      </c>
      <c r="J185" s="388">
        <f t="shared" si="77"/>
        <v>-34.456045693738325</v>
      </c>
      <c r="K185" s="388">
        <f t="shared" si="77"/>
        <v>-265.10502448059509</v>
      </c>
      <c r="L185" s="388">
        <f t="shared" si="77"/>
        <v>-265.10502448059509</v>
      </c>
      <c r="M185" s="388">
        <f t="shared" si="77"/>
        <v>-40.249460322061367</v>
      </c>
      <c r="N185" s="388">
        <f t="shared" si="77"/>
        <v>-40.249460322061367</v>
      </c>
    </row>
    <row r="186" spans="1:14" ht="15" customHeight="1" x14ac:dyDescent="0.25"/>
    <row r="188" spans="1:14" ht="15" customHeight="1" thickBot="1" x14ac:dyDescent="0.3">
      <c r="A188" t="s">
        <v>463</v>
      </c>
      <c r="B188">
        <f>+INGEI_diffs!C18/1000</f>
        <v>1034.3527479633333</v>
      </c>
      <c r="C188">
        <f>+INGEI_diffs!D18/1000</f>
        <v>1034.3527479633333</v>
      </c>
      <c r="D188">
        <f>+INGEI_diffs!E18/1000</f>
        <v>1034.3527479633333</v>
      </c>
      <c r="E188">
        <f>+INGEI_diffs!F18/1000</f>
        <v>1034.3527479633333</v>
      </c>
      <c r="F188">
        <f>+INGEI_diffs!G18/1000</f>
        <v>1034.3527479633333</v>
      </c>
      <c r="G188">
        <f>+INGEI_diffs!H18/1000</f>
        <v>551.83197945333336</v>
      </c>
      <c r="H188">
        <f>+INGEI_diffs!I18/1000</f>
        <v>69.311210943333336</v>
      </c>
      <c r="I188">
        <f>+INGEI_diffs!J18/1000</f>
        <v>1692.2922638658333</v>
      </c>
      <c r="J188">
        <f>+INGEI_diffs!K18/1000</f>
        <v>3315.2733167883334</v>
      </c>
      <c r="K188">
        <f>+INGEI_diffs!L18/1000</f>
        <v>1577.5551570166667</v>
      </c>
      <c r="L188">
        <f>+INGEI_diffs!M18/1000</f>
        <v>1577.5551570166667</v>
      </c>
      <c r="M188">
        <f>+INGEI_diffs!N18/1000</f>
        <v>466.8651882333333</v>
      </c>
      <c r="N188">
        <f>+INGEI_diffs!O18/1000</f>
        <v>466.8651882333333</v>
      </c>
    </row>
    <row r="189" spans="1:14" x14ac:dyDescent="0.25">
      <c r="A189" s="425" t="s">
        <v>464</v>
      </c>
      <c r="B189" s="432">
        <v>1.63</v>
      </c>
      <c r="C189" s="432">
        <v>1.63</v>
      </c>
      <c r="D189" s="432">
        <v>1.63</v>
      </c>
      <c r="E189" s="432">
        <v>1.63</v>
      </c>
      <c r="F189" s="432">
        <v>1.63</v>
      </c>
      <c r="G189" s="432">
        <v>0.87</v>
      </c>
      <c r="H189" s="432">
        <v>0.11</v>
      </c>
      <c r="I189" s="432">
        <v>2.2410000000000001</v>
      </c>
      <c r="J189" s="432">
        <v>4.3719999999999999</v>
      </c>
      <c r="K189" s="432">
        <v>0.23699999999999999</v>
      </c>
      <c r="L189" s="432">
        <v>0.23699999999999999</v>
      </c>
      <c r="M189" s="432">
        <v>0.43099999999999999</v>
      </c>
      <c r="N189" s="432">
        <v>0.43099999999999999</v>
      </c>
    </row>
    <row r="190" spans="1:14" ht="16.350000000000001" customHeight="1" x14ac:dyDescent="0.25">
      <c r="A190" t="s">
        <v>119</v>
      </c>
      <c r="B190" s="388">
        <f>+B188/B189</f>
        <v>634.57223801431496</v>
      </c>
      <c r="C190" s="388">
        <f t="shared" ref="C190" si="78">+C188/C189</f>
        <v>634.57223801431496</v>
      </c>
      <c r="D190" s="388">
        <f t="shared" ref="D190" si="79">+D188/D189</f>
        <v>634.57223801431496</v>
      </c>
      <c r="E190" s="388">
        <f t="shared" ref="E190" si="80">+E188/E189</f>
        <v>634.57223801431496</v>
      </c>
      <c r="F190" s="388">
        <f t="shared" ref="F190" si="81">+F188/F189</f>
        <v>634.57223801431496</v>
      </c>
      <c r="G190" s="388">
        <f t="shared" ref="G190" si="82">+G188/G189</f>
        <v>634.28963155555562</v>
      </c>
      <c r="H190" s="388">
        <f t="shared" ref="H190" si="83">+H188/H189</f>
        <v>630.10191766666674</v>
      </c>
      <c r="I190" s="388">
        <f t="shared" ref="I190" si="84">+I188/I189</f>
        <v>755.15049703963996</v>
      </c>
      <c r="J190" s="388">
        <f t="shared" ref="J190" si="85">+J188/J189</f>
        <v>758.29673302569381</v>
      </c>
      <c r="K190" s="388">
        <f t="shared" ref="K190" si="86">+K188/K189</f>
        <v>6656.3508734880452</v>
      </c>
      <c r="L190" s="388">
        <f t="shared" ref="L190" si="87">+L188/L189</f>
        <v>6656.3508734880452</v>
      </c>
      <c r="M190" s="388">
        <f t="shared" ref="M190" si="88">+M188/M189</f>
        <v>1083.2138938128383</v>
      </c>
      <c r="N190" s="388">
        <f t="shared" ref="N190" si="89">+N188/N189</f>
        <v>1083.2138938128383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1750-7AB3-40EA-AE1D-BA9AAC0C4F4F}">
  <dimension ref="A1:O83"/>
  <sheetViews>
    <sheetView topLeftCell="A18" workbookViewId="0">
      <selection activeCell="B46" sqref="B46"/>
    </sheetView>
  </sheetViews>
  <sheetFormatPr defaultColWidth="10.85546875" defaultRowHeight="15" x14ac:dyDescent="0.25"/>
  <cols>
    <col min="1" max="1" width="32.85546875" customWidth="1"/>
  </cols>
  <sheetData>
    <row r="1" spans="1:14" ht="15.75" x14ac:dyDescent="0.25">
      <c r="A1" s="119" t="s">
        <v>129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</row>
    <row r="2" spans="1:14" s="132" customFormat="1" x14ac:dyDescent="0.25">
      <c r="A2" s="375" t="s">
        <v>394</v>
      </c>
      <c r="B2" s="131">
        <f>+INGEI!C22/1000</f>
        <v>280.07585759999995</v>
      </c>
      <c r="C2" s="131">
        <f>+INGEI!D22/1000</f>
        <v>280.07585759999995</v>
      </c>
      <c r="D2" s="131">
        <f>+INGEI!E22/1000</f>
        <v>280.07585759999995</v>
      </c>
      <c r="E2" s="131">
        <f>+INGEI!F22/1000</f>
        <v>280.07585759999995</v>
      </c>
      <c r="F2" s="131">
        <f>+INGEI!G22/1000</f>
        <v>280.07585759999995</v>
      </c>
      <c r="G2" s="131">
        <f>+INGEI!H22/1000</f>
        <v>276.33779249999998</v>
      </c>
      <c r="H2" s="131">
        <f>+INGEI!I22/1000</f>
        <v>272.59972739999995</v>
      </c>
      <c r="I2" s="131">
        <f>+INGEI!J22/1000</f>
        <v>287.14521219999995</v>
      </c>
      <c r="J2" s="131">
        <f>+INGEI!K22/1000</f>
        <v>301.69069699999994</v>
      </c>
      <c r="K2" s="131">
        <f>+INGEI!L22/1000</f>
        <v>256.32255109999994</v>
      </c>
      <c r="L2" s="131">
        <f>+INGEI!M22/1000</f>
        <v>256.32255109999994</v>
      </c>
      <c r="M2" s="131">
        <f>+INGEI!N22/1000</f>
        <v>54.708061100000002</v>
      </c>
      <c r="N2" s="131">
        <f>+INGEI!O22/1000</f>
        <v>54.708061100000002</v>
      </c>
    </row>
    <row r="3" spans="1:14" x14ac:dyDescent="0.25">
      <c r="A3" s="377" t="s">
        <v>395</v>
      </c>
      <c r="B3" s="78">
        <f>+INGEI!C4/1000</f>
        <v>-37.381303299999999</v>
      </c>
      <c r="C3" s="78">
        <f>+INGEI!D4/1000</f>
        <v>-37.381303299999999</v>
      </c>
      <c r="D3" s="78">
        <f>+INGEI!E4/1000</f>
        <v>-37.381303299999999</v>
      </c>
      <c r="E3" s="78">
        <f>+INGEI!F4/1000</f>
        <v>-37.381303299999999</v>
      </c>
      <c r="F3" s="78">
        <f>+INGEI!G4/1000</f>
        <v>-37.381303299999999</v>
      </c>
      <c r="G3" s="78">
        <f>+INGEI!H4/1000</f>
        <v>-50.955234336874994</v>
      </c>
      <c r="H3" s="78">
        <f>+INGEI!I4/1000</f>
        <v>-64.52916537374999</v>
      </c>
      <c r="I3" s="78">
        <f>+INGEI!J4/1000</f>
        <v>-77.357533330458338</v>
      </c>
      <c r="J3" s="78">
        <f>+INGEI!K4/1000</f>
        <v>-90.185901287166658</v>
      </c>
      <c r="K3" s="78">
        <f>+INGEI!L4/1000</f>
        <v>-4.8841189604166662</v>
      </c>
      <c r="L3" s="78">
        <f>+INGEI!M4/1000</f>
        <v>-4.8841189604166662</v>
      </c>
      <c r="M3" s="78">
        <f>+INGEI!N4/1000</f>
        <v>-1.165999593</v>
      </c>
      <c r="N3" s="78">
        <f>+INGEI!O4/1000</f>
        <v>-1.165999593</v>
      </c>
    </row>
    <row r="4" spans="1:14" x14ac:dyDescent="0.25">
      <c r="A4" s="374" t="s">
        <v>396</v>
      </c>
      <c r="B4" s="78">
        <f>+INGEI!C28/1000</f>
        <v>350.76867979999997</v>
      </c>
      <c r="C4" s="78">
        <f>+INGEI!D28/1000</f>
        <v>350.76867979999997</v>
      </c>
      <c r="D4" s="78">
        <f>+INGEI!E28/1000</f>
        <v>350.76867979999997</v>
      </c>
      <c r="E4" s="78">
        <f>+INGEI!F28/1000</f>
        <v>350.76867979999997</v>
      </c>
      <c r="F4" s="78">
        <f>+INGEI!G28/1000</f>
        <v>350.76867979999997</v>
      </c>
      <c r="G4" s="78">
        <f>+INGEI!H28/1000</f>
        <v>217.36673035000001</v>
      </c>
      <c r="H4" s="78">
        <f>+INGEI!I28/1000</f>
        <v>83.964780899999994</v>
      </c>
      <c r="I4" s="78">
        <f>+INGEI!J28/1000</f>
        <v>299.27519545000001</v>
      </c>
      <c r="J4" s="78">
        <f>+INGEI!K28/1000</f>
        <v>514.58560999999997</v>
      </c>
      <c r="K4" s="78">
        <f>+INGEI!L28/1000</f>
        <v>114.8681457</v>
      </c>
      <c r="L4" s="78">
        <f>+INGEI!M28/1000</f>
        <v>114.8681457</v>
      </c>
      <c r="M4" s="78">
        <f>+INGEI!N28/1000</f>
        <v>434.18952499999995</v>
      </c>
      <c r="N4" s="78">
        <f>+INGEI!O28/1000</f>
        <v>434.18952499999995</v>
      </c>
    </row>
    <row r="5" spans="1:14" x14ac:dyDescent="0.25">
      <c r="A5" s="376" t="s">
        <v>397</v>
      </c>
      <c r="B5" s="122">
        <f>+INGEI!C34/1000</f>
        <v>122.38824674999999</v>
      </c>
      <c r="C5" s="122">
        <f>+INGEI!D34/1000</f>
        <v>122.38824674999999</v>
      </c>
      <c r="D5" s="122">
        <f>+INGEI!E34/1000</f>
        <v>122.38824674999999</v>
      </c>
      <c r="E5" s="122">
        <f>+INGEI!F34/1000</f>
        <v>122.38824674999999</v>
      </c>
      <c r="F5" s="122">
        <f>+INGEI!G34/1000</f>
        <v>122.38824674999999</v>
      </c>
      <c r="G5" s="122">
        <f>+INGEI!H34/1000</f>
        <v>99.837172049999992</v>
      </c>
      <c r="H5" s="122">
        <f>+INGEI!I34/1000</f>
        <v>77.286097349999991</v>
      </c>
      <c r="I5" s="122">
        <f>+INGEI!J34/1000</f>
        <v>134.83606867499998</v>
      </c>
      <c r="J5" s="122">
        <f>+INGEI!K34/1000</f>
        <v>192.38603999999998</v>
      </c>
      <c r="K5" s="122">
        <f>+INGEI!L34/1000</f>
        <v>7.108801699999999</v>
      </c>
      <c r="L5" s="122">
        <f>+INGEI!M34/1000</f>
        <v>7.108801699999999</v>
      </c>
      <c r="M5" s="122">
        <f>+INGEI!N34/1000</f>
        <v>84.797150899999991</v>
      </c>
      <c r="N5" s="122">
        <f>+INGEI!O34/1000</f>
        <v>84.797150899999991</v>
      </c>
    </row>
    <row r="6" spans="1:14" x14ac:dyDescent="0.25">
      <c r="A6" s="378" t="s">
        <v>398</v>
      </c>
      <c r="B6" s="75">
        <f>+INGEI!C11/1000</f>
        <v>-79.317238000000003</v>
      </c>
      <c r="C6" s="75">
        <f>+INGEI!D11/1000</f>
        <v>-79.317238000000003</v>
      </c>
      <c r="D6" s="75">
        <f>+INGEI!E11/1000</f>
        <v>-79.317238000000003</v>
      </c>
      <c r="E6" s="75">
        <f>+INGEI!F11/1000</f>
        <v>-79.317238000000003</v>
      </c>
      <c r="F6" s="75">
        <f>+INGEI!G11/1000</f>
        <v>-79.317238000000003</v>
      </c>
      <c r="G6" s="75">
        <f>+INGEI!H11/1000</f>
        <v>-88.356983000000014</v>
      </c>
      <c r="H6" s="75">
        <f>+INGEI!I11/1000</f>
        <v>-97.396727999999996</v>
      </c>
      <c r="I6" s="75">
        <f>+INGEI!J11/1000</f>
        <v>-80.781796333333332</v>
      </c>
      <c r="J6" s="75">
        <f>+INGEI!K11/1000</f>
        <v>-64.166864666666655</v>
      </c>
      <c r="K6" s="75">
        <f>+INGEI!L11/1000</f>
        <v>-7.5826226666666674</v>
      </c>
      <c r="L6" s="75">
        <f>+INGEI!M11/1000</f>
        <v>-7.5826226666666674</v>
      </c>
      <c r="M6" s="75">
        <f>+INGEI!N11/1000</f>
        <v>-24.433695</v>
      </c>
      <c r="N6" s="75">
        <f>+INGEI!O11/1000</f>
        <v>-24.433695</v>
      </c>
    </row>
    <row r="7" spans="1:14" x14ac:dyDescent="0.25">
      <c r="A7" s="377" t="s">
        <v>399</v>
      </c>
      <c r="B7" s="75">
        <f>+INGEI!C17/1000</f>
        <v>-1.4666666666666666E-2</v>
      </c>
      <c r="C7" s="75">
        <f>+INGEI!D17/1000</f>
        <v>-1.4666666666666666E-2</v>
      </c>
      <c r="D7" s="75">
        <f>+INGEI!E17/1000</f>
        <v>-1.4666666666666666E-2</v>
      </c>
      <c r="E7" s="75">
        <f>+INGEI!F17/1000</f>
        <v>-1.4666666666666666E-2</v>
      </c>
      <c r="F7" s="75">
        <f>+INGEI!G17/1000</f>
        <v>-1.4666666666666666E-2</v>
      </c>
      <c r="G7" s="75">
        <f>+INGEI!H17/1000</f>
        <v>-1.4666666666666666E-2</v>
      </c>
      <c r="H7" s="75">
        <f>+INGEI!I17/1000</f>
        <v>-1.4666666666666666E-2</v>
      </c>
      <c r="I7" s="75">
        <f>+INGEI!J17/1000</f>
        <v>-1.4666666666666666E-2</v>
      </c>
      <c r="J7" s="75">
        <f>+INGEI!K17/1000</f>
        <v>-1.4666666666666666E-2</v>
      </c>
      <c r="K7" s="75">
        <f>+INGEI!L17/1000</f>
        <v>-1.4666666666666666E-2</v>
      </c>
      <c r="L7" s="75">
        <f>+INGEI!M17/1000</f>
        <v>-1.4666666666666666E-2</v>
      </c>
      <c r="M7" s="75">
        <f>+INGEI!N17/1000</f>
        <v>-1.4666666666666666E-2</v>
      </c>
      <c r="N7" s="75">
        <f>+INGEI!O17/1000</f>
        <v>-1.4666666666666666E-2</v>
      </c>
    </row>
    <row r="8" spans="1:14" x14ac:dyDescent="0.25">
      <c r="A8" s="375" t="s">
        <v>400</v>
      </c>
      <c r="B8" s="77">
        <f>+INGEI!C30/1000</f>
        <v>0</v>
      </c>
      <c r="C8" s="77">
        <f>+INGEI!D30/1000</f>
        <v>0</v>
      </c>
      <c r="D8" s="77">
        <f>+INGEI!E30/1000</f>
        <v>0</v>
      </c>
      <c r="E8" s="77">
        <f>+INGEI!F30/1000</f>
        <v>0</v>
      </c>
      <c r="F8" s="77">
        <f>+INGEI!G30/1000</f>
        <v>0</v>
      </c>
      <c r="G8" s="77">
        <f>+INGEI!H30/1000</f>
        <v>0</v>
      </c>
      <c r="H8" s="77">
        <f>+INGEI!I30/1000</f>
        <v>0</v>
      </c>
      <c r="I8" s="77">
        <f>+INGEI!J30/1000</f>
        <v>0</v>
      </c>
      <c r="J8" s="77">
        <f>+INGEI!K30/1000</f>
        <v>0</v>
      </c>
      <c r="K8" s="77">
        <f>+INGEI!L30/1000</f>
        <v>0</v>
      </c>
      <c r="L8" s="77">
        <f>+INGEI!M30/1000</f>
        <v>0</v>
      </c>
      <c r="M8" s="77">
        <f>+INGEI!N30/1000</f>
        <v>0</v>
      </c>
      <c r="N8" s="77">
        <f>+INGEI!O30/1000</f>
        <v>0</v>
      </c>
    </row>
    <row r="9" spans="1:14" x14ac:dyDescent="0.25">
      <c r="A9" s="376" t="s">
        <v>401</v>
      </c>
      <c r="B9" s="1">
        <f>+INGEI!C36/1000</f>
        <v>0</v>
      </c>
      <c r="C9" s="1">
        <f>+INGEI!D36/1000</f>
        <v>0</v>
      </c>
      <c r="D9" s="1">
        <f>+INGEI!E36/1000</f>
        <v>0</v>
      </c>
      <c r="E9" s="1">
        <f>+INGEI!F36/1000</f>
        <v>0</v>
      </c>
      <c r="F9" s="1">
        <f>+INGEI!G36/1000</f>
        <v>0</v>
      </c>
      <c r="G9" s="1">
        <f>+INGEI!H36/1000</f>
        <v>0</v>
      </c>
      <c r="H9" s="1">
        <f>+INGEI!I36/1000</f>
        <v>0</v>
      </c>
      <c r="I9" s="1">
        <f>+INGEI!J36/1000</f>
        <v>0</v>
      </c>
      <c r="J9" s="1">
        <f>+INGEI!K36/1000</f>
        <v>0</v>
      </c>
      <c r="K9" s="1">
        <f>+INGEI!L36/1000</f>
        <v>0</v>
      </c>
      <c r="L9" s="1">
        <f>+INGEI!M36/1000</f>
        <v>0</v>
      </c>
      <c r="M9" s="1">
        <f>+INGEI!N36/1000</f>
        <v>0</v>
      </c>
      <c r="N9" s="1">
        <f>+INGEI!O36/1000</f>
        <v>0</v>
      </c>
    </row>
    <row r="10" spans="1:14" ht="15.75" thickBot="1" x14ac:dyDescent="0.3">
      <c r="A10" s="380" t="s">
        <v>402</v>
      </c>
      <c r="B10">
        <f>+INGEI!C13/1000</f>
        <v>-12.207623999999999</v>
      </c>
      <c r="C10">
        <f>+INGEI!D13/1000</f>
        <v>-12.207623999999999</v>
      </c>
      <c r="D10">
        <f>+INGEI!E13/1000</f>
        <v>-12.207623999999999</v>
      </c>
      <c r="E10">
        <f>+INGEI!F13/1000</f>
        <v>-12.207623999999999</v>
      </c>
      <c r="F10">
        <f>+INGEI!G13/1000</f>
        <v>-12.207623999999999</v>
      </c>
      <c r="G10">
        <f>+INGEI!H13/1000</f>
        <v>-50.0962605</v>
      </c>
      <c r="H10">
        <f>+INGEI!I13/1000</f>
        <v>-87.984897000000004</v>
      </c>
      <c r="I10">
        <f>+INGEI!J13/1000</f>
        <v>-51.382640833333333</v>
      </c>
      <c r="J10">
        <f>+INGEI!K13/1000</f>
        <v>-14.780384666666668</v>
      </c>
      <c r="K10">
        <f>+INGEI!L13/1000</f>
        <v>-5.8031306666666671</v>
      </c>
      <c r="L10">
        <f>+INGEI!M13/1000</f>
        <v>-5.8031306666666671</v>
      </c>
      <c r="M10">
        <f>+INGEI!N13/1000</f>
        <v>-32.062172999999994</v>
      </c>
      <c r="N10">
        <f>+INGEI!O13/1000</f>
        <v>-32.062172999999994</v>
      </c>
    </row>
    <row r="11" spans="1:14" x14ac:dyDescent="0.25">
      <c r="A11" s="377" t="s">
        <v>403</v>
      </c>
      <c r="B11">
        <f>+INGEI!C19/1000</f>
        <v>-1.4666666666666666E-2</v>
      </c>
      <c r="C11">
        <f>+INGEI!D19/1000</f>
        <v>-1.4666666666666666E-2</v>
      </c>
      <c r="D11">
        <f>+INGEI!E19/1000</f>
        <v>-1.4666666666666666E-2</v>
      </c>
      <c r="E11">
        <f>+INGEI!F19/1000</f>
        <v>-1.4666666666666666E-2</v>
      </c>
      <c r="F11">
        <f>+INGEI!G19/1000</f>
        <v>-1.4666666666666666E-2</v>
      </c>
      <c r="G11">
        <f>+INGEI!H19/1000</f>
        <v>-1.4666666666666666E-2</v>
      </c>
      <c r="H11">
        <f>+INGEI!I19/1000</f>
        <v>-1.4666666666666666E-2</v>
      </c>
      <c r="I11">
        <f>+INGEI!J19/1000</f>
        <v>-1.4666666666666666E-2</v>
      </c>
      <c r="J11">
        <f>+INGEI!K19/1000</f>
        <v>-1.4666666666666666E-2</v>
      </c>
      <c r="K11">
        <f>+INGEI!L19/1000</f>
        <v>-1.4666666666666666E-2</v>
      </c>
      <c r="L11">
        <f>+INGEI!M19/1000</f>
        <v>-1.4666666666666666E-2</v>
      </c>
      <c r="M11">
        <f>+INGEI!N19/1000</f>
        <v>-1.4666666666666666E-2</v>
      </c>
      <c r="N11">
        <f>+INGEI!O19/1000</f>
        <v>-1.4666666666666666E-2</v>
      </c>
    </row>
    <row r="12" spans="1:14" ht="15.75" thickBot="1" x14ac:dyDescent="0.3">
      <c r="A12" s="379" t="s">
        <v>404</v>
      </c>
      <c r="B12">
        <f>+INGEI!C25/1000</f>
        <v>0</v>
      </c>
      <c r="C12">
        <f>+INGEI!D25/1000</f>
        <v>0</v>
      </c>
      <c r="D12">
        <f>+INGEI!E25/1000</f>
        <v>0</v>
      </c>
      <c r="E12">
        <f>+INGEI!F25/1000</f>
        <v>0</v>
      </c>
      <c r="F12">
        <f>+INGEI!G25/1000</f>
        <v>0</v>
      </c>
      <c r="G12">
        <f>+INGEI!H25/1000</f>
        <v>0</v>
      </c>
      <c r="H12">
        <f>+INGEI!I25/1000</f>
        <v>0</v>
      </c>
      <c r="I12">
        <f>+INGEI!J25/1000</f>
        <v>0</v>
      </c>
      <c r="J12">
        <f>+INGEI!K25/1000</f>
        <v>0</v>
      </c>
      <c r="K12">
        <f>+INGEI!L25/1000</f>
        <v>0</v>
      </c>
      <c r="L12">
        <f>+INGEI!M25/1000</f>
        <v>0</v>
      </c>
      <c r="M12">
        <f>+INGEI!N25/1000</f>
        <v>0</v>
      </c>
      <c r="N12">
        <f>+INGEI!O25/1000</f>
        <v>0</v>
      </c>
    </row>
    <row r="13" spans="1:14" x14ac:dyDescent="0.25">
      <c r="A13" s="375" t="s">
        <v>405</v>
      </c>
      <c r="B13">
        <f>+INGEI!C31/1000</f>
        <v>0</v>
      </c>
      <c r="C13">
        <f>+INGEI!D31/1000</f>
        <v>0</v>
      </c>
      <c r="D13">
        <f>+INGEI!E31/1000</f>
        <v>0</v>
      </c>
      <c r="E13">
        <f>+INGEI!F31/1000</f>
        <v>0</v>
      </c>
      <c r="F13">
        <f>+INGEI!G31/1000</f>
        <v>0</v>
      </c>
      <c r="G13">
        <f>+INGEI!H31/1000</f>
        <v>0</v>
      </c>
      <c r="H13">
        <f>+INGEI!I31/1000</f>
        <v>0</v>
      </c>
      <c r="I13">
        <f>+INGEI!J31/1000</f>
        <v>0</v>
      </c>
      <c r="J13">
        <f>+INGEI!K31/1000</f>
        <v>0</v>
      </c>
      <c r="K13">
        <f>+INGEI!L31/1000</f>
        <v>0</v>
      </c>
      <c r="L13">
        <f>+INGEI!M31/1000</f>
        <v>0</v>
      </c>
      <c r="M13">
        <f>+INGEI!N31/1000</f>
        <v>0</v>
      </c>
      <c r="N13">
        <f>+INGEI!O31/1000</f>
        <v>0</v>
      </c>
    </row>
    <row r="14" spans="1:14" x14ac:dyDescent="0.25">
      <c r="A14" s="378" t="s">
        <v>406</v>
      </c>
      <c r="B14">
        <f>+INGEI!C10/1000</f>
        <v>-64.379013600000022</v>
      </c>
      <c r="C14">
        <f>+INGEI!D10/1000</f>
        <v>-64.379013600000022</v>
      </c>
      <c r="D14">
        <f>+INGEI!E10/1000</f>
        <v>-64.379013600000022</v>
      </c>
      <c r="E14">
        <f>+INGEI!F10/1000</f>
        <v>-64.379013600000022</v>
      </c>
      <c r="F14">
        <f>+INGEI!G10/1000</f>
        <v>-64.379013600000022</v>
      </c>
      <c r="G14">
        <f>+INGEI!H10/1000</f>
        <v>-102.87236520000003</v>
      </c>
      <c r="H14">
        <f>+INGEI!I10/1000</f>
        <v>-141.36571680000003</v>
      </c>
      <c r="I14">
        <f>+INGEI!J10/1000</f>
        <v>-90.297332400000016</v>
      </c>
      <c r="J14">
        <f>+INGEI!K10/1000</f>
        <v>-39.228947999999995</v>
      </c>
      <c r="K14">
        <f>+INGEI!L10/1000</f>
        <v>-85.642682400000027</v>
      </c>
      <c r="L14">
        <f>+INGEI!M10/1000</f>
        <v>-85.642682400000027</v>
      </c>
      <c r="M14">
        <f>+INGEI!N10/1000</f>
        <v>-61.290345600000016</v>
      </c>
      <c r="N14">
        <f>+INGEI!O10/1000</f>
        <v>-61.290345600000016</v>
      </c>
    </row>
    <row r="15" spans="1:14" x14ac:dyDescent="0.25">
      <c r="A15" s="378" t="s">
        <v>398</v>
      </c>
      <c r="B15">
        <f>+INGEI!C11/1000</f>
        <v>-79.317238000000003</v>
      </c>
      <c r="C15">
        <f>+INGEI!D11/1000</f>
        <v>-79.317238000000003</v>
      </c>
      <c r="D15">
        <f>+INGEI!E11/1000</f>
        <v>-79.317238000000003</v>
      </c>
      <c r="E15">
        <f>+INGEI!F11/1000</f>
        <v>-79.317238000000003</v>
      </c>
      <c r="F15">
        <f>+INGEI!G11/1000</f>
        <v>-79.317238000000003</v>
      </c>
      <c r="G15">
        <f>+INGEI!H11/1000</f>
        <v>-88.356983000000014</v>
      </c>
      <c r="H15">
        <f>+INGEI!I11/1000</f>
        <v>-97.396727999999996</v>
      </c>
      <c r="I15">
        <f>+INGEI!J11/1000</f>
        <v>-80.781796333333332</v>
      </c>
      <c r="J15">
        <f>+INGEI!K11/1000</f>
        <v>-64.166864666666655</v>
      </c>
      <c r="K15">
        <f>+INGEI!L11/1000</f>
        <v>-7.5826226666666674</v>
      </c>
      <c r="L15">
        <f>+INGEI!M11/1000</f>
        <v>-7.5826226666666674</v>
      </c>
      <c r="M15">
        <f>+INGEI!N11/1000</f>
        <v>-24.433695</v>
      </c>
      <c r="N15">
        <f>+INGEI!O11/1000</f>
        <v>-24.433695</v>
      </c>
    </row>
    <row r="16" spans="1:14" x14ac:dyDescent="0.25">
      <c r="A16" s="378" t="s">
        <v>407</v>
      </c>
      <c r="B16">
        <f>+INGEI!C12/1000</f>
        <v>0</v>
      </c>
      <c r="C16">
        <f>+INGEI!D12/1000</f>
        <v>0</v>
      </c>
      <c r="D16">
        <f>+INGEI!E12/1000</f>
        <v>0</v>
      </c>
      <c r="E16">
        <f>+INGEI!F12/1000</f>
        <v>0</v>
      </c>
      <c r="F16">
        <f>+INGEI!G12/1000</f>
        <v>0</v>
      </c>
      <c r="G16">
        <f>+INGEI!H12/1000</f>
        <v>0</v>
      </c>
      <c r="H16">
        <f>+INGEI!I12/1000</f>
        <v>0</v>
      </c>
      <c r="I16">
        <f>+INGEI!J12/1000</f>
        <v>0</v>
      </c>
      <c r="J16">
        <f>+INGEI!K12/1000</f>
        <v>0</v>
      </c>
      <c r="K16">
        <f>+INGEI!L12/1000</f>
        <v>0</v>
      </c>
      <c r="L16">
        <f>+INGEI!M12/1000</f>
        <v>0</v>
      </c>
      <c r="M16">
        <f>+INGEI!N12/1000</f>
        <v>-2.5010700000000003</v>
      </c>
      <c r="N16">
        <f>+INGEI!O12/1000</f>
        <v>-2.5010700000000003</v>
      </c>
    </row>
    <row r="17" spans="1:14" ht="15.75" thickBot="1" x14ac:dyDescent="0.3">
      <c r="A17" s="380" t="s">
        <v>402</v>
      </c>
      <c r="B17">
        <f>+INGEI!C13/1000</f>
        <v>-12.207623999999999</v>
      </c>
      <c r="C17">
        <f>+INGEI!D13/1000</f>
        <v>-12.207623999999999</v>
      </c>
      <c r="D17">
        <f>+INGEI!E13/1000</f>
        <v>-12.207623999999999</v>
      </c>
      <c r="E17">
        <f>+INGEI!F13/1000</f>
        <v>-12.207623999999999</v>
      </c>
      <c r="F17">
        <f>+INGEI!G13/1000</f>
        <v>-12.207623999999999</v>
      </c>
      <c r="G17">
        <f>+INGEI!H13/1000</f>
        <v>-50.0962605</v>
      </c>
      <c r="H17">
        <f>+INGEI!I13/1000</f>
        <v>-87.984897000000004</v>
      </c>
      <c r="I17">
        <f>+INGEI!J13/1000</f>
        <v>-51.382640833333333</v>
      </c>
      <c r="J17">
        <f>+INGEI!K13/1000</f>
        <v>-14.780384666666668</v>
      </c>
      <c r="K17">
        <f>+INGEI!L13/1000</f>
        <v>-5.8031306666666671</v>
      </c>
      <c r="L17">
        <f>+INGEI!M13/1000</f>
        <v>-5.8031306666666671</v>
      </c>
      <c r="M17">
        <f>+INGEI!N13/1000</f>
        <v>-32.062172999999994</v>
      </c>
      <c r="N17">
        <f>+INGEI!O13/1000</f>
        <v>-32.062172999999994</v>
      </c>
    </row>
    <row r="18" spans="1:14" x14ac:dyDescent="0.25">
      <c r="A18" s="377" t="s">
        <v>395</v>
      </c>
      <c r="B18">
        <f>+INGEI!C16/1000</f>
        <v>-1.4666666666666666E-2</v>
      </c>
      <c r="C18">
        <f>+INGEI!D16/1000</f>
        <v>-1.4666666666666666E-2</v>
      </c>
      <c r="D18">
        <f>+INGEI!E16/1000</f>
        <v>-1.4666666666666666E-2</v>
      </c>
      <c r="E18">
        <f>+INGEI!F16/1000</f>
        <v>-1.4666666666666666E-2</v>
      </c>
      <c r="F18">
        <f>+INGEI!G16/1000</f>
        <v>-1.4666666666666666E-2</v>
      </c>
      <c r="G18">
        <f>+INGEI!H16/1000</f>
        <v>-1.4666666666666666E-2</v>
      </c>
      <c r="H18">
        <f>+INGEI!I16/1000</f>
        <v>-1.4666666666666666E-2</v>
      </c>
      <c r="I18">
        <f>+INGEI!J16/1000</f>
        <v>-1.4666666666666666E-2</v>
      </c>
      <c r="J18">
        <f>+INGEI!K16/1000</f>
        <v>-1.4666666666666666E-2</v>
      </c>
      <c r="K18">
        <f>+INGEI!L16/1000</f>
        <v>-1.4666666666666666E-2</v>
      </c>
      <c r="L18">
        <f>+INGEI!M16/1000</f>
        <v>-1.4666666666666666E-2</v>
      </c>
      <c r="M18">
        <f>+INGEI!N16/1000</f>
        <v>-1.4666666666666666E-2</v>
      </c>
      <c r="N18">
        <f>+INGEI!O16/1000</f>
        <v>-1.4666666666666666E-2</v>
      </c>
    </row>
    <row r="19" spans="1:14" x14ac:dyDescent="0.25">
      <c r="A19" s="377" t="s">
        <v>399</v>
      </c>
      <c r="B19">
        <f>+INGEI!C17/1000</f>
        <v>-1.4666666666666666E-2</v>
      </c>
      <c r="C19">
        <f>+INGEI!D17/1000</f>
        <v>-1.4666666666666666E-2</v>
      </c>
      <c r="D19">
        <f>+INGEI!E17/1000</f>
        <v>-1.4666666666666666E-2</v>
      </c>
      <c r="E19">
        <f>+INGEI!F17/1000</f>
        <v>-1.4666666666666666E-2</v>
      </c>
      <c r="F19">
        <f>+INGEI!G17/1000</f>
        <v>-1.4666666666666666E-2</v>
      </c>
      <c r="G19">
        <f>+INGEI!H17/1000</f>
        <v>-1.4666666666666666E-2</v>
      </c>
      <c r="H19">
        <f>+INGEI!I17/1000</f>
        <v>-1.4666666666666666E-2</v>
      </c>
      <c r="I19">
        <f>+INGEI!J17/1000</f>
        <v>-1.4666666666666666E-2</v>
      </c>
      <c r="J19">
        <f>+INGEI!K17/1000</f>
        <v>-1.4666666666666666E-2</v>
      </c>
      <c r="K19">
        <f>+INGEI!L17/1000</f>
        <v>-1.4666666666666666E-2</v>
      </c>
      <c r="L19">
        <f>+INGEI!M17/1000</f>
        <v>-1.4666666666666666E-2</v>
      </c>
      <c r="M19">
        <f>+INGEI!N17/1000</f>
        <v>-1.4666666666666666E-2</v>
      </c>
      <c r="N19">
        <f>+INGEI!O17/1000</f>
        <v>-1.4666666666666666E-2</v>
      </c>
    </row>
    <row r="20" spans="1:14" x14ac:dyDescent="0.25">
      <c r="A20" s="377" t="s">
        <v>403</v>
      </c>
      <c r="B20">
        <f>+INGEI!C19/1000</f>
        <v>-1.4666666666666666E-2</v>
      </c>
      <c r="C20">
        <f>+INGEI!D19/1000</f>
        <v>-1.4666666666666666E-2</v>
      </c>
      <c r="D20">
        <f>+INGEI!E19/1000</f>
        <v>-1.4666666666666666E-2</v>
      </c>
      <c r="E20">
        <f>+INGEI!F19/1000</f>
        <v>-1.4666666666666666E-2</v>
      </c>
      <c r="F20">
        <f>+INGEI!G19/1000</f>
        <v>-1.4666666666666666E-2</v>
      </c>
      <c r="G20">
        <f>+INGEI!H19/1000</f>
        <v>-1.4666666666666666E-2</v>
      </c>
      <c r="H20">
        <f>+INGEI!I19/1000</f>
        <v>-1.4666666666666666E-2</v>
      </c>
      <c r="I20">
        <f>+INGEI!J19/1000</f>
        <v>-1.4666666666666666E-2</v>
      </c>
      <c r="J20">
        <f>+INGEI!K19/1000</f>
        <v>-1.4666666666666666E-2</v>
      </c>
      <c r="K20">
        <f>+INGEI!L19/1000</f>
        <v>-1.4666666666666666E-2</v>
      </c>
      <c r="L20">
        <f>+INGEI!M19/1000</f>
        <v>-1.4666666666666666E-2</v>
      </c>
      <c r="M20">
        <f>+INGEI!N19/1000</f>
        <v>-1.4666666666666666E-2</v>
      </c>
      <c r="N20">
        <f>+INGEI!O19/1000</f>
        <v>-1.4666666666666666E-2</v>
      </c>
    </row>
    <row r="21" spans="1:14" x14ac:dyDescent="0.25">
      <c r="A21" s="376" t="s">
        <v>394</v>
      </c>
      <c r="B21">
        <f>+INGEI!C22/1000</f>
        <v>280.07585759999995</v>
      </c>
      <c r="C21">
        <f>+INGEI!D22/1000</f>
        <v>280.07585759999995</v>
      </c>
      <c r="D21">
        <f>+INGEI!E22/1000</f>
        <v>280.07585759999995</v>
      </c>
      <c r="E21">
        <f>+INGEI!F22/1000</f>
        <v>280.07585759999995</v>
      </c>
      <c r="F21">
        <f>+INGEI!G22/1000</f>
        <v>280.07585759999995</v>
      </c>
      <c r="G21">
        <f>+INGEI!H22/1000</f>
        <v>276.33779249999998</v>
      </c>
      <c r="H21">
        <f>+INGEI!I22/1000</f>
        <v>272.59972739999995</v>
      </c>
      <c r="I21">
        <f>+INGEI!J22/1000</f>
        <v>287.14521219999995</v>
      </c>
      <c r="J21">
        <f>+INGEI!K22/1000</f>
        <v>301.69069699999994</v>
      </c>
      <c r="K21">
        <f>+INGEI!L22/1000</f>
        <v>256.32255109999994</v>
      </c>
      <c r="L21">
        <f>+INGEI!M22/1000</f>
        <v>256.32255109999994</v>
      </c>
      <c r="M21">
        <f>+INGEI!N22/1000</f>
        <v>54.708061100000002</v>
      </c>
      <c r="N21">
        <f>+INGEI!O22/1000</f>
        <v>54.708061100000002</v>
      </c>
    </row>
    <row r="22" spans="1:14" x14ac:dyDescent="0.25">
      <c r="A22" s="376" t="s">
        <v>408</v>
      </c>
      <c r="B22">
        <f>+INGEI!C23/1000</f>
        <v>2.8969577999999996</v>
      </c>
      <c r="C22">
        <f>+INGEI!D23/1000</f>
        <v>2.8969577999999996</v>
      </c>
      <c r="D22">
        <f>+INGEI!E23/1000</f>
        <v>2.8969577999999996</v>
      </c>
      <c r="E22">
        <f>+INGEI!F23/1000</f>
        <v>2.8969577999999996</v>
      </c>
      <c r="F22">
        <f>+INGEI!G23/1000</f>
        <v>2.8969577999999996</v>
      </c>
      <c r="G22">
        <f>+INGEI!H23/1000</f>
        <v>4.5128068333333333</v>
      </c>
      <c r="H22">
        <f>+INGEI!I23/1000</f>
        <v>6.1286558666666666</v>
      </c>
      <c r="I22">
        <f>+INGEI!J23/1000</f>
        <v>3.6558793333333335</v>
      </c>
      <c r="J22">
        <f>+INGEI!K23/1000</f>
        <v>1.1831027999999999</v>
      </c>
      <c r="K22">
        <f>+INGEI!L23/1000</f>
        <v>7.2903203999999988</v>
      </c>
      <c r="L22">
        <f>+INGEI!M23/1000</f>
        <v>7.2903203999999988</v>
      </c>
      <c r="M22">
        <f>+INGEI!N23/1000</f>
        <v>0.94769546666666649</v>
      </c>
      <c r="N22">
        <f>+INGEI!O23/1000</f>
        <v>0.94769546666666649</v>
      </c>
    </row>
    <row r="23" spans="1:14" ht="15.75" thickBot="1" x14ac:dyDescent="0.3">
      <c r="A23" s="379" t="s">
        <v>404</v>
      </c>
      <c r="B23">
        <f>+INGEI!C25/1000</f>
        <v>0</v>
      </c>
      <c r="C23">
        <f>+INGEI!D25/1000</f>
        <v>0</v>
      </c>
      <c r="D23">
        <f>+INGEI!E25/1000</f>
        <v>0</v>
      </c>
      <c r="E23">
        <f>+INGEI!F25/1000</f>
        <v>0</v>
      </c>
      <c r="F23">
        <f>+INGEI!G25/1000</f>
        <v>0</v>
      </c>
      <c r="G23">
        <f>+INGEI!H25/1000</f>
        <v>0</v>
      </c>
      <c r="H23">
        <f>+INGEI!I25/1000</f>
        <v>0</v>
      </c>
      <c r="I23">
        <f>+INGEI!J25/1000</f>
        <v>0</v>
      </c>
      <c r="J23">
        <f>+INGEI!K25/1000</f>
        <v>0</v>
      </c>
      <c r="K23">
        <f>+INGEI!L25/1000</f>
        <v>0</v>
      </c>
      <c r="L23">
        <f>+INGEI!M25/1000</f>
        <v>0</v>
      </c>
      <c r="M23">
        <f>+INGEI!N25/1000</f>
        <v>0</v>
      </c>
      <c r="N23">
        <f>+INGEI!O25/1000</f>
        <v>0</v>
      </c>
    </row>
    <row r="24" spans="1:14" x14ac:dyDescent="0.25">
      <c r="A24" s="374" t="s">
        <v>405</v>
      </c>
      <c r="B24">
        <f>+INGEI!C31/1000</f>
        <v>0</v>
      </c>
      <c r="C24">
        <f>+INGEI!D31/1000</f>
        <v>0</v>
      </c>
      <c r="D24">
        <f>+INGEI!E31/1000</f>
        <v>0</v>
      </c>
      <c r="E24">
        <f>+INGEI!F31/1000</f>
        <v>0</v>
      </c>
      <c r="F24">
        <f>+INGEI!G31/1000</f>
        <v>0</v>
      </c>
      <c r="G24">
        <f>+INGEI!H31/1000</f>
        <v>0</v>
      </c>
      <c r="H24">
        <f>+INGEI!I31/1000</f>
        <v>0</v>
      </c>
      <c r="I24">
        <f>+INGEI!J31/1000</f>
        <v>0</v>
      </c>
      <c r="J24">
        <f>+INGEI!K31/1000</f>
        <v>0</v>
      </c>
      <c r="K24">
        <f>+INGEI!L31/1000</f>
        <v>0</v>
      </c>
      <c r="L24">
        <f>+INGEI!M31/1000</f>
        <v>0</v>
      </c>
      <c r="M24">
        <f>+INGEI!N31/1000</f>
        <v>0</v>
      </c>
      <c r="N24">
        <f>+INGEI!O31/1000</f>
        <v>0</v>
      </c>
    </row>
    <row r="25" spans="1:14" x14ac:dyDescent="0.25">
      <c r="A25" s="376" t="s">
        <v>397</v>
      </c>
      <c r="B25">
        <f>+INGEI!C34/1000</f>
        <v>122.38824674999999</v>
      </c>
      <c r="C25">
        <f>+INGEI!D34/1000</f>
        <v>122.38824674999999</v>
      </c>
      <c r="D25">
        <f>+INGEI!E34/1000</f>
        <v>122.38824674999999</v>
      </c>
      <c r="E25">
        <f>+INGEI!F34/1000</f>
        <v>122.38824674999999</v>
      </c>
      <c r="F25">
        <f>+INGEI!G34/1000</f>
        <v>122.38824674999999</v>
      </c>
      <c r="G25">
        <f>+INGEI!H34/1000</f>
        <v>99.837172049999992</v>
      </c>
      <c r="H25">
        <f>+INGEI!I34/1000</f>
        <v>77.286097349999991</v>
      </c>
      <c r="I25">
        <f>+INGEI!J34/1000</f>
        <v>134.83606867499998</v>
      </c>
      <c r="J25">
        <f>+INGEI!K34/1000</f>
        <v>192.38603999999998</v>
      </c>
      <c r="K25">
        <f>+INGEI!L34/1000</f>
        <v>7.108801699999999</v>
      </c>
      <c r="L25">
        <f>+INGEI!M34/1000</f>
        <v>7.108801699999999</v>
      </c>
      <c r="M25">
        <f>+INGEI!N34/1000</f>
        <v>84.797150899999991</v>
      </c>
      <c r="N25">
        <f>+INGEI!O34/1000</f>
        <v>84.797150899999991</v>
      </c>
    </row>
    <row r="26" spans="1:14" x14ac:dyDescent="0.25">
      <c r="A26" s="376" t="s">
        <v>409</v>
      </c>
      <c r="B26">
        <f>+INGEI!C35/1000</f>
        <v>7.9952326666666647</v>
      </c>
      <c r="C26">
        <f>+INGEI!D35/1000</f>
        <v>7.9952326666666647</v>
      </c>
      <c r="D26">
        <f>+INGEI!E35/1000</f>
        <v>7.9952326666666647</v>
      </c>
      <c r="E26">
        <f>+INGEI!F35/1000</f>
        <v>7.9952326666666647</v>
      </c>
      <c r="F26">
        <f>+INGEI!G35/1000</f>
        <v>7.9952326666666647</v>
      </c>
      <c r="G26">
        <f>+INGEI!H35/1000</f>
        <v>12.347269733333331</v>
      </c>
      <c r="H26">
        <f>+INGEI!I35/1000</f>
        <v>16.699306799999999</v>
      </c>
      <c r="I26">
        <f>+INGEI!J35/1000</f>
        <v>11.708361133333332</v>
      </c>
      <c r="J26">
        <f>+INGEI!K35/1000</f>
        <v>6.7174154666666652</v>
      </c>
      <c r="K26">
        <f>+INGEI!L35/1000</f>
        <v>3.1987824000000002</v>
      </c>
      <c r="L26">
        <f>+INGEI!M35/1000</f>
        <v>3.1987824000000002</v>
      </c>
      <c r="M26">
        <f>+INGEI!N35/1000</f>
        <v>3.2102942666666663</v>
      </c>
      <c r="N26">
        <f>+INGEI!O35/1000</f>
        <v>3.2102942666666663</v>
      </c>
    </row>
    <row r="27" spans="1:14" x14ac:dyDescent="0.25">
      <c r="A27" s="376" t="s">
        <v>401</v>
      </c>
      <c r="B27">
        <f>+INGEI!C36/1000</f>
        <v>0</v>
      </c>
      <c r="C27">
        <f>+INGEI!D36/1000</f>
        <v>0</v>
      </c>
      <c r="D27">
        <f>+INGEI!E36/1000</f>
        <v>0</v>
      </c>
      <c r="E27">
        <f>+INGEI!F36/1000</f>
        <v>0</v>
      </c>
      <c r="F27">
        <f>+INGEI!G36/1000</f>
        <v>0</v>
      </c>
      <c r="G27">
        <f>+INGEI!H36/1000</f>
        <v>0</v>
      </c>
      <c r="H27">
        <f>+INGEI!I36/1000</f>
        <v>0</v>
      </c>
      <c r="I27">
        <f>+INGEI!J36/1000</f>
        <v>0</v>
      </c>
      <c r="J27">
        <f>+INGEI!K36/1000</f>
        <v>0</v>
      </c>
      <c r="K27">
        <f>+INGEI!L36/1000</f>
        <v>0</v>
      </c>
      <c r="L27">
        <f>+INGEI!M36/1000</f>
        <v>0</v>
      </c>
      <c r="M27">
        <f>+INGEI!N36/1000</f>
        <v>0</v>
      </c>
      <c r="N27">
        <f>+INGEI!O36/1000</f>
        <v>0</v>
      </c>
    </row>
    <row r="29" spans="1:14" ht="15.75" x14ac:dyDescent="0.25">
      <c r="A29" s="119" t="s">
        <v>410</v>
      </c>
      <c r="B29" s="1">
        <v>2010</v>
      </c>
      <c r="C29" s="1">
        <v>2011</v>
      </c>
      <c r="D29" s="1">
        <v>2012</v>
      </c>
      <c r="E29" s="1">
        <v>2013</v>
      </c>
      <c r="F29" s="1">
        <v>2014</v>
      </c>
      <c r="G29" s="1">
        <v>2015</v>
      </c>
      <c r="H29" s="1">
        <v>2016</v>
      </c>
      <c r="I29" s="1">
        <v>2017</v>
      </c>
      <c r="J29" s="1">
        <v>2018</v>
      </c>
      <c r="K29" s="1">
        <v>2019</v>
      </c>
      <c r="L29" s="1">
        <v>2020</v>
      </c>
      <c r="M29" s="1">
        <v>2021</v>
      </c>
      <c r="N29" s="1">
        <v>2022</v>
      </c>
    </row>
    <row r="30" spans="1:14" s="132" customFormat="1" x14ac:dyDescent="0.25">
      <c r="A30" s="375" t="s">
        <v>394</v>
      </c>
      <c r="B30" s="131">
        <f>+'Cambio uso de suelo (BAU)'!D61</f>
        <v>7.7390400000000001</v>
      </c>
      <c r="C30" s="131">
        <f>+'Cambio uso de suelo (BAU)'!E61</f>
        <v>7.7390400000000001</v>
      </c>
      <c r="D30" s="131">
        <f>+'Cambio uso de suelo (BAU)'!F61</f>
        <v>7.7390400000000001</v>
      </c>
      <c r="E30" s="131">
        <f>+'Cambio uso de suelo (BAU)'!G61</f>
        <v>7.7390400000000001</v>
      </c>
      <c r="F30" s="131">
        <f>+'Cambio uso de suelo (BAU)'!H61</f>
        <v>7.7390400000000001</v>
      </c>
      <c r="G30" s="131">
        <f>+'Cambio uso de suelo (BAU)'!I61</f>
        <v>7.6357499999999998</v>
      </c>
      <c r="H30" s="131">
        <f>+'Cambio uso de suelo (BAU)'!J61</f>
        <v>7.5324600000000004</v>
      </c>
      <c r="I30" s="131">
        <f>+'Cambio uso de suelo (BAU)'!K61</f>
        <v>7.93438</v>
      </c>
      <c r="J30" s="131">
        <f>+'Cambio uso de suelo (BAU)'!L61</f>
        <v>8.3362999999999996</v>
      </c>
      <c r="K30" s="131">
        <f>+'Cambio uso de suelo (BAU)'!M61</f>
        <v>7.0826899999999995</v>
      </c>
      <c r="L30" s="131">
        <f>+'Cambio uso de suelo (BAU)'!N61</f>
        <v>7.0826899999999995</v>
      </c>
      <c r="M30" s="131">
        <f>+'Cambio uso de suelo (BAU)'!O61</f>
        <v>1.51169</v>
      </c>
      <c r="N30" s="131">
        <f>+'Cambio uso de suelo (BAU)'!P61</f>
        <v>1.51169</v>
      </c>
    </row>
    <row r="31" spans="1:14" x14ac:dyDescent="0.25">
      <c r="A31" s="377" t="s">
        <v>395</v>
      </c>
      <c r="B31" s="131">
        <f>+'Cambio uso de suelo (BAU)'!D62</f>
        <v>0.42025499999999999</v>
      </c>
      <c r="C31" s="131">
        <f>+'Cambio uso de suelo (BAU)'!E62</f>
        <v>0.42025499999999999</v>
      </c>
      <c r="D31" s="131">
        <f>+'Cambio uso de suelo (BAU)'!F62</f>
        <v>0.42025499999999999</v>
      </c>
      <c r="E31" s="131">
        <f>+'Cambio uso de suelo (BAU)'!G62</f>
        <v>0.42025499999999999</v>
      </c>
      <c r="F31" s="131">
        <f>+'Cambio uso de suelo (BAU)'!H62</f>
        <v>0.42025499999999999</v>
      </c>
      <c r="G31" s="131">
        <f>+'Cambio uso de suelo (BAU)'!I62</f>
        <v>0.65466250000000004</v>
      </c>
      <c r="H31" s="131">
        <f>+'Cambio uso de suelo (BAU)'!J62</f>
        <v>0.88907000000000003</v>
      </c>
      <c r="I31" s="131">
        <f>+'Cambio uso de suelo (BAU)'!K62</f>
        <v>0.53034999999999999</v>
      </c>
      <c r="J31" s="131">
        <f>+'Cambio uso de suelo (BAU)'!L62</f>
        <v>0.17163</v>
      </c>
      <c r="K31" s="131">
        <f>+'Cambio uso de suelo (BAU)'!M62</f>
        <v>1.0575899999999998</v>
      </c>
      <c r="L31" s="131">
        <f>+'Cambio uso de suelo (BAU)'!N62</f>
        <v>1.0575899999999998</v>
      </c>
      <c r="M31" s="131">
        <f>+'Cambio uso de suelo (BAU)'!O62</f>
        <v>0.13747999999999999</v>
      </c>
      <c r="N31" s="131">
        <f>+'Cambio uso de suelo (BAU)'!P62</f>
        <v>0.13747999999999999</v>
      </c>
    </row>
    <row r="32" spans="1:14" x14ac:dyDescent="0.25">
      <c r="A32" s="374" t="s">
        <v>396</v>
      </c>
      <c r="B32" s="131">
        <f>+'Cambio uso de suelo (BAU)'!D63</f>
        <v>1.8467899999999999</v>
      </c>
      <c r="C32" s="131">
        <f>+'Cambio uso de suelo (BAU)'!E63</f>
        <v>1.8467899999999999</v>
      </c>
      <c r="D32" s="131">
        <f>+'Cambio uso de suelo (BAU)'!F63</f>
        <v>1.8467899999999999</v>
      </c>
      <c r="E32" s="131">
        <f>+'Cambio uso de suelo (BAU)'!G63</f>
        <v>1.8467899999999999</v>
      </c>
      <c r="F32" s="131">
        <f>+'Cambio uso de suelo (BAU)'!H63</f>
        <v>1.8467899999999999</v>
      </c>
      <c r="G32" s="131">
        <f>+'Cambio uso de suelo (BAU)'!I63</f>
        <v>2.7446799999999998</v>
      </c>
      <c r="H32" s="131">
        <f>+'Cambio uso de suelo (BAU)'!J63</f>
        <v>3.6425700000000001</v>
      </c>
      <c r="I32" s="131">
        <f>+'Cambio uso de suelo (BAU)'!K63</f>
        <v>2.6642049999999999</v>
      </c>
      <c r="J32" s="131">
        <f>+'Cambio uso de suelo (BAU)'!L63</f>
        <v>1.68584</v>
      </c>
      <c r="K32" s="131">
        <f>+'Cambio uso de suelo (BAU)'!M63</f>
        <v>3.3127199999999997</v>
      </c>
      <c r="L32" s="131">
        <f>+'Cambio uso de suelo (BAU)'!N63</f>
        <v>3.3127199999999997</v>
      </c>
      <c r="M32" s="131">
        <f>+'Cambio uso de suelo (BAU)'!O63</f>
        <v>0.21803</v>
      </c>
      <c r="N32" s="131">
        <f>+'Cambio uso de suelo (BAU)'!P63</f>
        <v>0.21803</v>
      </c>
    </row>
    <row r="33" spans="1:14" x14ac:dyDescent="0.25">
      <c r="A33" s="376" t="s">
        <v>397</v>
      </c>
      <c r="B33" s="131">
        <f>+'Cambio uso de suelo (BAU)'!D64</f>
        <v>0</v>
      </c>
      <c r="C33" s="131">
        <f>+'Cambio uso de suelo (BAU)'!E64</f>
        <v>0</v>
      </c>
      <c r="D33" s="131">
        <f>+'Cambio uso de suelo (BAU)'!F64</f>
        <v>0</v>
      </c>
      <c r="E33" s="131">
        <f>+'Cambio uso de suelo (BAU)'!G64</f>
        <v>0</v>
      </c>
      <c r="F33" s="131">
        <f>+'Cambio uso de suelo (BAU)'!H64</f>
        <v>0</v>
      </c>
      <c r="G33" s="131">
        <f>+'Cambio uso de suelo (BAU)'!I64</f>
        <v>0</v>
      </c>
      <c r="H33" s="131">
        <f>+'Cambio uso de suelo (BAU)'!J64</f>
        <v>0</v>
      </c>
      <c r="I33" s="131">
        <f>+'Cambio uso de suelo (BAU)'!K64</f>
        <v>0</v>
      </c>
      <c r="J33" s="131">
        <f>+'Cambio uso de suelo (BAU)'!L64</f>
        <v>0</v>
      </c>
      <c r="K33" s="131">
        <f>+'Cambio uso de suelo (BAU)'!M64</f>
        <v>0</v>
      </c>
      <c r="L33" s="131">
        <f>+'Cambio uso de suelo (BAU)'!N64</f>
        <v>0</v>
      </c>
      <c r="M33" s="131">
        <f>+'Cambio uso de suelo (BAU)'!O64</f>
        <v>0</v>
      </c>
      <c r="N33" s="131">
        <f>+'Cambio uso de suelo (BAU)'!P64</f>
        <v>0</v>
      </c>
    </row>
    <row r="34" spans="1:14" x14ac:dyDescent="0.25">
      <c r="A34" s="378" t="s">
        <v>398</v>
      </c>
      <c r="B34" s="131">
        <f>+'Cambio uso de suelo (BAU)'!D65</f>
        <v>0</v>
      </c>
      <c r="C34" s="131">
        <f>+'Cambio uso de suelo (BAU)'!E65</f>
        <v>0</v>
      </c>
      <c r="D34" s="131">
        <f>+'Cambio uso de suelo (BAU)'!F65</f>
        <v>0</v>
      </c>
      <c r="E34" s="131">
        <f>+'Cambio uso de suelo (BAU)'!G65</f>
        <v>0</v>
      </c>
      <c r="F34" s="131">
        <f>+'Cambio uso de suelo (BAU)'!H65</f>
        <v>0</v>
      </c>
      <c r="G34" s="131">
        <f>+'Cambio uso de suelo (BAU)'!I65</f>
        <v>0</v>
      </c>
      <c r="H34" s="131">
        <f>+'Cambio uso de suelo (BAU)'!J65</f>
        <v>0</v>
      </c>
      <c r="I34" s="131">
        <f>+'Cambio uso de suelo (BAU)'!K65</f>
        <v>5.1974999999999999E-3</v>
      </c>
      <c r="J34" s="131">
        <f>+'Cambio uso de suelo (BAU)'!L65</f>
        <v>1.0395E-2</v>
      </c>
      <c r="K34" s="131">
        <f>+'Cambio uso de suelo (BAU)'!M65</f>
        <v>7.5199999999999998E-3</v>
      </c>
      <c r="L34" s="131">
        <f>+'Cambio uso de suelo (BAU)'!N65</f>
        <v>7.5199999999999998E-3</v>
      </c>
      <c r="M34" s="131">
        <f>+'Cambio uso de suelo (BAU)'!O65</f>
        <v>0</v>
      </c>
      <c r="N34" s="131">
        <f>+'Cambio uso de suelo (BAU)'!P65</f>
        <v>0</v>
      </c>
    </row>
    <row r="35" spans="1:14" x14ac:dyDescent="0.25">
      <c r="A35" s="377" t="s">
        <v>399</v>
      </c>
      <c r="B35" s="131">
        <f>+'Cambio uso de suelo (BAU)'!D66</f>
        <v>0.39</v>
      </c>
      <c r="C35" s="131">
        <f>+'Cambio uso de suelo (BAU)'!E66</f>
        <v>0.39</v>
      </c>
      <c r="D35" s="131">
        <f>+'Cambio uso de suelo (BAU)'!F66</f>
        <v>0.39</v>
      </c>
      <c r="E35" s="131">
        <f>+'Cambio uso de suelo (BAU)'!G66</f>
        <v>0.39</v>
      </c>
      <c r="F35" s="131">
        <f>+'Cambio uso de suelo (BAU)'!H66</f>
        <v>0.39</v>
      </c>
      <c r="G35" s="131">
        <f>+'Cambio uso de suelo (BAU)'!I66</f>
        <v>0.23250750000000001</v>
      </c>
      <c r="H35" s="131">
        <f>+'Cambio uso de suelo (BAU)'!J66</f>
        <v>7.5014999999999998E-2</v>
      </c>
      <c r="I35" s="131">
        <f>+'Cambio uso de suelo (BAU)'!K66</f>
        <v>7.5240000000000001E-2</v>
      </c>
      <c r="J35" s="131">
        <f>+'Cambio uso de suelo (BAU)'!L66</f>
        <v>7.5465000000000004E-2</v>
      </c>
      <c r="K35" s="131">
        <f>+'Cambio uso de suelo (BAU)'!M66</f>
        <v>0.52766999999999997</v>
      </c>
      <c r="L35" s="131">
        <f>+'Cambio uso de suelo (BAU)'!N66</f>
        <v>0.52766999999999997</v>
      </c>
      <c r="M35" s="131">
        <f>+'Cambio uso de suelo (BAU)'!O66</f>
        <v>0.80249000000000004</v>
      </c>
      <c r="N35" s="131">
        <f>+'Cambio uso de suelo (BAU)'!P66</f>
        <v>0.80249000000000004</v>
      </c>
    </row>
    <row r="36" spans="1:14" x14ac:dyDescent="0.25">
      <c r="A36" s="375" t="s">
        <v>400</v>
      </c>
      <c r="B36" s="131">
        <f>+'Cambio uso de suelo (BAU)'!D67</f>
        <v>4.2464999999999996E-2</v>
      </c>
      <c r="C36" s="131">
        <f>+'Cambio uso de suelo (BAU)'!E67</f>
        <v>4.2464999999999996E-2</v>
      </c>
      <c r="D36" s="131">
        <f>+'Cambio uso de suelo (BAU)'!F67</f>
        <v>4.2464999999999996E-2</v>
      </c>
      <c r="E36" s="131">
        <f>+'Cambio uso de suelo (BAU)'!G67</f>
        <v>4.2464999999999996E-2</v>
      </c>
      <c r="F36" s="131">
        <f>+'Cambio uso de suelo (BAU)'!H67</f>
        <v>4.2464999999999996E-2</v>
      </c>
      <c r="G36" s="131">
        <f>+'Cambio uso de suelo (BAU)'!I67</f>
        <v>5.4824999999999999E-2</v>
      </c>
      <c r="H36" s="131">
        <f>+'Cambio uso de suelo (BAU)'!J67</f>
        <v>6.7185000000000009E-2</v>
      </c>
      <c r="I36" s="131">
        <f>+'Cambio uso de suelo (BAU)'!K67</f>
        <v>8.9032500000000001E-2</v>
      </c>
      <c r="J36" s="131">
        <f>+'Cambio uso de suelo (BAU)'!L67</f>
        <v>0.11087999999999999</v>
      </c>
      <c r="K36" s="131">
        <f>+'Cambio uso de suelo (BAU)'!M67</f>
        <v>5.9400000000000001E-2</v>
      </c>
      <c r="L36" s="131">
        <f>+'Cambio uso de suelo (BAU)'!N67</f>
        <v>5.9400000000000001E-2</v>
      </c>
      <c r="M36" s="131">
        <f>+'Cambio uso de suelo (BAU)'!O67</f>
        <v>0.12343999999999999</v>
      </c>
      <c r="N36" s="131">
        <f>+'Cambio uso de suelo (BAU)'!P67</f>
        <v>0.12343999999999999</v>
      </c>
    </row>
    <row r="37" spans="1:14" x14ac:dyDescent="0.25">
      <c r="A37" s="376" t="s">
        <v>401</v>
      </c>
      <c r="B37" s="131">
        <f>+'Cambio uso de suelo (BAU)'!D68</f>
        <v>5.1254999999999995E-2</v>
      </c>
      <c r="C37" s="131">
        <f>+'Cambio uso de suelo (BAU)'!E68</f>
        <v>5.1254999999999995E-2</v>
      </c>
      <c r="D37" s="131">
        <f>+'Cambio uso de suelo (BAU)'!F68</f>
        <v>5.1254999999999995E-2</v>
      </c>
      <c r="E37" s="131">
        <f>+'Cambio uso de suelo (BAU)'!G68</f>
        <v>5.1254999999999995E-2</v>
      </c>
      <c r="F37" s="131">
        <f>+'Cambio uso de suelo (BAU)'!H68</f>
        <v>5.1254999999999995E-2</v>
      </c>
      <c r="G37" s="131">
        <f>+'Cambio uso de suelo (BAU)'!I68</f>
        <v>4.895999999999999E-2</v>
      </c>
      <c r="H37" s="131">
        <f>+'Cambio uso de suelo (BAU)'!J68</f>
        <v>4.6664999999999991E-2</v>
      </c>
      <c r="I37" s="131">
        <f>+'Cambio uso de suelo (BAU)'!K68</f>
        <v>6.1717499999999995E-2</v>
      </c>
      <c r="J37" s="131">
        <f>+'Cambio uso de suelo (BAU)'!L68</f>
        <v>7.6769999999999991E-2</v>
      </c>
      <c r="K37" s="131">
        <f>+'Cambio uso de suelo (BAU)'!M68</f>
        <v>9.9449999999999997E-2</v>
      </c>
      <c r="L37" s="131">
        <f>+'Cambio uso de suelo (BAU)'!N68</f>
        <v>9.9449999999999997E-2</v>
      </c>
      <c r="M37" s="131">
        <f>+'Cambio uso de suelo (BAU)'!O68</f>
        <v>0.13855999999999999</v>
      </c>
      <c r="N37" s="131">
        <f>+'Cambio uso de suelo (BAU)'!P68</f>
        <v>0.13855999999999999</v>
      </c>
    </row>
    <row r="38" spans="1:14" ht="15.75" thickBot="1" x14ac:dyDescent="0.3">
      <c r="A38" s="380" t="s">
        <v>402</v>
      </c>
      <c r="B38" s="131">
        <f>+'Cambio uso de suelo (BAU)'!D69</f>
        <v>1.806E-2</v>
      </c>
      <c r="C38" s="131">
        <f>+'Cambio uso de suelo (BAU)'!E69</f>
        <v>1.806E-2</v>
      </c>
      <c r="D38" s="131">
        <f>+'Cambio uso de suelo (BAU)'!F69</f>
        <v>1.806E-2</v>
      </c>
      <c r="E38" s="131">
        <f>+'Cambio uso de suelo (BAU)'!G69</f>
        <v>1.806E-2</v>
      </c>
      <c r="F38" s="131">
        <f>+'Cambio uso de suelo (BAU)'!H69</f>
        <v>1.806E-2</v>
      </c>
      <c r="G38" s="131">
        <f>+'Cambio uso de suelo (BAU)'!I69</f>
        <v>2.1292499999999999E-2</v>
      </c>
      <c r="H38" s="131">
        <f>+'Cambio uso de suelo (BAU)'!J69</f>
        <v>2.4525000000000002E-2</v>
      </c>
      <c r="I38" s="131">
        <f>+'Cambio uso de suelo (BAU)'!K69</f>
        <v>2.8170000000000001E-2</v>
      </c>
      <c r="J38" s="131">
        <f>+'Cambio uso de suelo (BAU)'!L69</f>
        <v>3.1814999999999996E-2</v>
      </c>
      <c r="K38" s="131">
        <f>+'Cambio uso de suelo (BAU)'!M69</f>
        <v>3.9649999999999998E-2</v>
      </c>
      <c r="L38" s="131">
        <f>+'Cambio uso de suelo (BAU)'!N69</f>
        <v>3.9649999999999998E-2</v>
      </c>
      <c r="M38" s="131">
        <f>+'Cambio uso de suelo (BAU)'!O69</f>
        <v>5.4000000000000001E-4</v>
      </c>
      <c r="N38" s="131">
        <f>+'Cambio uso de suelo (BAU)'!P69</f>
        <v>5.4000000000000001E-4</v>
      </c>
    </row>
    <row r="39" spans="1:14" x14ac:dyDescent="0.25">
      <c r="A39" s="377" t="s">
        <v>403</v>
      </c>
      <c r="B39" s="131">
        <f>+'Cambio uso de suelo (BAU)'!D70</f>
        <v>0.10255500000000001</v>
      </c>
      <c r="C39" s="131">
        <f>+'Cambio uso de suelo (BAU)'!E70</f>
        <v>0.10255500000000001</v>
      </c>
      <c r="D39" s="131">
        <f>+'Cambio uso de suelo (BAU)'!F70</f>
        <v>0.10255500000000001</v>
      </c>
      <c r="E39" s="131">
        <f>+'Cambio uso de suelo (BAU)'!G70</f>
        <v>0.10255500000000001</v>
      </c>
      <c r="F39" s="131">
        <f>+'Cambio uso de suelo (BAU)'!H70</f>
        <v>0.10255500000000001</v>
      </c>
      <c r="G39" s="131">
        <f>+'Cambio uso de suelo (BAU)'!I70</f>
        <v>0.107235</v>
      </c>
      <c r="H39" s="131">
        <f>+'Cambio uso de suelo (BAU)'!J70</f>
        <v>0.111915</v>
      </c>
      <c r="I39" s="131">
        <f>+'Cambio uso de suelo (BAU)'!K70</f>
        <v>0.15797249999999999</v>
      </c>
      <c r="J39" s="131">
        <f>+'Cambio uso de suelo (BAU)'!L70</f>
        <v>0.20402999999999999</v>
      </c>
      <c r="K39" s="131">
        <f>+'Cambio uso de suelo (BAU)'!M70</f>
        <v>0.30074000000000001</v>
      </c>
      <c r="L39" s="131">
        <f>+'Cambio uso de suelo (BAU)'!N70</f>
        <v>0.30074000000000001</v>
      </c>
      <c r="M39" s="131">
        <f>+'Cambio uso de suelo (BAU)'!O70</f>
        <v>0.86197999999999997</v>
      </c>
      <c r="N39" s="131">
        <f>+'Cambio uso de suelo (BAU)'!P70</f>
        <v>0.86197999999999997</v>
      </c>
    </row>
    <row r="40" spans="1:14" ht="15.75" thickBot="1" x14ac:dyDescent="0.3">
      <c r="A40" s="379" t="s">
        <v>404</v>
      </c>
      <c r="B40" s="131">
        <f>+'Cambio uso de suelo (BAU)'!D71</f>
        <v>3.0825000000000002E-2</v>
      </c>
      <c r="C40" s="131">
        <f>+'Cambio uso de suelo (BAU)'!E71</f>
        <v>3.0825000000000002E-2</v>
      </c>
      <c r="D40" s="131">
        <f>+'Cambio uso de suelo (BAU)'!F71</f>
        <v>3.0825000000000002E-2</v>
      </c>
      <c r="E40" s="131">
        <f>+'Cambio uso de suelo (BAU)'!G71</f>
        <v>3.0825000000000002E-2</v>
      </c>
      <c r="F40" s="131">
        <f>+'Cambio uso de suelo (BAU)'!H71</f>
        <v>3.0825000000000002E-2</v>
      </c>
      <c r="G40" s="131">
        <f>+'Cambio uso de suelo (BAU)'!I71</f>
        <v>2.2770000000000002E-2</v>
      </c>
      <c r="H40" s="131">
        <f>+'Cambio uso de suelo (BAU)'!J71</f>
        <v>1.4715000000000001E-2</v>
      </c>
      <c r="I40" s="131">
        <f>+'Cambio uso de suelo (BAU)'!K71</f>
        <v>1.8090000000000002E-2</v>
      </c>
      <c r="J40" s="131">
        <f>+'Cambio uso de suelo (BAU)'!L71</f>
        <v>2.1465000000000001E-2</v>
      </c>
      <c r="K40" s="131">
        <f>+'Cambio uso de suelo (BAU)'!M71</f>
        <v>3.3979999999999996E-2</v>
      </c>
      <c r="L40" s="131">
        <f>+'Cambio uso de suelo (BAU)'!N71</f>
        <v>3.3979999999999996E-2</v>
      </c>
      <c r="M40" s="131">
        <f>+'Cambio uso de suelo (BAU)'!O71</f>
        <v>0.20155999999999999</v>
      </c>
      <c r="N40" s="131">
        <f>+'Cambio uso de suelo (BAU)'!P71</f>
        <v>0.20155999999999999</v>
      </c>
    </row>
    <row r="41" spans="1:14" x14ac:dyDescent="0.25">
      <c r="A41" s="375" t="s">
        <v>405</v>
      </c>
      <c r="B41" s="131">
        <f>+'Cambio uso de suelo (BAU)'!D72</f>
        <v>3.363E-2</v>
      </c>
      <c r="C41" s="131">
        <f>+'Cambio uso de suelo (BAU)'!E72</f>
        <v>3.363E-2</v>
      </c>
      <c r="D41" s="131">
        <f>+'Cambio uso de suelo (BAU)'!F72</f>
        <v>3.363E-2</v>
      </c>
      <c r="E41" s="131">
        <f>+'Cambio uso de suelo (BAU)'!G72</f>
        <v>3.363E-2</v>
      </c>
      <c r="F41" s="131">
        <f>+'Cambio uso de suelo (BAU)'!H72</f>
        <v>3.363E-2</v>
      </c>
      <c r="G41" s="131">
        <f>+'Cambio uso de suelo (BAU)'!I72</f>
        <v>2.08425E-2</v>
      </c>
      <c r="H41" s="131">
        <f>+'Cambio uso de suelo (BAU)'!J72</f>
        <v>8.0549999999999997E-3</v>
      </c>
      <c r="I41" s="131">
        <f>+'Cambio uso de suelo (BAU)'!K72</f>
        <v>1.16775E-2</v>
      </c>
      <c r="J41" s="131">
        <f>+'Cambio uso de suelo (BAU)'!L72</f>
        <v>1.5300000000000001E-2</v>
      </c>
      <c r="K41" s="131">
        <f>+'Cambio uso de suelo (BAU)'!M72</f>
        <v>2.2107199999999998</v>
      </c>
      <c r="L41" s="131">
        <f>+'Cambio uso de suelo (BAU)'!N72</f>
        <v>2.2107199999999998</v>
      </c>
      <c r="M41" s="131">
        <f>+'Cambio uso de suelo (BAU)'!O72</f>
        <v>7.8709999999999988E-2</v>
      </c>
      <c r="N41" s="131">
        <f>+'Cambio uso de suelo (BAU)'!P72</f>
        <v>7.8709999999999988E-2</v>
      </c>
    </row>
    <row r="42" spans="1:14" x14ac:dyDescent="0.25">
      <c r="A42" s="378" t="s">
        <v>406</v>
      </c>
      <c r="B42" s="131">
        <f>+'Cambio uso de suelo (BAU)'!D73</f>
        <v>1.83E-3</v>
      </c>
      <c r="C42" s="131">
        <f>+'Cambio uso de suelo (BAU)'!E73</f>
        <v>1.83E-3</v>
      </c>
      <c r="D42" s="131">
        <f>+'Cambio uso de suelo (BAU)'!F73</f>
        <v>1.83E-3</v>
      </c>
      <c r="E42" s="131">
        <f>+'Cambio uso de suelo (BAU)'!G73</f>
        <v>1.83E-3</v>
      </c>
      <c r="F42" s="131">
        <f>+'Cambio uso de suelo (BAU)'!H73</f>
        <v>1.83E-3</v>
      </c>
      <c r="G42" s="131">
        <f>+'Cambio uso de suelo (BAU)'!I73</f>
        <v>2.5799999999999998E-3</v>
      </c>
      <c r="H42" s="131">
        <f>+'Cambio uso de suelo (BAU)'!J73</f>
        <v>3.3300000000000001E-3</v>
      </c>
      <c r="I42" s="131">
        <f>+'Cambio uso de suelo (BAU)'!K73</f>
        <v>4.6575000000000002E-3</v>
      </c>
      <c r="J42" s="131">
        <f>+'Cambio uso de suelo (BAU)'!L73</f>
        <v>5.9850000000000007E-3</v>
      </c>
      <c r="K42" s="131">
        <f>+'Cambio uso de suelo (BAU)'!M73</f>
        <v>6.5300000000000002E-3</v>
      </c>
      <c r="L42" s="131">
        <f>+'Cambio uso de suelo (BAU)'!N73</f>
        <v>6.5300000000000002E-3</v>
      </c>
      <c r="M42" s="131">
        <f>+'Cambio uso de suelo (BAU)'!O73</f>
        <v>1.323E-2</v>
      </c>
      <c r="N42" s="131">
        <f>+'Cambio uso de suelo (BAU)'!P73</f>
        <v>1.323E-2</v>
      </c>
    </row>
    <row r="43" spans="1:14" x14ac:dyDescent="0.25">
      <c r="A43" s="378" t="s">
        <v>398</v>
      </c>
      <c r="B43" s="131">
        <f>+'Cambio uso de suelo (BAU)'!D74</f>
        <v>2.0579999999999998E-2</v>
      </c>
      <c r="C43" s="131">
        <f>+'Cambio uso de suelo (BAU)'!E74</f>
        <v>2.0579999999999998E-2</v>
      </c>
      <c r="D43" s="131">
        <f>+'Cambio uso de suelo (BAU)'!F74</f>
        <v>2.0579999999999998E-2</v>
      </c>
      <c r="E43" s="131">
        <f>+'Cambio uso de suelo (BAU)'!G74</f>
        <v>2.0579999999999998E-2</v>
      </c>
      <c r="F43" s="131">
        <f>+'Cambio uso de suelo (BAU)'!H74</f>
        <v>2.0579999999999998E-2</v>
      </c>
      <c r="G43" s="131">
        <f>+'Cambio uso de suelo (BAU)'!I74</f>
        <v>4.4920000000000002E-2</v>
      </c>
      <c r="H43" s="131">
        <f>+'Cambio uso de suelo (BAU)'!J74</f>
        <v>6.9260000000000002E-2</v>
      </c>
      <c r="I43" s="131">
        <f>+'Cambio uso de suelo (BAU)'!K74</f>
        <v>0.12287500000000001</v>
      </c>
      <c r="J43" s="131">
        <f>+'Cambio uso de suelo (BAU)'!L74</f>
        <v>0.17649000000000001</v>
      </c>
      <c r="K43" s="131">
        <f>+'Cambio uso de suelo (BAU)'!M74</f>
        <v>5.3460000000000001E-2</v>
      </c>
      <c r="L43" s="131">
        <f>+'Cambio uso de suelo (BAU)'!N74</f>
        <v>5.3460000000000001E-2</v>
      </c>
      <c r="M43" s="131">
        <f>+'Cambio uso de suelo (BAU)'!O74</f>
        <v>1.098E-2</v>
      </c>
      <c r="N43" s="131">
        <f>+'Cambio uso de suelo (BAU)'!P74</f>
        <v>1.098E-2</v>
      </c>
    </row>
    <row r="44" spans="1:14" x14ac:dyDescent="0.25">
      <c r="A44" s="378" t="s">
        <v>407</v>
      </c>
      <c r="B44" s="131">
        <f>+'Cambio uso de suelo (BAU)'!D75</f>
        <v>9.6924200000000003</v>
      </c>
      <c r="C44" s="131">
        <f>+'Cambio uso de suelo (BAU)'!E75</f>
        <v>9.6924200000000003</v>
      </c>
      <c r="D44" s="131">
        <f>+'Cambio uso de suelo (BAU)'!F75</f>
        <v>9.6924200000000003</v>
      </c>
      <c r="E44" s="131">
        <f>+'Cambio uso de suelo (BAU)'!G75</f>
        <v>9.6924200000000003</v>
      </c>
      <c r="F44" s="131">
        <f>+'Cambio uso de suelo (BAU)'!H75</f>
        <v>9.6924200000000003</v>
      </c>
      <c r="G44" s="131">
        <f>+'Cambio uso de suelo (BAU)'!I75</f>
        <v>6.006265</v>
      </c>
      <c r="H44" s="131">
        <f>+'Cambio uso de suelo (BAU)'!J75</f>
        <v>2.3201100000000001</v>
      </c>
      <c r="I44" s="131">
        <f>+'Cambio uso de suelo (BAU)'!K75</f>
        <v>8.2695550000000004</v>
      </c>
      <c r="J44" s="131">
        <f>+'Cambio uso de suelo (BAU)'!L75</f>
        <v>14.218999999999999</v>
      </c>
      <c r="K44" s="131">
        <f>+'Cambio uso de suelo (BAU)'!M75</f>
        <v>3.1740300000000001</v>
      </c>
      <c r="L44" s="131">
        <f>+'Cambio uso de suelo (BAU)'!N75</f>
        <v>3.1740300000000001</v>
      </c>
      <c r="M44" s="131">
        <f>+'Cambio uso de suelo (BAU)'!O75</f>
        <v>11.9975</v>
      </c>
      <c r="N44" s="131">
        <f>+'Cambio uso de suelo (BAU)'!P75</f>
        <v>11.9975</v>
      </c>
    </row>
    <row r="45" spans="1:14" ht="15.75" thickBot="1" x14ac:dyDescent="0.3">
      <c r="A45" s="380" t="s">
        <v>402</v>
      </c>
      <c r="B45" s="131">
        <f>+'Cambio uso de suelo (BAU)'!D76</f>
        <v>0.61460999999999999</v>
      </c>
      <c r="C45" s="131">
        <f>+'Cambio uso de suelo (BAU)'!E76</f>
        <v>0.61460999999999999</v>
      </c>
      <c r="D45" s="131">
        <f>+'Cambio uso de suelo (BAU)'!F76</f>
        <v>0.61460999999999999</v>
      </c>
      <c r="E45" s="131">
        <f>+'Cambio uso de suelo (BAU)'!G76</f>
        <v>0.61460999999999999</v>
      </c>
      <c r="F45" s="131">
        <f>+'Cambio uso de suelo (BAU)'!H76</f>
        <v>0.61460999999999999</v>
      </c>
      <c r="G45" s="131">
        <f>+'Cambio uso de suelo (BAU)'!I76</f>
        <v>0.48188500000000001</v>
      </c>
      <c r="H45" s="131">
        <f>+'Cambio uso de suelo (BAU)'!J76</f>
        <v>0.34916000000000003</v>
      </c>
      <c r="I45" s="131">
        <f>+'Cambio uso de suelo (BAU)'!K76</f>
        <v>0.31482500000000002</v>
      </c>
      <c r="J45" s="131">
        <f>+'Cambio uso de suelo (BAU)'!L76</f>
        <v>0.28049000000000002</v>
      </c>
      <c r="K45" s="131">
        <f>+'Cambio uso de suelo (BAU)'!M76</f>
        <v>0.23099</v>
      </c>
      <c r="L45" s="131">
        <f>+'Cambio uso de suelo (BAU)'!N76</f>
        <v>0.23099</v>
      </c>
      <c r="M45" s="131">
        <f>+'Cambio uso de suelo (BAU)'!O76</f>
        <v>1.93581</v>
      </c>
      <c r="N45" s="131">
        <f>+'Cambio uso de suelo (BAU)'!P76</f>
        <v>1.93581</v>
      </c>
    </row>
    <row r="46" spans="1:14" x14ac:dyDescent="0.25">
      <c r="A46" s="377" t="s">
        <v>395</v>
      </c>
      <c r="B46" s="131">
        <f>+'Cambio uso de suelo (BAU)'!D77</f>
        <v>0.27576000000000001</v>
      </c>
      <c r="C46" s="131">
        <f>+'Cambio uso de suelo (BAU)'!E77</f>
        <v>0.27576000000000001</v>
      </c>
      <c r="D46" s="131">
        <f>+'Cambio uso de suelo (BAU)'!F77</f>
        <v>0.27576000000000001</v>
      </c>
      <c r="E46" s="131">
        <f>+'Cambio uso de suelo (BAU)'!G77</f>
        <v>0.27576000000000001</v>
      </c>
      <c r="F46" s="131">
        <f>+'Cambio uso de suelo (BAU)'!H77</f>
        <v>0.27576000000000001</v>
      </c>
      <c r="G46" s="131">
        <f>+'Cambio uso de suelo (BAU)'!I77</f>
        <v>0.26145000000000002</v>
      </c>
      <c r="H46" s="131">
        <f>+'Cambio uso de suelo (BAU)'!J77</f>
        <v>0.24714</v>
      </c>
      <c r="I46" s="131">
        <f>+'Cambio uso de suelo (BAU)'!K77</f>
        <v>0.34535500000000002</v>
      </c>
      <c r="J46" s="131">
        <f>+'Cambio uso de suelo (BAU)'!L77</f>
        <v>0.44357000000000002</v>
      </c>
      <c r="K46" s="131">
        <f>+'Cambio uso de suelo (BAU)'!M77</f>
        <v>95.151110000000003</v>
      </c>
      <c r="L46" s="131">
        <f>+'Cambio uso de suelo (BAU)'!N77</f>
        <v>95.151110000000003</v>
      </c>
      <c r="M46" s="131">
        <f>+'Cambio uso de suelo (BAU)'!O77</f>
        <v>0.49406</v>
      </c>
      <c r="N46" s="131">
        <f>+'Cambio uso de suelo (BAU)'!P77</f>
        <v>0.49406</v>
      </c>
    </row>
    <row r="47" spans="1:14" x14ac:dyDescent="0.25">
      <c r="A47" s="377" t="s">
        <v>399</v>
      </c>
      <c r="B47" s="131">
        <f>+'Cambio uso de suelo (BAU)'!D78</f>
        <v>0.223995</v>
      </c>
      <c r="C47" s="131">
        <f>+'Cambio uso de suelo (BAU)'!E78</f>
        <v>0.223995</v>
      </c>
      <c r="D47" s="131">
        <f>+'Cambio uso de suelo (BAU)'!F78</f>
        <v>0.223995</v>
      </c>
      <c r="E47" s="131">
        <f>+'Cambio uso de suelo (BAU)'!G78</f>
        <v>0.223995</v>
      </c>
      <c r="F47" s="131">
        <f>+'Cambio uso de suelo (BAU)'!H78</f>
        <v>0.223995</v>
      </c>
      <c r="G47" s="131">
        <f>+'Cambio uso de suelo (BAU)'!I78</f>
        <v>0.17442750000000001</v>
      </c>
      <c r="H47" s="131">
        <f>+'Cambio uso de suelo (BAU)'!J78</f>
        <v>0.12486</v>
      </c>
      <c r="I47" s="131">
        <f>+'Cambio uso de suelo (BAU)'!K78</f>
        <v>0.43691999999999998</v>
      </c>
      <c r="J47" s="131">
        <f>+'Cambio uso de suelo (BAU)'!L78</f>
        <v>0.74897999999999998</v>
      </c>
      <c r="K47" s="131">
        <f>+'Cambio uso de suelo (BAU)'!M78</f>
        <v>0.87112000000000001</v>
      </c>
      <c r="L47" s="131">
        <f>+'Cambio uso de suelo (BAU)'!N78</f>
        <v>0.87112000000000001</v>
      </c>
      <c r="M47" s="131">
        <f>+'Cambio uso de suelo (BAU)'!O78</f>
        <v>2.8327499999999999</v>
      </c>
      <c r="N47" s="131">
        <f>+'Cambio uso de suelo (BAU)'!P78</f>
        <v>2.8327499999999999</v>
      </c>
    </row>
    <row r="48" spans="1:14" x14ac:dyDescent="0.25">
      <c r="A48" s="377" t="s">
        <v>403</v>
      </c>
      <c r="B48" s="131">
        <f>+'Cambio uso de suelo (BAU)'!D79</f>
        <v>0</v>
      </c>
      <c r="C48" s="131">
        <f>+'Cambio uso de suelo (BAU)'!E79</f>
        <v>0</v>
      </c>
      <c r="D48" s="131">
        <f>+'Cambio uso de suelo (BAU)'!F79</f>
        <v>0</v>
      </c>
      <c r="E48" s="131">
        <f>+'Cambio uso de suelo (BAU)'!G79</f>
        <v>0</v>
      </c>
      <c r="F48" s="131">
        <f>+'Cambio uso de suelo (BAU)'!H79</f>
        <v>0</v>
      </c>
      <c r="G48" s="131">
        <f>+'Cambio uso de suelo (BAU)'!I79</f>
        <v>0</v>
      </c>
      <c r="H48" s="131">
        <f>+'Cambio uso de suelo (BAU)'!J79</f>
        <v>0</v>
      </c>
      <c r="I48" s="131">
        <f>+'Cambio uso de suelo (BAU)'!K79</f>
        <v>0</v>
      </c>
      <c r="J48" s="131">
        <f>+'Cambio uso de suelo (BAU)'!L79</f>
        <v>0</v>
      </c>
      <c r="K48" s="131">
        <f>+'Cambio uso de suelo (BAU)'!M79</f>
        <v>0</v>
      </c>
      <c r="L48" s="131">
        <f>+'Cambio uso de suelo (BAU)'!N79</f>
        <v>0</v>
      </c>
      <c r="M48" s="131">
        <f>+'Cambio uso de suelo (BAU)'!O79</f>
        <v>0</v>
      </c>
      <c r="N48" s="131">
        <f>+'Cambio uso de suelo (BAU)'!P79</f>
        <v>0</v>
      </c>
    </row>
    <row r="49" spans="1:15" x14ac:dyDescent="0.25">
      <c r="A49" s="376" t="s">
        <v>394</v>
      </c>
      <c r="B49" s="131">
        <f>+'Cambio uso de suelo (BAU)'!D80</f>
        <v>4.1999999999999996E-4</v>
      </c>
      <c r="C49" s="131">
        <f>+'Cambio uso de suelo (BAU)'!E80</f>
        <v>4.1999999999999996E-4</v>
      </c>
      <c r="D49" s="131">
        <f>+'Cambio uso de suelo (BAU)'!F80</f>
        <v>4.1999999999999996E-4</v>
      </c>
      <c r="E49" s="131">
        <f>+'Cambio uso de suelo (BAU)'!G80</f>
        <v>4.1999999999999996E-4</v>
      </c>
      <c r="F49" s="131">
        <f>+'Cambio uso de suelo (BAU)'!H80</f>
        <v>4.1999999999999996E-4</v>
      </c>
      <c r="G49" s="131">
        <f>+'Cambio uso de suelo (BAU)'!I80</f>
        <v>1.8772499999999998E-2</v>
      </c>
      <c r="H49" s="131">
        <f>+'Cambio uso de suelo (BAU)'!J80</f>
        <v>3.7124999999999998E-2</v>
      </c>
      <c r="I49" s="131">
        <f>+'Cambio uso de suelo (BAU)'!K80</f>
        <v>2.8372500000000002E-2</v>
      </c>
      <c r="J49" s="131">
        <f>+'Cambio uso de suelo (BAU)'!L80</f>
        <v>1.9620000000000002E-2</v>
      </c>
      <c r="K49" s="131">
        <f>+'Cambio uso de suelo (BAU)'!M80</f>
        <v>8.369999999999999E-3</v>
      </c>
      <c r="L49" s="131">
        <f>+'Cambio uso de suelo (BAU)'!N80</f>
        <v>8.369999999999999E-3</v>
      </c>
      <c r="M49" s="131">
        <f>+'Cambio uso de suelo (BAU)'!O80</f>
        <v>7.1999999999999994E-4</v>
      </c>
      <c r="N49" s="131">
        <f>+'Cambio uso de suelo (BAU)'!P80</f>
        <v>7.1999999999999994E-4</v>
      </c>
    </row>
    <row r="50" spans="1:15" x14ac:dyDescent="0.25">
      <c r="A50" s="376" t="s">
        <v>408</v>
      </c>
      <c r="B50" s="131">
        <f>+'Cambio uso de suelo (BAU)'!D81</f>
        <v>0.49768499999999993</v>
      </c>
      <c r="C50" s="131">
        <f>+'Cambio uso de suelo (BAU)'!E81</f>
        <v>0.49768499999999993</v>
      </c>
      <c r="D50" s="131">
        <f>+'Cambio uso de suelo (BAU)'!F81</f>
        <v>0.49768499999999993</v>
      </c>
      <c r="E50" s="131">
        <f>+'Cambio uso de suelo (BAU)'!G81</f>
        <v>0.49768499999999993</v>
      </c>
      <c r="F50" s="131">
        <f>+'Cambio uso de suelo (BAU)'!H81</f>
        <v>0.49768499999999993</v>
      </c>
      <c r="G50" s="131">
        <f>+'Cambio uso de suelo (BAU)'!I81</f>
        <v>0.48675749999999995</v>
      </c>
      <c r="H50" s="131">
        <f>+'Cambio uso de suelo (BAU)'!J81</f>
        <v>0.47582999999999998</v>
      </c>
      <c r="I50" s="131">
        <f>+'Cambio uso de suelo (BAU)'!K81</f>
        <v>0.29945250000000001</v>
      </c>
      <c r="J50" s="131">
        <f>+'Cambio uso de suelo (BAU)'!L81</f>
        <v>0.123075</v>
      </c>
      <c r="K50" s="131">
        <f>+'Cambio uso de suelo (BAU)'!M81</f>
        <v>8.7349999999999997E-2</v>
      </c>
      <c r="L50" s="131">
        <f>+'Cambio uso de suelo (BAU)'!N81</f>
        <v>8.7349999999999997E-2</v>
      </c>
      <c r="M50" s="131">
        <f>+'Cambio uso de suelo (BAU)'!O81</f>
        <v>1.332E-2</v>
      </c>
      <c r="N50" s="131">
        <f>+'Cambio uso de suelo (BAU)'!P81</f>
        <v>1.332E-2</v>
      </c>
    </row>
    <row r="51" spans="1:15" ht="15.75" thickBot="1" x14ac:dyDescent="0.3">
      <c r="A51" s="379" t="s">
        <v>404</v>
      </c>
      <c r="B51" s="131">
        <f>+'Cambio uso de suelo (BAU)'!D82</f>
        <v>5.2049999999999992E-2</v>
      </c>
      <c r="C51" s="131">
        <f>+'Cambio uso de suelo (BAU)'!E82</f>
        <v>5.2049999999999992E-2</v>
      </c>
      <c r="D51" s="131">
        <f>+'Cambio uso de suelo (BAU)'!F82</f>
        <v>5.2049999999999992E-2</v>
      </c>
      <c r="E51" s="131">
        <f>+'Cambio uso de suelo (BAU)'!G82</f>
        <v>5.2049999999999992E-2</v>
      </c>
      <c r="F51" s="131">
        <f>+'Cambio uso de suelo (BAU)'!H82</f>
        <v>5.2049999999999992E-2</v>
      </c>
      <c r="G51" s="131">
        <f>+'Cambio uso de suelo (BAU)'!I82</f>
        <v>0.24483749999999999</v>
      </c>
      <c r="H51" s="131">
        <f>+'Cambio uso de suelo (BAU)'!J82</f>
        <v>0.43762499999999999</v>
      </c>
      <c r="I51" s="131">
        <f>+'Cambio uso de suelo (BAU)'!K82</f>
        <v>0.33203250000000001</v>
      </c>
      <c r="J51" s="131">
        <f>+'Cambio uso de suelo (BAU)'!L82</f>
        <v>0.22644</v>
      </c>
      <c r="K51" s="131">
        <f>+'Cambio uso de suelo (BAU)'!M82</f>
        <v>0.22040999999999999</v>
      </c>
      <c r="L51" s="131">
        <f>+'Cambio uso de suelo (BAU)'!N82</f>
        <v>0.22040999999999999</v>
      </c>
      <c r="M51" s="131">
        <f>+'Cambio uso de suelo (BAU)'!O82</f>
        <v>3.8299999999999994E-2</v>
      </c>
      <c r="N51" s="131">
        <f>+'Cambio uso de suelo (BAU)'!P82</f>
        <v>3.8299999999999994E-2</v>
      </c>
    </row>
    <row r="52" spans="1:15" x14ac:dyDescent="0.25">
      <c r="A52" s="374" t="s">
        <v>405</v>
      </c>
      <c r="B52" s="131">
        <f>+'Cambio uso de suelo (BAU)'!D83</f>
        <v>2.2185000000000003E-2</v>
      </c>
      <c r="C52" s="131">
        <f>+'Cambio uso de suelo (BAU)'!E83</f>
        <v>2.2185000000000003E-2</v>
      </c>
      <c r="D52" s="131">
        <f>+'Cambio uso de suelo (BAU)'!F83</f>
        <v>2.2185000000000003E-2</v>
      </c>
      <c r="E52" s="131">
        <f>+'Cambio uso de suelo (BAU)'!G83</f>
        <v>2.2185000000000003E-2</v>
      </c>
      <c r="F52" s="131">
        <f>+'Cambio uso de suelo (BAU)'!H83</f>
        <v>2.2185000000000003E-2</v>
      </c>
      <c r="G52" s="131">
        <f>+'Cambio uso de suelo (BAU)'!I83</f>
        <v>6.3247499999999998E-2</v>
      </c>
      <c r="H52" s="131">
        <f>+'Cambio uso de suelo (BAU)'!J83</f>
        <v>0.10431</v>
      </c>
      <c r="I52" s="131">
        <f>+'Cambio uso de suelo (BAU)'!K83</f>
        <v>0.125865</v>
      </c>
      <c r="J52" s="131">
        <f>+'Cambio uso de suelo (BAU)'!L83</f>
        <v>0.14742</v>
      </c>
      <c r="K52" s="131">
        <f>+'Cambio uso de suelo (BAU)'!M83</f>
        <v>4.9950000000000001E-2</v>
      </c>
      <c r="L52" s="131">
        <f>+'Cambio uso de suelo (BAU)'!N83</f>
        <v>4.9950000000000001E-2</v>
      </c>
      <c r="M52" s="131">
        <f>+'Cambio uso de suelo (BAU)'!O83</f>
        <v>6.2060000000000004E-2</v>
      </c>
      <c r="N52" s="131">
        <f>+'Cambio uso de suelo (BAU)'!P83</f>
        <v>6.2060000000000004E-2</v>
      </c>
    </row>
    <row r="53" spans="1:15" x14ac:dyDescent="0.25">
      <c r="A53" s="376" t="s">
        <v>397</v>
      </c>
      <c r="B53" s="131">
        <f>+'Cambio uso de suelo (BAU)'!D84</f>
        <v>7.6410000000000006E-2</v>
      </c>
      <c r="C53" s="131">
        <f>+'Cambio uso de suelo (BAU)'!E84</f>
        <v>7.6410000000000006E-2</v>
      </c>
      <c r="D53" s="131">
        <f>+'Cambio uso de suelo (BAU)'!F84</f>
        <v>7.6410000000000006E-2</v>
      </c>
      <c r="E53" s="131">
        <f>+'Cambio uso de suelo (BAU)'!G84</f>
        <v>7.6410000000000006E-2</v>
      </c>
      <c r="F53" s="131">
        <f>+'Cambio uso de suelo (BAU)'!H84</f>
        <v>7.6410000000000006E-2</v>
      </c>
      <c r="G53" s="131">
        <f>+'Cambio uso de suelo (BAU)'!I84</f>
        <v>0.14791500000000002</v>
      </c>
      <c r="H53" s="131">
        <f>+'Cambio uso de suelo (BAU)'!J84</f>
        <v>0.21942</v>
      </c>
      <c r="I53" s="131">
        <f>+'Cambio uso de suelo (BAU)'!K84</f>
        <v>0.17732249999999999</v>
      </c>
      <c r="J53" s="131">
        <f>+'Cambio uso de suelo (BAU)'!L84</f>
        <v>0.13522499999999998</v>
      </c>
      <c r="K53" s="131">
        <f>+'Cambio uso de suelo (BAU)'!M84</f>
        <v>0.10215</v>
      </c>
      <c r="L53" s="131">
        <f>+'Cambio uso de suelo (BAU)'!N84</f>
        <v>0.10215</v>
      </c>
      <c r="M53" s="131">
        <f>+'Cambio uso de suelo (BAU)'!O84</f>
        <v>7.3400000000000002E-3</v>
      </c>
      <c r="N53" s="131">
        <f>+'Cambio uso de suelo (BAU)'!P84</f>
        <v>7.3400000000000002E-3</v>
      </c>
    </row>
    <row r="54" spans="1:15" x14ac:dyDescent="0.25">
      <c r="A54" s="376" t="s">
        <v>409</v>
      </c>
      <c r="B54" s="131">
        <f>+'Cambio uso de suelo (BAU)'!D85</f>
        <v>6.4304999999999987E-2</v>
      </c>
      <c r="C54" s="131">
        <f>+'Cambio uso de suelo (BAU)'!E85</f>
        <v>6.4304999999999987E-2</v>
      </c>
      <c r="D54" s="131">
        <f>+'Cambio uso de suelo (BAU)'!F85</f>
        <v>6.4304999999999987E-2</v>
      </c>
      <c r="E54" s="131">
        <f>+'Cambio uso de suelo (BAU)'!G85</f>
        <v>6.4304999999999987E-2</v>
      </c>
      <c r="F54" s="131">
        <f>+'Cambio uso de suelo (BAU)'!H85</f>
        <v>6.4304999999999987E-2</v>
      </c>
      <c r="G54" s="131">
        <f>+'Cambio uso de suelo (BAU)'!I85</f>
        <v>0.28527749999999996</v>
      </c>
      <c r="H54" s="131">
        <f>+'Cambio uso de suelo (BAU)'!J85</f>
        <v>0.50624999999999998</v>
      </c>
      <c r="I54" s="131">
        <f>+'Cambio uso de suelo (BAU)'!K85</f>
        <v>0.58918499999999996</v>
      </c>
      <c r="J54" s="131">
        <f>+'Cambio uso de suelo (BAU)'!L85</f>
        <v>0.67211999999999994</v>
      </c>
      <c r="K54" s="131">
        <f>+'Cambio uso de suelo (BAU)'!M85</f>
        <v>0.58298000000000005</v>
      </c>
      <c r="L54" s="131">
        <f>+'Cambio uso de suelo (BAU)'!N85</f>
        <v>0.58298000000000005</v>
      </c>
      <c r="M54" s="131">
        <f>+'Cambio uso de suelo (BAU)'!O85</f>
        <v>0.17036999999999999</v>
      </c>
      <c r="N54" s="131">
        <f>+'Cambio uso de suelo (BAU)'!P85</f>
        <v>0.17036999999999999</v>
      </c>
    </row>
    <row r="55" spans="1:15" x14ac:dyDescent="0.25">
      <c r="A55" s="376" t="s">
        <v>401</v>
      </c>
      <c r="B55" s="131">
        <f>+'Cambio uso de suelo (BAU)'!D86</f>
        <v>1.7655000000000001E-2</v>
      </c>
      <c r="C55" s="131">
        <f>+'Cambio uso de suelo (BAU)'!E86</f>
        <v>1.7655000000000001E-2</v>
      </c>
      <c r="D55" s="131">
        <f>+'Cambio uso de suelo (BAU)'!F86</f>
        <v>1.7655000000000001E-2</v>
      </c>
      <c r="E55" s="131">
        <f>+'Cambio uso de suelo (BAU)'!G86</f>
        <v>1.7655000000000001E-2</v>
      </c>
      <c r="F55" s="131">
        <f>+'Cambio uso de suelo (BAU)'!H86</f>
        <v>1.7655000000000001E-2</v>
      </c>
      <c r="G55" s="131">
        <f>+'Cambio uso de suelo (BAU)'!I86</f>
        <v>3.2362500000000002E-2</v>
      </c>
      <c r="H55" s="131">
        <f>+'Cambio uso de suelo (BAU)'!J86</f>
        <v>4.7070000000000001E-2</v>
      </c>
      <c r="I55" s="131">
        <f>+'Cambio uso de suelo (BAU)'!K86</f>
        <v>6.2617499999999993E-2</v>
      </c>
      <c r="J55" s="131">
        <f>+'Cambio uso de suelo (BAU)'!L86</f>
        <v>7.8164999999999984E-2</v>
      </c>
      <c r="K55" s="131">
        <f>+'Cambio uso de suelo (BAU)'!M86</f>
        <v>7.3219999999999993E-2</v>
      </c>
      <c r="L55" s="131">
        <f>+'Cambio uso de suelo (BAU)'!N86</f>
        <v>7.3219999999999993E-2</v>
      </c>
      <c r="M55" s="131">
        <f>+'Cambio uso de suelo (BAU)'!O86</f>
        <v>3.3799999999999998E-3</v>
      </c>
      <c r="N55" s="131">
        <f>+'Cambio uso de suelo (BAU)'!P86</f>
        <v>3.3799999999999998E-3</v>
      </c>
    </row>
    <row r="57" spans="1:15" ht="15.75" x14ac:dyDescent="0.25">
      <c r="A57" s="119" t="s">
        <v>119</v>
      </c>
      <c r="B57" s="1">
        <v>2010</v>
      </c>
      <c r="C57" s="1">
        <v>2011</v>
      </c>
      <c r="D57" s="1">
        <v>2012</v>
      </c>
      <c r="E57" s="1">
        <v>2013</v>
      </c>
      <c r="F57" s="1">
        <v>2014</v>
      </c>
      <c r="G57" s="1">
        <v>2015</v>
      </c>
      <c r="H57" s="1">
        <v>2016</v>
      </c>
      <c r="I57" s="1">
        <v>2017</v>
      </c>
      <c r="J57" s="1">
        <v>2018</v>
      </c>
      <c r="K57" s="1">
        <v>2019</v>
      </c>
      <c r="L57" s="1">
        <v>2020</v>
      </c>
      <c r="M57" s="1">
        <v>2021</v>
      </c>
      <c r="N57" s="1">
        <v>2022</v>
      </c>
    </row>
    <row r="58" spans="1:15" s="132" customFormat="1" x14ac:dyDescent="0.25">
      <c r="A58" s="375" t="s">
        <v>411</v>
      </c>
      <c r="B58" s="131">
        <f>+B2/B30</f>
        <v>36.189999999999991</v>
      </c>
      <c r="C58" s="131">
        <f t="shared" ref="C58:N58" si="0">+C2/C30</f>
        <v>36.189999999999991</v>
      </c>
      <c r="D58" s="131">
        <f t="shared" si="0"/>
        <v>36.189999999999991</v>
      </c>
      <c r="E58" s="131">
        <f t="shared" si="0"/>
        <v>36.189999999999991</v>
      </c>
      <c r="F58" s="131">
        <f t="shared" si="0"/>
        <v>36.189999999999991</v>
      </c>
      <c r="G58" s="131">
        <f t="shared" si="0"/>
        <v>36.19</v>
      </c>
      <c r="H58" s="131">
        <f t="shared" si="0"/>
        <v>36.189999999999991</v>
      </c>
      <c r="I58" s="131">
        <f t="shared" si="0"/>
        <v>36.189999999999991</v>
      </c>
      <c r="J58" s="131">
        <f t="shared" si="0"/>
        <v>36.19</v>
      </c>
      <c r="K58" s="131">
        <f t="shared" si="0"/>
        <v>36.19</v>
      </c>
      <c r="L58" s="131">
        <f t="shared" si="0"/>
        <v>36.19</v>
      </c>
      <c r="M58" s="131">
        <f t="shared" si="0"/>
        <v>36.190000000000005</v>
      </c>
      <c r="N58" s="131">
        <f t="shared" si="0"/>
        <v>36.190000000000005</v>
      </c>
      <c r="O58" s="370">
        <f>+AVERAGE(B58:N58)</f>
        <v>36.189999999999991</v>
      </c>
    </row>
    <row r="59" spans="1:15" x14ac:dyDescent="0.25">
      <c r="A59" s="377" t="s">
        <v>183</v>
      </c>
      <c r="B59" s="131">
        <f t="shared" ref="B59:N83" si="1">+B3/B31</f>
        <v>-88.949098285564716</v>
      </c>
      <c r="C59" s="131">
        <f t="shared" si="1"/>
        <v>-88.949098285564716</v>
      </c>
      <c r="D59" s="131">
        <f t="shared" si="1"/>
        <v>-88.949098285564716</v>
      </c>
      <c r="E59" s="131">
        <f t="shared" si="1"/>
        <v>-88.949098285564716</v>
      </c>
      <c r="F59" s="131">
        <f t="shared" si="1"/>
        <v>-88.949098285564716</v>
      </c>
      <c r="G59" s="131">
        <f t="shared" si="1"/>
        <v>-77.83435638496934</v>
      </c>
      <c r="H59" s="131">
        <f t="shared" si="1"/>
        <v>-72.580522763955585</v>
      </c>
      <c r="I59" s="131">
        <f t="shared" si="1"/>
        <v>-145.86128656633986</v>
      </c>
      <c r="J59" s="131">
        <f t="shared" si="1"/>
        <v>-525.46700044961051</v>
      </c>
      <c r="K59" s="131">
        <f t="shared" si="1"/>
        <v>-4.618159173608551</v>
      </c>
      <c r="L59" s="131">
        <f t="shared" si="1"/>
        <v>-4.618159173608551</v>
      </c>
      <c r="M59" s="131">
        <f t="shared" si="1"/>
        <v>-8.4812306735525169</v>
      </c>
      <c r="N59" s="131">
        <f t="shared" si="1"/>
        <v>-8.4812306735525169</v>
      </c>
      <c r="O59" s="370">
        <f t="shared" ref="O59:O83" si="2">+AVERAGE(B59:N59)</f>
        <v>-99.437495175924695</v>
      </c>
    </row>
    <row r="60" spans="1:15" x14ac:dyDescent="0.25">
      <c r="A60" s="374" t="s">
        <v>206</v>
      </c>
      <c r="B60" s="131">
        <f t="shared" si="1"/>
        <v>189.9342533801894</v>
      </c>
      <c r="C60" s="131">
        <f t="shared" si="1"/>
        <v>189.9342533801894</v>
      </c>
      <c r="D60" s="131">
        <f t="shared" si="1"/>
        <v>189.9342533801894</v>
      </c>
      <c r="E60" s="131">
        <f t="shared" si="1"/>
        <v>189.9342533801894</v>
      </c>
      <c r="F60" s="131">
        <f t="shared" si="1"/>
        <v>189.9342533801894</v>
      </c>
      <c r="G60" s="131">
        <f t="shared" si="1"/>
        <v>79.195654994389159</v>
      </c>
      <c r="H60" s="131">
        <f t="shared" si="1"/>
        <v>23.050972500185306</v>
      </c>
      <c r="I60" s="131">
        <f t="shared" si="1"/>
        <v>112.33189467402096</v>
      </c>
      <c r="J60" s="131">
        <f t="shared" si="1"/>
        <v>305.23988634745882</v>
      </c>
      <c r="K60" s="131">
        <f t="shared" si="1"/>
        <v>34.674873125407522</v>
      </c>
      <c r="L60" s="131">
        <f t="shared" si="1"/>
        <v>34.674873125407522</v>
      </c>
      <c r="M60" s="131">
        <f t="shared" si="1"/>
        <v>1991.421020043113</v>
      </c>
      <c r="N60" s="131">
        <f t="shared" si="1"/>
        <v>1991.421020043113</v>
      </c>
      <c r="O60" s="370">
        <f t="shared" si="2"/>
        <v>424.74472782723399</v>
      </c>
    </row>
    <row r="61" spans="1:15" x14ac:dyDescent="0.25">
      <c r="A61" s="376" t="s">
        <v>219</v>
      </c>
      <c r="B61" s="131">
        <v>0</v>
      </c>
      <c r="C61" s="131">
        <v>0</v>
      </c>
      <c r="D61" s="131">
        <v>0</v>
      </c>
      <c r="E61" s="131">
        <v>0</v>
      </c>
      <c r="F61" s="131">
        <v>0</v>
      </c>
      <c r="G61" s="131">
        <v>0</v>
      </c>
      <c r="H61" s="131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31">
        <v>0</v>
      </c>
      <c r="O61" s="131">
        <v>0</v>
      </c>
    </row>
    <row r="62" spans="1:15" x14ac:dyDescent="0.25">
      <c r="A62" s="378" t="s">
        <v>180</v>
      </c>
      <c r="B62" s="131">
        <v>0</v>
      </c>
      <c r="C62" s="131">
        <v>0</v>
      </c>
      <c r="D62" s="131">
        <v>0</v>
      </c>
      <c r="E62" s="131">
        <v>0</v>
      </c>
      <c r="F62" s="131">
        <v>0</v>
      </c>
      <c r="G62" s="131">
        <v>0</v>
      </c>
      <c r="H62" s="131">
        <v>0</v>
      </c>
      <c r="I62" s="131">
        <f t="shared" si="1"/>
        <v>-15542.43315696649</v>
      </c>
      <c r="J62" s="131">
        <f t="shared" si="1"/>
        <v>-6172.8585537918862</v>
      </c>
      <c r="K62" s="131">
        <f t="shared" si="1"/>
        <v>-1008.3274822695037</v>
      </c>
      <c r="L62" s="131">
        <f t="shared" si="1"/>
        <v>-1008.3274822695037</v>
      </c>
      <c r="M62" s="131">
        <v>0</v>
      </c>
      <c r="N62" s="131">
        <v>0</v>
      </c>
      <c r="O62" s="131">
        <v>0</v>
      </c>
    </row>
    <row r="63" spans="1:15" x14ac:dyDescent="0.25">
      <c r="A63" s="377" t="s">
        <v>412</v>
      </c>
      <c r="B63" s="131">
        <f t="shared" si="1"/>
        <v>-3.7606837606837605E-2</v>
      </c>
      <c r="C63" s="131">
        <f t="shared" si="1"/>
        <v>-3.7606837606837605E-2</v>
      </c>
      <c r="D63" s="131">
        <f t="shared" si="1"/>
        <v>-3.7606837606837605E-2</v>
      </c>
      <c r="E63" s="131">
        <f t="shared" si="1"/>
        <v>-3.7606837606837605E-2</v>
      </c>
      <c r="F63" s="131">
        <f t="shared" si="1"/>
        <v>-3.7606837606837605E-2</v>
      </c>
      <c r="G63" s="131">
        <f t="shared" si="1"/>
        <v>-6.3080402424294552E-2</v>
      </c>
      <c r="H63" s="131">
        <f t="shared" si="1"/>
        <v>-0.19551645226510253</v>
      </c>
      <c r="I63" s="131">
        <f t="shared" si="1"/>
        <v>-0.19493177387914229</v>
      </c>
      <c r="J63" s="131">
        <f t="shared" si="1"/>
        <v>-0.19435058194748117</v>
      </c>
      <c r="K63" s="131">
        <f t="shared" si="1"/>
        <v>-2.779514974636926E-2</v>
      </c>
      <c r="L63" s="131">
        <f t="shared" si="1"/>
        <v>-2.779514974636926E-2</v>
      </c>
      <c r="M63" s="131">
        <f t="shared" si="1"/>
        <v>-1.8276447889277955E-2</v>
      </c>
      <c r="N63" s="131">
        <f t="shared" si="1"/>
        <v>-1.8276447889277955E-2</v>
      </c>
      <c r="O63" s="370">
        <f t="shared" si="2"/>
        <v>-7.1388968755500215E-2</v>
      </c>
    </row>
    <row r="64" spans="1:15" x14ac:dyDescent="0.25">
      <c r="A64" s="375" t="s">
        <v>413</v>
      </c>
      <c r="B64" s="131">
        <f t="shared" si="1"/>
        <v>0</v>
      </c>
      <c r="C64" s="131">
        <f t="shared" si="1"/>
        <v>0</v>
      </c>
      <c r="D64" s="131">
        <f t="shared" si="1"/>
        <v>0</v>
      </c>
      <c r="E64" s="131">
        <f t="shared" si="1"/>
        <v>0</v>
      </c>
      <c r="F64" s="131">
        <f t="shared" si="1"/>
        <v>0</v>
      </c>
      <c r="G64" s="131">
        <f t="shared" si="1"/>
        <v>0</v>
      </c>
      <c r="H64" s="131">
        <f t="shared" si="1"/>
        <v>0</v>
      </c>
      <c r="I64" s="131">
        <f t="shared" si="1"/>
        <v>0</v>
      </c>
      <c r="J64" s="131">
        <f t="shared" si="1"/>
        <v>0</v>
      </c>
      <c r="K64" s="131">
        <f t="shared" si="1"/>
        <v>0</v>
      </c>
      <c r="L64" s="131">
        <f t="shared" si="1"/>
        <v>0</v>
      </c>
      <c r="M64" s="131">
        <f t="shared" si="1"/>
        <v>0</v>
      </c>
      <c r="N64" s="131">
        <f t="shared" si="1"/>
        <v>0</v>
      </c>
      <c r="O64" s="370">
        <f t="shared" si="2"/>
        <v>0</v>
      </c>
    </row>
    <row r="65" spans="1:15" x14ac:dyDescent="0.25">
      <c r="A65" s="376" t="s">
        <v>414</v>
      </c>
      <c r="B65" s="131">
        <f t="shared" si="1"/>
        <v>0</v>
      </c>
      <c r="C65" s="131">
        <f t="shared" si="1"/>
        <v>0</v>
      </c>
      <c r="D65" s="131">
        <f t="shared" si="1"/>
        <v>0</v>
      </c>
      <c r="E65" s="131">
        <f t="shared" si="1"/>
        <v>0</v>
      </c>
      <c r="F65" s="131">
        <f t="shared" si="1"/>
        <v>0</v>
      </c>
      <c r="G65" s="131">
        <f t="shared" si="1"/>
        <v>0</v>
      </c>
      <c r="H65" s="131">
        <f t="shared" si="1"/>
        <v>0</v>
      </c>
      <c r="I65" s="131">
        <f t="shared" si="1"/>
        <v>0</v>
      </c>
      <c r="J65" s="131">
        <f t="shared" si="1"/>
        <v>0</v>
      </c>
      <c r="K65" s="131">
        <f t="shared" si="1"/>
        <v>0</v>
      </c>
      <c r="L65" s="131">
        <f t="shared" si="1"/>
        <v>0</v>
      </c>
      <c r="M65" s="131">
        <f t="shared" si="1"/>
        <v>0</v>
      </c>
      <c r="N65" s="131">
        <f t="shared" si="1"/>
        <v>0</v>
      </c>
      <c r="O65" s="370">
        <f t="shared" si="2"/>
        <v>0</v>
      </c>
    </row>
    <row r="66" spans="1:15" ht="15.75" thickBot="1" x14ac:dyDescent="0.3">
      <c r="A66" s="380" t="s">
        <v>182</v>
      </c>
      <c r="B66" s="131">
        <f t="shared" si="1"/>
        <v>-675.94817275747505</v>
      </c>
      <c r="C66" s="131">
        <f t="shared" si="1"/>
        <v>-675.94817275747505</v>
      </c>
      <c r="D66" s="131">
        <f t="shared" si="1"/>
        <v>-675.94817275747505</v>
      </c>
      <c r="E66" s="131">
        <f t="shared" si="1"/>
        <v>-675.94817275747505</v>
      </c>
      <c r="F66" s="131">
        <f t="shared" si="1"/>
        <v>-675.94817275747505</v>
      </c>
      <c r="G66" s="131">
        <f t="shared" si="1"/>
        <v>-2352.7655512504402</v>
      </c>
      <c r="H66" s="131">
        <f t="shared" si="1"/>
        <v>-3587.5595107033637</v>
      </c>
      <c r="I66" s="131">
        <f t="shared" si="1"/>
        <v>-1824.0199088865222</v>
      </c>
      <c r="J66" s="131">
        <f t="shared" si="1"/>
        <v>-464.57283252134749</v>
      </c>
      <c r="K66" s="131">
        <f t="shared" si="1"/>
        <v>-146.35890710382515</v>
      </c>
      <c r="L66" s="131">
        <f t="shared" si="1"/>
        <v>-146.35890710382515</v>
      </c>
      <c r="M66" s="131">
        <f t="shared" si="1"/>
        <v>-59374.394444444435</v>
      </c>
      <c r="N66" s="131">
        <f t="shared" si="1"/>
        <v>-59374.394444444435</v>
      </c>
      <c r="O66" s="370">
        <f t="shared" si="2"/>
        <v>-10050.01272078812</v>
      </c>
    </row>
    <row r="67" spans="1:15" x14ac:dyDescent="0.25">
      <c r="A67" s="377" t="s">
        <v>415</v>
      </c>
      <c r="B67" s="131">
        <f t="shared" si="1"/>
        <v>-0.1430126923764484</v>
      </c>
      <c r="C67" s="131">
        <f t="shared" si="1"/>
        <v>-0.1430126923764484</v>
      </c>
      <c r="D67" s="131">
        <f t="shared" si="1"/>
        <v>-0.1430126923764484</v>
      </c>
      <c r="E67" s="131">
        <f t="shared" si="1"/>
        <v>-0.1430126923764484</v>
      </c>
      <c r="F67" s="131">
        <f t="shared" si="1"/>
        <v>-0.1430126923764484</v>
      </c>
      <c r="G67" s="131">
        <f t="shared" si="1"/>
        <v>-0.13677126560047248</v>
      </c>
      <c r="H67" s="131">
        <f t="shared" si="1"/>
        <v>-0.13105183993804823</v>
      </c>
      <c r="I67" s="131">
        <f t="shared" si="1"/>
        <v>-9.2843163630800724E-2</v>
      </c>
      <c r="J67" s="131">
        <f t="shared" si="1"/>
        <v>-7.1884853534610924E-2</v>
      </c>
      <c r="K67" s="131">
        <f t="shared" si="1"/>
        <v>-4.8768593026091198E-2</v>
      </c>
      <c r="L67" s="131">
        <f t="shared" si="1"/>
        <v>-4.8768593026091198E-2</v>
      </c>
      <c r="M67" s="131">
        <f t="shared" si="1"/>
        <v>-1.7015089290548117E-2</v>
      </c>
      <c r="N67" s="131">
        <f t="shared" si="1"/>
        <v>-1.7015089290548117E-2</v>
      </c>
      <c r="O67" s="370">
        <f t="shared" si="2"/>
        <v>-9.8398611478419454E-2</v>
      </c>
    </row>
    <row r="68" spans="1:15" ht="15.75" thickBot="1" x14ac:dyDescent="0.3">
      <c r="A68" s="379" t="s">
        <v>416</v>
      </c>
      <c r="B68" s="131">
        <f t="shared" si="1"/>
        <v>0</v>
      </c>
      <c r="C68" s="131">
        <f t="shared" si="1"/>
        <v>0</v>
      </c>
      <c r="D68" s="131">
        <f t="shared" si="1"/>
        <v>0</v>
      </c>
      <c r="E68" s="131">
        <f t="shared" si="1"/>
        <v>0</v>
      </c>
      <c r="F68" s="131">
        <f t="shared" si="1"/>
        <v>0</v>
      </c>
      <c r="G68" s="131">
        <f t="shared" si="1"/>
        <v>0</v>
      </c>
      <c r="H68" s="131">
        <f t="shared" si="1"/>
        <v>0</v>
      </c>
      <c r="I68" s="131">
        <f t="shared" si="1"/>
        <v>0</v>
      </c>
      <c r="J68" s="131">
        <f t="shared" si="1"/>
        <v>0</v>
      </c>
      <c r="K68" s="131">
        <f t="shared" si="1"/>
        <v>0</v>
      </c>
      <c r="L68" s="131">
        <f t="shared" si="1"/>
        <v>0</v>
      </c>
      <c r="M68" s="131">
        <f t="shared" si="1"/>
        <v>0</v>
      </c>
      <c r="N68" s="131">
        <f t="shared" si="1"/>
        <v>0</v>
      </c>
      <c r="O68" s="370">
        <f t="shared" si="2"/>
        <v>0</v>
      </c>
    </row>
    <row r="69" spans="1:15" x14ac:dyDescent="0.25">
      <c r="A69" s="375" t="s">
        <v>417</v>
      </c>
      <c r="B69" s="131">
        <f t="shared" si="1"/>
        <v>0</v>
      </c>
      <c r="C69" s="131">
        <f t="shared" si="1"/>
        <v>0</v>
      </c>
      <c r="D69" s="131">
        <f t="shared" si="1"/>
        <v>0</v>
      </c>
      <c r="E69" s="131">
        <f t="shared" si="1"/>
        <v>0</v>
      </c>
      <c r="F69" s="131">
        <f t="shared" si="1"/>
        <v>0</v>
      </c>
      <c r="G69" s="131">
        <f t="shared" si="1"/>
        <v>0</v>
      </c>
      <c r="H69" s="131">
        <f t="shared" si="1"/>
        <v>0</v>
      </c>
      <c r="I69" s="131">
        <f t="shared" si="1"/>
        <v>0</v>
      </c>
      <c r="J69" s="131">
        <f t="shared" si="1"/>
        <v>0</v>
      </c>
      <c r="K69" s="131">
        <f t="shared" si="1"/>
        <v>0</v>
      </c>
      <c r="L69" s="131">
        <f t="shared" si="1"/>
        <v>0</v>
      </c>
      <c r="M69" s="131">
        <f t="shared" si="1"/>
        <v>0</v>
      </c>
      <c r="N69" s="131">
        <f t="shared" si="1"/>
        <v>0</v>
      </c>
      <c r="O69" s="370">
        <f t="shared" si="2"/>
        <v>0</v>
      </c>
    </row>
    <row r="70" spans="1:15" x14ac:dyDescent="0.25">
      <c r="A70" s="378" t="s">
        <v>418</v>
      </c>
      <c r="B70" s="131">
        <f t="shared" si="1"/>
        <v>-35179.788852459031</v>
      </c>
      <c r="C70" s="131">
        <f t="shared" si="1"/>
        <v>-35179.788852459031</v>
      </c>
      <c r="D70" s="131">
        <f t="shared" si="1"/>
        <v>-35179.788852459031</v>
      </c>
      <c r="E70" s="131">
        <f t="shared" si="1"/>
        <v>-35179.788852459031</v>
      </c>
      <c r="F70" s="131">
        <f t="shared" si="1"/>
        <v>-35179.788852459031</v>
      </c>
      <c r="G70" s="131">
        <f t="shared" si="1"/>
        <v>-39873.009767441879</v>
      </c>
      <c r="H70" s="131">
        <f t="shared" si="1"/>
        <v>-42452.167207207218</v>
      </c>
      <c r="I70" s="131">
        <f t="shared" si="1"/>
        <v>-19387.510982286636</v>
      </c>
      <c r="J70" s="131">
        <f t="shared" si="1"/>
        <v>-6554.5443609022541</v>
      </c>
      <c r="K70" s="131">
        <f t="shared" si="1"/>
        <v>-13115.265298621749</v>
      </c>
      <c r="L70" s="131">
        <f t="shared" si="1"/>
        <v>-13115.265298621749</v>
      </c>
      <c r="M70" s="131">
        <f t="shared" si="1"/>
        <v>-4632.6791836734701</v>
      </c>
      <c r="N70" s="131">
        <f t="shared" si="1"/>
        <v>-4632.6791836734701</v>
      </c>
      <c r="O70" s="370">
        <f t="shared" si="2"/>
        <v>-24589.389657286425</v>
      </c>
    </row>
    <row r="71" spans="1:15" x14ac:dyDescent="0.25">
      <c r="A71" s="378" t="s">
        <v>180</v>
      </c>
      <c r="B71" s="131">
        <f t="shared" si="1"/>
        <v>-3854.0931972789122</v>
      </c>
      <c r="C71" s="131">
        <f t="shared" si="1"/>
        <v>-3854.0931972789122</v>
      </c>
      <c r="D71" s="131">
        <f t="shared" si="1"/>
        <v>-3854.0931972789122</v>
      </c>
      <c r="E71" s="131">
        <f t="shared" si="1"/>
        <v>-3854.0931972789122</v>
      </c>
      <c r="F71" s="131">
        <f t="shared" si="1"/>
        <v>-3854.0931972789122</v>
      </c>
      <c r="G71" s="131">
        <f t="shared" si="1"/>
        <v>-1966.9853739982193</v>
      </c>
      <c r="H71" s="131">
        <f t="shared" si="1"/>
        <v>-1406.2478775628067</v>
      </c>
      <c r="I71" s="131">
        <f t="shared" si="1"/>
        <v>-657.43069243811453</v>
      </c>
      <c r="J71" s="131">
        <f t="shared" si="1"/>
        <v>-363.57224016469291</v>
      </c>
      <c r="K71" s="131">
        <f t="shared" si="1"/>
        <v>-141.83731138545954</v>
      </c>
      <c r="L71" s="131">
        <f t="shared" si="1"/>
        <v>-141.83731138545954</v>
      </c>
      <c r="M71" s="131">
        <f t="shared" si="1"/>
        <v>-2225.2909836065573</v>
      </c>
      <c r="N71" s="131">
        <f t="shared" si="1"/>
        <v>-2225.2909836065573</v>
      </c>
      <c r="O71" s="370">
        <f t="shared" si="2"/>
        <v>-2184.5352892724954</v>
      </c>
    </row>
    <row r="72" spans="1:15" x14ac:dyDescent="0.25">
      <c r="A72" s="378" t="s">
        <v>181</v>
      </c>
      <c r="B72" s="131">
        <v>0</v>
      </c>
      <c r="C72" s="131">
        <v>0</v>
      </c>
      <c r="D72" s="131">
        <v>0</v>
      </c>
      <c r="E72" s="131">
        <v>0</v>
      </c>
      <c r="F72" s="131">
        <v>0</v>
      </c>
      <c r="G72" s="131">
        <v>0</v>
      </c>
      <c r="H72" s="131">
        <v>0</v>
      </c>
      <c r="I72" s="131">
        <v>0</v>
      </c>
      <c r="J72" s="131">
        <v>0</v>
      </c>
      <c r="K72" s="131">
        <v>0</v>
      </c>
      <c r="L72" s="131">
        <v>0</v>
      </c>
      <c r="M72" s="131">
        <f t="shared" si="1"/>
        <v>-0.20846593040216713</v>
      </c>
      <c r="N72" s="131">
        <f t="shared" si="1"/>
        <v>-0.20846593040216713</v>
      </c>
      <c r="O72" s="370">
        <f t="shared" si="2"/>
        <v>-3.2071681600333406E-2</v>
      </c>
    </row>
    <row r="73" spans="1:15" ht="15.75" thickBot="1" x14ac:dyDescent="0.3">
      <c r="A73" s="380" t="s">
        <v>182</v>
      </c>
      <c r="B73" s="131">
        <f t="shared" si="1"/>
        <v>-19.862390784399864</v>
      </c>
      <c r="C73" s="131">
        <f t="shared" si="1"/>
        <v>-19.862390784399864</v>
      </c>
      <c r="D73" s="131">
        <f t="shared" si="1"/>
        <v>-19.862390784399864</v>
      </c>
      <c r="E73" s="131">
        <f t="shared" si="1"/>
        <v>-19.862390784399864</v>
      </c>
      <c r="F73" s="131">
        <f t="shared" si="1"/>
        <v>-19.862390784399864</v>
      </c>
      <c r="G73" s="131">
        <f t="shared" si="1"/>
        <v>-103.95895389978936</v>
      </c>
      <c r="H73" s="131">
        <f t="shared" si="1"/>
        <v>-251.99019647153168</v>
      </c>
      <c r="I73" s="131">
        <f t="shared" si="1"/>
        <v>-163.21016702400803</v>
      </c>
      <c r="J73" s="131">
        <f t="shared" si="1"/>
        <v>-52.694872069117146</v>
      </c>
      <c r="K73" s="131">
        <f t="shared" si="1"/>
        <v>-25.122865347706252</v>
      </c>
      <c r="L73" s="131">
        <f t="shared" si="1"/>
        <v>-25.122865347706252</v>
      </c>
      <c r="M73" s="131">
        <f t="shared" si="1"/>
        <v>-16.562665240906902</v>
      </c>
      <c r="N73" s="131">
        <f t="shared" si="1"/>
        <v>-16.562665240906902</v>
      </c>
      <c r="O73" s="370">
        <f t="shared" si="2"/>
        <v>-58.041323427974753</v>
      </c>
    </row>
    <row r="74" spans="1:15" x14ac:dyDescent="0.25">
      <c r="A74" s="377" t="s">
        <v>183</v>
      </c>
      <c r="B74" s="131">
        <f t="shared" si="1"/>
        <v>-5.3186345614544044E-2</v>
      </c>
      <c r="C74" s="131">
        <f t="shared" si="1"/>
        <v>-5.3186345614544044E-2</v>
      </c>
      <c r="D74" s="131">
        <f t="shared" si="1"/>
        <v>-5.3186345614544044E-2</v>
      </c>
      <c r="E74" s="131">
        <f t="shared" si="1"/>
        <v>-5.3186345614544044E-2</v>
      </c>
      <c r="F74" s="131">
        <f t="shared" si="1"/>
        <v>-5.3186345614544044E-2</v>
      </c>
      <c r="G74" s="131">
        <f t="shared" si="1"/>
        <v>-5.6097405494995853E-2</v>
      </c>
      <c r="H74" s="131">
        <f t="shared" si="1"/>
        <v>-5.9345580103045505E-2</v>
      </c>
      <c r="I74" s="131">
        <f t="shared" si="1"/>
        <v>-4.2468377949259936E-2</v>
      </c>
      <c r="J74" s="131">
        <f t="shared" si="1"/>
        <v>-3.3065055496689734E-2</v>
      </c>
      <c r="K74" s="131">
        <f t="shared" si="1"/>
        <v>-1.5414078371410136E-4</v>
      </c>
      <c r="L74" s="131">
        <f t="shared" si="1"/>
        <v>-1.5414078371410136E-4</v>
      </c>
      <c r="M74" s="131">
        <f t="shared" si="1"/>
        <v>-2.9686003049562131E-2</v>
      </c>
      <c r="N74" s="131">
        <f t="shared" si="1"/>
        <v>-2.9686003049562131E-2</v>
      </c>
      <c r="O74" s="370">
        <f t="shared" si="2"/>
        <v>-3.9737571906404909E-2</v>
      </c>
    </row>
    <row r="75" spans="1:15" x14ac:dyDescent="0.25">
      <c r="A75" s="377" t="s">
        <v>412</v>
      </c>
      <c r="B75" s="131">
        <f t="shared" si="1"/>
        <v>-6.5477652030923303E-2</v>
      </c>
      <c r="C75" s="131">
        <f t="shared" si="1"/>
        <v>-6.5477652030923303E-2</v>
      </c>
      <c r="D75" s="131">
        <f t="shared" si="1"/>
        <v>-6.5477652030923303E-2</v>
      </c>
      <c r="E75" s="131">
        <f t="shared" si="1"/>
        <v>-6.5477652030923303E-2</v>
      </c>
      <c r="F75" s="131">
        <f t="shared" si="1"/>
        <v>-6.5477652030923303E-2</v>
      </c>
      <c r="G75" s="131">
        <f t="shared" si="1"/>
        <v>-8.4084600574259594E-2</v>
      </c>
      <c r="H75" s="131">
        <f t="shared" si="1"/>
        <v>-0.11746489401462971</v>
      </c>
      <c r="I75" s="131">
        <f t="shared" si="1"/>
        <v>-3.3568311513930853E-2</v>
      </c>
      <c r="J75" s="131">
        <f t="shared" si="1"/>
        <v>-1.9582187330324796E-2</v>
      </c>
      <c r="K75" s="131">
        <f t="shared" si="1"/>
        <v>-1.6836562892215384E-2</v>
      </c>
      <c r="L75" s="131">
        <f t="shared" si="1"/>
        <v>-1.6836562892215384E-2</v>
      </c>
      <c r="M75" s="131">
        <f t="shared" si="1"/>
        <v>-5.1775365516429856E-3</v>
      </c>
      <c r="N75" s="131">
        <f t="shared" si="1"/>
        <v>-5.1775365516429856E-3</v>
      </c>
      <c r="O75" s="370">
        <f t="shared" si="2"/>
        <v>-4.8162804036575239E-2</v>
      </c>
    </row>
    <row r="76" spans="1:15" x14ac:dyDescent="0.25">
      <c r="A76" s="377" t="s">
        <v>415</v>
      </c>
      <c r="B76" s="131">
        <v>0</v>
      </c>
      <c r="C76" s="131">
        <v>0</v>
      </c>
      <c r="D76" s="131">
        <v>0</v>
      </c>
      <c r="E76" s="131">
        <v>0</v>
      </c>
      <c r="F76" s="131">
        <v>0</v>
      </c>
      <c r="G76" s="131">
        <v>0</v>
      </c>
      <c r="H76" s="131">
        <v>0</v>
      </c>
      <c r="I76" s="131">
        <v>0</v>
      </c>
      <c r="J76" s="131">
        <v>0</v>
      </c>
      <c r="K76" s="131">
        <v>0</v>
      </c>
      <c r="L76" s="131">
        <v>0</v>
      </c>
      <c r="M76" s="131">
        <v>0</v>
      </c>
      <c r="N76" s="131">
        <v>0</v>
      </c>
      <c r="O76" s="131">
        <v>0</v>
      </c>
    </row>
    <row r="77" spans="1:15" x14ac:dyDescent="0.25">
      <c r="A77" s="376" t="s">
        <v>411</v>
      </c>
      <c r="B77" s="131">
        <f t="shared" si="1"/>
        <v>666847.27999999991</v>
      </c>
      <c r="C77" s="131">
        <f t="shared" si="1"/>
        <v>666847.27999999991</v>
      </c>
      <c r="D77" s="131">
        <f t="shared" si="1"/>
        <v>666847.27999999991</v>
      </c>
      <c r="E77" s="131">
        <f t="shared" si="1"/>
        <v>666847.27999999991</v>
      </c>
      <c r="F77" s="131">
        <f t="shared" si="1"/>
        <v>666847.27999999991</v>
      </c>
      <c r="G77" s="131">
        <f t="shared" si="1"/>
        <v>14720.351178585697</v>
      </c>
      <c r="H77" s="131">
        <f t="shared" si="1"/>
        <v>7342.7535999999991</v>
      </c>
      <c r="I77" s="131">
        <f t="shared" si="1"/>
        <v>10120.546733632917</v>
      </c>
      <c r="J77" s="131">
        <f t="shared" si="1"/>
        <v>15376.691997961259</v>
      </c>
      <c r="K77" s="131">
        <f t="shared" si="1"/>
        <v>30623.960704898444</v>
      </c>
      <c r="L77" s="131">
        <f t="shared" si="1"/>
        <v>30623.960704898444</v>
      </c>
      <c r="M77" s="131">
        <f t="shared" si="1"/>
        <v>75983.418194444457</v>
      </c>
      <c r="N77" s="131">
        <f t="shared" si="1"/>
        <v>75983.418194444457</v>
      </c>
      <c r="O77" s="370">
        <f t="shared" si="2"/>
        <v>276539.34625452809</v>
      </c>
    </row>
    <row r="78" spans="1:15" x14ac:dyDescent="0.25">
      <c r="A78" s="376" t="s">
        <v>419</v>
      </c>
      <c r="B78" s="131">
        <f t="shared" si="1"/>
        <v>5.8208662105548692</v>
      </c>
      <c r="C78" s="131">
        <f t="shared" si="1"/>
        <v>5.8208662105548692</v>
      </c>
      <c r="D78" s="131">
        <f t="shared" si="1"/>
        <v>5.8208662105548692</v>
      </c>
      <c r="E78" s="131">
        <f t="shared" ref="C78:N83" si="3">+E22/E50</f>
        <v>5.8208662105548692</v>
      </c>
      <c r="F78" s="131">
        <f t="shared" si="3"/>
        <v>5.8208662105548692</v>
      </c>
      <c r="G78" s="131">
        <f t="shared" si="3"/>
        <v>9.2711603484966005</v>
      </c>
      <c r="H78" s="131">
        <f t="shared" si="3"/>
        <v>12.879927425060771</v>
      </c>
      <c r="I78" s="131">
        <f t="shared" si="3"/>
        <v>12.208545039140876</v>
      </c>
      <c r="J78" s="131">
        <f t="shared" si="3"/>
        <v>9.6128604509445452</v>
      </c>
      <c r="K78" s="131">
        <f t="shared" si="3"/>
        <v>83.461023468803646</v>
      </c>
      <c r="L78" s="131">
        <f t="shared" si="3"/>
        <v>83.461023468803646</v>
      </c>
      <c r="M78" s="131">
        <f t="shared" si="3"/>
        <v>71.148308308308287</v>
      </c>
      <c r="N78" s="131">
        <f t="shared" si="3"/>
        <v>71.148308308308287</v>
      </c>
      <c r="O78" s="370">
        <f t="shared" si="2"/>
        <v>29.407345220818538</v>
      </c>
    </row>
    <row r="79" spans="1:15" ht="15.75" thickBot="1" x14ac:dyDescent="0.3">
      <c r="A79" s="379" t="s">
        <v>416</v>
      </c>
      <c r="B79" s="131">
        <f t="shared" si="1"/>
        <v>0</v>
      </c>
      <c r="C79" s="131">
        <f t="shared" si="3"/>
        <v>0</v>
      </c>
      <c r="D79" s="131">
        <f t="shared" si="3"/>
        <v>0</v>
      </c>
      <c r="E79" s="131">
        <f t="shared" si="3"/>
        <v>0</v>
      </c>
      <c r="F79" s="131">
        <f t="shared" si="3"/>
        <v>0</v>
      </c>
      <c r="G79" s="131">
        <f t="shared" si="3"/>
        <v>0</v>
      </c>
      <c r="H79" s="131">
        <f t="shared" si="3"/>
        <v>0</v>
      </c>
      <c r="I79" s="131">
        <f t="shared" si="3"/>
        <v>0</v>
      </c>
      <c r="J79" s="131">
        <f t="shared" si="3"/>
        <v>0</v>
      </c>
      <c r="K79" s="131">
        <f t="shared" si="3"/>
        <v>0</v>
      </c>
      <c r="L79" s="131">
        <f t="shared" si="3"/>
        <v>0</v>
      </c>
      <c r="M79" s="131">
        <f t="shared" si="3"/>
        <v>0</v>
      </c>
      <c r="N79" s="131">
        <f t="shared" si="3"/>
        <v>0</v>
      </c>
      <c r="O79" s="370">
        <f t="shared" si="2"/>
        <v>0</v>
      </c>
    </row>
    <row r="80" spans="1:15" x14ac:dyDescent="0.25">
      <c r="A80" s="374" t="s">
        <v>417</v>
      </c>
      <c r="B80" s="131">
        <f t="shared" si="1"/>
        <v>0</v>
      </c>
      <c r="C80" s="131">
        <f t="shared" si="3"/>
        <v>0</v>
      </c>
      <c r="D80" s="131">
        <f t="shared" si="3"/>
        <v>0</v>
      </c>
      <c r="E80" s="131">
        <f t="shared" si="3"/>
        <v>0</v>
      </c>
      <c r="F80" s="131">
        <f t="shared" si="3"/>
        <v>0</v>
      </c>
      <c r="G80" s="131">
        <f t="shared" si="3"/>
        <v>0</v>
      </c>
      <c r="H80" s="131">
        <f t="shared" si="3"/>
        <v>0</v>
      </c>
      <c r="I80" s="131">
        <f t="shared" si="3"/>
        <v>0</v>
      </c>
      <c r="J80" s="131">
        <f t="shared" si="3"/>
        <v>0</v>
      </c>
      <c r="K80" s="131">
        <f t="shared" si="3"/>
        <v>0</v>
      </c>
      <c r="L80" s="131">
        <f t="shared" si="3"/>
        <v>0</v>
      </c>
      <c r="M80" s="131">
        <f t="shared" si="3"/>
        <v>0</v>
      </c>
      <c r="N80" s="131">
        <f t="shared" si="3"/>
        <v>0</v>
      </c>
      <c r="O80" s="370">
        <f t="shared" si="2"/>
        <v>0</v>
      </c>
    </row>
    <row r="81" spans="1:15" x14ac:dyDescent="0.25">
      <c r="A81" s="376" t="s">
        <v>219</v>
      </c>
      <c r="B81" s="131">
        <f t="shared" si="1"/>
        <v>1601.7307518649388</v>
      </c>
      <c r="C81" s="131">
        <f t="shared" si="3"/>
        <v>1601.7307518649388</v>
      </c>
      <c r="D81" s="131">
        <f t="shared" si="3"/>
        <v>1601.7307518649388</v>
      </c>
      <c r="E81" s="131">
        <f t="shared" si="3"/>
        <v>1601.7307518649388</v>
      </c>
      <c r="F81" s="131">
        <f t="shared" si="3"/>
        <v>1601.7307518649388</v>
      </c>
      <c r="G81" s="131">
        <f t="shared" si="3"/>
        <v>674.9631345705302</v>
      </c>
      <c r="H81" s="131">
        <f t="shared" si="3"/>
        <v>352.22904634946673</v>
      </c>
      <c r="I81" s="131">
        <f t="shared" si="3"/>
        <v>760.40022374487148</v>
      </c>
      <c r="J81" s="131">
        <f t="shared" si="3"/>
        <v>1422.7105934553522</v>
      </c>
      <c r="K81" s="131">
        <f t="shared" si="3"/>
        <v>69.591793441018098</v>
      </c>
      <c r="L81" s="131">
        <f t="shared" si="3"/>
        <v>69.591793441018098</v>
      </c>
      <c r="M81" s="131">
        <f t="shared" si="3"/>
        <v>11552.745354223433</v>
      </c>
      <c r="N81" s="131">
        <f t="shared" si="3"/>
        <v>11552.745354223433</v>
      </c>
      <c r="O81" s="370">
        <f t="shared" si="2"/>
        <v>2651.0485425210622</v>
      </c>
    </row>
    <row r="82" spans="1:15" x14ac:dyDescent="0.25">
      <c r="A82" s="376" t="s">
        <v>420</v>
      </c>
      <c r="B82" s="131">
        <f t="shared" si="1"/>
        <v>124.33298603011688</v>
      </c>
      <c r="C82" s="131">
        <f t="shared" si="3"/>
        <v>124.33298603011688</v>
      </c>
      <c r="D82" s="131">
        <f t="shared" si="3"/>
        <v>124.33298603011688</v>
      </c>
      <c r="E82" s="131">
        <f t="shared" si="3"/>
        <v>124.33298603011688</v>
      </c>
      <c r="F82" s="131">
        <f t="shared" si="3"/>
        <v>124.33298603011688</v>
      </c>
      <c r="G82" s="131">
        <f t="shared" si="3"/>
        <v>43.281610829221833</v>
      </c>
      <c r="H82" s="131">
        <f t="shared" si="3"/>
        <v>32.986285037037035</v>
      </c>
      <c r="I82" s="131">
        <f t="shared" si="3"/>
        <v>19.872130372180781</v>
      </c>
      <c r="J82" s="131">
        <f t="shared" si="3"/>
        <v>9.9943692594576348</v>
      </c>
      <c r="K82" s="131">
        <f t="shared" si="3"/>
        <v>5.4869504957288413</v>
      </c>
      <c r="L82" s="131">
        <f t="shared" si="3"/>
        <v>5.4869504957288413</v>
      </c>
      <c r="M82" s="131">
        <f t="shared" si="3"/>
        <v>18.843072528418539</v>
      </c>
      <c r="N82" s="131">
        <f t="shared" si="3"/>
        <v>18.843072528418539</v>
      </c>
      <c r="O82" s="370">
        <f t="shared" si="2"/>
        <v>59.727643976675111</v>
      </c>
    </row>
    <row r="83" spans="1:15" x14ac:dyDescent="0.25">
      <c r="A83" s="376" t="s">
        <v>414</v>
      </c>
      <c r="B83" s="131">
        <f t="shared" si="1"/>
        <v>0</v>
      </c>
      <c r="C83" s="131">
        <f t="shared" si="3"/>
        <v>0</v>
      </c>
      <c r="D83" s="131">
        <f t="shared" si="3"/>
        <v>0</v>
      </c>
      <c r="E83" s="131">
        <f t="shared" si="3"/>
        <v>0</v>
      </c>
      <c r="F83" s="131">
        <f t="shared" si="3"/>
        <v>0</v>
      </c>
      <c r="G83" s="131">
        <f t="shared" si="3"/>
        <v>0</v>
      </c>
      <c r="H83" s="131">
        <f t="shared" si="3"/>
        <v>0</v>
      </c>
      <c r="I83" s="131">
        <f t="shared" si="3"/>
        <v>0</v>
      </c>
      <c r="J83" s="131">
        <f t="shared" si="3"/>
        <v>0</v>
      </c>
      <c r="K83" s="131">
        <f t="shared" si="3"/>
        <v>0</v>
      </c>
      <c r="L83" s="131">
        <f t="shared" si="3"/>
        <v>0</v>
      </c>
      <c r="M83" s="131">
        <f t="shared" si="3"/>
        <v>0</v>
      </c>
      <c r="N83" s="131">
        <f t="shared" si="3"/>
        <v>0</v>
      </c>
      <c r="O83" s="370">
        <f t="shared" si="2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3EE5-650C-48C6-A9AE-2A4D180300B1}">
  <dimension ref="A1:T113"/>
  <sheetViews>
    <sheetView zoomScale="80" zoomScaleNormal="80" workbookViewId="0">
      <selection activeCell="M23" sqref="M23"/>
    </sheetView>
  </sheetViews>
  <sheetFormatPr defaultColWidth="8.85546875" defaultRowHeight="15" x14ac:dyDescent="0.25"/>
  <cols>
    <col min="1" max="1" width="48.140625" style="68" bestFit="1" customWidth="1"/>
    <col min="2" max="2" width="56" style="76" customWidth="1"/>
    <col min="3" max="5" width="25.42578125" style="68" customWidth="1"/>
    <col min="6" max="7" width="9.85546875" bestFit="1" customWidth="1"/>
    <col min="8" max="8" width="16.5703125" bestFit="1" customWidth="1"/>
    <col min="9" max="11" width="9.85546875" bestFit="1" customWidth="1"/>
    <col min="12" max="12" width="16.5703125" customWidth="1"/>
  </cols>
  <sheetData>
    <row r="1" spans="1:20" ht="30" x14ac:dyDescent="0.25">
      <c r="A1" s="65" t="s">
        <v>47</v>
      </c>
      <c r="B1" s="1" t="s">
        <v>48</v>
      </c>
      <c r="C1" s="65" t="s">
        <v>49</v>
      </c>
      <c r="D1" s="65" t="s">
        <v>50</v>
      </c>
      <c r="E1" s="65" t="s">
        <v>51</v>
      </c>
      <c r="F1" s="65"/>
      <c r="G1" s="65"/>
      <c r="H1" s="65"/>
      <c r="I1" s="65"/>
      <c r="N1" t="s">
        <v>58</v>
      </c>
      <c r="R1" t="s">
        <v>54</v>
      </c>
    </row>
    <row r="2" spans="1:20" x14ac:dyDescent="0.25">
      <c r="A2" s="67" t="s">
        <v>52</v>
      </c>
      <c r="B2" s="135" t="s">
        <v>53</v>
      </c>
      <c r="C2" s="67"/>
      <c r="D2" s="67"/>
      <c r="E2" s="67" t="s">
        <v>54</v>
      </c>
      <c r="F2" s="556">
        <v>0.89817430788244801</v>
      </c>
      <c r="G2" s="556">
        <v>0.65476907044630506</v>
      </c>
      <c r="H2" s="556">
        <v>0.45986524563581399</v>
      </c>
      <c r="I2" s="556">
        <v>0.30807378760367998</v>
      </c>
      <c r="J2" s="67"/>
      <c r="K2" s="67"/>
      <c r="N2" t="s">
        <v>521</v>
      </c>
      <c r="O2" t="s">
        <v>522</v>
      </c>
      <c r="P2" t="s">
        <v>523</v>
      </c>
      <c r="R2" t="s">
        <v>48</v>
      </c>
      <c r="S2" t="s">
        <v>522</v>
      </c>
      <c r="T2" t="s">
        <v>523</v>
      </c>
    </row>
    <row r="3" spans="1:20" x14ac:dyDescent="0.25">
      <c r="A3" s="67" t="s">
        <v>55</v>
      </c>
      <c r="B3" s="135" t="s">
        <v>26</v>
      </c>
      <c r="C3" s="67">
        <v>487.25</v>
      </c>
      <c r="D3" s="67"/>
      <c r="E3" s="67" t="s">
        <v>54</v>
      </c>
      <c r="F3" s="67"/>
      <c r="G3" s="67"/>
      <c r="H3" s="67"/>
      <c r="I3" s="67"/>
      <c r="J3" s="67"/>
      <c r="K3" s="67"/>
      <c r="N3" t="s">
        <v>512</v>
      </c>
      <c r="O3">
        <f>+C4+C6</f>
        <v>275</v>
      </c>
      <c r="R3" t="s">
        <v>514</v>
      </c>
      <c r="S3" s="557">
        <f>+C7+C16</f>
        <v>91370.199969449488</v>
      </c>
    </row>
    <row r="4" spans="1:20" x14ac:dyDescent="0.25">
      <c r="A4" s="68" t="s">
        <v>56</v>
      </c>
      <c r="B4" s="76" t="s">
        <v>57</v>
      </c>
      <c r="C4" s="68">
        <v>173</v>
      </c>
      <c r="D4" s="68">
        <v>0.48</v>
      </c>
      <c r="E4" s="68" t="s">
        <v>58</v>
      </c>
      <c r="F4" s="68"/>
      <c r="K4" s="68"/>
      <c r="N4" t="s">
        <v>513</v>
      </c>
      <c r="O4">
        <v>80</v>
      </c>
      <c r="R4" t="s">
        <v>27</v>
      </c>
      <c r="S4" s="557">
        <f>+C8</f>
        <v>39664.720974399999</v>
      </c>
    </row>
    <row r="5" spans="1:20" x14ac:dyDescent="0.25">
      <c r="A5" s="68" t="s">
        <v>56</v>
      </c>
      <c r="B5" s="76" t="s">
        <v>59</v>
      </c>
      <c r="C5" s="68">
        <v>80</v>
      </c>
      <c r="D5" s="68">
        <v>0.48</v>
      </c>
      <c r="E5" s="68" t="s">
        <v>58</v>
      </c>
      <c r="F5" s="68"/>
      <c r="G5" s="68"/>
      <c r="H5" s="68"/>
      <c r="I5" s="68"/>
      <c r="J5" s="68"/>
      <c r="K5" s="68"/>
      <c r="N5" t="s">
        <v>514</v>
      </c>
      <c r="O5">
        <v>17000</v>
      </c>
      <c r="R5" t="s">
        <v>516</v>
      </c>
      <c r="S5" s="557">
        <f>+C9+C14</f>
        <v>4250.5682697352304</v>
      </c>
    </row>
    <row r="6" spans="1:20" x14ac:dyDescent="0.25">
      <c r="A6" s="68" t="s">
        <v>56</v>
      </c>
      <c r="B6" s="76" t="s">
        <v>57</v>
      </c>
      <c r="C6" s="68">
        <v>102</v>
      </c>
      <c r="D6" s="68">
        <v>0.48</v>
      </c>
      <c r="E6" s="68" t="s">
        <v>58</v>
      </c>
      <c r="F6" s="68"/>
      <c r="G6" s="68"/>
      <c r="H6" s="68"/>
      <c r="I6" s="68"/>
      <c r="J6" s="68"/>
      <c r="K6" s="68"/>
      <c r="R6" t="s">
        <v>517</v>
      </c>
      <c r="S6" s="557">
        <f>+C10+C17</f>
        <v>21778.430961543134</v>
      </c>
    </row>
    <row r="7" spans="1:20" x14ac:dyDescent="0.25">
      <c r="A7" s="67" t="s">
        <v>60</v>
      </c>
      <c r="B7" s="135" t="s">
        <v>61</v>
      </c>
      <c r="C7" s="69">
        <v>54629.208942999998</v>
      </c>
      <c r="D7" s="67">
        <v>0.21</v>
      </c>
      <c r="E7" s="67" t="s">
        <v>54</v>
      </c>
      <c r="F7" s="558">
        <v>91.195091423505502</v>
      </c>
      <c r="G7" s="558">
        <v>91.003581731516149</v>
      </c>
      <c r="H7" s="558">
        <v>90.812474209879966</v>
      </c>
      <c r="I7" s="558">
        <v>90.621768014039233</v>
      </c>
      <c r="J7" s="558">
        <v>90.431462301209748</v>
      </c>
      <c r="K7" s="558">
        <v>90.241556230377199</v>
      </c>
      <c r="L7" s="558">
        <v>90.052048962293412</v>
      </c>
      <c r="M7" s="558">
        <v>89.862939659472588</v>
      </c>
      <c r="N7" s="558">
        <v>89.674227486187704</v>
      </c>
      <c r="O7" s="558">
        <v>89.485911608466708</v>
      </c>
      <c r="R7" t="s">
        <v>518</v>
      </c>
      <c r="S7" s="557">
        <f>+C11</f>
        <v>110.95741391407672</v>
      </c>
    </row>
    <row r="8" spans="1:20" x14ac:dyDescent="0.25">
      <c r="A8" s="67" t="s">
        <v>60</v>
      </c>
      <c r="B8" s="135" t="s">
        <v>62</v>
      </c>
      <c r="C8" s="69">
        <v>39664.720974399999</v>
      </c>
      <c r="D8" s="67">
        <v>0.21</v>
      </c>
      <c r="E8" s="67" t="s">
        <v>54</v>
      </c>
      <c r="F8" s="558">
        <v>624.64951011161668</v>
      </c>
      <c r="G8" s="558">
        <v>624.64951011161668</v>
      </c>
      <c r="H8" s="558">
        <v>624.64951011161668</v>
      </c>
      <c r="I8" s="558">
        <v>624.64951011161668</v>
      </c>
      <c r="J8" s="558">
        <v>624.64951011161668</v>
      </c>
      <c r="K8" s="558">
        <v>624.64951011161668</v>
      </c>
      <c r="L8" s="558">
        <v>624.64951011161668</v>
      </c>
      <c r="M8" s="558">
        <v>624.64951011161668</v>
      </c>
      <c r="N8" s="558">
        <v>624.64951011161668</v>
      </c>
      <c r="O8" s="558">
        <v>624.64951011161668</v>
      </c>
      <c r="R8" t="s">
        <v>519</v>
      </c>
      <c r="S8" s="557">
        <f>+C12</f>
        <v>1688.7862513844032</v>
      </c>
    </row>
    <row r="9" spans="1:20" x14ac:dyDescent="0.25">
      <c r="A9" s="67" t="s">
        <v>60</v>
      </c>
      <c r="B9" s="135" t="s">
        <v>63</v>
      </c>
      <c r="C9" s="69">
        <v>568.11517191300004</v>
      </c>
      <c r="D9" s="67">
        <v>0.35</v>
      </c>
      <c r="E9" s="67" t="s">
        <v>54</v>
      </c>
      <c r="F9" s="558">
        <v>19.855754100592812</v>
      </c>
      <c r="G9" s="558">
        <v>19.789627247615154</v>
      </c>
      <c r="H9" s="558">
        <v>19.723746323929717</v>
      </c>
      <c r="I9" s="558">
        <v>19.658110335903029</v>
      </c>
      <c r="J9" s="558">
        <v>19.592718294146536</v>
      </c>
      <c r="K9" s="558">
        <v>19.527569213497799</v>
      </c>
      <c r="L9" s="558">
        <v>19.46266211300177</v>
      </c>
      <c r="M9" s="558">
        <v>19.39799601589219</v>
      </c>
      <c r="N9" s="558">
        <v>19.333569949573011</v>
      </c>
      <c r="O9" s="558">
        <v>19.269382945599965</v>
      </c>
      <c r="R9" t="s">
        <v>520</v>
      </c>
      <c r="S9" s="557">
        <f>+C15</f>
        <v>366.17914538683948</v>
      </c>
    </row>
    <row r="10" spans="1:20" x14ac:dyDescent="0.25">
      <c r="A10" s="67" t="s">
        <v>60</v>
      </c>
      <c r="B10" s="135" t="s">
        <v>64</v>
      </c>
      <c r="C10" s="69">
        <v>21062.2836345</v>
      </c>
      <c r="D10" s="67">
        <v>0.35</v>
      </c>
      <c r="E10" s="67" t="s">
        <v>54</v>
      </c>
      <c r="F10" s="558">
        <v>143.29043269042418</v>
      </c>
      <c r="G10" s="558">
        <v>143.29043269042418</v>
      </c>
      <c r="H10" s="558">
        <v>143.29043269042418</v>
      </c>
      <c r="I10" s="558">
        <v>143.29043269042418</v>
      </c>
      <c r="J10" s="558">
        <v>143.29043269042418</v>
      </c>
      <c r="K10" s="558">
        <v>143.29043269042418</v>
      </c>
      <c r="L10" s="558">
        <v>143.29043269042418</v>
      </c>
      <c r="M10" s="558">
        <v>143.29043269042418</v>
      </c>
      <c r="N10" s="558">
        <v>143.29043269042418</v>
      </c>
      <c r="O10" s="558">
        <v>143.29043269042418</v>
      </c>
      <c r="R10" t="s">
        <v>26</v>
      </c>
      <c r="S10" s="557">
        <f>+C18</f>
        <v>1363.5047053613696</v>
      </c>
    </row>
    <row r="11" spans="1:20" x14ac:dyDescent="0.25">
      <c r="A11" s="416" t="s">
        <v>65</v>
      </c>
      <c r="B11" s="406" t="s">
        <v>66</v>
      </c>
      <c r="C11" s="407">
        <v>110.95741391407672</v>
      </c>
      <c r="D11" s="408">
        <v>1.0800000000000001E-2</v>
      </c>
      <c r="E11" s="409" t="s">
        <v>54</v>
      </c>
      <c r="F11" s="558">
        <v>4.6724154718368434</v>
      </c>
      <c r="G11" s="558">
        <v>4.6578778992557961</v>
      </c>
      <c r="H11" s="558">
        <v>4.6433910206173081</v>
      </c>
      <c r="I11" s="558">
        <v>4.6289546417344045</v>
      </c>
      <c r="J11" s="558">
        <v>4.6145685692163783</v>
      </c>
      <c r="K11" s="558">
        <v>4.6002326104653779</v>
      </c>
      <c r="L11" s="558">
        <v>4.5859465736729943</v>
      </c>
      <c r="M11" s="558">
        <v>4.5717102678168784</v>
      </c>
      <c r="N11" s="558">
        <v>4.5575235026573626</v>
      </c>
      <c r="O11" s="558">
        <v>4.5433860887341044</v>
      </c>
      <c r="R11" s="559" t="s">
        <v>515</v>
      </c>
    </row>
    <row r="12" spans="1:20" x14ac:dyDescent="0.25">
      <c r="A12" s="417" t="s">
        <v>65</v>
      </c>
      <c r="B12" s="410" t="s">
        <v>67</v>
      </c>
      <c r="C12" s="69">
        <v>1688.7862513844032</v>
      </c>
      <c r="D12" s="67">
        <v>1.0800000000000001E-2</v>
      </c>
      <c r="E12" s="411" t="s">
        <v>54</v>
      </c>
      <c r="F12" s="558">
        <v>19.11721807571513</v>
      </c>
      <c r="G12" s="558">
        <v>19.11721807571513</v>
      </c>
      <c r="H12" s="558">
        <v>19.11721807571513</v>
      </c>
      <c r="I12" s="558">
        <v>19.11721807571513</v>
      </c>
      <c r="J12" s="558">
        <v>19.11721807571513</v>
      </c>
      <c r="K12" s="558">
        <v>19.11721807571513</v>
      </c>
      <c r="L12" s="558">
        <v>19.11721807571513</v>
      </c>
      <c r="M12" s="558">
        <v>19.11721807571513</v>
      </c>
      <c r="N12" s="558">
        <v>19.11721807571513</v>
      </c>
      <c r="O12" s="558">
        <v>19.11721807571513</v>
      </c>
    </row>
    <row r="13" spans="1:20" x14ac:dyDescent="0.25">
      <c r="A13" s="417" t="s">
        <v>65</v>
      </c>
      <c r="B13" s="410" t="s">
        <v>68</v>
      </c>
      <c r="C13" s="69">
        <v>2718.3111448104701</v>
      </c>
      <c r="D13" s="67">
        <v>1.0800000000000001E-2</v>
      </c>
      <c r="E13" s="411" t="s">
        <v>54</v>
      </c>
    </row>
    <row r="14" spans="1:20" x14ac:dyDescent="0.25">
      <c r="A14" s="417" t="s">
        <v>65</v>
      </c>
      <c r="B14" s="410" t="s">
        <v>69</v>
      </c>
      <c r="C14" s="69">
        <v>3682.4530978222306</v>
      </c>
      <c r="D14" s="67">
        <v>1.0800000000000001E-2</v>
      </c>
      <c r="E14" s="411" t="s">
        <v>54</v>
      </c>
    </row>
    <row r="15" spans="1:20" x14ac:dyDescent="0.25">
      <c r="A15" s="417" t="s">
        <v>65</v>
      </c>
      <c r="B15" s="410" t="s">
        <v>70</v>
      </c>
      <c r="C15" s="69">
        <v>366.17914538683948</v>
      </c>
      <c r="D15" s="67">
        <v>1.0800000000000001E-2</v>
      </c>
      <c r="E15" s="411" t="s">
        <v>54</v>
      </c>
    </row>
    <row r="16" spans="1:20" x14ac:dyDescent="0.25">
      <c r="A16" s="417" t="s">
        <v>65</v>
      </c>
      <c r="B16" s="410" t="s">
        <v>71</v>
      </c>
      <c r="C16" s="69">
        <v>36740.991026449497</v>
      </c>
      <c r="D16" s="67">
        <v>1.0800000000000001E-2</v>
      </c>
      <c r="E16" s="411" t="s">
        <v>54</v>
      </c>
    </row>
    <row r="17" spans="1:15" x14ac:dyDescent="0.25">
      <c r="A17" s="417" t="s">
        <v>65</v>
      </c>
      <c r="B17" s="410" t="s">
        <v>72</v>
      </c>
      <c r="C17" s="69">
        <v>716.14732704313451</v>
      </c>
      <c r="D17" s="67">
        <v>1.0800000000000001E-2</v>
      </c>
      <c r="E17" s="411" t="s">
        <v>54</v>
      </c>
      <c r="F17" s="67"/>
      <c r="G17" s="67"/>
      <c r="H17" s="67"/>
      <c r="I17" s="67"/>
      <c r="J17" s="67"/>
      <c r="K17" s="67"/>
    </row>
    <row r="18" spans="1:15" x14ac:dyDescent="0.25">
      <c r="A18" s="418" t="s">
        <v>65</v>
      </c>
      <c r="B18" s="412" t="s">
        <v>73</v>
      </c>
      <c r="C18" s="413">
        <v>1363.5047053613696</v>
      </c>
      <c r="D18" s="414">
        <v>1.0800000000000001E-2</v>
      </c>
      <c r="E18" s="415" t="s">
        <v>54</v>
      </c>
      <c r="F18" s="555">
        <v>3223.7451793779146</v>
      </c>
      <c r="G18" s="555">
        <v>5580.8275756196026</v>
      </c>
      <c r="H18" s="555">
        <v>7348.6393728008698</v>
      </c>
      <c r="I18" s="555">
        <v>8527.1805709217133</v>
      </c>
      <c r="J18" s="555">
        <v>9116.4511699821323</v>
      </c>
      <c r="K18" s="555">
        <v>9116.451169982136</v>
      </c>
      <c r="L18" s="555">
        <v>8527.1805709217133</v>
      </c>
      <c r="M18" s="555">
        <v>7348.6393728008688</v>
      </c>
      <c r="N18" s="555">
        <v>5580.8275756196035</v>
      </c>
      <c r="O18" s="555">
        <v>3223.7451793779142</v>
      </c>
    </row>
    <row r="19" spans="1:15" x14ac:dyDescent="0.25">
      <c r="A19" s="68" t="s">
        <v>74</v>
      </c>
      <c r="B19" s="405" t="s">
        <v>75</v>
      </c>
      <c r="C19" s="68">
        <v>17000</v>
      </c>
      <c r="D19" s="68">
        <v>0.48</v>
      </c>
      <c r="E19" s="68" t="s">
        <v>58</v>
      </c>
      <c r="F19" s="555">
        <v>160.84752571897033</v>
      </c>
      <c r="G19" s="555">
        <v>160.61601625151891</v>
      </c>
      <c r="H19" s="555">
        <v>160.38561802951074</v>
      </c>
    </row>
    <row r="21" spans="1:15" x14ac:dyDescent="0.25">
      <c r="A21" s="68" t="str">
        <f>+B4</f>
        <v>Siempre verde andino de ceja andina</v>
      </c>
    </row>
    <row r="22" spans="1:15" x14ac:dyDescent="0.25">
      <c r="A22" s="133" t="s">
        <v>220</v>
      </c>
      <c r="B22" s="136">
        <f>+C4</f>
        <v>173</v>
      </c>
      <c r="C22" s="136">
        <f t="shared" ref="C22:K22" si="0">+B22-B24</f>
        <v>172.1696</v>
      </c>
      <c r="D22" s="136">
        <f t="shared" si="0"/>
        <v>171.34318592</v>
      </c>
      <c r="E22" s="136">
        <f t="shared" si="0"/>
        <v>170.520738627584</v>
      </c>
      <c r="F22" s="136">
        <f t="shared" si="0"/>
        <v>169.70223908217159</v>
      </c>
      <c r="G22" s="136">
        <f t="shared" si="0"/>
        <v>168.88766833457717</v>
      </c>
      <c r="H22" s="136">
        <f t="shared" si="0"/>
        <v>168.07700752657121</v>
      </c>
      <c r="I22" s="136">
        <f t="shared" si="0"/>
        <v>167.27023789044367</v>
      </c>
      <c r="J22" s="136">
        <f t="shared" si="0"/>
        <v>166.46734074856954</v>
      </c>
      <c r="K22" s="136">
        <f t="shared" si="0"/>
        <v>165.66829751297641</v>
      </c>
    </row>
    <row r="23" spans="1:15" x14ac:dyDescent="0.25">
      <c r="A23" s="133" t="s">
        <v>221</v>
      </c>
      <c r="B23" s="136">
        <f t="shared" ref="B23:K23" si="1">+$D4</f>
        <v>0.48</v>
      </c>
      <c r="C23" s="136">
        <f t="shared" si="1"/>
        <v>0.48</v>
      </c>
      <c r="D23" s="136">
        <f t="shared" si="1"/>
        <v>0.48</v>
      </c>
      <c r="E23" s="136">
        <f t="shared" si="1"/>
        <v>0.48</v>
      </c>
      <c r="F23" s="136">
        <f t="shared" si="1"/>
        <v>0.48</v>
      </c>
      <c r="G23" s="136">
        <f t="shared" si="1"/>
        <v>0.48</v>
      </c>
      <c r="H23" s="136">
        <f t="shared" si="1"/>
        <v>0.48</v>
      </c>
      <c r="I23" s="136">
        <f t="shared" si="1"/>
        <v>0.48</v>
      </c>
      <c r="J23" s="136">
        <f t="shared" si="1"/>
        <v>0.48</v>
      </c>
      <c r="K23" s="136">
        <f t="shared" si="1"/>
        <v>0.48</v>
      </c>
    </row>
    <row r="24" spans="1:15" x14ac:dyDescent="0.25">
      <c r="A24" s="133" t="s">
        <v>222</v>
      </c>
      <c r="B24" s="136">
        <f>+B22*B23/100</f>
        <v>0.83039999999999992</v>
      </c>
      <c r="C24" s="136">
        <f>+C22*C23/100</f>
        <v>0.82641407999999994</v>
      </c>
      <c r="D24" s="136">
        <f t="shared" ref="D24:K24" si="2">+D22*D23/100</f>
        <v>0.82244729241600001</v>
      </c>
      <c r="E24" s="136">
        <f t="shared" si="2"/>
        <v>0.81849954541240311</v>
      </c>
      <c r="F24" s="136">
        <f t="shared" si="2"/>
        <v>0.81457074759442361</v>
      </c>
      <c r="G24" s="136">
        <f t="shared" si="2"/>
        <v>0.8106608080059704</v>
      </c>
      <c r="H24" s="136">
        <f t="shared" si="2"/>
        <v>0.80676963612754182</v>
      </c>
      <c r="I24" s="136">
        <f t="shared" si="2"/>
        <v>0.80289714187412953</v>
      </c>
      <c r="J24" s="136">
        <f t="shared" si="2"/>
        <v>0.79904323559313384</v>
      </c>
      <c r="K24" s="136">
        <f t="shared" si="2"/>
        <v>0.79520782806228663</v>
      </c>
    </row>
    <row r="25" spans="1:15" x14ac:dyDescent="0.25">
      <c r="B25" s="137"/>
      <c r="C25" s="138"/>
      <c r="D25" s="138"/>
      <c r="E25" s="138"/>
      <c r="F25" s="139"/>
      <c r="G25" s="139"/>
      <c r="H25" s="139"/>
      <c r="I25" s="139"/>
      <c r="J25" s="139"/>
      <c r="K25" s="139"/>
    </row>
    <row r="26" spans="1:15" x14ac:dyDescent="0.25">
      <c r="A26" s="68" t="str">
        <f>+B5</f>
        <v>Siempre verde andino montano</v>
      </c>
      <c r="B26" s="137"/>
      <c r="C26" s="138"/>
      <c r="D26" s="138"/>
      <c r="E26" s="138"/>
      <c r="F26" s="139"/>
      <c r="G26" s="139"/>
      <c r="H26" s="139"/>
      <c r="I26" s="139"/>
      <c r="J26" s="139"/>
      <c r="K26" s="139"/>
    </row>
    <row r="27" spans="1:15" x14ac:dyDescent="0.25">
      <c r="A27" s="133" t="s">
        <v>220</v>
      </c>
      <c r="B27" s="136">
        <f>+C5</f>
        <v>80</v>
      </c>
      <c r="C27" s="136">
        <f t="shared" ref="C27:K27" si="3">+B27-B29</f>
        <v>79.616</v>
      </c>
      <c r="D27" s="136">
        <f t="shared" si="3"/>
        <v>79.233843199999995</v>
      </c>
      <c r="E27" s="136">
        <f t="shared" si="3"/>
        <v>78.853520752639994</v>
      </c>
      <c r="F27" s="136">
        <f t="shared" si="3"/>
        <v>78.475023853027324</v>
      </c>
      <c r="G27" s="136">
        <f t="shared" si="3"/>
        <v>78.09834373853279</v>
      </c>
      <c r="H27" s="136">
        <f t="shared" si="3"/>
        <v>77.723471688587836</v>
      </c>
      <c r="I27" s="136">
        <f t="shared" si="3"/>
        <v>77.350399024482613</v>
      </c>
      <c r="J27" s="136">
        <f t="shared" si="3"/>
        <v>76.979117109165102</v>
      </c>
      <c r="K27" s="136">
        <f t="shared" si="3"/>
        <v>76.609617347041109</v>
      </c>
    </row>
    <row r="28" spans="1:15" x14ac:dyDescent="0.25">
      <c r="A28" s="133" t="s">
        <v>221</v>
      </c>
      <c r="B28" s="136">
        <f>+D5</f>
        <v>0.48</v>
      </c>
      <c r="C28" s="136">
        <f t="shared" ref="C28:K28" si="4">+B28</f>
        <v>0.48</v>
      </c>
      <c r="D28" s="136">
        <f t="shared" si="4"/>
        <v>0.48</v>
      </c>
      <c r="E28" s="136">
        <f t="shared" si="4"/>
        <v>0.48</v>
      </c>
      <c r="F28" s="136">
        <f t="shared" si="4"/>
        <v>0.48</v>
      </c>
      <c r="G28" s="136">
        <f t="shared" si="4"/>
        <v>0.48</v>
      </c>
      <c r="H28" s="136">
        <f t="shared" si="4"/>
        <v>0.48</v>
      </c>
      <c r="I28" s="136">
        <f t="shared" si="4"/>
        <v>0.48</v>
      </c>
      <c r="J28" s="136">
        <f t="shared" si="4"/>
        <v>0.48</v>
      </c>
      <c r="K28" s="136">
        <f t="shared" si="4"/>
        <v>0.48</v>
      </c>
    </row>
    <row r="29" spans="1:15" x14ac:dyDescent="0.25">
      <c r="A29" s="133" t="s">
        <v>222</v>
      </c>
      <c r="B29" s="136">
        <f t="shared" ref="B29:K29" si="5">+B27*B28/100</f>
        <v>0.38400000000000001</v>
      </c>
      <c r="C29" s="136">
        <f t="shared" si="5"/>
        <v>0.38215679999999996</v>
      </c>
      <c r="D29" s="136">
        <f t="shared" si="5"/>
        <v>0.38032244735999998</v>
      </c>
      <c r="E29" s="136">
        <f t="shared" si="5"/>
        <v>0.37849689961267197</v>
      </c>
      <c r="F29" s="136">
        <f t="shared" si="5"/>
        <v>0.37668011449453109</v>
      </c>
      <c r="G29" s="136">
        <f t="shared" si="5"/>
        <v>0.37487204994495743</v>
      </c>
      <c r="H29" s="136">
        <f t="shared" si="5"/>
        <v>0.37307266410522161</v>
      </c>
      <c r="I29" s="136">
        <f t="shared" si="5"/>
        <v>0.37128191531751653</v>
      </c>
      <c r="J29" s="136">
        <f t="shared" si="5"/>
        <v>0.36949976212399249</v>
      </c>
      <c r="K29" s="136">
        <f t="shared" si="5"/>
        <v>0.36772616326579732</v>
      </c>
    </row>
    <row r="30" spans="1:15" x14ac:dyDescent="0.25">
      <c r="B30" s="137"/>
      <c r="C30" s="138"/>
      <c r="D30" s="138"/>
      <c r="E30" s="138"/>
      <c r="F30" s="139"/>
      <c r="G30" s="139"/>
      <c r="H30" s="139"/>
      <c r="I30" s="139"/>
      <c r="J30" s="139"/>
      <c r="K30" s="139"/>
    </row>
    <row r="31" spans="1:15" x14ac:dyDescent="0.25">
      <c r="A31" s="68" t="str">
        <f>+B6</f>
        <v>Siempre verde andino de ceja andina</v>
      </c>
      <c r="B31" s="137"/>
      <c r="C31" s="138"/>
      <c r="D31" s="138"/>
      <c r="E31" s="138"/>
      <c r="F31" s="139"/>
      <c r="G31" s="139"/>
      <c r="H31" s="139"/>
      <c r="I31" s="139"/>
      <c r="J31" s="139"/>
      <c r="K31" s="139"/>
    </row>
    <row r="32" spans="1:15" x14ac:dyDescent="0.25">
      <c r="A32" s="133" t="s">
        <v>220</v>
      </c>
      <c r="B32" s="136">
        <f>+C6</f>
        <v>102</v>
      </c>
      <c r="C32" s="136">
        <f t="shared" ref="C32:K32" si="6">+B32-B34</f>
        <v>101.5104</v>
      </c>
      <c r="D32" s="136">
        <f t="shared" si="6"/>
        <v>101.02315008000001</v>
      </c>
      <c r="E32" s="136">
        <f t="shared" si="6"/>
        <v>100.53823895961601</v>
      </c>
      <c r="F32" s="136">
        <f t="shared" si="6"/>
        <v>100.05565541260985</v>
      </c>
      <c r="G32" s="136">
        <f t="shared" si="6"/>
        <v>99.575388266629318</v>
      </c>
      <c r="H32" s="136">
        <f t="shared" si="6"/>
        <v>99.097426402949495</v>
      </c>
      <c r="I32" s="136">
        <f t="shared" si="6"/>
        <v>98.621758756215343</v>
      </c>
      <c r="J32" s="136">
        <f t="shared" si="6"/>
        <v>98.148374314185503</v>
      </c>
      <c r="K32" s="136">
        <f t="shared" si="6"/>
        <v>97.677262117477412</v>
      </c>
    </row>
    <row r="33" spans="1:11" x14ac:dyDescent="0.25">
      <c r="A33" s="133" t="s">
        <v>221</v>
      </c>
      <c r="B33" s="136">
        <f>+D6</f>
        <v>0.48</v>
      </c>
      <c r="C33" s="136">
        <f t="shared" ref="C33:K33" si="7">+B33</f>
        <v>0.48</v>
      </c>
      <c r="D33" s="136">
        <f t="shared" si="7"/>
        <v>0.48</v>
      </c>
      <c r="E33" s="136">
        <f t="shared" si="7"/>
        <v>0.48</v>
      </c>
      <c r="F33" s="136">
        <f t="shared" si="7"/>
        <v>0.48</v>
      </c>
      <c r="G33" s="136">
        <f t="shared" si="7"/>
        <v>0.48</v>
      </c>
      <c r="H33" s="136">
        <f t="shared" si="7"/>
        <v>0.48</v>
      </c>
      <c r="I33" s="136">
        <f t="shared" si="7"/>
        <v>0.48</v>
      </c>
      <c r="J33" s="136">
        <f t="shared" si="7"/>
        <v>0.48</v>
      </c>
      <c r="K33" s="136">
        <f t="shared" si="7"/>
        <v>0.48</v>
      </c>
    </row>
    <row r="34" spans="1:11" x14ac:dyDescent="0.25">
      <c r="A34" s="133" t="s">
        <v>222</v>
      </c>
      <c r="B34" s="136">
        <f t="shared" ref="B34:K34" si="8">+B32*B33/100</f>
        <v>0.48960000000000004</v>
      </c>
      <c r="C34" s="136">
        <f t="shared" si="8"/>
        <v>0.48724992</v>
      </c>
      <c r="D34" s="136">
        <f t="shared" si="8"/>
        <v>0.48491112038400003</v>
      </c>
      <c r="E34" s="136">
        <f t="shared" si="8"/>
        <v>0.48258354700615685</v>
      </c>
      <c r="F34" s="136">
        <f t="shared" si="8"/>
        <v>0.48026714598052728</v>
      </c>
      <c r="G34" s="136">
        <f t="shared" si="8"/>
        <v>0.47796186367982074</v>
      </c>
      <c r="H34" s="136">
        <f t="shared" si="8"/>
        <v>0.47566764673415757</v>
      </c>
      <c r="I34" s="136">
        <f t="shared" si="8"/>
        <v>0.4733844420298336</v>
      </c>
      <c r="J34" s="136">
        <f t="shared" si="8"/>
        <v>0.4711121967080904</v>
      </c>
      <c r="K34" s="136">
        <f t="shared" si="8"/>
        <v>0.46885085816389155</v>
      </c>
    </row>
    <row r="35" spans="1:11" x14ac:dyDescent="0.25">
      <c r="B35" s="137"/>
      <c r="C35" s="138"/>
      <c r="D35" s="138"/>
      <c r="E35" s="138"/>
      <c r="F35" s="139"/>
      <c r="G35" s="139"/>
      <c r="H35" s="139"/>
      <c r="I35" s="139"/>
      <c r="J35" s="139"/>
      <c r="K35" s="139"/>
    </row>
    <row r="36" spans="1:11" x14ac:dyDescent="0.25">
      <c r="A36" s="68" t="str">
        <f>+B7</f>
        <v>Siempre verde tierras bajas de la amazonía</v>
      </c>
      <c r="B36" s="137"/>
      <c r="C36" s="138"/>
      <c r="D36" s="138"/>
      <c r="E36" s="138"/>
      <c r="F36" s="139"/>
      <c r="G36" s="139"/>
      <c r="H36" s="139"/>
      <c r="I36" s="139"/>
      <c r="J36" s="139"/>
      <c r="K36" s="139"/>
    </row>
    <row r="37" spans="1:11" x14ac:dyDescent="0.25">
      <c r="A37" s="133" t="s">
        <v>220</v>
      </c>
      <c r="B37" s="140">
        <f>+C7</f>
        <v>54629.208942999998</v>
      </c>
      <c r="C37" s="140">
        <f t="shared" ref="C37:K37" si="9">+B37-B39</f>
        <v>54514.487604219699</v>
      </c>
      <c r="D37" s="140">
        <f t="shared" si="9"/>
        <v>54400.007180250839</v>
      </c>
      <c r="E37" s="140">
        <f t="shared" si="9"/>
        <v>54285.767165172314</v>
      </c>
      <c r="F37" s="140">
        <f t="shared" si="9"/>
        <v>54171.767054125456</v>
      </c>
      <c r="G37" s="140">
        <f t="shared" si="9"/>
        <v>54058.00634331179</v>
      </c>
      <c r="H37" s="140">
        <f t="shared" si="9"/>
        <v>53944.484529990834</v>
      </c>
      <c r="I37" s="140">
        <f t="shared" si="9"/>
        <v>53831.201112477851</v>
      </c>
      <c r="J37" s="140">
        <f t="shared" si="9"/>
        <v>53718.15559014165</v>
      </c>
      <c r="K37" s="140">
        <f t="shared" si="9"/>
        <v>53605.347463402351</v>
      </c>
    </row>
    <row r="38" spans="1:11" x14ac:dyDescent="0.25">
      <c r="A38" s="133" t="s">
        <v>221</v>
      </c>
      <c r="B38" s="136">
        <f>+D8</f>
        <v>0.21</v>
      </c>
      <c r="C38" s="136">
        <f t="shared" ref="C38:K38" si="10">+B38</f>
        <v>0.21</v>
      </c>
      <c r="D38" s="136">
        <f t="shared" si="10"/>
        <v>0.21</v>
      </c>
      <c r="E38" s="136">
        <f t="shared" si="10"/>
        <v>0.21</v>
      </c>
      <c r="F38" s="136">
        <f t="shared" si="10"/>
        <v>0.21</v>
      </c>
      <c r="G38" s="136">
        <f t="shared" si="10"/>
        <v>0.21</v>
      </c>
      <c r="H38" s="136">
        <f t="shared" si="10"/>
        <v>0.21</v>
      </c>
      <c r="I38" s="136">
        <f t="shared" si="10"/>
        <v>0.21</v>
      </c>
      <c r="J38" s="136">
        <f t="shared" si="10"/>
        <v>0.21</v>
      </c>
      <c r="K38" s="136">
        <f t="shared" si="10"/>
        <v>0.21</v>
      </c>
    </row>
    <row r="39" spans="1:11" x14ac:dyDescent="0.25">
      <c r="A39" s="133" t="s">
        <v>222</v>
      </c>
      <c r="B39" s="136">
        <f t="shared" ref="B39:K39" si="11">+B37*B38/100</f>
        <v>114.72133878029999</v>
      </c>
      <c r="C39" s="136">
        <f t="shared" si="11"/>
        <v>114.48042396886136</v>
      </c>
      <c r="D39" s="136">
        <f t="shared" si="11"/>
        <v>114.24001507852675</v>
      </c>
      <c r="E39" s="136">
        <f t="shared" si="11"/>
        <v>114.00011104686186</v>
      </c>
      <c r="F39" s="136">
        <f t="shared" si="11"/>
        <v>113.76071081366345</v>
      </c>
      <c r="G39" s="136">
        <f t="shared" si="11"/>
        <v>113.52181332095475</v>
      </c>
      <c r="H39" s="136">
        <f t="shared" si="11"/>
        <v>113.28341751298075</v>
      </c>
      <c r="I39" s="136">
        <f t="shared" si="11"/>
        <v>113.04552233620349</v>
      </c>
      <c r="J39" s="136">
        <f t="shared" si="11"/>
        <v>112.80812673929746</v>
      </c>
      <c r="K39" s="136">
        <f t="shared" si="11"/>
        <v>112.57122967314494</v>
      </c>
    </row>
    <row r="40" spans="1:11" x14ac:dyDescent="0.25">
      <c r="B40" s="137"/>
      <c r="C40" s="138"/>
      <c r="D40" s="138"/>
      <c r="E40" s="138"/>
      <c r="F40" s="139"/>
      <c r="G40" s="139"/>
      <c r="H40" s="139"/>
      <c r="I40" s="139"/>
      <c r="J40" s="139"/>
      <c r="K40" s="139"/>
    </row>
    <row r="41" spans="1:11" x14ac:dyDescent="0.25">
      <c r="A41" s="68" t="str">
        <f>+B8</f>
        <v>Moretales</v>
      </c>
      <c r="B41" s="137"/>
      <c r="C41" s="138"/>
      <c r="D41" s="138"/>
      <c r="E41" s="138"/>
      <c r="F41" s="139"/>
      <c r="G41" s="139"/>
      <c r="H41" s="139"/>
      <c r="I41" s="139"/>
      <c r="J41" s="139"/>
      <c r="K41" s="139"/>
    </row>
    <row r="42" spans="1:11" x14ac:dyDescent="0.25">
      <c r="A42" s="133" t="s">
        <v>220</v>
      </c>
      <c r="B42" s="140">
        <f>+C8</f>
        <v>39664.720974399999</v>
      </c>
      <c r="C42" s="140">
        <f t="shared" ref="C42:K42" si="12">+B42-B44</f>
        <v>39581.425060353758</v>
      </c>
      <c r="D42" s="140">
        <f t="shared" si="12"/>
        <v>39498.304067727018</v>
      </c>
      <c r="E42" s="140">
        <f t="shared" si="12"/>
        <v>39415.357629184793</v>
      </c>
      <c r="F42" s="140">
        <f t="shared" si="12"/>
        <v>39332.585378163501</v>
      </c>
      <c r="G42" s="140">
        <f t="shared" si="12"/>
        <v>39249.986948869358</v>
      </c>
      <c r="H42" s="140">
        <f t="shared" si="12"/>
        <v>39167.561976276731</v>
      </c>
      <c r="I42" s="140">
        <f t="shared" si="12"/>
        <v>39085.310096126552</v>
      </c>
      <c r="J42" s="140">
        <f t="shared" si="12"/>
        <v>39003.23094492469</v>
      </c>
      <c r="K42" s="140">
        <f t="shared" si="12"/>
        <v>38921.324159940348</v>
      </c>
    </row>
    <row r="43" spans="1:11" x14ac:dyDescent="0.25">
      <c r="A43" s="133" t="s">
        <v>221</v>
      </c>
      <c r="B43" s="136">
        <f>+D8</f>
        <v>0.21</v>
      </c>
      <c r="C43" s="136">
        <f t="shared" ref="C43:K43" si="13">+B43</f>
        <v>0.21</v>
      </c>
      <c r="D43" s="136">
        <f t="shared" si="13"/>
        <v>0.21</v>
      </c>
      <c r="E43" s="136">
        <f t="shared" si="13"/>
        <v>0.21</v>
      </c>
      <c r="F43" s="136">
        <f t="shared" si="13"/>
        <v>0.21</v>
      </c>
      <c r="G43" s="136">
        <f t="shared" si="13"/>
        <v>0.21</v>
      </c>
      <c r="H43" s="136">
        <f t="shared" si="13"/>
        <v>0.21</v>
      </c>
      <c r="I43" s="136">
        <f t="shared" si="13"/>
        <v>0.21</v>
      </c>
      <c r="J43" s="136">
        <f t="shared" si="13"/>
        <v>0.21</v>
      </c>
      <c r="K43" s="136">
        <f t="shared" si="13"/>
        <v>0.21</v>
      </c>
    </row>
    <row r="44" spans="1:11" x14ac:dyDescent="0.25">
      <c r="A44" s="133" t="s">
        <v>222</v>
      </c>
      <c r="B44" s="136">
        <f t="shared" ref="B44:K44" si="14">+B42*B43/100</f>
        <v>83.29591404624</v>
      </c>
      <c r="C44" s="136">
        <f t="shared" si="14"/>
        <v>83.120992626742876</v>
      </c>
      <c r="D44" s="136">
        <f t="shared" si="14"/>
        <v>82.94643854222673</v>
      </c>
      <c r="E44" s="136">
        <f t="shared" si="14"/>
        <v>82.772251021288071</v>
      </c>
      <c r="F44" s="136">
        <f t="shared" si="14"/>
        <v>82.598429294143358</v>
      </c>
      <c r="G44" s="136">
        <f t="shared" si="14"/>
        <v>82.42497259262565</v>
      </c>
      <c r="H44" s="136">
        <f t="shared" si="14"/>
        <v>82.251880150181137</v>
      </c>
      <c r="I44" s="136">
        <f t="shared" si="14"/>
        <v>82.079151201865756</v>
      </c>
      <c r="J44" s="136">
        <f t="shared" si="14"/>
        <v>81.906784984341854</v>
      </c>
      <c r="K44" s="136">
        <f t="shared" si="14"/>
        <v>81.734780735874722</v>
      </c>
    </row>
    <row r="45" spans="1:11" x14ac:dyDescent="0.25">
      <c r="B45" s="137"/>
      <c r="C45" s="138"/>
      <c r="D45" s="138"/>
      <c r="E45" s="138"/>
      <c r="F45" s="139"/>
      <c r="G45" s="139"/>
      <c r="H45" s="139"/>
      <c r="I45" s="139"/>
      <c r="J45" s="139"/>
      <c r="K45" s="139"/>
    </row>
    <row r="46" spans="1:11" ht="30" x14ac:dyDescent="0.25">
      <c r="A46" s="68" t="str">
        <f>+B9</f>
        <v xml:space="preserve">Bosque Siempre Verde Andino Pie 
Montano </v>
      </c>
      <c r="B46" s="137"/>
      <c r="C46" s="138"/>
      <c r="D46" s="138"/>
      <c r="E46" s="138"/>
      <c r="F46" s="139"/>
      <c r="G46" s="139"/>
      <c r="H46" s="139"/>
      <c r="I46" s="139"/>
      <c r="J46" s="139"/>
      <c r="K46" s="139"/>
    </row>
    <row r="47" spans="1:11" x14ac:dyDescent="0.25">
      <c r="A47" s="133" t="s">
        <v>220</v>
      </c>
      <c r="B47" s="140">
        <f>+C9</f>
        <v>568.11517191300004</v>
      </c>
      <c r="C47" s="140">
        <f t="shared" ref="C47:K47" si="15">+B47-B49</f>
        <v>566.12676881130449</v>
      </c>
      <c r="D47" s="140">
        <f t="shared" si="15"/>
        <v>564.14532512046492</v>
      </c>
      <c r="E47" s="140">
        <f t="shared" si="15"/>
        <v>562.17081648254327</v>
      </c>
      <c r="F47" s="140">
        <f t="shared" si="15"/>
        <v>560.20321862485434</v>
      </c>
      <c r="G47" s="140">
        <f t="shared" si="15"/>
        <v>558.24250735966734</v>
      </c>
      <c r="H47" s="140">
        <f t="shared" si="15"/>
        <v>556.2886585839085</v>
      </c>
      <c r="I47" s="140">
        <f t="shared" si="15"/>
        <v>554.3416482788648</v>
      </c>
      <c r="J47" s="140">
        <f t="shared" si="15"/>
        <v>552.40145250988871</v>
      </c>
      <c r="K47" s="140">
        <f t="shared" si="15"/>
        <v>550.46804742610414</v>
      </c>
    </row>
    <row r="48" spans="1:11" x14ac:dyDescent="0.25">
      <c r="A48" s="133" t="s">
        <v>221</v>
      </c>
      <c r="B48" s="136">
        <f>+D9</f>
        <v>0.35</v>
      </c>
      <c r="C48" s="136">
        <f t="shared" ref="C48:K48" si="16">+B48</f>
        <v>0.35</v>
      </c>
      <c r="D48" s="136">
        <f t="shared" si="16"/>
        <v>0.35</v>
      </c>
      <c r="E48" s="136">
        <f t="shared" si="16"/>
        <v>0.35</v>
      </c>
      <c r="F48" s="136">
        <f t="shared" si="16"/>
        <v>0.35</v>
      </c>
      <c r="G48" s="136">
        <f t="shared" si="16"/>
        <v>0.35</v>
      </c>
      <c r="H48" s="136">
        <f t="shared" si="16"/>
        <v>0.35</v>
      </c>
      <c r="I48" s="136">
        <f t="shared" si="16"/>
        <v>0.35</v>
      </c>
      <c r="J48" s="136">
        <f t="shared" si="16"/>
        <v>0.35</v>
      </c>
      <c r="K48" s="136">
        <f t="shared" si="16"/>
        <v>0.35</v>
      </c>
    </row>
    <row r="49" spans="1:11" x14ac:dyDescent="0.25">
      <c r="A49" s="133" t="s">
        <v>222</v>
      </c>
      <c r="B49" s="136">
        <f t="shared" ref="B49:K49" si="17">+B47*B48/100</f>
        <v>1.9884031016955002</v>
      </c>
      <c r="C49" s="136">
        <f t="shared" si="17"/>
        <v>1.9814436908395654</v>
      </c>
      <c r="D49" s="136">
        <f t="shared" si="17"/>
        <v>1.9745086379216272</v>
      </c>
      <c r="E49" s="136">
        <f t="shared" si="17"/>
        <v>1.9675978576889015</v>
      </c>
      <c r="F49" s="136">
        <f t="shared" si="17"/>
        <v>1.96071126518699</v>
      </c>
      <c r="G49" s="136">
        <f t="shared" si="17"/>
        <v>1.9538487757588356</v>
      </c>
      <c r="H49" s="136">
        <f t="shared" si="17"/>
        <v>1.9470103050436796</v>
      </c>
      <c r="I49" s="136">
        <f t="shared" si="17"/>
        <v>1.9401957689760265</v>
      </c>
      <c r="J49" s="136">
        <f t="shared" si="17"/>
        <v>1.9334050837846104</v>
      </c>
      <c r="K49" s="136">
        <f t="shared" si="17"/>
        <v>1.9266381659913643</v>
      </c>
    </row>
    <row r="50" spans="1:11" x14ac:dyDescent="0.25">
      <c r="B50" s="137"/>
      <c r="C50" s="138"/>
      <c r="D50" s="138"/>
      <c r="E50" s="138"/>
      <c r="F50" s="139"/>
      <c r="G50" s="139"/>
      <c r="H50" s="139"/>
      <c r="I50" s="139"/>
      <c r="J50" s="139"/>
      <c r="K50" s="139"/>
    </row>
    <row r="51" spans="1:11" ht="30" x14ac:dyDescent="0.25">
      <c r="A51" s="68" t="str">
        <f>+B10</f>
        <v xml:space="preserve">Bosque Siempre Verde de Tierras 
Bajas del Chocó </v>
      </c>
      <c r="B51" s="137"/>
      <c r="C51" s="138"/>
      <c r="D51" s="138"/>
      <c r="E51" s="138"/>
      <c r="F51" s="139"/>
      <c r="G51" s="139"/>
      <c r="H51" s="139"/>
      <c r="I51" s="139"/>
      <c r="J51" s="139"/>
      <c r="K51" s="139"/>
    </row>
    <row r="52" spans="1:11" x14ac:dyDescent="0.25">
      <c r="A52" s="133" t="s">
        <v>220</v>
      </c>
      <c r="B52" s="140">
        <f>+C10</f>
        <v>21062.2836345</v>
      </c>
      <c r="C52" s="140">
        <f t="shared" ref="C52:K52" si="18">+B52-B54</f>
        <v>20988.565641779249</v>
      </c>
      <c r="D52" s="140">
        <f t="shared" si="18"/>
        <v>20915.10566203302</v>
      </c>
      <c r="E52" s="140">
        <f t="shared" si="18"/>
        <v>20841.902792215904</v>
      </c>
      <c r="F52" s="140">
        <f t="shared" si="18"/>
        <v>20768.956132443149</v>
      </c>
      <c r="G52" s="140">
        <f t="shared" si="18"/>
        <v>20696.264785979598</v>
      </c>
      <c r="H52" s="140">
        <f t="shared" si="18"/>
        <v>20623.82785922867</v>
      </c>
      <c r="I52" s="140">
        <f t="shared" si="18"/>
        <v>20551.644461721371</v>
      </c>
      <c r="J52" s="140">
        <f t="shared" si="18"/>
        <v>20479.713706105347</v>
      </c>
      <c r="K52" s="140">
        <f t="shared" si="18"/>
        <v>20408.034708133979</v>
      </c>
    </row>
    <row r="53" spans="1:11" x14ac:dyDescent="0.25">
      <c r="A53" s="133" t="s">
        <v>221</v>
      </c>
      <c r="B53" s="136">
        <f>+D10</f>
        <v>0.35</v>
      </c>
      <c r="C53" s="136">
        <f t="shared" ref="C53:K53" si="19">+B53</f>
        <v>0.35</v>
      </c>
      <c r="D53" s="136">
        <f t="shared" si="19"/>
        <v>0.35</v>
      </c>
      <c r="E53" s="136">
        <f t="shared" si="19"/>
        <v>0.35</v>
      </c>
      <c r="F53" s="136">
        <f t="shared" si="19"/>
        <v>0.35</v>
      </c>
      <c r="G53" s="136">
        <f t="shared" si="19"/>
        <v>0.35</v>
      </c>
      <c r="H53" s="136">
        <f t="shared" si="19"/>
        <v>0.35</v>
      </c>
      <c r="I53" s="136">
        <f t="shared" si="19"/>
        <v>0.35</v>
      </c>
      <c r="J53" s="136">
        <f t="shared" si="19"/>
        <v>0.35</v>
      </c>
      <c r="K53" s="136">
        <f t="shared" si="19"/>
        <v>0.35</v>
      </c>
    </row>
    <row r="54" spans="1:11" x14ac:dyDescent="0.25">
      <c r="A54" s="133" t="s">
        <v>222</v>
      </c>
      <c r="B54" s="136">
        <f t="shared" ref="B54:K54" si="20">+B52*B53/100</f>
        <v>73.71799272074999</v>
      </c>
      <c r="C54" s="136">
        <f t="shared" si="20"/>
        <v>73.459979746227361</v>
      </c>
      <c r="D54" s="136">
        <f t="shared" si="20"/>
        <v>73.202869817115555</v>
      </c>
      <c r="E54" s="136">
        <f t="shared" si="20"/>
        <v>72.946659772755652</v>
      </c>
      <c r="F54" s="136">
        <f t="shared" si="20"/>
        <v>72.691346463551014</v>
      </c>
      <c r="G54" s="136">
        <f t="shared" si="20"/>
        <v>72.436926750928592</v>
      </c>
      <c r="H54" s="136">
        <f t="shared" si="20"/>
        <v>72.183397507300342</v>
      </c>
      <c r="I54" s="136">
        <f t="shared" si="20"/>
        <v>71.930755616024783</v>
      </c>
      <c r="J54" s="136">
        <f t="shared" si="20"/>
        <v>71.678997971368702</v>
      </c>
      <c r="K54" s="136">
        <f t="shared" si="20"/>
        <v>71.428121478468924</v>
      </c>
    </row>
    <row r="55" spans="1:11" x14ac:dyDescent="0.25">
      <c r="B55" s="137"/>
      <c r="C55" s="138"/>
      <c r="D55" s="138"/>
      <c r="E55" s="138"/>
      <c r="F55" s="139"/>
      <c r="G55" s="139"/>
      <c r="H55" s="139"/>
      <c r="I55" s="139"/>
      <c r="J55" s="139"/>
      <c r="K55" s="139"/>
    </row>
    <row r="56" spans="1:11" x14ac:dyDescent="0.25">
      <c r="A56" s="68" t="str">
        <f>+B11</f>
        <v>BOSQUE SECO ANDINO</v>
      </c>
      <c r="B56" s="137"/>
      <c r="C56" s="138"/>
      <c r="D56" s="138"/>
      <c r="E56" s="138"/>
      <c r="F56" s="139"/>
      <c r="G56" s="139"/>
      <c r="H56" s="139"/>
      <c r="I56" s="139"/>
      <c r="J56" s="139"/>
      <c r="K56" s="139"/>
    </row>
    <row r="57" spans="1:11" x14ac:dyDescent="0.25">
      <c r="A57" s="133" t="s">
        <v>220</v>
      </c>
      <c r="B57" s="140">
        <f>+C11</f>
        <v>110.95741391407672</v>
      </c>
      <c r="C57" s="140">
        <f t="shared" ref="C57:K57" si="21">+B57-B59</f>
        <v>110.94543051337401</v>
      </c>
      <c r="D57" s="140">
        <f t="shared" si="21"/>
        <v>110.93344840687857</v>
      </c>
      <c r="E57" s="140">
        <f t="shared" si="21"/>
        <v>110.92146759445063</v>
      </c>
      <c r="F57" s="140">
        <f t="shared" si="21"/>
        <v>110.90948807595043</v>
      </c>
      <c r="G57" s="140">
        <f t="shared" si="21"/>
        <v>110.89750985123823</v>
      </c>
      <c r="H57" s="140">
        <f t="shared" si="21"/>
        <v>110.8855329201743</v>
      </c>
      <c r="I57" s="140">
        <f t="shared" si="21"/>
        <v>110.87355728261892</v>
      </c>
      <c r="J57" s="140">
        <f t="shared" si="21"/>
        <v>110.86158293843239</v>
      </c>
      <c r="K57" s="140">
        <f t="shared" si="21"/>
        <v>110.84960988747504</v>
      </c>
    </row>
    <row r="58" spans="1:11" x14ac:dyDescent="0.25">
      <c r="A58" s="133" t="s">
        <v>221</v>
      </c>
      <c r="B58" s="136">
        <f>+D11</f>
        <v>1.0800000000000001E-2</v>
      </c>
      <c r="C58" s="136">
        <f t="shared" ref="C58:K58" si="22">+B58</f>
        <v>1.0800000000000001E-2</v>
      </c>
      <c r="D58" s="136">
        <f t="shared" si="22"/>
        <v>1.0800000000000001E-2</v>
      </c>
      <c r="E58" s="136">
        <f t="shared" si="22"/>
        <v>1.0800000000000001E-2</v>
      </c>
      <c r="F58" s="136">
        <f t="shared" si="22"/>
        <v>1.0800000000000001E-2</v>
      </c>
      <c r="G58" s="136">
        <f t="shared" si="22"/>
        <v>1.0800000000000001E-2</v>
      </c>
      <c r="H58" s="136">
        <f t="shared" si="22"/>
        <v>1.0800000000000001E-2</v>
      </c>
      <c r="I58" s="136">
        <f t="shared" si="22"/>
        <v>1.0800000000000001E-2</v>
      </c>
      <c r="J58" s="136">
        <f t="shared" si="22"/>
        <v>1.0800000000000001E-2</v>
      </c>
      <c r="K58" s="136">
        <f t="shared" si="22"/>
        <v>1.0800000000000001E-2</v>
      </c>
    </row>
    <row r="59" spans="1:11" x14ac:dyDescent="0.25">
      <c r="A59" s="133" t="s">
        <v>222</v>
      </c>
      <c r="B59" s="136">
        <f t="shared" ref="B59:K59" si="23">+B57*B58/100</f>
        <v>1.1983400702720286E-2</v>
      </c>
      <c r="C59" s="136">
        <f t="shared" si="23"/>
        <v>1.1982106495444393E-2</v>
      </c>
      <c r="D59" s="136">
        <f t="shared" si="23"/>
        <v>1.1980812427942886E-2</v>
      </c>
      <c r="E59" s="136">
        <f t="shared" si="23"/>
        <v>1.1979518500200671E-2</v>
      </c>
      <c r="F59" s="136">
        <f t="shared" si="23"/>
        <v>1.1978224712202647E-2</v>
      </c>
      <c r="G59" s="136">
        <f t="shared" si="23"/>
        <v>1.197693106393373E-2</v>
      </c>
      <c r="H59" s="136">
        <f t="shared" si="23"/>
        <v>1.1975637555378824E-2</v>
      </c>
      <c r="I59" s="136">
        <f t="shared" si="23"/>
        <v>1.1974344186522844E-2</v>
      </c>
      <c r="J59" s="136">
        <f t="shared" si="23"/>
        <v>1.1973050957350699E-2</v>
      </c>
      <c r="K59" s="136">
        <f t="shared" si="23"/>
        <v>1.1971757867847306E-2</v>
      </c>
    </row>
    <row r="60" spans="1:11" x14ac:dyDescent="0.25">
      <c r="B60" s="137"/>
      <c r="C60" s="138"/>
      <c r="D60" s="138"/>
      <c r="E60" s="138"/>
      <c r="F60" s="139"/>
      <c r="G60" s="139"/>
      <c r="H60" s="139"/>
      <c r="I60" s="139"/>
      <c r="J60" s="139"/>
      <c r="K60" s="139"/>
    </row>
    <row r="61" spans="1:11" x14ac:dyDescent="0.25">
      <c r="A61" s="68" t="str">
        <f>+B12</f>
        <v>BOSQUE SECO PLUVIESTACIONAL</v>
      </c>
      <c r="B61" s="137"/>
      <c r="C61" s="138"/>
      <c r="D61" s="138"/>
      <c r="E61" s="138"/>
      <c r="F61" s="139"/>
      <c r="G61" s="139"/>
      <c r="H61" s="139"/>
      <c r="I61" s="139"/>
      <c r="J61" s="139"/>
      <c r="K61" s="139"/>
    </row>
    <row r="62" spans="1:11" x14ac:dyDescent="0.25">
      <c r="A62" s="133" t="s">
        <v>220</v>
      </c>
      <c r="B62" s="140">
        <f>+C12</f>
        <v>1688.7862513844032</v>
      </c>
      <c r="C62" s="140">
        <f t="shared" ref="C62:K62" si="24">+B62-B64</f>
        <v>1688.6038624692537</v>
      </c>
      <c r="D62" s="140">
        <f t="shared" si="24"/>
        <v>1688.421493252107</v>
      </c>
      <c r="E62" s="140">
        <f t="shared" si="24"/>
        <v>1688.2391437308358</v>
      </c>
      <c r="F62" s="140">
        <f t="shared" si="24"/>
        <v>1688.056813903313</v>
      </c>
      <c r="G62" s="140">
        <f t="shared" si="24"/>
        <v>1687.8745037674114</v>
      </c>
      <c r="H62" s="140">
        <f t="shared" si="24"/>
        <v>1687.6922133210046</v>
      </c>
      <c r="I62" s="140">
        <f t="shared" si="24"/>
        <v>1687.509942561966</v>
      </c>
      <c r="J62" s="140">
        <f t="shared" si="24"/>
        <v>1687.3276914881692</v>
      </c>
      <c r="K62" s="140">
        <f t="shared" si="24"/>
        <v>1687.1454600974885</v>
      </c>
    </row>
    <row r="63" spans="1:11" x14ac:dyDescent="0.25">
      <c r="A63" s="133" t="s">
        <v>221</v>
      </c>
      <c r="B63" s="136">
        <f>+D12</f>
        <v>1.0800000000000001E-2</v>
      </c>
      <c r="C63" s="136">
        <f t="shared" ref="C63:K63" si="25">+B63</f>
        <v>1.0800000000000001E-2</v>
      </c>
      <c r="D63" s="136">
        <f t="shared" si="25"/>
        <v>1.0800000000000001E-2</v>
      </c>
      <c r="E63" s="136">
        <f t="shared" si="25"/>
        <v>1.0800000000000001E-2</v>
      </c>
      <c r="F63" s="136">
        <f t="shared" si="25"/>
        <v>1.0800000000000001E-2</v>
      </c>
      <c r="G63" s="136">
        <f t="shared" si="25"/>
        <v>1.0800000000000001E-2</v>
      </c>
      <c r="H63" s="136">
        <f t="shared" si="25"/>
        <v>1.0800000000000001E-2</v>
      </c>
      <c r="I63" s="136">
        <f t="shared" si="25"/>
        <v>1.0800000000000001E-2</v>
      </c>
      <c r="J63" s="136">
        <f t="shared" si="25"/>
        <v>1.0800000000000001E-2</v>
      </c>
      <c r="K63" s="136">
        <f t="shared" si="25"/>
        <v>1.0800000000000001E-2</v>
      </c>
    </row>
    <row r="64" spans="1:11" x14ac:dyDescent="0.25">
      <c r="A64" s="133" t="s">
        <v>222</v>
      </c>
      <c r="B64" s="136">
        <f t="shared" ref="B64:K64" si="26">+B62*B63/100</f>
        <v>0.18238891514951555</v>
      </c>
      <c r="C64" s="136">
        <f t="shared" si="26"/>
        <v>0.18236921714667939</v>
      </c>
      <c r="D64" s="136">
        <f t="shared" si="26"/>
        <v>0.18234952127122755</v>
      </c>
      <c r="E64" s="136">
        <f t="shared" si="26"/>
        <v>0.18232982752293028</v>
      </c>
      <c r="F64" s="136">
        <f t="shared" si="26"/>
        <v>0.18231013590155784</v>
      </c>
      <c r="G64" s="136">
        <f t="shared" si="26"/>
        <v>0.18229044640688044</v>
      </c>
      <c r="H64" s="136">
        <f t="shared" si="26"/>
        <v>0.18227075903866852</v>
      </c>
      <c r="I64" s="136">
        <f t="shared" si="26"/>
        <v>0.18225107379669234</v>
      </c>
      <c r="J64" s="136">
        <f t="shared" si="26"/>
        <v>0.18223139068072228</v>
      </c>
      <c r="K64" s="136">
        <f t="shared" si="26"/>
        <v>0.18221170969052877</v>
      </c>
    </row>
    <row r="65" spans="1:11" x14ac:dyDescent="0.25">
      <c r="B65" s="137"/>
      <c r="C65" s="138"/>
      <c r="D65" s="138"/>
      <c r="E65" s="138"/>
      <c r="F65" s="139"/>
      <c r="G65" s="139"/>
      <c r="H65" s="139"/>
      <c r="I65" s="139"/>
      <c r="J65" s="139"/>
      <c r="K65" s="139"/>
    </row>
    <row r="66" spans="1:11" x14ac:dyDescent="0.25">
      <c r="A66" s="134" t="str">
        <f>+B13</f>
        <v>BOSQUE SIEMPRE VERDE ANDINO MONTANO</v>
      </c>
      <c r="B66" s="137"/>
      <c r="C66" s="138"/>
      <c r="D66" s="138"/>
      <c r="E66" s="138"/>
      <c r="F66" s="139"/>
      <c r="G66" s="139"/>
      <c r="H66" s="139"/>
      <c r="I66" s="139"/>
      <c r="J66" s="139"/>
      <c r="K66" s="139"/>
    </row>
    <row r="67" spans="1:11" x14ac:dyDescent="0.25">
      <c r="A67" s="133" t="s">
        <v>220</v>
      </c>
      <c r="B67" s="140">
        <f>+C13</f>
        <v>2718.3111448104701</v>
      </c>
      <c r="C67" s="140">
        <f t="shared" ref="C67:K67" si="27">+B67-B69</f>
        <v>2718.0175672068303</v>
      </c>
      <c r="D67" s="140">
        <f t="shared" si="27"/>
        <v>2717.724021309572</v>
      </c>
      <c r="E67" s="140">
        <f t="shared" si="27"/>
        <v>2717.4305071152708</v>
      </c>
      <c r="F67" s="140">
        <f t="shared" si="27"/>
        <v>2717.1370246205024</v>
      </c>
      <c r="G67" s="140">
        <f t="shared" si="27"/>
        <v>2716.8435738218436</v>
      </c>
      <c r="H67" s="140">
        <f t="shared" si="27"/>
        <v>2716.550154715871</v>
      </c>
      <c r="I67" s="140">
        <f t="shared" si="27"/>
        <v>2716.2567672991618</v>
      </c>
      <c r="J67" s="140">
        <f t="shared" si="27"/>
        <v>2715.9634115682934</v>
      </c>
      <c r="K67" s="140">
        <f t="shared" si="27"/>
        <v>2715.6700875198439</v>
      </c>
    </row>
    <row r="68" spans="1:11" x14ac:dyDescent="0.25">
      <c r="A68" s="133" t="s">
        <v>221</v>
      </c>
      <c r="B68" s="136">
        <f>+D13</f>
        <v>1.0800000000000001E-2</v>
      </c>
      <c r="C68" s="136">
        <f t="shared" ref="C68:K68" si="28">+B68</f>
        <v>1.0800000000000001E-2</v>
      </c>
      <c r="D68" s="136">
        <f t="shared" si="28"/>
        <v>1.0800000000000001E-2</v>
      </c>
      <c r="E68" s="136">
        <f t="shared" si="28"/>
        <v>1.0800000000000001E-2</v>
      </c>
      <c r="F68" s="136">
        <f t="shared" si="28"/>
        <v>1.0800000000000001E-2</v>
      </c>
      <c r="G68" s="136">
        <f t="shared" si="28"/>
        <v>1.0800000000000001E-2</v>
      </c>
      <c r="H68" s="136">
        <f t="shared" si="28"/>
        <v>1.0800000000000001E-2</v>
      </c>
      <c r="I68" s="136">
        <f t="shared" si="28"/>
        <v>1.0800000000000001E-2</v>
      </c>
      <c r="J68" s="136">
        <f t="shared" si="28"/>
        <v>1.0800000000000001E-2</v>
      </c>
      <c r="K68" s="136">
        <f t="shared" si="28"/>
        <v>1.0800000000000001E-2</v>
      </c>
    </row>
    <row r="69" spans="1:11" x14ac:dyDescent="0.25">
      <c r="A69" s="133" t="s">
        <v>222</v>
      </c>
      <c r="B69" s="136">
        <f t="shared" ref="B69:K69" si="29">+B67*B68/100</f>
        <v>0.29357760363953078</v>
      </c>
      <c r="C69" s="136">
        <f t="shared" si="29"/>
        <v>0.29354589725833768</v>
      </c>
      <c r="D69" s="136">
        <f t="shared" si="29"/>
        <v>0.29351419430143383</v>
      </c>
      <c r="E69" s="136">
        <f t="shared" si="29"/>
        <v>0.29348249476844929</v>
      </c>
      <c r="F69" s="136">
        <f t="shared" si="29"/>
        <v>0.2934507986590143</v>
      </c>
      <c r="G69" s="136">
        <f t="shared" si="29"/>
        <v>0.29341910597275911</v>
      </c>
      <c r="H69" s="136">
        <f t="shared" si="29"/>
        <v>0.29338741670931406</v>
      </c>
      <c r="I69" s="136">
        <f t="shared" si="29"/>
        <v>0.29335573086830946</v>
      </c>
      <c r="J69" s="136">
        <f t="shared" si="29"/>
        <v>0.29332404844937571</v>
      </c>
      <c r="K69" s="136">
        <f t="shared" si="29"/>
        <v>0.29329236945214315</v>
      </c>
    </row>
    <row r="70" spans="1:11" x14ac:dyDescent="0.25">
      <c r="B70" s="137"/>
      <c r="C70" s="138"/>
      <c r="D70" s="138"/>
      <c r="E70" s="138"/>
      <c r="F70" s="139"/>
      <c r="G70" s="139"/>
      <c r="H70" s="139"/>
      <c r="I70" s="139"/>
      <c r="J70" s="139"/>
      <c r="K70" s="139"/>
    </row>
    <row r="71" spans="1:11" x14ac:dyDescent="0.25">
      <c r="A71" s="134" t="str">
        <f>+B14</f>
        <v>BOSQUE SIEMPRE VERDE ANDINO PIE MONTANO</v>
      </c>
      <c r="B71" s="137"/>
      <c r="C71" s="138"/>
      <c r="D71" s="138"/>
      <c r="E71" s="138"/>
      <c r="F71" s="139"/>
      <c r="G71" s="139"/>
      <c r="H71" s="139"/>
      <c r="I71" s="139"/>
      <c r="J71" s="139"/>
      <c r="K71" s="139"/>
    </row>
    <row r="72" spans="1:11" x14ac:dyDescent="0.25">
      <c r="A72" s="133" t="s">
        <v>220</v>
      </c>
      <c r="B72" s="140">
        <f>+C14</f>
        <v>3682.4530978222306</v>
      </c>
      <c r="C72" s="140">
        <f t="shared" ref="C72:K72" si="30">+B72-B74</f>
        <v>3682.0553928876657</v>
      </c>
      <c r="D72" s="140">
        <f t="shared" si="30"/>
        <v>3681.6577309052336</v>
      </c>
      <c r="E72" s="140">
        <f t="shared" si="30"/>
        <v>3681.260111870296</v>
      </c>
      <c r="F72" s="140">
        <f t="shared" si="30"/>
        <v>3680.8625357782139</v>
      </c>
      <c r="G72" s="140">
        <f t="shared" si="30"/>
        <v>3680.4650026243498</v>
      </c>
      <c r="H72" s="140">
        <f t="shared" si="30"/>
        <v>3680.0675124040663</v>
      </c>
      <c r="I72" s="140">
        <f t="shared" si="30"/>
        <v>3679.6700651127267</v>
      </c>
      <c r="J72" s="140">
        <f t="shared" si="30"/>
        <v>3679.2726607456943</v>
      </c>
      <c r="K72" s="140">
        <f t="shared" si="30"/>
        <v>3678.8752992983336</v>
      </c>
    </row>
    <row r="73" spans="1:11" x14ac:dyDescent="0.25">
      <c r="A73" s="133" t="s">
        <v>221</v>
      </c>
      <c r="B73" s="136">
        <f>+D14</f>
        <v>1.0800000000000001E-2</v>
      </c>
      <c r="C73" s="136">
        <f t="shared" ref="C73:K73" si="31">+B73</f>
        <v>1.0800000000000001E-2</v>
      </c>
      <c r="D73" s="136">
        <f t="shared" si="31"/>
        <v>1.0800000000000001E-2</v>
      </c>
      <c r="E73" s="136">
        <f t="shared" si="31"/>
        <v>1.0800000000000001E-2</v>
      </c>
      <c r="F73" s="136">
        <f t="shared" si="31"/>
        <v>1.0800000000000001E-2</v>
      </c>
      <c r="G73" s="136">
        <f t="shared" si="31"/>
        <v>1.0800000000000001E-2</v>
      </c>
      <c r="H73" s="136">
        <f t="shared" si="31"/>
        <v>1.0800000000000001E-2</v>
      </c>
      <c r="I73" s="136">
        <f t="shared" si="31"/>
        <v>1.0800000000000001E-2</v>
      </c>
      <c r="J73" s="136">
        <f t="shared" si="31"/>
        <v>1.0800000000000001E-2</v>
      </c>
      <c r="K73" s="136">
        <f t="shared" si="31"/>
        <v>1.0800000000000001E-2</v>
      </c>
    </row>
    <row r="74" spans="1:11" x14ac:dyDescent="0.25">
      <c r="A74" s="133" t="s">
        <v>222</v>
      </c>
      <c r="B74" s="136">
        <f t="shared" ref="B74:K74" si="32">+B72*B73/100</f>
        <v>0.39770493456480088</v>
      </c>
      <c r="C74" s="136">
        <f t="shared" si="32"/>
        <v>0.3976619824318679</v>
      </c>
      <c r="D74" s="136">
        <f t="shared" si="32"/>
        <v>0.39761903493776524</v>
      </c>
      <c r="E74" s="136">
        <f t="shared" si="32"/>
        <v>0.39757609208199196</v>
      </c>
      <c r="F74" s="136">
        <f t="shared" si="32"/>
        <v>0.39753315386404714</v>
      </c>
      <c r="G74" s="136">
        <f t="shared" si="32"/>
        <v>0.39749022028342978</v>
      </c>
      <c r="H74" s="136">
        <f t="shared" si="32"/>
        <v>0.39744729133963913</v>
      </c>
      <c r="I74" s="136">
        <f t="shared" si="32"/>
        <v>0.39740436703217447</v>
      </c>
      <c r="J74" s="136">
        <f t="shared" si="32"/>
        <v>0.39736144736053503</v>
      </c>
      <c r="K74" s="136">
        <f t="shared" si="32"/>
        <v>0.39731853232422004</v>
      </c>
    </row>
    <row r="75" spans="1:11" x14ac:dyDescent="0.25">
      <c r="B75" s="137"/>
      <c r="C75" s="138"/>
      <c r="D75" s="138"/>
      <c r="E75" s="138"/>
      <c r="F75" s="139"/>
      <c r="G75" s="139"/>
      <c r="H75" s="139"/>
      <c r="I75" s="139"/>
      <c r="J75" s="139"/>
      <c r="K75" s="139"/>
    </row>
    <row r="76" spans="1:11" x14ac:dyDescent="0.25">
      <c r="A76" s="134" t="str">
        <f>+B15</f>
        <v>BOSQUE SIEMPRE VERDE ANDINO DE CEJA ANDINA</v>
      </c>
      <c r="B76" s="137"/>
      <c r="C76" s="138"/>
      <c r="D76" s="138"/>
      <c r="E76" s="138"/>
      <c r="F76" s="139"/>
      <c r="G76" s="139"/>
      <c r="H76" s="139"/>
      <c r="I76" s="139"/>
      <c r="J76" s="139"/>
      <c r="K76" s="139"/>
    </row>
    <row r="77" spans="1:11" x14ac:dyDescent="0.25">
      <c r="A77" s="133" t="s">
        <v>220</v>
      </c>
      <c r="B77" s="140">
        <f>+C15</f>
        <v>366.17914538683948</v>
      </c>
      <c r="C77" s="140">
        <f t="shared" ref="C77:K77" si="33">+B77-B79</f>
        <v>366.1395980391377</v>
      </c>
      <c r="D77" s="140">
        <f t="shared" si="33"/>
        <v>366.10005496254945</v>
      </c>
      <c r="E77" s="140">
        <f t="shared" si="33"/>
        <v>366.06051615661352</v>
      </c>
      <c r="F77" s="140">
        <f t="shared" si="33"/>
        <v>366.02098162086861</v>
      </c>
      <c r="G77" s="140">
        <f t="shared" si="33"/>
        <v>365.98145135485356</v>
      </c>
      <c r="H77" s="140">
        <f t="shared" si="33"/>
        <v>365.94192535810726</v>
      </c>
      <c r="I77" s="140">
        <f t="shared" si="33"/>
        <v>365.90240363016858</v>
      </c>
      <c r="J77" s="140">
        <f t="shared" si="33"/>
        <v>365.86288617057653</v>
      </c>
      <c r="K77" s="140">
        <f t="shared" si="33"/>
        <v>365.82337297887011</v>
      </c>
    </row>
    <row r="78" spans="1:11" x14ac:dyDescent="0.25">
      <c r="A78" s="133" t="s">
        <v>221</v>
      </c>
      <c r="B78" s="136">
        <f>+D15</f>
        <v>1.0800000000000001E-2</v>
      </c>
      <c r="C78" s="136">
        <f t="shared" ref="C78:K78" si="34">+B78</f>
        <v>1.0800000000000001E-2</v>
      </c>
      <c r="D78" s="136">
        <f t="shared" si="34"/>
        <v>1.0800000000000001E-2</v>
      </c>
      <c r="E78" s="136">
        <f t="shared" si="34"/>
        <v>1.0800000000000001E-2</v>
      </c>
      <c r="F78" s="136">
        <f t="shared" si="34"/>
        <v>1.0800000000000001E-2</v>
      </c>
      <c r="G78" s="136">
        <f t="shared" si="34"/>
        <v>1.0800000000000001E-2</v>
      </c>
      <c r="H78" s="136">
        <f t="shared" si="34"/>
        <v>1.0800000000000001E-2</v>
      </c>
      <c r="I78" s="136">
        <f t="shared" si="34"/>
        <v>1.0800000000000001E-2</v>
      </c>
      <c r="J78" s="136">
        <f t="shared" si="34"/>
        <v>1.0800000000000001E-2</v>
      </c>
      <c r="K78" s="136">
        <f t="shared" si="34"/>
        <v>1.0800000000000001E-2</v>
      </c>
    </row>
    <row r="79" spans="1:11" x14ac:dyDescent="0.25">
      <c r="A79" s="133" t="s">
        <v>222</v>
      </c>
      <c r="B79" s="136">
        <f t="shared" ref="B79:K79" si="35">+B77*B78/100</f>
        <v>3.9547347701778666E-2</v>
      </c>
      <c r="C79" s="136">
        <f t="shared" si="35"/>
        <v>3.9543076588226873E-2</v>
      </c>
      <c r="D79" s="136">
        <f t="shared" si="35"/>
        <v>3.9538805935955344E-2</v>
      </c>
      <c r="E79" s="136">
        <f t="shared" si="35"/>
        <v>3.9534535744914258E-2</v>
      </c>
      <c r="F79" s="136">
        <f t="shared" si="35"/>
        <v>3.9530266015053807E-2</v>
      </c>
      <c r="G79" s="136">
        <f t="shared" si="35"/>
        <v>3.9525996746324184E-2</v>
      </c>
      <c r="H79" s="136">
        <f t="shared" si="35"/>
        <v>3.9521727938675581E-2</v>
      </c>
      <c r="I79" s="136">
        <f t="shared" si="35"/>
        <v>3.9517459592058206E-2</v>
      </c>
      <c r="J79" s="136">
        <f t="shared" si="35"/>
        <v>3.9513191706422271E-2</v>
      </c>
      <c r="K79" s="136">
        <f t="shared" si="35"/>
        <v>3.9508924281717969E-2</v>
      </c>
    </row>
    <row r="80" spans="1:11" x14ac:dyDescent="0.25">
      <c r="B80" s="137"/>
      <c r="C80" s="138"/>
      <c r="D80" s="138"/>
      <c r="E80" s="138"/>
      <c r="F80" s="139"/>
      <c r="G80" s="139"/>
      <c r="H80" s="139"/>
      <c r="I80" s="139"/>
      <c r="J80" s="139"/>
      <c r="K80" s="139"/>
    </row>
    <row r="81" spans="1:11" ht="30" x14ac:dyDescent="0.25">
      <c r="A81" s="134" t="str">
        <f>+B16</f>
        <v>BOSQUE SIEMPRE VERDE TIERRAS BAJAS DE LA AMAZONIA</v>
      </c>
      <c r="B81" s="137"/>
      <c r="C81" s="138"/>
      <c r="D81" s="138"/>
      <c r="E81" s="138"/>
      <c r="F81" s="139"/>
      <c r="G81" s="139"/>
      <c r="H81" s="139"/>
      <c r="I81" s="139"/>
      <c r="J81" s="139"/>
      <c r="K81" s="139"/>
    </row>
    <row r="82" spans="1:11" x14ac:dyDescent="0.25">
      <c r="A82" s="133" t="s">
        <v>220</v>
      </c>
      <c r="B82" s="140">
        <f>+C16</f>
        <v>36740.991026449497</v>
      </c>
      <c r="C82" s="140">
        <f t="shared" ref="C82:K82" si="36">+B82-B84</f>
        <v>36737.022999418637</v>
      </c>
      <c r="D82" s="140">
        <f t="shared" si="36"/>
        <v>36733.055400934703</v>
      </c>
      <c r="E82" s="140">
        <f t="shared" si="36"/>
        <v>36729.088230951405</v>
      </c>
      <c r="F82" s="140">
        <f t="shared" si="36"/>
        <v>36725.121489422461</v>
      </c>
      <c r="G82" s="140">
        <f t="shared" si="36"/>
        <v>36721.155176301603</v>
      </c>
      <c r="H82" s="140">
        <f t="shared" si="36"/>
        <v>36717.189291542563</v>
      </c>
      <c r="I82" s="140">
        <f t="shared" si="36"/>
        <v>36713.223835099074</v>
      </c>
      <c r="J82" s="140">
        <f t="shared" si="36"/>
        <v>36709.258806924881</v>
      </c>
      <c r="K82" s="140">
        <f t="shared" si="36"/>
        <v>36705.294206973733</v>
      </c>
    </row>
    <row r="83" spans="1:11" x14ac:dyDescent="0.25">
      <c r="A83" s="133" t="s">
        <v>221</v>
      </c>
      <c r="B83" s="136">
        <f>+D16</f>
        <v>1.0800000000000001E-2</v>
      </c>
      <c r="C83" s="136">
        <f t="shared" ref="C83:K83" si="37">+B83</f>
        <v>1.0800000000000001E-2</v>
      </c>
      <c r="D83" s="136">
        <f t="shared" si="37"/>
        <v>1.0800000000000001E-2</v>
      </c>
      <c r="E83" s="136">
        <f t="shared" si="37"/>
        <v>1.0800000000000001E-2</v>
      </c>
      <c r="F83" s="136">
        <f t="shared" si="37"/>
        <v>1.0800000000000001E-2</v>
      </c>
      <c r="G83" s="136">
        <f t="shared" si="37"/>
        <v>1.0800000000000001E-2</v>
      </c>
      <c r="H83" s="136">
        <f t="shared" si="37"/>
        <v>1.0800000000000001E-2</v>
      </c>
      <c r="I83" s="136">
        <f t="shared" si="37"/>
        <v>1.0800000000000001E-2</v>
      </c>
      <c r="J83" s="136">
        <f t="shared" si="37"/>
        <v>1.0800000000000001E-2</v>
      </c>
      <c r="K83" s="136">
        <f t="shared" si="37"/>
        <v>1.0800000000000001E-2</v>
      </c>
    </row>
    <row r="84" spans="1:11" x14ac:dyDescent="0.25">
      <c r="A84" s="133" t="s">
        <v>222</v>
      </c>
      <c r="B84" s="136">
        <f t="shared" ref="B84:K84" si="38">+B82*B83/100</f>
        <v>3.9680270308565455</v>
      </c>
      <c r="C84" s="136">
        <f t="shared" si="38"/>
        <v>3.9675984839372131</v>
      </c>
      <c r="D84" s="136">
        <f t="shared" si="38"/>
        <v>3.9671699833009484</v>
      </c>
      <c r="E84" s="136">
        <f t="shared" si="38"/>
        <v>3.9667415289427521</v>
      </c>
      <c r="F84" s="136">
        <f t="shared" si="38"/>
        <v>3.9663131208576261</v>
      </c>
      <c r="G84" s="136">
        <f t="shared" si="38"/>
        <v>3.9658847590405735</v>
      </c>
      <c r="H84" s="136">
        <f t="shared" si="38"/>
        <v>3.9654564434865973</v>
      </c>
      <c r="I84" s="136">
        <f t="shared" si="38"/>
        <v>3.9650281741907003</v>
      </c>
      <c r="J84" s="136">
        <f t="shared" si="38"/>
        <v>3.9645999511478873</v>
      </c>
      <c r="K84" s="136">
        <f t="shared" si="38"/>
        <v>3.9641717743531633</v>
      </c>
    </row>
    <row r="85" spans="1:11" x14ac:dyDescent="0.25">
      <c r="B85" s="137"/>
      <c r="C85" s="138"/>
      <c r="D85" s="138"/>
      <c r="E85" s="138"/>
      <c r="F85" s="139"/>
      <c r="G85" s="139"/>
      <c r="H85" s="139"/>
      <c r="I85" s="139"/>
      <c r="J85" s="139"/>
      <c r="K85" s="139"/>
    </row>
    <row r="86" spans="1:11" ht="30" x14ac:dyDescent="0.25">
      <c r="A86" s="134" t="str">
        <f>+B17</f>
        <v>BOSQUE SIEMPRE VERDE DE TIERRAS BAJAS DEL CHOCO</v>
      </c>
      <c r="B86" s="137"/>
      <c r="C86" s="138"/>
      <c r="D86" s="138"/>
      <c r="E86" s="138"/>
      <c r="F86" s="139"/>
      <c r="G86" s="139"/>
      <c r="H86" s="139"/>
      <c r="I86" s="139"/>
      <c r="J86" s="139"/>
      <c r="K86" s="139"/>
    </row>
    <row r="87" spans="1:11" x14ac:dyDescent="0.25">
      <c r="A87" s="133" t="s">
        <v>220</v>
      </c>
      <c r="B87" s="140">
        <f>+C17</f>
        <v>716.14732704313451</v>
      </c>
      <c r="C87" s="140">
        <f t="shared" ref="C87:K87" si="39">+B87-B89</f>
        <v>716.06998313181384</v>
      </c>
      <c r="D87" s="140">
        <f t="shared" si="39"/>
        <v>715.99264757363562</v>
      </c>
      <c r="E87" s="140">
        <f t="shared" si="39"/>
        <v>715.91532036769763</v>
      </c>
      <c r="F87" s="140">
        <f t="shared" si="39"/>
        <v>715.83800151309788</v>
      </c>
      <c r="G87" s="140">
        <f t="shared" si="39"/>
        <v>715.76069100893449</v>
      </c>
      <c r="H87" s="140">
        <f t="shared" si="39"/>
        <v>715.68338885430558</v>
      </c>
      <c r="I87" s="140">
        <f t="shared" si="39"/>
        <v>715.60609504830927</v>
      </c>
      <c r="J87" s="140">
        <f t="shared" si="39"/>
        <v>715.52880959004403</v>
      </c>
      <c r="K87" s="140">
        <f t="shared" si="39"/>
        <v>715.45153247860833</v>
      </c>
    </row>
    <row r="88" spans="1:11" x14ac:dyDescent="0.25">
      <c r="A88" s="133" t="s">
        <v>221</v>
      </c>
      <c r="B88" s="136">
        <f>+D18</f>
        <v>1.0800000000000001E-2</v>
      </c>
      <c r="C88" s="136">
        <f t="shared" ref="C88:K88" si="40">+B88</f>
        <v>1.0800000000000001E-2</v>
      </c>
      <c r="D88" s="136">
        <f t="shared" si="40"/>
        <v>1.0800000000000001E-2</v>
      </c>
      <c r="E88" s="136">
        <f t="shared" si="40"/>
        <v>1.0800000000000001E-2</v>
      </c>
      <c r="F88" s="136">
        <f t="shared" si="40"/>
        <v>1.0800000000000001E-2</v>
      </c>
      <c r="G88" s="136">
        <f t="shared" si="40"/>
        <v>1.0800000000000001E-2</v>
      </c>
      <c r="H88" s="136">
        <f t="shared" si="40"/>
        <v>1.0800000000000001E-2</v>
      </c>
      <c r="I88" s="136">
        <f t="shared" si="40"/>
        <v>1.0800000000000001E-2</v>
      </c>
      <c r="J88" s="136">
        <f t="shared" si="40"/>
        <v>1.0800000000000001E-2</v>
      </c>
      <c r="K88" s="136">
        <f t="shared" si="40"/>
        <v>1.0800000000000001E-2</v>
      </c>
    </row>
    <row r="89" spans="1:11" x14ac:dyDescent="0.25">
      <c r="A89" s="133" t="s">
        <v>222</v>
      </c>
      <c r="B89" s="136">
        <f t="shared" ref="B89:K89" si="41">+B87*B88/100</f>
        <v>7.7343911320658529E-2</v>
      </c>
      <c r="C89" s="136">
        <f t="shared" si="41"/>
        <v>7.7335558178235897E-2</v>
      </c>
      <c r="D89" s="136">
        <f t="shared" si="41"/>
        <v>7.7327205937952656E-2</v>
      </c>
      <c r="E89" s="136">
        <f t="shared" si="41"/>
        <v>7.7318854599711356E-2</v>
      </c>
      <c r="F89" s="136">
        <f t="shared" si="41"/>
        <v>7.7310504163414576E-2</v>
      </c>
      <c r="G89" s="136">
        <f t="shared" si="41"/>
        <v>7.7302154628964934E-2</v>
      </c>
      <c r="H89" s="136">
        <f t="shared" si="41"/>
        <v>7.7293805996265008E-2</v>
      </c>
      <c r="I89" s="136">
        <f t="shared" si="41"/>
        <v>7.7285458265217405E-2</v>
      </c>
      <c r="J89" s="136">
        <f t="shared" si="41"/>
        <v>7.7277111435724757E-2</v>
      </c>
      <c r="K89" s="136">
        <f t="shared" si="41"/>
        <v>7.7268765507689713E-2</v>
      </c>
    </row>
    <row r="90" spans="1:11" x14ac:dyDescent="0.25">
      <c r="B90" s="137"/>
      <c r="C90" s="138"/>
      <c r="D90" s="138"/>
      <c r="E90" s="138"/>
      <c r="F90" s="139"/>
      <c r="G90" s="139"/>
      <c r="H90" s="139"/>
      <c r="I90" s="139"/>
      <c r="J90" s="139"/>
      <c r="K90" s="139"/>
    </row>
    <row r="91" spans="1:11" x14ac:dyDescent="0.25">
      <c r="A91" s="134" t="str">
        <f>+B18</f>
        <v>MANGLAR</v>
      </c>
      <c r="B91" s="137"/>
      <c r="C91" s="138"/>
      <c r="D91" s="138"/>
      <c r="E91" s="138"/>
      <c r="F91" s="139"/>
      <c r="G91" s="139"/>
      <c r="H91" s="139"/>
      <c r="I91" s="139"/>
      <c r="J91" s="139"/>
      <c r="K91" s="139"/>
    </row>
    <row r="92" spans="1:11" x14ac:dyDescent="0.25">
      <c r="A92" s="133" t="s">
        <v>220</v>
      </c>
      <c r="B92" s="140">
        <f>+C18</f>
        <v>1363.5047053613696</v>
      </c>
      <c r="C92" s="140">
        <f t="shared" ref="C92:K92" si="42">+B92-B94</f>
        <v>1363.3574468531906</v>
      </c>
      <c r="D92" s="140">
        <f t="shared" si="42"/>
        <v>1363.2102042489305</v>
      </c>
      <c r="E92" s="140">
        <f t="shared" si="42"/>
        <v>1363.0629775468717</v>
      </c>
      <c r="F92" s="140">
        <f t="shared" si="42"/>
        <v>1362.9157667452967</v>
      </c>
      <c r="G92" s="140">
        <f t="shared" si="42"/>
        <v>1362.7685718424882</v>
      </c>
      <c r="H92" s="140">
        <f t="shared" si="42"/>
        <v>1362.6213928367292</v>
      </c>
      <c r="I92" s="140">
        <f t="shared" si="42"/>
        <v>1362.4742297263028</v>
      </c>
      <c r="J92" s="140">
        <f t="shared" si="42"/>
        <v>1362.3270825094924</v>
      </c>
      <c r="K92" s="140">
        <f t="shared" si="42"/>
        <v>1362.1799511845813</v>
      </c>
    </row>
    <row r="93" spans="1:11" x14ac:dyDescent="0.25">
      <c r="A93" s="133" t="s">
        <v>221</v>
      </c>
      <c r="B93" s="136">
        <f>+D18</f>
        <v>1.0800000000000001E-2</v>
      </c>
      <c r="C93" s="136">
        <f t="shared" ref="C93:K93" si="43">+B93</f>
        <v>1.0800000000000001E-2</v>
      </c>
      <c r="D93" s="136">
        <f t="shared" si="43"/>
        <v>1.0800000000000001E-2</v>
      </c>
      <c r="E93" s="136">
        <f t="shared" si="43"/>
        <v>1.0800000000000001E-2</v>
      </c>
      <c r="F93" s="136">
        <f t="shared" si="43"/>
        <v>1.0800000000000001E-2</v>
      </c>
      <c r="G93" s="136">
        <f t="shared" si="43"/>
        <v>1.0800000000000001E-2</v>
      </c>
      <c r="H93" s="136">
        <f t="shared" si="43"/>
        <v>1.0800000000000001E-2</v>
      </c>
      <c r="I93" s="136">
        <f t="shared" si="43"/>
        <v>1.0800000000000001E-2</v>
      </c>
      <c r="J93" s="136">
        <f t="shared" si="43"/>
        <v>1.0800000000000001E-2</v>
      </c>
      <c r="K93" s="136">
        <f t="shared" si="43"/>
        <v>1.0800000000000001E-2</v>
      </c>
    </row>
    <row r="94" spans="1:11" x14ac:dyDescent="0.25">
      <c r="A94" s="133" t="s">
        <v>222</v>
      </c>
      <c r="B94" s="136">
        <f t="shared" ref="B94:K94" si="44">+B92*B93/100</f>
        <v>0.14725850817902791</v>
      </c>
      <c r="C94" s="136">
        <f t="shared" si="44"/>
        <v>0.14724260426014457</v>
      </c>
      <c r="D94" s="136">
        <f t="shared" si="44"/>
        <v>0.1472267020588845</v>
      </c>
      <c r="E94" s="136">
        <f t="shared" si="44"/>
        <v>0.14721080157506214</v>
      </c>
      <c r="F94" s="136">
        <f t="shared" si="44"/>
        <v>0.14719490280849204</v>
      </c>
      <c r="G94" s="136">
        <f t="shared" si="44"/>
        <v>0.14717900575898873</v>
      </c>
      <c r="H94" s="136">
        <f t="shared" si="44"/>
        <v>0.14716311042636676</v>
      </c>
      <c r="I94" s="136">
        <f t="shared" si="44"/>
        <v>0.14714721681044071</v>
      </c>
      <c r="J94" s="136">
        <f t="shared" si="44"/>
        <v>0.14713132491102518</v>
      </c>
      <c r="K94" s="136">
        <f t="shared" si="44"/>
        <v>0.14711543472793479</v>
      </c>
    </row>
    <row r="95" spans="1:11" x14ac:dyDescent="0.25">
      <c r="B95" s="137"/>
      <c r="C95" s="138"/>
      <c r="D95" s="138"/>
      <c r="E95" s="138"/>
      <c r="F95" s="139"/>
      <c r="G95" s="139"/>
      <c r="H95" s="139"/>
      <c r="I95" s="139"/>
      <c r="J95" s="139"/>
      <c r="K95" s="139"/>
    </row>
    <row r="96" spans="1:11" ht="30" x14ac:dyDescent="0.25">
      <c r="A96" s="134" t="str">
        <f>+B19</f>
        <v>BOSQUE SIEMPRE VERDE DE TIERRAS BAJAS DE LA AMAZONÍA</v>
      </c>
      <c r="B96" s="137"/>
      <c r="C96" s="138"/>
      <c r="D96" s="138"/>
      <c r="E96" s="138"/>
      <c r="F96" s="139"/>
      <c r="G96" s="139"/>
      <c r="H96" s="139"/>
      <c r="I96" s="139"/>
      <c r="J96" s="139"/>
      <c r="K96" s="139"/>
    </row>
    <row r="97" spans="1:11" x14ac:dyDescent="0.25">
      <c r="A97" s="133" t="s">
        <v>220</v>
      </c>
      <c r="B97" s="140">
        <f>+C19</f>
        <v>17000</v>
      </c>
      <c r="C97" s="140">
        <f t="shared" ref="C97:K97" si="45">+B97-B99</f>
        <v>16918.400000000001</v>
      </c>
      <c r="D97" s="140">
        <f t="shared" si="45"/>
        <v>16837.19168</v>
      </c>
      <c r="E97" s="140">
        <f t="shared" si="45"/>
        <v>16756.373159936</v>
      </c>
      <c r="F97" s="140">
        <f t="shared" si="45"/>
        <v>16675.942568768307</v>
      </c>
      <c r="G97" s="140">
        <f t="shared" si="45"/>
        <v>16595.898044438218</v>
      </c>
      <c r="H97" s="140">
        <f t="shared" si="45"/>
        <v>16516.237733824913</v>
      </c>
      <c r="I97" s="140">
        <f t="shared" si="45"/>
        <v>16436.959792702553</v>
      </c>
      <c r="J97" s="140">
        <f t="shared" si="45"/>
        <v>16358.062385697582</v>
      </c>
      <c r="K97" s="140">
        <f t="shared" si="45"/>
        <v>16279.543686246234</v>
      </c>
    </row>
    <row r="98" spans="1:11" x14ac:dyDescent="0.25">
      <c r="A98" s="133" t="s">
        <v>221</v>
      </c>
      <c r="B98" s="136">
        <f>+D19</f>
        <v>0.48</v>
      </c>
      <c r="C98" s="136">
        <f t="shared" ref="C98:K98" si="46">+B98</f>
        <v>0.48</v>
      </c>
      <c r="D98" s="136">
        <f t="shared" si="46"/>
        <v>0.48</v>
      </c>
      <c r="E98" s="136">
        <f t="shared" si="46"/>
        <v>0.48</v>
      </c>
      <c r="F98" s="136">
        <f t="shared" si="46"/>
        <v>0.48</v>
      </c>
      <c r="G98" s="136">
        <f t="shared" si="46"/>
        <v>0.48</v>
      </c>
      <c r="H98" s="136">
        <f t="shared" si="46"/>
        <v>0.48</v>
      </c>
      <c r="I98" s="136">
        <f t="shared" si="46"/>
        <v>0.48</v>
      </c>
      <c r="J98" s="136">
        <f t="shared" si="46"/>
        <v>0.48</v>
      </c>
      <c r="K98" s="136">
        <f t="shared" si="46"/>
        <v>0.48</v>
      </c>
    </row>
    <row r="99" spans="1:11" x14ac:dyDescent="0.25">
      <c r="A99" s="133" t="s">
        <v>222</v>
      </c>
      <c r="B99" s="136">
        <f t="shared" ref="B99:K99" si="47">+B97*B98/100</f>
        <v>81.599999999999994</v>
      </c>
      <c r="C99" s="136">
        <f t="shared" si="47"/>
        <v>81.208320000000001</v>
      </c>
      <c r="D99" s="136">
        <f t="shared" si="47"/>
        <v>80.818520063999998</v>
      </c>
      <c r="E99" s="136">
        <f t="shared" si="47"/>
        <v>80.430591167692796</v>
      </c>
      <c r="F99" s="136">
        <f t="shared" si="47"/>
        <v>80.044524330087867</v>
      </c>
      <c r="G99" s="136">
        <f t="shared" si="47"/>
        <v>79.660310613303452</v>
      </c>
      <c r="H99" s="136">
        <f t="shared" si="47"/>
        <v>79.277941122359579</v>
      </c>
      <c r="I99" s="136">
        <f t="shared" si="47"/>
        <v>78.897407004972251</v>
      </c>
      <c r="J99" s="136">
        <f t="shared" si="47"/>
        <v>78.518699451348397</v>
      </c>
      <c r="K99" s="136">
        <f t="shared" si="47"/>
        <v>78.141809693981926</v>
      </c>
    </row>
    <row r="102" spans="1:11" ht="14.45" customHeight="1" x14ac:dyDescent="0.25">
      <c r="A102" s="612"/>
      <c r="B102" s="614" t="s">
        <v>448</v>
      </c>
      <c r="C102" s="615"/>
      <c r="D102" s="615"/>
      <c r="E102" s="615"/>
      <c r="F102" s="615"/>
      <c r="G102" s="615"/>
      <c r="H102" s="615"/>
      <c r="I102" s="615"/>
      <c r="J102" s="615"/>
      <c r="K102" s="616"/>
    </row>
    <row r="103" spans="1:11" ht="14.45" customHeight="1" x14ac:dyDescent="0.25">
      <c r="A103" s="613"/>
      <c r="B103" s="617" t="s">
        <v>449</v>
      </c>
      <c r="C103" s="618"/>
      <c r="D103" s="618"/>
      <c r="E103" s="618"/>
      <c r="F103" s="618"/>
      <c r="G103" s="618"/>
      <c r="H103" s="618"/>
      <c r="I103" s="618"/>
      <c r="J103" s="618"/>
      <c r="K103" s="619"/>
    </row>
    <row r="104" spans="1:11" x14ac:dyDescent="0.25">
      <c r="A104" s="404" t="s">
        <v>450</v>
      </c>
      <c r="B104" s="404">
        <v>2026</v>
      </c>
      <c r="C104" s="404">
        <v>2027</v>
      </c>
      <c r="D104" s="404">
        <v>2028</v>
      </c>
      <c r="E104" s="404">
        <v>2029</v>
      </c>
      <c r="F104" s="404">
        <v>2030</v>
      </c>
      <c r="G104" s="404">
        <v>2031</v>
      </c>
      <c r="H104" s="404">
        <v>2032</v>
      </c>
      <c r="I104" s="404">
        <v>2033</v>
      </c>
      <c r="J104" s="404">
        <v>2034</v>
      </c>
      <c r="K104" s="404">
        <v>2035</v>
      </c>
    </row>
    <row r="105" spans="1:11" x14ac:dyDescent="0.25">
      <c r="A105" s="100" t="s">
        <v>18</v>
      </c>
      <c r="B105" s="100">
        <v>110.96</v>
      </c>
      <c r="C105" s="100">
        <v>221.91</v>
      </c>
      <c r="D105" s="100">
        <v>332.87</v>
      </c>
      <c r="E105" s="100">
        <v>443.83</v>
      </c>
      <c r="F105" s="100">
        <v>554.79</v>
      </c>
      <c r="G105" s="100">
        <v>665.74</v>
      </c>
      <c r="H105" s="100">
        <v>776.7</v>
      </c>
      <c r="I105" s="100">
        <v>887.66</v>
      </c>
      <c r="J105" s="100">
        <v>998.62</v>
      </c>
      <c r="K105" s="100">
        <v>1109.57</v>
      </c>
    </row>
    <row r="106" spans="1:11" x14ac:dyDescent="0.25">
      <c r="A106" s="100" t="s">
        <v>20</v>
      </c>
      <c r="B106" s="100">
        <v>1688.79</v>
      </c>
      <c r="C106" s="100">
        <v>3377.57</v>
      </c>
      <c r="D106" s="100">
        <v>5066.3599999999997</v>
      </c>
      <c r="E106" s="100">
        <v>6755.15</v>
      </c>
      <c r="F106" s="100">
        <v>8443.93</v>
      </c>
      <c r="G106" s="100">
        <v>10132.719999999999</v>
      </c>
      <c r="H106" s="100">
        <v>11821.5</v>
      </c>
      <c r="I106" s="100">
        <v>13510.29</v>
      </c>
      <c r="J106" s="100">
        <v>15199.08</v>
      </c>
      <c r="K106" s="100">
        <v>16887.86</v>
      </c>
    </row>
    <row r="107" spans="1:11" x14ac:dyDescent="0.25">
      <c r="A107" s="100" t="s">
        <v>21</v>
      </c>
      <c r="B107" s="100">
        <v>2718.31</v>
      </c>
      <c r="C107" s="100">
        <v>5436.62</v>
      </c>
      <c r="D107" s="100">
        <v>8154.93</v>
      </c>
      <c r="E107" s="100">
        <v>10873.24</v>
      </c>
      <c r="F107" s="100">
        <v>13591.56</v>
      </c>
      <c r="G107" s="100">
        <v>16309.87</v>
      </c>
      <c r="H107" s="100">
        <v>19028.18</v>
      </c>
      <c r="I107" s="100">
        <v>21746.49</v>
      </c>
      <c r="J107" s="100">
        <v>24464.799999999999</v>
      </c>
      <c r="K107" s="100">
        <v>27183.11</v>
      </c>
    </row>
    <row r="108" spans="1:11" x14ac:dyDescent="0.25">
      <c r="A108" s="100" t="s">
        <v>22</v>
      </c>
      <c r="B108" s="100">
        <v>3682.45</v>
      </c>
      <c r="C108" s="100">
        <v>7364.91</v>
      </c>
      <c r="D108" s="100">
        <v>11047.36</v>
      </c>
      <c r="E108" s="100">
        <v>14729.81</v>
      </c>
      <c r="F108" s="100">
        <v>18412.27</v>
      </c>
      <c r="G108" s="100">
        <v>22094.720000000001</v>
      </c>
      <c r="H108" s="100">
        <v>25777.17</v>
      </c>
      <c r="I108" s="100">
        <v>29459.62</v>
      </c>
      <c r="J108" s="100">
        <v>33142.080000000002</v>
      </c>
      <c r="K108" s="100">
        <v>36824.53</v>
      </c>
    </row>
    <row r="109" spans="1:11" x14ac:dyDescent="0.25">
      <c r="A109" s="100" t="s">
        <v>23</v>
      </c>
      <c r="B109" s="100">
        <v>366.18</v>
      </c>
      <c r="C109" s="100">
        <v>732.36</v>
      </c>
      <c r="D109" s="100">
        <v>1098.54</v>
      </c>
      <c r="E109" s="100">
        <v>1464.72</v>
      </c>
      <c r="F109" s="100">
        <v>1830.9</v>
      </c>
      <c r="G109" s="100">
        <v>2197.0700000000002</v>
      </c>
      <c r="H109" s="100">
        <v>2563.25</v>
      </c>
      <c r="I109" s="100">
        <v>2929.43</v>
      </c>
      <c r="J109" s="100">
        <v>3295.61</v>
      </c>
      <c r="K109" s="100">
        <v>3661.79</v>
      </c>
    </row>
    <row r="110" spans="1:11" x14ac:dyDescent="0.25">
      <c r="A110" s="100" t="s">
        <v>24</v>
      </c>
      <c r="B110" s="100">
        <v>36740.99</v>
      </c>
      <c r="C110" s="100">
        <v>73481.98</v>
      </c>
      <c r="D110" s="100">
        <v>110222.97</v>
      </c>
      <c r="E110" s="100">
        <v>146963.96</v>
      </c>
      <c r="F110" s="100">
        <v>183704.95999999999</v>
      </c>
      <c r="G110" s="100">
        <v>220445.95</v>
      </c>
      <c r="H110" s="100">
        <v>257186.94</v>
      </c>
      <c r="I110" s="100">
        <v>293927.93</v>
      </c>
      <c r="J110" s="100">
        <v>330668.92</v>
      </c>
      <c r="K110" s="100">
        <v>367409.91</v>
      </c>
    </row>
    <row r="111" spans="1:11" x14ac:dyDescent="0.25">
      <c r="A111" s="100" t="s">
        <v>25</v>
      </c>
      <c r="B111" s="100">
        <v>716.15</v>
      </c>
      <c r="C111" s="100">
        <v>1432.29</v>
      </c>
      <c r="D111" s="100">
        <v>2148.44</v>
      </c>
      <c r="E111" s="100">
        <v>2864.59</v>
      </c>
      <c r="F111" s="100">
        <v>3580.74</v>
      </c>
      <c r="G111" s="100">
        <v>4296.88</v>
      </c>
      <c r="H111" s="100">
        <v>5013.03</v>
      </c>
      <c r="I111" s="100">
        <v>5729.18</v>
      </c>
      <c r="J111" s="100">
        <v>6445.33</v>
      </c>
      <c r="K111" s="100">
        <v>7161.47</v>
      </c>
    </row>
    <row r="112" spans="1:11" x14ac:dyDescent="0.25">
      <c r="A112" s="100" t="s">
        <v>26</v>
      </c>
      <c r="B112" s="100">
        <v>1363.5</v>
      </c>
      <c r="C112" s="100">
        <v>2727.01</v>
      </c>
      <c r="D112" s="100">
        <v>4090.51</v>
      </c>
      <c r="E112" s="100">
        <v>5454.02</v>
      </c>
      <c r="F112" s="100">
        <v>6817.52</v>
      </c>
      <c r="G112" s="100">
        <v>8181.03</v>
      </c>
      <c r="H112" s="100">
        <v>9544.5300000000007</v>
      </c>
      <c r="I112" s="100">
        <v>10908.04</v>
      </c>
      <c r="J112" s="100">
        <v>12271.54</v>
      </c>
      <c r="K112" s="100">
        <v>13635.05</v>
      </c>
    </row>
    <row r="113" spans="1:11" x14ac:dyDescent="0.25">
      <c r="A113" s="100" t="s">
        <v>27</v>
      </c>
      <c r="B113" s="100">
        <v>0</v>
      </c>
      <c r="C113" s="100">
        <v>0</v>
      </c>
      <c r="D113" s="100">
        <v>0</v>
      </c>
      <c r="E113" s="100">
        <v>0</v>
      </c>
      <c r="F113" s="100">
        <v>0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</row>
  </sheetData>
  <mergeCells count="3">
    <mergeCell ref="A102:A103"/>
    <mergeCell ref="B102:K102"/>
    <mergeCell ref="B103:K10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3B47-B814-4A38-A0A9-66BF367A556C}">
  <dimension ref="A1:AB377"/>
  <sheetViews>
    <sheetView topLeftCell="A133" zoomScale="115" zoomScaleNormal="115" workbookViewId="0">
      <selection activeCell="C328" sqref="C328:AB332"/>
    </sheetView>
  </sheetViews>
  <sheetFormatPr defaultColWidth="8.85546875" defaultRowHeight="15" x14ac:dyDescent="0.25"/>
  <cols>
    <col min="1" max="1" width="32.5703125" customWidth="1"/>
    <col min="2" max="2" width="42.42578125" style="64" customWidth="1"/>
  </cols>
  <sheetData>
    <row r="1" spans="1:28" s="72" customFormat="1" x14ac:dyDescent="0.25">
      <c r="A1" s="154" t="s">
        <v>101</v>
      </c>
      <c r="B1" s="155" t="s">
        <v>86</v>
      </c>
      <c r="C1" s="155">
        <v>2010</v>
      </c>
      <c r="D1" s="155">
        <v>2011</v>
      </c>
      <c r="E1" s="155">
        <v>2012</v>
      </c>
      <c r="F1" s="155">
        <v>2013</v>
      </c>
      <c r="G1" s="155">
        <v>2014</v>
      </c>
      <c r="H1" s="155">
        <v>2015</v>
      </c>
      <c r="I1" s="155">
        <v>2016</v>
      </c>
      <c r="J1" s="155">
        <v>2017</v>
      </c>
      <c r="K1" s="155">
        <v>2018</v>
      </c>
      <c r="L1" s="155">
        <v>2019</v>
      </c>
      <c r="M1" s="155">
        <v>2020</v>
      </c>
      <c r="N1" s="155">
        <v>2021</v>
      </c>
      <c r="O1" s="155">
        <v>2022</v>
      </c>
      <c r="P1" s="155">
        <v>2023</v>
      </c>
      <c r="Q1" s="155">
        <v>2024</v>
      </c>
      <c r="R1" s="155">
        <v>2025</v>
      </c>
      <c r="S1" s="155">
        <v>2026</v>
      </c>
      <c r="T1" s="155">
        <v>2027</v>
      </c>
      <c r="U1" s="155">
        <v>2028</v>
      </c>
      <c r="V1" s="155">
        <v>2029</v>
      </c>
      <c r="W1" s="155">
        <v>2030</v>
      </c>
      <c r="X1" s="155">
        <v>2031</v>
      </c>
      <c r="Y1" s="155">
        <v>2032</v>
      </c>
      <c r="Z1" s="155">
        <v>2033</v>
      </c>
      <c r="AA1" s="155">
        <v>2034</v>
      </c>
      <c r="AB1" s="156">
        <v>2035</v>
      </c>
    </row>
    <row r="2" spans="1:28" s="70" customFormat="1" x14ac:dyDescent="0.25">
      <c r="A2" s="145" t="s">
        <v>102</v>
      </c>
      <c r="B2" s="71" t="s">
        <v>104</v>
      </c>
      <c r="C2" s="75">
        <v>0</v>
      </c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157">
        <f>+(Medidas!B22+Medidas!B32)/1000</f>
        <v>0.27500000000000002</v>
      </c>
      <c r="T2" s="157">
        <f>+(Medidas!C22+Medidas!C32)/1000</f>
        <v>0.27368000000000003</v>
      </c>
      <c r="U2" s="157">
        <f>+(Medidas!D22+Medidas!D32)/1000</f>
        <v>0.27236633599999999</v>
      </c>
      <c r="V2" s="157">
        <f>+(Medidas!E22+Medidas!E32)/1000</f>
        <v>0.27105897758719999</v>
      </c>
      <c r="W2" s="157">
        <f>+(Medidas!F22+Medidas!F32)/1000</f>
        <v>0.26975789449478144</v>
      </c>
      <c r="X2" s="157">
        <f>+(Medidas!G22+Medidas!G32)/1000</f>
        <v>0.26846305660120651</v>
      </c>
      <c r="Y2" s="157">
        <f>+(Medidas!H22+Medidas!H32)/1000</f>
        <v>0.26717443392952073</v>
      </c>
      <c r="Z2" s="157">
        <f>+(Medidas!I22+Medidas!I32)/1000</f>
        <v>0.26589199664665897</v>
      </c>
      <c r="AA2" s="157">
        <f>+(Medidas!J22+Medidas!J32)/1000</f>
        <v>0.26461571506275505</v>
      </c>
      <c r="AB2" s="158">
        <f>+(Medidas!K22+Medidas!K32)/1000</f>
        <v>0.26334555963045381</v>
      </c>
    </row>
    <row r="3" spans="1:28" s="70" customFormat="1" ht="15.75" thickBot="1" x14ac:dyDescent="0.3">
      <c r="A3" s="147" t="s">
        <v>103</v>
      </c>
      <c r="B3" s="148" t="s">
        <v>92</v>
      </c>
      <c r="C3" s="149">
        <v>0</v>
      </c>
      <c r="D3" s="149">
        <v>0</v>
      </c>
      <c r="E3" s="149">
        <v>0</v>
      </c>
      <c r="F3" s="149">
        <v>0</v>
      </c>
      <c r="G3" s="149">
        <v>0</v>
      </c>
      <c r="H3" s="149">
        <v>0</v>
      </c>
      <c r="I3" s="149">
        <v>0</v>
      </c>
      <c r="J3" s="149">
        <v>0</v>
      </c>
      <c r="K3" s="149">
        <v>0</v>
      </c>
      <c r="L3" s="149">
        <v>0</v>
      </c>
      <c r="M3" s="149">
        <v>0</v>
      </c>
      <c r="N3" s="149">
        <v>0</v>
      </c>
      <c r="O3" s="149">
        <v>0</v>
      </c>
      <c r="P3" s="149">
        <v>0</v>
      </c>
      <c r="Q3" s="149">
        <v>0</v>
      </c>
      <c r="R3" s="149">
        <v>0</v>
      </c>
      <c r="S3" s="149">
        <f>+Medidas!B27/1000</f>
        <v>0.08</v>
      </c>
      <c r="T3" s="149">
        <f>+Medidas!C27/1000</f>
        <v>7.9616000000000006E-2</v>
      </c>
      <c r="U3" s="149">
        <f>+Medidas!D27/1000</f>
        <v>7.9233843200000001E-2</v>
      </c>
      <c r="V3" s="149">
        <f>+Medidas!E27/1000</f>
        <v>7.8853520752639988E-2</v>
      </c>
      <c r="W3" s="149">
        <f>+Medidas!F27/1000</f>
        <v>7.847502385302732E-2</v>
      </c>
      <c r="X3" s="149">
        <f>+Medidas!G27/1000</f>
        <v>7.8098343738532791E-2</v>
      </c>
      <c r="Y3" s="149">
        <f>+Medidas!H27/1000</f>
        <v>7.7723471688587842E-2</v>
      </c>
      <c r="Z3" s="149">
        <f>+Medidas!I27/1000</f>
        <v>7.7350399024482611E-2</v>
      </c>
      <c r="AA3" s="149">
        <f>+Medidas!J27/1000</f>
        <v>7.6979117109165107E-2</v>
      </c>
      <c r="AB3" s="150">
        <f>+Medidas!K27/1000</f>
        <v>7.6609617347041109E-2</v>
      </c>
    </row>
    <row r="5" spans="1:28" ht="15.75" thickBot="1" x14ac:dyDescent="0.3"/>
    <row r="6" spans="1:28" s="72" customFormat="1" ht="15.75" thickBot="1" x14ac:dyDescent="0.3">
      <c r="A6" s="151" t="s">
        <v>97</v>
      </c>
      <c r="B6" s="152" t="s">
        <v>86</v>
      </c>
      <c r="C6" s="152">
        <v>2010</v>
      </c>
      <c r="D6" s="152">
        <v>2011</v>
      </c>
      <c r="E6" s="152">
        <v>2012</v>
      </c>
      <c r="F6" s="152">
        <v>2013</v>
      </c>
      <c r="G6" s="152">
        <v>2014</v>
      </c>
      <c r="H6" s="152">
        <v>2015</v>
      </c>
      <c r="I6" s="152">
        <v>2016</v>
      </c>
      <c r="J6" s="152">
        <v>2017</v>
      </c>
      <c r="K6" s="152">
        <v>2018</v>
      </c>
      <c r="L6" s="152">
        <v>2019</v>
      </c>
      <c r="M6" s="152">
        <v>2020</v>
      </c>
      <c r="N6" s="152">
        <v>2021</v>
      </c>
      <c r="O6" s="152">
        <v>2022</v>
      </c>
      <c r="P6" s="152">
        <v>2023</v>
      </c>
      <c r="Q6" s="152">
        <v>2024</v>
      </c>
      <c r="R6" s="152">
        <v>2025</v>
      </c>
      <c r="S6" s="152">
        <v>2026</v>
      </c>
      <c r="T6" s="152">
        <v>2027</v>
      </c>
      <c r="U6" s="152">
        <v>2028</v>
      </c>
      <c r="V6" s="152">
        <v>2029</v>
      </c>
      <c r="W6" s="152">
        <v>2030</v>
      </c>
      <c r="X6" s="152">
        <v>2031</v>
      </c>
      <c r="Y6" s="152">
        <v>2032</v>
      </c>
      <c r="Z6" s="152">
        <v>2033</v>
      </c>
      <c r="AA6" s="152">
        <v>2034</v>
      </c>
      <c r="AB6" s="153">
        <v>2035</v>
      </c>
    </row>
    <row r="7" spans="1:28" s="70" customFormat="1" x14ac:dyDescent="0.25">
      <c r="A7" s="141" t="s">
        <v>76</v>
      </c>
      <c r="B7" s="142" t="s">
        <v>87</v>
      </c>
      <c r="C7" s="143">
        <v>0</v>
      </c>
      <c r="D7" s="143">
        <v>0</v>
      </c>
      <c r="E7" s="143">
        <v>0</v>
      </c>
      <c r="F7" s="143">
        <v>0</v>
      </c>
      <c r="G7" s="143">
        <v>0</v>
      </c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f>+Medidas!B37/1000</f>
        <v>54.629208942999995</v>
      </c>
      <c r="T7" s="143">
        <f>+Medidas!C37/1000</f>
        <v>54.514487604219703</v>
      </c>
      <c r="U7" s="143">
        <f>+Medidas!D37/1000</f>
        <v>54.400007180250839</v>
      </c>
      <c r="V7" s="143">
        <f>+Medidas!E37/1000</f>
        <v>54.285767165172317</v>
      </c>
      <c r="W7" s="143">
        <f>+Medidas!F37/1000</f>
        <v>54.171767054125453</v>
      </c>
      <c r="X7" s="143">
        <f>+Medidas!G37/1000</f>
        <v>54.058006343311789</v>
      </c>
      <c r="Y7" s="143">
        <f>+Medidas!H37/1000</f>
        <v>53.944484529990831</v>
      </c>
      <c r="Z7" s="143">
        <f>+Medidas!I37/1000</f>
        <v>53.831201112477849</v>
      </c>
      <c r="AA7" s="143">
        <f>+Medidas!J37/1000</f>
        <v>53.718155590141649</v>
      </c>
      <c r="AB7" s="144">
        <f>+Medidas!K37/1000</f>
        <v>53.605347463402353</v>
      </c>
    </row>
    <row r="8" spans="1:28" s="70" customFormat="1" x14ac:dyDescent="0.25">
      <c r="A8" s="145" t="s">
        <v>77</v>
      </c>
      <c r="B8" s="71" t="s">
        <v>88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f>+(Medidas!B49+Medidas!B72)/1000</f>
        <v>3.684441500923926</v>
      </c>
      <c r="T8" s="75">
        <f>+(Medidas!C49+Medidas!C72)/1000</f>
        <v>3.6840368365785054</v>
      </c>
      <c r="U8" s="75">
        <f>+(Medidas!D49+Medidas!D72)/1000</f>
        <v>3.6836322395431553</v>
      </c>
      <c r="V8" s="75">
        <f>+(Medidas!E49+Medidas!E72)/1000</f>
        <v>3.6832277097279849</v>
      </c>
      <c r="W8" s="75">
        <f>+(Medidas!F49+Medidas!F72)/1000</f>
        <v>3.6828232470434008</v>
      </c>
      <c r="X8" s="75">
        <f>+(Medidas!G49+Medidas!G72)/1000</f>
        <v>3.6824188514001084</v>
      </c>
      <c r="Y8" s="75">
        <f>+(Medidas!H49+Medidas!H72)/1000</f>
        <v>3.6820145227091099</v>
      </c>
      <c r="Z8" s="75">
        <f>+(Medidas!I49+Medidas!I72)/1000</f>
        <v>3.681610260881703</v>
      </c>
      <c r="AA8" s="75">
        <f>+(Medidas!J49+Medidas!J72)/1000</f>
        <v>3.6812060658294792</v>
      </c>
      <c r="AB8" s="146">
        <f>+(Medidas!K49+Medidas!K72)/1000</f>
        <v>3.680801937464325</v>
      </c>
    </row>
    <row r="9" spans="1:28" s="70" customFormat="1" x14ac:dyDescent="0.25">
      <c r="A9" s="145" t="s">
        <v>78</v>
      </c>
      <c r="B9" s="71" t="s">
        <v>89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f>+(Medidas!B52+Medidas!B87)/1000</f>
        <v>21.778430961543133</v>
      </c>
      <c r="T9" s="75">
        <f>+(Medidas!C52+Medidas!C87)/1000</f>
        <v>21.704635624911063</v>
      </c>
      <c r="U9" s="75">
        <f>+(Medidas!D52+Medidas!D87)/1000</f>
        <v>21.631098309606656</v>
      </c>
      <c r="V9" s="75">
        <f>+(Medidas!E52+Medidas!E87)/1000</f>
        <v>21.5578181125836</v>
      </c>
      <c r="W9" s="75">
        <f>+(Medidas!F52+Medidas!F87)/1000</f>
        <v>21.484794133956246</v>
      </c>
      <c r="X9" s="75">
        <f>+(Medidas!G52+Medidas!G87)/1000</f>
        <v>21.412025476988532</v>
      </c>
      <c r="Y9" s="75">
        <f>+(Medidas!H52+Medidas!H87)/1000</f>
        <v>21.339511248082975</v>
      </c>
      <c r="Z9" s="75">
        <f>+(Medidas!I52+Medidas!I87)/1000</f>
        <v>21.267250556769678</v>
      </c>
      <c r="AA9" s="75">
        <f>+(Medidas!J52+Medidas!J87)/1000</f>
        <v>21.195242515695391</v>
      </c>
      <c r="AB9" s="146">
        <f>+(Medidas!K52+Medidas!K87)/1000</f>
        <v>21.123486240612586</v>
      </c>
    </row>
    <row r="10" spans="1:28" s="70" customFormat="1" x14ac:dyDescent="0.25">
      <c r="A10" s="145" t="s">
        <v>79</v>
      </c>
      <c r="B10" s="71" t="s">
        <v>90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f>+Medidas!B57/1000</f>
        <v>0.11095741391407672</v>
      </c>
      <c r="T10" s="75">
        <f>+Medidas!C57/1000</f>
        <v>0.11094543051337401</v>
      </c>
      <c r="U10" s="75">
        <f>+Medidas!D57/1000</f>
        <v>0.11093344840687856</v>
      </c>
      <c r="V10" s="75">
        <f>+Medidas!E57/1000</f>
        <v>0.11092146759445064</v>
      </c>
      <c r="W10" s="75">
        <f>+Medidas!F57/1000</f>
        <v>0.11090948807595044</v>
      </c>
      <c r="X10" s="75">
        <f>+Medidas!G57/1000</f>
        <v>0.11089750985123822</v>
      </c>
      <c r="Y10" s="75">
        <f>+Medidas!H57/1000</f>
        <v>0.11088553292017429</v>
      </c>
      <c r="Z10" s="75">
        <f>+Medidas!I57/1000</f>
        <v>0.11087355728261891</v>
      </c>
      <c r="AA10" s="75">
        <f>+Medidas!J57/1000</f>
        <v>0.11086158293843239</v>
      </c>
      <c r="AB10" s="146">
        <f>+Medidas!K57/1000</f>
        <v>0.11084960988747504</v>
      </c>
    </row>
    <row r="11" spans="1:28" s="70" customFormat="1" x14ac:dyDescent="0.25">
      <c r="A11" s="145" t="s">
        <v>80</v>
      </c>
      <c r="B11" s="71" t="s">
        <v>91</v>
      </c>
      <c r="C11" s="75">
        <v>0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f>+Medidas!B62/1000</f>
        <v>1.6887862513844032</v>
      </c>
      <c r="T11" s="75">
        <f>+Medidas!C62/1000</f>
        <v>1.6886038624692536</v>
      </c>
      <c r="U11" s="75">
        <f>+Medidas!D62/1000</f>
        <v>1.6884214932521069</v>
      </c>
      <c r="V11" s="75">
        <f>+Medidas!E62/1000</f>
        <v>1.6882391437308359</v>
      </c>
      <c r="W11" s="75">
        <f>+Medidas!F62/1000</f>
        <v>1.688056813903313</v>
      </c>
      <c r="X11" s="75">
        <f>+Medidas!G62/1000</f>
        <v>1.6878745037674114</v>
      </c>
      <c r="Y11" s="75">
        <f>+Medidas!H62/1000</f>
        <v>1.6876922133210046</v>
      </c>
      <c r="Z11" s="75">
        <f>+Medidas!I62/1000</f>
        <v>1.687509942561966</v>
      </c>
      <c r="AA11" s="75">
        <f>+Medidas!J62/1000</f>
        <v>1.6873276914881692</v>
      </c>
      <c r="AB11" s="146">
        <f>+Medidas!K62/1000</f>
        <v>1.6871454600974884</v>
      </c>
    </row>
    <row r="12" spans="1:28" s="70" customFormat="1" x14ac:dyDescent="0.25">
      <c r="A12" s="145" t="s">
        <v>81</v>
      </c>
      <c r="B12" s="71" t="s">
        <v>92</v>
      </c>
      <c r="C12" s="75">
        <v>0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f>+Medidas!B67/1000</f>
        <v>2.7183111448104702</v>
      </c>
      <c r="T12" s="75">
        <f>+Medidas!C67/1000</f>
        <v>2.7180175672068305</v>
      </c>
      <c r="U12" s="75">
        <f>+Medidas!D67/1000</f>
        <v>2.7177240213095719</v>
      </c>
      <c r="V12" s="75">
        <f>+Medidas!E67/1000</f>
        <v>2.7174305071152709</v>
      </c>
      <c r="W12" s="75">
        <f>+Medidas!F67/1000</f>
        <v>2.7171370246205022</v>
      </c>
      <c r="X12" s="75">
        <f>+Medidas!G67/1000</f>
        <v>2.7168435738218437</v>
      </c>
      <c r="Y12" s="75">
        <f>+Medidas!H67/1000</f>
        <v>2.716550154715871</v>
      </c>
      <c r="Z12" s="75">
        <f>+Medidas!I67/1000</f>
        <v>2.7162567672991615</v>
      </c>
      <c r="AA12" s="75">
        <f>+Medidas!J67/1000</f>
        <v>2.7159634115682936</v>
      </c>
      <c r="AB12" s="146">
        <f>+Medidas!K67/1000</f>
        <v>2.7156700875198441</v>
      </c>
    </row>
    <row r="13" spans="1:28" s="70" customFormat="1" x14ac:dyDescent="0.25">
      <c r="A13" s="145" t="s">
        <v>82</v>
      </c>
      <c r="B13" s="71" t="s">
        <v>93</v>
      </c>
      <c r="C13" s="75">
        <v>0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f>+Medidas!B77/1000</f>
        <v>0.36617914538683949</v>
      </c>
      <c r="T13" s="75">
        <f>+Medidas!C77/1000</f>
        <v>0.3661395980391377</v>
      </c>
      <c r="U13" s="75">
        <f>+Medidas!D77/1000</f>
        <v>0.36610005496254944</v>
      </c>
      <c r="V13" s="75">
        <f>+Medidas!E77/1000</f>
        <v>0.3660605161566135</v>
      </c>
      <c r="W13" s="75">
        <f>+Medidas!F77/1000</f>
        <v>0.3660209816208686</v>
      </c>
      <c r="X13" s="75">
        <f>+Medidas!G77/1000</f>
        <v>0.36598145135485355</v>
      </c>
      <c r="Y13" s="75">
        <f>+Medidas!H77/1000</f>
        <v>0.36594192535810727</v>
      </c>
      <c r="Z13" s="75">
        <f>+Medidas!I77/1000</f>
        <v>0.36590240363016857</v>
      </c>
      <c r="AA13" s="75">
        <f>+Medidas!J77/1000</f>
        <v>0.36586288617057655</v>
      </c>
      <c r="AB13" s="146">
        <f>+Medidas!K77/1000</f>
        <v>0.36582337297887013</v>
      </c>
    </row>
    <row r="14" spans="1:28" s="70" customFormat="1" x14ac:dyDescent="0.25">
      <c r="A14" s="145" t="s">
        <v>83</v>
      </c>
      <c r="B14" s="71" t="s">
        <v>94</v>
      </c>
      <c r="C14" s="75">
        <v>0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f>+Medidas!B92/1000</f>
        <v>1.3635047053613696</v>
      </c>
      <c r="T14" s="75">
        <f>+Medidas!C92/1000</f>
        <v>1.3633574468531906</v>
      </c>
      <c r="U14" s="75">
        <f>+Medidas!D92/1000</f>
        <v>1.3632102042489305</v>
      </c>
      <c r="V14" s="75">
        <f>+Medidas!E92/1000</f>
        <v>1.3630629775468717</v>
      </c>
      <c r="W14" s="75">
        <f>+Medidas!F92/1000</f>
        <v>1.3629157667452967</v>
      </c>
      <c r="X14" s="75">
        <f>+Medidas!G92/1000</f>
        <v>1.3627685718424882</v>
      </c>
      <c r="Y14" s="75">
        <f>+Medidas!H92/1000</f>
        <v>1.3626213928367292</v>
      </c>
      <c r="Z14" s="75">
        <f>+Medidas!I92/1000</f>
        <v>1.3624742297263028</v>
      </c>
      <c r="AA14" s="75">
        <f>+Medidas!J92/1000</f>
        <v>1.3623270825094924</v>
      </c>
      <c r="AB14" s="146">
        <f>+Medidas!K92/1000</f>
        <v>1.3621799511845814</v>
      </c>
    </row>
    <row r="15" spans="1:28" s="70" customFormat="1" x14ac:dyDescent="0.25">
      <c r="A15" s="145" t="s">
        <v>84</v>
      </c>
      <c r="B15" s="71" t="s">
        <v>95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f>+Medidas!B42/1000</f>
        <v>39.664720974399998</v>
      </c>
      <c r="T15" s="75">
        <f>+Medidas!C42/1000</f>
        <v>39.581425060353759</v>
      </c>
      <c r="U15" s="75">
        <f>+Medidas!D42/1000</f>
        <v>39.49830406772702</v>
      </c>
      <c r="V15" s="75">
        <f>+Medidas!E42/1000</f>
        <v>39.41535762918479</v>
      </c>
      <c r="W15" s="75">
        <f>+Medidas!F42/1000</f>
        <v>39.3325853781635</v>
      </c>
      <c r="X15" s="75">
        <f>+Medidas!G42/1000</f>
        <v>39.249986948869356</v>
      </c>
      <c r="Y15" s="75">
        <f>+Medidas!H42/1000</f>
        <v>39.16756197627673</v>
      </c>
      <c r="Z15" s="75">
        <f>+Medidas!I42/1000</f>
        <v>39.085310096126548</v>
      </c>
      <c r="AA15" s="75">
        <f>+Medidas!J42/1000</f>
        <v>39.003230944924688</v>
      </c>
      <c r="AB15" s="146">
        <f>+Medidas!K42/1000</f>
        <v>38.921324159940347</v>
      </c>
    </row>
    <row r="16" spans="1:28" s="70" customFormat="1" ht="15.75" thickBot="1" x14ac:dyDescent="0.3">
      <c r="A16" s="147" t="s">
        <v>85</v>
      </c>
      <c r="B16" s="148" t="s">
        <v>96</v>
      </c>
      <c r="C16" s="149">
        <v>0</v>
      </c>
      <c r="D16" s="149">
        <v>0</v>
      </c>
      <c r="E16" s="149">
        <v>0</v>
      </c>
      <c r="F16" s="149">
        <v>0</v>
      </c>
      <c r="G16" s="149">
        <v>0</v>
      </c>
      <c r="H16" s="149">
        <v>0</v>
      </c>
      <c r="I16" s="149">
        <v>0</v>
      </c>
      <c r="J16" s="149">
        <v>0</v>
      </c>
      <c r="K16" s="149">
        <v>0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0</v>
      </c>
      <c r="R16" s="149">
        <v>0</v>
      </c>
      <c r="S16" s="149">
        <v>3</v>
      </c>
      <c r="T16" s="149">
        <v>3</v>
      </c>
      <c r="U16" s="149">
        <v>3</v>
      </c>
      <c r="V16" s="149">
        <v>3</v>
      </c>
      <c r="W16" s="149">
        <v>0</v>
      </c>
      <c r="X16" s="149">
        <v>0</v>
      </c>
      <c r="Y16" s="149">
        <v>0</v>
      </c>
      <c r="Z16" s="149">
        <v>0</v>
      </c>
      <c r="AA16" s="149">
        <v>0</v>
      </c>
      <c r="AB16" s="150">
        <v>0</v>
      </c>
    </row>
    <row r="17" spans="1:28" s="70" customFormat="1" x14ac:dyDescent="0.25">
      <c r="A17" s="71"/>
      <c r="B17" s="71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</row>
    <row r="19" spans="1:28" x14ac:dyDescent="0.25">
      <c r="A19" s="81" t="s">
        <v>114</v>
      </c>
    </row>
    <row r="20" spans="1:28" x14ac:dyDescent="0.25">
      <c r="A20" s="1" t="s">
        <v>105</v>
      </c>
      <c r="B20" s="65" t="s">
        <v>106</v>
      </c>
      <c r="C20" s="1">
        <v>2010</v>
      </c>
      <c r="D20" s="1">
        <v>2011</v>
      </c>
      <c r="E20" s="1">
        <v>2012</v>
      </c>
      <c r="F20" s="1">
        <v>2013</v>
      </c>
      <c r="G20" s="1">
        <v>2014</v>
      </c>
      <c r="H20" s="1">
        <v>2015</v>
      </c>
      <c r="I20" s="1">
        <v>2016</v>
      </c>
      <c r="J20" s="1">
        <v>2017</v>
      </c>
      <c r="K20" s="1">
        <v>2018</v>
      </c>
      <c r="L20" s="1">
        <v>2019</v>
      </c>
      <c r="M20" s="1">
        <v>2020</v>
      </c>
      <c r="N20" s="1">
        <v>2021</v>
      </c>
      <c r="O20" s="1">
        <v>2022</v>
      </c>
      <c r="P20" s="1">
        <v>2023</v>
      </c>
      <c r="Q20" s="1">
        <v>2024</v>
      </c>
      <c r="R20" s="1">
        <v>2025</v>
      </c>
      <c r="S20" s="1">
        <v>2026</v>
      </c>
      <c r="T20" s="1">
        <v>2027</v>
      </c>
      <c r="U20" s="1">
        <v>2028</v>
      </c>
      <c r="V20" s="1">
        <v>2029</v>
      </c>
      <c r="W20" s="1">
        <v>2030</v>
      </c>
      <c r="X20" s="1">
        <v>2031</v>
      </c>
      <c r="Y20" s="1">
        <v>2032</v>
      </c>
      <c r="Z20" s="1">
        <v>2033</v>
      </c>
      <c r="AA20" s="1">
        <v>2034</v>
      </c>
      <c r="AB20" s="1">
        <v>2035</v>
      </c>
    </row>
    <row r="21" spans="1:28" x14ac:dyDescent="0.25">
      <c r="A21" s="53" t="s">
        <v>18</v>
      </c>
      <c r="B21" s="54" t="s">
        <v>19</v>
      </c>
      <c r="C21" s="84">
        <v>2921.6550000000002</v>
      </c>
      <c r="D21" s="84">
        <f>+(C21+E21)/2</f>
        <v>2921.6550000000002</v>
      </c>
      <c r="E21" s="84">
        <v>2921.6550000000002</v>
      </c>
      <c r="F21" s="84">
        <f>+(E21+G21)/2</f>
        <v>2921.6550000000002</v>
      </c>
      <c r="G21" s="84">
        <v>2921.6550000000002</v>
      </c>
      <c r="H21" s="84">
        <f>+(G21+I21)/2</f>
        <v>2044.4325000000001</v>
      </c>
      <c r="I21" s="84">
        <v>1167.21</v>
      </c>
      <c r="J21" s="84">
        <f>+(I21+K21)/2</f>
        <v>1052.55</v>
      </c>
      <c r="K21" s="84">
        <v>937.89</v>
      </c>
      <c r="L21" s="84">
        <v>3382.92</v>
      </c>
      <c r="M21" s="84">
        <v>3382.92</v>
      </c>
      <c r="N21" s="84">
        <v>2392.92</v>
      </c>
      <c r="O21" s="84">
        <v>2392.92</v>
      </c>
      <c r="P21" s="84">
        <f>+O21+(0.049/100)</f>
        <v>2392.92049</v>
      </c>
      <c r="Q21" s="84">
        <f t="shared" ref="Q21:AB21" si="0">+P21+(0.049/100)</f>
        <v>2392.9209799999999</v>
      </c>
      <c r="R21" s="84">
        <f t="shared" si="0"/>
        <v>2392.9214699999998</v>
      </c>
      <c r="S21" s="84">
        <f t="shared" si="0"/>
        <v>2392.9219599999997</v>
      </c>
      <c r="T21" s="84">
        <f t="shared" si="0"/>
        <v>2392.9224499999996</v>
      </c>
      <c r="U21" s="84">
        <f t="shared" si="0"/>
        <v>2392.9229399999995</v>
      </c>
      <c r="V21" s="84">
        <f t="shared" si="0"/>
        <v>2392.9234299999994</v>
      </c>
      <c r="W21" s="84">
        <f t="shared" si="0"/>
        <v>2392.9239199999993</v>
      </c>
      <c r="X21" s="84">
        <f t="shared" si="0"/>
        <v>2392.9244099999992</v>
      </c>
      <c r="Y21" s="84">
        <f t="shared" si="0"/>
        <v>2392.9248999999991</v>
      </c>
      <c r="Z21" s="84">
        <f t="shared" si="0"/>
        <v>2392.925389999999</v>
      </c>
      <c r="AA21" s="84">
        <f t="shared" si="0"/>
        <v>2392.9258799999989</v>
      </c>
      <c r="AB21" s="84">
        <f t="shared" si="0"/>
        <v>2392.9263699999988</v>
      </c>
    </row>
    <row r="22" spans="1:28" x14ac:dyDescent="0.25">
      <c r="A22" s="53" t="s">
        <v>20</v>
      </c>
      <c r="B22" s="54" t="s">
        <v>19</v>
      </c>
      <c r="C22" s="84">
        <v>14129.010000000007</v>
      </c>
      <c r="D22" s="84">
        <f t="shared" ref="D22:F34" si="1">+(C22+E22)/2</f>
        <v>14129.010000000007</v>
      </c>
      <c r="E22" s="84">
        <v>14129.010000000007</v>
      </c>
      <c r="F22" s="84">
        <f t="shared" si="1"/>
        <v>14129.010000000007</v>
      </c>
      <c r="G22" s="84">
        <v>14129.010000000007</v>
      </c>
      <c r="H22" s="84">
        <f t="shared" ref="H22" si="2">+(G22+I22)/2</f>
        <v>13915.642500000002</v>
      </c>
      <c r="I22" s="84">
        <v>13702.274999999998</v>
      </c>
      <c r="J22" s="84">
        <f t="shared" ref="J22" si="3">+(I22+K22)/2</f>
        <v>11871.967499999999</v>
      </c>
      <c r="K22" s="84">
        <v>10041.66</v>
      </c>
      <c r="L22" s="84">
        <v>11193.21</v>
      </c>
      <c r="M22" s="84">
        <v>11193.21</v>
      </c>
      <c r="N22" s="84">
        <v>14441.400000000001</v>
      </c>
      <c r="O22" s="84">
        <v>14441.400000000001</v>
      </c>
      <c r="P22" s="84">
        <f t="shared" ref="P22:AB34" si="4">+O22+(0.049/100)</f>
        <v>14441.400490000002</v>
      </c>
      <c r="Q22" s="84">
        <f t="shared" si="4"/>
        <v>14441.400980000002</v>
      </c>
      <c r="R22" s="84">
        <f t="shared" si="4"/>
        <v>14441.401470000003</v>
      </c>
      <c r="S22" s="84">
        <f t="shared" si="4"/>
        <v>14441.401960000003</v>
      </c>
      <c r="T22" s="84">
        <f t="shared" si="4"/>
        <v>14441.402450000003</v>
      </c>
      <c r="U22" s="84">
        <f t="shared" si="4"/>
        <v>14441.402940000004</v>
      </c>
      <c r="V22" s="84">
        <f t="shared" si="4"/>
        <v>14441.403430000004</v>
      </c>
      <c r="W22" s="84">
        <f t="shared" si="4"/>
        <v>14441.403920000004</v>
      </c>
      <c r="X22" s="84">
        <f t="shared" si="4"/>
        <v>14441.404410000005</v>
      </c>
      <c r="Y22" s="84">
        <f t="shared" si="4"/>
        <v>14441.404900000005</v>
      </c>
      <c r="Z22" s="84">
        <f t="shared" si="4"/>
        <v>14441.405390000005</v>
      </c>
      <c r="AA22" s="84">
        <f t="shared" si="4"/>
        <v>14441.405880000006</v>
      </c>
      <c r="AB22" s="84">
        <f t="shared" si="4"/>
        <v>14441.406370000006</v>
      </c>
    </row>
    <row r="23" spans="1:28" x14ac:dyDescent="0.25">
      <c r="A23" s="53" t="s">
        <v>21</v>
      </c>
      <c r="B23" s="54" t="s">
        <v>19</v>
      </c>
      <c r="C23" s="84">
        <v>13631.910000000002</v>
      </c>
      <c r="D23" s="84">
        <f t="shared" si="1"/>
        <v>13631.910000000002</v>
      </c>
      <c r="E23" s="84">
        <v>13631.910000000002</v>
      </c>
      <c r="F23" s="84">
        <f t="shared" si="1"/>
        <v>13631.910000000002</v>
      </c>
      <c r="G23" s="84">
        <v>13631.910000000002</v>
      </c>
      <c r="H23" s="84">
        <f t="shared" ref="H23" si="5">+(G23+I23)/2</f>
        <v>13444.094999999999</v>
      </c>
      <c r="I23" s="84">
        <v>13256.279999999997</v>
      </c>
      <c r="J23" s="84">
        <f t="shared" ref="J23" si="6">+(I23+K23)/2</f>
        <v>12232.394999999999</v>
      </c>
      <c r="K23" s="84">
        <v>11208.51</v>
      </c>
      <c r="L23" s="84">
        <v>11090.66</v>
      </c>
      <c r="M23" s="84">
        <v>11090.66</v>
      </c>
      <c r="N23" s="84">
        <v>8753.94</v>
      </c>
      <c r="O23" s="84">
        <v>8753.94</v>
      </c>
      <c r="P23" s="84">
        <f t="shared" si="4"/>
        <v>8753.9404900000009</v>
      </c>
      <c r="Q23" s="84">
        <f t="shared" si="4"/>
        <v>8753.9409800000012</v>
      </c>
      <c r="R23" s="84">
        <f t="shared" si="4"/>
        <v>8753.9414700000016</v>
      </c>
      <c r="S23" s="84">
        <f t="shared" si="4"/>
        <v>8753.9419600000019</v>
      </c>
      <c r="T23" s="84">
        <f t="shared" si="4"/>
        <v>8753.9424500000023</v>
      </c>
      <c r="U23" s="84">
        <f t="shared" si="4"/>
        <v>8753.9429400000026</v>
      </c>
      <c r="V23" s="84">
        <f t="shared" si="4"/>
        <v>8753.943430000003</v>
      </c>
      <c r="W23" s="84">
        <f t="shared" si="4"/>
        <v>8753.9439200000033</v>
      </c>
      <c r="X23" s="84">
        <f t="shared" si="4"/>
        <v>8753.9444100000037</v>
      </c>
      <c r="Y23" s="84">
        <f t="shared" si="4"/>
        <v>8753.9449000000041</v>
      </c>
      <c r="Z23" s="84">
        <f t="shared" si="4"/>
        <v>8753.9453900000044</v>
      </c>
      <c r="AA23" s="84">
        <f t="shared" si="4"/>
        <v>8753.9458800000048</v>
      </c>
      <c r="AB23" s="84">
        <f t="shared" si="4"/>
        <v>8753.9463700000051</v>
      </c>
    </row>
    <row r="24" spans="1:28" x14ac:dyDescent="0.25">
      <c r="A24" s="53" t="s">
        <v>22</v>
      </c>
      <c r="B24" s="54" t="s">
        <v>19</v>
      </c>
      <c r="C24" s="84">
        <v>19148.415000000001</v>
      </c>
      <c r="D24" s="84">
        <f t="shared" si="1"/>
        <v>19148.415000000001</v>
      </c>
      <c r="E24" s="84">
        <v>19148.415000000001</v>
      </c>
      <c r="F24" s="84">
        <f t="shared" si="1"/>
        <v>19148.415000000001</v>
      </c>
      <c r="G24" s="84">
        <v>19148.415000000001</v>
      </c>
      <c r="H24" s="84">
        <f t="shared" ref="H24" si="7">+(G24+I24)/2</f>
        <v>15017.677500000002</v>
      </c>
      <c r="I24" s="84">
        <v>10886.94</v>
      </c>
      <c r="J24" s="84">
        <f t="shared" ref="J24" si="8">+(I24+K24)/2</f>
        <v>10514.34</v>
      </c>
      <c r="K24" s="84">
        <v>10141.74</v>
      </c>
      <c r="L24" s="84">
        <v>8861.5349999999999</v>
      </c>
      <c r="M24" s="84">
        <v>8861.5349999999999</v>
      </c>
      <c r="N24" s="84">
        <v>11154.645</v>
      </c>
      <c r="O24" s="84">
        <v>11154.645</v>
      </c>
      <c r="P24" s="84">
        <f t="shared" si="4"/>
        <v>11154.645490000001</v>
      </c>
      <c r="Q24" s="84">
        <f t="shared" si="4"/>
        <v>11154.645980000001</v>
      </c>
      <c r="R24" s="84">
        <f t="shared" si="4"/>
        <v>11154.646470000002</v>
      </c>
      <c r="S24" s="84">
        <f t="shared" si="4"/>
        <v>11154.646960000002</v>
      </c>
      <c r="T24" s="84">
        <f t="shared" si="4"/>
        <v>11154.647450000002</v>
      </c>
      <c r="U24" s="84">
        <f t="shared" si="4"/>
        <v>11154.647940000003</v>
      </c>
      <c r="V24" s="84">
        <f t="shared" si="4"/>
        <v>11154.648430000003</v>
      </c>
      <c r="W24" s="84">
        <f t="shared" si="4"/>
        <v>11154.648920000003</v>
      </c>
      <c r="X24" s="84">
        <f t="shared" si="4"/>
        <v>11154.649410000004</v>
      </c>
      <c r="Y24" s="84">
        <f t="shared" si="4"/>
        <v>11154.649900000004</v>
      </c>
      <c r="Z24" s="84">
        <f t="shared" si="4"/>
        <v>11154.650390000004</v>
      </c>
      <c r="AA24" s="84">
        <f t="shared" si="4"/>
        <v>11154.650880000005</v>
      </c>
      <c r="AB24" s="84">
        <f t="shared" si="4"/>
        <v>11154.651370000005</v>
      </c>
    </row>
    <row r="25" spans="1:28" x14ac:dyDescent="0.25">
      <c r="A25" s="53" t="s">
        <v>23</v>
      </c>
      <c r="B25" s="54" t="s">
        <v>19</v>
      </c>
      <c r="C25" s="84">
        <v>2543.9550000000004</v>
      </c>
      <c r="D25" s="84">
        <f t="shared" si="1"/>
        <v>2543.9550000000004</v>
      </c>
      <c r="E25" s="84">
        <v>2543.9550000000004</v>
      </c>
      <c r="F25" s="84">
        <f>+(E25+G25)/2</f>
        <v>2543.9550000000004</v>
      </c>
      <c r="G25" s="84">
        <v>2543.9550000000004</v>
      </c>
      <c r="H25" s="84">
        <f t="shared" ref="H25" si="9">+(G25+I25)/2</f>
        <v>2740.3950000000004</v>
      </c>
      <c r="I25" s="84">
        <v>2936.835</v>
      </c>
      <c r="J25" s="84">
        <f t="shared" ref="J25" si="10">+(I25+K25)/2</f>
        <v>2619.4974999999999</v>
      </c>
      <c r="K25" s="84">
        <v>2302.16</v>
      </c>
      <c r="L25" s="84">
        <v>3169.13</v>
      </c>
      <c r="M25" s="84">
        <v>3169.13</v>
      </c>
      <c r="N25" s="84">
        <v>1357.29</v>
      </c>
      <c r="O25" s="84">
        <v>1357.29</v>
      </c>
      <c r="P25" s="84">
        <f t="shared" si="4"/>
        <v>1357.2904899999999</v>
      </c>
      <c r="Q25" s="84">
        <f t="shared" si="4"/>
        <v>1357.2909799999998</v>
      </c>
      <c r="R25" s="84">
        <f t="shared" si="4"/>
        <v>1357.2914699999997</v>
      </c>
      <c r="S25" s="84">
        <f t="shared" si="4"/>
        <v>1357.2919599999996</v>
      </c>
      <c r="T25" s="84">
        <f t="shared" si="4"/>
        <v>1357.2924499999995</v>
      </c>
      <c r="U25" s="84">
        <f t="shared" si="4"/>
        <v>1357.2929399999994</v>
      </c>
      <c r="V25" s="84">
        <f t="shared" si="4"/>
        <v>1357.2934299999993</v>
      </c>
      <c r="W25" s="84">
        <f t="shared" si="4"/>
        <v>1357.2939199999992</v>
      </c>
      <c r="X25" s="84">
        <f t="shared" si="4"/>
        <v>1357.2944099999991</v>
      </c>
      <c r="Y25" s="84">
        <f t="shared" si="4"/>
        <v>1357.294899999999</v>
      </c>
      <c r="Z25" s="84">
        <f t="shared" si="4"/>
        <v>1357.2953899999989</v>
      </c>
      <c r="AA25" s="84">
        <f t="shared" si="4"/>
        <v>1357.2958799999988</v>
      </c>
      <c r="AB25" s="84">
        <f t="shared" si="4"/>
        <v>1357.2963699999987</v>
      </c>
    </row>
    <row r="26" spans="1:28" ht="22.5" x14ac:dyDescent="0.25">
      <c r="A26" s="53" t="s">
        <v>24</v>
      </c>
      <c r="B26" s="54" t="s">
        <v>19</v>
      </c>
      <c r="C26" s="84">
        <v>22227.494999999999</v>
      </c>
      <c r="D26" s="84">
        <f t="shared" si="1"/>
        <v>22227.494999999999</v>
      </c>
      <c r="E26" s="84">
        <v>22227.494999999999</v>
      </c>
      <c r="F26" s="84">
        <f t="shared" si="1"/>
        <v>22227.494999999999</v>
      </c>
      <c r="G26" s="84">
        <v>22227.494999999999</v>
      </c>
      <c r="H26" s="84">
        <f t="shared" ref="H26" si="11">+(G26+I26)/2</f>
        <v>24651.502500000002</v>
      </c>
      <c r="I26" s="84">
        <v>27075.510000000002</v>
      </c>
      <c r="J26" s="84">
        <f t="shared" ref="J26" si="12">+(I26+K26)/2</f>
        <v>25636.365000000002</v>
      </c>
      <c r="K26" s="84">
        <v>24197.22</v>
      </c>
      <c r="L26" s="84">
        <v>26998.74</v>
      </c>
      <c r="M26" s="84">
        <v>26998.74</v>
      </c>
      <c r="N26" s="84">
        <v>28947.375</v>
      </c>
      <c r="O26" s="84">
        <v>28947.375</v>
      </c>
      <c r="P26" s="84">
        <f t="shared" si="4"/>
        <v>28947.375489999999</v>
      </c>
      <c r="Q26" s="84">
        <f t="shared" si="4"/>
        <v>28947.375979999997</v>
      </c>
      <c r="R26" s="84">
        <f t="shared" si="4"/>
        <v>28947.376469999996</v>
      </c>
      <c r="S26" s="84">
        <f t="shared" si="4"/>
        <v>28947.376959999994</v>
      </c>
      <c r="T26" s="84">
        <f t="shared" si="4"/>
        <v>28947.377449999993</v>
      </c>
      <c r="U26" s="84">
        <f t="shared" si="4"/>
        <v>28947.377939999991</v>
      </c>
      <c r="V26" s="84">
        <f t="shared" si="4"/>
        <v>28947.37842999999</v>
      </c>
      <c r="W26" s="84">
        <f t="shared" si="4"/>
        <v>28947.378919999988</v>
      </c>
      <c r="X26" s="84">
        <f t="shared" si="4"/>
        <v>28947.379409999987</v>
      </c>
      <c r="Y26" s="84">
        <f t="shared" si="4"/>
        <v>28947.379899999985</v>
      </c>
      <c r="Z26" s="84">
        <f t="shared" si="4"/>
        <v>28947.380389999984</v>
      </c>
      <c r="AA26" s="84">
        <f t="shared" si="4"/>
        <v>28947.380879999982</v>
      </c>
      <c r="AB26" s="84">
        <f t="shared" si="4"/>
        <v>28947.381369999981</v>
      </c>
    </row>
    <row r="27" spans="1:28" x14ac:dyDescent="0.25">
      <c r="A27" s="53" t="s">
        <v>25</v>
      </c>
      <c r="B27" s="54" t="s">
        <v>19</v>
      </c>
      <c r="C27" s="84">
        <v>19344.36</v>
      </c>
      <c r="D27" s="84">
        <f t="shared" si="1"/>
        <v>19344.36</v>
      </c>
      <c r="E27" s="84">
        <v>19344.36</v>
      </c>
      <c r="F27" s="84">
        <f t="shared" si="1"/>
        <v>19344.36</v>
      </c>
      <c r="G27" s="84">
        <v>19344.36</v>
      </c>
      <c r="H27" s="84">
        <f t="shared" ref="H27" si="13">+(G27+I27)/2</f>
        <v>19871.79</v>
      </c>
      <c r="I27" s="84">
        <v>20399.220000000005</v>
      </c>
      <c r="J27" s="84">
        <f t="shared" ref="J27" si="14">+(I27+K27)/2</f>
        <v>19175.940000000002</v>
      </c>
      <c r="K27" s="84">
        <v>17952.66</v>
      </c>
      <c r="L27" s="84">
        <v>16612.38</v>
      </c>
      <c r="M27" s="84">
        <v>16612.38</v>
      </c>
      <c r="N27" s="84">
        <v>23323.995000000003</v>
      </c>
      <c r="O27" s="84">
        <v>23323.995000000003</v>
      </c>
      <c r="P27" s="84">
        <f t="shared" si="4"/>
        <v>23323.995490000001</v>
      </c>
      <c r="Q27" s="84">
        <f t="shared" si="4"/>
        <v>23323.99598</v>
      </c>
      <c r="R27" s="84">
        <f t="shared" si="4"/>
        <v>23323.996469999998</v>
      </c>
      <c r="S27" s="84">
        <f t="shared" si="4"/>
        <v>23323.996959999997</v>
      </c>
      <c r="T27" s="84">
        <f t="shared" si="4"/>
        <v>23323.997449999995</v>
      </c>
      <c r="U27" s="84">
        <f t="shared" si="4"/>
        <v>23323.997939999994</v>
      </c>
      <c r="V27" s="84">
        <f t="shared" si="4"/>
        <v>23323.998429999992</v>
      </c>
      <c r="W27" s="84">
        <f t="shared" si="4"/>
        <v>23323.998919999991</v>
      </c>
      <c r="X27" s="84">
        <f t="shared" si="4"/>
        <v>23323.999409999989</v>
      </c>
      <c r="Y27" s="84">
        <f t="shared" si="4"/>
        <v>23323.999899999988</v>
      </c>
      <c r="Z27" s="84">
        <f t="shared" si="4"/>
        <v>23324.000389999987</v>
      </c>
      <c r="AA27" s="84">
        <f t="shared" si="4"/>
        <v>23324.000879999985</v>
      </c>
      <c r="AB27" s="84">
        <f t="shared" si="4"/>
        <v>23324.001369999984</v>
      </c>
    </row>
    <row r="28" spans="1:28" x14ac:dyDescent="0.25">
      <c r="A28" s="53" t="s">
        <v>26</v>
      </c>
      <c r="B28" s="54" t="s">
        <v>19</v>
      </c>
      <c r="C28" s="84">
        <v>363.52500000000009</v>
      </c>
      <c r="D28" s="84">
        <f t="shared" si="1"/>
        <v>363.52500000000009</v>
      </c>
      <c r="E28" s="84">
        <v>363.52500000000009</v>
      </c>
      <c r="F28" s="84">
        <f t="shared" si="1"/>
        <v>363.52500000000009</v>
      </c>
      <c r="G28" s="84">
        <v>363.52500000000009</v>
      </c>
      <c r="H28" s="84">
        <f t="shared" ref="H28" si="15">+(G28+I28)/2</f>
        <v>561.31500000000028</v>
      </c>
      <c r="I28" s="84">
        <v>759.10500000000059</v>
      </c>
      <c r="J28" s="84">
        <f t="shared" ref="J28" si="16">+(I28+K28)/2</f>
        <v>538.24750000000029</v>
      </c>
      <c r="K28" s="84">
        <v>317.39</v>
      </c>
      <c r="L28" s="84">
        <v>137.97</v>
      </c>
      <c r="M28" s="84">
        <v>137.97</v>
      </c>
      <c r="N28" s="84">
        <v>329.58</v>
      </c>
      <c r="O28" s="84">
        <v>329.58</v>
      </c>
      <c r="P28" s="84">
        <f t="shared" si="4"/>
        <v>329.58049</v>
      </c>
      <c r="Q28" s="84">
        <f t="shared" si="4"/>
        <v>329.58098000000001</v>
      </c>
      <c r="R28" s="84">
        <f t="shared" si="4"/>
        <v>329.58147000000002</v>
      </c>
      <c r="S28" s="84">
        <f t="shared" si="4"/>
        <v>329.58196000000004</v>
      </c>
      <c r="T28" s="84">
        <f t="shared" si="4"/>
        <v>329.58245000000005</v>
      </c>
      <c r="U28" s="84">
        <f t="shared" si="4"/>
        <v>329.58294000000006</v>
      </c>
      <c r="V28" s="84">
        <f t="shared" si="4"/>
        <v>329.58343000000008</v>
      </c>
      <c r="W28" s="84">
        <f t="shared" si="4"/>
        <v>329.58392000000009</v>
      </c>
      <c r="X28" s="84">
        <f t="shared" si="4"/>
        <v>329.5844100000001</v>
      </c>
      <c r="Y28" s="84">
        <f t="shared" si="4"/>
        <v>329.58490000000012</v>
      </c>
      <c r="Z28" s="84">
        <f t="shared" si="4"/>
        <v>329.58539000000013</v>
      </c>
      <c r="AA28" s="84">
        <f t="shared" si="4"/>
        <v>329.58588000000015</v>
      </c>
      <c r="AB28" s="84">
        <f t="shared" si="4"/>
        <v>329.58637000000016</v>
      </c>
    </row>
    <row r="29" spans="1:28" x14ac:dyDescent="0.25">
      <c r="A29" s="53" t="s">
        <v>27</v>
      </c>
      <c r="B29" s="54" t="s">
        <v>19</v>
      </c>
      <c r="C29" s="84">
        <v>423.67500000000001</v>
      </c>
      <c r="D29" s="84">
        <f t="shared" si="1"/>
        <v>423.67500000000001</v>
      </c>
      <c r="E29" s="84">
        <v>423.67500000000001</v>
      </c>
      <c r="F29" s="84">
        <f t="shared" si="1"/>
        <v>423.67500000000001</v>
      </c>
      <c r="G29" s="84">
        <v>423.67500000000001</v>
      </c>
      <c r="H29" s="84">
        <f t="shared" ref="H29" si="17">+(G29+I29)/2</f>
        <v>506.65499999999997</v>
      </c>
      <c r="I29" s="84">
        <v>589.63499999999999</v>
      </c>
      <c r="J29" s="84">
        <f t="shared" ref="J29" si="18">+(I29+K29)/2</f>
        <v>463.27499999999998</v>
      </c>
      <c r="K29" s="84">
        <v>336.91500000000002</v>
      </c>
      <c r="L29" s="84">
        <v>621.04999999999995</v>
      </c>
      <c r="M29" s="84">
        <v>621.04999999999995</v>
      </c>
      <c r="N29" s="84">
        <v>667.8900000000001</v>
      </c>
      <c r="O29" s="84">
        <v>667.8900000000001</v>
      </c>
      <c r="P29" s="84">
        <f t="shared" si="4"/>
        <v>667.89049000000011</v>
      </c>
      <c r="Q29" s="84">
        <f t="shared" si="4"/>
        <v>667.89098000000013</v>
      </c>
      <c r="R29" s="84">
        <f t="shared" si="4"/>
        <v>667.89147000000014</v>
      </c>
      <c r="S29" s="84">
        <f t="shared" si="4"/>
        <v>667.89196000000015</v>
      </c>
      <c r="T29" s="84">
        <f t="shared" si="4"/>
        <v>667.89245000000017</v>
      </c>
      <c r="U29" s="84">
        <f t="shared" si="4"/>
        <v>667.89294000000018</v>
      </c>
      <c r="V29" s="84">
        <f t="shared" si="4"/>
        <v>667.89343000000019</v>
      </c>
      <c r="W29" s="84">
        <f t="shared" si="4"/>
        <v>667.89392000000021</v>
      </c>
      <c r="X29" s="84">
        <f t="shared" si="4"/>
        <v>667.89441000000022</v>
      </c>
      <c r="Y29" s="84">
        <f t="shared" si="4"/>
        <v>667.89490000000023</v>
      </c>
      <c r="Z29" s="84">
        <f t="shared" si="4"/>
        <v>667.89539000000025</v>
      </c>
      <c r="AA29" s="84">
        <f t="shared" si="4"/>
        <v>667.89588000000026</v>
      </c>
      <c r="AB29" s="84">
        <f t="shared" si="4"/>
        <v>667.89637000000027</v>
      </c>
    </row>
    <row r="30" spans="1:28" x14ac:dyDescent="0.25">
      <c r="A30" s="53" t="s">
        <v>28</v>
      </c>
      <c r="B30" s="54" t="s">
        <v>19</v>
      </c>
      <c r="C30" s="84">
        <v>2300.9850000000001</v>
      </c>
      <c r="D30" s="84">
        <f t="shared" si="1"/>
        <v>2300.9850000000001</v>
      </c>
      <c r="E30" s="84">
        <v>2300.9850000000001</v>
      </c>
      <c r="F30" s="84">
        <f t="shared" si="1"/>
        <v>2300.9850000000001</v>
      </c>
      <c r="G30" s="84">
        <v>2300.9850000000001</v>
      </c>
      <c r="H30" s="84">
        <f t="shared" ref="H30" si="19">+(G30+I30)/2</f>
        <v>6718.8375000000005</v>
      </c>
      <c r="I30" s="84">
        <v>11136.69</v>
      </c>
      <c r="J30" s="84">
        <f t="shared" ref="J30" si="20">+(I30+K30)/2</f>
        <v>9869.0625</v>
      </c>
      <c r="K30" s="84">
        <v>8601.4349999999995</v>
      </c>
      <c r="L30" s="84">
        <v>1903.73</v>
      </c>
      <c r="M30" s="84">
        <v>1903.73</v>
      </c>
      <c r="N30" s="84">
        <v>5155.1099999999997</v>
      </c>
      <c r="O30" s="84">
        <v>5155.1099999999997</v>
      </c>
      <c r="P30" s="84">
        <f t="shared" si="4"/>
        <v>5155.11049</v>
      </c>
      <c r="Q30" s="84">
        <f t="shared" si="4"/>
        <v>5155.1109800000004</v>
      </c>
      <c r="R30" s="84">
        <f t="shared" si="4"/>
        <v>5155.1114700000007</v>
      </c>
      <c r="S30" s="84">
        <f t="shared" si="4"/>
        <v>5155.1119600000011</v>
      </c>
      <c r="T30" s="84">
        <f t="shared" si="4"/>
        <v>5155.1124500000014</v>
      </c>
      <c r="U30" s="84">
        <f t="shared" si="4"/>
        <v>5155.1129400000018</v>
      </c>
      <c r="V30" s="84">
        <f t="shared" si="4"/>
        <v>5155.1134300000022</v>
      </c>
      <c r="W30" s="84">
        <f t="shared" si="4"/>
        <v>5155.1139200000025</v>
      </c>
      <c r="X30" s="84">
        <f t="shared" si="4"/>
        <v>5155.1144100000029</v>
      </c>
      <c r="Y30" s="84">
        <f t="shared" si="4"/>
        <v>5155.1149000000032</v>
      </c>
      <c r="Z30" s="84">
        <f t="shared" si="4"/>
        <v>5155.1153900000036</v>
      </c>
      <c r="AA30" s="84">
        <f t="shared" si="4"/>
        <v>5155.1158800000039</v>
      </c>
      <c r="AB30" s="84">
        <f t="shared" si="4"/>
        <v>5155.1163700000043</v>
      </c>
    </row>
    <row r="31" spans="1:28" x14ac:dyDescent="0.25">
      <c r="A31" s="56" t="s">
        <v>4</v>
      </c>
      <c r="B31" s="54" t="s">
        <v>19</v>
      </c>
      <c r="C31" s="84">
        <v>24385.99</v>
      </c>
      <c r="D31" s="84">
        <f t="shared" si="1"/>
        <v>24385.99</v>
      </c>
      <c r="E31" s="84">
        <v>24385.99</v>
      </c>
      <c r="F31" s="84">
        <f t="shared" si="1"/>
        <v>24385.99</v>
      </c>
      <c r="G31" s="84">
        <v>24385.99</v>
      </c>
      <c r="H31" s="84">
        <f t="shared" ref="H31" si="21">+(G31+I31)/2</f>
        <v>38966.805</v>
      </c>
      <c r="I31" s="84">
        <v>53547.62</v>
      </c>
      <c r="J31" s="84">
        <f t="shared" ref="J31" si="22">+(I31+K31)/2</f>
        <v>34203.535000000003</v>
      </c>
      <c r="K31" s="84">
        <v>14859.45</v>
      </c>
      <c r="L31" s="84">
        <v>32440.31</v>
      </c>
      <c r="M31" s="84">
        <v>32440.31</v>
      </c>
      <c r="N31" s="84">
        <v>23216.04</v>
      </c>
      <c r="O31" s="84">
        <v>23216.04</v>
      </c>
      <c r="P31" s="84">
        <f t="shared" si="4"/>
        <v>23216.040489999999</v>
      </c>
      <c r="Q31" s="84">
        <f t="shared" si="4"/>
        <v>23216.040979999998</v>
      </c>
      <c r="R31" s="84">
        <f t="shared" si="4"/>
        <v>23216.041469999996</v>
      </c>
      <c r="S31" s="84">
        <f t="shared" si="4"/>
        <v>23216.041959999995</v>
      </c>
      <c r="T31" s="84">
        <f t="shared" si="4"/>
        <v>23216.042449999994</v>
      </c>
      <c r="U31" s="84">
        <f t="shared" si="4"/>
        <v>23216.042939999992</v>
      </c>
      <c r="V31" s="84">
        <f t="shared" si="4"/>
        <v>23216.043429999991</v>
      </c>
      <c r="W31" s="84">
        <f t="shared" si="4"/>
        <v>23216.043919999989</v>
      </c>
      <c r="X31" s="84">
        <f t="shared" si="4"/>
        <v>23216.044409999988</v>
      </c>
      <c r="Y31" s="84">
        <f t="shared" si="4"/>
        <v>23216.044899999986</v>
      </c>
      <c r="Z31" s="84">
        <f t="shared" si="4"/>
        <v>23216.045389999985</v>
      </c>
      <c r="AA31" s="84">
        <f t="shared" si="4"/>
        <v>23216.045879999983</v>
      </c>
      <c r="AB31" s="84">
        <f t="shared" si="4"/>
        <v>23216.046369999982</v>
      </c>
    </row>
    <row r="32" spans="1:28" x14ac:dyDescent="0.25">
      <c r="A32" s="56" t="s">
        <v>5</v>
      </c>
      <c r="B32" s="54" t="s">
        <v>19</v>
      </c>
      <c r="C32" s="84">
        <v>8319.99</v>
      </c>
      <c r="D32" s="84">
        <f t="shared" si="1"/>
        <v>8319.99</v>
      </c>
      <c r="E32" s="84">
        <v>8319.99</v>
      </c>
      <c r="F32" s="84">
        <f t="shared" si="1"/>
        <v>8319.99</v>
      </c>
      <c r="G32" s="84">
        <v>8319.99</v>
      </c>
      <c r="H32" s="84">
        <f t="shared" ref="H32" si="23">+(G32+I32)/2</f>
        <v>9268.2150000000001</v>
      </c>
      <c r="I32" s="84">
        <v>10216.44</v>
      </c>
      <c r="J32" s="84">
        <f t="shared" ref="J32" si="24">+(I32+K32)/2</f>
        <v>8473.6149999999998</v>
      </c>
      <c r="K32" s="84">
        <v>6730.79</v>
      </c>
      <c r="L32" s="84">
        <v>795.38</v>
      </c>
      <c r="M32" s="84">
        <v>795.38</v>
      </c>
      <c r="N32" s="84">
        <v>2562.98</v>
      </c>
      <c r="O32" s="84">
        <v>2562.98</v>
      </c>
      <c r="P32" s="84">
        <f t="shared" si="4"/>
        <v>2562.9804899999999</v>
      </c>
      <c r="Q32" s="84">
        <f t="shared" si="4"/>
        <v>2562.9809799999998</v>
      </c>
      <c r="R32" s="84">
        <f t="shared" si="4"/>
        <v>2562.9814699999997</v>
      </c>
      <c r="S32" s="84">
        <f t="shared" si="4"/>
        <v>2562.9819599999996</v>
      </c>
      <c r="T32" s="84">
        <f t="shared" si="4"/>
        <v>2562.9824499999995</v>
      </c>
      <c r="U32" s="84">
        <f t="shared" si="4"/>
        <v>2562.9829399999994</v>
      </c>
      <c r="V32" s="84">
        <f t="shared" si="4"/>
        <v>2562.9834299999993</v>
      </c>
      <c r="W32" s="84">
        <f t="shared" si="4"/>
        <v>2562.9839199999992</v>
      </c>
      <c r="X32" s="84">
        <f t="shared" si="4"/>
        <v>2562.9844099999991</v>
      </c>
      <c r="Y32" s="84">
        <f t="shared" si="4"/>
        <v>2562.984899999999</v>
      </c>
      <c r="Z32" s="84">
        <f t="shared" si="4"/>
        <v>2562.9853899999989</v>
      </c>
      <c r="AA32" s="84">
        <f t="shared" si="4"/>
        <v>2562.9858799999988</v>
      </c>
      <c r="AB32" s="84">
        <f t="shared" si="4"/>
        <v>2562.9863699999987</v>
      </c>
    </row>
    <row r="33" spans="1:28" x14ac:dyDescent="0.25">
      <c r="A33" s="56" t="s">
        <v>6</v>
      </c>
      <c r="B33" s="54" t="s">
        <v>19</v>
      </c>
      <c r="C33" s="84">
        <v>0</v>
      </c>
      <c r="D33" s="84">
        <f t="shared" si="1"/>
        <v>0</v>
      </c>
      <c r="E33" s="84">
        <v>0</v>
      </c>
      <c r="F33" s="84">
        <f t="shared" si="1"/>
        <v>0</v>
      </c>
      <c r="G33" s="84">
        <v>0</v>
      </c>
      <c r="H33" s="84">
        <f t="shared" ref="H33" si="25">+(G33+I33)/2</f>
        <v>0</v>
      </c>
      <c r="I33" s="84">
        <v>0</v>
      </c>
      <c r="J33" s="84">
        <f t="shared" ref="J33" si="26">+(I33+K33)/2</f>
        <v>0</v>
      </c>
      <c r="K33" s="84">
        <v>0</v>
      </c>
      <c r="L33" s="84">
        <v>0</v>
      </c>
      <c r="M33" s="84">
        <v>0</v>
      </c>
      <c r="N33" s="84">
        <v>262.35000000000002</v>
      </c>
      <c r="O33" s="84">
        <v>262.35000000000002</v>
      </c>
      <c r="P33" s="84">
        <f t="shared" si="4"/>
        <v>262.35049000000004</v>
      </c>
      <c r="Q33" s="84">
        <f t="shared" si="4"/>
        <v>262.35098000000005</v>
      </c>
      <c r="R33" s="84">
        <f t="shared" si="4"/>
        <v>262.35147000000006</v>
      </c>
      <c r="S33" s="84">
        <f t="shared" si="4"/>
        <v>262.35196000000008</v>
      </c>
      <c r="T33" s="84">
        <f t="shared" si="4"/>
        <v>262.35245000000009</v>
      </c>
      <c r="U33" s="84">
        <f t="shared" si="4"/>
        <v>262.3529400000001</v>
      </c>
      <c r="V33" s="84">
        <f t="shared" si="4"/>
        <v>262.35343000000012</v>
      </c>
      <c r="W33" s="84">
        <f t="shared" si="4"/>
        <v>262.35392000000013</v>
      </c>
      <c r="X33" s="84">
        <f t="shared" si="4"/>
        <v>262.35441000000014</v>
      </c>
      <c r="Y33" s="84">
        <f t="shared" si="4"/>
        <v>262.35490000000016</v>
      </c>
      <c r="Z33" s="84">
        <f t="shared" si="4"/>
        <v>262.35539000000017</v>
      </c>
      <c r="AA33" s="84">
        <f t="shared" si="4"/>
        <v>262.35588000000018</v>
      </c>
      <c r="AB33" s="84">
        <f t="shared" si="4"/>
        <v>262.3563700000002</v>
      </c>
    </row>
    <row r="34" spans="1:28" x14ac:dyDescent="0.25">
      <c r="A34" s="56" t="s">
        <v>29</v>
      </c>
      <c r="B34" s="54" t="s">
        <v>19</v>
      </c>
      <c r="C34" s="84">
        <v>1280.52</v>
      </c>
      <c r="D34" s="84">
        <f t="shared" si="1"/>
        <v>1280.52</v>
      </c>
      <c r="E34" s="84">
        <v>1280.52</v>
      </c>
      <c r="F34" s="84">
        <f t="shared" si="1"/>
        <v>1280.52</v>
      </c>
      <c r="G34" s="84">
        <v>1280.52</v>
      </c>
      <c r="H34" s="84">
        <f t="shared" ref="H34" si="27">+(G34+I34)/2</f>
        <v>5254.8525</v>
      </c>
      <c r="I34" s="84">
        <v>9229.1849999999995</v>
      </c>
      <c r="J34" s="84">
        <f t="shared" ref="J34" si="28">+(I34+K34)/2</f>
        <v>5389.7874999999995</v>
      </c>
      <c r="K34" s="84">
        <v>1550.39</v>
      </c>
      <c r="L34" s="84">
        <v>608.72</v>
      </c>
      <c r="M34" s="84">
        <v>608.72</v>
      </c>
      <c r="N34" s="84">
        <v>3363.16</v>
      </c>
      <c r="O34" s="84">
        <v>3363.16</v>
      </c>
      <c r="P34" s="84">
        <f t="shared" si="4"/>
        <v>3363.1604899999998</v>
      </c>
      <c r="Q34" s="84">
        <f t="shared" si="4"/>
        <v>3363.1609799999997</v>
      </c>
      <c r="R34" s="84">
        <f t="shared" si="4"/>
        <v>3363.1614699999996</v>
      </c>
      <c r="S34" s="84">
        <f t="shared" si="4"/>
        <v>3363.1619599999995</v>
      </c>
      <c r="T34" s="84">
        <f t="shared" si="4"/>
        <v>3363.1624499999994</v>
      </c>
      <c r="U34" s="84">
        <f t="shared" si="4"/>
        <v>3363.1629399999993</v>
      </c>
      <c r="V34" s="84">
        <f t="shared" si="4"/>
        <v>3363.1634299999992</v>
      </c>
      <c r="W34" s="84">
        <f t="shared" si="4"/>
        <v>3363.1639199999991</v>
      </c>
      <c r="X34" s="84">
        <f t="shared" si="4"/>
        <v>3363.164409999999</v>
      </c>
      <c r="Y34" s="84">
        <f t="shared" si="4"/>
        <v>3363.1648999999989</v>
      </c>
      <c r="Z34" s="84">
        <f t="shared" si="4"/>
        <v>3363.1653899999988</v>
      </c>
      <c r="AA34" s="84">
        <f t="shared" si="4"/>
        <v>3363.1658799999987</v>
      </c>
      <c r="AB34" s="84">
        <f t="shared" si="4"/>
        <v>3363.1663699999986</v>
      </c>
    </row>
    <row r="36" spans="1:28" x14ac:dyDescent="0.25">
      <c r="A36" s="53" t="s">
        <v>18</v>
      </c>
      <c r="B36" s="54" t="s">
        <v>4</v>
      </c>
      <c r="C36" s="60">
        <v>0</v>
      </c>
      <c r="D36" s="84">
        <f>+(C36+E36)/2</f>
        <v>0</v>
      </c>
      <c r="E36" s="60">
        <v>0</v>
      </c>
      <c r="F36" s="84">
        <f>+(E36+G36)/2</f>
        <v>0</v>
      </c>
      <c r="G36" s="60">
        <v>0</v>
      </c>
      <c r="H36" s="84">
        <f>+(G36+I36)/2</f>
        <v>0</v>
      </c>
      <c r="I36" s="60">
        <v>0</v>
      </c>
      <c r="J36" s="84">
        <f>+(I36+K36)/2</f>
        <v>80.887500000000003</v>
      </c>
      <c r="K36" s="60">
        <v>161.77500000000001</v>
      </c>
      <c r="L36" s="60">
        <v>23.94</v>
      </c>
      <c r="M36" s="60">
        <v>23.94</v>
      </c>
      <c r="N36" s="60">
        <v>1.62</v>
      </c>
      <c r="O36" s="60">
        <v>1.62</v>
      </c>
      <c r="P36" s="84">
        <f>+O36+(0.049/100)</f>
        <v>1.6204900000000002</v>
      </c>
      <c r="Q36" s="84">
        <f t="shared" ref="Q36:AB36" si="29">+P36+(0.049/100)</f>
        <v>1.6209800000000003</v>
      </c>
      <c r="R36" s="84">
        <f t="shared" si="29"/>
        <v>1.6214700000000004</v>
      </c>
      <c r="S36" s="84">
        <f t="shared" si="29"/>
        <v>1.6219600000000005</v>
      </c>
      <c r="T36" s="84">
        <f t="shared" si="29"/>
        <v>1.6224500000000006</v>
      </c>
      <c r="U36" s="84">
        <f t="shared" si="29"/>
        <v>1.6229400000000007</v>
      </c>
      <c r="V36" s="84">
        <f t="shared" si="29"/>
        <v>1.6234300000000008</v>
      </c>
      <c r="W36" s="84">
        <f t="shared" si="29"/>
        <v>1.6239200000000009</v>
      </c>
      <c r="X36" s="84">
        <f t="shared" si="29"/>
        <v>1.624410000000001</v>
      </c>
      <c r="Y36" s="84">
        <f t="shared" si="29"/>
        <v>1.6249000000000011</v>
      </c>
      <c r="Z36" s="84">
        <f t="shared" si="29"/>
        <v>1.6253900000000012</v>
      </c>
      <c r="AA36" s="84">
        <f t="shared" si="29"/>
        <v>1.6258800000000013</v>
      </c>
      <c r="AB36" s="84">
        <f t="shared" si="29"/>
        <v>1.6263700000000014</v>
      </c>
    </row>
    <row r="37" spans="1:28" x14ac:dyDescent="0.25">
      <c r="A37" s="53" t="s">
        <v>20</v>
      </c>
      <c r="B37" s="54" t="s">
        <v>4</v>
      </c>
      <c r="C37" s="60">
        <v>0</v>
      </c>
      <c r="D37" s="84">
        <f t="shared" ref="D37" si="30">+(C37+E37)/2</f>
        <v>0</v>
      </c>
      <c r="E37" s="60">
        <v>0</v>
      </c>
      <c r="F37" s="84">
        <f t="shared" ref="F37" si="31">+(E37+G37)/2</f>
        <v>0</v>
      </c>
      <c r="G37" s="60">
        <v>0</v>
      </c>
      <c r="H37" s="84">
        <f t="shared" ref="H37" si="32">+(G37+I37)/2</f>
        <v>0</v>
      </c>
      <c r="I37" s="60">
        <v>0</v>
      </c>
      <c r="J37" s="84">
        <f t="shared" ref="J37" si="33">+(I37+K37)/2</f>
        <v>303.09750000000003</v>
      </c>
      <c r="K37" s="60">
        <v>606.19500000000005</v>
      </c>
      <c r="L37" s="60">
        <v>194.535</v>
      </c>
      <c r="M37" s="60">
        <v>194.535</v>
      </c>
      <c r="N37" s="60">
        <v>465.88499999999999</v>
      </c>
      <c r="O37" s="60">
        <v>465.88499999999999</v>
      </c>
      <c r="P37" s="84">
        <f t="shared" ref="P37:AB37" si="34">+O37+(0.049/100)</f>
        <v>465.88549</v>
      </c>
      <c r="Q37" s="84">
        <f t="shared" si="34"/>
        <v>465.88598000000002</v>
      </c>
      <c r="R37" s="84">
        <f t="shared" si="34"/>
        <v>465.88647000000003</v>
      </c>
      <c r="S37" s="84">
        <f t="shared" si="34"/>
        <v>465.88696000000004</v>
      </c>
      <c r="T37" s="84">
        <f t="shared" si="34"/>
        <v>465.88745000000006</v>
      </c>
      <c r="U37" s="84">
        <f t="shared" si="34"/>
        <v>465.88794000000007</v>
      </c>
      <c r="V37" s="84">
        <f t="shared" si="34"/>
        <v>465.88843000000008</v>
      </c>
      <c r="W37" s="84">
        <f t="shared" si="34"/>
        <v>465.8889200000001</v>
      </c>
      <c r="X37" s="84">
        <f t="shared" si="34"/>
        <v>465.88941000000011</v>
      </c>
      <c r="Y37" s="84">
        <f t="shared" si="34"/>
        <v>465.88990000000013</v>
      </c>
      <c r="Z37" s="84">
        <f t="shared" si="34"/>
        <v>465.89039000000014</v>
      </c>
      <c r="AA37" s="84">
        <f t="shared" si="34"/>
        <v>465.89088000000015</v>
      </c>
      <c r="AB37" s="84">
        <f t="shared" si="34"/>
        <v>465.89137000000017</v>
      </c>
    </row>
    <row r="38" spans="1:28" x14ac:dyDescent="0.25">
      <c r="A38" s="53" t="s">
        <v>21</v>
      </c>
      <c r="B38" s="54" t="s">
        <v>4</v>
      </c>
      <c r="C38" s="60">
        <v>0</v>
      </c>
      <c r="D38" s="84">
        <f t="shared" ref="D38" si="35">+(C38+E38)/2</f>
        <v>0</v>
      </c>
      <c r="E38" s="60">
        <v>0</v>
      </c>
      <c r="F38" s="84">
        <f t="shared" ref="F38" si="36">+(E38+G38)/2</f>
        <v>0</v>
      </c>
      <c r="G38" s="60">
        <v>0</v>
      </c>
      <c r="H38" s="84">
        <f t="shared" ref="H38" si="37">+(G38+I38)/2</f>
        <v>0</v>
      </c>
      <c r="I38" s="60">
        <v>0</v>
      </c>
      <c r="J38" s="84">
        <f t="shared" ref="J38" si="38">+(I38+K38)/2</f>
        <v>195.88499999999999</v>
      </c>
      <c r="K38" s="60">
        <v>391.77</v>
      </c>
      <c r="L38" s="60">
        <v>846.23</v>
      </c>
      <c r="M38" s="60">
        <v>846.23</v>
      </c>
      <c r="N38" s="60">
        <v>79.11</v>
      </c>
      <c r="O38" s="60">
        <v>79.11</v>
      </c>
      <c r="P38" s="84">
        <f t="shared" ref="P38:AB38" si="39">+O38+(0.049/100)</f>
        <v>79.110489999999999</v>
      </c>
      <c r="Q38" s="84">
        <f t="shared" si="39"/>
        <v>79.110979999999998</v>
      </c>
      <c r="R38" s="84">
        <f t="shared" si="39"/>
        <v>79.111469999999997</v>
      </c>
      <c r="S38" s="84">
        <f t="shared" si="39"/>
        <v>79.111959999999996</v>
      </c>
      <c r="T38" s="84">
        <f t="shared" si="39"/>
        <v>79.112449999999995</v>
      </c>
      <c r="U38" s="84">
        <f t="shared" si="39"/>
        <v>79.112939999999995</v>
      </c>
      <c r="V38" s="84">
        <f t="shared" si="39"/>
        <v>79.113429999999994</v>
      </c>
      <c r="W38" s="84">
        <f t="shared" si="39"/>
        <v>79.113919999999993</v>
      </c>
      <c r="X38" s="84">
        <f t="shared" si="39"/>
        <v>79.114409999999992</v>
      </c>
      <c r="Y38" s="84">
        <f t="shared" si="39"/>
        <v>79.114899999999992</v>
      </c>
      <c r="Z38" s="84">
        <f t="shared" si="39"/>
        <v>79.115389999999991</v>
      </c>
      <c r="AA38" s="84">
        <f t="shared" si="39"/>
        <v>79.11587999999999</v>
      </c>
      <c r="AB38" s="84">
        <f t="shared" si="39"/>
        <v>79.116369999999989</v>
      </c>
    </row>
    <row r="39" spans="1:28" x14ac:dyDescent="0.25">
      <c r="A39" s="53" t="s">
        <v>22</v>
      </c>
      <c r="B39" s="54" t="s">
        <v>4</v>
      </c>
      <c r="C39" s="60">
        <v>0</v>
      </c>
      <c r="D39" s="84">
        <f t="shared" ref="D39" si="40">+(C39+E39)/2</f>
        <v>0</v>
      </c>
      <c r="E39" s="60">
        <v>0</v>
      </c>
      <c r="F39" s="84">
        <f t="shared" ref="F39" si="41">+(E39+G39)/2</f>
        <v>0</v>
      </c>
      <c r="G39" s="60">
        <v>0</v>
      </c>
      <c r="H39" s="84">
        <f t="shared" ref="H39" si="42">+(G39+I39)/2</f>
        <v>0</v>
      </c>
      <c r="I39" s="60">
        <v>0</v>
      </c>
      <c r="J39" s="84">
        <f t="shared" ref="J39" si="43">+(I39+K39)/2</f>
        <v>34.042499999999997</v>
      </c>
      <c r="K39" s="60">
        <v>68.084999999999994</v>
      </c>
      <c r="L39" s="60">
        <v>149.94</v>
      </c>
      <c r="M39" s="60">
        <v>149.94</v>
      </c>
      <c r="N39" s="60">
        <v>20.925000000000001</v>
      </c>
      <c r="O39" s="60">
        <v>20.925000000000001</v>
      </c>
      <c r="P39" s="84">
        <f t="shared" ref="P39:AB39" si="44">+O39+(0.049/100)</f>
        <v>20.92549</v>
      </c>
      <c r="Q39" s="84">
        <f t="shared" si="44"/>
        <v>20.925979999999999</v>
      </c>
      <c r="R39" s="84">
        <f t="shared" si="44"/>
        <v>20.926469999999998</v>
      </c>
      <c r="S39" s="84">
        <f t="shared" si="44"/>
        <v>20.926959999999998</v>
      </c>
      <c r="T39" s="84">
        <f t="shared" si="44"/>
        <v>20.927449999999997</v>
      </c>
      <c r="U39" s="84">
        <f t="shared" si="44"/>
        <v>20.927939999999996</v>
      </c>
      <c r="V39" s="84">
        <f t="shared" si="44"/>
        <v>20.928429999999995</v>
      </c>
      <c r="W39" s="84">
        <f t="shared" si="44"/>
        <v>20.928919999999994</v>
      </c>
      <c r="X39" s="84">
        <f t="shared" si="44"/>
        <v>20.929409999999994</v>
      </c>
      <c r="Y39" s="84">
        <f t="shared" si="44"/>
        <v>20.929899999999993</v>
      </c>
      <c r="Z39" s="84">
        <f t="shared" si="44"/>
        <v>20.930389999999992</v>
      </c>
      <c r="AA39" s="84">
        <f t="shared" si="44"/>
        <v>20.930879999999991</v>
      </c>
      <c r="AB39" s="84">
        <f t="shared" si="44"/>
        <v>20.93136999999999</v>
      </c>
    </row>
    <row r="40" spans="1:28" x14ac:dyDescent="0.25">
      <c r="A40" s="53" t="s">
        <v>23</v>
      </c>
      <c r="B40" s="54" t="s">
        <v>4</v>
      </c>
      <c r="C40" s="60">
        <v>0</v>
      </c>
      <c r="D40" s="84">
        <f t="shared" ref="D40" si="45">+(C40+E40)/2</f>
        <v>0</v>
      </c>
      <c r="E40" s="60">
        <v>0</v>
      </c>
      <c r="F40" s="84">
        <f t="shared" ref="F40" si="46">+(E40+G40)/2</f>
        <v>0</v>
      </c>
      <c r="G40" s="60">
        <v>0</v>
      </c>
      <c r="H40" s="84">
        <f t="shared" ref="H40" si="47">+(G40+I40)/2</f>
        <v>0</v>
      </c>
      <c r="I40" s="60">
        <v>0</v>
      </c>
      <c r="J40" s="84">
        <f t="shared" ref="J40" si="48">+(I40+K40)/2</f>
        <v>191.20500000000001</v>
      </c>
      <c r="K40" s="60">
        <v>382.41</v>
      </c>
      <c r="L40" s="60">
        <v>1335.29</v>
      </c>
      <c r="M40" s="60">
        <v>1335.29</v>
      </c>
      <c r="N40" s="60">
        <v>40.46</v>
      </c>
      <c r="O40" s="60">
        <v>40.46</v>
      </c>
      <c r="P40" s="84">
        <f t="shared" ref="P40:AB40" si="49">+O40+(0.049/100)</f>
        <v>40.46049</v>
      </c>
      <c r="Q40" s="84">
        <f t="shared" si="49"/>
        <v>40.460979999999999</v>
      </c>
      <c r="R40" s="84">
        <f t="shared" si="49"/>
        <v>40.461469999999998</v>
      </c>
      <c r="S40" s="84">
        <f t="shared" si="49"/>
        <v>40.461959999999998</v>
      </c>
      <c r="T40" s="84">
        <f t="shared" si="49"/>
        <v>40.462449999999997</v>
      </c>
      <c r="U40" s="84">
        <f t="shared" si="49"/>
        <v>40.462939999999996</v>
      </c>
      <c r="V40" s="84">
        <f t="shared" si="49"/>
        <v>40.463429999999995</v>
      </c>
      <c r="W40" s="84">
        <f t="shared" si="49"/>
        <v>40.463919999999995</v>
      </c>
      <c r="X40" s="84">
        <f t="shared" si="49"/>
        <v>40.464409999999994</v>
      </c>
      <c r="Y40" s="84">
        <f t="shared" si="49"/>
        <v>40.464899999999993</v>
      </c>
      <c r="Z40" s="84">
        <f t="shared" si="49"/>
        <v>40.465389999999992</v>
      </c>
      <c r="AA40" s="84">
        <f t="shared" si="49"/>
        <v>40.465879999999991</v>
      </c>
      <c r="AB40" s="84">
        <f t="shared" si="49"/>
        <v>40.466369999999991</v>
      </c>
    </row>
    <row r="41" spans="1:28" ht="22.5" x14ac:dyDescent="0.25">
      <c r="A41" s="53" t="s">
        <v>24</v>
      </c>
      <c r="B41" s="54" t="s">
        <v>4</v>
      </c>
      <c r="C41" s="60">
        <v>0</v>
      </c>
      <c r="D41" s="84">
        <f t="shared" ref="D41" si="50">+(C41+E41)/2</f>
        <v>0</v>
      </c>
      <c r="E41" s="60">
        <v>0</v>
      </c>
      <c r="F41" s="84">
        <f t="shared" ref="F41" si="51">+(E41+G41)/2</f>
        <v>0</v>
      </c>
      <c r="G41" s="60">
        <v>0</v>
      </c>
      <c r="H41" s="84">
        <f t="shared" ref="H41" si="52">+(G41+I41)/2</f>
        <v>0</v>
      </c>
      <c r="I41" s="60">
        <v>0</v>
      </c>
      <c r="J41" s="84">
        <f t="shared" ref="J41" si="53">+(I41+K41)/2</f>
        <v>20.317499999999999</v>
      </c>
      <c r="K41" s="60">
        <v>40.634999999999998</v>
      </c>
      <c r="L41" s="60">
        <v>342.85500000000002</v>
      </c>
      <c r="M41" s="60">
        <v>342.85500000000002</v>
      </c>
      <c r="N41" s="60">
        <v>19.754999999999999</v>
      </c>
      <c r="O41" s="60">
        <v>19.754999999999999</v>
      </c>
      <c r="P41" s="84">
        <f t="shared" ref="P41:AB41" si="54">+O41+(0.049/100)</f>
        <v>19.755489999999998</v>
      </c>
      <c r="Q41" s="84">
        <f t="shared" si="54"/>
        <v>19.755979999999997</v>
      </c>
      <c r="R41" s="84">
        <f t="shared" si="54"/>
        <v>19.756469999999997</v>
      </c>
      <c r="S41" s="84">
        <f t="shared" si="54"/>
        <v>19.756959999999996</v>
      </c>
      <c r="T41" s="84">
        <f t="shared" si="54"/>
        <v>19.757449999999995</v>
      </c>
      <c r="U41" s="84">
        <f t="shared" si="54"/>
        <v>19.757939999999994</v>
      </c>
      <c r="V41" s="84">
        <f t="shared" si="54"/>
        <v>19.758429999999993</v>
      </c>
      <c r="W41" s="84">
        <f t="shared" si="54"/>
        <v>19.758919999999993</v>
      </c>
      <c r="X41" s="84">
        <f t="shared" si="54"/>
        <v>19.759409999999992</v>
      </c>
      <c r="Y41" s="84">
        <f t="shared" si="54"/>
        <v>19.759899999999991</v>
      </c>
      <c r="Z41" s="84">
        <f t="shared" si="54"/>
        <v>19.76038999999999</v>
      </c>
      <c r="AA41" s="84">
        <f t="shared" si="54"/>
        <v>19.76087999999999</v>
      </c>
      <c r="AB41" s="84">
        <f t="shared" si="54"/>
        <v>19.761369999999989</v>
      </c>
    </row>
    <row r="42" spans="1:28" x14ac:dyDescent="0.25">
      <c r="A42" s="53" t="s">
        <v>25</v>
      </c>
      <c r="B42" s="54" t="s">
        <v>4</v>
      </c>
      <c r="C42" s="60">
        <v>0</v>
      </c>
      <c r="D42" s="84">
        <f t="shared" ref="D42" si="55">+(C42+E42)/2</f>
        <v>0</v>
      </c>
      <c r="E42" s="60">
        <v>0</v>
      </c>
      <c r="F42" s="84">
        <f t="shared" ref="F42" si="56">+(E42+G42)/2</f>
        <v>0</v>
      </c>
      <c r="G42" s="60">
        <v>0</v>
      </c>
      <c r="H42" s="84">
        <f t="shared" ref="H42" si="57">+(G42+I42)/2</f>
        <v>0</v>
      </c>
      <c r="I42" s="60">
        <v>0</v>
      </c>
      <c r="J42" s="84">
        <f t="shared" ref="J42" si="58">+(I42+K42)/2</f>
        <v>65.227500000000006</v>
      </c>
      <c r="K42" s="60">
        <v>130.45500000000001</v>
      </c>
      <c r="L42" s="60">
        <v>582.12</v>
      </c>
      <c r="M42" s="60">
        <v>582.12</v>
      </c>
      <c r="N42" s="60">
        <v>37.395000000000003</v>
      </c>
      <c r="O42" s="60">
        <v>37.395000000000003</v>
      </c>
      <c r="P42" s="84">
        <f t="shared" ref="P42:AB42" si="59">+O42+(0.049/100)</f>
        <v>37.395490000000002</v>
      </c>
      <c r="Q42" s="84">
        <f t="shared" si="59"/>
        <v>37.395980000000002</v>
      </c>
      <c r="R42" s="84">
        <f t="shared" si="59"/>
        <v>37.396470000000001</v>
      </c>
      <c r="S42" s="84">
        <f t="shared" si="59"/>
        <v>37.39696</v>
      </c>
      <c r="T42" s="84">
        <f t="shared" si="59"/>
        <v>37.397449999999999</v>
      </c>
      <c r="U42" s="84">
        <f t="shared" si="59"/>
        <v>37.397939999999998</v>
      </c>
      <c r="V42" s="84">
        <f t="shared" si="59"/>
        <v>37.398429999999998</v>
      </c>
      <c r="W42" s="84">
        <f t="shared" si="59"/>
        <v>37.398919999999997</v>
      </c>
      <c r="X42" s="84">
        <f t="shared" si="59"/>
        <v>37.399409999999996</v>
      </c>
      <c r="Y42" s="84">
        <f t="shared" si="59"/>
        <v>37.399899999999995</v>
      </c>
      <c r="Z42" s="84">
        <f t="shared" si="59"/>
        <v>37.400389999999994</v>
      </c>
      <c r="AA42" s="84">
        <f t="shared" si="59"/>
        <v>37.400879999999994</v>
      </c>
      <c r="AB42" s="84">
        <f t="shared" si="59"/>
        <v>37.401369999999993</v>
      </c>
    </row>
    <row r="43" spans="1:28" x14ac:dyDescent="0.25">
      <c r="A43" s="53" t="s">
        <v>26</v>
      </c>
      <c r="B43" s="54" t="s">
        <v>4</v>
      </c>
      <c r="C43" s="60">
        <v>0</v>
      </c>
      <c r="D43" s="84">
        <f t="shared" ref="D43" si="60">+(C43+E43)/2</f>
        <v>0</v>
      </c>
      <c r="E43" s="60">
        <v>0</v>
      </c>
      <c r="F43" s="84">
        <f t="shared" ref="F43" si="61">+(E43+G43)/2</f>
        <v>0</v>
      </c>
      <c r="G43" s="60">
        <v>0</v>
      </c>
      <c r="H43" s="84">
        <f t="shared" ref="H43" si="62">+(G43+I43)/2</f>
        <v>0</v>
      </c>
      <c r="I43" s="60">
        <v>0</v>
      </c>
      <c r="J43" s="84">
        <f t="shared" ref="J43" si="63">+(I43+K43)/2</f>
        <v>8.7524999999999995</v>
      </c>
      <c r="K43" s="60">
        <v>17.504999999999999</v>
      </c>
      <c r="L43" s="60">
        <v>102.69</v>
      </c>
      <c r="M43" s="60">
        <v>102.69</v>
      </c>
      <c r="N43" s="60">
        <v>140.76</v>
      </c>
      <c r="O43" s="60">
        <v>140.76</v>
      </c>
      <c r="P43" s="84">
        <f t="shared" ref="P43:AB43" si="64">+O43+(0.049/100)</f>
        <v>140.76049</v>
      </c>
      <c r="Q43" s="84">
        <f t="shared" si="64"/>
        <v>140.76098000000002</v>
      </c>
      <c r="R43" s="84">
        <f t="shared" si="64"/>
        <v>140.76147000000003</v>
      </c>
      <c r="S43" s="84">
        <f t="shared" si="64"/>
        <v>140.76196000000004</v>
      </c>
      <c r="T43" s="84">
        <f t="shared" si="64"/>
        <v>140.76245000000006</v>
      </c>
      <c r="U43" s="84">
        <f t="shared" si="64"/>
        <v>140.76294000000007</v>
      </c>
      <c r="V43" s="84">
        <f t="shared" si="64"/>
        <v>140.76343000000008</v>
      </c>
      <c r="W43" s="84">
        <f t="shared" si="64"/>
        <v>140.7639200000001</v>
      </c>
      <c r="X43" s="84">
        <f t="shared" si="64"/>
        <v>140.76441000000011</v>
      </c>
      <c r="Y43" s="84">
        <f t="shared" si="64"/>
        <v>140.76490000000013</v>
      </c>
      <c r="Z43" s="84">
        <f t="shared" si="64"/>
        <v>140.76539000000014</v>
      </c>
      <c r="AA43" s="84">
        <f t="shared" si="64"/>
        <v>140.76588000000015</v>
      </c>
      <c r="AB43" s="84">
        <f t="shared" si="64"/>
        <v>140.76637000000017</v>
      </c>
    </row>
    <row r="44" spans="1:28" x14ac:dyDescent="0.25">
      <c r="A44" s="53" t="s">
        <v>27</v>
      </c>
      <c r="B44" s="54" t="s">
        <v>4</v>
      </c>
      <c r="C44" s="60">
        <v>0</v>
      </c>
      <c r="D44" s="84">
        <f t="shared" ref="D44" si="65">+(C44+E44)/2</f>
        <v>0</v>
      </c>
      <c r="E44" s="60">
        <v>0</v>
      </c>
      <c r="F44" s="84">
        <f t="shared" ref="F44" si="66">+(E44+G44)/2</f>
        <v>0</v>
      </c>
      <c r="G44" s="60">
        <v>0</v>
      </c>
      <c r="H44" s="84">
        <f t="shared" ref="H44" si="67">+(G44+I44)/2</f>
        <v>0</v>
      </c>
      <c r="I44" s="60">
        <v>0</v>
      </c>
      <c r="J44" s="84">
        <f t="shared" ref="J44" si="68">+(I44+K44)/2</f>
        <v>0.87749999999999995</v>
      </c>
      <c r="K44" s="60">
        <v>1.7549999999999999</v>
      </c>
      <c r="L44" s="60">
        <v>23.535</v>
      </c>
      <c r="M44" s="60">
        <v>23.535</v>
      </c>
      <c r="N44" s="60">
        <v>0.36</v>
      </c>
      <c r="O44" s="60">
        <v>0.36</v>
      </c>
      <c r="P44" s="84">
        <f t="shared" ref="P44:AB44" si="69">+O44+(0.049/100)</f>
        <v>0.36048999999999998</v>
      </c>
      <c r="Q44" s="84">
        <f t="shared" si="69"/>
        <v>0.36097999999999997</v>
      </c>
      <c r="R44" s="84">
        <f t="shared" si="69"/>
        <v>0.36146999999999996</v>
      </c>
      <c r="S44" s="84">
        <f t="shared" si="69"/>
        <v>0.36195999999999995</v>
      </c>
      <c r="T44" s="84">
        <f t="shared" si="69"/>
        <v>0.36244999999999994</v>
      </c>
      <c r="U44" s="84">
        <f t="shared" si="69"/>
        <v>0.36293999999999993</v>
      </c>
      <c r="V44" s="84">
        <f t="shared" si="69"/>
        <v>0.36342999999999992</v>
      </c>
      <c r="W44" s="84">
        <f t="shared" si="69"/>
        <v>0.36391999999999991</v>
      </c>
      <c r="X44" s="84">
        <f t="shared" si="69"/>
        <v>0.3644099999999999</v>
      </c>
      <c r="Y44" s="84">
        <f t="shared" si="69"/>
        <v>0.36489999999999989</v>
      </c>
      <c r="Z44" s="84">
        <f t="shared" si="69"/>
        <v>0.36538999999999988</v>
      </c>
      <c r="AA44" s="84">
        <f t="shared" si="69"/>
        <v>0.36587999999999987</v>
      </c>
      <c r="AB44" s="84">
        <f t="shared" si="69"/>
        <v>0.36636999999999986</v>
      </c>
    </row>
    <row r="45" spans="1:28" x14ac:dyDescent="0.25">
      <c r="A45" s="53" t="s">
        <v>28</v>
      </c>
      <c r="B45" s="54" t="s">
        <v>4</v>
      </c>
      <c r="C45" s="60">
        <v>1629.99</v>
      </c>
      <c r="D45" s="84">
        <f t="shared" ref="D45" si="70">+(C45+E45)/2</f>
        <v>1629.99</v>
      </c>
      <c r="E45" s="60">
        <v>1629.99</v>
      </c>
      <c r="F45" s="84">
        <f t="shared" ref="F45" si="71">+(E45+G45)/2</f>
        <v>1629.99</v>
      </c>
      <c r="G45" s="60">
        <v>1629.99</v>
      </c>
      <c r="H45" s="84">
        <f t="shared" ref="H45" si="72">+(G45+I45)/2</f>
        <v>869.76</v>
      </c>
      <c r="I45" s="60">
        <v>109.53</v>
      </c>
      <c r="J45" s="84">
        <f t="shared" ref="J45" si="73">+(I45+K45)/2</f>
        <v>2240.5724999999998</v>
      </c>
      <c r="K45" s="60">
        <v>4371.6149999999998</v>
      </c>
      <c r="L45" s="60">
        <v>236.75</v>
      </c>
      <c r="M45" s="60">
        <v>236.75</v>
      </c>
      <c r="N45" s="60">
        <v>431.1</v>
      </c>
      <c r="O45" s="60">
        <v>431.1</v>
      </c>
      <c r="P45" s="84">
        <f t="shared" ref="P45:AB45" si="74">+O45+(0.049/100)</f>
        <v>431.10049000000004</v>
      </c>
      <c r="Q45" s="84">
        <f t="shared" si="74"/>
        <v>431.10098000000005</v>
      </c>
      <c r="R45" s="84">
        <f t="shared" si="74"/>
        <v>431.10147000000006</v>
      </c>
      <c r="S45" s="84">
        <f t="shared" si="74"/>
        <v>431.10196000000008</v>
      </c>
      <c r="T45" s="84">
        <f t="shared" si="74"/>
        <v>431.10245000000009</v>
      </c>
      <c r="U45" s="84">
        <f t="shared" si="74"/>
        <v>431.1029400000001</v>
      </c>
      <c r="V45" s="84">
        <f t="shared" si="74"/>
        <v>431.10343000000012</v>
      </c>
      <c r="W45" s="84">
        <f t="shared" si="74"/>
        <v>431.10392000000013</v>
      </c>
      <c r="X45" s="84">
        <f t="shared" si="74"/>
        <v>431.10441000000014</v>
      </c>
      <c r="Y45" s="84">
        <f t="shared" si="74"/>
        <v>431.10490000000016</v>
      </c>
      <c r="Z45" s="84">
        <f t="shared" si="74"/>
        <v>431.10539000000017</v>
      </c>
      <c r="AA45" s="84">
        <f t="shared" si="74"/>
        <v>431.10588000000018</v>
      </c>
      <c r="AB45" s="84">
        <f t="shared" si="74"/>
        <v>431.1063700000002</v>
      </c>
    </row>
    <row r="46" spans="1:28" x14ac:dyDescent="0.25">
      <c r="A46" s="56" t="s">
        <v>19</v>
      </c>
      <c r="B46" s="54" t="s">
        <v>4</v>
      </c>
      <c r="C46" s="60">
        <v>66529.460000000006</v>
      </c>
      <c r="D46" s="84">
        <f t="shared" ref="D46" si="75">+(C46+E46)/2</f>
        <v>66529.460000000006</v>
      </c>
      <c r="E46" s="60">
        <v>66529.460000000006</v>
      </c>
      <c r="F46" s="84">
        <f t="shared" ref="F46" si="76">+(E46+G46)/2</f>
        <v>66529.460000000006</v>
      </c>
      <c r="G46" s="60">
        <v>66529.460000000006</v>
      </c>
      <c r="H46" s="84">
        <f t="shared" ref="H46" si="77">+(G46+I46)/2</f>
        <v>44241.83</v>
      </c>
      <c r="I46" s="60">
        <v>21954.2</v>
      </c>
      <c r="J46" s="84">
        <f t="shared" ref="J46" si="78">+(I46+K46)/2</f>
        <v>19003.055</v>
      </c>
      <c r="K46" s="60">
        <v>16051.91</v>
      </c>
      <c r="L46" s="60">
        <v>3245.4</v>
      </c>
      <c r="M46" s="60">
        <v>3245.4</v>
      </c>
      <c r="N46" s="60">
        <v>10864.71</v>
      </c>
      <c r="O46" s="60">
        <v>10864.71</v>
      </c>
      <c r="P46" s="84">
        <f t="shared" ref="P46:AB46" si="79">+O46+(0.049/100)</f>
        <v>10864.710489999999</v>
      </c>
      <c r="Q46" s="84">
        <f t="shared" si="79"/>
        <v>10864.71098</v>
      </c>
      <c r="R46" s="84">
        <f t="shared" si="79"/>
        <v>10864.71147</v>
      </c>
      <c r="S46" s="84">
        <f t="shared" si="79"/>
        <v>10864.711960000001</v>
      </c>
      <c r="T46" s="84">
        <f t="shared" si="79"/>
        <v>10864.712450000001</v>
      </c>
      <c r="U46" s="84">
        <f t="shared" si="79"/>
        <v>10864.712940000001</v>
      </c>
      <c r="V46" s="84">
        <f t="shared" si="79"/>
        <v>10864.713430000002</v>
      </c>
      <c r="W46" s="84">
        <f t="shared" si="79"/>
        <v>10864.713920000002</v>
      </c>
      <c r="X46" s="84">
        <f t="shared" si="79"/>
        <v>10864.714410000002</v>
      </c>
      <c r="Y46" s="84">
        <f t="shared" si="79"/>
        <v>10864.714900000003</v>
      </c>
      <c r="Z46" s="84">
        <f t="shared" si="79"/>
        <v>10864.715390000003</v>
      </c>
      <c r="AA46" s="84">
        <f t="shared" si="79"/>
        <v>10864.715880000003</v>
      </c>
      <c r="AB46" s="84">
        <f t="shared" si="79"/>
        <v>10864.716370000004</v>
      </c>
    </row>
    <row r="47" spans="1:28" x14ac:dyDescent="0.25">
      <c r="A47" s="56" t="s">
        <v>5</v>
      </c>
      <c r="B47" s="54" t="s">
        <v>4</v>
      </c>
      <c r="C47" s="60">
        <v>12.48</v>
      </c>
      <c r="D47" s="84">
        <f t="shared" ref="D47" si="80">+(C47+E47)/2</f>
        <v>12.48</v>
      </c>
      <c r="E47" s="60">
        <v>12.48</v>
      </c>
      <c r="F47" s="84">
        <f t="shared" ref="F47" si="81">+(E47+G47)/2</f>
        <v>12.48</v>
      </c>
      <c r="G47" s="60">
        <v>12.48</v>
      </c>
      <c r="H47" s="84">
        <f t="shared" ref="H47" si="82">+(G47+I47)/2</f>
        <v>1375.4549999999999</v>
      </c>
      <c r="I47" s="60">
        <v>2738.43</v>
      </c>
      <c r="J47" s="84">
        <f t="shared" ref="J47" si="83">+(I47+K47)/2</f>
        <v>1722.3525</v>
      </c>
      <c r="K47" s="60">
        <v>706.27499999999998</v>
      </c>
      <c r="L47" s="60">
        <v>104.13</v>
      </c>
      <c r="M47" s="60">
        <v>104.13</v>
      </c>
      <c r="N47" s="60">
        <v>2137.0100000000002</v>
      </c>
      <c r="O47" s="60">
        <v>2137.0100000000002</v>
      </c>
      <c r="P47" s="84">
        <f t="shared" ref="P47:AB47" si="84">+O47+(0.049/100)</f>
        <v>2137.0104900000001</v>
      </c>
      <c r="Q47" s="84">
        <f t="shared" si="84"/>
        <v>2137.01098</v>
      </c>
      <c r="R47" s="84">
        <f t="shared" si="84"/>
        <v>2137.0114699999999</v>
      </c>
      <c r="S47" s="84">
        <f t="shared" si="84"/>
        <v>2137.0119599999998</v>
      </c>
      <c r="T47" s="84">
        <f t="shared" si="84"/>
        <v>2137.0124499999997</v>
      </c>
      <c r="U47" s="84">
        <f t="shared" si="84"/>
        <v>2137.0129399999996</v>
      </c>
      <c r="V47" s="84">
        <f t="shared" si="84"/>
        <v>2137.0134299999995</v>
      </c>
      <c r="W47" s="84">
        <f t="shared" si="84"/>
        <v>2137.0139199999994</v>
      </c>
      <c r="X47" s="84">
        <f t="shared" si="84"/>
        <v>2137.0144099999993</v>
      </c>
      <c r="Y47" s="84">
        <f t="shared" si="84"/>
        <v>2137.0148999999992</v>
      </c>
      <c r="Z47" s="84">
        <f t="shared" si="84"/>
        <v>2137.0153899999991</v>
      </c>
      <c r="AA47" s="84">
        <f t="shared" si="84"/>
        <v>2137.015879999999</v>
      </c>
      <c r="AB47" s="84">
        <f t="shared" si="84"/>
        <v>2137.0163699999989</v>
      </c>
    </row>
    <row r="48" spans="1:28" x14ac:dyDescent="0.25">
      <c r="A48" s="56" t="s">
        <v>29</v>
      </c>
      <c r="B48" s="54" t="s">
        <v>4</v>
      </c>
      <c r="C48" s="60">
        <v>3687.21</v>
      </c>
      <c r="D48" s="84">
        <f t="shared" ref="D48" si="85">+(C48+E48)/2</f>
        <v>3687.21</v>
      </c>
      <c r="E48" s="60">
        <v>3687.21</v>
      </c>
      <c r="F48" s="84">
        <f t="shared" ref="F48" si="86">+(E48+G48)/2</f>
        <v>3687.21</v>
      </c>
      <c r="G48" s="60">
        <v>3687.21</v>
      </c>
      <c r="H48" s="84">
        <f t="shared" ref="H48" si="87">+(G48+I48)/2</f>
        <v>4063.3449999999998</v>
      </c>
      <c r="I48" s="60">
        <v>4439.4799999999996</v>
      </c>
      <c r="J48" s="84">
        <f t="shared" ref="J48" si="88">+(I48+K48)/2</f>
        <v>3868.1124999999997</v>
      </c>
      <c r="K48" s="60">
        <v>3296.7449999999999</v>
      </c>
      <c r="L48" s="60">
        <v>370.94</v>
      </c>
      <c r="M48" s="60">
        <v>370.94</v>
      </c>
      <c r="N48" s="60">
        <v>2590.52</v>
      </c>
      <c r="O48" s="60">
        <v>2590.52</v>
      </c>
      <c r="P48" s="84">
        <f t="shared" ref="P48:AB48" si="89">+O48+(0.049/100)</f>
        <v>2590.5204899999999</v>
      </c>
      <c r="Q48" s="84">
        <f t="shared" si="89"/>
        <v>2590.5209799999998</v>
      </c>
      <c r="R48" s="84">
        <f t="shared" si="89"/>
        <v>2590.5214699999997</v>
      </c>
      <c r="S48" s="84">
        <f t="shared" si="89"/>
        <v>2590.5219599999996</v>
      </c>
      <c r="T48" s="84">
        <f t="shared" si="89"/>
        <v>2590.5224499999995</v>
      </c>
      <c r="U48" s="84">
        <f t="shared" si="89"/>
        <v>2590.5229399999994</v>
      </c>
      <c r="V48" s="84">
        <f t="shared" si="89"/>
        <v>2590.5234299999993</v>
      </c>
      <c r="W48" s="84">
        <f t="shared" si="89"/>
        <v>2590.5239199999992</v>
      </c>
      <c r="X48" s="84">
        <f t="shared" si="89"/>
        <v>2590.5244099999991</v>
      </c>
      <c r="Y48" s="84">
        <f t="shared" si="89"/>
        <v>2590.524899999999</v>
      </c>
      <c r="Z48" s="84">
        <f t="shared" si="89"/>
        <v>2590.5253899999989</v>
      </c>
      <c r="AA48" s="84">
        <f t="shared" si="89"/>
        <v>2590.5258799999988</v>
      </c>
      <c r="AB48" s="84">
        <f t="shared" si="89"/>
        <v>2590.5263699999987</v>
      </c>
    </row>
    <row r="49" spans="1:28" x14ac:dyDescent="0.25">
      <c r="D49" s="84"/>
      <c r="F49" s="84"/>
      <c r="H49" s="84"/>
      <c r="J49" s="84"/>
      <c r="P49" s="84"/>
    </row>
    <row r="50" spans="1:28" x14ac:dyDescent="0.25">
      <c r="A50" s="53" t="s">
        <v>18</v>
      </c>
      <c r="B50" s="54" t="s">
        <v>5</v>
      </c>
      <c r="C50" s="60">
        <v>0</v>
      </c>
      <c r="D50" s="84">
        <f>+(C50+E50)/2</f>
        <v>0</v>
      </c>
      <c r="E50" s="60">
        <v>0</v>
      </c>
      <c r="F50" s="84">
        <f>+(E50+G50)/2</f>
        <v>0</v>
      </c>
      <c r="G50" s="60">
        <v>0</v>
      </c>
      <c r="H50" s="84">
        <f>+(G50+I50)/2</f>
        <v>0</v>
      </c>
      <c r="I50" s="60">
        <v>0</v>
      </c>
      <c r="J50" s="84">
        <f>+(I50+K50)/2</f>
        <v>0</v>
      </c>
      <c r="K50" s="60">
        <v>0</v>
      </c>
      <c r="L50" s="60">
        <v>57.06</v>
      </c>
      <c r="M50" s="60">
        <v>57.06</v>
      </c>
      <c r="N50" s="60">
        <v>9.1349999999999998</v>
      </c>
      <c r="O50" s="60">
        <v>9.1349999999999998</v>
      </c>
      <c r="P50" s="85">
        <f>+O50+(0.049/100)</f>
        <v>9.135489999999999</v>
      </c>
      <c r="Q50" s="85">
        <f>+P50+(0.049/100)</f>
        <v>9.1359799999999982</v>
      </c>
      <c r="R50" s="85">
        <f t="shared" ref="R50:AB50" si="90">+Q50+(0.049/100)</f>
        <v>9.1364699999999974</v>
      </c>
      <c r="S50" s="85">
        <f t="shared" si="90"/>
        <v>9.1369599999999966</v>
      </c>
      <c r="T50" s="85">
        <f t="shared" si="90"/>
        <v>9.1374499999999959</v>
      </c>
      <c r="U50" s="85">
        <f t="shared" si="90"/>
        <v>9.1379399999999951</v>
      </c>
      <c r="V50" s="85">
        <f t="shared" si="90"/>
        <v>9.1384299999999943</v>
      </c>
      <c r="W50" s="85">
        <f t="shared" si="90"/>
        <v>9.1389199999999935</v>
      </c>
      <c r="X50" s="85">
        <f t="shared" si="90"/>
        <v>9.1394099999999927</v>
      </c>
      <c r="Y50" s="85">
        <f t="shared" si="90"/>
        <v>9.1398999999999919</v>
      </c>
      <c r="Z50" s="85">
        <f t="shared" si="90"/>
        <v>9.1403899999999911</v>
      </c>
      <c r="AA50" s="85">
        <f t="shared" si="90"/>
        <v>9.1408799999999903</v>
      </c>
      <c r="AB50" s="85">
        <f t="shared" si="90"/>
        <v>9.1413699999999896</v>
      </c>
    </row>
    <row r="51" spans="1:28" x14ac:dyDescent="0.25">
      <c r="A51" s="53" t="s">
        <v>20</v>
      </c>
      <c r="B51" s="54" t="s">
        <v>5</v>
      </c>
      <c r="C51" s="60">
        <v>185.4</v>
      </c>
      <c r="D51" s="84">
        <f t="shared" ref="D51:D62" si="91">+(C51+E51)/2</f>
        <v>185.4</v>
      </c>
      <c r="E51" s="60">
        <v>185.4</v>
      </c>
      <c r="F51" s="84">
        <f t="shared" ref="F51:F62" si="92">+(E51+G51)/2</f>
        <v>185.4</v>
      </c>
      <c r="G51" s="60">
        <v>185.4</v>
      </c>
      <c r="H51" s="84">
        <f t="shared" ref="H51:H62" si="93">+(G51+I51)/2</f>
        <v>190.50749999999999</v>
      </c>
      <c r="I51" s="60">
        <v>195.61499999999998</v>
      </c>
      <c r="J51" s="84">
        <f t="shared" ref="J51:J62" si="94">+(I51+K51)/2</f>
        <v>133.49250000000001</v>
      </c>
      <c r="K51" s="60">
        <v>71.37</v>
      </c>
      <c r="L51" s="60">
        <v>97.2</v>
      </c>
      <c r="M51" s="60">
        <v>97.2</v>
      </c>
      <c r="N51" s="60">
        <v>20.34</v>
      </c>
      <c r="O51" s="60">
        <v>20.34</v>
      </c>
      <c r="P51" s="85">
        <f t="shared" ref="P51:AB51" si="95">+O51+(0.049/100)</f>
        <v>20.340489999999999</v>
      </c>
      <c r="Q51" s="85">
        <f t="shared" si="95"/>
        <v>20.340979999999998</v>
      </c>
      <c r="R51" s="85">
        <f t="shared" si="95"/>
        <v>20.341469999999997</v>
      </c>
      <c r="S51" s="85">
        <f t="shared" si="95"/>
        <v>20.341959999999997</v>
      </c>
      <c r="T51" s="85">
        <f t="shared" si="95"/>
        <v>20.342449999999996</v>
      </c>
      <c r="U51" s="85">
        <f t="shared" si="95"/>
        <v>20.342939999999995</v>
      </c>
      <c r="V51" s="85">
        <f t="shared" si="95"/>
        <v>20.343429999999994</v>
      </c>
      <c r="W51" s="85">
        <f t="shared" si="95"/>
        <v>20.343919999999994</v>
      </c>
      <c r="X51" s="85">
        <f t="shared" si="95"/>
        <v>20.344409999999993</v>
      </c>
      <c r="Y51" s="85">
        <f t="shared" si="95"/>
        <v>20.344899999999992</v>
      </c>
      <c r="Z51" s="85">
        <f t="shared" si="95"/>
        <v>20.345389999999991</v>
      </c>
      <c r="AA51" s="85">
        <f t="shared" si="95"/>
        <v>20.34587999999999</v>
      </c>
      <c r="AB51" s="85">
        <f t="shared" si="95"/>
        <v>20.34636999999999</v>
      </c>
    </row>
    <row r="52" spans="1:28" x14ac:dyDescent="0.25">
      <c r="A52" s="53" t="s">
        <v>21</v>
      </c>
      <c r="B52" s="54" t="s">
        <v>5</v>
      </c>
      <c r="C52" s="60">
        <v>0</v>
      </c>
      <c r="D52" s="84">
        <f t="shared" si="91"/>
        <v>0</v>
      </c>
      <c r="E52" s="60">
        <v>0</v>
      </c>
      <c r="F52" s="84">
        <f t="shared" si="92"/>
        <v>0</v>
      </c>
      <c r="G52" s="60">
        <v>0</v>
      </c>
      <c r="H52" s="84">
        <f t="shared" si="93"/>
        <v>0</v>
      </c>
      <c r="I52" s="60">
        <v>0</v>
      </c>
      <c r="J52" s="84">
        <f t="shared" si="94"/>
        <v>0.5625</v>
      </c>
      <c r="K52" s="60">
        <v>1.125</v>
      </c>
      <c r="L52" s="60">
        <v>731.3</v>
      </c>
      <c r="M52" s="60">
        <v>731.3</v>
      </c>
      <c r="N52" s="60">
        <v>460.125</v>
      </c>
      <c r="O52" s="60">
        <v>460.125</v>
      </c>
      <c r="P52" s="85">
        <f t="shared" ref="P52:AB52" si="96">+O52+(0.049/100)</f>
        <v>460.12549000000001</v>
      </c>
      <c r="Q52" s="85">
        <f t="shared" si="96"/>
        <v>460.12598000000003</v>
      </c>
      <c r="R52" s="85">
        <f t="shared" si="96"/>
        <v>460.12647000000004</v>
      </c>
      <c r="S52" s="85">
        <f t="shared" si="96"/>
        <v>460.12696000000005</v>
      </c>
      <c r="T52" s="85">
        <f t="shared" si="96"/>
        <v>460.12745000000007</v>
      </c>
      <c r="U52" s="85">
        <f t="shared" si="96"/>
        <v>460.12794000000008</v>
      </c>
      <c r="V52" s="85">
        <f t="shared" si="96"/>
        <v>460.12843000000009</v>
      </c>
      <c r="W52" s="85">
        <f t="shared" si="96"/>
        <v>460.12892000000011</v>
      </c>
      <c r="X52" s="85">
        <f t="shared" si="96"/>
        <v>460.12941000000012</v>
      </c>
      <c r="Y52" s="85">
        <f t="shared" si="96"/>
        <v>460.12990000000013</v>
      </c>
      <c r="Z52" s="85">
        <f t="shared" si="96"/>
        <v>460.13039000000015</v>
      </c>
      <c r="AA52" s="85">
        <f t="shared" si="96"/>
        <v>460.13088000000016</v>
      </c>
      <c r="AB52" s="85">
        <f t="shared" si="96"/>
        <v>460.13137000000017</v>
      </c>
    </row>
    <row r="53" spans="1:28" x14ac:dyDescent="0.25">
      <c r="A53" s="53" t="s">
        <v>22</v>
      </c>
      <c r="B53" s="54" t="s">
        <v>5</v>
      </c>
      <c r="C53" s="60">
        <v>0</v>
      </c>
      <c r="D53" s="84">
        <f t="shared" si="91"/>
        <v>0</v>
      </c>
      <c r="E53" s="60">
        <v>0</v>
      </c>
      <c r="F53" s="84">
        <f t="shared" si="92"/>
        <v>0</v>
      </c>
      <c r="G53" s="60">
        <v>0</v>
      </c>
      <c r="H53" s="84">
        <f t="shared" si="93"/>
        <v>0</v>
      </c>
      <c r="I53" s="60">
        <v>0</v>
      </c>
      <c r="J53" s="84">
        <f t="shared" si="94"/>
        <v>2.2949999999999999</v>
      </c>
      <c r="K53" s="60">
        <v>4.59</v>
      </c>
      <c r="L53" s="60">
        <v>237.2</v>
      </c>
      <c r="M53" s="60">
        <v>237.2</v>
      </c>
      <c r="N53" s="60">
        <v>950.44500000000005</v>
      </c>
      <c r="O53" s="60">
        <v>950.44500000000005</v>
      </c>
      <c r="P53" s="85">
        <f t="shared" ref="P53:AB53" si="97">+O53+(0.049/100)</f>
        <v>950.44549000000006</v>
      </c>
      <c r="Q53" s="85">
        <f t="shared" si="97"/>
        <v>950.44598000000008</v>
      </c>
      <c r="R53" s="85">
        <f t="shared" si="97"/>
        <v>950.44647000000009</v>
      </c>
      <c r="S53" s="85">
        <f t="shared" si="97"/>
        <v>950.4469600000001</v>
      </c>
      <c r="T53" s="85">
        <f t="shared" si="97"/>
        <v>950.44745000000012</v>
      </c>
      <c r="U53" s="85">
        <f t="shared" si="97"/>
        <v>950.44794000000013</v>
      </c>
      <c r="V53" s="85">
        <f t="shared" si="97"/>
        <v>950.44843000000014</v>
      </c>
      <c r="W53" s="85">
        <f t="shared" si="97"/>
        <v>950.44892000000016</v>
      </c>
      <c r="X53" s="85">
        <f t="shared" si="97"/>
        <v>950.44941000000017</v>
      </c>
      <c r="Y53" s="85">
        <f t="shared" si="97"/>
        <v>950.44990000000018</v>
      </c>
      <c r="Z53" s="85">
        <f t="shared" si="97"/>
        <v>950.4503900000002</v>
      </c>
      <c r="AA53" s="85">
        <f t="shared" si="97"/>
        <v>950.45088000000021</v>
      </c>
      <c r="AB53" s="85">
        <f t="shared" si="97"/>
        <v>950.45137000000022</v>
      </c>
    </row>
    <row r="54" spans="1:28" x14ac:dyDescent="0.25">
      <c r="A54" s="53" t="s">
        <v>23</v>
      </c>
      <c r="B54" s="54" t="s">
        <v>5</v>
      </c>
      <c r="C54" s="60">
        <v>0</v>
      </c>
      <c r="D54" s="84">
        <f t="shared" si="91"/>
        <v>0</v>
      </c>
      <c r="E54" s="60">
        <v>0</v>
      </c>
      <c r="F54" s="84">
        <f t="shared" si="92"/>
        <v>0</v>
      </c>
      <c r="G54" s="60">
        <v>0</v>
      </c>
      <c r="H54" s="84">
        <f t="shared" si="93"/>
        <v>0</v>
      </c>
      <c r="I54" s="60">
        <v>0</v>
      </c>
      <c r="J54" s="84">
        <f t="shared" si="94"/>
        <v>0</v>
      </c>
      <c r="K54" s="60">
        <v>0</v>
      </c>
      <c r="L54" s="60">
        <v>54.77</v>
      </c>
      <c r="M54" s="60">
        <v>54.77</v>
      </c>
      <c r="N54" s="60">
        <v>25.56</v>
      </c>
      <c r="O54" s="60">
        <v>25.56</v>
      </c>
      <c r="P54" s="85">
        <f t="shared" ref="P54:AB54" si="98">+O54+(0.049/100)</f>
        <v>25.560489999999998</v>
      </c>
      <c r="Q54" s="85">
        <f t="shared" si="98"/>
        <v>25.560979999999997</v>
      </c>
      <c r="R54" s="85">
        <f t="shared" si="98"/>
        <v>25.561469999999996</v>
      </c>
      <c r="S54" s="85">
        <f t="shared" si="98"/>
        <v>25.561959999999996</v>
      </c>
      <c r="T54" s="85">
        <f t="shared" si="98"/>
        <v>25.562449999999995</v>
      </c>
      <c r="U54" s="85">
        <f t="shared" si="98"/>
        <v>25.562939999999994</v>
      </c>
      <c r="V54" s="85">
        <f t="shared" si="98"/>
        <v>25.563429999999993</v>
      </c>
      <c r="W54" s="85">
        <f t="shared" si="98"/>
        <v>25.563919999999992</v>
      </c>
      <c r="X54" s="85">
        <f t="shared" si="98"/>
        <v>25.564409999999992</v>
      </c>
      <c r="Y54" s="85">
        <f t="shared" si="98"/>
        <v>25.564899999999991</v>
      </c>
      <c r="Z54" s="85">
        <f t="shared" si="98"/>
        <v>25.56538999999999</v>
      </c>
      <c r="AA54" s="85">
        <f t="shared" si="98"/>
        <v>25.565879999999989</v>
      </c>
      <c r="AB54" s="85">
        <f t="shared" si="98"/>
        <v>25.566369999999988</v>
      </c>
    </row>
    <row r="55" spans="1:28" ht="22.5" x14ac:dyDescent="0.25">
      <c r="A55" s="53" t="s">
        <v>24</v>
      </c>
      <c r="B55" s="54" t="s">
        <v>5</v>
      </c>
      <c r="C55" s="60">
        <v>0</v>
      </c>
      <c r="D55" s="84">
        <f t="shared" si="91"/>
        <v>0</v>
      </c>
      <c r="E55" s="60">
        <v>0</v>
      </c>
      <c r="F55" s="84">
        <f t="shared" si="92"/>
        <v>0</v>
      </c>
      <c r="G55" s="60">
        <v>0</v>
      </c>
      <c r="H55" s="84">
        <f t="shared" si="93"/>
        <v>0</v>
      </c>
      <c r="I55" s="60">
        <v>0</v>
      </c>
      <c r="J55" s="84">
        <f t="shared" si="94"/>
        <v>0</v>
      </c>
      <c r="K55" s="60">
        <v>0</v>
      </c>
      <c r="L55" s="60">
        <v>3041.91</v>
      </c>
      <c r="M55" s="60">
        <v>3041.91</v>
      </c>
      <c r="N55" s="60">
        <v>5179.95</v>
      </c>
      <c r="O55" s="60">
        <v>5179.95</v>
      </c>
      <c r="P55" s="85">
        <f t="shared" ref="P55:AB55" si="99">+O55+(0.049/100)</f>
        <v>5179.9504900000002</v>
      </c>
      <c r="Q55" s="85">
        <f t="shared" si="99"/>
        <v>5179.9509800000005</v>
      </c>
      <c r="R55" s="85">
        <f t="shared" si="99"/>
        <v>5179.9514700000009</v>
      </c>
      <c r="S55" s="85">
        <f t="shared" si="99"/>
        <v>5179.9519600000012</v>
      </c>
      <c r="T55" s="85">
        <f t="shared" si="99"/>
        <v>5179.9524500000016</v>
      </c>
      <c r="U55" s="85">
        <f t="shared" si="99"/>
        <v>5179.9529400000019</v>
      </c>
      <c r="V55" s="85">
        <f t="shared" si="99"/>
        <v>5179.9534300000023</v>
      </c>
      <c r="W55" s="85">
        <f t="shared" si="99"/>
        <v>5179.9539200000027</v>
      </c>
      <c r="X55" s="85">
        <f t="shared" si="99"/>
        <v>5179.954410000003</v>
      </c>
      <c r="Y55" s="85">
        <f t="shared" si="99"/>
        <v>5179.9549000000034</v>
      </c>
      <c r="Z55" s="85">
        <f t="shared" si="99"/>
        <v>5179.9553900000037</v>
      </c>
      <c r="AA55" s="85">
        <f t="shared" si="99"/>
        <v>5179.9558800000041</v>
      </c>
      <c r="AB55" s="85">
        <f t="shared" si="99"/>
        <v>5179.9563700000044</v>
      </c>
    </row>
    <row r="56" spans="1:28" x14ac:dyDescent="0.25">
      <c r="A56" s="53" t="s">
        <v>25</v>
      </c>
      <c r="B56" s="54" t="s">
        <v>5</v>
      </c>
      <c r="C56" s="60">
        <v>23.204999999999998</v>
      </c>
      <c r="D56" s="84">
        <f t="shared" si="91"/>
        <v>23.204999999999998</v>
      </c>
      <c r="E56" s="60">
        <v>23.204999999999998</v>
      </c>
      <c r="F56" s="84">
        <f t="shared" si="92"/>
        <v>23.204999999999998</v>
      </c>
      <c r="G56" s="60">
        <v>23.204999999999998</v>
      </c>
      <c r="H56" s="84">
        <f t="shared" si="93"/>
        <v>53.52000000000001</v>
      </c>
      <c r="I56" s="60">
        <v>83.835000000000022</v>
      </c>
      <c r="J56" s="84">
        <f t="shared" si="94"/>
        <v>61.627500000000012</v>
      </c>
      <c r="K56" s="60">
        <v>39.42</v>
      </c>
      <c r="L56" s="60">
        <v>17.149999999999999</v>
      </c>
      <c r="M56" s="60">
        <v>17.149999999999999</v>
      </c>
      <c r="N56" s="60">
        <v>69.3</v>
      </c>
      <c r="O56" s="60">
        <v>69.3</v>
      </c>
      <c r="P56" s="85">
        <f t="shared" ref="P56:AB56" si="100">+O56+(0.049/100)</f>
        <v>69.300489999999996</v>
      </c>
      <c r="Q56" s="85">
        <f t="shared" si="100"/>
        <v>69.300979999999996</v>
      </c>
      <c r="R56" s="85">
        <f t="shared" si="100"/>
        <v>69.301469999999995</v>
      </c>
      <c r="S56" s="85">
        <f t="shared" si="100"/>
        <v>69.301959999999994</v>
      </c>
      <c r="T56" s="85">
        <f t="shared" si="100"/>
        <v>69.302449999999993</v>
      </c>
      <c r="U56" s="85">
        <f t="shared" si="100"/>
        <v>69.302939999999992</v>
      </c>
      <c r="V56" s="85">
        <f t="shared" si="100"/>
        <v>69.303429999999992</v>
      </c>
      <c r="W56" s="85">
        <f t="shared" si="100"/>
        <v>69.303919999999991</v>
      </c>
      <c r="X56" s="85">
        <f t="shared" si="100"/>
        <v>69.30440999999999</v>
      </c>
      <c r="Y56" s="85">
        <f t="shared" si="100"/>
        <v>69.304899999999989</v>
      </c>
      <c r="Z56" s="85">
        <f t="shared" si="100"/>
        <v>69.305389999999989</v>
      </c>
      <c r="AA56" s="85">
        <f t="shared" si="100"/>
        <v>69.305879999999988</v>
      </c>
      <c r="AB56" s="85">
        <f t="shared" si="100"/>
        <v>69.306369999999987</v>
      </c>
    </row>
    <row r="57" spans="1:28" x14ac:dyDescent="0.25">
      <c r="A57" s="53" t="s">
        <v>26</v>
      </c>
      <c r="B57" s="54" t="s">
        <v>5</v>
      </c>
      <c r="C57" s="60">
        <v>709.14</v>
      </c>
      <c r="D57" s="84">
        <f t="shared" si="91"/>
        <v>709.14</v>
      </c>
      <c r="E57" s="60">
        <v>709.14</v>
      </c>
      <c r="F57" s="84">
        <f t="shared" si="92"/>
        <v>709.14</v>
      </c>
      <c r="G57" s="60">
        <v>709.14</v>
      </c>
      <c r="H57" s="84">
        <f t="shared" si="93"/>
        <v>809.33999999999992</v>
      </c>
      <c r="I57" s="60">
        <v>909.54</v>
      </c>
      <c r="J57" s="84">
        <f t="shared" si="94"/>
        <v>947.43000000000006</v>
      </c>
      <c r="K57" s="60">
        <v>985.32</v>
      </c>
      <c r="L57" s="60">
        <v>719.15</v>
      </c>
      <c r="M57" s="60">
        <v>719.15</v>
      </c>
      <c r="N57" s="60">
        <v>48.15</v>
      </c>
      <c r="O57" s="60">
        <v>48.15</v>
      </c>
      <c r="P57" s="85">
        <f t="shared" ref="P57:AB57" si="101">+O57+(0.049/100)</f>
        <v>48.150489999999998</v>
      </c>
      <c r="Q57" s="85">
        <f t="shared" si="101"/>
        <v>48.150979999999997</v>
      </c>
      <c r="R57" s="85">
        <f t="shared" si="101"/>
        <v>48.151469999999996</v>
      </c>
      <c r="S57" s="85">
        <f t="shared" si="101"/>
        <v>48.151959999999995</v>
      </c>
      <c r="T57" s="85">
        <f t="shared" si="101"/>
        <v>48.152449999999995</v>
      </c>
      <c r="U57" s="85">
        <f t="shared" si="101"/>
        <v>48.152939999999994</v>
      </c>
      <c r="V57" s="85">
        <f t="shared" si="101"/>
        <v>48.153429999999993</v>
      </c>
      <c r="W57" s="85">
        <f t="shared" si="101"/>
        <v>48.153919999999992</v>
      </c>
      <c r="X57" s="85">
        <f t="shared" si="101"/>
        <v>48.154409999999991</v>
      </c>
      <c r="Y57" s="85">
        <f t="shared" si="101"/>
        <v>48.154899999999991</v>
      </c>
      <c r="Z57" s="85">
        <f t="shared" si="101"/>
        <v>48.15538999999999</v>
      </c>
      <c r="AA57" s="85">
        <f t="shared" si="101"/>
        <v>48.155879999999989</v>
      </c>
      <c r="AB57" s="85">
        <f t="shared" si="101"/>
        <v>48.156369999999988</v>
      </c>
    </row>
    <row r="58" spans="1:28" x14ac:dyDescent="0.25">
      <c r="A58" s="53" t="s">
        <v>27</v>
      </c>
      <c r="B58" s="54" t="s">
        <v>5</v>
      </c>
      <c r="C58" s="60">
        <v>0</v>
      </c>
      <c r="D58" s="84">
        <f t="shared" si="91"/>
        <v>0</v>
      </c>
      <c r="E58" s="60">
        <v>0</v>
      </c>
      <c r="F58" s="84">
        <f t="shared" si="92"/>
        <v>0</v>
      </c>
      <c r="G58" s="60">
        <v>0</v>
      </c>
      <c r="H58" s="84">
        <f t="shared" si="93"/>
        <v>0</v>
      </c>
      <c r="I58" s="60">
        <v>0</v>
      </c>
      <c r="J58" s="84">
        <f t="shared" si="94"/>
        <v>0</v>
      </c>
      <c r="K58" s="60">
        <v>0</v>
      </c>
      <c r="L58" s="60">
        <v>552.78</v>
      </c>
      <c r="M58" s="60">
        <v>552.78</v>
      </c>
      <c r="N58" s="60">
        <v>234.63</v>
      </c>
      <c r="O58" s="60">
        <v>234.63</v>
      </c>
      <c r="P58" s="85">
        <f t="shared" ref="P58:AB58" si="102">+O58+(0.049/100)</f>
        <v>234.63049000000001</v>
      </c>
      <c r="Q58" s="85">
        <f t="shared" si="102"/>
        <v>234.63098000000002</v>
      </c>
      <c r="R58" s="85">
        <f t="shared" si="102"/>
        <v>234.63147000000004</v>
      </c>
      <c r="S58" s="85">
        <f t="shared" si="102"/>
        <v>234.63196000000005</v>
      </c>
      <c r="T58" s="85">
        <f t="shared" si="102"/>
        <v>234.63245000000006</v>
      </c>
      <c r="U58" s="85">
        <f t="shared" si="102"/>
        <v>234.63294000000008</v>
      </c>
      <c r="V58" s="85">
        <f t="shared" si="102"/>
        <v>234.63343000000009</v>
      </c>
      <c r="W58" s="85">
        <f t="shared" si="102"/>
        <v>234.6339200000001</v>
      </c>
      <c r="X58" s="85">
        <f t="shared" si="102"/>
        <v>234.63441000000012</v>
      </c>
      <c r="Y58" s="85">
        <f t="shared" si="102"/>
        <v>234.63490000000013</v>
      </c>
      <c r="Z58" s="85">
        <f t="shared" si="102"/>
        <v>234.63539000000014</v>
      </c>
      <c r="AA58" s="85">
        <f t="shared" si="102"/>
        <v>234.63588000000016</v>
      </c>
      <c r="AB58" s="85">
        <f t="shared" si="102"/>
        <v>234.63637000000017</v>
      </c>
    </row>
    <row r="59" spans="1:28" x14ac:dyDescent="0.25">
      <c r="A59" s="53" t="s">
        <v>28</v>
      </c>
      <c r="B59" s="54" t="s">
        <v>5</v>
      </c>
      <c r="C59" s="60">
        <v>0</v>
      </c>
      <c r="D59" s="84">
        <f t="shared" si="91"/>
        <v>0</v>
      </c>
      <c r="E59" s="60">
        <v>0</v>
      </c>
      <c r="F59" s="84">
        <f t="shared" si="92"/>
        <v>0</v>
      </c>
      <c r="G59" s="60">
        <v>0</v>
      </c>
      <c r="H59" s="84">
        <f t="shared" si="93"/>
        <v>54.81</v>
      </c>
      <c r="I59" s="60">
        <v>109.62</v>
      </c>
      <c r="J59" s="84">
        <f t="shared" si="94"/>
        <v>63.765000000000001</v>
      </c>
      <c r="K59" s="60">
        <v>17.91</v>
      </c>
      <c r="L59" s="60">
        <v>18.989999999999998</v>
      </c>
      <c r="M59" s="60">
        <v>18.989999999999998</v>
      </c>
      <c r="N59" s="60">
        <v>7.2</v>
      </c>
      <c r="O59" s="60">
        <v>7.2</v>
      </c>
      <c r="P59" s="85">
        <f t="shared" ref="P59:AB59" si="103">+O59+(0.049/100)</f>
        <v>7.2004900000000003</v>
      </c>
      <c r="Q59" s="85">
        <f t="shared" si="103"/>
        <v>7.2009800000000004</v>
      </c>
      <c r="R59" s="85">
        <f t="shared" si="103"/>
        <v>7.2014700000000005</v>
      </c>
      <c r="S59" s="85">
        <f t="shared" si="103"/>
        <v>7.2019600000000006</v>
      </c>
      <c r="T59" s="85">
        <f t="shared" si="103"/>
        <v>7.2024500000000007</v>
      </c>
      <c r="U59" s="85">
        <f t="shared" si="103"/>
        <v>7.2029400000000008</v>
      </c>
      <c r="V59" s="85">
        <f t="shared" si="103"/>
        <v>7.2034300000000009</v>
      </c>
      <c r="W59" s="85">
        <f t="shared" si="103"/>
        <v>7.203920000000001</v>
      </c>
      <c r="X59" s="85">
        <f t="shared" si="103"/>
        <v>7.2044100000000011</v>
      </c>
      <c r="Y59" s="85">
        <f t="shared" si="103"/>
        <v>7.2049000000000012</v>
      </c>
      <c r="Z59" s="85">
        <f t="shared" si="103"/>
        <v>7.2053900000000013</v>
      </c>
      <c r="AA59" s="85">
        <f t="shared" si="103"/>
        <v>7.2058800000000014</v>
      </c>
      <c r="AB59" s="85">
        <f t="shared" si="103"/>
        <v>7.2063700000000015</v>
      </c>
    </row>
    <row r="60" spans="1:28" x14ac:dyDescent="0.25">
      <c r="A60" s="56" t="s">
        <v>19</v>
      </c>
      <c r="B60" s="54" t="s">
        <v>5</v>
      </c>
      <c r="C60" s="60">
        <v>7739.04</v>
      </c>
      <c r="D60" s="84">
        <f t="shared" si="91"/>
        <v>7739.04</v>
      </c>
      <c r="E60" s="60">
        <v>7739.04</v>
      </c>
      <c r="F60" s="84">
        <f t="shared" si="92"/>
        <v>7739.04</v>
      </c>
      <c r="G60" s="60">
        <v>7739.04</v>
      </c>
      <c r="H60" s="84">
        <f t="shared" si="93"/>
        <v>7635.75</v>
      </c>
      <c r="I60" s="60">
        <v>7532.46</v>
      </c>
      <c r="J60" s="84">
        <f t="shared" si="94"/>
        <v>7934.3799999999992</v>
      </c>
      <c r="K60" s="60">
        <v>8336.2999999999993</v>
      </c>
      <c r="L60" s="60">
        <v>7082.69</v>
      </c>
      <c r="M60" s="60">
        <v>7082.69</v>
      </c>
      <c r="N60" s="60">
        <v>1511.69</v>
      </c>
      <c r="O60" s="60">
        <v>1511.69</v>
      </c>
      <c r="P60" s="85">
        <f t="shared" ref="P60:AB60" si="104">+O60+(0.049/100)</f>
        <v>1511.69049</v>
      </c>
      <c r="Q60" s="85">
        <f t="shared" si="104"/>
        <v>1511.6909799999999</v>
      </c>
      <c r="R60" s="85">
        <f t="shared" si="104"/>
        <v>1511.6914699999998</v>
      </c>
      <c r="S60" s="85">
        <f t="shared" si="104"/>
        <v>1511.6919599999997</v>
      </c>
      <c r="T60" s="85">
        <f t="shared" si="104"/>
        <v>1511.6924499999996</v>
      </c>
      <c r="U60" s="85">
        <f t="shared" si="104"/>
        <v>1511.6929399999995</v>
      </c>
      <c r="V60" s="85">
        <f t="shared" si="104"/>
        <v>1511.6934299999994</v>
      </c>
      <c r="W60" s="85">
        <f t="shared" si="104"/>
        <v>1511.6939199999993</v>
      </c>
      <c r="X60" s="85">
        <f t="shared" si="104"/>
        <v>1511.6944099999992</v>
      </c>
      <c r="Y60" s="85">
        <f t="shared" si="104"/>
        <v>1511.6948999999991</v>
      </c>
      <c r="Z60" s="85">
        <f t="shared" si="104"/>
        <v>1511.695389999999</v>
      </c>
      <c r="AA60" s="85">
        <f t="shared" si="104"/>
        <v>1511.6958799999989</v>
      </c>
      <c r="AB60" s="85">
        <f t="shared" si="104"/>
        <v>1511.6963699999988</v>
      </c>
    </row>
    <row r="61" spans="1:28" x14ac:dyDescent="0.25">
      <c r="A61" s="56" t="s">
        <v>4</v>
      </c>
      <c r="B61" s="54" t="s">
        <v>5</v>
      </c>
      <c r="C61" s="60">
        <v>420.255</v>
      </c>
      <c r="D61" s="84">
        <f t="shared" si="91"/>
        <v>420.255</v>
      </c>
      <c r="E61" s="60">
        <v>420.255</v>
      </c>
      <c r="F61" s="84">
        <f t="shared" si="92"/>
        <v>420.255</v>
      </c>
      <c r="G61" s="60">
        <v>420.255</v>
      </c>
      <c r="H61" s="84">
        <f t="shared" si="93"/>
        <v>654.66250000000002</v>
      </c>
      <c r="I61" s="60">
        <v>889.07</v>
      </c>
      <c r="J61" s="84">
        <f t="shared" si="94"/>
        <v>530.35</v>
      </c>
      <c r="K61" s="60">
        <v>171.63</v>
      </c>
      <c r="L61" s="60">
        <v>1057.5899999999999</v>
      </c>
      <c r="M61" s="60">
        <v>1057.5899999999999</v>
      </c>
      <c r="N61" s="60">
        <v>137.47999999999999</v>
      </c>
      <c r="O61" s="60">
        <v>137.47999999999999</v>
      </c>
      <c r="P61" s="85">
        <f t="shared" ref="P61:AB61" si="105">+O61+(0.049/100)</f>
        <v>137.48049</v>
      </c>
      <c r="Q61" s="85">
        <f t="shared" si="105"/>
        <v>137.48098000000002</v>
      </c>
      <c r="R61" s="85">
        <f t="shared" si="105"/>
        <v>137.48147000000003</v>
      </c>
      <c r="S61" s="85">
        <f t="shared" si="105"/>
        <v>137.48196000000004</v>
      </c>
      <c r="T61" s="85">
        <f t="shared" si="105"/>
        <v>137.48245000000006</v>
      </c>
      <c r="U61" s="85">
        <f t="shared" si="105"/>
        <v>137.48294000000007</v>
      </c>
      <c r="V61" s="85">
        <f t="shared" si="105"/>
        <v>137.48343000000008</v>
      </c>
      <c r="W61" s="85">
        <f t="shared" si="105"/>
        <v>137.4839200000001</v>
      </c>
      <c r="X61" s="85">
        <f t="shared" si="105"/>
        <v>137.48441000000011</v>
      </c>
      <c r="Y61" s="85">
        <f t="shared" si="105"/>
        <v>137.48490000000012</v>
      </c>
      <c r="Z61" s="85">
        <f t="shared" si="105"/>
        <v>137.48539000000014</v>
      </c>
      <c r="AA61" s="85">
        <f t="shared" si="105"/>
        <v>137.48588000000015</v>
      </c>
      <c r="AB61" s="85">
        <f t="shared" si="105"/>
        <v>137.48637000000016</v>
      </c>
    </row>
    <row r="62" spans="1:28" x14ac:dyDescent="0.25">
      <c r="A62" s="56" t="s">
        <v>29</v>
      </c>
      <c r="B62" s="54" t="s">
        <v>5</v>
      </c>
      <c r="C62" s="60">
        <v>1846.79</v>
      </c>
      <c r="D62" s="84">
        <f t="shared" si="91"/>
        <v>1846.79</v>
      </c>
      <c r="E62" s="60">
        <v>1846.79</v>
      </c>
      <c r="F62" s="84">
        <f t="shared" si="92"/>
        <v>1846.79</v>
      </c>
      <c r="G62" s="60">
        <v>1846.79</v>
      </c>
      <c r="H62" s="84">
        <f t="shared" si="93"/>
        <v>2744.6800000000003</v>
      </c>
      <c r="I62" s="60">
        <v>3642.57</v>
      </c>
      <c r="J62" s="84">
        <f t="shared" si="94"/>
        <v>2664.2049999999999</v>
      </c>
      <c r="K62" s="60">
        <v>1685.84</v>
      </c>
      <c r="L62" s="60">
        <v>3312.72</v>
      </c>
      <c r="M62" s="60">
        <v>3312.72</v>
      </c>
      <c r="N62" s="60">
        <v>218.03</v>
      </c>
      <c r="O62" s="60">
        <v>218.03</v>
      </c>
      <c r="P62" s="85">
        <f t="shared" ref="P62:AB62" si="106">+O62+(0.049/100)</f>
        <v>218.03049000000001</v>
      </c>
      <c r="Q62" s="85">
        <f t="shared" si="106"/>
        <v>218.03098000000003</v>
      </c>
      <c r="R62" s="85">
        <f t="shared" si="106"/>
        <v>218.03147000000004</v>
      </c>
      <c r="S62" s="85">
        <f t="shared" si="106"/>
        <v>218.03196000000005</v>
      </c>
      <c r="T62" s="85">
        <f t="shared" si="106"/>
        <v>218.03245000000007</v>
      </c>
      <c r="U62" s="85">
        <f t="shared" si="106"/>
        <v>218.03294000000008</v>
      </c>
      <c r="V62" s="85">
        <f t="shared" si="106"/>
        <v>218.0334300000001</v>
      </c>
      <c r="W62" s="85">
        <f t="shared" si="106"/>
        <v>218.03392000000011</v>
      </c>
      <c r="X62" s="85">
        <f t="shared" si="106"/>
        <v>218.03441000000012</v>
      </c>
      <c r="Y62" s="85">
        <f t="shared" si="106"/>
        <v>218.03490000000014</v>
      </c>
      <c r="Z62" s="85">
        <f t="shared" si="106"/>
        <v>218.03539000000015</v>
      </c>
      <c r="AA62" s="85">
        <f t="shared" si="106"/>
        <v>218.03588000000016</v>
      </c>
      <c r="AB62" s="85">
        <f t="shared" si="106"/>
        <v>218.03637000000018</v>
      </c>
    </row>
    <row r="64" spans="1:28" x14ac:dyDescent="0.25">
      <c r="A64" s="53" t="s">
        <v>18</v>
      </c>
      <c r="B64" s="54" t="s">
        <v>6</v>
      </c>
      <c r="C64" s="60">
        <v>0</v>
      </c>
      <c r="D64" s="84">
        <f>+(C64+E64)/2</f>
        <v>0</v>
      </c>
      <c r="E64" s="60">
        <v>0</v>
      </c>
      <c r="F64" s="84">
        <f>+(E64+G64)/2</f>
        <v>0</v>
      </c>
      <c r="G64" s="60">
        <v>0</v>
      </c>
      <c r="H64" s="84">
        <f>+(G64+I64)/2</f>
        <v>0</v>
      </c>
      <c r="I64" s="60">
        <v>0</v>
      </c>
      <c r="J64" s="84">
        <f>+(I64+K64)/2</f>
        <v>5.1974999999999998</v>
      </c>
      <c r="K64" s="60">
        <v>10.395</v>
      </c>
      <c r="L64" s="60">
        <v>7.52</v>
      </c>
      <c r="M64" s="60">
        <v>7.52</v>
      </c>
      <c r="N64" s="60">
        <v>0</v>
      </c>
      <c r="O64" s="60">
        <v>0</v>
      </c>
      <c r="P64" s="85">
        <f>+O64+(0.049/100)</f>
        <v>4.8999999999999998E-4</v>
      </c>
      <c r="Q64" s="85">
        <f t="shared" ref="Q64:AB76" si="107">+P64+(0.049/100)</f>
        <v>9.7999999999999997E-4</v>
      </c>
      <c r="R64" s="85">
        <f t="shared" si="107"/>
        <v>1.47E-3</v>
      </c>
      <c r="S64" s="85">
        <f t="shared" si="107"/>
        <v>1.9599999999999999E-3</v>
      </c>
      <c r="T64" s="85">
        <f t="shared" si="107"/>
        <v>2.4499999999999999E-3</v>
      </c>
      <c r="U64" s="85">
        <f t="shared" si="107"/>
        <v>2.9399999999999999E-3</v>
      </c>
      <c r="V64" s="85">
        <f t="shared" si="107"/>
        <v>3.4299999999999999E-3</v>
      </c>
      <c r="W64" s="85">
        <f t="shared" si="107"/>
        <v>3.9199999999999999E-3</v>
      </c>
      <c r="X64" s="85">
        <f t="shared" si="107"/>
        <v>4.4099999999999999E-3</v>
      </c>
      <c r="Y64" s="85">
        <f t="shared" si="107"/>
        <v>4.8999999999999998E-3</v>
      </c>
      <c r="Z64" s="85">
        <f t="shared" si="107"/>
        <v>5.3899999999999998E-3</v>
      </c>
      <c r="AA64" s="85">
        <f t="shared" si="107"/>
        <v>5.8799999999999998E-3</v>
      </c>
      <c r="AB64" s="85">
        <f t="shared" si="107"/>
        <v>6.3699999999999998E-3</v>
      </c>
    </row>
    <row r="65" spans="1:28" x14ac:dyDescent="0.25">
      <c r="A65" s="53" t="s">
        <v>20</v>
      </c>
      <c r="B65" s="54" t="s">
        <v>6</v>
      </c>
      <c r="C65" s="60">
        <v>390</v>
      </c>
      <c r="D65" s="84">
        <f t="shared" ref="D65:D77" si="108">+(C65+E65)/2</f>
        <v>390</v>
      </c>
      <c r="E65" s="60">
        <v>390</v>
      </c>
      <c r="F65" s="84">
        <f t="shared" ref="F65:F77" si="109">+(E65+G65)/2</f>
        <v>390</v>
      </c>
      <c r="G65" s="60">
        <v>390</v>
      </c>
      <c r="H65" s="84">
        <f t="shared" ref="H65:H77" si="110">+(G65+I65)/2</f>
        <v>232.50749999999999</v>
      </c>
      <c r="I65" s="60">
        <v>75.015000000000001</v>
      </c>
      <c r="J65" s="84">
        <f t="shared" ref="J65:J77" si="111">+(I65+K65)/2</f>
        <v>75.240000000000009</v>
      </c>
      <c r="K65" s="60">
        <v>75.465000000000003</v>
      </c>
      <c r="L65" s="60">
        <v>527.66999999999996</v>
      </c>
      <c r="M65" s="60">
        <v>527.66999999999996</v>
      </c>
      <c r="N65" s="60">
        <v>802.49</v>
      </c>
      <c r="O65" s="60">
        <v>802.49</v>
      </c>
      <c r="P65" s="85">
        <f t="shared" ref="P65:P76" si="112">+O65+(0.049/100)</f>
        <v>802.49049000000002</v>
      </c>
      <c r="Q65" s="85">
        <f t="shared" si="107"/>
        <v>802.49098000000004</v>
      </c>
      <c r="R65" s="85">
        <f t="shared" si="107"/>
        <v>802.49147000000005</v>
      </c>
      <c r="S65" s="85">
        <f t="shared" si="107"/>
        <v>802.49196000000006</v>
      </c>
      <c r="T65" s="85">
        <f t="shared" si="107"/>
        <v>802.49245000000008</v>
      </c>
      <c r="U65" s="85">
        <f t="shared" si="107"/>
        <v>802.49294000000009</v>
      </c>
      <c r="V65" s="85">
        <f t="shared" si="107"/>
        <v>802.4934300000001</v>
      </c>
      <c r="W65" s="85">
        <f t="shared" si="107"/>
        <v>802.49392000000012</v>
      </c>
      <c r="X65" s="85">
        <f t="shared" si="107"/>
        <v>802.49441000000013</v>
      </c>
      <c r="Y65" s="85">
        <f t="shared" si="107"/>
        <v>802.49490000000014</v>
      </c>
      <c r="Z65" s="85">
        <f t="shared" si="107"/>
        <v>802.49539000000016</v>
      </c>
      <c r="AA65" s="85">
        <f t="shared" si="107"/>
        <v>802.49588000000017</v>
      </c>
      <c r="AB65" s="85">
        <f t="shared" si="107"/>
        <v>802.49637000000018</v>
      </c>
    </row>
    <row r="66" spans="1:28" x14ac:dyDescent="0.25">
      <c r="A66" s="53" t="s">
        <v>21</v>
      </c>
      <c r="B66" s="54" t="s">
        <v>6</v>
      </c>
      <c r="C66" s="60">
        <v>42.464999999999996</v>
      </c>
      <c r="D66" s="84">
        <f t="shared" si="108"/>
        <v>42.464999999999996</v>
      </c>
      <c r="E66" s="60">
        <v>42.464999999999996</v>
      </c>
      <c r="F66" s="84">
        <f t="shared" si="109"/>
        <v>42.464999999999996</v>
      </c>
      <c r="G66" s="60">
        <v>42.464999999999996</v>
      </c>
      <c r="H66" s="84">
        <f t="shared" si="110"/>
        <v>54.825000000000003</v>
      </c>
      <c r="I66" s="60">
        <v>67.185000000000002</v>
      </c>
      <c r="J66" s="84">
        <f t="shared" si="111"/>
        <v>89.032499999999999</v>
      </c>
      <c r="K66" s="60">
        <v>110.88</v>
      </c>
      <c r="L66" s="60">
        <v>59.4</v>
      </c>
      <c r="M66" s="60">
        <v>59.4</v>
      </c>
      <c r="N66" s="60">
        <v>123.44</v>
      </c>
      <c r="O66" s="60">
        <v>123.44</v>
      </c>
      <c r="P66" s="85">
        <f t="shared" si="112"/>
        <v>123.44049</v>
      </c>
      <c r="Q66" s="85">
        <f t="shared" si="107"/>
        <v>123.44098</v>
      </c>
      <c r="R66" s="85">
        <f t="shared" si="107"/>
        <v>123.44147</v>
      </c>
      <c r="S66" s="85">
        <f t="shared" si="107"/>
        <v>123.44195999999999</v>
      </c>
      <c r="T66" s="85">
        <f t="shared" si="107"/>
        <v>123.44244999999999</v>
      </c>
      <c r="U66" s="85">
        <f t="shared" si="107"/>
        <v>123.44293999999999</v>
      </c>
      <c r="V66" s="85">
        <f t="shared" si="107"/>
        <v>123.44342999999999</v>
      </c>
      <c r="W66" s="85">
        <f t="shared" si="107"/>
        <v>123.44391999999999</v>
      </c>
      <c r="X66" s="85">
        <f t="shared" si="107"/>
        <v>123.44440999999999</v>
      </c>
      <c r="Y66" s="85">
        <f t="shared" si="107"/>
        <v>123.44489999999999</v>
      </c>
      <c r="Z66" s="85">
        <f t="shared" si="107"/>
        <v>123.44538999999999</v>
      </c>
      <c r="AA66" s="85">
        <f t="shared" si="107"/>
        <v>123.44587999999999</v>
      </c>
      <c r="AB66" s="85">
        <f t="shared" si="107"/>
        <v>123.44636999999999</v>
      </c>
    </row>
    <row r="67" spans="1:28" x14ac:dyDescent="0.25">
      <c r="A67" s="53" t="s">
        <v>22</v>
      </c>
      <c r="B67" s="54" t="s">
        <v>6</v>
      </c>
      <c r="C67" s="60">
        <v>51.254999999999995</v>
      </c>
      <c r="D67" s="84">
        <f t="shared" si="108"/>
        <v>51.254999999999995</v>
      </c>
      <c r="E67" s="60">
        <v>51.254999999999995</v>
      </c>
      <c r="F67" s="84">
        <f t="shared" si="109"/>
        <v>51.254999999999995</v>
      </c>
      <c r="G67" s="60">
        <v>51.254999999999995</v>
      </c>
      <c r="H67" s="84">
        <f t="shared" si="110"/>
        <v>48.959999999999994</v>
      </c>
      <c r="I67" s="60">
        <v>46.664999999999992</v>
      </c>
      <c r="J67" s="84">
        <f t="shared" si="111"/>
        <v>61.717499999999994</v>
      </c>
      <c r="K67" s="60">
        <v>76.77</v>
      </c>
      <c r="L67" s="60">
        <v>99.45</v>
      </c>
      <c r="M67" s="60">
        <v>99.45</v>
      </c>
      <c r="N67" s="60">
        <v>138.56</v>
      </c>
      <c r="O67" s="60">
        <v>138.56</v>
      </c>
      <c r="P67" s="85">
        <f t="shared" si="112"/>
        <v>138.56049000000002</v>
      </c>
      <c r="Q67" s="85">
        <f t="shared" si="107"/>
        <v>138.56098000000003</v>
      </c>
      <c r="R67" s="85">
        <f t="shared" si="107"/>
        <v>138.56147000000004</v>
      </c>
      <c r="S67" s="85">
        <f t="shared" si="107"/>
        <v>138.56196000000006</v>
      </c>
      <c r="T67" s="85">
        <f t="shared" si="107"/>
        <v>138.56245000000007</v>
      </c>
      <c r="U67" s="85">
        <f t="shared" si="107"/>
        <v>138.56294000000008</v>
      </c>
      <c r="V67" s="85">
        <f t="shared" si="107"/>
        <v>138.5634300000001</v>
      </c>
      <c r="W67" s="85">
        <f t="shared" si="107"/>
        <v>138.56392000000011</v>
      </c>
      <c r="X67" s="85">
        <f t="shared" si="107"/>
        <v>138.56441000000012</v>
      </c>
      <c r="Y67" s="85">
        <f t="shared" si="107"/>
        <v>138.56490000000014</v>
      </c>
      <c r="Z67" s="85">
        <f t="shared" si="107"/>
        <v>138.56539000000015</v>
      </c>
      <c r="AA67" s="85">
        <f t="shared" si="107"/>
        <v>138.56588000000016</v>
      </c>
      <c r="AB67" s="85">
        <f t="shared" si="107"/>
        <v>138.56637000000018</v>
      </c>
    </row>
    <row r="68" spans="1:28" x14ac:dyDescent="0.25">
      <c r="A68" s="53" t="s">
        <v>23</v>
      </c>
      <c r="B68" s="54" t="s">
        <v>6</v>
      </c>
      <c r="C68" s="60">
        <v>18.059999999999999</v>
      </c>
      <c r="D68" s="84">
        <f t="shared" si="108"/>
        <v>18.059999999999999</v>
      </c>
      <c r="E68" s="60">
        <v>18.059999999999999</v>
      </c>
      <c r="F68" s="84">
        <f t="shared" si="109"/>
        <v>18.059999999999999</v>
      </c>
      <c r="G68" s="60">
        <v>18.059999999999999</v>
      </c>
      <c r="H68" s="84">
        <f t="shared" si="110"/>
        <v>21.2925</v>
      </c>
      <c r="I68" s="60">
        <v>24.525000000000002</v>
      </c>
      <c r="J68" s="84">
        <f t="shared" si="111"/>
        <v>28.17</v>
      </c>
      <c r="K68" s="60">
        <v>31.814999999999998</v>
      </c>
      <c r="L68" s="60">
        <v>39.65</v>
      </c>
      <c r="M68" s="60">
        <v>39.65</v>
      </c>
      <c r="N68" s="60">
        <v>0.54</v>
      </c>
      <c r="O68" s="60">
        <v>0.54</v>
      </c>
      <c r="P68" s="85">
        <f t="shared" si="112"/>
        <v>0.54049000000000003</v>
      </c>
      <c r="Q68" s="85">
        <f t="shared" si="107"/>
        <v>0.54098000000000002</v>
      </c>
      <c r="R68" s="85">
        <f t="shared" si="107"/>
        <v>0.54147000000000001</v>
      </c>
      <c r="S68" s="85">
        <f t="shared" si="107"/>
        <v>0.54196</v>
      </c>
      <c r="T68" s="85">
        <f t="shared" si="107"/>
        <v>0.54244999999999999</v>
      </c>
      <c r="U68" s="85">
        <f t="shared" si="107"/>
        <v>0.54293999999999998</v>
      </c>
      <c r="V68" s="85">
        <f t="shared" si="107"/>
        <v>0.54342999999999997</v>
      </c>
      <c r="W68" s="85">
        <f t="shared" si="107"/>
        <v>0.54391999999999996</v>
      </c>
      <c r="X68" s="85">
        <f t="shared" si="107"/>
        <v>0.54440999999999995</v>
      </c>
      <c r="Y68" s="85">
        <f t="shared" si="107"/>
        <v>0.54489999999999994</v>
      </c>
      <c r="Z68" s="85">
        <f t="shared" si="107"/>
        <v>0.54538999999999993</v>
      </c>
      <c r="AA68" s="85">
        <f t="shared" si="107"/>
        <v>0.54587999999999992</v>
      </c>
      <c r="AB68" s="85">
        <f t="shared" si="107"/>
        <v>0.54636999999999991</v>
      </c>
    </row>
    <row r="69" spans="1:28" ht="22.5" x14ac:dyDescent="0.25">
      <c r="A69" s="53" t="s">
        <v>24</v>
      </c>
      <c r="B69" s="54" t="s">
        <v>6</v>
      </c>
      <c r="C69" s="60">
        <v>102.55500000000001</v>
      </c>
      <c r="D69" s="84">
        <f t="shared" si="108"/>
        <v>102.55500000000001</v>
      </c>
      <c r="E69" s="60">
        <v>102.55500000000001</v>
      </c>
      <c r="F69" s="84">
        <f t="shared" si="109"/>
        <v>102.55500000000001</v>
      </c>
      <c r="G69" s="60">
        <v>102.55500000000001</v>
      </c>
      <c r="H69" s="84">
        <f t="shared" si="110"/>
        <v>107.23500000000001</v>
      </c>
      <c r="I69" s="60">
        <v>111.91500000000001</v>
      </c>
      <c r="J69" s="84">
        <f t="shared" si="111"/>
        <v>157.9725</v>
      </c>
      <c r="K69" s="60">
        <v>204.03</v>
      </c>
      <c r="L69" s="60">
        <v>300.74</v>
      </c>
      <c r="M69" s="60">
        <v>300.74</v>
      </c>
      <c r="N69" s="60">
        <v>861.98</v>
      </c>
      <c r="O69" s="60">
        <v>861.98</v>
      </c>
      <c r="P69" s="85">
        <f t="shared" si="112"/>
        <v>861.98049000000003</v>
      </c>
      <c r="Q69" s="85">
        <f t="shared" si="107"/>
        <v>861.98098000000005</v>
      </c>
      <c r="R69" s="85">
        <f t="shared" si="107"/>
        <v>861.98147000000006</v>
      </c>
      <c r="S69" s="85">
        <f t="shared" si="107"/>
        <v>861.98196000000007</v>
      </c>
      <c r="T69" s="85">
        <f t="shared" si="107"/>
        <v>861.98245000000009</v>
      </c>
      <c r="U69" s="85">
        <f t="shared" si="107"/>
        <v>861.9829400000001</v>
      </c>
      <c r="V69" s="85">
        <f t="shared" si="107"/>
        <v>861.98343000000011</v>
      </c>
      <c r="W69" s="85">
        <f t="shared" si="107"/>
        <v>861.98392000000013</v>
      </c>
      <c r="X69" s="85">
        <f t="shared" si="107"/>
        <v>861.98441000000014</v>
      </c>
      <c r="Y69" s="85">
        <f t="shared" si="107"/>
        <v>861.98490000000015</v>
      </c>
      <c r="Z69" s="85">
        <f t="shared" si="107"/>
        <v>861.98539000000017</v>
      </c>
      <c r="AA69" s="85">
        <f t="shared" si="107"/>
        <v>861.98588000000018</v>
      </c>
      <c r="AB69" s="85">
        <f t="shared" si="107"/>
        <v>861.98637000000019</v>
      </c>
    </row>
    <row r="70" spans="1:28" x14ac:dyDescent="0.25">
      <c r="A70" s="53" t="s">
        <v>25</v>
      </c>
      <c r="B70" s="54" t="s">
        <v>6</v>
      </c>
      <c r="C70" s="60">
        <v>30.825000000000003</v>
      </c>
      <c r="D70" s="84">
        <f t="shared" si="108"/>
        <v>30.825000000000003</v>
      </c>
      <c r="E70" s="60">
        <v>30.825000000000003</v>
      </c>
      <c r="F70" s="84">
        <f t="shared" si="109"/>
        <v>30.825000000000003</v>
      </c>
      <c r="G70" s="60">
        <v>30.825000000000003</v>
      </c>
      <c r="H70" s="84">
        <f t="shared" si="110"/>
        <v>22.770000000000003</v>
      </c>
      <c r="I70" s="60">
        <v>14.715</v>
      </c>
      <c r="J70" s="84">
        <f t="shared" si="111"/>
        <v>18.09</v>
      </c>
      <c r="K70" s="60">
        <v>21.465</v>
      </c>
      <c r="L70" s="60">
        <v>33.979999999999997</v>
      </c>
      <c r="M70" s="60">
        <v>33.979999999999997</v>
      </c>
      <c r="N70" s="60">
        <v>201.56</v>
      </c>
      <c r="O70" s="60">
        <v>201.56</v>
      </c>
      <c r="P70" s="85">
        <f t="shared" si="112"/>
        <v>201.56049000000002</v>
      </c>
      <c r="Q70" s="85">
        <f t="shared" si="107"/>
        <v>201.56098000000003</v>
      </c>
      <c r="R70" s="85">
        <f t="shared" si="107"/>
        <v>201.56147000000004</v>
      </c>
      <c r="S70" s="85">
        <f t="shared" si="107"/>
        <v>201.56196000000006</v>
      </c>
      <c r="T70" s="85">
        <f t="shared" si="107"/>
        <v>201.56245000000007</v>
      </c>
      <c r="U70" s="85">
        <f t="shared" si="107"/>
        <v>201.56294000000008</v>
      </c>
      <c r="V70" s="85">
        <f t="shared" si="107"/>
        <v>201.5634300000001</v>
      </c>
      <c r="W70" s="85">
        <f t="shared" si="107"/>
        <v>201.56392000000011</v>
      </c>
      <c r="X70" s="85">
        <f t="shared" si="107"/>
        <v>201.56441000000012</v>
      </c>
      <c r="Y70" s="85">
        <f t="shared" si="107"/>
        <v>201.56490000000014</v>
      </c>
      <c r="Z70" s="85">
        <f t="shared" si="107"/>
        <v>201.56539000000015</v>
      </c>
      <c r="AA70" s="85">
        <f t="shared" si="107"/>
        <v>201.56588000000016</v>
      </c>
      <c r="AB70" s="85">
        <f t="shared" si="107"/>
        <v>201.56637000000018</v>
      </c>
    </row>
    <row r="71" spans="1:28" x14ac:dyDescent="0.25">
      <c r="A71" s="53" t="s">
        <v>26</v>
      </c>
      <c r="B71" s="54" t="s">
        <v>6</v>
      </c>
      <c r="C71" s="60">
        <v>33.630000000000003</v>
      </c>
      <c r="D71" s="84">
        <f t="shared" si="108"/>
        <v>33.630000000000003</v>
      </c>
      <c r="E71" s="60">
        <v>33.630000000000003</v>
      </c>
      <c r="F71" s="84">
        <f t="shared" si="109"/>
        <v>33.630000000000003</v>
      </c>
      <c r="G71" s="60">
        <v>33.630000000000003</v>
      </c>
      <c r="H71" s="84">
        <f t="shared" si="110"/>
        <v>20.842500000000001</v>
      </c>
      <c r="I71" s="60">
        <v>8.0549999999999997</v>
      </c>
      <c r="J71" s="84">
        <f t="shared" si="111"/>
        <v>11.6775</v>
      </c>
      <c r="K71" s="60">
        <v>15.3</v>
      </c>
      <c r="L71" s="60">
        <v>2210.7199999999998</v>
      </c>
      <c r="M71" s="60">
        <v>2210.7199999999998</v>
      </c>
      <c r="N71" s="60">
        <v>78.709999999999994</v>
      </c>
      <c r="O71" s="60">
        <v>78.709999999999994</v>
      </c>
      <c r="P71" s="85">
        <f t="shared" si="112"/>
        <v>78.710489999999993</v>
      </c>
      <c r="Q71" s="85">
        <f t="shared" si="107"/>
        <v>78.710979999999992</v>
      </c>
      <c r="R71" s="85">
        <f t="shared" si="107"/>
        <v>78.711469999999991</v>
      </c>
      <c r="S71" s="85">
        <f t="shared" si="107"/>
        <v>78.711959999999991</v>
      </c>
      <c r="T71" s="85">
        <f t="shared" si="107"/>
        <v>78.71244999999999</v>
      </c>
      <c r="U71" s="85">
        <f t="shared" si="107"/>
        <v>78.712939999999989</v>
      </c>
      <c r="V71" s="85">
        <f t="shared" si="107"/>
        <v>78.713429999999988</v>
      </c>
      <c r="W71" s="85">
        <f t="shared" si="107"/>
        <v>78.713919999999987</v>
      </c>
      <c r="X71" s="85">
        <f t="shared" si="107"/>
        <v>78.714409999999987</v>
      </c>
      <c r="Y71" s="85">
        <f t="shared" si="107"/>
        <v>78.714899999999986</v>
      </c>
      <c r="Z71" s="85">
        <f t="shared" si="107"/>
        <v>78.715389999999985</v>
      </c>
      <c r="AA71" s="85">
        <f t="shared" si="107"/>
        <v>78.715879999999984</v>
      </c>
      <c r="AB71" s="85">
        <f t="shared" si="107"/>
        <v>78.716369999999984</v>
      </c>
    </row>
    <row r="72" spans="1:28" x14ac:dyDescent="0.25">
      <c r="A72" s="53" t="s">
        <v>27</v>
      </c>
      <c r="B72" s="54" t="s">
        <v>6</v>
      </c>
      <c r="C72" s="60">
        <v>1.83</v>
      </c>
      <c r="D72" s="84">
        <f t="shared" si="108"/>
        <v>1.83</v>
      </c>
      <c r="E72" s="60">
        <v>1.83</v>
      </c>
      <c r="F72" s="84">
        <f t="shared" si="109"/>
        <v>1.83</v>
      </c>
      <c r="G72" s="60">
        <v>1.83</v>
      </c>
      <c r="H72" s="84">
        <f t="shared" si="110"/>
        <v>2.58</v>
      </c>
      <c r="I72" s="60">
        <v>3.33</v>
      </c>
      <c r="J72" s="84">
        <f t="shared" si="111"/>
        <v>4.6575000000000006</v>
      </c>
      <c r="K72" s="60">
        <v>5.9850000000000003</v>
      </c>
      <c r="L72" s="60">
        <v>6.53</v>
      </c>
      <c r="M72" s="60">
        <v>6.53</v>
      </c>
      <c r="N72" s="60">
        <v>13.23</v>
      </c>
      <c r="O72" s="60">
        <v>13.23</v>
      </c>
      <c r="P72" s="85">
        <f t="shared" si="112"/>
        <v>13.23049</v>
      </c>
      <c r="Q72" s="85">
        <f t="shared" si="107"/>
        <v>13.230979999999999</v>
      </c>
      <c r="R72" s="85">
        <f t="shared" si="107"/>
        <v>13.231469999999998</v>
      </c>
      <c r="S72" s="85">
        <f t="shared" si="107"/>
        <v>13.231959999999997</v>
      </c>
      <c r="T72" s="85">
        <f t="shared" si="107"/>
        <v>13.232449999999996</v>
      </c>
      <c r="U72" s="85">
        <f t="shared" si="107"/>
        <v>13.232939999999996</v>
      </c>
      <c r="V72" s="85">
        <f t="shared" si="107"/>
        <v>13.233429999999995</v>
      </c>
      <c r="W72" s="85">
        <f t="shared" si="107"/>
        <v>13.233919999999994</v>
      </c>
      <c r="X72" s="85">
        <f t="shared" si="107"/>
        <v>13.234409999999993</v>
      </c>
      <c r="Y72" s="85">
        <f t="shared" si="107"/>
        <v>13.234899999999993</v>
      </c>
      <c r="Z72" s="85">
        <f t="shared" si="107"/>
        <v>13.235389999999992</v>
      </c>
      <c r="AA72" s="85">
        <f t="shared" si="107"/>
        <v>13.235879999999991</v>
      </c>
      <c r="AB72" s="85">
        <f t="shared" si="107"/>
        <v>13.23636999999999</v>
      </c>
    </row>
    <row r="73" spans="1:28" x14ac:dyDescent="0.25">
      <c r="A73" s="53" t="s">
        <v>28</v>
      </c>
      <c r="B73" s="54" t="s">
        <v>6</v>
      </c>
      <c r="C73" s="60">
        <v>20.58</v>
      </c>
      <c r="D73" s="84">
        <f t="shared" si="108"/>
        <v>20.58</v>
      </c>
      <c r="E73" s="60">
        <v>20.58</v>
      </c>
      <c r="F73" s="84">
        <f t="shared" si="109"/>
        <v>20.58</v>
      </c>
      <c r="G73" s="60">
        <v>20.58</v>
      </c>
      <c r="H73" s="84">
        <f t="shared" si="110"/>
        <v>44.92</v>
      </c>
      <c r="I73" s="60">
        <v>69.260000000000005</v>
      </c>
      <c r="J73" s="84">
        <f t="shared" si="111"/>
        <v>122.875</v>
      </c>
      <c r="K73" s="60">
        <v>176.49</v>
      </c>
      <c r="L73" s="60">
        <v>53.46</v>
      </c>
      <c r="M73" s="60">
        <v>53.46</v>
      </c>
      <c r="N73" s="60">
        <v>10.98</v>
      </c>
      <c r="O73" s="60">
        <v>10.98</v>
      </c>
      <c r="P73" s="85">
        <f t="shared" si="112"/>
        <v>10.98049</v>
      </c>
      <c r="Q73" s="85">
        <f t="shared" si="107"/>
        <v>10.980979999999999</v>
      </c>
      <c r="R73" s="85">
        <f t="shared" si="107"/>
        <v>10.981469999999998</v>
      </c>
      <c r="S73" s="85">
        <f t="shared" si="107"/>
        <v>10.981959999999997</v>
      </c>
      <c r="T73" s="85">
        <f t="shared" si="107"/>
        <v>10.982449999999996</v>
      </c>
      <c r="U73" s="85">
        <f t="shared" si="107"/>
        <v>10.982939999999996</v>
      </c>
      <c r="V73" s="85">
        <f t="shared" si="107"/>
        <v>10.983429999999995</v>
      </c>
      <c r="W73" s="85">
        <f t="shared" si="107"/>
        <v>10.983919999999994</v>
      </c>
      <c r="X73" s="85">
        <f t="shared" si="107"/>
        <v>10.984409999999993</v>
      </c>
      <c r="Y73" s="85">
        <f t="shared" si="107"/>
        <v>10.984899999999993</v>
      </c>
      <c r="Z73" s="85">
        <f t="shared" si="107"/>
        <v>10.985389999999992</v>
      </c>
      <c r="AA73" s="85">
        <f t="shared" si="107"/>
        <v>10.985879999999991</v>
      </c>
      <c r="AB73" s="85">
        <f t="shared" si="107"/>
        <v>10.98636999999999</v>
      </c>
    </row>
    <row r="74" spans="1:28" x14ac:dyDescent="0.25">
      <c r="A74" s="56" t="s">
        <v>19</v>
      </c>
      <c r="B74" s="54" t="s">
        <v>6</v>
      </c>
      <c r="C74" s="60">
        <v>9692.42</v>
      </c>
      <c r="D74" s="84">
        <f t="shared" si="108"/>
        <v>9692.42</v>
      </c>
      <c r="E74" s="60">
        <v>9692.42</v>
      </c>
      <c r="F74" s="84">
        <f t="shared" si="109"/>
        <v>9692.42</v>
      </c>
      <c r="G74" s="60">
        <v>9692.42</v>
      </c>
      <c r="H74" s="84">
        <f t="shared" si="110"/>
        <v>6006.2650000000003</v>
      </c>
      <c r="I74" s="60">
        <v>2320.11</v>
      </c>
      <c r="J74" s="84">
        <f t="shared" si="111"/>
        <v>8269.5550000000003</v>
      </c>
      <c r="K74" s="60">
        <v>14219</v>
      </c>
      <c r="L74" s="60">
        <v>3174.03</v>
      </c>
      <c r="M74" s="60">
        <v>3174.03</v>
      </c>
      <c r="N74" s="60">
        <v>11997.5</v>
      </c>
      <c r="O74" s="60">
        <v>11997.5</v>
      </c>
      <c r="P74" s="85">
        <f t="shared" si="112"/>
        <v>11997.50049</v>
      </c>
      <c r="Q74" s="85">
        <f t="shared" si="107"/>
        <v>11997.500980000001</v>
      </c>
      <c r="R74" s="85">
        <f t="shared" si="107"/>
        <v>11997.501470000001</v>
      </c>
      <c r="S74" s="85">
        <f t="shared" si="107"/>
        <v>11997.501960000001</v>
      </c>
      <c r="T74" s="85">
        <f t="shared" si="107"/>
        <v>11997.502450000002</v>
      </c>
      <c r="U74" s="85">
        <f t="shared" si="107"/>
        <v>11997.502940000002</v>
      </c>
      <c r="V74" s="85">
        <f t="shared" si="107"/>
        <v>11997.503430000002</v>
      </c>
      <c r="W74" s="85">
        <f t="shared" si="107"/>
        <v>11997.503920000003</v>
      </c>
      <c r="X74" s="85">
        <f t="shared" si="107"/>
        <v>11997.504410000003</v>
      </c>
      <c r="Y74" s="85">
        <f t="shared" si="107"/>
        <v>11997.504900000004</v>
      </c>
      <c r="Z74" s="85">
        <f t="shared" si="107"/>
        <v>11997.505390000004</v>
      </c>
      <c r="AA74" s="85">
        <f t="shared" si="107"/>
        <v>11997.505880000004</v>
      </c>
      <c r="AB74" s="85">
        <f t="shared" si="107"/>
        <v>11997.506370000005</v>
      </c>
    </row>
    <row r="75" spans="1:28" x14ac:dyDescent="0.25">
      <c r="A75" s="56" t="s">
        <v>4</v>
      </c>
      <c r="B75" s="54" t="s">
        <v>6</v>
      </c>
      <c r="C75" s="60">
        <v>614.61</v>
      </c>
      <c r="D75" s="84">
        <f t="shared" si="108"/>
        <v>614.61</v>
      </c>
      <c r="E75" s="60">
        <v>614.61</v>
      </c>
      <c r="F75" s="84">
        <f t="shared" si="109"/>
        <v>614.61</v>
      </c>
      <c r="G75" s="60">
        <v>614.61</v>
      </c>
      <c r="H75" s="84">
        <f t="shared" si="110"/>
        <v>481.88499999999999</v>
      </c>
      <c r="I75" s="60">
        <v>349.16</v>
      </c>
      <c r="J75" s="84">
        <f t="shared" si="111"/>
        <v>314.82500000000005</v>
      </c>
      <c r="K75" s="60">
        <v>280.49</v>
      </c>
      <c r="L75" s="60">
        <v>230.99</v>
      </c>
      <c r="M75" s="60">
        <v>230.99</v>
      </c>
      <c r="N75" s="60">
        <v>1935.81</v>
      </c>
      <c r="O75" s="60">
        <v>1935.81</v>
      </c>
      <c r="P75" s="85">
        <f t="shared" si="112"/>
        <v>1935.8104899999998</v>
      </c>
      <c r="Q75" s="85">
        <f t="shared" si="107"/>
        <v>1935.8109799999997</v>
      </c>
      <c r="R75" s="85">
        <f t="shared" si="107"/>
        <v>1935.8114699999996</v>
      </c>
      <c r="S75" s="85">
        <f t="shared" si="107"/>
        <v>1935.8119599999995</v>
      </c>
      <c r="T75" s="85">
        <f t="shared" si="107"/>
        <v>1935.8124499999994</v>
      </c>
      <c r="U75" s="85">
        <f t="shared" si="107"/>
        <v>1935.8129399999993</v>
      </c>
      <c r="V75" s="85">
        <f t="shared" si="107"/>
        <v>1935.8134299999992</v>
      </c>
      <c r="W75" s="85">
        <f t="shared" si="107"/>
        <v>1935.8139199999991</v>
      </c>
      <c r="X75" s="85">
        <f t="shared" si="107"/>
        <v>1935.814409999999</v>
      </c>
      <c r="Y75" s="85">
        <f t="shared" si="107"/>
        <v>1935.8148999999989</v>
      </c>
      <c r="Z75" s="85">
        <f t="shared" si="107"/>
        <v>1935.8153899999988</v>
      </c>
      <c r="AA75" s="85">
        <f t="shared" si="107"/>
        <v>1935.8158799999987</v>
      </c>
      <c r="AB75" s="85">
        <f t="shared" si="107"/>
        <v>1935.8163699999986</v>
      </c>
    </row>
    <row r="76" spans="1:28" x14ac:dyDescent="0.25">
      <c r="A76" s="56" t="s">
        <v>5</v>
      </c>
      <c r="B76" s="54" t="s">
        <v>6</v>
      </c>
      <c r="C76" s="60">
        <v>275.76</v>
      </c>
      <c r="D76" s="84">
        <f t="shared" si="108"/>
        <v>275.76</v>
      </c>
      <c r="E76" s="60">
        <v>275.76</v>
      </c>
      <c r="F76" s="84">
        <f t="shared" si="109"/>
        <v>275.76</v>
      </c>
      <c r="G76" s="60">
        <v>275.76</v>
      </c>
      <c r="H76" s="84">
        <f t="shared" si="110"/>
        <v>261.45</v>
      </c>
      <c r="I76" s="60">
        <v>247.14</v>
      </c>
      <c r="J76" s="84">
        <f t="shared" si="111"/>
        <v>345.35500000000002</v>
      </c>
      <c r="K76" s="60">
        <v>443.57</v>
      </c>
      <c r="L76" s="60">
        <v>95151.11</v>
      </c>
      <c r="M76" s="60">
        <v>95151.11</v>
      </c>
      <c r="N76" s="60">
        <v>494.06</v>
      </c>
      <c r="O76" s="60">
        <v>494.06</v>
      </c>
      <c r="P76" s="85">
        <f t="shared" si="112"/>
        <v>494.06049000000002</v>
      </c>
      <c r="Q76" s="85">
        <f t="shared" si="107"/>
        <v>494.06098000000003</v>
      </c>
      <c r="R76" s="85">
        <f t="shared" si="107"/>
        <v>494.06147000000004</v>
      </c>
      <c r="S76" s="85">
        <f t="shared" si="107"/>
        <v>494.06196000000006</v>
      </c>
      <c r="T76" s="85">
        <f t="shared" si="107"/>
        <v>494.06245000000007</v>
      </c>
      <c r="U76" s="85">
        <f t="shared" si="107"/>
        <v>494.06294000000008</v>
      </c>
      <c r="V76" s="85">
        <f t="shared" si="107"/>
        <v>494.0634300000001</v>
      </c>
      <c r="W76" s="85">
        <f t="shared" si="107"/>
        <v>494.06392000000011</v>
      </c>
      <c r="X76" s="85">
        <f t="shared" si="107"/>
        <v>494.06441000000012</v>
      </c>
      <c r="Y76" s="85">
        <f t="shared" si="107"/>
        <v>494.06490000000014</v>
      </c>
      <c r="Z76" s="85">
        <f t="shared" si="107"/>
        <v>494.06539000000015</v>
      </c>
      <c r="AA76" s="85">
        <f t="shared" si="107"/>
        <v>494.06588000000016</v>
      </c>
      <c r="AB76" s="85">
        <f t="shared" si="107"/>
        <v>494.06637000000018</v>
      </c>
    </row>
    <row r="77" spans="1:28" x14ac:dyDescent="0.25">
      <c r="A77" s="56" t="s">
        <v>29</v>
      </c>
      <c r="B77" s="54" t="s">
        <v>6</v>
      </c>
      <c r="C77" s="60">
        <v>223.995</v>
      </c>
      <c r="D77" s="84">
        <f t="shared" si="108"/>
        <v>223.995</v>
      </c>
      <c r="E77" s="60">
        <v>223.995</v>
      </c>
      <c r="F77" s="84">
        <f t="shared" si="109"/>
        <v>223.995</v>
      </c>
      <c r="G77" s="60">
        <v>223.995</v>
      </c>
      <c r="H77" s="84">
        <f t="shared" si="110"/>
        <v>174.42750000000001</v>
      </c>
      <c r="I77" s="60">
        <v>124.86</v>
      </c>
      <c r="J77" s="84">
        <f t="shared" si="111"/>
        <v>436.92</v>
      </c>
      <c r="K77" s="60">
        <v>748.98</v>
      </c>
      <c r="L77" s="60">
        <v>871.12</v>
      </c>
      <c r="M77" s="60">
        <v>871.12</v>
      </c>
      <c r="N77" s="60">
        <v>2832.75</v>
      </c>
      <c r="O77" s="60">
        <v>2832.75</v>
      </c>
      <c r="P77" s="85">
        <f>+O77+(0.049/100)</f>
        <v>2832.7504899999999</v>
      </c>
      <c r="Q77" s="85">
        <f t="shared" ref="Q77:AB77" si="113">+P77+(0.049/100)</f>
        <v>2832.7509799999998</v>
      </c>
      <c r="R77" s="85">
        <f t="shared" si="113"/>
        <v>2832.7514699999997</v>
      </c>
      <c r="S77" s="85">
        <f t="shared" si="113"/>
        <v>2832.7519599999996</v>
      </c>
      <c r="T77" s="85">
        <f t="shared" si="113"/>
        <v>2832.7524499999995</v>
      </c>
      <c r="U77" s="85">
        <f t="shared" si="113"/>
        <v>2832.7529399999994</v>
      </c>
      <c r="V77" s="85">
        <f t="shared" si="113"/>
        <v>2832.7534299999993</v>
      </c>
      <c r="W77" s="85">
        <f t="shared" si="113"/>
        <v>2832.7539199999992</v>
      </c>
      <c r="X77" s="85">
        <f t="shared" si="113"/>
        <v>2832.7544099999991</v>
      </c>
      <c r="Y77" s="85">
        <f t="shared" si="113"/>
        <v>2832.754899999999</v>
      </c>
      <c r="Z77" s="85">
        <f t="shared" si="113"/>
        <v>2832.7553899999989</v>
      </c>
      <c r="AA77" s="85">
        <f t="shared" si="113"/>
        <v>2832.7558799999988</v>
      </c>
      <c r="AB77" s="85">
        <f t="shared" si="113"/>
        <v>2832.7563699999987</v>
      </c>
    </row>
    <row r="79" spans="1:28" x14ac:dyDescent="0.25">
      <c r="A79" s="86" t="s">
        <v>18</v>
      </c>
      <c r="B79" s="87" t="s">
        <v>29</v>
      </c>
      <c r="C79" s="60">
        <v>0.42</v>
      </c>
      <c r="D79" s="90">
        <f t="shared" ref="D79:D92" si="114">+(C79+E79)/2</f>
        <v>0.42</v>
      </c>
      <c r="E79" s="89">
        <v>0.42</v>
      </c>
      <c r="F79" s="90">
        <f t="shared" ref="F79:F92" si="115">+(E79+G79)/2</f>
        <v>0.42</v>
      </c>
      <c r="G79" s="60">
        <v>0.42</v>
      </c>
      <c r="H79" s="90">
        <f t="shared" ref="H79:H92" si="116">+(G79+I79)/2</f>
        <v>18.772500000000001</v>
      </c>
      <c r="I79" s="60">
        <v>37.125</v>
      </c>
      <c r="J79" s="90">
        <f t="shared" ref="J79:J92" si="117">+(I79+K79)/2</f>
        <v>28.372500000000002</v>
      </c>
      <c r="K79" s="60">
        <v>19.62</v>
      </c>
      <c r="L79" s="60">
        <v>8.3699999999999992</v>
      </c>
      <c r="M79" s="60">
        <v>8.3699999999999992</v>
      </c>
      <c r="N79" s="60">
        <v>0.72</v>
      </c>
      <c r="O79" s="60">
        <v>0.72</v>
      </c>
      <c r="P79" s="91">
        <f t="shared" ref="P79:AB79" si="118">+O79+(0.049/100)</f>
        <v>0.72048999999999996</v>
      </c>
      <c r="Q79" s="91">
        <f t="shared" si="118"/>
        <v>0.72097999999999995</v>
      </c>
      <c r="R79" s="91">
        <f t="shared" si="118"/>
        <v>0.72146999999999994</v>
      </c>
      <c r="S79" s="91">
        <f t="shared" si="118"/>
        <v>0.72195999999999994</v>
      </c>
      <c r="T79" s="91">
        <f t="shared" si="118"/>
        <v>0.72244999999999993</v>
      </c>
      <c r="U79" s="91">
        <f t="shared" si="118"/>
        <v>0.72293999999999992</v>
      </c>
      <c r="V79" s="91">
        <f t="shared" si="118"/>
        <v>0.72342999999999991</v>
      </c>
      <c r="W79" s="91">
        <f t="shared" si="118"/>
        <v>0.7239199999999999</v>
      </c>
      <c r="X79" s="91">
        <f t="shared" si="118"/>
        <v>0.72440999999999989</v>
      </c>
      <c r="Y79" s="91">
        <f t="shared" si="118"/>
        <v>0.72489999999999988</v>
      </c>
      <c r="Z79" s="91">
        <f t="shared" si="118"/>
        <v>0.72538999999999987</v>
      </c>
      <c r="AA79" s="91">
        <f t="shared" si="118"/>
        <v>0.72587999999999986</v>
      </c>
      <c r="AB79" s="91">
        <f t="shared" si="118"/>
        <v>0.72636999999999985</v>
      </c>
    </row>
    <row r="80" spans="1:28" x14ac:dyDescent="0.25">
      <c r="A80" s="86" t="s">
        <v>20</v>
      </c>
      <c r="B80" s="87" t="s">
        <v>29</v>
      </c>
      <c r="C80" s="60">
        <v>497.68499999999995</v>
      </c>
      <c r="D80" s="90">
        <f t="shared" si="114"/>
        <v>497.68499999999995</v>
      </c>
      <c r="E80" s="89">
        <v>497.68499999999995</v>
      </c>
      <c r="F80" s="90">
        <f t="shared" si="115"/>
        <v>497.68499999999995</v>
      </c>
      <c r="G80" s="60">
        <v>497.68499999999995</v>
      </c>
      <c r="H80" s="90">
        <f t="shared" si="116"/>
        <v>486.75749999999994</v>
      </c>
      <c r="I80" s="60">
        <v>475.83</v>
      </c>
      <c r="J80" s="90">
        <f t="shared" si="117"/>
        <v>299.45249999999999</v>
      </c>
      <c r="K80" s="60">
        <v>123.075</v>
      </c>
      <c r="L80" s="60">
        <v>87.35</v>
      </c>
      <c r="M80" s="60">
        <v>87.35</v>
      </c>
      <c r="N80" s="60">
        <v>13.32</v>
      </c>
      <c r="O80" s="60">
        <v>13.32</v>
      </c>
      <c r="P80" s="91">
        <f t="shared" ref="P80:AB80" si="119">+O80+(0.049/100)</f>
        <v>13.320489999999999</v>
      </c>
      <c r="Q80" s="91">
        <f t="shared" si="119"/>
        <v>13.320979999999999</v>
      </c>
      <c r="R80" s="91">
        <f t="shared" si="119"/>
        <v>13.321469999999998</v>
      </c>
      <c r="S80" s="91">
        <f t="shared" si="119"/>
        <v>13.321959999999997</v>
      </c>
      <c r="T80" s="91">
        <f t="shared" si="119"/>
        <v>13.322449999999996</v>
      </c>
      <c r="U80" s="91">
        <f t="shared" si="119"/>
        <v>13.322939999999996</v>
      </c>
      <c r="V80" s="91">
        <f t="shared" si="119"/>
        <v>13.323429999999995</v>
      </c>
      <c r="W80" s="91">
        <f t="shared" si="119"/>
        <v>13.323919999999994</v>
      </c>
      <c r="X80" s="91">
        <f t="shared" si="119"/>
        <v>13.324409999999993</v>
      </c>
      <c r="Y80" s="91">
        <f t="shared" si="119"/>
        <v>13.324899999999992</v>
      </c>
      <c r="Z80" s="91">
        <f t="shared" si="119"/>
        <v>13.325389999999992</v>
      </c>
      <c r="AA80" s="91">
        <f t="shared" si="119"/>
        <v>13.325879999999991</v>
      </c>
      <c r="AB80" s="91">
        <f t="shared" si="119"/>
        <v>13.32636999999999</v>
      </c>
    </row>
    <row r="81" spans="1:28" x14ac:dyDescent="0.25">
      <c r="A81" s="86" t="s">
        <v>21</v>
      </c>
      <c r="B81" s="87" t="s">
        <v>29</v>
      </c>
      <c r="C81" s="60">
        <v>52.04999999999999</v>
      </c>
      <c r="D81" s="90">
        <f t="shared" si="114"/>
        <v>52.04999999999999</v>
      </c>
      <c r="E81" s="89">
        <v>52.04999999999999</v>
      </c>
      <c r="F81" s="90">
        <f t="shared" si="115"/>
        <v>52.04999999999999</v>
      </c>
      <c r="G81" s="60">
        <v>52.04999999999999</v>
      </c>
      <c r="H81" s="90">
        <f t="shared" si="116"/>
        <v>244.83750000000001</v>
      </c>
      <c r="I81" s="60">
        <v>437.625</v>
      </c>
      <c r="J81" s="90">
        <f t="shared" si="117"/>
        <v>332.03250000000003</v>
      </c>
      <c r="K81" s="60">
        <v>226.44</v>
      </c>
      <c r="L81" s="60">
        <v>220.41</v>
      </c>
      <c r="M81" s="60">
        <v>220.41</v>
      </c>
      <c r="N81" s="60">
        <v>38.299999999999997</v>
      </c>
      <c r="O81" s="60">
        <v>38.299999999999997</v>
      </c>
      <c r="P81" s="91">
        <f t="shared" ref="P81:AB81" si="120">+O81+(0.049/100)</f>
        <v>38.300489999999996</v>
      </c>
      <c r="Q81" s="91">
        <f t="shared" si="120"/>
        <v>38.300979999999996</v>
      </c>
      <c r="R81" s="91">
        <f t="shared" si="120"/>
        <v>38.301469999999995</v>
      </c>
      <c r="S81" s="91">
        <f t="shared" si="120"/>
        <v>38.301959999999994</v>
      </c>
      <c r="T81" s="91">
        <f t="shared" si="120"/>
        <v>38.302449999999993</v>
      </c>
      <c r="U81" s="91">
        <f t="shared" si="120"/>
        <v>38.302939999999992</v>
      </c>
      <c r="V81" s="91">
        <f t="shared" si="120"/>
        <v>38.303429999999992</v>
      </c>
      <c r="W81" s="91">
        <f t="shared" si="120"/>
        <v>38.303919999999991</v>
      </c>
      <c r="X81" s="91">
        <f t="shared" si="120"/>
        <v>38.30440999999999</v>
      </c>
      <c r="Y81" s="91">
        <f t="shared" si="120"/>
        <v>38.304899999999989</v>
      </c>
      <c r="Z81" s="91">
        <f t="shared" si="120"/>
        <v>38.305389999999989</v>
      </c>
      <c r="AA81" s="91">
        <f t="shared" si="120"/>
        <v>38.305879999999988</v>
      </c>
      <c r="AB81" s="91">
        <f t="shared" si="120"/>
        <v>38.306369999999987</v>
      </c>
    </row>
    <row r="82" spans="1:28" x14ac:dyDescent="0.25">
      <c r="A82" s="86" t="s">
        <v>22</v>
      </c>
      <c r="B82" s="87" t="s">
        <v>29</v>
      </c>
      <c r="C82" s="60">
        <v>22.185000000000002</v>
      </c>
      <c r="D82" s="90">
        <f t="shared" si="114"/>
        <v>22.185000000000002</v>
      </c>
      <c r="E82" s="89">
        <v>22.185000000000002</v>
      </c>
      <c r="F82" s="90">
        <f t="shared" si="115"/>
        <v>22.185000000000002</v>
      </c>
      <c r="G82" s="60">
        <v>22.185000000000002</v>
      </c>
      <c r="H82" s="90">
        <f t="shared" si="116"/>
        <v>63.247500000000002</v>
      </c>
      <c r="I82" s="60">
        <v>104.31</v>
      </c>
      <c r="J82" s="90">
        <f t="shared" si="117"/>
        <v>125.86499999999999</v>
      </c>
      <c r="K82" s="60">
        <v>147.41999999999999</v>
      </c>
      <c r="L82" s="60">
        <v>49.95</v>
      </c>
      <c r="M82" s="60">
        <v>49.95</v>
      </c>
      <c r="N82" s="60">
        <v>62.06</v>
      </c>
      <c r="O82" s="60">
        <v>62.06</v>
      </c>
      <c r="P82" s="91">
        <f t="shared" ref="P82:AB82" si="121">+O82+(0.049/100)</f>
        <v>62.060490000000001</v>
      </c>
      <c r="Q82" s="91">
        <f t="shared" si="121"/>
        <v>62.060980000000001</v>
      </c>
      <c r="R82" s="91">
        <f t="shared" si="121"/>
        <v>62.06147</v>
      </c>
      <c r="S82" s="91">
        <f t="shared" si="121"/>
        <v>62.061959999999999</v>
      </c>
      <c r="T82" s="91">
        <f t="shared" si="121"/>
        <v>62.062449999999998</v>
      </c>
      <c r="U82" s="91">
        <f t="shared" si="121"/>
        <v>62.062939999999998</v>
      </c>
      <c r="V82" s="91">
        <f t="shared" si="121"/>
        <v>62.063429999999997</v>
      </c>
      <c r="W82" s="91">
        <f t="shared" si="121"/>
        <v>62.063919999999996</v>
      </c>
      <c r="X82" s="91">
        <f t="shared" si="121"/>
        <v>62.064409999999995</v>
      </c>
      <c r="Y82" s="91">
        <f t="shared" si="121"/>
        <v>62.064899999999994</v>
      </c>
      <c r="Z82" s="91">
        <f t="shared" si="121"/>
        <v>62.065389999999994</v>
      </c>
      <c r="AA82" s="91">
        <f t="shared" si="121"/>
        <v>62.065879999999993</v>
      </c>
      <c r="AB82" s="91">
        <f t="shared" si="121"/>
        <v>62.066369999999992</v>
      </c>
    </row>
    <row r="83" spans="1:28" x14ac:dyDescent="0.25">
      <c r="A83" s="86" t="s">
        <v>23</v>
      </c>
      <c r="B83" s="87" t="s">
        <v>29</v>
      </c>
      <c r="C83" s="60">
        <v>76.410000000000011</v>
      </c>
      <c r="D83" s="90">
        <f t="shared" si="114"/>
        <v>76.410000000000011</v>
      </c>
      <c r="E83" s="89">
        <v>76.410000000000011</v>
      </c>
      <c r="F83" s="90">
        <f t="shared" si="115"/>
        <v>76.410000000000011</v>
      </c>
      <c r="G83" s="60">
        <v>76.410000000000011</v>
      </c>
      <c r="H83" s="90">
        <f t="shared" si="116"/>
        <v>147.91500000000002</v>
      </c>
      <c r="I83" s="60">
        <v>219.42000000000002</v>
      </c>
      <c r="J83" s="90">
        <f t="shared" si="117"/>
        <v>177.32249999999999</v>
      </c>
      <c r="K83" s="60">
        <v>135.22499999999999</v>
      </c>
      <c r="L83" s="60">
        <v>102.15</v>
      </c>
      <c r="M83" s="60">
        <v>102.15</v>
      </c>
      <c r="N83" s="60">
        <v>7.34</v>
      </c>
      <c r="O83" s="60">
        <v>7.34</v>
      </c>
      <c r="P83" s="91">
        <f t="shared" ref="P83:AB83" si="122">+O83+(0.049/100)</f>
        <v>7.34049</v>
      </c>
      <c r="Q83" s="91">
        <f t="shared" si="122"/>
        <v>7.3409800000000001</v>
      </c>
      <c r="R83" s="91">
        <f t="shared" si="122"/>
        <v>7.3414700000000002</v>
      </c>
      <c r="S83" s="91">
        <f t="shared" si="122"/>
        <v>7.3419600000000003</v>
      </c>
      <c r="T83" s="91">
        <f t="shared" si="122"/>
        <v>7.3424500000000004</v>
      </c>
      <c r="U83" s="91">
        <f t="shared" si="122"/>
        <v>7.3429400000000005</v>
      </c>
      <c r="V83" s="91">
        <f t="shared" si="122"/>
        <v>7.3434300000000006</v>
      </c>
      <c r="W83" s="91">
        <f t="shared" si="122"/>
        <v>7.3439200000000007</v>
      </c>
      <c r="X83" s="91">
        <f t="shared" si="122"/>
        <v>7.3444100000000008</v>
      </c>
      <c r="Y83" s="91">
        <f t="shared" si="122"/>
        <v>7.3449000000000009</v>
      </c>
      <c r="Z83" s="91">
        <f t="shared" si="122"/>
        <v>7.345390000000001</v>
      </c>
      <c r="AA83" s="91">
        <f t="shared" si="122"/>
        <v>7.3458800000000011</v>
      </c>
      <c r="AB83" s="91">
        <f t="shared" si="122"/>
        <v>7.3463700000000012</v>
      </c>
    </row>
    <row r="84" spans="1:28" ht="22.5" x14ac:dyDescent="0.25">
      <c r="A84" s="86" t="s">
        <v>24</v>
      </c>
      <c r="B84" s="87" t="s">
        <v>29</v>
      </c>
      <c r="C84" s="60">
        <v>64.304999999999993</v>
      </c>
      <c r="D84" s="90">
        <f t="shared" si="114"/>
        <v>64.304999999999993</v>
      </c>
      <c r="E84" s="89">
        <v>64.304999999999993</v>
      </c>
      <c r="F84" s="90">
        <f t="shared" si="115"/>
        <v>64.304999999999993</v>
      </c>
      <c r="G84" s="60">
        <v>64.304999999999993</v>
      </c>
      <c r="H84" s="90">
        <f t="shared" si="116"/>
        <v>285.27749999999997</v>
      </c>
      <c r="I84" s="60">
        <v>506.25</v>
      </c>
      <c r="J84" s="90">
        <f t="shared" si="117"/>
        <v>589.18499999999995</v>
      </c>
      <c r="K84" s="60">
        <v>672.11999999999989</v>
      </c>
      <c r="L84" s="60">
        <v>582.98</v>
      </c>
      <c r="M84" s="60">
        <v>582.98</v>
      </c>
      <c r="N84" s="60">
        <v>170.37</v>
      </c>
      <c r="O84" s="60">
        <v>170.37</v>
      </c>
      <c r="P84" s="91">
        <f t="shared" ref="P84:AB84" si="123">+O84+(0.049/100)</f>
        <v>170.37049000000002</v>
      </c>
      <c r="Q84" s="91">
        <f t="shared" si="123"/>
        <v>170.37098000000003</v>
      </c>
      <c r="R84" s="91">
        <f t="shared" si="123"/>
        <v>170.37147000000004</v>
      </c>
      <c r="S84" s="91">
        <f t="shared" si="123"/>
        <v>170.37196000000006</v>
      </c>
      <c r="T84" s="91">
        <f t="shared" si="123"/>
        <v>170.37245000000007</v>
      </c>
      <c r="U84" s="91">
        <f t="shared" si="123"/>
        <v>170.37294000000009</v>
      </c>
      <c r="V84" s="91">
        <f t="shared" si="123"/>
        <v>170.3734300000001</v>
      </c>
      <c r="W84" s="91">
        <f t="shared" si="123"/>
        <v>170.37392000000011</v>
      </c>
      <c r="X84" s="91">
        <f t="shared" si="123"/>
        <v>170.37441000000013</v>
      </c>
      <c r="Y84" s="91">
        <f t="shared" si="123"/>
        <v>170.37490000000014</v>
      </c>
      <c r="Z84" s="91">
        <f t="shared" si="123"/>
        <v>170.37539000000015</v>
      </c>
      <c r="AA84" s="91">
        <f t="shared" si="123"/>
        <v>170.37588000000017</v>
      </c>
      <c r="AB84" s="91">
        <f t="shared" si="123"/>
        <v>170.37637000000018</v>
      </c>
    </row>
    <row r="85" spans="1:28" x14ac:dyDescent="0.25">
      <c r="A85" s="86" t="s">
        <v>25</v>
      </c>
      <c r="B85" s="87" t="s">
        <v>29</v>
      </c>
      <c r="C85" s="60">
        <v>17.655000000000001</v>
      </c>
      <c r="D85" s="90">
        <f t="shared" si="114"/>
        <v>17.655000000000001</v>
      </c>
      <c r="E85" s="89">
        <v>17.655000000000001</v>
      </c>
      <c r="F85" s="90">
        <f t="shared" si="115"/>
        <v>17.655000000000001</v>
      </c>
      <c r="G85" s="60">
        <v>17.655000000000001</v>
      </c>
      <c r="H85" s="90">
        <f t="shared" si="116"/>
        <v>32.362499999999997</v>
      </c>
      <c r="I85" s="60">
        <v>47.07</v>
      </c>
      <c r="J85" s="90">
        <f t="shared" si="117"/>
        <v>62.617499999999993</v>
      </c>
      <c r="K85" s="60">
        <v>78.164999999999978</v>
      </c>
      <c r="L85" s="60">
        <v>73.22</v>
      </c>
      <c r="M85" s="60">
        <v>73.22</v>
      </c>
      <c r="N85" s="60">
        <v>3.38</v>
      </c>
      <c r="O85" s="60">
        <v>3.38</v>
      </c>
      <c r="P85" s="91">
        <f t="shared" ref="P85:AB85" si="124">+O85+(0.049/100)</f>
        <v>3.38049</v>
      </c>
      <c r="Q85" s="91">
        <f t="shared" si="124"/>
        <v>3.3809800000000001</v>
      </c>
      <c r="R85" s="91">
        <f t="shared" si="124"/>
        <v>3.3814700000000002</v>
      </c>
      <c r="S85" s="91">
        <f t="shared" si="124"/>
        <v>3.3819600000000003</v>
      </c>
      <c r="T85" s="91">
        <f t="shared" si="124"/>
        <v>3.3824500000000004</v>
      </c>
      <c r="U85" s="91">
        <f t="shared" si="124"/>
        <v>3.3829400000000005</v>
      </c>
      <c r="V85" s="91">
        <f t="shared" si="124"/>
        <v>3.3834300000000006</v>
      </c>
      <c r="W85" s="91">
        <f t="shared" si="124"/>
        <v>3.3839200000000007</v>
      </c>
      <c r="X85" s="91">
        <f t="shared" si="124"/>
        <v>3.3844100000000008</v>
      </c>
      <c r="Y85" s="91">
        <f t="shared" si="124"/>
        <v>3.3849000000000009</v>
      </c>
      <c r="Z85" s="91">
        <f t="shared" si="124"/>
        <v>3.385390000000001</v>
      </c>
      <c r="AA85" s="91">
        <f t="shared" si="124"/>
        <v>3.3858800000000011</v>
      </c>
      <c r="AB85" s="91">
        <f t="shared" si="124"/>
        <v>3.3863700000000012</v>
      </c>
    </row>
    <row r="86" spans="1:28" x14ac:dyDescent="0.25">
      <c r="A86" s="86" t="s">
        <v>26</v>
      </c>
      <c r="B86" s="87" t="s">
        <v>29</v>
      </c>
      <c r="C86" s="60">
        <v>71.250000000000014</v>
      </c>
      <c r="D86" s="90">
        <f t="shared" si="114"/>
        <v>71.250000000000014</v>
      </c>
      <c r="E86" s="89">
        <v>71.250000000000014</v>
      </c>
      <c r="F86" s="90">
        <f t="shared" si="115"/>
        <v>71.250000000000014</v>
      </c>
      <c r="G86" s="60">
        <v>71.250000000000014</v>
      </c>
      <c r="H86" s="90">
        <f t="shared" si="116"/>
        <v>133.34249999999997</v>
      </c>
      <c r="I86" s="60">
        <v>195.43499999999995</v>
      </c>
      <c r="J86" s="90">
        <f t="shared" si="117"/>
        <v>191.65499999999997</v>
      </c>
      <c r="K86" s="60">
        <v>187.87500000000003</v>
      </c>
      <c r="L86" s="60">
        <v>191.3</v>
      </c>
      <c r="M86" s="60">
        <v>191.3</v>
      </c>
      <c r="N86" s="60">
        <v>19.940000000000001</v>
      </c>
      <c r="O86" s="60">
        <v>19.940000000000001</v>
      </c>
      <c r="P86" s="91">
        <f t="shared" ref="P86:AB86" si="125">+O86+(0.049/100)</f>
        <v>19.94049</v>
      </c>
      <c r="Q86" s="91">
        <f t="shared" si="125"/>
        <v>19.94098</v>
      </c>
      <c r="R86" s="91">
        <f t="shared" si="125"/>
        <v>19.941469999999999</v>
      </c>
      <c r="S86" s="91">
        <f t="shared" si="125"/>
        <v>19.941959999999998</v>
      </c>
      <c r="T86" s="91">
        <f t="shared" si="125"/>
        <v>19.942449999999997</v>
      </c>
      <c r="U86" s="91">
        <f t="shared" si="125"/>
        <v>19.942939999999997</v>
      </c>
      <c r="V86" s="91">
        <f t="shared" si="125"/>
        <v>19.943429999999996</v>
      </c>
      <c r="W86" s="91">
        <f t="shared" si="125"/>
        <v>19.943919999999995</v>
      </c>
      <c r="X86" s="91">
        <f t="shared" si="125"/>
        <v>19.944409999999994</v>
      </c>
      <c r="Y86" s="91">
        <f t="shared" si="125"/>
        <v>19.944899999999993</v>
      </c>
      <c r="Z86" s="91">
        <f t="shared" si="125"/>
        <v>19.945389999999993</v>
      </c>
      <c r="AA86" s="91">
        <f t="shared" si="125"/>
        <v>19.945879999999992</v>
      </c>
      <c r="AB86" s="91">
        <f t="shared" si="125"/>
        <v>19.946369999999991</v>
      </c>
    </row>
    <row r="87" spans="1:28" x14ac:dyDescent="0.25">
      <c r="A87" s="86" t="s">
        <v>27</v>
      </c>
      <c r="B87" s="87" t="s">
        <v>29</v>
      </c>
      <c r="C87" s="60">
        <v>1.6050000000000002</v>
      </c>
      <c r="D87" s="90">
        <f t="shared" si="114"/>
        <v>1.6050000000000002</v>
      </c>
      <c r="E87" s="89">
        <v>1.6050000000000002</v>
      </c>
      <c r="F87" s="90">
        <f t="shared" si="115"/>
        <v>1.6050000000000002</v>
      </c>
      <c r="G87" s="60">
        <v>1.6050000000000002</v>
      </c>
      <c r="H87" s="90">
        <f t="shared" si="116"/>
        <v>6.7424999999999997</v>
      </c>
      <c r="I87" s="60">
        <v>11.879999999999999</v>
      </c>
      <c r="J87" s="90">
        <f t="shared" si="117"/>
        <v>9.3149999999999995</v>
      </c>
      <c r="K87" s="60">
        <v>6.75</v>
      </c>
      <c r="L87" s="60">
        <v>8.5500000000000007</v>
      </c>
      <c r="M87" s="60">
        <v>8.5500000000000007</v>
      </c>
      <c r="N87" s="60">
        <v>9.6300000000000008</v>
      </c>
      <c r="O87" s="60">
        <v>9.6300000000000008</v>
      </c>
      <c r="P87" s="91">
        <f t="shared" ref="P87:AB87" si="126">+O87+(0.049/100)</f>
        <v>9.63049</v>
      </c>
      <c r="Q87" s="91">
        <f t="shared" si="126"/>
        <v>9.6309799999999992</v>
      </c>
      <c r="R87" s="91">
        <f t="shared" si="126"/>
        <v>9.6314699999999984</v>
      </c>
      <c r="S87" s="91">
        <f t="shared" si="126"/>
        <v>9.6319599999999976</v>
      </c>
      <c r="T87" s="91">
        <f t="shared" si="126"/>
        <v>9.6324499999999968</v>
      </c>
      <c r="U87" s="91">
        <f t="shared" si="126"/>
        <v>9.6329399999999961</v>
      </c>
      <c r="V87" s="91">
        <f t="shared" si="126"/>
        <v>9.6334299999999953</v>
      </c>
      <c r="W87" s="91">
        <f t="shared" si="126"/>
        <v>9.6339199999999945</v>
      </c>
      <c r="X87" s="91">
        <f t="shared" si="126"/>
        <v>9.6344099999999937</v>
      </c>
      <c r="Y87" s="91">
        <f t="shared" si="126"/>
        <v>9.6348999999999929</v>
      </c>
      <c r="Z87" s="91">
        <f t="shared" si="126"/>
        <v>9.6353899999999921</v>
      </c>
      <c r="AA87" s="91">
        <f t="shared" si="126"/>
        <v>9.6358799999999913</v>
      </c>
      <c r="AB87" s="91">
        <f t="shared" si="126"/>
        <v>9.6363699999999906</v>
      </c>
    </row>
    <row r="88" spans="1:28" x14ac:dyDescent="0.25">
      <c r="A88" s="86" t="s">
        <v>28</v>
      </c>
      <c r="B88" s="87" t="s">
        <v>29</v>
      </c>
      <c r="C88" s="60">
        <v>34.950000000000003</v>
      </c>
      <c r="D88" s="90">
        <f t="shared" si="114"/>
        <v>34.950000000000003</v>
      </c>
      <c r="E88" s="89">
        <v>34.950000000000003</v>
      </c>
      <c r="F88" s="90">
        <f t="shared" si="115"/>
        <v>34.950000000000003</v>
      </c>
      <c r="G88" s="60">
        <v>34.950000000000003</v>
      </c>
      <c r="H88" s="90">
        <f t="shared" si="116"/>
        <v>105.4725</v>
      </c>
      <c r="I88" s="60">
        <v>175.995</v>
      </c>
      <c r="J88" s="90">
        <f t="shared" si="117"/>
        <v>180.22750000000002</v>
      </c>
      <c r="K88" s="60">
        <v>184.46</v>
      </c>
      <c r="L88" s="60">
        <v>7.38</v>
      </c>
      <c r="M88" s="60">
        <v>7.38</v>
      </c>
      <c r="N88" s="60">
        <v>10.35</v>
      </c>
      <c r="O88" s="60">
        <v>10.35</v>
      </c>
      <c r="P88" s="91">
        <f t="shared" ref="P88:AB88" si="127">+O88+(0.049/100)</f>
        <v>10.350489999999999</v>
      </c>
      <c r="Q88" s="91">
        <f t="shared" si="127"/>
        <v>10.350979999999998</v>
      </c>
      <c r="R88" s="91">
        <f t="shared" si="127"/>
        <v>10.351469999999997</v>
      </c>
      <c r="S88" s="91">
        <f t="shared" si="127"/>
        <v>10.351959999999996</v>
      </c>
      <c r="T88" s="91">
        <f t="shared" si="127"/>
        <v>10.352449999999996</v>
      </c>
      <c r="U88" s="91">
        <f t="shared" si="127"/>
        <v>10.352939999999995</v>
      </c>
      <c r="V88" s="91">
        <f t="shared" si="127"/>
        <v>10.353429999999994</v>
      </c>
      <c r="W88" s="91">
        <f t="shared" si="127"/>
        <v>10.353919999999993</v>
      </c>
      <c r="X88" s="91">
        <f t="shared" si="127"/>
        <v>10.354409999999993</v>
      </c>
      <c r="Y88" s="91">
        <f t="shared" si="127"/>
        <v>10.354899999999992</v>
      </c>
      <c r="Z88" s="91">
        <f t="shared" si="127"/>
        <v>10.355389999999991</v>
      </c>
      <c r="AA88" s="91">
        <f t="shared" si="127"/>
        <v>10.35587999999999</v>
      </c>
      <c r="AB88" s="91">
        <f t="shared" si="127"/>
        <v>10.356369999999989</v>
      </c>
    </row>
    <row r="89" spans="1:28" x14ac:dyDescent="0.25">
      <c r="A89" s="88" t="s">
        <v>19</v>
      </c>
      <c r="B89" s="87" t="s">
        <v>29</v>
      </c>
      <c r="C89" s="60">
        <v>3381.8250000000003</v>
      </c>
      <c r="D89" s="90">
        <f t="shared" si="114"/>
        <v>3381.8250000000003</v>
      </c>
      <c r="E89" s="89">
        <v>3381.8250000000003</v>
      </c>
      <c r="F89" s="90">
        <f t="shared" si="115"/>
        <v>3381.8250000000003</v>
      </c>
      <c r="G89" s="60">
        <v>3381.8250000000003</v>
      </c>
      <c r="H89" s="90">
        <f t="shared" si="116"/>
        <v>2758.6950000000002</v>
      </c>
      <c r="I89" s="60">
        <v>2135.5650000000001</v>
      </c>
      <c r="J89" s="90">
        <f t="shared" si="117"/>
        <v>3725.7825000000003</v>
      </c>
      <c r="K89" s="60">
        <v>5316</v>
      </c>
      <c r="L89" s="60">
        <v>196.43</v>
      </c>
      <c r="M89" s="60">
        <v>196.43</v>
      </c>
      <c r="N89" s="60">
        <v>2343.11</v>
      </c>
      <c r="O89" s="60">
        <v>2343.11</v>
      </c>
      <c r="P89" s="91">
        <f t="shared" ref="P89:AB89" si="128">+O89+(0.049/100)</f>
        <v>2343.11049</v>
      </c>
      <c r="Q89" s="91">
        <f t="shared" si="128"/>
        <v>2343.1109799999999</v>
      </c>
      <c r="R89" s="91">
        <f t="shared" si="128"/>
        <v>2343.1114699999998</v>
      </c>
      <c r="S89" s="91">
        <f t="shared" si="128"/>
        <v>2343.1119599999997</v>
      </c>
      <c r="T89" s="91">
        <f t="shared" si="128"/>
        <v>2343.1124499999996</v>
      </c>
      <c r="U89" s="91">
        <f t="shared" si="128"/>
        <v>2343.1129399999995</v>
      </c>
      <c r="V89" s="91">
        <f t="shared" si="128"/>
        <v>2343.1134299999994</v>
      </c>
      <c r="W89" s="91">
        <f t="shared" si="128"/>
        <v>2343.1139199999993</v>
      </c>
      <c r="X89" s="91">
        <f t="shared" si="128"/>
        <v>2343.1144099999992</v>
      </c>
      <c r="Y89" s="91">
        <f t="shared" si="128"/>
        <v>2343.1148999999991</v>
      </c>
      <c r="Z89" s="91">
        <f t="shared" si="128"/>
        <v>2343.115389999999</v>
      </c>
      <c r="AA89" s="91">
        <f t="shared" si="128"/>
        <v>2343.1158799999989</v>
      </c>
      <c r="AB89" s="91">
        <f t="shared" si="128"/>
        <v>2343.1163699999988</v>
      </c>
    </row>
    <row r="90" spans="1:28" x14ac:dyDescent="0.25">
      <c r="A90" s="88" t="s">
        <v>4</v>
      </c>
      <c r="B90" s="87" t="s">
        <v>29</v>
      </c>
      <c r="C90" s="60">
        <v>1159.8499999999999</v>
      </c>
      <c r="D90" s="90">
        <f t="shared" si="114"/>
        <v>1159.8499999999999</v>
      </c>
      <c r="E90" s="89">
        <v>1159.8499999999999</v>
      </c>
      <c r="F90" s="90">
        <f t="shared" si="115"/>
        <v>1159.8499999999999</v>
      </c>
      <c r="G90" s="60">
        <v>1159.8499999999999</v>
      </c>
      <c r="H90" s="90">
        <f t="shared" si="116"/>
        <v>1791.19</v>
      </c>
      <c r="I90" s="60">
        <v>2422.5300000000002</v>
      </c>
      <c r="J90" s="90">
        <f t="shared" si="117"/>
        <v>1698.5050000000001</v>
      </c>
      <c r="K90" s="60">
        <v>974.48</v>
      </c>
      <c r="L90" s="60">
        <v>464.04</v>
      </c>
      <c r="M90" s="60">
        <v>464.04</v>
      </c>
      <c r="N90" s="60">
        <v>465.71</v>
      </c>
      <c r="O90" s="60">
        <v>465.71</v>
      </c>
      <c r="P90" s="91">
        <f t="shared" ref="P90:AB90" si="129">+O90+(0.049/100)</f>
        <v>465.71048999999999</v>
      </c>
      <c r="Q90" s="91">
        <f t="shared" si="129"/>
        <v>465.71098000000001</v>
      </c>
      <c r="R90" s="91">
        <f t="shared" si="129"/>
        <v>465.71147000000002</v>
      </c>
      <c r="S90" s="91">
        <f t="shared" si="129"/>
        <v>465.71196000000003</v>
      </c>
      <c r="T90" s="91">
        <f t="shared" si="129"/>
        <v>465.71245000000005</v>
      </c>
      <c r="U90" s="91">
        <f t="shared" si="129"/>
        <v>465.71294000000006</v>
      </c>
      <c r="V90" s="91">
        <f t="shared" si="129"/>
        <v>465.71343000000007</v>
      </c>
      <c r="W90" s="91">
        <f t="shared" si="129"/>
        <v>465.71392000000009</v>
      </c>
      <c r="X90" s="91">
        <f t="shared" si="129"/>
        <v>465.7144100000001</v>
      </c>
      <c r="Y90" s="91">
        <f t="shared" si="129"/>
        <v>465.71490000000011</v>
      </c>
      <c r="Z90" s="91">
        <f t="shared" si="129"/>
        <v>465.71539000000013</v>
      </c>
      <c r="AA90" s="91">
        <f t="shared" si="129"/>
        <v>465.71588000000014</v>
      </c>
      <c r="AB90" s="91">
        <f t="shared" si="129"/>
        <v>465.71637000000015</v>
      </c>
    </row>
    <row r="91" spans="1:28" x14ac:dyDescent="0.25">
      <c r="A91" s="88" t="s">
        <v>5</v>
      </c>
      <c r="B91" s="87" t="s">
        <v>29</v>
      </c>
      <c r="C91" s="60">
        <v>1795.99</v>
      </c>
      <c r="D91" s="90">
        <f t="shared" si="114"/>
        <v>1795.99</v>
      </c>
      <c r="E91" s="89">
        <v>1795.99</v>
      </c>
      <c r="F91" s="90">
        <f t="shared" si="115"/>
        <v>1795.99</v>
      </c>
      <c r="G91" s="60">
        <v>1795.99</v>
      </c>
      <c r="H91" s="90">
        <f t="shared" si="116"/>
        <v>1414.6399999999999</v>
      </c>
      <c r="I91" s="60">
        <v>1033.29</v>
      </c>
      <c r="J91" s="90">
        <f t="shared" si="117"/>
        <v>2623.5</v>
      </c>
      <c r="K91" s="60">
        <v>4213.71</v>
      </c>
      <c r="L91" s="60">
        <v>26.96</v>
      </c>
      <c r="M91" s="60">
        <v>26.96</v>
      </c>
      <c r="N91" s="60">
        <v>341.55</v>
      </c>
      <c r="O91" s="60">
        <v>341.55</v>
      </c>
      <c r="P91" s="91">
        <f t="shared" ref="P91:AB91" si="130">+O91+(0.049/100)</f>
        <v>341.55049000000002</v>
      </c>
      <c r="Q91" s="91">
        <f t="shared" si="130"/>
        <v>341.55098000000004</v>
      </c>
      <c r="R91" s="91">
        <f t="shared" si="130"/>
        <v>341.55147000000005</v>
      </c>
      <c r="S91" s="91">
        <f t="shared" si="130"/>
        <v>341.55196000000007</v>
      </c>
      <c r="T91" s="91">
        <f t="shared" si="130"/>
        <v>341.55245000000008</v>
      </c>
      <c r="U91" s="91">
        <f t="shared" si="130"/>
        <v>341.55294000000009</v>
      </c>
      <c r="V91" s="91">
        <f t="shared" si="130"/>
        <v>341.55343000000011</v>
      </c>
      <c r="W91" s="91">
        <f t="shared" si="130"/>
        <v>341.55392000000012</v>
      </c>
      <c r="X91" s="91">
        <f t="shared" si="130"/>
        <v>341.55441000000013</v>
      </c>
      <c r="Y91" s="91">
        <f t="shared" si="130"/>
        <v>341.55490000000015</v>
      </c>
      <c r="Z91" s="91">
        <f t="shared" si="130"/>
        <v>341.55539000000016</v>
      </c>
      <c r="AA91" s="91">
        <f t="shared" si="130"/>
        <v>341.55588000000017</v>
      </c>
      <c r="AB91" s="91">
        <f t="shared" si="130"/>
        <v>341.55637000000019</v>
      </c>
    </row>
    <row r="92" spans="1:28" x14ac:dyDescent="0.25">
      <c r="A92" s="88" t="s">
        <v>6</v>
      </c>
      <c r="B92" s="87" t="s">
        <v>29</v>
      </c>
      <c r="C92" s="60">
        <v>0</v>
      </c>
      <c r="D92" s="90">
        <f t="shared" si="114"/>
        <v>0</v>
      </c>
      <c r="E92" s="89">
        <v>0</v>
      </c>
      <c r="F92" s="90">
        <f t="shared" si="115"/>
        <v>0</v>
      </c>
      <c r="G92" s="60">
        <v>0</v>
      </c>
      <c r="H92" s="90">
        <f t="shared" si="116"/>
        <v>0</v>
      </c>
      <c r="I92" s="60">
        <v>0</v>
      </c>
      <c r="J92" s="90">
        <f t="shared" si="117"/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91">
        <f t="shared" ref="P92:AB92" si="131">+O92+(0.049/100)</f>
        <v>4.8999999999999998E-4</v>
      </c>
      <c r="Q92" s="91">
        <f t="shared" si="131"/>
        <v>9.7999999999999997E-4</v>
      </c>
      <c r="R92" s="91">
        <f t="shared" si="131"/>
        <v>1.47E-3</v>
      </c>
      <c r="S92" s="91">
        <f t="shared" si="131"/>
        <v>1.9599999999999999E-3</v>
      </c>
      <c r="T92" s="91">
        <f t="shared" si="131"/>
        <v>2.4499999999999999E-3</v>
      </c>
      <c r="U92" s="91">
        <f t="shared" si="131"/>
        <v>2.9399999999999999E-3</v>
      </c>
      <c r="V92" s="91">
        <f t="shared" si="131"/>
        <v>3.4299999999999999E-3</v>
      </c>
      <c r="W92" s="91">
        <f t="shared" si="131"/>
        <v>3.9199999999999999E-3</v>
      </c>
      <c r="X92" s="91">
        <f t="shared" si="131"/>
        <v>4.4099999999999999E-3</v>
      </c>
      <c r="Y92" s="91">
        <f t="shared" si="131"/>
        <v>4.8999999999999998E-3</v>
      </c>
      <c r="Z92" s="91">
        <f t="shared" si="131"/>
        <v>5.3899999999999998E-3</v>
      </c>
      <c r="AA92" s="91">
        <f t="shared" si="131"/>
        <v>5.8799999999999998E-3</v>
      </c>
      <c r="AB92" s="91">
        <f t="shared" si="131"/>
        <v>6.3699999999999998E-3</v>
      </c>
    </row>
    <row r="93" spans="1:28" x14ac:dyDescent="0.25">
      <c r="A93" s="113"/>
      <c r="B93" s="114"/>
      <c r="C93" s="115"/>
      <c r="D93" s="116"/>
      <c r="E93" s="117"/>
      <c r="F93" s="116"/>
      <c r="G93" s="115"/>
      <c r="H93" s="116"/>
      <c r="I93" s="115"/>
      <c r="J93" s="116"/>
      <c r="K93" s="115"/>
      <c r="L93" s="115"/>
      <c r="M93" s="115"/>
      <c r="N93" s="115"/>
      <c r="O93" s="115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r="95" spans="1:28" x14ac:dyDescent="0.25">
      <c r="A95" s="1" t="s">
        <v>105</v>
      </c>
      <c r="B95" s="65" t="s">
        <v>106</v>
      </c>
      <c r="C95" s="1">
        <v>2010</v>
      </c>
      <c r="D95" s="1">
        <v>2011</v>
      </c>
      <c r="E95" s="1">
        <v>2012</v>
      </c>
      <c r="F95" s="1">
        <v>2013</v>
      </c>
      <c r="G95" s="1">
        <v>2014</v>
      </c>
      <c r="H95" s="1">
        <v>2015</v>
      </c>
      <c r="I95" s="1">
        <v>2016</v>
      </c>
      <c r="J95" s="1">
        <v>2017</v>
      </c>
      <c r="K95" s="1">
        <v>2018</v>
      </c>
      <c r="L95" s="1">
        <v>2019</v>
      </c>
      <c r="M95" s="1">
        <v>2020</v>
      </c>
      <c r="N95" s="1">
        <v>2021</v>
      </c>
      <c r="O95" s="1">
        <v>2022</v>
      </c>
      <c r="P95" s="1">
        <v>2023</v>
      </c>
      <c r="Q95" s="1">
        <v>2024</v>
      </c>
      <c r="R95" s="1">
        <v>2025</v>
      </c>
      <c r="S95" s="1">
        <v>2026</v>
      </c>
      <c r="T95" s="1">
        <v>2027</v>
      </c>
      <c r="U95" s="1">
        <v>2028</v>
      </c>
      <c r="V95" s="1">
        <v>2029</v>
      </c>
      <c r="W95" s="1">
        <v>2030</v>
      </c>
      <c r="X95" s="1">
        <v>2031</v>
      </c>
      <c r="Y95" s="1">
        <v>2032</v>
      </c>
      <c r="Z95" s="1">
        <v>2033</v>
      </c>
      <c r="AA95" s="1">
        <v>2034</v>
      </c>
      <c r="AB95" s="1">
        <v>2035</v>
      </c>
    </row>
    <row r="96" spans="1:28" x14ac:dyDescent="0.25">
      <c r="A96" s="87" t="s">
        <v>19</v>
      </c>
      <c r="B96" s="86" t="s">
        <v>18</v>
      </c>
      <c r="C96" s="90">
        <f>('5ta'!C$88+'5ta'!C$89)*'5ta'!$R87</f>
        <v>35.450349455211686</v>
      </c>
      <c r="D96" s="90">
        <f>('5ta'!D$88+'5ta'!D$89)*'5ta'!$R87</f>
        <v>35.450349455211686</v>
      </c>
      <c r="E96" s="90">
        <f>('5ta'!E$88+'5ta'!E$89)*'5ta'!$R87</f>
        <v>35.450349455211686</v>
      </c>
      <c r="F96" s="90">
        <f>('5ta'!F$88+'5ta'!F$89)*'5ta'!$R87</f>
        <v>35.450349455211686</v>
      </c>
      <c r="G96" s="90">
        <f>('5ta'!G$88+'5ta'!G$89)*'5ta'!$R87</f>
        <v>35.450349455211686</v>
      </c>
      <c r="H96" s="90">
        <f>('5ta'!H$88+'5ta'!H$89)*'5ta'!$R87</f>
        <v>27.971301260442953</v>
      </c>
      <c r="I96" s="90">
        <f>('5ta'!I$88+'5ta'!I$89)*'5ta'!$R87</f>
        <v>20.492253065674223</v>
      </c>
      <c r="J96" s="90">
        <f>('5ta'!J$88+'5ta'!J$89)*'5ta'!$R87</f>
        <v>26.145300649667249</v>
      </c>
      <c r="K96" s="90">
        <f>('5ta'!K$88+'5ta'!K$89)*'5ta'!$R87</f>
        <v>31.798348233660274</v>
      </c>
      <c r="L96" s="90">
        <f>('5ta'!L$88+'5ta'!L$89)*'5ta'!$R87</f>
        <v>5.2465438706970549</v>
      </c>
      <c r="M96" s="90">
        <f>('5ta'!M$88+'5ta'!M$89)*'5ta'!$R87</f>
        <v>5.2465438706970549</v>
      </c>
      <c r="N96" s="90">
        <f>('5ta'!N$88+'5ta'!N$89)*'5ta'!$R87</f>
        <v>5.8147838288109819</v>
      </c>
      <c r="O96" s="90">
        <f>('5ta'!O$88+'5ta'!O$89)*'5ta'!$R87</f>
        <v>5.8147838288109819</v>
      </c>
      <c r="P96" s="90">
        <f t="shared" ref="P96:AB96" si="132">+O96-(0.049/100)</f>
        <v>5.8142938288109818</v>
      </c>
      <c r="Q96" s="90">
        <f t="shared" si="132"/>
        <v>5.8138038288109817</v>
      </c>
      <c r="R96" s="90">
        <f t="shared" si="132"/>
        <v>5.8133138288109816</v>
      </c>
      <c r="S96" s="90">
        <f t="shared" si="132"/>
        <v>5.8128238288109815</v>
      </c>
      <c r="T96" s="90">
        <f t="shared" si="132"/>
        <v>5.8123338288109814</v>
      </c>
      <c r="U96" s="90">
        <f t="shared" si="132"/>
        <v>5.8118438288109813</v>
      </c>
      <c r="V96" s="90">
        <f t="shared" si="132"/>
        <v>5.8113538288109812</v>
      </c>
      <c r="W96" s="90">
        <f t="shared" si="132"/>
        <v>5.8108638288109811</v>
      </c>
      <c r="X96" s="90">
        <f t="shared" si="132"/>
        <v>5.810373828810981</v>
      </c>
      <c r="Y96" s="90">
        <f t="shared" si="132"/>
        <v>5.8098838288109809</v>
      </c>
      <c r="Z96" s="90">
        <f t="shared" si="132"/>
        <v>5.8093938288109808</v>
      </c>
      <c r="AA96" s="90">
        <f t="shared" si="132"/>
        <v>5.8089038288109807</v>
      </c>
      <c r="AB96" s="90">
        <f t="shared" si="132"/>
        <v>5.8084138288109806</v>
      </c>
    </row>
    <row r="97" spans="1:28" x14ac:dyDescent="0.25">
      <c r="A97" s="87" t="s">
        <v>19</v>
      </c>
      <c r="B97" s="86" t="s">
        <v>20</v>
      </c>
      <c r="C97" s="90">
        <f>('5ta'!C$88+'5ta'!C$89)*'5ta'!$R88</f>
        <v>346.1792516375865</v>
      </c>
      <c r="D97" s="90">
        <f>('5ta'!D$88+'5ta'!D$89)*'5ta'!$R88</f>
        <v>346.1792516375865</v>
      </c>
      <c r="E97" s="90">
        <f>('5ta'!E$88+'5ta'!E$89)*'5ta'!$R88</f>
        <v>346.1792516375865</v>
      </c>
      <c r="F97" s="90">
        <f>('5ta'!F$88+'5ta'!F$89)*'5ta'!$R88</f>
        <v>346.1792516375865</v>
      </c>
      <c r="G97" s="90">
        <f>('5ta'!G$88+'5ta'!G$89)*'5ta'!$R88</f>
        <v>346.1792516375865</v>
      </c>
      <c r="H97" s="90">
        <f>('5ta'!H$88+'5ta'!H$89)*'5ta'!$R88</f>
        <v>273.14495587422419</v>
      </c>
      <c r="I97" s="90">
        <f>('5ta'!I$88+'5ta'!I$89)*'5ta'!$R88</f>
        <v>200.11066011086183</v>
      </c>
      <c r="J97" s="90">
        <f>('5ta'!J$88+'5ta'!J$89)*'5ta'!$R88</f>
        <v>255.31372050863939</v>
      </c>
      <c r="K97" s="90">
        <f>('5ta'!K$88+'5ta'!K$89)*'5ta'!$R88</f>
        <v>310.51678090641695</v>
      </c>
      <c r="L97" s="90">
        <f>('5ta'!L$88+'5ta'!L$89)*'5ta'!$R88</f>
        <v>51.23347608001253</v>
      </c>
      <c r="M97" s="90">
        <f>('5ta'!M$88+'5ta'!M$89)*'5ta'!$R88</f>
        <v>51.23347608001253</v>
      </c>
      <c r="N97" s="90">
        <f>('5ta'!N$88+'5ta'!N$89)*'5ta'!$R88</f>
        <v>56.78244489057338</v>
      </c>
      <c r="O97" s="90">
        <f>('5ta'!O$88+'5ta'!O$89)*'5ta'!$R88</f>
        <v>56.78244489057338</v>
      </c>
      <c r="P97" s="90">
        <f t="shared" ref="P97:AB97" si="133">+O97-(0.049/100)</f>
        <v>56.781954890573381</v>
      </c>
      <c r="Q97" s="90">
        <f t="shared" si="133"/>
        <v>56.781464890573382</v>
      </c>
      <c r="R97" s="90">
        <f t="shared" si="133"/>
        <v>56.780974890573383</v>
      </c>
      <c r="S97" s="90">
        <f t="shared" si="133"/>
        <v>56.780484890573383</v>
      </c>
      <c r="T97" s="90">
        <f t="shared" si="133"/>
        <v>56.779994890573384</v>
      </c>
      <c r="U97" s="90">
        <f t="shared" si="133"/>
        <v>56.779504890573385</v>
      </c>
      <c r="V97" s="90">
        <f t="shared" si="133"/>
        <v>56.779014890573386</v>
      </c>
      <c r="W97" s="90">
        <f t="shared" si="133"/>
        <v>56.778524890573387</v>
      </c>
      <c r="X97" s="90">
        <f t="shared" si="133"/>
        <v>56.778034890573387</v>
      </c>
      <c r="Y97" s="90">
        <f t="shared" si="133"/>
        <v>56.777544890573388</v>
      </c>
      <c r="Z97" s="90">
        <f t="shared" si="133"/>
        <v>56.777054890573389</v>
      </c>
      <c r="AA97" s="90">
        <f t="shared" si="133"/>
        <v>56.77656489057339</v>
      </c>
      <c r="AB97" s="90">
        <f t="shared" si="133"/>
        <v>56.776074890573391</v>
      </c>
    </row>
    <row r="98" spans="1:28" x14ac:dyDescent="0.25">
      <c r="A98" s="87" t="s">
        <v>19</v>
      </c>
      <c r="B98" s="86" t="s">
        <v>21</v>
      </c>
      <c r="C98" s="90">
        <f>('5ta'!C$88+'5ta'!C$89)*'5ta'!$R89</f>
        <v>3310.1998640493071</v>
      </c>
      <c r="D98" s="90">
        <f>('5ta'!D$88+'5ta'!D$89)*'5ta'!$R89</f>
        <v>3310.1998640493071</v>
      </c>
      <c r="E98" s="90">
        <f>('5ta'!E$88+'5ta'!E$89)*'5ta'!$R89</f>
        <v>3310.1998640493071</v>
      </c>
      <c r="F98" s="90">
        <f>('5ta'!F$88+'5ta'!F$89)*'5ta'!$R89</f>
        <v>3310.1998640493071</v>
      </c>
      <c r="G98" s="90">
        <f>('5ta'!G$88+'5ta'!G$89)*'5ta'!$R89</f>
        <v>3310.1998640493071</v>
      </c>
      <c r="H98" s="90">
        <f>('5ta'!H$88+'5ta'!H$89)*'5ta'!$R89</f>
        <v>2611.8387844548711</v>
      </c>
      <c r="I98" s="90">
        <f>('5ta'!I$88+'5ta'!I$89)*'5ta'!$R89</f>
        <v>1913.4777048604346</v>
      </c>
      <c r="J98" s="90">
        <f>('5ta'!J$88+'5ta'!J$89)*'5ta'!$R89</f>
        <v>2441.3347678109649</v>
      </c>
      <c r="K98" s="90">
        <f>('5ta'!K$88+'5ta'!K$89)*'5ta'!$R89</f>
        <v>2969.1918307614956</v>
      </c>
      <c r="L98" s="90">
        <f>('5ta'!L$88+'5ta'!L$89)*'5ta'!$R89</f>
        <v>489.89950943789398</v>
      </c>
      <c r="M98" s="90">
        <f>('5ta'!M$88+'5ta'!M$89)*'5ta'!$R89</f>
        <v>489.89950943789398</v>
      </c>
      <c r="N98" s="90">
        <f>('5ta'!N$88+'5ta'!N$89)*'5ta'!$R89</f>
        <v>542.95929195068879</v>
      </c>
      <c r="O98" s="90">
        <f>('5ta'!O$88+'5ta'!O$89)*'5ta'!$R89</f>
        <v>542.95929195068879</v>
      </c>
      <c r="P98" s="90">
        <f t="shared" ref="P98:AB98" si="134">+O98-(0.049/100)</f>
        <v>542.95880195068878</v>
      </c>
      <c r="Q98" s="90">
        <f t="shared" si="134"/>
        <v>542.95831195068877</v>
      </c>
      <c r="R98" s="90">
        <f t="shared" si="134"/>
        <v>542.95782195068875</v>
      </c>
      <c r="S98" s="90">
        <f t="shared" si="134"/>
        <v>542.95733195068874</v>
      </c>
      <c r="T98" s="90">
        <f t="shared" si="134"/>
        <v>542.95684195068873</v>
      </c>
      <c r="U98" s="90">
        <f t="shared" si="134"/>
        <v>542.95635195068871</v>
      </c>
      <c r="V98" s="90">
        <f t="shared" si="134"/>
        <v>542.9558619506887</v>
      </c>
      <c r="W98" s="90">
        <f t="shared" si="134"/>
        <v>542.95537195068869</v>
      </c>
      <c r="X98" s="90">
        <f t="shared" si="134"/>
        <v>542.95488195068867</v>
      </c>
      <c r="Y98" s="90">
        <f t="shared" si="134"/>
        <v>542.95439195068866</v>
      </c>
      <c r="Z98" s="90">
        <f t="shared" si="134"/>
        <v>542.95390195068865</v>
      </c>
      <c r="AA98" s="90">
        <f t="shared" si="134"/>
        <v>542.95341195068863</v>
      </c>
      <c r="AB98" s="90">
        <f t="shared" si="134"/>
        <v>542.95292195068862</v>
      </c>
    </row>
    <row r="99" spans="1:28" x14ac:dyDescent="0.25">
      <c r="A99" s="87" t="s">
        <v>19</v>
      </c>
      <c r="B99" s="86" t="s">
        <v>22</v>
      </c>
      <c r="C99" s="90">
        <f>('5ta'!C$88+'5ta'!C$89)*'5ta'!$R90</f>
        <v>1345.5748980235817</v>
      </c>
      <c r="D99" s="90">
        <f>('5ta'!D$88+'5ta'!D$89)*'5ta'!$R90</f>
        <v>1345.5748980235817</v>
      </c>
      <c r="E99" s="90">
        <f>('5ta'!E$88+'5ta'!E$89)*'5ta'!$R90</f>
        <v>1345.5748980235817</v>
      </c>
      <c r="F99" s="90">
        <f>('5ta'!F$88+'5ta'!F$89)*'5ta'!$R90</f>
        <v>1345.5748980235817</v>
      </c>
      <c r="G99" s="90">
        <f>('5ta'!G$88+'5ta'!G$89)*'5ta'!$R90</f>
        <v>1345.5748980235817</v>
      </c>
      <c r="H99" s="90">
        <f>('5ta'!H$88+'5ta'!H$89)*'5ta'!$R90</f>
        <v>1061.6956227373435</v>
      </c>
      <c r="I99" s="90">
        <f>('5ta'!I$88+'5ta'!I$89)*'5ta'!$R90</f>
        <v>777.81634745110512</v>
      </c>
      <c r="J99" s="90">
        <f>('5ta'!J$88+'5ta'!J$89)*'5ta'!$R90</f>
        <v>992.3868395125196</v>
      </c>
      <c r="K99" s="90">
        <f>('5ta'!K$88+'5ta'!K$89)*'5ta'!$R90</f>
        <v>1206.9573315739342</v>
      </c>
      <c r="L99" s="90">
        <f>('5ta'!L$88+'5ta'!L$89)*'5ta'!$R90</f>
        <v>199.14099133800156</v>
      </c>
      <c r="M99" s="90">
        <f>('5ta'!M$88+'5ta'!M$89)*'5ta'!$R90</f>
        <v>199.14099133800156</v>
      </c>
      <c r="N99" s="90">
        <f>('5ta'!N$88+'5ta'!N$89)*'5ta'!$R90</f>
        <v>220.70945075920093</v>
      </c>
      <c r="O99" s="90">
        <f>('5ta'!O$88+'5ta'!O$89)*'5ta'!$R90</f>
        <v>220.70945075920093</v>
      </c>
      <c r="P99" s="90">
        <f t="shared" ref="P99:AB99" si="135">+O99-(0.049/100)</f>
        <v>220.70896075920092</v>
      </c>
      <c r="Q99" s="90">
        <f t="shared" si="135"/>
        <v>220.70847075920091</v>
      </c>
      <c r="R99" s="90">
        <f t="shared" si="135"/>
        <v>220.70798075920089</v>
      </c>
      <c r="S99" s="90">
        <f t="shared" si="135"/>
        <v>220.70749075920088</v>
      </c>
      <c r="T99" s="90">
        <f t="shared" si="135"/>
        <v>220.70700075920087</v>
      </c>
      <c r="U99" s="90">
        <f t="shared" si="135"/>
        <v>220.70651075920085</v>
      </c>
      <c r="V99" s="90">
        <f t="shared" si="135"/>
        <v>220.70602075920084</v>
      </c>
      <c r="W99" s="90">
        <f t="shared" si="135"/>
        <v>220.70553075920083</v>
      </c>
      <c r="X99" s="90">
        <f t="shared" si="135"/>
        <v>220.70504075920081</v>
      </c>
      <c r="Y99" s="90">
        <f t="shared" si="135"/>
        <v>220.7045507592008</v>
      </c>
      <c r="Z99" s="90">
        <f t="shared" si="135"/>
        <v>220.70406075920079</v>
      </c>
      <c r="AA99" s="90">
        <f t="shared" si="135"/>
        <v>220.70357075920077</v>
      </c>
      <c r="AB99" s="90">
        <f t="shared" si="135"/>
        <v>220.70308075920076</v>
      </c>
    </row>
    <row r="100" spans="1:28" x14ac:dyDescent="0.25">
      <c r="A100" s="87" t="s">
        <v>19</v>
      </c>
      <c r="B100" s="86" t="s">
        <v>23</v>
      </c>
      <c r="C100" s="90">
        <f>('5ta'!C$88+'5ta'!C$89)*'5ta'!$R91</f>
        <v>926.66258971003924</v>
      </c>
      <c r="D100" s="90">
        <f>('5ta'!D$88+'5ta'!D$89)*'5ta'!$R91</f>
        <v>926.66258971003924</v>
      </c>
      <c r="E100" s="90">
        <f>('5ta'!E$88+'5ta'!E$89)*'5ta'!$R91</f>
        <v>926.66258971003924</v>
      </c>
      <c r="F100" s="90">
        <f>('5ta'!F$88+'5ta'!F$89)*'5ta'!$R91</f>
        <v>926.66258971003924</v>
      </c>
      <c r="G100" s="90">
        <f>('5ta'!G$88+'5ta'!G$89)*'5ta'!$R91</f>
        <v>926.66258971003924</v>
      </c>
      <c r="H100" s="90">
        <f>('5ta'!H$88+'5ta'!H$89)*'5ta'!$R91</f>
        <v>731.16228364149924</v>
      </c>
      <c r="I100" s="90">
        <f>('5ta'!I$88+'5ta'!I$89)*'5ta'!$R91</f>
        <v>535.66197757295924</v>
      </c>
      <c r="J100" s="90">
        <f>('5ta'!J$88+'5ta'!J$89)*'5ta'!$R91</f>
        <v>683.43111932868112</v>
      </c>
      <c r="K100" s="90">
        <f>('5ta'!K$88+'5ta'!K$89)*'5ta'!$R91</f>
        <v>831.20026108440311</v>
      </c>
      <c r="L100" s="90">
        <f>('5ta'!L$88+'5ta'!L$89)*'5ta'!$R91</f>
        <v>137.14324414177867</v>
      </c>
      <c r="M100" s="90">
        <f>('5ta'!M$88+'5ta'!M$89)*'5ta'!$R91</f>
        <v>137.14324414177867</v>
      </c>
      <c r="N100" s="90">
        <f>('5ta'!N$88+'5ta'!N$89)*'5ta'!$R91</f>
        <v>151.99688364758509</v>
      </c>
      <c r="O100" s="90">
        <f>('5ta'!O$88+'5ta'!O$89)*'5ta'!$R91</f>
        <v>151.99688364758509</v>
      </c>
      <c r="P100" s="90">
        <f t="shared" ref="P100:AB100" si="136">+O100-(0.049/100)</f>
        <v>151.99639364758508</v>
      </c>
      <c r="Q100" s="90">
        <f t="shared" si="136"/>
        <v>151.99590364758507</v>
      </c>
      <c r="R100" s="90">
        <f t="shared" si="136"/>
        <v>151.99541364758505</v>
      </c>
      <c r="S100" s="90">
        <f t="shared" si="136"/>
        <v>151.99492364758504</v>
      </c>
      <c r="T100" s="90">
        <f t="shared" si="136"/>
        <v>151.99443364758503</v>
      </c>
      <c r="U100" s="90">
        <f t="shared" si="136"/>
        <v>151.99394364758501</v>
      </c>
      <c r="V100" s="90">
        <f t="shared" si="136"/>
        <v>151.993453647585</v>
      </c>
      <c r="W100" s="90">
        <f t="shared" si="136"/>
        <v>151.99296364758499</v>
      </c>
      <c r="X100" s="90">
        <f t="shared" si="136"/>
        <v>151.99247364758497</v>
      </c>
      <c r="Y100" s="90">
        <f t="shared" si="136"/>
        <v>151.99198364758496</v>
      </c>
      <c r="Z100" s="90">
        <f t="shared" si="136"/>
        <v>151.99149364758495</v>
      </c>
      <c r="AA100" s="90">
        <f t="shared" si="136"/>
        <v>151.99100364758493</v>
      </c>
      <c r="AB100" s="90">
        <f t="shared" si="136"/>
        <v>151.99051364758492</v>
      </c>
    </row>
    <row r="101" spans="1:28" x14ac:dyDescent="0.25">
      <c r="A101" s="87" t="s">
        <v>19</v>
      </c>
      <c r="B101" s="86" t="s">
        <v>24</v>
      </c>
      <c r="C101" s="90">
        <f>('5ta'!C$88+'5ta'!C$89)*'5ta'!$R92</f>
        <v>6780.8508624532096</v>
      </c>
      <c r="D101" s="90">
        <f>('5ta'!D$88+'5ta'!D$89)*'5ta'!$R92</f>
        <v>6780.8508624532096</v>
      </c>
      <c r="E101" s="90">
        <f>('5ta'!E$88+'5ta'!E$89)*'5ta'!$R92</f>
        <v>6780.8508624532096</v>
      </c>
      <c r="F101" s="90">
        <f>('5ta'!F$88+'5ta'!F$89)*'5ta'!$R92</f>
        <v>6780.8508624532096</v>
      </c>
      <c r="G101" s="90">
        <f>('5ta'!G$88+'5ta'!G$89)*'5ta'!$R92</f>
        <v>6780.8508624532096</v>
      </c>
      <c r="H101" s="90">
        <f>('5ta'!H$88+'5ta'!H$89)*'5ta'!$R92</f>
        <v>5350.277929289332</v>
      </c>
      <c r="I101" s="90">
        <f>('5ta'!I$88+'5ta'!I$89)*'5ta'!$R92</f>
        <v>3919.7049961254538</v>
      </c>
      <c r="J101" s="90">
        <f>('5ta'!J$88+'5ta'!J$89)*'5ta'!$R92</f>
        <v>5001.0052702972998</v>
      </c>
      <c r="K101" s="90">
        <f>('5ta'!K$88+'5ta'!K$89)*'5ta'!$R92</f>
        <v>6082.3055444691454</v>
      </c>
      <c r="L101" s="90">
        <f>('5ta'!L$88+'5ta'!L$89)*'5ta'!$R92</f>
        <v>1003.5452986284897</v>
      </c>
      <c r="M101" s="90">
        <f>('5ta'!M$88+'5ta'!M$89)*'5ta'!$R92</f>
        <v>1003.5452986284897</v>
      </c>
      <c r="N101" s="90">
        <f>('5ta'!N$88+'5ta'!N$89)*'5ta'!$R92</f>
        <v>1112.2367634312643</v>
      </c>
      <c r="O101" s="90">
        <f>('5ta'!O$88+'5ta'!O$89)*'5ta'!$R92</f>
        <v>1112.2367634312643</v>
      </c>
      <c r="P101" s="90">
        <f t="shared" ref="P101:AB101" si="137">+O101-(0.049/100)</f>
        <v>1112.2362734312644</v>
      </c>
      <c r="Q101" s="90">
        <f t="shared" si="137"/>
        <v>1112.2357834312645</v>
      </c>
      <c r="R101" s="90">
        <f t="shared" si="137"/>
        <v>1112.2352934312646</v>
      </c>
      <c r="S101" s="90">
        <f t="shared" si="137"/>
        <v>1112.2348034312647</v>
      </c>
      <c r="T101" s="90">
        <f t="shared" si="137"/>
        <v>1112.2343134312648</v>
      </c>
      <c r="U101" s="90">
        <f t="shared" si="137"/>
        <v>1112.2338234312649</v>
      </c>
      <c r="V101" s="90">
        <f t="shared" si="137"/>
        <v>1112.233333431265</v>
      </c>
      <c r="W101" s="90">
        <f t="shared" si="137"/>
        <v>1112.2328434312651</v>
      </c>
      <c r="X101" s="90">
        <f t="shared" si="137"/>
        <v>1112.2323534312652</v>
      </c>
      <c r="Y101" s="90">
        <f t="shared" si="137"/>
        <v>1112.2318634312653</v>
      </c>
      <c r="Z101" s="90">
        <f t="shared" si="137"/>
        <v>1112.2313734312654</v>
      </c>
      <c r="AA101" s="90">
        <f t="shared" si="137"/>
        <v>1112.2308834312655</v>
      </c>
      <c r="AB101" s="90">
        <f t="shared" si="137"/>
        <v>1112.2303934312656</v>
      </c>
    </row>
    <row r="102" spans="1:28" x14ac:dyDescent="0.25">
      <c r="A102" s="87" t="s">
        <v>19</v>
      </c>
      <c r="B102" s="86" t="s">
        <v>25</v>
      </c>
      <c r="C102" s="90">
        <f>('5ta'!C$88+'5ta'!C$89)*'5ta'!$R93</f>
        <v>751.26524843634377</v>
      </c>
      <c r="D102" s="90">
        <f>('5ta'!D$88+'5ta'!D$89)*'5ta'!$R93</f>
        <v>751.26524843634377</v>
      </c>
      <c r="E102" s="90">
        <f>('5ta'!E$88+'5ta'!E$89)*'5ta'!$R93</f>
        <v>751.26524843634377</v>
      </c>
      <c r="F102" s="90">
        <f>('5ta'!F$88+'5ta'!F$89)*'5ta'!$R93</f>
        <v>751.26524843634377</v>
      </c>
      <c r="G102" s="90">
        <f>('5ta'!G$88+'5ta'!G$89)*'5ta'!$R93</f>
        <v>751.26524843634377</v>
      </c>
      <c r="H102" s="90">
        <f>('5ta'!H$88+'5ta'!H$89)*'5ta'!$R93</f>
        <v>592.76895470561192</v>
      </c>
      <c r="I102" s="90">
        <f>('5ta'!I$88+'5ta'!I$89)*'5ta'!$R93</f>
        <v>434.27266097488018</v>
      </c>
      <c r="J102" s="90">
        <f>('5ta'!J$88+'5ta'!J$89)*'5ta'!$R93</f>
        <v>554.07227544628665</v>
      </c>
      <c r="K102" s="90">
        <f>('5ta'!K$88+'5ta'!K$89)*'5ta'!$R93</f>
        <v>673.87188991769301</v>
      </c>
      <c r="L102" s="90">
        <f>('5ta'!L$88+'5ta'!L$89)*'5ta'!$R93</f>
        <v>111.18497123508436</v>
      </c>
      <c r="M102" s="90">
        <f>('5ta'!M$88+'5ta'!M$89)*'5ta'!$R93</f>
        <v>111.18497123508436</v>
      </c>
      <c r="N102" s="90">
        <f>('5ta'!N$88+'5ta'!N$89)*'5ta'!$R93</f>
        <v>123.227135554036</v>
      </c>
      <c r="O102" s="90">
        <f>('5ta'!O$88+'5ta'!O$89)*'5ta'!$R93</f>
        <v>123.227135554036</v>
      </c>
      <c r="P102" s="90">
        <f t="shared" ref="P102:AB102" si="138">+O102-(0.049/100)</f>
        <v>123.226645554036</v>
      </c>
      <c r="Q102" s="90">
        <f t="shared" si="138"/>
        <v>123.226155554036</v>
      </c>
      <c r="R102" s="90">
        <f t="shared" si="138"/>
        <v>123.225665554036</v>
      </c>
      <c r="S102" s="90">
        <f t="shared" si="138"/>
        <v>123.225175554036</v>
      </c>
      <c r="T102" s="90">
        <f t="shared" si="138"/>
        <v>123.224685554036</v>
      </c>
      <c r="U102" s="90">
        <f t="shared" si="138"/>
        <v>123.224195554036</v>
      </c>
      <c r="V102" s="90">
        <f t="shared" si="138"/>
        <v>123.223705554036</v>
      </c>
      <c r="W102" s="90">
        <f t="shared" si="138"/>
        <v>123.223215554036</v>
      </c>
      <c r="X102" s="90">
        <f t="shared" si="138"/>
        <v>123.222725554036</v>
      </c>
      <c r="Y102" s="90">
        <f t="shared" si="138"/>
        <v>123.222235554036</v>
      </c>
      <c r="Z102" s="90">
        <f t="shared" si="138"/>
        <v>123.221745554036</v>
      </c>
      <c r="AA102" s="90">
        <f t="shared" si="138"/>
        <v>123.22125555403601</v>
      </c>
      <c r="AB102" s="90">
        <f t="shared" si="138"/>
        <v>123.22076555403601</v>
      </c>
    </row>
    <row r="103" spans="1:28" x14ac:dyDescent="0.25">
      <c r="A103" s="87" t="s">
        <v>19</v>
      </c>
      <c r="B103" s="86" t="s">
        <v>26</v>
      </c>
      <c r="C103" s="90">
        <f>('5ta'!C$88+'5ta'!C$89)*'5ta'!$R94</f>
        <v>186.57832370711517</v>
      </c>
      <c r="D103" s="90">
        <f>('5ta'!D$88+'5ta'!D$89)*'5ta'!$R94</f>
        <v>186.57832370711517</v>
      </c>
      <c r="E103" s="90">
        <f>('5ta'!E$88+'5ta'!E$89)*'5ta'!$R94</f>
        <v>186.57832370711517</v>
      </c>
      <c r="F103" s="90">
        <f>('5ta'!F$88+'5ta'!F$89)*'5ta'!$R94</f>
        <v>186.57832370711517</v>
      </c>
      <c r="G103" s="90">
        <f>('5ta'!G$88+'5ta'!G$89)*'5ta'!$R94</f>
        <v>186.57832370711517</v>
      </c>
      <c r="H103" s="90">
        <f>('5ta'!H$88+'5ta'!H$89)*'5ta'!$R94</f>
        <v>147.21543175966983</v>
      </c>
      <c r="I103" s="90">
        <f>('5ta'!I$88+'5ta'!I$89)*'5ta'!$R94</f>
        <v>107.85253981222448</v>
      </c>
      <c r="J103" s="90">
        <f>('5ta'!J$88+'5ta'!J$89)*'5ta'!$R94</f>
        <v>137.60502908995471</v>
      </c>
      <c r="K103" s="90">
        <f>('5ta'!K$88+'5ta'!K$89)*'5ta'!$R94</f>
        <v>167.35751836768497</v>
      </c>
      <c r="L103" s="90">
        <f>('5ta'!L$88+'5ta'!L$89)*'5ta'!$R94</f>
        <v>27.613024291544345</v>
      </c>
      <c r="M103" s="90">
        <f>('5ta'!M$88+'5ta'!M$89)*'5ta'!$R94</f>
        <v>27.613024291544345</v>
      </c>
      <c r="N103" s="90">
        <f>('5ta'!N$88+'5ta'!N$89)*'5ta'!$R94</f>
        <v>30.603721434946163</v>
      </c>
      <c r="O103" s="90">
        <f>('5ta'!O$88+'5ta'!O$89)*'5ta'!$R94</f>
        <v>30.603721434946163</v>
      </c>
      <c r="P103" s="90">
        <f t="shared" ref="P103:AB103" si="139">+O103-(0.049/100)</f>
        <v>30.603231434946164</v>
      </c>
      <c r="Q103" s="90">
        <f t="shared" si="139"/>
        <v>30.602741434946164</v>
      </c>
      <c r="R103" s="90">
        <f t="shared" si="139"/>
        <v>30.602251434946165</v>
      </c>
      <c r="S103" s="90">
        <f t="shared" si="139"/>
        <v>30.601761434946166</v>
      </c>
      <c r="T103" s="90">
        <f t="shared" si="139"/>
        <v>30.601271434946167</v>
      </c>
      <c r="U103" s="90">
        <f t="shared" si="139"/>
        <v>30.600781434946168</v>
      </c>
      <c r="V103" s="90">
        <f t="shared" si="139"/>
        <v>30.600291434946168</v>
      </c>
      <c r="W103" s="90">
        <f t="shared" si="139"/>
        <v>30.599801434946169</v>
      </c>
      <c r="X103" s="90">
        <f t="shared" si="139"/>
        <v>30.59931143494617</v>
      </c>
      <c r="Y103" s="90">
        <f t="shared" si="139"/>
        <v>30.598821434946171</v>
      </c>
      <c r="Z103" s="90">
        <f t="shared" si="139"/>
        <v>30.598331434946171</v>
      </c>
      <c r="AA103" s="90">
        <f t="shared" si="139"/>
        <v>30.597841434946172</v>
      </c>
      <c r="AB103" s="90">
        <f t="shared" si="139"/>
        <v>30.597351434946173</v>
      </c>
    </row>
    <row r="104" spans="1:28" x14ac:dyDescent="0.25">
      <c r="A104" s="87" t="s">
        <v>19</v>
      </c>
      <c r="B104" s="86" t="s">
        <v>27</v>
      </c>
      <c r="C104" s="90">
        <f>('5ta'!C$88+'5ta'!C$89)*'5ta'!$R95</f>
        <v>780.23861252760332</v>
      </c>
      <c r="D104" s="90">
        <f>('5ta'!D$88+'5ta'!D$89)*'5ta'!$R95</f>
        <v>780.23861252760332</v>
      </c>
      <c r="E104" s="90">
        <f>('5ta'!E$88+'5ta'!E$89)*'5ta'!$R95</f>
        <v>780.23861252760332</v>
      </c>
      <c r="F104" s="90">
        <f>('5ta'!F$88+'5ta'!F$89)*'5ta'!$R95</f>
        <v>780.23861252760332</v>
      </c>
      <c r="G104" s="90">
        <f>('5ta'!G$88+'5ta'!G$89)*'5ta'!$R95</f>
        <v>780.23861252760332</v>
      </c>
      <c r="H104" s="90">
        <f>('5ta'!H$88+'5ta'!H$89)*'5ta'!$R95</f>
        <v>615.62973627700433</v>
      </c>
      <c r="I104" s="90">
        <f>('5ta'!I$88+'5ta'!I$89)*'5ta'!$R95</f>
        <v>451.02086002640527</v>
      </c>
      <c r="J104" s="90">
        <f>('5ta'!J$88+'5ta'!J$89)*'5ta'!$R95</f>
        <v>575.44067735598594</v>
      </c>
      <c r="K104" s="90">
        <f>('5ta'!K$88+'5ta'!K$89)*'5ta'!$R95</f>
        <v>699.86049468556666</v>
      </c>
      <c r="L104" s="90">
        <f>('5ta'!L$88+'5ta'!L$89)*'5ta'!$R95</f>
        <v>115.47294097649757</v>
      </c>
      <c r="M104" s="90">
        <f>('5ta'!M$88+'5ta'!M$89)*'5ta'!$R95</f>
        <v>115.47294097649757</v>
      </c>
      <c r="N104" s="90">
        <f>('5ta'!N$88+'5ta'!N$89)*'5ta'!$R95</f>
        <v>127.97952450289418</v>
      </c>
      <c r="O104" s="90">
        <f>('5ta'!O$88+'5ta'!O$89)*'5ta'!$R95</f>
        <v>127.97952450289418</v>
      </c>
      <c r="P104" s="90">
        <f t="shared" ref="P104:AB104" si="140">+O104-(0.049/100)</f>
        <v>127.97903450289418</v>
      </c>
      <c r="Q104" s="90">
        <f t="shared" si="140"/>
        <v>127.97854450289418</v>
      </c>
      <c r="R104" s="90">
        <f t="shared" si="140"/>
        <v>127.97805450289418</v>
      </c>
      <c r="S104" s="90">
        <f t="shared" si="140"/>
        <v>127.97756450289418</v>
      </c>
      <c r="T104" s="90">
        <f t="shared" si="140"/>
        <v>127.97707450289418</v>
      </c>
      <c r="U104" s="90">
        <f t="shared" si="140"/>
        <v>127.97658450289418</v>
      </c>
      <c r="V104" s="90">
        <f t="shared" si="140"/>
        <v>127.97609450289418</v>
      </c>
      <c r="W104" s="90">
        <f t="shared" si="140"/>
        <v>127.97560450289419</v>
      </c>
      <c r="X104" s="90">
        <f t="shared" si="140"/>
        <v>127.97511450289419</v>
      </c>
      <c r="Y104" s="90">
        <f t="shared" si="140"/>
        <v>127.97462450289419</v>
      </c>
      <c r="Z104" s="90">
        <f t="shared" si="140"/>
        <v>127.97413450289419</v>
      </c>
      <c r="AA104" s="90">
        <f t="shared" si="140"/>
        <v>127.97364450289419</v>
      </c>
      <c r="AB104" s="90">
        <f t="shared" si="140"/>
        <v>127.97315450289419</v>
      </c>
    </row>
    <row r="106" spans="1:28" x14ac:dyDescent="0.25">
      <c r="A106" s="1" t="s">
        <v>105</v>
      </c>
      <c r="B106" s="65" t="s">
        <v>106</v>
      </c>
      <c r="C106" s="1">
        <v>2010</v>
      </c>
      <c r="D106" s="1">
        <v>2011</v>
      </c>
      <c r="E106" s="1">
        <v>2012</v>
      </c>
      <c r="F106" s="1">
        <v>2013</v>
      </c>
      <c r="G106" s="1">
        <v>2014</v>
      </c>
      <c r="H106" s="1">
        <v>2015</v>
      </c>
      <c r="I106" s="1">
        <v>2016</v>
      </c>
      <c r="J106" s="1">
        <v>2017</v>
      </c>
      <c r="K106" s="1">
        <v>2018</v>
      </c>
      <c r="L106" s="1">
        <v>2019</v>
      </c>
      <c r="M106" s="1">
        <v>2020</v>
      </c>
      <c r="N106" s="1">
        <v>2021</v>
      </c>
      <c r="O106" s="1">
        <v>2022</v>
      </c>
      <c r="P106" s="1">
        <v>2023</v>
      </c>
      <c r="Q106" s="1">
        <v>2024</v>
      </c>
      <c r="R106" s="1">
        <v>2025</v>
      </c>
      <c r="S106" s="1">
        <v>2026</v>
      </c>
      <c r="T106" s="1">
        <v>2027</v>
      </c>
      <c r="U106" s="1">
        <v>2028</v>
      </c>
      <c r="V106" s="1">
        <v>2029</v>
      </c>
      <c r="W106" s="1">
        <v>2030</v>
      </c>
      <c r="X106" s="1">
        <v>2031</v>
      </c>
      <c r="Y106" s="1">
        <v>2032</v>
      </c>
      <c r="Z106" s="1">
        <v>2033</v>
      </c>
      <c r="AA106" s="1">
        <v>2034</v>
      </c>
      <c r="AB106" s="1">
        <v>2035</v>
      </c>
    </row>
    <row r="107" spans="1:28" x14ac:dyDescent="0.25">
      <c r="A107" s="87" t="s">
        <v>5</v>
      </c>
      <c r="B107" s="86" t="s">
        <v>18</v>
      </c>
      <c r="C107" s="90">
        <f>+'5ta'!C$90*'5ta'!$R87</f>
        <v>9.069093063975886E-2</v>
      </c>
      <c r="D107" s="90">
        <f>+'5ta'!D$90*'5ta'!$R87</f>
        <v>9.069093063975886E-2</v>
      </c>
      <c r="E107" s="90">
        <f>+'5ta'!E$90*'5ta'!$R87</f>
        <v>9.069093063975886E-2</v>
      </c>
      <c r="F107" s="90">
        <f>+'5ta'!F$90*'5ta'!$R87</f>
        <v>9.069093063975886E-2</v>
      </c>
      <c r="G107" s="90">
        <f>+'5ta'!G$90*'5ta'!$R87</f>
        <v>9.069093063975886E-2</v>
      </c>
      <c r="H107" s="90">
        <f>+'5ta'!H$90*'5ta'!$R87</f>
        <v>9.5911786917128747E-2</v>
      </c>
      <c r="I107" s="90">
        <f>+'5ta'!I$90*'5ta'!$R87</f>
        <v>0.10113264319449865</v>
      </c>
      <c r="J107" s="90">
        <f>+'5ta'!J$90*'5ta'!$R87</f>
        <v>7.2515977918304483E-2</v>
      </c>
      <c r="K107" s="90">
        <f>+'5ta'!K$90*'5ta'!$R87</f>
        <v>4.3899312642110298E-2</v>
      </c>
      <c r="L107" s="90">
        <f>+'5ta'!L$90*'5ta'!$R87</f>
        <v>4.899761360780485E-2</v>
      </c>
      <c r="M107" s="90">
        <f>+'5ta'!M$90*'5ta'!$R87</f>
        <v>4.899761360780485E-2</v>
      </c>
      <c r="N107" s="90">
        <f>+'5ta'!N$90*'5ta'!$R87</f>
        <v>2.9780940737110004E-2</v>
      </c>
      <c r="O107" s="90">
        <f>+'5ta'!O$90*'5ta'!$R87</f>
        <v>2.9780940737110004E-2</v>
      </c>
      <c r="P107" s="90">
        <f t="shared" ref="P107:AB107" si="141">+O107-(0.049/100)</f>
        <v>2.9290940737110003E-2</v>
      </c>
      <c r="Q107" s="90">
        <f t="shared" si="141"/>
        <v>2.8800940737110002E-2</v>
      </c>
      <c r="R107" s="90">
        <f t="shared" si="141"/>
        <v>2.8310940737110001E-2</v>
      </c>
      <c r="S107" s="90">
        <f t="shared" si="141"/>
        <v>2.782094073711E-2</v>
      </c>
      <c r="T107" s="90">
        <f t="shared" si="141"/>
        <v>2.733094073711E-2</v>
      </c>
      <c r="U107" s="90">
        <f t="shared" si="141"/>
        <v>2.6840940737109999E-2</v>
      </c>
      <c r="V107" s="90">
        <f t="shared" si="141"/>
        <v>2.6350940737109998E-2</v>
      </c>
      <c r="W107" s="90">
        <f t="shared" si="141"/>
        <v>2.5860940737109997E-2</v>
      </c>
      <c r="X107" s="90">
        <f t="shared" si="141"/>
        <v>2.5370940737109996E-2</v>
      </c>
      <c r="Y107" s="90">
        <f t="shared" si="141"/>
        <v>2.4880940737109995E-2</v>
      </c>
      <c r="Z107" s="90">
        <f t="shared" si="141"/>
        <v>2.4390940737109994E-2</v>
      </c>
      <c r="AA107" s="90">
        <f t="shared" si="141"/>
        <v>2.3900940737109994E-2</v>
      </c>
      <c r="AB107" s="90">
        <f t="shared" si="141"/>
        <v>2.3410940737109993E-2</v>
      </c>
    </row>
    <row r="108" spans="1:28" x14ac:dyDescent="0.25">
      <c r="A108" s="87" t="s">
        <v>5</v>
      </c>
      <c r="B108" s="86" t="s">
        <v>20</v>
      </c>
      <c r="C108" s="90">
        <f>+'5ta'!C$90*'5ta'!$R88</f>
        <v>0.88561379455097156</v>
      </c>
      <c r="D108" s="90">
        <f>+'5ta'!D$90*'5ta'!$R88</f>
        <v>0.88561379455097156</v>
      </c>
      <c r="E108" s="90">
        <f>+'5ta'!E$90*'5ta'!$R88</f>
        <v>0.88561379455097156</v>
      </c>
      <c r="F108" s="90">
        <f>+'5ta'!F$90*'5ta'!$R88</f>
        <v>0.88561379455097156</v>
      </c>
      <c r="G108" s="90">
        <f>+'5ta'!G$90*'5ta'!$R88</f>
        <v>0.88561379455097156</v>
      </c>
      <c r="H108" s="90">
        <f>+'5ta'!H$90*'5ta'!$R88</f>
        <v>0.93659642650755437</v>
      </c>
      <c r="I108" s="90">
        <f>+'5ta'!I$90*'5ta'!$R88</f>
        <v>0.9875790584641374</v>
      </c>
      <c r="J108" s="90">
        <f>+'5ta'!J$90*'5ta'!$R88</f>
        <v>0.7081320030213647</v>
      </c>
      <c r="K108" s="90">
        <f>+'5ta'!K$90*'5ta'!$R88</f>
        <v>0.42868494757859188</v>
      </c>
      <c r="L108" s="90">
        <f>+'5ta'!L$90*'5ta'!$R88</f>
        <v>0.47847080413713294</v>
      </c>
      <c r="M108" s="90">
        <f>+'5ta'!M$90*'5ta'!$R88</f>
        <v>0.47847080413713294</v>
      </c>
      <c r="N108" s="90">
        <f>+'5ta'!N$90*'5ta'!$R88</f>
        <v>0.29081642172417038</v>
      </c>
      <c r="O108" s="90">
        <f>+'5ta'!O$90*'5ta'!$R88</f>
        <v>0.29081642172417038</v>
      </c>
      <c r="P108" s="90">
        <f t="shared" ref="P108:AB108" si="142">+O108-(0.049/100)</f>
        <v>0.29032642172417039</v>
      </c>
      <c r="Q108" s="90">
        <f t="shared" si="142"/>
        <v>0.2898364217241704</v>
      </c>
      <c r="R108" s="90">
        <f t="shared" si="142"/>
        <v>0.28934642172417041</v>
      </c>
      <c r="S108" s="90">
        <f t="shared" si="142"/>
        <v>0.28885642172417042</v>
      </c>
      <c r="T108" s="90">
        <f t="shared" si="142"/>
        <v>0.28836642172417043</v>
      </c>
      <c r="U108" s="90">
        <f t="shared" si="142"/>
        <v>0.28787642172417044</v>
      </c>
      <c r="V108" s="90">
        <f t="shared" si="142"/>
        <v>0.28738642172417045</v>
      </c>
      <c r="W108" s="90">
        <f t="shared" si="142"/>
        <v>0.28689642172417046</v>
      </c>
      <c r="X108" s="90">
        <f t="shared" si="142"/>
        <v>0.28640642172417047</v>
      </c>
      <c r="Y108" s="90">
        <f t="shared" si="142"/>
        <v>0.28591642172417048</v>
      </c>
      <c r="Z108" s="90">
        <f t="shared" si="142"/>
        <v>0.28542642172417049</v>
      </c>
      <c r="AA108" s="90">
        <f t="shared" si="142"/>
        <v>0.2849364217241705</v>
      </c>
      <c r="AB108" s="90">
        <f t="shared" si="142"/>
        <v>0.28444642172417051</v>
      </c>
    </row>
    <row r="109" spans="1:28" x14ac:dyDescent="0.25">
      <c r="A109" s="87" t="s">
        <v>5</v>
      </c>
      <c r="B109" s="86" t="s">
        <v>21</v>
      </c>
      <c r="C109" s="90">
        <f>+'5ta'!C$90*'5ta'!$R89</f>
        <v>8.4683257256326048</v>
      </c>
      <c r="D109" s="90">
        <f>+'5ta'!D$90*'5ta'!$R89</f>
        <v>8.4683257256326048</v>
      </c>
      <c r="E109" s="90">
        <f>+'5ta'!E$90*'5ta'!$R89</f>
        <v>8.4683257256326048</v>
      </c>
      <c r="F109" s="90">
        <f>+'5ta'!F$90*'5ta'!$R89</f>
        <v>8.4683257256326048</v>
      </c>
      <c r="G109" s="90">
        <f>+'5ta'!G$90*'5ta'!$R89</f>
        <v>8.4683257256326048</v>
      </c>
      <c r="H109" s="90">
        <f>+'5ta'!H$90*'5ta'!$R89</f>
        <v>8.9558266390271299</v>
      </c>
      <c r="I109" s="90">
        <f>+'5ta'!I$90*'5ta'!$R89</f>
        <v>9.4433275524216551</v>
      </c>
      <c r="J109" s="90">
        <f>+'5ta'!J$90*'5ta'!$R89</f>
        <v>6.7712274754821786</v>
      </c>
      <c r="K109" s="90">
        <f>+'5ta'!K$90*'5ta'!$R89</f>
        <v>4.0991273985427013</v>
      </c>
      <c r="L109" s="90">
        <f>+'5ta'!L$90*'5ta'!$R89</f>
        <v>4.5751846285242097</v>
      </c>
      <c r="M109" s="90">
        <f>+'5ta'!M$90*'5ta'!$R89</f>
        <v>4.5751846285242097</v>
      </c>
      <c r="N109" s="90">
        <f>+'5ta'!N$90*'5ta'!$R89</f>
        <v>2.7808150693631393</v>
      </c>
      <c r="O109" s="90">
        <f>+'5ta'!O$90*'5ta'!$R89</f>
        <v>2.7808150693631393</v>
      </c>
      <c r="P109" s="90">
        <f t="shared" ref="P109:AB109" si="143">+O109-(0.049/100)</f>
        <v>2.7803250693631392</v>
      </c>
      <c r="Q109" s="90">
        <f t="shared" si="143"/>
        <v>2.7798350693631391</v>
      </c>
      <c r="R109" s="90">
        <f t="shared" si="143"/>
        <v>2.779345069363139</v>
      </c>
      <c r="S109" s="90">
        <f t="shared" si="143"/>
        <v>2.7788550693631389</v>
      </c>
      <c r="T109" s="90">
        <f t="shared" si="143"/>
        <v>2.7783650693631388</v>
      </c>
      <c r="U109" s="90">
        <f t="shared" si="143"/>
        <v>2.7778750693631387</v>
      </c>
      <c r="V109" s="90">
        <f t="shared" si="143"/>
        <v>2.7773850693631386</v>
      </c>
      <c r="W109" s="90">
        <f t="shared" si="143"/>
        <v>2.7768950693631385</v>
      </c>
      <c r="X109" s="90">
        <f t="shared" si="143"/>
        <v>2.7764050693631384</v>
      </c>
      <c r="Y109" s="90">
        <f t="shared" si="143"/>
        <v>2.7759150693631383</v>
      </c>
      <c r="Z109" s="90">
        <f t="shared" si="143"/>
        <v>2.7754250693631382</v>
      </c>
      <c r="AA109" s="90">
        <f t="shared" si="143"/>
        <v>2.7749350693631381</v>
      </c>
      <c r="AB109" s="90">
        <f t="shared" si="143"/>
        <v>2.774445069363138</v>
      </c>
    </row>
    <row r="110" spans="1:28" x14ac:dyDescent="0.25">
      <c r="A110" s="87" t="s">
        <v>5</v>
      </c>
      <c r="B110" s="86" t="s">
        <v>22</v>
      </c>
      <c r="C110" s="90">
        <f>+'5ta'!C$90*'5ta'!$R90</f>
        <v>3.4423197971978516</v>
      </c>
      <c r="D110" s="90">
        <f>+'5ta'!D$90*'5ta'!$R90</f>
        <v>3.4423197971978516</v>
      </c>
      <c r="E110" s="90">
        <f>+'5ta'!E$90*'5ta'!$R90</f>
        <v>3.4423197971978516</v>
      </c>
      <c r="F110" s="90">
        <f>+'5ta'!F$90*'5ta'!$R90</f>
        <v>3.4423197971978516</v>
      </c>
      <c r="G110" s="90">
        <f>+'5ta'!G$90*'5ta'!$R90</f>
        <v>3.4423197971978516</v>
      </c>
      <c r="H110" s="90">
        <f>+'5ta'!H$90*'5ta'!$R90</f>
        <v>3.6404857747122139</v>
      </c>
      <c r="I110" s="90">
        <f>+'5ta'!I$90*'5ta'!$R90</f>
        <v>3.8386517522265771</v>
      </c>
      <c r="J110" s="90">
        <f>+'5ta'!J$90*'5ta'!$R90</f>
        <v>2.7524603027053631</v>
      </c>
      <c r="K110" s="90">
        <f>+'5ta'!K$90*'5ta'!$R90</f>
        <v>1.6662688531841492</v>
      </c>
      <c r="L110" s="90">
        <f>+'5ta'!L$90*'5ta'!$R90</f>
        <v>1.8597830471887851</v>
      </c>
      <c r="M110" s="90">
        <f>+'5ta'!M$90*'5ta'!$R90</f>
        <v>1.8597830471887851</v>
      </c>
      <c r="N110" s="90">
        <f>+'5ta'!N$90*'5ta'!$R90</f>
        <v>1.1303833928636189</v>
      </c>
      <c r="O110" s="90">
        <f>+'5ta'!O$90*'5ta'!$R90</f>
        <v>1.1303833928636189</v>
      </c>
      <c r="P110" s="90">
        <f t="shared" ref="P110:AB110" si="144">+O110-(0.049/100)</f>
        <v>1.1298933928636188</v>
      </c>
      <c r="Q110" s="90">
        <f t="shared" si="144"/>
        <v>1.1294033928636187</v>
      </c>
      <c r="R110" s="90">
        <f t="shared" si="144"/>
        <v>1.1289133928636186</v>
      </c>
      <c r="S110" s="90">
        <f t="shared" si="144"/>
        <v>1.1284233928636185</v>
      </c>
      <c r="T110" s="90">
        <f t="shared" si="144"/>
        <v>1.1279333928636184</v>
      </c>
      <c r="U110" s="90">
        <f t="shared" si="144"/>
        <v>1.1274433928636183</v>
      </c>
      <c r="V110" s="90">
        <f t="shared" si="144"/>
        <v>1.1269533928636182</v>
      </c>
      <c r="W110" s="90">
        <f t="shared" si="144"/>
        <v>1.1264633928636181</v>
      </c>
      <c r="X110" s="90">
        <f t="shared" si="144"/>
        <v>1.125973392863618</v>
      </c>
      <c r="Y110" s="90">
        <f t="shared" si="144"/>
        <v>1.1254833928636179</v>
      </c>
      <c r="Z110" s="90">
        <f t="shared" si="144"/>
        <v>1.1249933928636178</v>
      </c>
      <c r="AA110" s="90">
        <f t="shared" si="144"/>
        <v>1.1245033928636177</v>
      </c>
      <c r="AB110" s="90">
        <f t="shared" si="144"/>
        <v>1.1240133928636176</v>
      </c>
    </row>
    <row r="111" spans="1:28" x14ac:dyDescent="0.25">
      <c r="A111" s="87" t="s">
        <v>5</v>
      </c>
      <c r="B111" s="86" t="s">
        <v>23</v>
      </c>
      <c r="C111" s="90">
        <f>+'5ta'!C$90*'5ta'!$R91</f>
        <v>2.3706365082812315</v>
      </c>
      <c r="D111" s="90">
        <f>+'5ta'!D$90*'5ta'!$R91</f>
        <v>2.3706365082812315</v>
      </c>
      <c r="E111" s="90">
        <f>+'5ta'!E$90*'5ta'!$R91</f>
        <v>2.3706365082812315</v>
      </c>
      <c r="F111" s="90">
        <f>+'5ta'!F$90*'5ta'!$R91</f>
        <v>2.3706365082812315</v>
      </c>
      <c r="G111" s="90">
        <f>+'5ta'!G$90*'5ta'!$R91</f>
        <v>2.3706365082812315</v>
      </c>
      <c r="H111" s="90">
        <f>+'5ta'!H$90*'5ta'!$R91</f>
        <v>2.5071082856498532</v>
      </c>
      <c r="I111" s="90">
        <f>+'5ta'!I$90*'5ta'!$R91</f>
        <v>2.6435800630184758</v>
      </c>
      <c r="J111" s="90">
        <f>+'5ta'!J$90*'5ta'!$R91</f>
        <v>1.8955481377702765</v>
      </c>
      <c r="K111" s="90">
        <f>+'5ta'!K$90*'5ta'!$R91</f>
        <v>1.1475162125220773</v>
      </c>
      <c r="L111" s="90">
        <f>+'5ta'!L$90*'5ta'!$R91</f>
        <v>1.2807844270416706</v>
      </c>
      <c r="M111" s="90">
        <f>+'5ta'!M$90*'5ta'!$R91</f>
        <v>1.2807844270416706</v>
      </c>
      <c r="N111" s="90">
        <f>+'5ta'!N$90*'5ta'!$R91</f>
        <v>0.77846577231397196</v>
      </c>
      <c r="O111" s="90">
        <f>+'5ta'!O$90*'5ta'!$R91</f>
        <v>0.77846577231397196</v>
      </c>
      <c r="P111" s="90">
        <f t="shared" ref="P111:AB111" si="145">+O111-(0.049/100)</f>
        <v>0.77797577231397197</v>
      </c>
      <c r="Q111" s="90">
        <f t="shared" si="145"/>
        <v>0.77748577231397198</v>
      </c>
      <c r="R111" s="90">
        <f t="shared" si="145"/>
        <v>0.77699577231397199</v>
      </c>
      <c r="S111" s="90">
        <f t="shared" si="145"/>
        <v>0.776505772313972</v>
      </c>
      <c r="T111" s="90">
        <f t="shared" si="145"/>
        <v>0.77601577231397201</v>
      </c>
      <c r="U111" s="90">
        <f t="shared" si="145"/>
        <v>0.77552577231397202</v>
      </c>
      <c r="V111" s="90">
        <f t="shared" si="145"/>
        <v>0.77503577231397203</v>
      </c>
      <c r="W111" s="90">
        <f t="shared" si="145"/>
        <v>0.77454577231397204</v>
      </c>
      <c r="X111" s="90">
        <f t="shared" si="145"/>
        <v>0.77405577231397205</v>
      </c>
      <c r="Y111" s="90">
        <f t="shared" si="145"/>
        <v>0.77356577231397206</v>
      </c>
      <c r="Z111" s="90">
        <f t="shared" si="145"/>
        <v>0.77307577231397206</v>
      </c>
      <c r="AA111" s="90">
        <f t="shared" si="145"/>
        <v>0.77258577231397207</v>
      </c>
      <c r="AB111" s="90">
        <f t="shared" si="145"/>
        <v>0.77209577231397208</v>
      </c>
    </row>
    <row r="112" spans="1:28" x14ac:dyDescent="0.25">
      <c r="A112" s="87" t="s">
        <v>5</v>
      </c>
      <c r="B112" s="86" t="s">
        <v>24</v>
      </c>
      <c r="C112" s="90">
        <f>+'5ta'!C$90*'5ta'!$R92</f>
        <v>17.347125901318453</v>
      </c>
      <c r="D112" s="90">
        <f>+'5ta'!D$90*'5ta'!$R92</f>
        <v>17.347125901318453</v>
      </c>
      <c r="E112" s="90">
        <f>+'5ta'!E$90*'5ta'!$R92</f>
        <v>17.347125901318453</v>
      </c>
      <c r="F112" s="90">
        <f>+'5ta'!F$90*'5ta'!$R92</f>
        <v>17.347125901318453</v>
      </c>
      <c r="G112" s="90">
        <f>+'5ta'!G$90*'5ta'!$R92</f>
        <v>17.347125901318453</v>
      </c>
      <c r="H112" s="90">
        <f>+'5ta'!H$90*'5ta'!$R92</f>
        <v>18.3457577437457</v>
      </c>
      <c r="I112" s="90">
        <f>+'5ta'!I$90*'5ta'!$R92</f>
        <v>19.344389586172955</v>
      </c>
      <c r="J112" s="90">
        <f>+'5ta'!J$90*'5ta'!$R92</f>
        <v>13.870668102446119</v>
      </c>
      <c r="K112" s="90">
        <f>+'5ta'!K$90*'5ta'!$R92</f>
        <v>8.3969466187192836</v>
      </c>
      <c r="L112" s="90">
        <f>+'5ta'!L$90*'5ta'!$R92</f>
        <v>9.3721363991177249</v>
      </c>
      <c r="M112" s="90">
        <f>+'5ta'!M$90*'5ta'!$R92</f>
        <v>9.3721363991177249</v>
      </c>
      <c r="N112" s="90">
        <f>+'5ta'!N$90*'5ta'!$R92</f>
        <v>5.6964210730005185</v>
      </c>
      <c r="O112" s="90">
        <f>+'5ta'!O$90*'5ta'!$R92</f>
        <v>5.6964210730005185</v>
      </c>
      <c r="P112" s="90">
        <f t="shared" ref="P112:AB112" si="146">+O112-(0.049/100)</f>
        <v>5.6959310730005184</v>
      </c>
      <c r="Q112" s="90">
        <f t="shared" si="146"/>
        <v>5.6954410730005183</v>
      </c>
      <c r="R112" s="90">
        <f t="shared" si="146"/>
        <v>5.6949510730005182</v>
      </c>
      <c r="S112" s="90">
        <f t="shared" si="146"/>
        <v>5.6944610730005181</v>
      </c>
      <c r="T112" s="90">
        <f t="shared" si="146"/>
        <v>5.693971073000518</v>
      </c>
      <c r="U112" s="90">
        <f t="shared" si="146"/>
        <v>5.6934810730005179</v>
      </c>
      <c r="V112" s="90">
        <f t="shared" si="146"/>
        <v>5.6929910730005178</v>
      </c>
      <c r="W112" s="90">
        <f t="shared" si="146"/>
        <v>5.6925010730005177</v>
      </c>
      <c r="X112" s="90">
        <f t="shared" si="146"/>
        <v>5.6920110730005176</v>
      </c>
      <c r="Y112" s="90">
        <f t="shared" si="146"/>
        <v>5.6915210730005175</v>
      </c>
      <c r="Z112" s="90">
        <f t="shared" si="146"/>
        <v>5.6910310730005174</v>
      </c>
      <c r="AA112" s="90">
        <f t="shared" si="146"/>
        <v>5.6905410730005173</v>
      </c>
      <c r="AB112" s="90">
        <f t="shared" si="146"/>
        <v>5.6900510730005172</v>
      </c>
    </row>
    <row r="113" spans="1:28" x14ac:dyDescent="0.25">
      <c r="A113" s="87" t="s">
        <v>5</v>
      </c>
      <c r="B113" s="86" t="s">
        <v>25</v>
      </c>
      <c r="C113" s="90">
        <f>+'5ta'!C$90*'5ta'!$R93</f>
        <v>1.9219258931165539</v>
      </c>
      <c r="D113" s="90">
        <f>+'5ta'!D$90*'5ta'!$R93</f>
        <v>1.9219258931165539</v>
      </c>
      <c r="E113" s="90">
        <f>+'5ta'!E$90*'5ta'!$R93</f>
        <v>1.9219258931165539</v>
      </c>
      <c r="F113" s="90">
        <f>+'5ta'!F$90*'5ta'!$R93</f>
        <v>1.9219258931165539</v>
      </c>
      <c r="G113" s="90">
        <f>+'5ta'!G$90*'5ta'!$R93</f>
        <v>1.9219258931165539</v>
      </c>
      <c r="H113" s="90">
        <f>+'5ta'!H$90*'5ta'!$R93</f>
        <v>2.0325664918283985</v>
      </c>
      <c r="I113" s="90">
        <f>+'5ta'!I$90*'5ta'!$R93</f>
        <v>2.1432070905402436</v>
      </c>
      <c r="J113" s="90">
        <f>+'5ta'!J$90*'5ta'!$R93</f>
        <v>1.536761555347385</v>
      </c>
      <c r="K113" s="90">
        <f>+'5ta'!K$90*'5ta'!$R93</f>
        <v>0.93031602015452641</v>
      </c>
      <c r="L113" s="90">
        <f>+'5ta'!L$90*'5ta'!$R93</f>
        <v>1.038359421713511</v>
      </c>
      <c r="M113" s="90">
        <f>+'5ta'!M$90*'5ta'!$R93</f>
        <v>1.038359421713511</v>
      </c>
      <c r="N113" s="90">
        <f>+'5ta'!N$90*'5ta'!$R93</f>
        <v>0.63111890814503058</v>
      </c>
      <c r="O113" s="90">
        <f>+'5ta'!O$90*'5ta'!$R93</f>
        <v>0.63111890814503058</v>
      </c>
      <c r="P113" s="90">
        <f t="shared" ref="P113:AB113" si="147">+O113-(0.049/100)</f>
        <v>0.63062890814503059</v>
      </c>
      <c r="Q113" s="90">
        <f t="shared" si="147"/>
        <v>0.6301389081450306</v>
      </c>
      <c r="R113" s="90">
        <f t="shared" si="147"/>
        <v>0.62964890814503061</v>
      </c>
      <c r="S113" s="90">
        <f t="shared" si="147"/>
        <v>0.62915890814503062</v>
      </c>
      <c r="T113" s="90">
        <f t="shared" si="147"/>
        <v>0.62866890814503062</v>
      </c>
      <c r="U113" s="90">
        <f t="shared" si="147"/>
        <v>0.62817890814503063</v>
      </c>
      <c r="V113" s="90">
        <f t="shared" si="147"/>
        <v>0.62768890814503064</v>
      </c>
      <c r="W113" s="90">
        <f t="shared" si="147"/>
        <v>0.62719890814503065</v>
      </c>
      <c r="X113" s="90">
        <f t="shared" si="147"/>
        <v>0.62670890814503066</v>
      </c>
      <c r="Y113" s="90">
        <f t="shared" si="147"/>
        <v>0.62621890814503067</v>
      </c>
      <c r="Z113" s="90">
        <f t="shared" si="147"/>
        <v>0.62572890814503068</v>
      </c>
      <c r="AA113" s="90">
        <f t="shared" si="147"/>
        <v>0.62523890814503069</v>
      </c>
      <c r="AB113" s="90">
        <f t="shared" si="147"/>
        <v>0.6247489081450307</v>
      </c>
    </row>
    <row r="114" spans="1:28" x14ac:dyDescent="0.25">
      <c r="A114" s="87" t="s">
        <v>5</v>
      </c>
      <c r="B114" s="86" t="s">
        <v>26</v>
      </c>
      <c r="C114" s="90">
        <f>+'5ta'!C$90*'5ta'!$R94</f>
        <v>0.4773143868604896</v>
      </c>
      <c r="D114" s="90">
        <f>+'5ta'!D$90*'5ta'!$R94</f>
        <v>0.4773143868604896</v>
      </c>
      <c r="E114" s="90">
        <f>+'5ta'!E$90*'5ta'!$R94</f>
        <v>0.4773143868604896</v>
      </c>
      <c r="F114" s="90">
        <f>+'5ta'!F$90*'5ta'!$R94</f>
        <v>0.4773143868604896</v>
      </c>
      <c r="G114" s="90">
        <f>+'5ta'!G$90*'5ta'!$R94</f>
        <v>0.4773143868604896</v>
      </c>
      <c r="H114" s="90">
        <f>+'5ta'!H$90*'5ta'!$R94</f>
        <v>0.50479221507705285</v>
      </c>
      <c r="I114" s="90">
        <f>+'5ta'!I$90*'5ta'!$R94</f>
        <v>0.53227004329361616</v>
      </c>
      <c r="J114" s="90">
        <f>+'5ta'!J$90*'5ta'!$R94</f>
        <v>0.38165800365588065</v>
      </c>
      <c r="K114" s="90">
        <f>+'5ta'!K$90*'5ta'!$R94</f>
        <v>0.23104596401814509</v>
      </c>
      <c r="L114" s="90">
        <f>+'5ta'!L$90*'5ta'!$R94</f>
        <v>0.25787877279300503</v>
      </c>
      <c r="M114" s="90">
        <f>+'5ta'!M$90*'5ta'!$R94</f>
        <v>0.25787877279300503</v>
      </c>
      <c r="N114" s="90">
        <f>+'5ta'!N$90*'5ta'!$R94</f>
        <v>0.15673972433391753</v>
      </c>
      <c r="O114" s="90">
        <f>+'5ta'!O$90*'5ta'!$R94</f>
        <v>0.15673972433391753</v>
      </c>
      <c r="P114" s="90">
        <f t="shared" ref="P114:AB114" si="148">+O114-(0.049/100)</f>
        <v>0.15624972433391754</v>
      </c>
      <c r="Q114" s="90">
        <f t="shared" si="148"/>
        <v>0.15575972433391755</v>
      </c>
      <c r="R114" s="90">
        <f t="shared" si="148"/>
        <v>0.15526972433391756</v>
      </c>
      <c r="S114" s="90">
        <f t="shared" si="148"/>
        <v>0.15477972433391757</v>
      </c>
      <c r="T114" s="90">
        <f t="shared" si="148"/>
        <v>0.15428972433391758</v>
      </c>
      <c r="U114" s="90">
        <f t="shared" si="148"/>
        <v>0.15379972433391759</v>
      </c>
      <c r="V114" s="90">
        <f t="shared" si="148"/>
        <v>0.1533097243339176</v>
      </c>
      <c r="W114" s="90">
        <f t="shared" si="148"/>
        <v>0.15281972433391761</v>
      </c>
      <c r="X114" s="90">
        <f t="shared" si="148"/>
        <v>0.15232972433391762</v>
      </c>
      <c r="Y114" s="90">
        <f t="shared" si="148"/>
        <v>0.15183972433391763</v>
      </c>
      <c r="Z114" s="90">
        <f t="shared" si="148"/>
        <v>0.15134972433391763</v>
      </c>
      <c r="AA114" s="90">
        <f t="shared" si="148"/>
        <v>0.15085972433391764</v>
      </c>
      <c r="AB114" s="90">
        <f t="shared" si="148"/>
        <v>0.15036972433391765</v>
      </c>
    </row>
    <row r="115" spans="1:28" x14ac:dyDescent="0.25">
      <c r="A115" s="87" t="s">
        <v>5</v>
      </c>
      <c r="B115" s="86" t="s">
        <v>27</v>
      </c>
      <c r="C115" s="90">
        <f>+'5ta'!C$90*'5ta'!$R95</f>
        <v>1.9960470624020827</v>
      </c>
      <c r="D115" s="90">
        <f>+'5ta'!D$90*'5ta'!$R95</f>
        <v>1.9960470624020827</v>
      </c>
      <c r="E115" s="90">
        <f>+'5ta'!E$90*'5ta'!$R95</f>
        <v>1.9960470624020827</v>
      </c>
      <c r="F115" s="90">
        <f>+'5ta'!F$90*'5ta'!$R95</f>
        <v>1.9960470624020827</v>
      </c>
      <c r="G115" s="90">
        <f>+'5ta'!G$90*'5ta'!$R95</f>
        <v>1.9960470624020827</v>
      </c>
      <c r="H115" s="90">
        <f>+'5ta'!H$90*'5ta'!$R95</f>
        <v>2.110954636534959</v>
      </c>
      <c r="I115" s="90">
        <f>+'5ta'!I$90*'5ta'!$R95</f>
        <v>2.2258622106678358</v>
      </c>
      <c r="J115" s="90">
        <f>+'5ta'!J$90*'5ta'!$R95</f>
        <v>1.5960284416531247</v>
      </c>
      <c r="K115" s="90">
        <f>+'5ta'!K$90*'5ta'!$R95</f>
        <v>0.96619467263841352</v>
      </c>
      <c r="L115" s="90">
        <f>+'5ta'!L$90*'5ta'!$R95</f>
        <v>1.0784048858761521</v>
      </c>
      <c r="M115" s="90">
        <f>+'5ta'!M$90*'5ta'!$R95</f>
        <v>1.0784048858761521</v>
      </c>
      <c r="N115" s="90">
        <f>+'5ta'!N$90*'5ta'!$R95</f>
        <v>0.65545869751852182</v>
      </c>
      <c r="O115" s="90">
        <f>+'5ta'!O$90*'5ta'!$R95</f>
        <v>0.65545869751852182</v>
      </c>
      <c r="P115" s="90">
        <f t="shared" ref="P115:AB115" si="149">+O115-(0.049/100)</f>
        <v>0.65496869751852183</v>
      </c>
      <c r="Q115" s="90">
        <f t="shared" si="149"/>
        <v>0.65447869751852183</v>
      </c>
      <c r="R115" s="90">
        <f t="shared" si="149"/>
        <v>0.65398869751852184</v>
      </c>
      <c r="S115" s="90">
        <f t="shared" si="149"/>
        <v>0.65349869751852185</v>
      </c>
      <c r="T115" s="90">
        <f t="shared" si="149"/>
        <v>0.65300869751852186</v>
      </c>
      <c r="U115" s="90">
        <f t="shared" si="149"/>
        <v>0.65251869751852187</v>
      </c>
      <c r="V115" s="90">
        <f t="shared" si="149"/>
        <v>0.65202869751852188</v>
      </c>
      <c r="W115" s="90">
        <f t="shared" si="149"/>
        <v>0.65153869751852189</v>
      </c>
      <c r="X115" s="90">
        <f t="shared" si="149"/>
        <v>0.6510486975185219</v>
      </c>
      <c r="Y115" s="90">
        <f t="shared" si="149"/>
        <v>0.65055869751852191</v>
      </c>
      <c r="Z115" s="90">
        <f t="shared" si="149"/>
        <v>0.65006869751852192</v>
      </c>
      <c r="AA115" s="90">
        <f t="shared" si="149"/>
        <v>0.64957869751852193</v>
      </c>
      <c r="AB115" s="90">
        <f t="shared" si="149"/>
        <v>0.64908869751852194</v>
      </c>
    </row>
    <row r="117" spans="1:28" x14ac:dyDescent="0.25">
      <c r="A117" s="1" t="s">
        <v>105</v>
      </c>
      <c r="B117" s="65" t="s">
        <v>106</v>
      </c>
      <c r="C117" s="1">
        <v>2010</v>
      </c>
      <c r="D117" s="1">
        <v>2011</v>
      </c>
      <c r="E117" s="1">
        <v>2012</v>
      </c>
      <c r="F117" s="1">
        <v>2013</v>
      </c>
      <c r="G117" s="1">
        <v>2014</v>
      </c>
      <c r="H117" s="1">
        <v>2015</v>
      </c>
      <c r="I117" s="1">
        <v>2016</v>
      </c>
      <c r="J117" s="1">
        <v>2017</v>
      </c>
      <c r="K117" s="1">
        <v>2018</v>
      </c>
      <c r="L117" s="1">
        <v>2019</v>
      </c>
      <c r="M117" s="1">
        <v>2020</v>
      </c>
      <c r="N117" s="1">
        <v>2021</v>
      </c>
      <c r="O117" s="1">
        <v>2022</v>
      </c>
      <c r="P117" s="1">
        <v>2023</v>
      </c>
      <c r="Q117" s="1">
        <v>2024</v>
      </c>
      <c r="R117" s="1">
        <v>2025</v>
      </c>
      <c r="S117" s="1">
        <v>2026</v>
      </c>
      <c r="T117" s="1">
        <v>2027</v>
      </c>
      <c r="U117" s="1">
        <v>2028</v>
      </c>
      <c r="V117" s="1">
        <v>2029</v>
      </c>
      <c r="W117" s="1">
        <v>2030</v>
      </c>
      <c r="X117" s="1">
        <v>2031</v>
      </c>
      <c r="Y117" s="1">
        <v>2032</v>
      </c>
      <c r="Z117" s="1">
        <v>2033</v>
      </c>
      <c r="AA117" s="1">
        <v>2034</v>
      </c>
      <c r="AB117" s="1">
        <v>2035</v>
      </c>
    </row>
    <row r="118" spans="1:28" x14ac:dyDescent="0.25">
      <c r="A118" s="87" t="s">
        <v>6</v>
      </c>
      <c r="B118" s="86" t="s">
        <v>18</v>
      </c>
      <c r="C118" s="90">
        <f>+'5ta'!C$91*'5ta'!$R87</f>
        <v>0</v>
      </c>
      <c r="D118" s="90" t="e">
        <f>+'5ta'!D$91*'5ta'!$R87</f>
        <v>#VALUE!</v>
      </c>
      <c r="E118" s="90">
        <f>+'5ta'!E$91*'5ta'!$R87</f>
        <v>0</v>
      </c>
      <c r="F118" s="90" t="e">
        <f>+'5ta'!F$91*'5ta'!$R87</f>
        <v>#VALUE!</v>
      </c>
      <c r="G118" s="90">
        <f>+'5ta'!G$91*'5ta'!$R87</f>
        <v>0</v>
      </c>
      <c r="H118" s="90" t="e">
        <f>+'5ta'!H$91*'5ta'!$R87</f>
        <v>#VALUE!</v>
      </c>
      <c r="I118" s="90">
        <f>+'5ta'!I$91*'5ta'!$R87</f>
        <v>0</v>
      </c>
      <c r="J118" s="90" t="e">
        <f>+'5ta'!J$91*'5ta'!$R87</f>
        <v>#VALUE!</v>
      </c>
      <c r="K118" s="90">
        <f>+'5ta'!K$91*'5ta'!$R87</f>
        <v>0.43259573915164978</v>
      </c>
      <c r="L118" s="90">
        <f>+'5ta'!L$91*'5ta'!$R87</f>
        <v>0.131036139243284</v>
      </c>
      <c r="M118" s="90">
        <f>+'5ta'!M$91*'5ta'!$R87</f>
        <v>0.131036139243284</v>
      </c>
      <c r="N118" s="90">
        <f>+'5ta'!N$91*'5ta'!$R87</f>
        <v>0</v>
      </c>
      <c r="O118" s="90">
        <f>+'5ta'!O$91*'5ta'!$R87</f>
        <v>0</v>
      </c>
      <c r="P118" s="90">
        <f t="shared" ref="P118:AB118" si="150">+O118-(0.049/100)</f>
        <v>-4.8999999999999998E-4</v>
      </c>
      <c r="Q118" s="90">
        <f t="shared" si="150"/>
        <v>-9.7999999999999997E-4</v>
      </c>
      <c r="R118" s="90">
        <f t="shared" si="150"/>
        <v>-1.47E-3</v>
      </c>
      <c r="S118" s="90">
        <f t="shared" si="150"/>
        <v>-1.9599999999999999E-3</v>
      </c>
      <c r="T118" s="90">
        <f t="shared" si="150"/>
        <v>-2.4499999999999999E-3</v>
      </c>
      <c r="U118" s="90">
        <f t="shared" si="150"/>
        <v>-2.9399999999999999E-3</v>
      </c>
      <c r="V118" s="90">
        <f t="shared" si="150"/>
        <v>-3.4299999999999999E-3</v>
      </c>
      <c r="W118" s="90">
        <f t="shared" si="150"/>
        <v>-3.9199999999999999E-3</v>
      </c>
      <c r="X118" s="90">
        <f t="shared" si="150"/>
        <v>-4.4099999999999999E-3</v>
      </c>
      <c r="Y118" s="90">
        <f t="shared" si="150"/>
        <v>-4.8999999999999998E-3</v>
      </c>
      <c r="Z118" s="90">
        <f t="shared" si="150"/>
        <v>-5.3899999999999998E-3</v>
      </c>
      <c r="AA118" s="90">
        <f t="shared" si="150"/>
        <v>-5.8799999999999998E-3</v>
      </c>
      <c r="AB118" s="90">
        <f t="shared" si="150"/>
        <v>-6.3699999999999998E-3</v>
      </c>
    </row>
    <row r="119" spans="1:28" x14ac:dyDescent="0.25">
      <c r="A119" s="87" t="s">
        <v>6</v>
      </c>
      <c r="B119" s="86" t="s">
        <v>20</v>
      </c>
      <c r="C119" s="90">
        <f>+'5ta'!C$91*'5ta'!$R88</f>
        <v>0</v>
      </c>
      <c r="D119" s="90" t="e">
        <f>+'5ta'!D$91*'5ta'!$R88</f>
        <v>#VALUE!</v>
      </c>
      <c r="E119" s="90">
        <f>+'5ta'!E$91*'5ta'!$R88</f>
        <v>0</v>
      </c>
      <c r="F119" s="90" t="e">
        <f>+'5ta'!F$91*'5ta'!$R88</f>
        <v>#VALUE!</v>
      </c>
      <c r="G119" s="90">
        <f>+'5ta'!G$91*'5ta'!$R88</f>
        <v>0</v>
      </c>
      <c r="H119" s="90" t="e">
        <f>+'5ta'!H$91*'5ta'!$R88</f>
        <v>#VALUE!</v>
      </c>
      <c r="I119" s="90">
        <f>+'5ta'!I$91*'5ta'!$R88</f>
        <v>0</v>
      </c>
      <c r="J119" s="90" t="e">
        <f>+'5ta'!J$91*'5ta'!$R88</f>
        <v>#VALUE!</v>
      </c>
      <c r="K119" s="90">
        <f>+'5ta'!K$91*'5ta'!$R88</f>
        <v>4.224377800008134</v>
      </c>
      <c r="L119" s="90">
        <f>+'5ta'!L$91*'5ta'!$R88</f>
        <v>1.2795922555863497</v>
      </c>
      <c r="M119" s="90">
        <f>+'5ta'!M$91*'5ta'!$R88</f>
        <v>1.2795922555863497</v>
      </c>
      <c r="N119" s="90">
        <f>+'5ta'!N$91*'5ta'!$R88</f>
        <v>0</v>
      </c>
      <c r="O119" s="90">
        <f>+'5ta'!O$91*'5ta'!$R88</f>
        <v>0</v>
      </c>
      <c r="P119" s="90">
        <f t="shared" ref="P119:AB119" si="151">+O119-(0.049/100)</f>
        <v>-4.8999999999999998E-4</v>
      </c>
      <c r="Q119" s="90">
        <f t="shared" si="151"/>
        <v>-9.7999999999999997E-4</v>
      </c>
      <c r="R119" s="90">
        <f t="shared" si="151"/>
        <v>-1.47E-3</v>
      </c>
      <c r="S119" s="90">
        <f t="shared" si="151"/>
        <v>-1.9599999999999999E-3</v>
      </c>
      <c r="T119" s="90">
        <f t="shared" si="151"/>
        <v>-2.4499999999999999E-3</v>
      </c>
      <c r="U119" s="90">
        <f t="shared" si="151"/>
        <v>-2.9399999999999999E-3</v>
      </c>
      <c r="V119" s="90">
        <f t="shared" si="151"/>
        <v>-3.4299999999999999E-3</v>
      </c>
      <c r="W119" s="90">
        <f t="shared" si="151"/>
        <v>-3.9199999999999999E-3</v>
      </c>
      <c r="X119" s="90">
        <f t="shared" si="151"/>
        <v>-4.4099999999999999E-3</v>
      </c>
      <c r="Y119" s="90">
        <f t="shared" si="151"/>
        <v>-4.8999999999999998E-3</v>
      </c>
      <c r="Z119" s="90">
        <f t="shared" si="151"/>
        <v>-5.3899999999999998E-3</v>
      </c>
      <c r="AA119" s="90">
        <f t="shared" si="151"/>
        <v>-5.8799999999999998E-3</v>
      </c>
      <c r="AB119" s="90">
        <f t="shared" si="151"/>
        <v>-6.3699999999999998E-3</v>
      </c>
    </row>
    <row r="120" spans="1:28" x14ac:dyDescent="0.25">
      <c r="A120" s="87" t="s">
        <v>6</v>
      </c>
      <c r="B120" s="86" t="s">
        <v>21</v>
      </c>
      <c r="C120" s="90">
        <f>+'5ta'!C$91*'5ta'!$R89</f>
        <v>0</v>
      </c>
      <c r="D120" s="90" t="e">
        <f>+'5ta'!D$91*'5ta'!$R89</f>
        <v>#VALUE!</v>
      </c>
      <c r="E120" s="90">
        <f>+'5ta'!E$91*'5ta'!$R89</f>
        <v>0</v>
      </c>
      <c r="F120" s="90" t="e">
        <f>+'5ta'!F$91*'5ta'!$R89</f>
        <v>#VALUE!</v>
      </c>
      <c r="G120" s="90">
        <f>+'5ta'!G$91*'5ta'!$R89</f>
        <v>0</v>
      </c>
      <c r="H120" s="90" t="e">
        <f>+'5ta'!H$91*'5ta'!$R89</f>
        <v>#VALUE!</v>
      </c>
      <c r="I120" s="90">
        <f>+'5ta'!I$91*'5ta'!$R89</f>
        <v>0</v>
      </c>
      <c r="J120" s="90" t="e">
        <f>+'5ta'!J$91*'5ta'!$R89</f>
        <v>#VALUE!</v>
      </c>
      <c r="K120" s="90">
        <f>+'5ta'!K$91*'5ta'!$R89</f>
        <v>40.39391371126753</v>
      </c>
      <c r="L120" s="90">
        <f>+'5ta'!L$91*'5ta'!$R89</f>
        <v>12.235586305197812</v>
      </c>
      <c r="M120" s="90">
        <f>+'5ta'!M$91*'5ta'!$R89</f>
        <v>12.235586305197812</v>
      </c>
      <c r="N120" s="90">
        <f>+'5ta'!N$91*'5ta'!$R89</f>
        <v>0</v>
      </c>
      <c r="O120" s="90">
        <f>+'5ta'!O$91*'5ta'!$R89</f>
        <v>0</v>
      </c>
      <c r="P120" s="90">
        <f t="shared" ref="P120:AB120" si="152">+O120-(0.049/100)</f>
        <v>-4.8999999999999998E-4</v>
      </c>
      <c r="Q120" s="90">
        <f t="shared" si="152"/>
        <v>-9.7999999999999997E-4</v>
      </c>
      <c r="R120" s="90">
        <f t="shared" si="152"/>
        <v>-1.47E-3</v>
      </c>
      <c r="S120" s="90">
        <f t="shared" si="152"/>
        <v>-1.9599999999999999E-3</v>
      </c>
      <c r="T120" s="90">
        <f t="shared" si="152"/>
        <v>-2.4499999999999999E-3</v>
      </c>
      <c r="U120" s="90">
        <f t="shared" si="152"/>
        <v>-2.9399999999999999E-3</v>
      </c>
      <c r="V120" s="90">
        <f t="shared" si="152"/>
        <v>-3.4299999999999999E-3</v>
      </c>
      <c r="W120" s="90">
        <f t="shared" si="152"/>
        <v>-3.9199999999999999E-3</v>
      </c>
      <c r="X120" s="90">
        <f t="shared" si="152"/>
        <v>-4.4099999999999999E-3</v>
      </c>
      <c r="Y120" s="90">
        <f t="shared" si="152"/>
        <v>-4.8999999999999998E-3</v>
      </c>
      <c r="Z120" s="90">
        <f t="shared" si="152"/>
        <v>-5.3899999999999998E-3</v>
      </c>
      <c r="AA120" s="90">
        <f t="shared" si="152"/>
        <v>-5.8799999999999998E-3</v>
      </c>
      <c r="AB120" s="90">
        <f t="shared" si="152"/>
        <v>-6.3699999999999998E-3</v>
      </c>
    </row>
    <row r="121" spans="1:28" x14ac:dyDescent="0.25">
      <c r="A121" s="87" t="s">
        <v>6</v>
      </c>
      <c r="B121" s="86" t="s">
        <v>22</v>
      </c>
      <c r="C121" s="90">
        <f>+'5ta'!C$91*'5ta'!$R90</f>
        <v>0</v>
      </c>
      <c r="D121" s="90" t="e">
        <f>+'5ta'!D$91*'5ta'!$R90</f>
        <v>#VALUE!</v>
      </c>
      <c r="E121" s="90">
        <f>+'5ta'!E$91*'5ta'!$R90</f>
        <v>0</v>
      </c>
      <c r="F121" s="90" t="e">
        <f>+'5ta'!F$91*'5ta'!$R90</f>
        <v>#VALUE!</v>
      </c>
      <c r="G121" s="90">
        <f>+'5ta'!G$91*'5ta'!$R90</f>
        <v>0</v>
      </c>
      <c r="H121" s="90" t="e">
        <f>+'5ta'!H$91*'5ta'!$R90</f>
        <v>#VALUE!</v>
      </c>
      <c r="I121" s="90">
        <f>+'5ta'!I$91*'5ta'!$R90</f>
        <v>0</v>
      </c>
      <c r="J121" s="90" t="e">
        <f>+'5ta'!J$91*'5ta'!$R90</f>
        <v>#VALUE!</v>
      </c>
      <c r="K121" s="90">
        <f>+'5ta'!K$91*'5ta'!$R90</f>
        <v>16.419865432633753</v>
      </c>
      <c r="L121" s="90">
        <f>+'5ta'!L$91*'5ta'!$R90</f>
        <v>4.973686928599923</v>
      </c>
      <c r="M121" s="90">
        <f>+'5ta'!M$91*'5ta'!$R90</f>
        <v>4.973686928599923</v>
      </c>
      <c r="N121" s="90">
        <f>+'5ta'!N$91*'5ta'!$R90</f>
        <v>0</v>
      </c>
      <c r="O121" s="90">
        <f>+'5ta'!O$91*'5ta'!$R90</f>
        <v>0</v>
      </c>
      <c r="P121" s="90">
        <f t="shared" ref="P121:AB121" si="153">+O121-(0.049/100)</f>
        <v>-4.8999999999999998E-4</v>
      </c>
      <c r="Q121" s="90">
        <f t="shared" si="153"/>
        <v>-9.7999999999999997E-4</v>
      </c>
      <c r="R121" s="90">
        <f t="shared" si="153"/>
        <v>-1.47E-3</v>
      </c>
      <c r="S121" s="90">
        <f t="shared" si="153"/>
        <v>-1.9599999999999999E-3</v>
      </c>
      <c r="T121" s="90">
        <f t="shared" si="153"/>
        <v>-2.4499999999999999E-3</v>
      </c>
      <c r="U121" s="90">
        <f t="shared" si="153"/>
        <v>-2.9399999999999999E-3</v>
      </c>
      <c r="V121" s="90">
        <f t="shared" si="153"/>
        <v>-3.4299999999999999E-3</v>
      </c>
      <c r="W121" s="90">
        <f t="shared" si="153"/>
        <v>-3.9199999999999999E-3</v>
      </c>
      <c r="X121" s="90">
        <f t="shared" si="153"/>
        <v>-4.4099999999999999E-3</v>
      </c>
      <c r="Y121" s="90">
        <f t="shared" si="153"/>
        <v>-4.8999999999999998E-3</v>
      </c>
      <c r="Z121" s="90">
        <f t="shared" si="153"/>
        <v>-5.3899999999999998E-3</v>
      </c>
      <c r="AA121" s="90">
        <f t="shared" si="153"/>
        <v>-5.8799999999999998E-3</v>
      </c>
      <c r="AB121" s="90">
        <f t="shared" si="153"/>
        <v>-6.3699999999999998E-3</v>
      </c>
    </row>
    <row r="122" spans="1:28" x14ac:dyDescent="0.25">
      <c r="A122" s="87" t="s">
        <v>6</v>
      </c>
      <c r="B122" s="86" t="s">
        <v>23</v>
      </c>
      <c r="C122" s="90">
        <f>+'5ta'!C$91*'5ta'!$R91</f>
        <v>0</v>
      </c>
      <c r="D122" s="90" t="e">
        <f>+'5ta'!D$91*'5ta'!$R91</f>
        <v>#VALUE!</v>
      </c>
      <c r="E122" s="90">
        <f>+'5ta'!E$91*'5ta'!$R91</f>
        <v>0</v>
      </c>
      <c r="F122" s="90" t="e">
        <f>+'5ta'!F$91*'5ta'!$R91</f>
        <v>#VALUE!</v>
      </c>
      <c r="G122" s="90">
        <f>+'5ta'!G$91*'5ta'!$R91</f>
        <v>0</v>
      </c>
      <c r="H122" s="90" t="e">
        <f>+'5ta'!H$91*'5ta'!$R91</f>
        <v>#VALUE!</v>
      </c>
      <c r="I122" s="90">
        <f>+'5ta'!I$91*'5ta'!$R91</f>
        <v>0</v>
      </c>
      <c r="J122" s="90" t="e">
        <f>+'5ta'!J$91*'5ta'!$R91</f>
        <v>#VALUE!</v>
      </c>
      <c r="K122" s="90">
        <f>+'5ta'!K$91*'5ta'!$R91</f>
        <v>11.307936144501475</v>
      </c>
      <c r="L122" s="90">
        <f>+'5ta'!L$91*'5ta'!$R91</f>
        <v>3.4252493981814767</v>
      </c>
      <c r="M122" s="90">
        <f>+'5ta'!M$91*'5ta'!$R91</f>
        <v>3.4252493981814767</v>
      </c>
      <c r="N122" s="90">
        <f>+'5ta'!N$91*'5ta'!$R91</f>
        <v>0</v>
      </c>
      <c r="O122" s="90">
        <f>+'5ta'!O$91*'5ta'!$R91</f>
        <v>0</v>
      </c>
      <c r="P122" s="90">
        <f t="shared" ref="P122:AB122" si="154">+O122-(0.049/100)</f>
        <v>-4.8999999999999998E-4</v>
      </c>
      <c r="Q122" s="90">
        <f t="shared" si="154"/>
        <v>-9.7999999999999997E-4</v>
      </c>
      <c r="R122" s="90">
        <f t="shared" si="154"/>
        <v>-1.47E-3</v>
      </c>
      <c r="S122" s="90">
        <f t="shared" si="154"/>
        <v>-1.9599999999999999E-3</v>
      </c>
      <c r="T122" s="90">
        <f t="shared" si="154"/>
        <v>-2.4499999999999999E-3</v>
      </c>
      <c r="U122" s="90">
        <f t="shared" si="154"/>
        <v>-2.9399999999999999E-3</v>
      </c>
      <c r="V122" s="90">
        <f t="shared" si="154"/>
        <v>-3.4299999999999999E-3</v>
      </c>
      <c r="W122" s="90">
        <f t="shared" si="154"/>
        <v>-3.9199999999999999E-3</v>
      </c>
      <c r="X122" s="90">
        <f t="shared" si="154"/>
        <v>-4.4099999999999999E-3</v>
      </c>
      <c r="Y122" s="90">
        <f t="shared" si="154"/>
        <v>-4.8999999999999998E-3</v>
      </c>
      <c r="Z122" s="90">
        <f t="shared" si="154"/>
        <v>-5.3899999999999998E-3</v>
      </c>
      <c r="AA122" s="90">
        <f t="shared" si="154"/>
        <v>-5.8799999999999998E-3</v>
      </c>
      <c r="AB122" s="90">
        <f t="shared" si="154"/>
        <v>-6.3699999999999998E-3</v>
      </c>
    </row>
    <row r="123" spans="1:28" x14ac:dyDescent="0.25">
      <c r="A123" s="87" t="s">
        <v>6</v>
      </c>
      <c r="B123" s="86" t="s">
        <v>24</v>
      </c>
      <c r="C123" s="90">
        <f>+'5ta'!C$91*'5ta'!$R92</f>
        <v>0</v>
      </c>
      <c r="D123" s="90" t="e">
        <f>+'5ta'!D$91*'5ta'!$R92</f>
        <v>#VALUE!</v>
      </c>
      <c r="E123" s="90">
        <f>+'5ta'!E$91*'5ta'!$R92</f>
        <v>0</v>
      </c>
      <c r="F123" s="90" t="e">
        <f>+'5ta'!F$91*'5ta'!$R92</f>
        <v>#VALUE!</v>
      </c>
      <c r="G123" s="90">
        <f>+'5ta'!G$91*'5ta'!$R92</f>
        <v>0</v>
      </c>
      <c r="H123" s="90" t="e">
        <f>+'5ta'!H$91*'5ta'!$R92</f>
        <v>#VALUE!</v>
      </c>
      <c r="I123" s="90">
        <f>+'5ta'!I$91*'5ta'!$R92</f>
        <v>0</v>
      </c>
      <c r="J123" s="90" t="e">
        <f>+'5ta'!J$91*'5ta'!$R92</f>
        <v>#VALUE!</v>
      </c>
      <c r="K123" s="90">
        <f>+'5ta'!K$91*'5ta'!$R92</f>
        <v>82.745790549289026</v>
      </c>
      <c r="L123" s="90">
        <f>+'5ta'!L$91*'5ta'!$R92</f>
        <v>25.064252721202283</v>
      </c>
      <c r="M123" s="90">
        <f>+'5ta'!M$91*'5ta'!$R92</f>
        <v>25.064252721202283</v>
      </c>
      <c r="N123" s="90">
        <f>+'5ta'!N$91*'5ta'!$R92</f>
        <v>0</v>
      </c>
      <c r="O123" s="90">
        <f>+'5ta'!O$91*'5ta'!$R92</f>
        <v>0</v>
      </c>
      <c r="P123" s="90">
        <f t="shared" ref="P123:AB123" si="155">+O123-(0.049/100)</f>
        <v>-4.8999999999999998E-4</v>
      </c>
      <c r="Q123" s="90">
        <f t="shared" si="155"/>
        <v>-9.7999999999999997E-4</v>
      </c>
      <c r="R123" s="90">
        <f t="shared" si="155"/>
        <v>-1.47E-3</v>
      </c>
      <c r="S123" s="90">
        <f t="shared" si="155"/>
        <v>-1.9599999999999999E-3</v>
      </c>
      <c r="T123" s="90">
        <f t="shared" si="155"/>
        <v>-2.4499999999999999E-3</v>
      </c>
      <c r="U123" s="90">
        <f t="shared" si="155"/>
        <v>-2.9399999999999999E-3</v>
      </c>
      <c r="V123" s="90">
        <f t="shared" si="155"/>
        <v>-3.4299999999999999E-3</v>
      </c>
      <c r="W123" s="90">
        <f t="shared" si="155"/>
        <v>-3.9199999999999999E-3</v>
      </c>
      <c r="X123" s="90">
        <f t="shared" si="155"/>
        <v>-4.4099999999999999E-3</v>
      </c>
      <c r="Y123" s="90">
        <f t="shared" si="155"/>
        <v>-4.8999999999999998E-3</v>
      </c>
      <c r="Z123" s="90">
        <f t="shared" si="155"/>
        <v>-5.3899999999999998E-3</v>
      </c>
      <c r="AA123" s="90">
        <f t="shared" si="155"/>
        <v>-5.8799999999999998E-3</v>
      </c>
      <c r="AB123" s="90">
        <f t="shared" si="155"/>
        <v>-6.3699999999999998E-3</v>
      </c>
    </row>
    <row r="124" spans="1:28" x14ac:dyDescent="0.25">
      <c r="A124" s="87" t="s">
        <v>6</v>
      </c>
      <c r="B124" s="86" t="s">
        <v>25</v>
      </c>
      <c r="C124" s="90">
        <f>+'5ta'!C$91*'5ta'!$R93</f>
        <v>0</v>
      </c>
      <c r="D124" s="90" t="e">
        <f>+'5ta'!D$91*'5ta'!$R93</f>
        <v>#VALUE!</v>
      </c>
      <c r="E124" s="90">
        <f>+'5ta'!E$91*'5ta'!$R93</f>
        <v>0</v>
      </c>
      <c r="F124" s="90" t="e">
        <f>+'5ta'!F$91*'5ta'!$R93</f>
        <v>#VALUE!</v>
      </c>
      <c r="G124" s="90">
        <f>+'5ta'!G$91*'5ta'!$R93</f>
        <v>0</v>
      </c>
      <c r="H124" s="90" t="e">
        <f>+'5ta'!H$91*'5ta'!$R93</f>
        <v>#VALUE!</v>
      </c>
      <c r="I124" s="90">
        <f>+'5ta'!I$91*'5ta'!$R93</f>
        <v>0</v>
      </c>
      <c r="J124" s="90" t="e">
        <f>+'5ta'!J$91*'5ta'!$R93</f>
        <v>#VALUE!</v>
      </c>
      <c r="K124" s="90">
        <f>+'5ta'!K$91*'5ta'!$R93</f>
        <v>9.1675865101659628</v>
      </c>
      <c r="L124" s="90">
        <f>+'5ta'!L$91*'5ta'!$R93</f>
        <v>2.7769231958381342</v>
      </c>
      <c r="M124" s="90">
        <f>+'5ta'!M$91*'5ta'!$R93</f>
        <v>2.7769231958381342</v>
      </c>
      <c r="N124" s="90">
        <f>+'5ta'!N$91*'5ta'!$R93</f>
        <v>0</v>
      </c>
      <c r="O124" s="90">
        <f>+'5ta'!O$91*'5ta'!$R93</f>
        <v>0</v>
      </c>
      <c r="P124" s="90">
        <f t="shared" ref="P124:AB124" si="156">+O124-(0.049/100)</f>
        <v>-4.8999999999999998E-4</v>
      </c>
      <c r="Q124" s="90">
        <f t="shared" si="156"/>
        <v>-9.7999999999999997E-4</v>
      </c>
      <c r="R124" s="90">
        <f t="shared" si="156"/>
        <v>-1.47E-3</v>
      </c>
      <c r="S124" s="90">
        <f t="shared" si="156"/>
        <v>-1.9599999999999999E-3</v>
      </c>
      <c r="T124" s="90">
        <f t="shared" si="156"/>
        <v>-2.4499999999999999E-3</v>
      </c>
      <c r="U124" s="90">
        <f t="shared" si="156"/>
        <v>-2.9399999999999999E-3</v>
      </c>
      <c r="V124" s="90">
        <f t="shared" si="156"/>
        <v>-3.4299999999999999E-3</v>
      </c>
      <c r="W124" s="90">
        <f t="shared" si="156"/>
        <v>-3.9199999999999999E-3</v>
      </c>
      <c r="X124" s="90">
        <f t="shared" si="156"/>
        <v>-4.4099999999999999E-3</v>
      </c>
      <c r="Y124" s="90">
        <f t="shared" si="156"/>
        <v>-4.8999999999999998E-3</v>
      </c>
      <c r="Z124" s="90">
        <f t="shared" si="156"/>
        <v>-5.3899999999999998E-3</v>
      </c>
      <c r="AA124" s="90">
        <f t="shared" si="156"/>
        <v>-5.8799999999999998E-3</v>
      </c>
      <c r="AB124" s="90">
        <f t="shared" si="156"/>
        <v>-6.3699999999999998E-3</v>
      </c>
    </row>
    <row r="125" spans="1:28" x14ac:dyDescent="0.25">
      <c r="A125" s="87" t="s">
        <v>6</v>
      </c>
      <c r="B125" s="86" t="s">
        <v>26</v>
      </c>
      <c r="C125" s="90">
        <f>+'5ta'!C$91*'5ta'!$R94</f>
        <v>0</v>
      </c>
      <c r="D125" s="90" t="e">
        <f>+'5ta'!D$91*'5ta'!$R94</f>
        <v>#VALUE!</v>
      </c>
      <c r="E125" s="90">
        <f>+'5ta'!E$91*'5ta'!$R94</f>
        <v>0</v>
      </c>
      <c r="F125" s="90" t="e">
        <f>+'5ta'!F$91*'5ta'!$R94</f>
        <v>#VALUE!</v>
      </c>
      <c r="G125" s="90">
        <f>+'5ta'!G$91*'5ta'!$R94</f>
        <v>0</v>
      </c>
      <c r="H125" s="90" t="e">
        <f>+'5ta'!H$91*'5ta'!$R94</f>
        <v>#VALUE!</v>
      </c>
      <c r="I125" s="90">
        <f>+'5ta'!I$91*'5ta'!$R94</f>
        <v>0</v>
      </c>
      <c r="J125" s="90" t="e">
        <f>+'5ta'!J$91*'5ta'!$R94</f>
        <v>#VALUE!</v>
      </c>
      <c r="K125" s="90">
        <f>+'5ta'!K$91*'5ta'!$R94</f>
        <v>2.2767896253245357</v>
      </c>
      <c r="L125" s="90">
        <f>+'5ta'!L$91*'5ta'!$R94</f>
        <v>0.68965478706923711</v>
      </c>
      <c r="M125" s="90">
        <f>+'5ta'!M$91*'5ta'!$R94</f>
        <v>0.68965478706923711</v>
      </c>
      <c r="N125" s="90">
        <f>+'5ta'!N$91*'5ta'!$R94</f>
        <v>0</v>
      </c>
      <c r="O125" s="90">
        <f>+'5ta'!O$91*'5ta'!$R94</f>
        <v>0</v>
      </c>
      <c r="P125" s="90">
        <f t="shared" ref="P125:AB125" si="157">+O125-(0.049/100)</f>
        <v>-4.8999999999999998E-4</v>
      </c>
      <c r="Q125" s="90">
        <f t="shared" si="157"/>
        <v>-9.7999999999999997E-4</v>
      </c>
      <c r="R125" s="90">
        <f t="shared" si="157"/>
        <v>-1.47E-3</v>
      </c>
      <c r="S125" s="90">
        <f t="shared" si="157"/>
        <v>-1.9599999999999999E-3</v>
      </c>
      <c r="T125" s="90">
        <f t="shared" si="157"/>
        <v>-2.4499999999999999E-3</v>
      </c>
      <c r="U125" s="90">
        <f t="shared" si="157"/>
        <v>-2.9399999999999999E-3</v>
      </c>
      <c r="V125" s="90">
        <f t="shared" si="157"/>
        <v>-3.4299999999999999E-3</v>
      </c>
      <c r="W125" s="90">
        <f t="shared" si="157"/>
        <v>-3.9199999999999999E-3</v>
      </c>
      <c r="X125" s="90">
        <f t="shared" si="157"/>
        <v>-4.4099999999999999E-3</v>
      </c>
      <c r="Y125" s="90">
        <f t="shared" si="157"/>
        <v>-4.8999999999999998E-3</v>
      </c>
      <c r="Z125" s="90">
        <f t="shared" si="157"/>
        <v>-5.3899999999999998E-3</v>
      </c>
      <c r="AA125" s="90">
        <f t="shared" si="157"/>
        <v>-5.8799999999999998E-3</v>
      </c>
      <c r="AB125" s="90">
        <f t="shared" si="157"/>
        <v>-6.3699999999999998E-3</v>
      </c>
    </row>
    <row r="126" spans="1:28" x14ac:dyDescent="0.25">
      <c r="A126" s="87" t="s">
        <v>6</v>
      </c>
      <c r="B126" s="86" t="s">
        <v>27</v>
      </c>
      <c r="C126" s="90">
        <f>+'5ta'!C$91*'5ta'!$R95</f>
        <v>0</v>
      </c>
      <c r="D126" s="90" t="e">
        <f>+'5ta'!D$91*'5ta'!$R95</f>
        <v>#VALUE!</v>
      </c>
      <c r="E126" s="90">
        <f>+'5ta'!E$91*'5ta'!$R95</f>
        <v>0</v>
      </c>
      <c r="F126" s="90" t="e">
        <f>+'5ta'!F$91*'5ta'!$R95</f>
        <v>#VALUE!</v>
      </c>
      <c r="G126" s="90">
        <f>+'5ta'!G$91*'5ta'!$R95</f>
        <v>0</v>
      </c>
      <c r="H126" s="90" t="e">
        <f>+'5ta'!H$91*'5ta'!$R95</f>
        <v>#VALUE!</v>
      </c>
      <c r="I126" s="90">
        <f>+'5ta'!I$91*'5ta'!$R95</f>
        <v>0</v>
      </c>
      <c r="J126" s="90" t="e">
        <f>+'5ta'!J$91*'5ta'!$R95</f>
        <v>#VALUE!</v>
      </c>
      <c r="K126" s="90">
        <f>+'5ta'!K$91*'5ta'!$R95</f>
        <v>9.521144487657935</v>
      </c>
      <c r="L126" s="90">
        <f>+'5ta'!L$91*'5ta'!$R95</f>
        <v>2.8840182690814955</v>
      </c>
      <c r="M126" s="90">
        <f>+'5ta'!M$91*'5ta'!$R95</f>
        <v>2.8840182690814955</v>
      </c>
      <c r="N126" s="90">
        <f>+'5ta'!N$91*'5ta'!$R95</f>
        <v>0</v>
      </c>
      <c r="O126" s="90">
        <f>+'5ta'!O$91*'5ta'!$R95</f>
        <v>0</v>
      </c>
      <c r="P126" s="90">
        <f t="shared" ref="P126:AB126" si="158">+O126-(0.049/100)</f>
        <v>-4.8999999999999998E-4</v>
      </c>
      <c r="Q126" s="90">
        <f t="shared" si="158"/>
        <v>-9.7999999999999997E-4</v>
      </c>
      <c r="R126" s="90">
        <f t="shared" si="158"/>
        <v>-1.47E-3</v>
      </c>
      <c r="S126" s="90">
        <f t="shared" si="158"/>
        <v>-1.9599999999999999E-3</v>
      </c>
      <c r="T126" s="90">
        <f t="shared" si="158"/>
        <v>-2.4499999999999999E-3</v>
      </c>
      <c r="U126" s="90">
        <f t="shared" si="158"/>
        <v>-2.9399999999999999E-3</v>
      </c>
      <c r="V126" s="90">
        <f t="shared" si="158"/>
        <v>-3.4299999999999999E-3</v>
      </c>
      <c r="W126" s="90">
        <f t="shared" si="158"/>
        <v>-3.9199999999999999E-3</v>
      </c>
      <c r="X126" s="90">
        <f t="shared" si="158"/>
        <v>-4.4099999999999999E-3</v>
      </c>
      <c r="Y126" s="90">
        <f t="shared" si="158"/>
        <v>-4.8999999999999998E-3</v>
      </c>
      <c r="Z126" s="90">
        <f t="shared" si="158"/>
        <v>-5.3899999999999998E-3</v>
      </c>
      <c r="AA126" s="90">
        <f t="shared" si="158"/>
        <v>-5.8799999999999998E-3</v>
      </c>
      <c r="AB126" s="90">
        <f t="shared" si="158"/>
        <v>-6.3699999999999998E-3</v>
      </c>
    </row>
    <row r="128" spans="1:28" x14ac:dyDescent="0.25">
      <c r="A128" s="1" t="s">
        <v>105</v>
      </c>
      <c r="B128" s="65" t="s">
        <v>106</v>
      </c>
      <c r="C128" s="1">
        <v>2010</v>
      </c>
      <c r="D128" s="1">
        <v>2011</v>
      </c>
      <c r="E128" s="1">
        <v>2012</v>
      </c>
      <c r="F128" s="1">
        <v>2013</v>
      </c>
      <c r="G128" s="1">
        <v>2014</v>
      </c>
      <c r="H128" s="1">
        <v>2015</v>
      </c>
      <c r="I128" s="1">
        <v>2016</v>
      </c>
      <c r="J128" s="1">
        <v>2017</v>
      </c>
      <c r="K128" s="1">
        <v>2018</v>
      </c>
      <c r="L128" s="1">
        <v>2019</v>
      </c>
      <c r="M128" s="1">
        <v>2020</v>
      </c>
      <c r="N128" s="1">
        <v>2021</v>
      </c>
      <c r="O128" s="1">
        <v>2022</v>
      </c>
      <c r="P128" s="1">
        <v>2023</v>
      </c>
      <c r="Q128" s="1">
        <v>2024</v>
      </c>
      <c r="R128" s="1">
        <v>2025</v>
      </c>
      <c r="S128" s="1">
        <v>2026</v>
      </c>
      <c r="T128" s="1">
        <v>2027</v>
      </c>
      <c r="U128" s="1">
        <v>2028</v>
      </c>
      <c r="V128" s="1">
        <v>2029</v>
      </c>
      <c r="W128" s="1">
        <v>2030</v>
      </c>
      <c r="X128" s="1">
        <v>2031</v>
      </c>
      <c r="Y128" s="1">
        <v>2032</v>
      </c>
      <c r="Z128" s="1">
        <v>2033</v>
      </c>
      <c r="AA128" s="1">
        <v>2034</v>
      </c>
      <c r="AB128" s="1">
        <v>2035</v>
      </c>
    </row>
    <row r="129" spans="1:28" x14ac:dyDescent="0.25">
      <c r="A129" s="87" t="s">
        <v>113</v>
      </c>
      <c r="B129" s="86" t="s">
        <v>18</v>
      </c>
      <c r="C129" s="90">
        <f>+'5ta'!C$92*'5ta'!$R87</f>
        <v>1.9608849868055968E-2</v>
      </c>
      <c r="D129" s="90">
        <f>+'5ta'!D$92*'5ta'!$R87</f>
        <v>1.9608849868055968E-2</v>
      </c>
      <c r="E129" s="90">
        <f>+'5ta'!E$92*'5ta'!$R87</f>
        <v>1.9608849868055968E-2</v>
      </c>
      <c r="F129" s="90">
        <f>+'5ta'!F$92*'5ta'!$R87</f>
        <v>1.9608849868055968E-2</v>
      </c>
      <c r="G129" s="90">
        <f>+'5ta'!G$92*'5ta'!$R87</f>
        <v>1.9608849868055968E-2</v>
      </c>
      <c r="H129" s="90">
        <f>+'5ta'!H$92*'5ta'!$R87</f>
        <v>3.8212746180374069E-2</v>
      </c>
      <c r="I129" s="90">
        <f>+'5ta'!I$92*'5ta'!$R87</f>
        <v>5.6816642492692165E-2</v>
      </c>
      <c r="J129" s="90">
        <f>+'5ta'!J$92*'5ta'!$R87</f>
        <v>0.25447384916269633</v>
      </c>
      <c r="K129" s="90">
        <f>+'5ta'!K$92*'5ta'!$R87</f>
        <v>0.45213105583270052</v>
      </c>
      <c r="L129" s="90">
        <f>+'5ta'!L$92*'5ta'!$R87</f>
        <v>1.808916400328163E-2</v>
      </c>
      <c r="M129" s="90">
        <f>+'5ta'!M$92*'5ta'!$R87</f>
        <v>1.808916400328163E-2</v>
      </c>
      <c r="N129" s="90">
        <f>+'5ta'!N$92*'5ta'!$R87</f>
        <v>9.3644513651134784E-2</v>
      </c>
      <c r="O129" s="90">
        <f>+'5ta'!O$92*'5ta'!$R87</f>
        <v>9.3644513651134784E-2</v>
      </c>
      <c r="P129" s="90">
        <f t="shared" ref="P129:AB129" si="159">+O129-(0.049/100)</f>
        <v>9.3154513651134779E-2</v>
      </c>
      <c r="Q129" s="90">
        <f t="shared" si="159"/>
        <v>9.2664513651134775E-2</v>
      </c>
      <c r="R129" s="90">
        <f t="shared" si="159"/>
        <v>9.2174513651134771E-2</v>
      </c>
      <c r="S129" s="90">
        <f t="shared" si="159"/>
        <v>9.1684513651134766E-2</v>
      </c>
      <c r="T129" s="90">
        <f t="shared" si="159"/>
        <v>9.1194513651134762E-2</v>
      </c>
      <c r="U129" s="90">
        <f t="shared" si="159"/>
        <v>9.0704513651134758E-2</v>
      </c>
      <c r="V129" s="90">
        <f t="shared" si="159"/>
        <v>9.0214513651134753E-2</v>
      </c>
      <c r="W129" s="90">
        <f t="shared" si="159"/>
        <v>8.9724513651134749E-2</v>
      </c>
      <c r="X129" s="90">
        <f t="shared" si="159"/>
        <v>8.9234513651134745E-2</v>
      </c>
      <c r="Y129" s="90">
        <f t="shared" si="159"/>
        <v>8.874451365113474E-2</v>
      </c>
      <c r="Z129" s="90">
        <f t="shared" si="159"/>
        <v>8.8254513651134736E-2</v>
      </c>
      <c r="AA129" s="90">
        <f t="shared" si="159"/>
        <v>8.7764513651134732E-2</v>
      </c>
      <c r="AB129" s="90">
        <f t="shared" si="159"/>
        <v>8.7274513651134727E-2</v>
      </c>
    </row>
    <row r="130" spans="1:28" x14ac:dyDescent="0.25">
      <c r="A130" s="87" t="s">
        <v>113</v>
      </c>
      <c r="B130" s="86" t="s">
        <v>20</v>
      </c>
      <c r="C130" s="90">
        <f>+'5ta'!C$92*'5ta'!$R88</f>
        <v>0.19148406368669654</v>
      </c>
      <c r="D130" s="90">
        <f>+'5ta'!D$92*'5ta'!$R88</f>
        <v>0.19148406368669654</v>
      </c>
      <c r="E130" s="90">
        <f>+'5ta'!E$92*'5ta'!$R88</f>
        <v>0.19148406368669654</v>
      </c>
      <c r="F130" s="90">
        <f>+'5ta'!F$92*'5ta'!$R88</f>
        <v>0.19148406368669654</v>
      </c>
      <c r="G130" s="90">
        <f>+'5ta'!G$92*'5ta'!$R88</f>
        <v>0.19148406368669654</v>
      </c>
      <c r="H130" s="90">
        <f>+'5ta'!H$92*'5ta'!$R88</f>
        <v>0.37315456910944989</v>
      </c>
      <c r="I130" s="90">
        <f>+'5ta'!I$92*'5ta'!$R88</f>
        <v>0.5548250745322032</v>
      </c>
      <c r="J130" s="90">
        <f>+'5ta'!J$92*'5ta'!$R88</f>
        <v>2.4849844364941047</v>
      </c>
      <c r="K130" s="90">
        <f>+'5ta'!K$92*'5ta'!$R88</f>
        <v>4.4151437984560058</v>
      </c>
      <c r="L130" s="90">
        <f>+'5ta'!L$92*'5ta'!$R88</f>
        <v>0.17664404875097756</v>
      </c>
      <c r="M130" s="90">
        <f>+'5ta'!M$92*'5ta'!$R88</f>
        <v>0.17664404875097756</v>
      </c>
      <c r="N130" s="90">
        <f>+'5ta'!N$92*'5ta'!$R88</f>
        <v>0.91445608164378012</v>
      </c>
      <c r="O130" s="90">
        <f>+'5ta'!O$92*'5ta'!$R88</f>
        <v>0.91445608164378012</v>
      </c>
      <c r="P130" s="90">
        <f t="shared" ref="P130:AB130" si="160">+O130-(0.049/100)</f>
        <v>0.91396608164378013</v>
      </c>
      <c r="Q130" s="90">
        <f t="shared" si="160"/>
        <v>0.91347608164378014</v>
      </c>
      <c r="R130" s="90">
        <f t="shared" si="160"/>
        <v>0.91298608164378015</v>
      </c>
      <c r="S130" s="90">
        <f t="shared" si="160"/>
        <v>0.91249608164378015</v>
      </c>
      <c r="T130" s="90">
        <f t="shared" si="160"/>
        <v>0.91200608164378016</v>
      </c>
      <c r="U130" s="90">
        <f t="shared" si="160"/>
        <v>0.91151608164378017</v>
      </c>
      <c r="V130" s="90">
        <f t="shared" si="160"/>
        <v>0.91102608164378018</v>
      </c>
      <c r="W130" s="90">
        <f t="shared" si="160"/>
        <v>0.91053608164378019</v>
      </c>
      <c r="X130" s="90">
        <f t="shared" si="160"/>
        <v>0.9100460816437802</v>
      </c>
      <c r="Y130" s="90">
        <f t="shared" si="160"/>
        <v>0.90955608164378021</v>
      </c>
      <c r="Z130" s="90">
        <f t="shared" si="160"/>
        <v>0.90906608164378022</v>
      </c>
      <c r="AA130" s="90">
        <f t="shared" si="160"/>
        <v>0.90857608164378023</v>
      </c>
      <c r="AB130" s="90">
        <f t="shared" si="160"/>
        <v>0.90808608164378024</v>
      </c>
    </row>
    <row r="131" spans="1:28" x14ac:dyDescent="0.25">
      <c r="A131" s="87" t="s">
        <v>113</v>
      </c>
      <c r="B131" s="86" t="s">
        <v>21</v>
      </c>
      <c r="C131" s="90">
        <f>+'5ta'!C$92*'5ta'!$R89</f>
        <v>1.8309893460827253</v>
      </c>
      <c r="D131" s="90">
        <f>+'5ta'!D$92*'5ta'!$R89</f>
        <v>1.8309893460827253</v>
      </c>
      <c r="E131" s="90">
        <f>+'5ta'!E$92*'5ta'!$R89</f>
        <v>1.8309893460827253</v>
      </c>
      <c r="F131" s="90">
        <f>+'5ta'!F$92*'5ta'!$R89</f>
        <v>1.8309893460827253</v>
      </c>
      <c r="G131" s="90">
        <f>+'5ta'!G$92*'5ta'!$R89</f>
        <v>1.8309893460827253</v>
      </c>
      <c r="H131" s="90">
        <f>+'5ta'!H$92*'5ta'!$R89</f>
        <v>3.5681404881787109</v>
      </c>
      <c r="I131" s="90">
        <f>+'5ta'!I$92*'5ta'!$R89</f>
        <v>5.3052916302746969</v>
      </c>
      <c r="J131" s="90">
        <f>+'5ta'!J$92*'5ta'!$R89</f>
        <v>23.761664238788569</v>
      </c>
      <c r="K131" s="90">
        <f>+'5ta'!K$92*'5ta'!$R89</f>
        <v>42.218036847302443</v>
      </c>
      <c r="L131" s="90">
        <f>+'5ta'!L$92*'5ta'!$R89</f>
        <v>1.6890876717613141</v>
      </c>
      <c r="M131" s="90">
        <f>+'5ta'!M$92*'5ta'!$R89</f>
        <v>1.6890876717613141</v>
      </c>
      <c r="N131" s="90">
        <f>+'5ta'!N$92*'5ta'!$R89</f>
        <v>8.7441184958863154</v>
      </c>
      <c r="O131" s="90">
        <f>+'5ta'!O$92*'5ta'!$R89</f>
        <v>8.7441184958863154</v>
      </c>
      <c r="P131" s="90">
        <f t="shared" ref="P131:AB131" si="161">+O131-(0.049/100)</f>
        <v>8.7436284958863162</v>
      </c>
      <c r="Q131" s="90">
        <f t="shared" si="161"/>
        <v>8.743138495886317</v>
      </c>
      <c r="R131" s="90">
        <f t="shared" si="161"/>
        <v>8.7426484958863178</v>
      </c>
      <c r="S131" s="90">
        <f t="shared" si="161"/>
        <v>8.7421584958863185</v>
      </c>
      <c r="T131" s="90">
        <f t="shared" si="161"/>
        <v>8.7416684958863193</v>
      </c>
      <c r="U131" s="90">
        <f t="shared" si="161"/>
        <v>8.7411784958863201</v>
      </c>
      <c r="V131" s="90">
        <f t="shared" si="161"/>
        <v>8.7406884958863209</v>
      </c>
      <c r="W131" s="90">
        <f t="shared" si="161"/>
        <v>8.7401984958863217</v>
      </c>
      <c r="X131" s="90">
        <f t="shared" si="161"/>
        <v>8.7397084958863225</v>
      </c>
      <c r="Y131" s="90">
        <f t="shared" si="161"/>
        <v>8.7392184958863233</v>
      </c>
      <c r="Z131" s="90">
        <f t="shared" si="161"/>
        <v>8.7387284958863241</v>
      </c>
      <c r="AA131" s="90">
        <f t="shared" si="161"/>
        <v>8.7382384958863248</v>
      </c>
      <c r="AB131" s="90">
        <f t="shared" si="161"/>
        <v>8.7377484958863256</v>
      </c>
    </row>
    <row r="132" spans="1:28" x14ac:dyDescent="0.25">
      <c r="A132" s="87" t="s">
        <v>113</v>
      </c>
      <c r="B132" s="86" t="s">
        <v>22</v>
      </c>
      <c r="C132" s="90">
        <f>+'5ta'!C$92*'5ta'!$R90</f>
        <v>0.74428536155629221</v>
      </c>
      <c r="D132" s="90">
        <f>+'5ta'!D$92*'5ta'!$R90</f>
        <v>0.74428536155629221</v>
      </c>
      <c r="E132" s="90">
        <f>+'5ta'!E$92*'5ta'!$R90</f>
        <v>0.74428536155629221</v>
      </c>
      <c r="F132" s="90">
        <f>+'5ta'!F$92*'5ta'!$R90</f>
        <v>0.74428536155629221</v>
      </c>
      <c r="G132" s="90">
        <f>+'5ta'!G$92*'5ta'!$R90</f>
        <v>0.74428536155629221</v>
      </c>
      <c r="H132" s="90">
        <f>+'5ta'!H$92*'5ta'!$R90</f>
        <v>1.4504260983328245</v>
      </c>
      <c r="I132" s="90">
        <f>+'5ta'!I$92*'5ta'!$R90</f>
        <v>2.1565668351093565</v>
      </c>
      <c r="J132" s="90">
        <f>+'5ta'!J$92*'5ta'!$R90</f>
        <v>9.658963279596783</v>
      </c>
      <c r="K132" s="90">
        <f>+'5ta'!K$92*'5ta'!$R90</f>
        <v>17.161359724084207</v>
      </c>
      <c r="L132" s="90">
        <f>+'5ta'!L$92*'5ta'!$R90</f>
        <v>0.68660324603567957</v>
      </c>
      <c r="M132" s="90">
        <f>+'5ta'!M$92*'5ta'!$R90</f>
        <v>0.68660324603567957</v>
      </c>
      <c r="N132" s="90">
        <f>+'5ta'!N$92*'5ta'!$R90</f>
        <v>3.5544277797822676</v>
      </c>
      <c r="O132" s="90">
        <f>+'5ta'!O$92*'5ta'!$R90</f>
        <v>3.5544277797822676</v>
      </c>
      <c r="P132" s="90">
        <f t="shared" ref="P132:AB132" si="162">+O132-(0.049/100)</f>
        <v>3.5539377797822675</v>
      </c>
      <c r="Q132" s="90">
        <f t="shared" si="162"/>
        <v>3.5534477797822674</v>
      </c>
      <c r="R132" s="90">
        <f t="shared" si="162"/>
        <v>3.5529577797822673</v>
      </c>
      <c r="S132" s="90">
        <f t="shared" si="162"/>
        <v>3.5524677797822672</v>
      </c>
      <c r="T132" s="90">
        <f t="shared" si="162"/>
        <v>3.5519777797822671</v>
      </c>
      <c r="U132" s="90">
        <f t="shared" si="162"/>
        <v>3.551487779782267</v>
      </c>
      <c r="V132" s="90">
        <f t="shared" si="162"/>
        <v>3.5509977797822669</v>
      </c>
      <c r="W132" s="90">
        <f t="shared" si="162"/>
        <v>3.5505077797822668</v>
      </c>
      <c r="X132" s="90">
        <f t="shared" si="162"/>
        <v>3.5500177797822667</v>
      </c>
      <c r="Y132" s="90">
        <f t="shared" si="162"/>
        <v>3.5495277797822666</v>
      </c>
      <c r="Z132" s="90">
        <f t="shared" si="162"/>
        <v>3.5490377797822665</v>
      </c>
      <c r="AA132" s="90">
        <f t="shared" si="162"/>
        <v>3.5485477797822664</v>
      </c>
      <c r="AB132" s="90">
        <f t="shared" si="162"/>
        <v>3.5480577797822663</v>
      </c>
    </row>
    <row r="133" spans="1:28" x14ac:dyDescent="0.25">
      <c r="A133" s="87" t="s">
        <v>113</v>
      </c>
      <c r="B133" s="86" t="s">
        <v>23</v>
      </c>
      <c r="C133" s="90">
        <f>+'5ta'!C$92*'5ta'!$R91</f>
        <v>0.51257005584459059</v>
      </c>
      <c r="D133" s="90">
        <f>+'5ta'!D$92*'5ta'!$R91</f>
        <v>0.51257005584459059</v>
      </c>
      <c r="E133" s="90">
        <f>+'5ta'!E$92*'5ta'!$R91</f>
        <v>0.51257005584459059</v>
      </c>
      <c r="F133" s="90">
        <f>+'5ta'!F$92*'5ta'!$R91</f>
        <v>0.51257005584459059</v>
      </c>
      <c r="G133" s="90">
        <f>+'5ta'!G$92*'5ta'!$R91</f>
        <v>0.51257005584459059</v>
      </c>
      <c r="H133" s="90">
        <f>+'5ta'!H$92*'5ta'!$R91</f>
        <v>0.99887089632714587</v>
      </c>
      <c r="I133" s="90">
        <f>+'5ta'!I$92*'5ta'!$R91</f>
        <v>1.4851717368097013</v>
      </c>
      <c r="J133" s="90">
        <f>+'5ta'!J$92*'5ta'!$R91</f>
        <v>6.6518778997231749</v>
      </c>
      <c r="K133" s="90">
        <f>+'5ta'!K$92*'5ta'!$R91</f>
        <v>11.818584062636647</v>
      </c>
      <c r="L133" s="90">
        <f>+'5ta'!L$92*'5ta'!$R91</f>
        <v>0.47284587651663479</v>
      </c>
      <c r="M133" s="90">
        <f>+'5ta'!M$92*'5ta'!$R91</f>
        <v>0.47284587651663479</v>
      </c>
      <c r="N133" s="90">
        <f>+'5ta'!N$92*'5ta'!$R91</f>
        <v>2.4478423729428229</v>
      </c>
      <c r="O133" s="90">
        <f>+'5ta'!O$92*'5ta'!$R91</f>
        <v>2.4478423729428229</v>
      </c>
      <c r="P133" s="90">
        <f t="shared" ref="P133:AB133" si="163">+O133-(0.049/100)</f>
        <v>2.4473523729428228</v>
      </c>
      <c r="Q133" s="90">
        <f t="shared" si="163"/>
        <v>2.4468623729428227</v>
      </c>
      <c r="R133" s="90">
        <f t="shared" si="163"/>
        <v>2.4463723729428226</v>
      </c>
      <c r="S133" s="90">
        <f t="shared" si="163"/>
        <v>2.4458823729428225</v>
      </c>
      <c r="T133" s="90">
        <f t="shared" si="163"/>
        <v>2.4453923729428224</v>
      </c>
      <c r="U133" s="90">
        <f t="shared" si="163"/>
        <v>2.4449023729428223</v>
      </c>
      <c r="V133" s="90">
        <f t="shared" si="163"/>
        <v>2.4444123729428222</v>
      </c>
      <c r="W133" s="90">
        <f t="shared" si="163"/>
        <v>2.4439223729428221</v>
      </c>
      <c r="X133" s="90">
        <f t="shared" si="163"/>
        <v>2.443432372942822</v>
      </c>
      <c r="Y133" s="90">
        <f t="shared" si="163"/>
        <v>2.4429423729428219</v>
      </c>
      <c r="Z133" s="90">
        <f t="shared" si="163"/>
        <v>2.4424523729428218</v>
      </c>
      <c r="AA133" s="90">
        <f t="shared" si="163"/>
        <v>2.4419623729428217</v>
      </c>
      <c r="AB133" s="90">
        <f t="shared" si="163"/>
        <v>2.4414723729428216</v>
      </c>
    </row>
    <row r="134" spans="1:28" x14ac:dyDescent="0.25">
      <c r="A134" s="87" t="s">
        <v>113</v>
      </c>
      <c r="B134" s="86" t="s">
        <v>24</v>
      </c>
      <c r="C134" s="90">
        <f>+'5ta'!C$92*'5ta'!$R92</f>
        <v>3.750729924609395</v>
      </c>
      <c r="D134" s="90">
        <f>+'5ta'!D$92*'5ta'!$R92</f>
        <v>3.750729924609395</v>
      </c>
      <c r="E134" s="90">
        <f>+'5ta'!E$92*'5ta'!$R92</f>
        <v>3.750729924609395</v>
      </c>
      <c r="F134" s="90">
        <f>+'5ta'!F$92*'5ta'!$R92</f>
        <v>3.750729924609395</v>
      </c>
      <c r="G134" s="90">
        <f>+'5ta'!G$92*'5ta'!$R92</f>
        <v>3.750729924609395</v>
      </c>
      <c r="H134" s="90">
        <f>+'5ta'!H$92*'5ta'!$R92</f>
        <v>7.3092349405825585</v>
      </c>
      <c r="I134" s="90">
        <f>+'5ta'!I$92*'5ta'!$R92</f>
        <v>10.867739956555722</v>
      </c>
      <c r="J134" s="90">
        <f>+'5ta'!J$92*'5ta'!$R92</f>
        <v>48.675097596618428</v>
      </c>
      <c r="K134" s="90">
        <f>+'5ta'!K$92*'5ta'!$R92</f>
        <v>86.482455236681133</v>
      </c>
      <c r="L134" s="90">
        <f>+'5ta'!L$92*'5ta'!$R92</f>
        <v>3.4600483554521668</v>
      </c>
      <c r="M134" s="90">
        <f>+'5ta'!M$92*'5ta'!$R92</f>
        <v>3.4600483554521668</v>
      </c>
      <c r="N134" s="90">
        <f>+'5ta'!N$92*'5ta'!$R92</f>
        <v>17.912079596212742</v>
      </c>
      <c r="O134" s="90">
        <f>+'5ta'!O$92*'5ta'!$R92</f>
        <v>17.912079596212742</v>
      </c>
      <c r="P134" s="90">
        <f t="shared" ref="P134:AB134" si="164">+O134-(0.049/100)</f>
        <v>17.911589596212742</v>
      </c>
      <c r="Q134" s="90">
        <f t="shared" si="164"/>
        <v>17.911099596212743</v>
      </c>
      <c r="R134" s="90">
        <f t="shared" si="164"/>
        <v>17.910609596212744</v>
      </c>
      <c r="S134" s="90">
        <f t="shared" si="164"/>
        <v>17.910119596212745</v>
      </c>
      <c r="T134" s="90">
        <f t="shared" si="164"/>
        <v>17.909629596212746</v>
      </c>
      <c r="U134" s="90">
        <f t="shared" si="164"/>
        <v>17.909139596212746</v>
      </c>
      <c r="V134" s="90">
        <f t="shared" si="164"/>
        <v>17.908649596212747</v>
      </c>
      <c r="W134" s="90">
        <f t="shared" si="164"/>
        <v>17.908159596212748</v>
      </c>
      <c r="X134" s="90">
        <f t="shared" si="164"/>
        <v>17.907669596212749</v>
      </c>
      <c r="Y134" s="90">
        <f t="shared" si="164"/>
        <v>17.90717959621275</v>
      </c>
      <c r="Z134" s="90">
        <f t="shared" si="164"/>
        <v>17.90668959621275</v>
      </c>
      <c r="AA134" s="90">
        <f t="shared" si="164"/>
        <v>17.906199596212751</v>
      </c>
      <c r="AB134" s="90">
        <f t="shared" si="164"/>
        <v>17.905709596212752</v>
      </c>
    </row>
    <row r="135" spans="1:28" x14ac:dyDescent="0.25">
      <c r="A135" s="87" t="s">
        <v>113</v>
      </c>
      <c r="B135" s="86" t="s">
        <v>25</v>
      </c>
      <c r="C135" s="90">
        <f>+'5ta'!C$92*'5ta'!$R93</f>
        <v>0.41555154445763326</v>
      </c>
      <c r="D135" s="90">
        <f>+'5ta'!D$92*'5ta'!$R93</f>
        <v>0.41555154445763326</v>
      </c>
      <c r="E135" s="90">
        <f>+'5ta'!E$92*'5ta'!$R93</f>
        <v>0.41555154445763326</v>
      </c>
      <c r="F135" s="90">
        <f>+'5ta'!F$92*'5ta'!$R93</f>
        <v>0.41555154445763326</v>
      </c>
      <c r="G135" s="90">
        <f>+'5ta'!G$92*'5ta'!$R93</f>
        <v>0.41555154445763326</v>
      </c>
      <c r="H135" s="90">
        <f>+'5ta'!H$92*'5ta'!$R93</f>
        <v>0.80980607226181278</v>
      </c>
      <c r="I135" s="90">
        <f>+'5ta'!I$92*'5ta'!$R93</f>
        <v>1.2040606000659924</v>
      </c>
      <c r="J135" s="90">
        <f>+'5ta'!J$92*'5ta'!$R93</f>
        <v>5.3928201681989361</v>
      </c>
      <c r="K135" s="90">
        <f>+'5ta'!K$92*'5ta'!$R93</f>
        <v>9.5815797363318786</v>
      </c>
      <c r="L135" s="90">
        <f>+'5ta'!L$92*'5ta'!$R93</f>
        <v>0.38334629976216666</v>
      </c>
      <c r="M135" s="90">
        <f>+'5ta'!M$92*'5ta'!$R93</f>
        <v>0.38334629976216666</v>
      </c>
      <c r="N135" s="90">
        <f>+'5ta'!N$92*'5ta'!$R93</f>
        <v>1.9845183445004848</v>
      </c>
      <c r="O135" s="90">
        <f>+'5ta'!O$92*'5ta'!$R93</f>
        <v>1.9845183445004848</v>
      </c>
      <c r="P135" s="90">
        <f t="shared" ref="P135:AB135" si="165">+O135-(0.049/100)</f>
        <v>1.9840283445004847</v>
      </c>
      <c r="Q135" s="90">
        <f t="shared" si="165"/>
        <v>1.9835383445004846</v>
      </c>
      <c r="R135" s="90">
        <f t="shared" si="165"/>
        <v>1.9830483445004845</v>
      </c>
      <c r="S135" s="90">
        <f t="shared" si="165"/>
        <v>1.9825583445004844</v>
      </c>
      <c r="T135" s="90">
        <f t="shared" si="165"/>
        <v>1.9820683445004843</v>
      </c>
      <c r="U135" s="90">
        <f t="shared" si="165"/>
        <v>1.9815783445004842</v>
      </c>
      <c r="V135" s="90">
        <f t="shared" si="165"/>
        <v>1.9810883445004841</v>
      </c>
      <c r="W135" s="90">
        <f t="shared" si="165"/>
        <v>1.980598344500484</v>
      </c>
      <c r="X135" s="90">
        <f t="shared" si="165"/>
        <v>1.9801083445004839</v>
      </c>
      <c r="Y135" s="90">
        <f t="shared" si="165"/>
        <v>1.9796183445004838</v>
      </c>
      <c r="Z135" s="90">
        <f t="shared" si="165"/>
        <v>1.9791283445004837</v>
      </c>
      <c r="AA135" s="90">
        <f t="shared" si="165"/>
        <v>1.9786383445004836</v>
      </c>
      <c r="AB135" s="90">
        <f t="shared" si="165"/>
        <v>1.9781483445004835</v>
      </c>
    </row>
    <row r="136" spans="1:28" x14ac:dyDescent="0.25">
      <c r="A136" s="87" t="s">
        <v>113</v>
      </c>
      <c r="B136" s="86" t="s">
        <v>26</v>
      </c>
      <c r="C136" s="90">
        <f>+'5ta'!C$92*'5ta'!$R94</f>
        <v>0.10320311067253829</v>
      </c>
      <c r="D136" s="90">
        <f>+'5ta'!D$92*'5ta'!$R94</f>
        <v>0.10320311067253829</v>
      </c>
      <c r="E136" s="90">
        <f>+'5ta'!E$92*'5ta'!$R94</f>
        <v>0.10320311067253829</v>
      </c>
      <c r="F136" s="90">
        <f>+'5ta'!F$92*'5ta'!$R94</f>
        <v>0.10320311067253829</v>
      </c>
      <c r="G136" s="90">
        <f>+'5ta'!G$92*'5ta'!$R94</f>
        <v>0.10320311067253829</v>
      </c>
      <c r="H136" s="90">
        <f>+'5ta'!H$92*'5ta'!$R94</f>
        <v>0.20111706192310899</v>
      </c>
      <c r="I136" s="90">
        <f>+'5ta'!I$92*'5ta'!$R94</f>
        <v>0.29903101317367969</v>
      </c>
      <c r="J136" s="90">
        <f>+'5ta'!J$92*'5ta'!$R94</f>
        <v>1.3393183687528658</v>
      </c>
      <c r="K136" s="90">
        <f>+'5ta'!K$92*'5ta'!$R94</f>
        <v>2.3796057243320519</v>
      </c>
      <c r="L136" s="90">
        <f>+'5ta'!L$92*'5ta'!$R94</f>
        <v>9.5204869595416575E-2</v>
      </c>
      <c r="M136" s="90">
        <f>+'5ta'!M$92*'5ta'!$R94</f>
        <v>9.5204869595416575E-2</v>
      </c>
      <c r="N136" s="90">
        <f>+'5ta'!N$92*'5ta'!$R94</f>
        <v>0.49285935540554066</v>
      </c>
      <c r="O136" s="90">
        <f>+'5ta'!O$92*'5ta'!$R94</f>
        <v>0.49285935540554066</v>
      </c>
      <c r="P136" s="90">
        <f t="shared" ref="P136:AB136" si="166">+O136-(0.049/100)</f>
        <v>0.49236935540554067</v>
      </c>
      <c r="Q136" s="90">
        <f t="shared" si="166"/>
        <v>0.49187935540554067</v>
      </c>
      <c r="R136" s="90">
        <f t="shared" si="166"/>
        <v>0.49138935540554068</v>
      </c>
      <c r="S136" s="90">
        <f t="shared" si="166"/>
        <v>0.49089935540554069</v>
      </c>
      <c r="T136" s="90">
        <f t="shared" si="166"/>
        <v>0.4904093554055407</v>
      </c>
      <c r="U136" s="90">
        <f t="shared" si="166"/>
        <v>0.48991935540554071</v>
      </c>
      <c r="V136" s="90">
        <f t="shared" si="166"/>
        <v>0.48942935540554072</v>
      </c>
      <c r="W136" s="90">
        <f t="shared" si="166"/>
        <v>0.48893935540554073</v>
      </c>
      <c r="X136" s="90">
        <f t="shared" si="166"/>
        <v>0.48844935540554074</v>
      </c>
      <c r="Y136" s="90">
        <f t="shared" si="166"/>
        <v>0.48795935540554075</v>
      </c>
      <c r="Z136" s="90">
        <f t="shared" si="166"/>
        <v>0.48746935540554076</v>
      </c>
      <c r="AA136" s="90">
        <f t="shared" si="166"/>
        <v>0.48697935540554077</v>
      </c>
      <c r="AB136" s="90">
        <f t="shared" si="166"/>
        <v>0.48648935540554078</v>
      </c>
    </row>
    <row r="137" spans="1:28" x14ac:dyDescent="0.25">
      <c r="A137" s="87" t="s">
        <v>113</v>
      </c>
      <c r="B137" s="86" t="s">
        <v>27</v>
      </c>
      <c r="C137" s="90">
        <f>+'5ta'!C$92*'5ta'!$R95</f>
        <v>0.43157774322207193</v>
      </c>
      <c r="D137" s="90">
        <f>+'5ta'!D$92*'5ta'!$R95</f>
        <v>0.43157774322207193</v>
      </c>
      <c r="E137" s="90">
        <f>+'5ta'!E$92*'5ta'!$R95</f>
        <v>0.43157774322207193</v>
      </c>
      <c r="F137" s="90">
        <f>+'5ta'!F$92*'5ta'!$R95</f>
        <v>0.43157774322207193</v>
      </c>
      <c r="G137" s="90">
        <f>+'5ta'!G$92*'5ta'!$R95</f>
        <v>0.43157774322207193</v>
      </c>
      <c r="H137" s="90">
        <f>+'5ta'!H$92*'5ta'!$R95</f>
        <v>0.84103712710401268</v>
      </c>
      <c r="I137" s="90">
        <f>+'5ta'!I$92*'5ta'!$R95</f>
        <v>1.2504965109859534</v>
      </c>
      <c r="J137" s="90">
        <f>+'5ta'!J$92*'5ta'!$R95</f>
        <v>5.6008001626644388</v>
      </c>
      <c r="K137" s="90">
        <f>+'5ta'!K$92*'5ta'!$R95</f>
        <v>9.9511038143429236</v>
      </c>
      <c r="L137" s="90">
        <f>+'5ta'!L$92*'5ta'!$R95</f>
        <v>0.39813046812236136</v>
      </c>
      <c r="M137" s="90">
        <f>+'5ta'!M$92*'5ta'!$R95</f>
        <v>0.39813046812236136</v>
      </c>
      <c r="N137" s="90">
        <f>+'5ta'!N$92*'5ta'!$R95</f>
        <v>2.0610534599749073</v>
      </c>
      <c r="O137" s="90">
        <f>+'5ta'!O$92*'5ta'!$R95</f>
        <v>2.0610534599749073</v>
      </c>
      <c r="P137" s="90">
        <f t="shared" ref="P137:AB137" si="167">+O137-(0.049/100)</f>
        <v>2.0605634599749072</v>
      </c>
      <c r="Q137" s="90">
        <f t="shared" si="167"/>
        <v>2.0600734599749071</v>
      </c>
      <c r="R137" s="90">
        <f t="shared" si="167"/>
        <v>2.059583459974907</v>
      </c>
      <c r="S137" s="90">
        <f t="shared" si="167"/>
        <v>2.0590934599749069</v>
      </c>
      <c r="T137" s="90">
        <f t="shared" si="167"/>
        <v>2.0586034599749068</v>
      </c>
      <c r="U137" s="90">
        <f t="shared" si="167"/>
        <v>2.0581134599749067</v>
      </c>
      <c r="V137" s="90">
        <f t="shared" si="167"/>
        <v>2.0576234599749066</v>
      </c>
      <c r="W137" s="90">
        <f t="shared" si="167"/>
        <v>2.0571334599749065</v>
      </c>
      <c r="X137" s="90">
        <f t="shared" si="167"/>
        <v>2.0566434599749064</v>
      </c>
      <c r="Y137" s="90">
        <f t="shared" si="167"/>
        <v>2.0561534599749063</v>
      </c>
      <c r="Z137" s="90">
        <f t="shared" si="167"/>
        <v>2.0556634599749062</v>
      </c>
      <c r="AA137" s="90">
        <f t="shared" si="167"/>
        <v>2.0551734599749061</v>
      </c>
      <c r="AB137" s="90">
        <f t="shared" si="167"/>
        <v>2.054683459974906</v>
      </c>
    </row>
    <row r="139" spans="1:28" x14ac:dyDescent="0.25">
      <c r="A139" s="81" t="s">
        <v>115</v>
      </c>
    </row>
    <row r="140" spans="1:28" x14ac:dyDescent="0.25">
      <c r="A140" s="1" t="s">
        <v>105</v>
      </c>
      <c r="B140" s="65" t="s">
        <v>106</v>
      </c>
      <c r="C140" s="1">
        <v>2010</v>
      </c>
      <c r="D140" s="1">
        <v>2011</v>
      </c>
      <c r="E140" s="1">
        <v>2012</v>
      </c>
      <c r="F140" s="1">
        <v>2013</v>
      </c>
      <c r="G140" s="1">
        <v>2014</v>
      </c>
      <c r="H140" s="1">
        <v>2015</v>
      </c>
      <c r="I140" s="1">
        <v>2016</v>
      </c>
      <c r="J140" s="1">
        <v>2017</v>
      </c>
      <c r="K140" s="1">
        <v>2018</v>
      </c>
      <c r="L140" s="1">
        <v>2019</v>
      </c>
      <c r="M140" s="1">
        <v>2020</v>
      </c>
      <c r="N140" s="1">
        <v>2021</v>
      </c>
      <c r="O140" s="1">
        <v>2022</v>
      </c>
      <c r="P140" s="1">
        <v>2023</v>
      </c>
      <c r="Q140" s="1">
        <v>2024</v>
      </c>
      <c r="R140" s="1">
        <v>2025</v>
      </c>
      <c r="S140" s="1">
        <v>2026</v>
      </c>
      <c r="T140" s="1">
        <v>2027</v>
      </c>
      <c r="U140" s="1">
        <v>2028</v>
      </c>
      <c r="V140" s="1">
        <v>2029</v>
      </c>
      <c r="W140" s="1">
        <v>2030</v>
      </c>
      <c r="X140" s="1">
        <v>2031</v>
      </c>
      <c r="Y140" s="1">
        <v>2032</v>
      </c>
      <c r="Z140" s="1">
        <v>2033</v>
      </c>
      <c r="AA140" s="1">
        <v>2034</v>
      </c>
      <c r="AB140" s="1">
        <v>2035</v>
      </c>
    </row>
    <row r="141" spans="1:28" x14ac:dyDescent="0.25">
      <c r="A141" s="86" t="s">
        <v>18</v>
      </c>
      <c r="B141" s="87" t="s">
        <v>19</v>
      </c>
      <c r="C141" s="90">
        <v>2921.6550000000002</v>
      </c>
      <c r="D141" s="90">
        <f t="shared" ref="D141:D154" si="168">+(C141+E141)/2</f>
        <v>2921.6550000000002</v>
      </c>
      <c r="E141" s="90">
        <v>2921.6550000000002</v>
      </c>
      <c r="F141" s="90">
        <f t="shared" ref="F141:F154" si="169">+(E141+G141)/2</f>
        <v>2921.6550000000002</v>
      </c>
      <c r="G141" s="90">
        <v>2921.6550000000002</v>
      </c>
      <c r="H141" s="90">
        <f t="shared" ref="H141:H154" si="170">+(G141+I141)/2</f>
        <v>2044.4325000000001</v>
      </c>
      <c r="I141" s="90">
        <v>1167.21</v>
      </c>
      <c r="J141" s="90">
        <f t="shared" ref="J141:J154" si="171">+(I141+K141)/2</f>
        <v>1052.55</v>
      </c>
      <c r="K141" s="90">
        <v>937.89</v>
      </c>
      <c r="L141" s="90">
        <v>3382.92</v>
      </c>
      <c r="M141" s="90">
        <v>3382.92</v>
      </c>
      <c r="N141" s="90">
        <v>2392.92</v>
      </c>
      <c r="O141" s="90">
        <v>2392.92</v>
      </c>
      <c r="P141" s="90">
        <f t="shared" ref="P141:R154" si="172">+O141+(0.049/100)</f>
        <v>2392.92049</v>
      </c>
      <c r="Q141" s="90">
        <f t="shared" si="172"/>
        <v>2392.9209799999999</v>
      </c>
      <c r="R141" s="90">
        <f t="shared" si="172"/>
        <v>2392.9214699999998</v>
      </c>
      <c r="S141" s="90">
        <f t="shared" ref="S141:AB141" si="173">+R141-(0.711/100)</f>
        <v>2392.9143599999998</v>
      </c>
      <c r="T141" s="90">
        <f t="shared" si="173"/>
        <v>2392.9072499999997</v>
      </c>
      <c r="U141" s="90">
        <f t="shared" si="173"/>
        <v>2392.9001399999997</v>
      </c>
      <c r="V141" s="90">
        <f t="shared" si="173"/>
        <v>2392.8930299999997</v>
      </c>
      <c r="W141" s="90">
        <f t="shared" si="173"/>
        <v>2392.8859199999997</v>
      </c>
      <c r="X141" s="90">
        <f t="shared" si="173"/>
        <v>2392.8788099999997</v>
      </c>
      <c r="Y141" s="90">
        <f t="shared" si="173"/>
        <v>2392.8716999999997</v>
      </c>
      <c r="Z141" s="90">
        <f t="shared" si="173"/>
        <v>2392.8645899999997</v>
      </c>
      <c r="AA141" s="90">
        <f t="shared" si="173"/>
        <v>2392.8574799999997</v>
      </c>
      <c r="AB141" s="90">
        <f t="shared" si="173"/>
        <v>2392.8503699999997</v>
      </c>
    </row>
    <row r="142" spans="1:28" x14ac:dyDescent="0.25">
      <c r="A142" s="86" t="s">
        <v>20</v>
      </c>
      <c r="B142" s="87" t="s">
        <v>19</v>
      </c>
      <c r="C142" s="90">
        <v>14129.010000000007</v>
      </c>
      <c r="D142" s="90">
        <f t="shared" si="168"/>
        <v>14129.010000000007</v>
      </c>
      <c r="E142" s="90">
        <v>14129.010000000007</v>
      </c>
      <c r="F142" s="90">
        <f t="shared" si="169"/>
        <v>14129.010000000007</v>
      </c>
      <c r="G142" s="90">
        <v>14129.010000000007</v>
      </c>
      <c r="H142" s="90">
        <f t="shared" si="170"/>
        <v>13915.642500000002</v>
      </c>
      <c r="I142" s="90">
        <v>13702.274999999998</v>
      </c>
      <c r="J142" s="90">
        <f t="shared" si="171"/>
        <v>11871.967499999999</v>
      </c>
      <c r="K142" s="90">
        <v>10041.66</v>
      </c>
      <c r="L142" s="90">
        <v>11193.21</v>
      </c>
      <c r="M142" s="90">
        <v>11193.21</v>
      </c>
      <c r="N142" s="90">
        <v>14441.400000000001</v>
      </c>
      <c r="O142" s="90">
        <v>14441.400000000001</v>
      </c>
      <c r="P142" s="90">
        <f t="shared" si="172"/>
        <v>14441.400490000002</v>
      </c>
      <c r="Q142" s="90">
        <f t="shared" si="172"/>
        <v>14441.400980000002</v>
      </c>
      <c r="R142" s="90">
        <f t="shared" si="172"/>
        <v>14441.401470000003</v>
      </c>
      <c r="S142" s="90">
        <f t="shared" ref="S142:AB142" si="174">+R142-(0.711/100)</f>
        <v>14441.394360000002</v>
      </c>
      <c r="T142" s="90">
        <f t="shared" si="174"/>
        <v>14441.387250000002</v>
      </c>
      <c r="U142" s="90">
        <f t="shared" si="174"/>
        <v>14441.380140000001</v>
      </c>
      <c r="V142" s="90">
        <f t="shared" si="174"/>
        <v>14441.373030000001</v>
      </c>
      <c r="W142" s="90">
        <f t="shared" si="174"/>
        <v>14441.36592</v>
      </c>
      <c r="X142" s="90">
        <f t="shared" si="174"/>
        <v>14441.35881</v>
      </c>
      <c r="Y142" s="90">
        <f t="shared" si="174"/>
        <v>14441.351699999999</v>
      </c>
      <c r="Z142" s="90">
        <f t="shared" si="174"/>
        <v>14441.344589999999</v>
      </c>
      <c r="AA142" s="90">
        <f t="shared" si="174"/>
        <v>14441.337479999998</v>
      </c>
      <c r="AB142" s="90">
        <f t="shared" si="174"/>
        <v>14441.330369999998</v>
      </c>
    </row>
    <row r="143" spans="1:28" x14ac:dyDescent="0.25">
      <c r="A143" s="86" t="s">
        <v>21</v>
      </c>
      <c r="B143" s="87" t="s">
        <v>19</v>
      </c>
      <c r="C143" s="90">
        <v>13631.910000000002</v>
      </c>
      <c r="D143" s="90">
        <f t="shared" si="168"/>
        <v>13631.910000000002</v>
      </c>
      <c r="E143" s="90">
        <v>13631.910000000002</v>
      </c>
      <c r="F143" s="90">
        <f t="shared" si="169"/>
        <v>13631.910000000002</v>
      </c>
      <c r="G143" s="90">
        <v>13631.910000000002</v>
      </c>
      <c r="H143" s="90">
        <f t="shared" si="170"/>
        <v>13444.094999999999</v>
      </c>
      <c r="I143" s="90">
        <v>13256.279999999997</v>
      </c>
      <c r="J143" s="90">
        <f t="shared" si="171"/>
        <v>12232.394999999999</v>
      </c>
      <c r="K143" s="90">
        <v>11208.51</v>
      </c>
      <c r="L143" s="90">
        <v>11090.66</v>
      </c>
      <c r="M143" s="90">
        <v>11090.66</v>
      </c>
      <c r="N143" s="90">
        <v>8753.94</v>
      </c>
      <c r="O143" s="90">
        <v>8753.94</v>
      </c>
      <c r="P143" s="90">
        <f t="shared" si="172"/>
        <v>8753.9404900000009</v>
      </c>
      <c r="Q143" s="90">
        <f t="shared" si="172"/>
        <v>8753.9409800000012</v>
      </c>
      <c r="R143" s="90">
        <f t="shared" si="172"/>
        <v>8753.9414700000016</v>
      </c>
      <c r="S143" s="90">
        <f t="shared" ref="S143:AB143" si="175">+R143-(0.711/100)</f>
        <v>8753.9343600000011</v>
      </c>
      <c r="T143" s="90">
        <f t="shared" si="175"/>
        <v>8753.9272500000006</v>
      </c>
      <c r="U143" s="90">
        <f t="shared" si="175"/>
        <v>8753.9201400000002</v>
      </c>
      <c r="V143" s="90">
        <f t="shared" si="175"/>
        <v>8753.9130299999997</v>
      </c>
      <c r="W143" s="90">
        <f t="shared" si="175"/>
        <v>8753.9059199999992</v>
      </c>
      <c r="X143" s="90">
        <f t="shared" si="175"/>
        <v>8753.8988099999988</v>
      </c>
      <c r="Y143" s="90">
        <f t="shared" si="175"/>
        <v>8753.8916999999983</v>
      </c>
      <c r="Z143" s="90">
        <f t="shared" si="175"/>
        <v>8753.8845899999978</v>
      </c>
      <c r="AA143" s="90">
        <f t="shared" si="175"/>
        <v>8753.8774799999974</v>
      </c>
      <c r="AB143" s="90">
        <f t="shared" si="175"/>
        <v>8753.8703699999969</v>
      </c>
    </row>
    <row r="144" spans="1:28" x14ac:dyDescent="0.25">
      <c r="A144" s="86" t="s">
        <v>22</v>
      </c>
      <c r="B144" s="87" t="s">
        <v>19</v>
      </c>
      <c r="C144" s="90">
        <v>19148.415000000001</v>
      </c>
      <c r="D144" s="90">
        <f t="shared" si="168"/>
        <v>19148.415000000001</v>
      </c>
      <c r="E144" s="90">
        <v>19148.415000000001</v>
      </c>
      <c r="F144" s="90">
        <f t="shared" si="169"/>
        <v>19148.415000000001</v>
      </c>
      <c r="G144" s="90">
        <v>19148.415000000001</v>
      </c>
      <c r="H144" s="90">
        <f t="shared" si="170"/>
        <v>15017.677500000002</v>
      </c>
      <c r="I144" s="90">
        <v>10886.94</v>
      </c>
      <c r="J144" s="90">
        <f t="shared" si="171"/>
        <v>10514.34</v>
      </c>
      <c r="K144" s="90">
        <v>10141.74</v>
      </c>
      <c r="L144" s="90">
        <v>8861.5349999999999</v>
      </c>
      <c r="M144" s="90">
        <v>8861.5349999999999</v>
      </c>
      <c r="N144" s="90">
        <v>11154.645</v>
      </c>
      <c r="O144" s="90">
        <v>11154.645</v>
      </c>
      <c r="P144" s="90">
        <f t="shared" si="172"/>
        <v>11154.645490000001</v>
      </c>
      <c r="Q144" s="90">
        <f t="shared" si="172"/>
        <v>11154.645980000001</v>
      </c>
      <c r="R144" s="90">
        <f t="shared" si="172"/>
        <v>11154.646470000002</v>
      </c>
      <c r="S144" s="90">
        <f t="shared" ref="S144:AB144" si="176">+R144-(0.711/100)</f>
        <v>11154.639360000001</v>
      </c>
      <c r="T144" s="90">
        <f t="shared" si="176"/>
        <v>11154.632250000001</v>
      </c>
      <c r="U144" s="90">
        <f t="shared" si="176"/>
        <v>11154.62514</v>
      </c>
      <c r="V144" s="90">
        <f t="shared" si="176"/>
        <v>11154.61803</v>
      </c>
      <c r="W144" s="90">
        <f t="shared" si="176"/>
        <v>11154.610919999999</v>
      </c>
      <c r="X144" s="90">
        <f t="shared" si="176"/>
        <v>11154.603809999999</v>
      </c>
      <c r="Y144" s="90">
        <f t="shared" si="176"/>
        <v>11154.596699999998</v>
      </c>
      <c r="Z144" s="90">
        <f t="shared" si="176"/>
        <v>11154.589589999998</v>
      </c>
      <c r="AA144" s="90">
        <f t="shared" si="176"/>
        <v>11154.582479999997</v>
      </c>
      <c r="AB144" s="90">
        <f t="shared" si="176"/>
        <v>11154.575369999997</v>
      </c>
    </row>
    <row r="145" spans="1:28" x14ac:dyDescent="0.25">
      <c r="A145" s="86" t="s">
        <v>23</v>
      </c>
      <c r="B145" s="87" t="s">
        <v>19</v>
      </c>
      <c r="C145" s="90">
        <v>2543.9550000000004</v>
      </c>
      <c r="D145" s="90">
        <f t="shared" si="168"/>
        <v>2543.9550000000004</v>
      </c>
      <c r="E145" s="90">
        <v>2543.9550000000004</v>
      </c>
      <c r="F145" s="90">
        <f t="shared" si="169"/>
        <v>2543.9550000000004</v>
      </c>
      <c r="G145" s="90">
        <v>2543.9550000000004</v>
      </c>
      <c r="H145" s="90">
        <f t="shared" si="170"/>
        <v>2740.3950000000004</v>
      </c>
      <c r="I145" s="90">
        <v>2936.835</v>
      </c>
      <c r="J145" s="90">
        <f t="shared" si="171"/>
        <v>2619.4974999999999</v>
      </c>
      <c r="K145" s="90">
        <v>2302.16</v>
      </c>
      <c r="L145" s="90">
        <v>3169.13</v>
      </c>
      <c r="M145" s="90">
        <v>3169.13</v>
      </c>
      <c r="N145" s="90">
        <v>1357.29</v>
      </c>
      <c r="O145" s="90">
        <v>1357.29</v>
      </c>
      <c r="P145" s="90">
        <f t="shared" si="172"/>
        <v>1357.2904899999999</v>
      </c>
      <c r="Q145" s="90">
        <f t="shared" si="172"/>
        <v>1357.2909799999998</v>
      </c>
      <c r="R145" s="90">
        <f t="shared" si="172"/>
        <v>1357.2914699999997</v>
      </c>
      <c r="S145" s="90">
        <f t="shared" ref="S145:AB145" si="177">+R145-(0.711/100)</f>
        <v>1357.2843599999997</v>
      </c>
      <c r="T145" s="90">
        <f t="shared" si="177"/>
        <v>1357.2772499999996</v>
      </c>
      <c r="U145" s="90">
        <f t="shared" si="177"/>
        <v>1357.2701399999996</v>
      </c>
      <c r="V145" s="90">
        <f t="shared" si="177"/>
        <v>1357.2630299999996</v>
      </c>
      <c r="W145" s="90">
        <f t="shared" si="177"/>
        <v>1357.2559199999996</v>
      </c>
      <c r="X145" s="90">
        <f t="shared" si="177"/>
        <v>1357.2488099999996</v>
      </c>
      <c r="Y145" s="90">
        <f t="shared" si="177"/>
        <v>1357.2416999999996</v>
      </c>
      <c r="Z145" s="90">
        <f t="shared" si="177"/>
        <v>1357.2345899999996</v>
      </c>
      <c r="AA145" s="90">
        <f t="shared" si="177"/>
        <v>1357.2274799999996</v>
      </c>
      <c r="AB145" s="90">
        <f t="shared" si="177"/>
        <v>1357.2203699999995</v>
      </c>
    </row>
    <row r="146" spans="1:28" ht="22.5" x14ac:dyDescent="0.25">
      <c r="A146" s="86" t="s">
        <v>24</v>
      </c>
      <c r="B146" s="87" t="s">
        <v>19</v>
      </c>
      <c r="C146" s="90">
        <v>22227.494999999999</v>
      </c>
      <c r="D146" s="90">
        <f t="shared" si="168"/>
        <v>22227.494999999999</v>
      </c>
      <c r="E146" s="90">
        <v>22227.494999999999</v>
      </c>
      <c r="F146" s="90">
        <f t="shared" si="169"/>
        <v>22227.494999999999</v>
      </c>
      <c r="G146" s="90">
        <v>22227.494999999999</v>
      </c>
      <c r="H146" s="90">
        <f t="shared" si="170"/>
        <v>24651.502500000002</v>
      </c>
      <c r="I146" s="90">
        <v>27075.510000000002</v>
      </c>
      <c r="J146" s="90">
        <f t="shared" si="171"/>
        <v>25636.365000000002</v>
      </c>
      <c r="K146" s="90">
        <v>24197.22</v>
      </c>
      <c r="L146" s="90">
        <v>26998.74</v>
      </c>
      <c r="M146" s="90">
        <v>26998.74</v>
      </c>
      <c r="N146" s="90">
        <v>28947.375</v>
      </c>
      <c r="O146" s="90">
        <v>28947.375</v>
      </c>
      <c r="P146" s="90">
        <f t="shared" si="172"/>
        <v>28947.375489999999</v>
      </c>
      <c r="Q146" s="90">
        <f t="shared" si="172"/>
        <v>28947.375979999997</v>
      </c>
      <c r="R146" s="90">
        <f t="shared" si="172"/>
        <v>28947.376469999996</v>
      </c>
      <c r="S146" s="90">
        <f t="shared" ref="S146:AB146" si="178">+R146-(0.711/100)</f>
        <v>28947.369359999997</v>
      </c>
      <c r="T146" s="90">
        <f t="shared" si="178"/>
        <v>28947.362249999998</v>
      </c>
      <c r="U146" s="90">
        <f t="shared" si="178"/>
        <v>28947.35514</v>
      </c>
      <c r="V146" s="90">
        <f t="shared" si="178"/>
        <v>28947.348030000001</v>
      </c>
      <c r="W146" s="90">
        <f t="shared" si="178"/>
        <v>28947.340920000002</v>
      </c>
      <c r="X146" s="90">
        <f t="shared" si="178"/>
        <v>28947.333810000004</v>
      </c>
      <c r="Y146" s="90">
        <f t="shared" si="178"/>
        <v>28947.326700000005</v>
      </c>
      <c r="Z146" s="90">
        <f t="shared" si="178"/>
        <v>28947.319590000006</v>
      </c>
      <c r="AA146" s="90">
        <f t="shared" si="178"/>
        <v>28947.312480000008</v>
      </c>
      <c r="AB146" s="90">
        <f t="shared" si="178"/>
        <v>28947.305370000009</v>
      </c>
    </row>
    <row r="147" spans="1:28" x14ac:dyDescent="0.25">
      <c r="A147" s="86" t="s">
        <v>25</v>
      </c>
      <c r="B147" s="87" t="s">
        <v>19</v>
      </c>
      <c r="C147" s="90">
        <v>19344.36</v>
      </c>
      <c r="D147" s="90">
        <f t="shared" si="168"/>
        <v>19344.36</v>
      </c>
      <c r="E147" s="90">
        <v>19344.36</v>
      </c>
      <c r="F147" s="90">
        <f t="shared" si="169"/>
        <v>19344.36</v>
      </c>
      <c r="G147" s="90">
        <v>19344.36</v>
      </c>
      <c r="H147" s="90">
        <f t="shared" si="170"/>
        <v>19871.79</v>
      </c>
      <c r="I147" s="90">
        <v>20399.220000000005</v>
      </c>
      <c r="J147" s="90">
        <f t="shared" si="171"/>
        <v>19175.940000000002</v>
      </c>
      <c r="K147" s="90">
        <v>17952.66</v>
      </c>
      <c r="L147" s="90">
        <v>16612.38</v>
      </c>
      <c r="M147" s="90">
        <v>16612.38</v>
      </c>
      <c r="N147" s="90">
        <v>23323.995000000003</v>
      </c>
      <c r="O147" s="90">
        <v>23323.995000000003</v>
      </c>
      <c r="P147" s="90">
        <f t="shared" si="172"/>
        <v>23323.995490000001</v>
      </c>
      <c r="Q147" s="90">
        <f t="shared" si="172"/>
        <v>23323.99598</v>
      </c>
      <c r="R147" s="90">
        <f t="shared" si="172"/>
        <v>23323.996469999998</v>
      </c>
      <c r="S147" s="90">
        <f t="shared" ref="S147:AB147" si="179">+R147-(0.711/100)</f>
        <v>23323.98936</v>
      </c>
      <c r="T147" s="90">
        <f t="shared" si="179"/>
        <v>23323.982250000001</v>
      </c>
      <c r="U147" s="90">
        <f t="shared" si="179"/>
        <v>23323.975140000002</v>
      </c>
      <c r="V147" s="90">
        <f t="shared" si="179"/>
        <v>23323.968030000004</v>
      </c>
      <c r="W147" s="90">
        <f t="shared" si="179"/>
        <v>23323.960920000005</v>
      </c>
      <c r="X147" s="90">
        <f t="shared" si="179"/>
        <v>23323.953810000006</v>
      </c>
      <c r="Y147" s="90">
        <f t="shared" si="179"/>
        <v>23323.946700000008</v>
      </c>
      <c r="Z147" s="90">
        <f t="shared" si="179"/>
        <v>23323.939590000009</v>
      </c>
      <c r="AA147" s="90">
        <f t="shared" si="179"/>
        <v>23323.93248000001</v>
      </c>
      <c r="AB147" s="90">
        <f t="shared" si="179"/>
        <v>23323.925370000012</v>
      </c>
    </row>
    <row r="148" spans="1:28" x14ac:dyDescent="0.25">
      <c r="A148" s="86" t="s">
        <v>26</v>
      </c>
      <c r="B148" s="87" t="s">
        <v>19</v>
      </c>
      <c r="C148" s="90">
        <v>363.52500000000009</v>
      </c>
      <c r="D148" s="90">
        <f t="shared" si="168"/>
        <v>363.52500000000009</v>
      </c>
      <c r="E148" s="90">
        <v>363.52500000000009</v>
      </c>
      <c r="F148" s="90">
        <f t="shared" si="169"/>
        <v>363.52500000000009</v>
      </c>
      <c r="G148" s="90">
        <v>363.52500000000009</v>
      </c>
      <c r="H148" s="90">
        <f t="shared" si="170"/>
        <v>561.31500000000028</v>
      </c>
      <c r="I148" s="90">
        <v>759.10500000000059</v>
      </c>
      <c r="J148" s="90">
        <f t="shared" si="171"/>
        <v>538.24750000000029</v>
      </c>
      <c r="K148" s="90">
        <v>317.39</v>
      </c>
      <c r="L148" s="90">
        <v>137.97</v>
      </c>
      <c r="M148" s="90">
        <v>137.97</v>
      </c>
      <c r="N148" s="90">
        <v>329.58</v>
      </c>
      <c r="O148" s="90">
        <v>329.58</v>
      </c>
      <c r="P148" s="90">
        <f t="shared" si="172"/>
        <v>329.58049</v>
      </c>
      <c r="Q148" s="90">
        <f t="shared" si="172"/>
        <v>329.58098000000001</v>
      </c>
      <c r="R148" s="90">
        <f t="shared" si="172"/>
        <v>329.58147000000002</v>
      </c>
      <c r="S148" s="90">
        <f t="shared" ref="S148:AB148" si="180">+R148-(0.711/100)</f>
        <v>329.57436000000001</v>
      </c>
      <c r="T148" s="90">
        <f t="shared" si="180"/>
        <v>329.56725</v>
      </c>
      <c r="U148" s="90">
        <f t="shared" si="180"/>
        <v>329.56013999999999</v>
      </c>
      <c r="V148" s="90">
        <f t="shared" si="180"/>
        <v>329.55302999999998</v>
      </c>
      <c r="W148" s="90">
        <f t="shared" si="180"/>
        <v>329.54591999999997</v>
      </c>
      <c r="X148" s="90">
        <f t="shared" si="180"/>
        <v>329.53880999999996</v>
      </c>
      <c r="Y148" s="90">
        <f t="shared" si="180"/>
        <v>329.53169999999994</v>
      </c>
      <c r="Z148" s="90">
        <f t="shared" si="180"/>
        <v>329.52458999999993</v>
      </c>
      <c r="AA148" s="90">
        <f t="shared" si="180"/>
        <v>329.51747999999992</v>
      </c>
      <c r="AB148" s="90">
        <f t="shared" si="180"/>
        <v>329.51036999999991</v>
      </c>
    </row>
    <row r="149" spans="1:28" x14ac:dyDescent="0.25">
      <c r="A149" s="86" t="s">
        <v>27</v>
      </c>
      <c r="B149" s="87" t="s">
        <v>19</v>
      </c>
      <c r="C149" s="90">
        <v>423.67500000000001</v>
      </c>
      <c r="D149" s="90">
        <f t="shared" si="168"/>
        <v>423.67500000000001</v>
      </c>
      <c r="E149" s="90">
        <v>423.67500000000001</v>
      </c>
      <c r="F149" s="90">
        <f t="shared" si="169"/>
        <v>423.67500000000001</v>
      </c>
      <c r="G149" s="90">
        <v>423.67500000000001</v>
      </c>
      <c r="H149" s="90">
        <f t="shared" si="170"/>
        <v>506.65499999999997</v>
      </c>
      <c r="I149" s="90">
        <v>589.63499999999999</v>
      </c>
      <c r="J149" s="90">
        <f t="shared" si="171"/>
        <v>463.27499999999998</v>
      </c>
      <c r="K149" s="90">
        <v>336.91500000000002</v>
      </c>
      <c r="L149" s="90">
        <v>621.04999999999995</v>
      </c>
      <c r="M149" s="90">
        <v>621.04999999999995</v>
      </c>
      <c r="N149" s="90">
        <v>667.8900000000001</v>
      </c>
      <c r="O149" s="90">
        <v>667.8900000000001</v>
      </c>
      <c r="P149" s="90">
        <f t="shared" si="172"/>
        <v>667.89049000000011</v>
      </c>
      <c r="Q149" s="90">
        <f t="shared" si="172"/>
        <v>667.89098000000013</v>
      </c>
      <c r="R149" s="90">
        <f t="shared" si="172"/>
        <v>667.89147000000014</v>
      </c>
      <c r="S149" s="90">
        <f t="shared" ref="S149:AB149" si="181">+R149-(0.711/100)</f>
        <v>667.88436000000013</v>
      </c>
      <c r="T149" s="90">
        <f t="shared" si="181"/>
        <v>667.87725000000012</v>
      </c>
      <c r="U149" s="90">
        <f t="shared" si="181"/>
        <v>667.87014000000011</v>
      </c>
      <c r="V149" s="90">
        <f t="shared" si="181"/>
        <v>667.86303000000009</v>
      </c>
      <c r="W149" s="90">
        <f t="shared" si="181"/>
        <v>667.85592000000008</v>
      </c>
      <c r="X149" s="90">
        <f t="shared" si="181"/>
        <v>667.84881000000007</v>
      </c>
      <c r="Y149" s="90">
        <f t="shared" si="181"/>
        <v>667.84170000000006</v>
      </c>
      <c r="Z149" s="90">
        <f t="shared" si="181"/>
        <v>667.83459000000005</v>
      </c>
      <c r="AA149" s="90">
        <f t="shared" si="181"/>
        <v>667.82748000000004</v>
      </c>
      <c r="AB149" s="90">
        <f t="shared" si="181"/>
        <v>667.82037000000003</v>
      </c>
    </row>
    <row r="150" spans="1:28" x14ac:dyDescent="0.25">
      <c r="A150" s="86" t="s">
        <v>28</v>
      </c>
      <c r="B150" s="87" t="s">
        <v>19</v>
      </c>
      <c r="C150" s="90">
        <v>2300.9850000000001</v>
      </c>
      <c r="D150" s="90">
        <f t="shared" si="168"/>
        <v>2300.9850000000001</v>
      </c>
      <c r="E150" s="90">
        <v>2300.9850000000001</v>
      </c>
      <c r="F150" s="90">
        <f t="shared" si="169"/>
        <v>2300.9850000000001</v>
      </c>
      <c r="G150" s="90">
        <v>2300.9850000000001</v>
      </c>
      <c r="H150" s="90">
        <f t="shared" si="170"/>
        <v>6718.8375000000005</v>
      </c>
      <c r="I150" s="90">
        <v>11136.69</v>
      </c>
      <c r="J150" s="90">
        <f t="shared" si="171"/>
        <v>9869.0625</v>
      </c>
      <c r="K150" s="90">
        <v>8601.4349999999995</v>
      </c>
      <c r="L150" s="90">
        <v>1903.73</v>
      </c>
      <c r="M150" s="90">
        <v>1903.73</v>
      </c>
      <c r="N150" s="90">
        <v>5155.1099999999997</v>
      </c>
      <c r="O150" s="90">
        <v>5155.1099999999997</v>
      </c>
      <c r="P150" s="90">
        <f t="shared" si="172"/>
        <v>5155.11049</v>
      </c>
      <c r="Q150" s="90">
        <f t="shared" si="172"/>
        <v>5155.1109800000004</v>
      </c>
      <c r="R150" s="90">
        <f t="shared" si="172"/>
        <v>5155.1114700000007</v>
      </c>
      <c r="S150" s="90">
        <f t="shared" ref="S150:AB150" si="182">+R150-(0.711/100)</f>
        <v>5155.1043600000012</v>
      </c>
      <c r="T150" s="90">
        <f t="shared" si="182"/>
        <v>5155.0972500000016</v>
      </c>
      <c r="U150" s="90">
        <f t="shared" si="182"/>
        <v>5155.0901400000021</v>
      </c>
      <c r="V150" s="90">
        <f t="shared" si="182"/>
        <v>5155.0830300000025</v>
      </c>
      <c r="W150" s="90">
        <f t="shared" si="182"/>
        <v>5155.075920000003</v>
      </c>
      <c r="X150" s="90">
        <f t="shared" si="182"/>
        <v>5155.0688100000034</v>
      </c>
      <c r="Y150" s="90">
        <f t="shared" si="182"/>
        <v>5155.0617000000038</v>
      </c>
      <c r="Z150" s="90">
        <f t="shared" si="182"/>
        <v>5155.0545900000043</v>
      </c>
      <c r="AA150" s="90">
        <f t="shared" si="182"/>
        <v>5155.0474800000047</v>
      </c>
      <c r="AB150" s="90">
        <f t="shared" si="182"/>
        <v>5155.0403700000052</v>
      </c>
    </row>
    <row r="151" spans="1:28" x14ac:dyDescent="0.25">
      <c r="A151" s="88" t="s">
        <v>4</v>
      </c>
      <c r="B151" s="87" t="s">
        <v>19</v>
      </c>
      <c r="C151" s="90">
        <v>24385.99</v>
      </c>
      <c r="D151" s="90">
        <f t="shared" si="168"/>
        <v>24385.99</v>
      </c>
      <c r="E151" s="90">
        <v>24385.99</v>
      </c>
      <c r="F151" s="90">
        <f t="shared" si="169"/>
        <v>24385.99</v>
      </c>
      <c r="G151" s="90">
        <v>24385.99</v>
      </c>
      <c r="H151" s="90">
        <f t="shared" si="170"/>
        <v>38966.805</v>
      </c>
      <c r="I151" s="90">
        <v>53547.62</v>
      </c>
      <c r="J151" s="90">
        <f t="shared" si="171"/>
        <v>34203.535000000003</v>
      </c>
      <c r="K151" s="90">
        <v>14859.45</v>
      </c>
      <c r="L151" s="90">
        <v>32440.31</v>
      </c>
      <c r="M151" s="90">
        <v>32440.31</v>
      </c>
      <c r="N151" s="90">
        <v>23216.04</v>
      </c>
      <c r="O151" s="90">
        <v>23216.04</v>
      </c>
      <c r="P151" s="90">
        <f t="shared" si="172"/>
        <v>23216.040489999999</v>
      </c>
      <c r="Q151" s="90">
        <f t="shared" si="172"/>
        <v>23216.040979999998</v>
      </c>
      <c r="R151" s="90">
        <f t="shared" si="172"/>
        <v>23216.041469999996</v>
      </c>
      <c r="S151" s="90">
        <f t="shared" ref="S151:AB151" si="183">+R151-(0.711/100)</f>
        <v>23216.034359999998</v>
      </c>
      <c r="T151" s="90">
        <f t="shared" si="183"/>
        <v>23216.027249999999</v>
      </c>
      <c r="U151" s="90">
        <f t="shared" si="183"/>
        <v>23216.020140000001</v>
      </c>
      <c r="V151" s="90">
        <f t="shared" si="183"/>
        <v>23216.013030000002</v>
      </c>
      <c r="W151" s="90">
        <f t="shared" si="183"/>
        <v>23216.005920000003</v>
      </c>
      <c r="X151" s="90">
        <f t="shared" si="183"/>
        <v>23215.998810000005</v>
      </c>
      <c r="Y151" s="90">
        <f t="shared" si="183"/>
        <v>23215.991700000006</v>
      </c>
      <c r="Z151" s="90">
        <f t="shared" si="183"/>
        <v>23215.984590000007</v>
      </c>
      <c r="AA151" s="90">
        <f t="shared" si="183"/>
        <v>23215.977480000009</v>
      </c>
      <c r="AB151" s="90">
        <f t="shared" si="183"/>
        <v>23215.97037000001</v>
      </c>
    </row>
    <row r="152" spans="1:28" x14ac:dyDescent="0.25">
      <c r="A152" s="88" t="s">
        <v>5</v>
      </c>
      <c r="B152" s="87" t="s">
        <v>19</v>
      </c>
      <c r="C152" s="90">
        <v>8319.99</v>
      </c>
      <c r="D152" s="90">
        <f t="shared" si="168"/>
        <v>8319.99</v>
      </c>
      <c r="E152" s="90">
        <v>8319.99</v>
      </c>
      <c r="F152" s="90">
        <f t="shared" si="169"/>
        <v>8319.99</v>
      </c>
      <c r="G152" s="90">
        <v>8319.99</v>
      </c>
      <c r="H152" s="90">
        <f t="shared" si="170"/>
        <v>9268.2150000000001</v>
      </c>
      <c r="I152" s="90">
        <v>10216.44</v>
      </c>
      <c r="J152" s="90">
        <f t="shared" si="171"/>
        <v>8473.6149999999998</v>
      </c>
      <c r="K152" s="90">
        <v>6730.79</v>
      </c>
      <c r="L152" s="90">
        <v>795.38</v>
      </c>
      <c r="M152" s="90">
        <v>795.38</v>
      </c>
      <c r="N152" s="90">
        <v>2562.98</v>
      </c>
      <c r="O152" s="90">
        <v>2562.98</v>
      </c>
      <c r="P152" s="90">
        <f t="shared" si="172"/>
        <v>2562.9804899999999</v>
      </c>
      <c r="Q152" s="90">
        <f t="shared" si="172"/>
        <v>2562.9809799999998</v>
      </c>
      <c r="R152" s="90">
        <f t="shared" si="172"/>
        <v>2562.9814699999997</v>
      </c>
      <c r="S152" s="90">
        <f t="shared" ref="S152:AB152" si="184">+R152-(0.711/100)</f>
        <v>2562.9743599999997</v>
      </c>
      <c r="T152" s="90">
        <f t="shared" si="184"/>
        <v>2562.9672499999997</v>
      </c>
      <c r="U152" s="90">
        <f t="shared" si="184"/>
        <v>2562.9601399999997</v>
      </c>
      <c r="V152" s="90">
        <f t="shared" si="184"/>
        <v>2562.9530299999997</v>
      </c>
      <c r="W152" s="90">
        <f t="shared" si="184"/>
        <v>2562.9459199999997</v>
      </c>
      <c r="X152" s="90">
        <f t="shared" si="184"/>
        <v>2562.9388099999996</v>
      </c>
      <c r="Y152" s="90">
        <f t="shared" si="184"/>
        <v>2562.9316999999996</v>
      </c>
      <c r="Z152" s="90">
        <f t="shared" si="184"/>
        <v>2562.9245899999996</v>
      </c>
      <c r="AA152" s="90">
        <f t="shared" si="184"/>
        <v>2562.9174799999996</v>
      </c>
      <c r="AB152" s="90">
        <f t="shared" si="184"/>
        <v>2562.9103699999996</v>
      </c>
    </row>
    <row r="153" spans="1:28" x14ac:dyDescent="0.25">
      <c r="A153" s="88" t="s">
        <v>6</v>
      </c>
      <c r="B153" s="87" t="s">
        <v>19</v>
      </c>
      <c r="C153" s="90">
        <v>0</v>
      </c>
      <c r="D153" s="90">
        <f t="shared" si="168"/>
        <v>0</v>
      </c>
      <c r="E153" s="90">
        <v>0</v>
      </c>
      <c r="F153" s="90">
        <f t="shared" si="169"/>
        <v>0</v>
      </c>
      <c r="G153" s="90">
        <v>0</v>
      </c>
      <c r="H153" s="90">
        <f t="shared" si="170"/>
        <v>0</v>
      </c>
      <c r="I153" s="90">
        <v>0</v>
      </c>
      <c r="J153" s="90">
        <f t="shared" si="171"/>
        <v>0</v>
      </c>
      <c r="K153" s="90">
        <v>0</v>
      </c>
      <c r="L153" s="90">
        <v>0</v>
      </c>
      <c r="M153" s="90">
        <v>0</v>
      </c>
      <c r="N153" s="90">
        <v>262.35000000000002</v>
      </c>
      <c r="O153" s="90">
        <v>262.35000000000002</v>
      </c>
      <c r="P153" s="90">
        <f t="shared" si="172"/>
        <v>262.35049000000004</v>
      </c>
      <c r="Q153" s="90">
        <f t="shared" si="172"/>
        <v>262.35098000000005</v>
      </c>
      <c r="R153" s="90">
        <f t="shared" si="172"/>
        <v>262.35147000000006</v>
      </c>
      <c r="S153" s="90">
        <f t="shared" ref="S153:AB153" si="185">+R153-(0.711/100)</f>
        <v>262.34436000000005</v>
      </c>
      <c r="T153" s="90">
        <f t="shared" si="185"/>
        <v>262.33725000000004</v>
      </c>
      <c r="U153" s="90">
        <f t="shared" si="185"/>
        <v>262.33014000000003</v>
      </c>
      <c r="V153" s="90">
        <f t="shared" si="185"/>
        <v>262.32303000000002</v>
      </c>
      <c r="W153" s="90">
        <f t="shared" si="185"/>
        <v>262.31592000000001</v>
      </c>
      <c r="X153" s="90">
        <f t="shared" si="185"/>
        <v>262.30880999999999</v>
      </c>
      <c r="Y153" s="90">
        <f t="shared" si="185"/>
        <v>262.30169999999998</v>
      </c>
      <c r="Z153" s="90">
        <f t="shared" si="185"/>
        <v>262.29458999999997</v>
      </c>
      <c r="AA153" s="90">
        <f t="shared" si="185"/>
        <v>262.28747999999996</v>
      </c>
      <c r="AB153" s="90">
        <f t="shared" si="185"/>
        <v>262.28036999999995</v>
      </c>
    </row>
    <row r="154" spans="1:28" x14ac:dyDescent="0.25">
      <c r="A154" s="88" t="s">
        <v>29</v>
      </c>
      <c r="B154" s="87" t="s">
        <v>19</v>
      </c>
      <c r="C154" s="90">
        <v>1280.52</v>
      </c>
      <c r="D154" s="90">
        <f t="shared" si="168"/>
        <v>1280.52</v>
      </c>
      <c r="E154" s="90">
        <v>1280.52</v>
      </c>
      <c r="F154" s="90">
        <f t="shared" si="169"/>
        <v>1280.52</v>
      </c>
      <c r="G154" s="90">
        <v>1280.52</v>
      </c>
      <c r="H154" s="90">
        <f t="shared" si="170"/>
        <v>5254.8525</v>
      </c>
      <c r="I154" s="90">
        <v>9229.1849999999995</v>
      </c>
      <c r="J154" s="90">
        <f t="shared" si="171"/>
        <v>5389.7874999999995</v>
      </c>
      <c r="K154" s="90">
        <v>1550.39</v>
      </c>
      <c r="L154" s="90">
        <v>608.72</v>
      </c>
      <c r="M154" s="90">
        <v>608.72</v>
      </c>
      <c r="N154" s="90">
        <v>3363.16</v>
      </c>
      <c r="O154" s="90">
        <v>3363.16</v>
      </c>
      <c r="P154" s="90">
        <f t="shared" si="172"/>
        <v>3363.1604899999998</v>
      </c>
      <c r="Q154" s="90">
        <f t="shared" si="172"/>
        <v>3363.1609799999997</v>
      </c>
      <c r="R154" s="90">
        <f t="shared" si="172"/>
        <v>3363.1614699999996</v>
      </c>
      <c r="S154" s="90">
        <f t="shared" ref="S154:AB154" si="186">+R154-(0.711/100)</f>
        <v>3363.1543599999995</v>
      </c>
      <c r="T154" s="90">
        <f t="shared" si="186"/>
        <v>3363.1472499999995</v>
      </c>
      <c r="U154" s="90">
        <f t="shared" si="186"/>
        <v>3363.1401399999995</v>
      </c>
      <c r="V154" s="90">
        <f t="shared" si="186"/>
        <v>3363.1330299999995</v>
      </c>
      <c r="W154" s="90">
        <f t="shared" si="186"/>
        <v>3363.1259199999995</v>
      </c>
      <c r="X154" s="90">
        <f t="shared" si="186"/>
        <v>3363.1188099999995</v>
      </c>
      <c r="Y154" s="90">
        <f t="shared" si="186"/>
        <v>3363.1116999999995</v>
      </c>
      <c r="Z154" s="90">
        <f t="shared" si="186"/>
        <v>3363.1045899999995</v>
      </c>
      <c r="AA154" s="90">
        <f t="shared" si="186"/>
        <v>3363.0974799999995</v>
      </c>
      <c r="AB154" s="90">
        <f t="shared" si="186"/>
        <v>3363.0903699999994</v>
      </c>
    </row>
    <row r="156" spans="1:28" x14ac:dyDescent="0.25">
      <c r="A156" s="86" t="s">
        <v>18</v>
      </c>
      <c r="B156" s="87" t="s">
        <v>4</v>
      </c>
      <c r="C156" s="89">
        <v>0</v>
      </c>
      <c r="D156" s="90">
        <f t="shared" ref="D156:D168" si="187">+(C156+E156)/2</f>
        <v>0</v>
      </c>
      <c r="E156" s="89">
        <v>0</v>
      </c>
      <c r="F156" s="90">
        <f t="shared" ref="F156:F168" si="188">+(E156+G156)/2</f>
        <v>0</v>
      </c>
      <c r="G156" s="89">
        <v>0</v>
      </c>
      <c r="H156" s="90">
        <f t="shared" ref="H156:H168" si="189">+(G156+I156)/2</f>
        <v>0</v>
      </c>
      <c r="I156" s="89">
        <v>0</v>
      </c>
      <c r="J156" s="90">
        <f t="shared" ref="J156:J168" si="190">+(I156+K156)/2</f>
        <v>80.887500000000003</v>
      </c>
      <c r="K156" s="89">
        <v>161.77500000000001</v>
      </c>
      <c r="L156" s="89">
        <v>23.94</v>
      </c>
      <c r="M156" s="89">
        <v>23.94</v>
      </c>
      <c r="N156" s="89">
        <v>1.62</v>
      </c>
      <c r="O156" s="89">
        <v>1.62</v>
      </c>
      <c r="P156" s="90">
        <f t="shared" ref="P156:R168" si="191">+O156+(0.049/100)</f>
        <v>1.6204900000000002</v>
      </c>
      <c r="Q156" s="90">
        <f t="shared" si="191"/>
        <v>1.6209800000000003</v>
      </c>
      <c r="R156" s="90">
        <f t="shared" si="191"/>
        <v>1.6214700000000004</v>
      </c>
      <c r="S156" s="90">
        <f t="shared" ref="S156:AB156" si="192">+R156-(0.711/100)</f>
        <v>1.6143600000000005</v>
      </c>
      <c r="T156" s="90">
        <f t="shared" si="192"/>
        <v>1.6072500000000005</v>
      </c>
      <c r="U156" s="90">
        <f t="shared" si="192"/>
        <v>1.6001400000000006</v>
      </c>
      <c r="V156" s="90">
        <f t="shared" si="192"/>
        <v>1.5930300000000006</v>
      </c>
      <c r="W156" s="90">
        <f t="shared" si="192"/>
        <v>1.5859200000000007</v>
      </c>
      <c r="X156" s="90">
        <f t="shared" si="192"/>
        <v>1.5788100000000007</v>
      </c>
      <c r="Y156" s="90">
        <f t="shared" si="192"/>
        <v>1.5717000000000008</v>
      </c>
      <c r="Z156" s="90">
        <f t="shared" si="192"/>
        <v>1.5645900000000008</v>
      </c>
      <c r="AA156" s="90">
        <f t="shared" si="192"/>
        <v>1.5574800000000009</v>
      </c>
      <c r="AB156" s="90">
        <f t="shared" si="192"/>
        <v>1.5503700000000009</v>
      </c>
    </row>
    <row r="157" spans="1:28" x14ac:dyDescent="0.25">
      <c r="A157" s="86" t="s">
        <v>20</v>
      </c>
      <c r="B157" s="87" t="s">
        <v>4</v>
      </c>
      <c r="C157" s="89">
        <v>0</v>
      </c>
      <c r="D157" s="90">
        <f t="shared" si="187"/>
        <v>0</v>
      </c>
      <c r="E157" s="89">
        <v>0</v>
      </c>
      <c r="F157" s="90">
        <f t="shared" si="188"/>
        <v>0</v>
      </c>
      <c r="G157" s="89">
        <v>0</v>
      </c>
      <c r="H157" s="90">
        <f t="shared" si="189"/>
        <v>0</v>
      </c>
      <c r="I157" s="89">
        <v>0</v>
      </c>
      <c r="J157" s="90">
        <f t="shared" si="190"/>
        <v>303.09750000000003</v>
      </c>
      <c r="K157" s="89">
        <v>606.19500000000005</v>
      </c>
      <c r="L157" s="89">
        <v>194.535</v>
      </c>
      <c r="M157" s="89">
        <v>194.535</v>
      </c>
      <c r="N157" s="89">
        <v>465.88499999999999</v>
      </c>
      <c r="O157" s="89">
        <v>465.88499999999999</v>
      </c>
      <c r="P157" s="90">
        <f t="shared" si="191"/>
        <v>465.88549</v>
      </c>
      <c r="Q157" s="90">
        <f t="shared" si="191"/>
        <v>465.88598000000002</v>
      </c>
      <c r="R157" s="90">
        <f t="shared" si="191"/>
        <v>465.88647000000003</v>
      </c>
      <c r="S157" s="90">
        <f t="shared" ref="S157:AB157" si="193">+R157-(0.711/100)</f>
        <v>465.87936000000002</v>
      </c>
      <c r="T157" s="90">
        <f t="shared" si="193"/>
        <v>465.87225000000001</v>
      </c>
      <c r="U157" s="90">
        <f t="shared" si="193"/>
        <v>465.86514</v>
      </c>
      <c r="V157" s="90">
        <f t="shared" si="193"/>
        <v>465.85802999999999</v>
      </c>
      <c r="W157" s="90">
        <f t="shared" si="193"/>
        <v>465.85091999999997</v>
      </c>
      <c r="X157" s="90">
        <f t="shared" si="193"/>
        <v>465.84380999999996</v>
      </c>
      <c r="Y157" s="90">
        <f t="shared" si="193"/>
        <v>465.83669999999995</v>
      </c>
      <c r="Z157" s="90">
        <f t="shared" si="193"/>
        <v>465.82958999999994</v>
      </c>
      <c r="AA157" s="90">
        <f t="shared" si="193"/>
        <v>465.82247999999993</v>
      </c>
      <c r="AB157" s="90">
        <f t="shared" si="193"/>
        <v>465.81536999999992</v>
      </c>
    </row>
    <row r="158" spans="1:28" x14ac:dyDescent="0.25">
      <c r="A158" s="86" t="s">
        <v>21</v>
      </c>
      <c r="B158" s="87" t="s">
        <v>4</v>
      </c>
      <c r="C158" s="89">
        <v>0</v>
      </c>
      <c r="D158" s="90">
        <f t="shared" si="187"/>
        <v>0</v>
      </c>
      <c r="E158" s="89">
        <v>0</v>
      </c>
      <c r="F158" s="90">
        <f t="shared" si="188"/>
        <v>0</v>
      </c>
      <c r="G158" s="89">
        <v>0</v>
      </c>
      <c r="H158" s="90">
        <f t="shared" si="189"/>
        <v>0</v>
      </c>
      <c r="I158" s="89">
        <v>0</v>
      </c>
      <c r="J158" s="90">
        <f t="shared" si="190"/>
        <v>195.88499999999999</v>
      </c>
      <c r="K158" s="89">
        <v>391.77</v>
      </c>
      <c r="L158" s="89">
        <v>846.23</v>
      </c>
      <c r="M158" s="89">
        <v>846.23</v>
      </c>
      <c r="N158" s="89">
        <v>79.11</v>
      </c>
      <c r="O158" s="89">
        <v>79.11</v>
      </c>
      <c r="P158" s="90">
        <f t="shared" si="191"/>
        <v>79.110489999999999</v>
      </c>
      <c r="Q158" s="90">
        <f t="shared" si="191"/>
        <v>79.110979999999998</v>
      </c>
      <c r="R158" s="90">
        <f t="shared" si="191"/>
        <v>79.111469999999997</v>
      </c>
      <c r="S158" s="90">
        <f t="shared" ref="S158:AB158" si="194">+R158-(0.711/100)</f>
        <v>79.10436</v>
      </c>
      <c r="T158" s="90">
        <f t="shared" si="194"/>
        <v>79.097250000000003</v>
      </c>
      <c r="U158" s="90">
        <f t="shared" si="194"/>
        <v>79.090140000000005</v>
      </c>
      <c r="V158" s="90">
        <f t="shared" si="194"/>
        <v>79.083030000000008</v>
      </c>
      <c r="W158" s="90">
        <f t="shared" si="194"/>
        <v>79.075920000000011</v>
      </c>
      <c r="X158" s="90">
        <f t="shared" si="194"/>
        <v>79.068810000000013</v>
      </c>
      <c r="Y158" s="90">
        <f t="shared" si="194"/>
        <v>79.061700000000016</v>
      </c>
      <c r="Z158" s="90">
        <f t="shared" si="194"/>
        <v>79.054590000000019</v>
      </c>
      <c r="AA158" s="90">
        <f t="shared" si="194"/>
        <v>79.047480000000022</v>
      </c>
      <c r="AB158" s="90">
        <f t="shared" si="194"/>
        <v>79.040370000000024</v>
      </c>
    </row>
    <row r="159" spans="1:28" x14ac:dyDescent="0.25">
      <c r="A159" s="86" t="s">
        <v>22</v>
      </c>
      <c r="B159" s="87" t="s">
        <v>4</v>
      </c>
      <c r="C159" s="89">
        <v>0</v>
      </c>
      <c r="D159" s="90">
        <f t="shared" si="187"/>
        <v>0</v>
      </c>
      <c r="E159" s="89">
        <v>0</v>
      </c>
      <c r="F159" s="90">
        <f t="shared" si="188"/>
        <v>0</v>
      </c>
      <c r="G159" s="89">
        <v>0</v>
      </c>
      <c r="H159" s="90">
        <f t="shared" si="189"/>
        <v>0</v>
      </c>
      <c r="I159" s="89">
        <v>0</v>
      </c>
      <c r="J159" s="90">
        <f t="shared" si="190"/>
        <v>34.042499999999997</v>
      </c>
      <c r="K159" s="89">
        <v>68.084999999999994</v>
      </c>
      <c r="L159" s="89">
        <v>149.94</v>
      </c>
      <c r="M159" s="89">
        <v>149.94</v>
      </c>
      <c r="N159" s="89">
        <v>20.925000000000001</v>
      </c>
      <c r="O159" s="89">
        <v>20.925000000000001</v>
      </c>
      <c r="P159" s="90">
        <f t="shared" si="191"/>
        <v>20.92549</v>
      </c>
      <c r="Q159" s="90">
        <f t="shared" si="191"/>
        <v>20.925979999999999</v>
      </c>
      <c r="R159" s="90">
        <f t="shared" si="191"/>
        <v>20.926469999999998</v>
      </c>
      <c r="S159" s="90">
        <f t="shared" ref="S159:AB159" si="195">+R159-(0.711/100)</f>
        <v>20.919359999999998</v>
      </c>
      <c r="T159" s="90">
        <f t="shared" si="195"/>
        <v>20.912249999999997</v>
      </c>
      <c r="U159" s="90">
        <f t="shared" si="195"/>
        <v>20.905139999999996</v>
      </c>
      <c r="V159" s="90">
        <f t="shared" si="195"/>
        <v>20.898029999999995</v>
      </c>
      <c r="W159" s="90">
        <f t="shared" si="195"/>
        <v>20.890919999999994</v>
      </c>
      <c r="X159" s="90">
        <f t="shared" si="195"/>
        <v>20.883809999999993</v>
      </c>
      <c r="Y159" s="90">
        <f t="shared" si="195"/>
        <v>20.876699999999992</v>
      </c>
      <c r="Z159" s="90">
        <f t="shared" si="195"/>
        <v>20.869589999999992</v>
      </c>
      <c r="AA159" s="90">
        <f t="shared" si="195"/>
        <v>20.862479999999991</v>
      </c>
      <c r="AB159" s="90">
        <f t="shared" si="195"/>
        <v>20.85536999999999</v>
      </c>
    </row>
    <row r="160" spans="1:28" x14ac:dyDescent="0.25">
      <c r="A160" s="86" t="s">
        <v>23</v>
      </c>
      <c r="B160" s="87" t="s">
        <v>4</v>
      </c>
      <c r="C160" s="89">
        <v>0</v>
      </c>
      <c r="D160" s="90">
        <f t="shared" si="187"/>
        <v>0</v>
      </c>
      <c r="E160" s="89">
        <v>0</v>
      </c>
      <c r="F160" s="90">
        <f t="shared" si="188"/>
        <v>0</v>
      </c>
      <c r="G160" s="89">
        <v>0</v>
      </c>
      <c r="H160" s="90">
        <f t="shared" si="189"/>
        <v>0</v>
      </c>
      <c r="I160" s="89">
        <v>0</v>
      </c>
      <c r="J160" s="90">
        <f t="shared" si="190"/>
        <v>191.20500000000001</v>
      </c>
      <c r="K160" s="89">
        <v>382.41</v>
      </c>
      <c r="L160" s="89">
        <v>1335.29</v>
      </c>
      <c r="M160" s="89">
        <v>1335.29</v>
      </c>
      <c r="N160" s="89">
        <v>40.46</v>
      </c>
      <c r="O160" s="89">
        <v>40.46</v>
      </c>
      <c r="P160" s="90">
        <f t="shared" si="191"/>
        <v>40.46049</v>
      </c>
      <c r="Q160" s="90">
        <f t="shared" si="191"/>
        <v>40.460979999999999</v>
      </c>
      <c r="R160" s="90">
        <f t="shared" si="191"/>
        <v>40.461469999999998</v>
      </c>
      <c r="S160" s="90">
        <f t="shared" ref="S160:AB160" si="196">+R160-(0.711/100)</f>
        <v>40.454360000000001</v>
      </c>
      <c r="T160" s="90">
        <f t="shared" si="196"/>
        <v>40.447250000000004</v>
      </c>
      <c r="U160" s="90">
        <f t="shared" si="196"/>
        <v>40.440140000000007</v>
      </c>
      <c r="V160" s="90">
        <f t="shared" si="196"/>
        <v>40.433030000000009</v>
      </c>
      <c r="W160" s="90">
        <f t="shared" si="196"/>
        <v>40.425920000000012</v>
      </c>
      <c r="X160" s="90">
        <f t="shared" si="196"/>
        <v>40.418810000000015</v>
      </c>
      <c r="Y160" s="90">
        <f t="shared" si="196"/>
        <v>40.411700000000017</v>
      </c>
      <c r="Z160" s="90">
        <f t="shared" si="196"/>
        <v>40.40459000000002</v>
      </c>
      <c r="AA160" s="90">
        <f t="shared" si="196"/>
        <v>40.397480000000023</v>
      </c>
      <c r="AB160" s="90">
        <f t="shared" si="196"/>
        <v>40.390370000000026</v>
      </c>
    </row>
    <row r="161" spans="1:28" ht="22.5" x14ac:dyDescent="0.25">
      <c r="A161" s="86" t="s">
        <v>24</v>
      </c>
      <c r="B161" s="87" t="s">
        <v>4</v>
      </c>
      <c r="C161" s="89">
        <v>0</v>
      </c>
      <c r="D161" s="90">
        <f t="shared" si="187"/>
        <v>0</v>
      </c>
      <c r="E161" s="89">
        <v>0</v>
      </c>
      <c r="F161" s="90">
        <f t="shared" si="188"/>
        <v>0</v>
      </c>
      <c r="G161" s="89">
        <v>0</v>
      </c>
      <c r="H161" s="90">
        <f t="shared" si="189"/>
        <v>0</v>
      </c>
      <c r="I161" s="89">
        <v>0</v>
      </c>
      <c r="J161" s="90">
        <f t="shared" si="190"/>
        <v>20.317499999999999</v>
      </c>
      <c r="K161" s="89">
        <v>40.634999999999998</v>
      </c>
      <c r="L161" s="89">
        <v>342.85500000000002</v>
      </c>
      <c r="M161" s="89">
        <v>342.85500000000002</v>
      </c>
      <c r="N161" s="89">
        <v>19.754999999999999</v>
      </c>
      <c r="O161" s="89">
        <v>19.754999999999999</v>
      </c>
      <c r="P161" s="90">
        <f t="shared" si="191"/>
        <v>19.755489999999998</v>
      </c>
      <c r="Q161" s="90">
        <f t="shared" si="191"/>
        <v>19.755979999999997</v>
      </c>
      <c r="R161" s="90">
        <f t="shared" si="191"/>
        <v>19.756469999999997</v>
      </c>
      <c r="S161" s="90">
        <f t="shared" ref="S161:AB161" si="197">+R161-(0.711/100)</f>
        <v>19.749359999999996</v>
      </c>
      <c r="T161" s="90">
        <f t="shared" si="197"/>
        <v>19.742249999999995</v>
      </c>
      <c r="U161" s="90">
        <f t="shared" si="197"/>
        <v>19.735139999999994</v>
      </c>
      <c r="V161" s="90">
        <f t="shared" si="197"/>
        <v>19.728029999999993</v>
      </c>
      <c r="W161" s="90">
        <f t="shared" si="197"/>
        <v>19.720919999999992</v>
      </c>
      <c r="X161" s="90">
        <f t="shared" si="197"/>
        <v>19.713809999999992</v>
      </c>
      <c r="Y161" s="90">
        <f t="shared" si="197"/>
        <v>19.706699999999991</v>
      </c>
      <c r="Z161" s="90">
        <f t="shared" si="197"/>
        <v>19.69958999999999</v>
      </c>
      <c r="AA161" s="90">
        <f t="shared" si="197"/>
        <v>19.692479999999989</v>
      </c>
      <c r="AB161" s="90">
        <f t="shared" si="197"/>
        <v>19.685369999999988</v>
      </c>
    </row>
    <row r="162" spans="1:28" x14ac:dyDescent="0.25">
      <c r="A162" s="86" t="s">
        <v>25</v>
      </c>
      <c r="B162" s="87" t="s">
        <v>4</v>
      </c>
      <c r="C162" s="89">
        <v>0</v>
      </c>
      <c r="D162" s="90">
        <f t="shared" si="187"/>
        <v>0</v>
      </c>
      <c r="E162" s="89">
        <v>0</v>
      </c>
      <c r="F162" s="90">
        <f t="shared" si="188"/>
        <v>0</v>
      </c>
      <c r="G162" s="89">
        <v>0</v>
      </c>
      <c r="H162" s="90">
        <f t="shared" si="189"/>
        <v>0</v>
      </c>
      <c r="I162" s="89">
        <v>0</v>
      </c>
      <c r="J162" s="90">
        <f t="shared" si="190"/>
        <v>65.227500000000006</v>
      </c>
      <c r="K162" s="89">
        <v>130.45500000000001</v>
      </c>
      <c r="L162" s="89">
        <v>582.12</v>
      </c>
      <c r="M162" s="89">
        <v>582.12</v>
      </c>
      <c r="N162" s="89">
        <v>37.395000000000003</v>
      </c>
      <c r="O162" s="89">
        <v>37.395000000000003</v>
      </c>
      <c r="P162" s="90">
        <f t="shared" si="191"/>
        <v>37.395490000000002</v>
      </c>
      <c r="Q162" s="90">
        <f t="shared" si="191"/>
        <v>37.395980000000002</v>
      </c>
      <c r="R162" s="90">
        <f t="shared" si="191"/>
        <v>37.396470000000001</v>
      </c>
      <c r="S162" s="90">
        <f t="shared" ref="S162:AB162" si="198">+R162-(0.711/100)</f>
        <v>37.389360000000003</v>
      </c>
      <c r="T162" s="90">
        <f t="shared" si="198"/>
        <v>37.382250000000006</v>
      </c>
      <c r="U162" s="90">
        <f t="shared" si="198"/>
        <v>37.375140000000009</v>
      </c>
      <c r="V162" s="90">
        <f t="shared" si="198"/>
        <v>37.368030000000012</v>
      </c>
      <c r="W162" s="90">
        <f t="shared" si="198"/>
        <v>37.360920000000014</v>
      </c>
      <c r="X162" s="90">
        <f t="shared" si="198"/>
        <v>37.353810000000017</v>
      </c>
      <c r="Y162" s="90">
        <f t="shared" si="198"/>
        <v>37.34670000000002</v>
      </c>
      <c r="Z162" s="90">
        <f t="shared" si="198"/>
        <v>37.339590000000022</v>
      </c>
      <c r="AA162" s="90">
        <f t="shared" si="198"/>
        <v>37.332480000000025</v>
      </c>
      <c r="AB162" s="90">
        <f t="shared" si="198"/>
        <v>37.325370000000028</v>
      </c>
    </row>
    <row r="163" spans="1:28" x14ac:dyDescent="0.25">
      <c r="A163" s="86" t="s">
        <v>26</v>
      </c>
      <c r="B163" s="87" t="s">
        <v>4</v>
      </c>
      <c r="C163" s="89">
        <v>0</v>
      </c>
      <c r="D163" s="90">
        <f t="shared" si="187"/>
        <v>0</v>
      </c>
      <c r="E163" s="89">
        <v>0</v>
      </c>
      <c r="F163" s="90">
        <f t="shared" si="188"/>
        <v>0</v>
      </c>
      <c r="G163" s="89">
        <v>0</v>
      </c>
      <c r="H163" s="90">
        <f t="shared" si="189"/>
        <v>0</v>
      </c>
      <c r="I163" s="89">
        <v>0</v>
      </c>
      <c r="J163" s="90">
        <f t="shared" si="190"/>
        <v>8.7524999999999995</v>
      </c>
      <c r="K163" s="89">
        <v>17.504999999999999</v>
      </c>
      <c r="L163" s="89">
        <v>102.69</v>
      </c>
      <c r="M163" s="89">
        <v>102.69</v>
      </c>
      <c r="N163" s="89">
        <v>140.76</v>
      </c>
      <c r="O163" s="89">
        <v>140.76</v>
      </c>
      <c r="P163" s="90">
        <f t="shared" si="191"/>
        <v>140.76049</v>
      </c>
      <c r="Q163" s="90">
        <f t="shared" si="191"/>
        <v>140.76098000000002</v>
      </c>
      <c r="R163" s="90">
        <f t="shared" si="191"/>
        <v>140.76147000000003</v>
      </c>
      <c r="S163" s="90">
        <f t="shared" ref="S163:AB163" si="199">+R163-(0.711/100)</f>
        <v>140.75436000000002</v>
      </c>
      <c r="T163" s="90">
        <f t="shared" si="199"/>
        <v>140.74725000000001</v>
      </c>
      <c r="U163" s="90">
        <f t="shared" si="199"/>
        <v>140.74014</v>
      </c>
      <c r="V163" s="90">
        <f t="shared" si="199"/>
        <v>140.73302999999999</v>
      </c>
      <c r="W163" s="90">
        <f t="shared" si="199"/>
        <v>140.72591999999997</v>
      </c>
      <c r="X163" s="90">
        <f t="shared" si="199"/>
        <v>140.71880999999996</v>
      </c>
      <c r="Y163" s="90">
        <f t="shared" si="199"/>
        <v>140.71169999999995</v>
      </c>
      <c r="Z163" s="90">
        <f t="shared" si="199"/>
        <v>140.70458999999994</v>
      </c>
      <c r="AA163" s="90">
        <f t="shared" si="199"/>
        <v>140.69747999999993</v>
      </c>
      <c r="AB163" s="90">
        <f t="shared" si="199"/>
        <v>140.69036999999992</v>
      </c>
    </row>
    <row r="164" spans="1:28" x14ac:dyDescent="0.25">
      <c r="A164" s="86" t="s">
        <v>27</v>
      </c>
      <c r="B164" s="87" t="s">
        <v>4</v>
      </c>
      <c r="C164" s="89">
        <v>0</v>
      </c>
      <c r="D164" s="90">
        <f t="shared" si="187"/>
        <v>0</v>
      </c>
      <c r="E164" s="89">
        <v>0</v>
      </c>
      <c r="F164" s="90">
        <f t="shared" si="188"/>
        <v>0</v>
      </c>
      <c r="G164" s="89">
        <v>0</v>
      </c>
      <c r="H164" s="90">
        <f t="shared" si="189"/>
        <v>0</v>
      </c>
      <c r="I164" s="89">
        <v>0</v>
      </c>
      <c r="J164" s="90">
        <f t="shared" si="190"/>
        <v>0.87749999999999995</v>
      </c>
      <c r="K164" s="89">
        <v>1.7549999999999999</v>
      </c>
      <c r="L164" s="89">
        <v>23.535</v>
      </c>
      <c r="M164" s="89">
        <v>23.535</v>
      </c>
      <c r="N164" s="89">
        <v>0.36</v>
      </c>
      <c r="O164" s="89">
        <v>0.36</v>
      </c>
      <c r="P164" s="90">
        <f t="shared" si="191"/>
        <v>0.36048999999999998</v>
      </c>
      <c r="Q164" s="90">
        <f t="shared" si="191"/>
        <v>0.36097999999999997</v>
      </c>
      <c r="R164" s="90">
        <f t="shared" si="191"/>
        <v>0.36146999999999996</v>
      </c>
      <c r="S164" s="90">
        <f t="shared" ref="S164:AB164" si="200">+R164-(0.711/100)</f>
        <v>0.35435999999999995</v>
      </c>
      <c r="T164" s="90">
        <f t="shared" si="200"/>
        <v>0.34724999999999995</v>
      </c>
      <c r="U164" s="90">
        <f t="shared" si="200"/>
        <v>0.34013999999999994</v>
      </c>
      <c r="V164" s="90">
        <f t="shared" si="200"/>
        <v>0.33302999999999994</v>
      </c>
      <c r="W164" s="90">
        <f t="shared" si="200"/>
        <v>0.32591999999999993</v>
      </c>
      <c r="X164" s="90">
        <f t="shared" si="200"/>
        <v>0.31880999999999993</v>
      </c>
      <c r="Y164" s="90">
        <f t="shared" si="200"/>
        <v>0.31169999999999992</v>
      </c>
      <c r="Z164" s="90">
        <f t="shared" si="200"/>
        <v>0.30458999999999992</v>
      </c>
      <c r="AA164" s="90">
        <f t="shared" si="200"/>
        <v>0.29747999999999991</v>
      </c>
      <c r="AB164" s="90">
        <f t="shared" si="200"/>
        <v>0.29036999999999991</v>
      </c>
    </row>
    <row r="165" spans="1:28" x14ac:dyDescent="0.25">
      <c r="A165" s="86" t="s">
        <v>28</v>
      </c>
      <c r="B165" s="87" t="s">
        <v>4</v>
      </c>
      <c r="C165" s="89">
        <v>1629.99</v>
      </c>
      <c r="D165" s="90">
        <f t="shared" si="187"/>
        <v>1629.99</v>
      </c>
      <c r="E165" s="89">
        <v>1629.99</v>
      </c>
      <c r="F165" s="90">
        <f t="shared" si="188"/>
        <v>1629.99</v>
      </c>
      <c r="G165" s="89">
        <v>1629.99</v>
      </c>
      <c r="H165" s="90">
        <f t="shared" si="189"/>
        <v>869.76</v>
      </c>
      <c r="I165" s="89">
        <v>109.53</v>
      </c>
      <c r="J165" s="90">
        <f t="shared" si="190"/>
        <v>2240.5724999999998</v>
      </c>
      <c r="K165" s="89">
        <v>4371.6149999999998</v>
      </c>
      <c r="L165" s="89">
        <v>236.75</v>
      </c>
      <c r="M165" s="89">
        <v>236.75</v>
      </c>
      <c r="N165" s="89">
        <v>431.1</v>
      </c>
      <c r="O165" s="89">
        <v>431.1</v>
      </c>
      <c r="P165" s="90">
        <f t="shared" si="191"/>
        <v>431.10049000000004</v>
      </c>
      <c r="Q165" s="90">
        <f t="shared" si="191"/>
        <v>431.10098000000005</v>
      </c>
      <c r="R165" s="90">
        <f t="shared" si="191"/>
        <v>431.10147000000006</v>
      </c>
      <c r="S165" s="90">
        <f t="shared" ref="S165:AB165" si="201">+R165-(0.711/100)</f>
        <v>431.09436000000005</v>
      </c>
      <c r="T165" s="90">
        <f t="shared" si="201"/>
        <v>431.08725000000004</v>
      </c>
      <c r="U165" s="90">
        <f t="shared" si="201"/>
        <v>431.08014000000003</v>
      </c>
      <c r="V165" s="90">
        <f t="shared" si="201"/>
        <v>431.07303000000002</v>
      </c>
      <c r="W165" s="90">
        <f t="shared" si="201"/>
        <v>431.06592000000001</v>
      </c>
      <c r="X165" s="90">
        <f t="shared" si="201"/>
        <v>431.05880999999999</v>
      </c>
      <c r="Y165" s="90">
        <f t="shared" si="201"/>
        <v>431.05169999999998</v>
      </c>
      <c r="Z165" s="90">
        <f t="shared" si="201"/>
        <v>431.04458999999997</v>
      </c>
      <c r="AA165" s="90">
        <f t="shared" si="201"/>
        <v>431.03747999999996</v>
      </c>
      <c r="AB165" s="90">
        <f t="shared" si="201"/>
        <v>431.03036999999995</v>
      </c>
    </row>
    <row r="166" spans="1:28" x14ac:dyDescent="0.25">
      <c r="A166" s="88" t="s">
        <v>19</v>
      </c>
      <c r="B166" s="87" t="s">
        <v>4</v>
      </c>
      <c r="C166" s="89">
        <v>66529.460000000006</v>
      </c>
      <c r="D166" s="90">
        <f t="shared" si="187"/>
        <v>66529.460000000006</v>
      </c>
      <c r="E166" s="89">
        <v>66529.460000000006</v>
      </c>
      <c r="F166" s="90">
        <f t="shared" si="188"/>
        <v>66529.460000000006</v>
      </c>
      <c r="G166" s="89">
        <v>66529.460000000006</v>
      </c>
      <c r="H166" s="90">
        <f t="shared" si="189"/>
        <v>44241.83</v>
      </c>
      <c r="I166" s="89">
        <v>21954.2</v>
      </c>
      <c r="J166" s="90">
        <f t="shared" si="190"/>
        <v>19003.055</v>
      </c>
      <c r="K166" s="89">
        <v>16051.91</v>
      </c>
      <c r="L166" s="89">
        <v>3245.4</v>
      </c>
      <c r="M166" s="89">
        <v>3245.4</v>
      </c>
      <c r="N166" s="89">
        <v>10864.71</v>
      </c>
      <c r="O166" s="89">
        <v>10864.71</v>
      </c>
      <c r="P166" s="90">
        <f t="shared" si="191"/>
        <v>10864.710489999999</v>
      </c>
      <c r="Q166" s="90">
        <f t="shared" si="191"/>
        <v>10864.71098</v>
      </c>
      <c r="R166" s="90">
        <f t="shared" si="191"/>
        <v>10864.71147</v>
      </c>
      <c r="S166" s="90">
        <f t="shared" ref="S166:AB166" si="202">+R166-(0.711/100)</f>
        <v>10864.70436</v>
      </c>
      <c r="T166" s="90">
        <f t="shared" si="202"/>
        <v>10864.697249999999</v>
      </c>
      <c r="U166" s="90">
        <f t="shared" si="202"/>
        <v>10864.690139999999</v>
      </c>
      <c r="V166" s="90">
        <f t="shared" si="202"/>
        <v>10864.683029999998</v>
      </c>
      <c r="W166" s="90">
        <f t="shared" si="202"/>
        <v>10864.675919999998</v>
      </c>
      <c r="X166" s="90">
        <f t="shared" si="202"/>
        <v>10864.668809999997</v>
      </c>
      <c r="Y166" s="90">
        <f t="shared" si="202"/>
        <v>10864.661699999997</v>
      </c>
      <c r="Z166" s="90">
        <f t="shared" si="202"/>
        <v>10864.654589999996</v>
      </c>
      <c r="AA166" s="90">
        <f t="shared" si="202"/>
        <v>10864.647479999996</v>
      </c>
      <c r="AB166" s="90">
        <f t="shared" si="202"/>
        <v>10864.640369999996</v>
      </c>
    </row>
    <row r="167" spans="1:28" x14ac:dyDescent="0.25">
      <c r="A167" s="88" t="s">
        <v>5</v>
      </c>
      <c r="B167" s="87" t="s">
        <v>4</v>
      </c>
      <c r="C167" s="89">
        <v>12.48</v>
      </c>
      <c r="D167" s="90">
        <f t="shared" si="187"/>
        <v>12.48</v>
      </c>
      <c r="E167" s="89">
        <v>12.48</v>
      </c>
      <c r="F167" s="90">
        <f t="shared" si="188"/>
        <v>12.48</v>
      </c>
      <c r="G167" s="89">
        <v>12.48</v>
      </c>
      <c r="H167" s="90">
        <f t="shared" si="189"/>
        <v>1375.4549999999999</v>
      </c>
      <c r="I167" s="89">
        <v>2738.43</v>
      </c>
      <c r="J167" s="90">
        <f t="shared" si="190"/>
        <v>1722.3525</v>
      </c>
      <c r="K167" s="89">
        <v>706.27499999999998</v>
      </c>
      <c r="L167" s="89">
        <v>104.13</v>
      </c>
      <c r="M167" s="89">
        <v>104.13</v>
      </c>
      <c r="N167" s="89">
        <v>2137.0100000000002</v>
      </c>
      <c r="O167" s="89">
        <v>2137.0100000000002</v>
      </c>
      <c r="P167" s="90">
        <f t="shared" si="191"/>
        <v>2137.0104900000001</v>
      </c>
      <c r="Q167" s="90">
        <f t="shared" si="191"/>
        <v>2137.01098</v>
      </c>
      <c r="R167" s="90">
        <f t="shared" si="191"/>
        <v>2137.0114699999999</v>
      </c>
      <c r="S167" s="90">
        <f t="shared" ref="S167:AB167" si="203">+R167-(0.711/100)</f>
        <v>2137.0043599999999</v>
      </c>
      <c r="T167" s="90">
        <f t="shared" si="203"/>
        <v>2136.9972499999999</v>
      </c>
      <c r="U167" s="90">
        <f t="shared" si="203"/>
        <v>2136.9901399999999</v>
      </c>
      <c r="V167" s="90">
        <f t="shared" si="203"/>
        <v>2136.9830299999999</v>
      </c>
      <c r="W167" s="90">
        <f t="shared" si="203"/>
        <v>2136.9759199999999</v>
      </c>
      <c r="X167" s="90">
        <f t="shared" si="203"/>
        <v>2136.9688099999998</v>
      </c>
      <c r="Y167" s="90">
        <f t="shared" si="203"/>
        <v>2136.9616999999998</v>
      </c>
      <c r="Z167" s="90">
        <f t="shared" si="203"/>
        <v>2136.9545899999998</v>
      </c>
      <c r="AA167" s="90">
        <f t="shared" si="203"/>
        <v>2136.9474799999998</v>
      </c>
      <c r="AB167" s="90">
        <f t="shared" si="203"/>
        <v>2136.9403699999998</v>
      </c>
    </row>
    <row r="168" spans="1:28" x14ac:dyDescent="0.25">
      <c r="A168" s="88" t="s">
        <v>29</v>
      </c>
      <c r="B168" s="87" t="s">
        <v>4</v>
      </c>
      <c r="C168" s="89">
        <v>3687.21</v>
      </c>
      <c r="D168" s="90">
        <f t="shared" si="187"/>
        <v>3687.21</v>
      </c>
      <c r="E168" s="89">
        <v>3687.21</v>
      </c>
      <c r="F168" s="90">
        <f t="shared" si="188"/>
        <v>3687.21</v>
      </c>
      <c r="G168" s="89">
        <v>3687.21</v>
      </c>
      <c r="H168" s="90">
        <f t="shared" si="189"/>
        <v>4063.3449999999998</v>
      </c>
      <c r="I168" s="89">
        <v>4439.4799999999996</v>
      </c>
      <c r="J168" s="90">
        <f t="shared" si="190"/>
        <v>3868.1124999999997</v>
      </c>
      <c r="K168" s="89">
        <v>3296.7449999999999</v>
      </c>
      <c r="L168" s="89">
        <v>370.94</v>
      </c>
      <c r="M168" s="89">
        <v>370.94</v>
      </c>
      <c r="N168" s="89">
        <v>2590.52</v>
      </c>
      <c r="O168" s="89">
        <v>2590.52</v>
      </c>
      <c r="P168" s="90">
        <f t="shared" si="191"/>
        <v>2590.5204899999999</v>
      </c>
      <c r="Q168" s="90">
        <f t="shared" si="191"/>
        <v>2590.5209799999998</v>
      </c>
      <c r="R168" s="90">
        <f t="shared" si="191"/>
        <v>2590.5214699999997</v>
      </c>
      <c r="S168" s="90">
        <f t="shared" ref="S168:AB168" si="204">+R168-(0.711/100)</f>
        <v>2590.5143599999997</v>
      </c>
      <c r="T168" s="90">
        <f t="shared" si="204"/>
        <v>2590.5072499999997</v>
      </c>
      <c r="U168" s="90">
        <f t="shared" si="204"/>
        <v>2590.5001399999996</v>
      </c>
      <c r="V168" s="90">
        <f t="shared" si="204"/>
        <v>2590.4930299999996</v>
      </c>
      <c r="W168" s="90">
        <f t="shared" si="204"/>
        <v>2590.4859199999996</v>
      </c>
      <c r="X168" s="90">
        <f t="shared" si="204"/>
        <v>2590.4788099999996</v>
      </c>
      <c r="Y168" s="90">
        <f t="shared" si="204"/>
        <v>2590.4716999999996</v>
      </c>
      <c r="Z168" s="90">
        <f t="shared" si="204"/>
        <v>2590.4645899999996</v>
      </c>
      <c r="AA168" s="90">
        <f t="shared" si="204"/>
        <v>2590.4574799999996</v>
      </c>
      <c r="AB168" s="90">
        <f t="shared" si="204"/>
        <v>2590.4503699999996</v>
      </c>
    </row>
    <row r="169" spans="1:28" x14ac:dyDescent="0.25">
      <c r="D169" s="90"/>
      <c r="F169" s="90"/>
      <c r="H169" s="90"/>
      <c r="J169" s="90"/>
      <c r="P169" s="90"/>
      <c r="S169" s="90">
        <f t="shared" ref="S169:AB169" si="205">+R169-(0.711/100)</f>
        <v>-7.11E-3</v>
      </c>
      <c r="T169" s="90">
        <f t="shared" si="205"/>
        <v>-1.422E-2</v>
      </c>
      <c r="U169" s="90">
        <f t="shared" si="205"/>
        <v>-2.1330000000000002E-2</v>
      </c>
      <c r="V169" s="90">
        <f t="shared" si="205"/>
        <v>-2.844E-2</v>
      </c>
      <c r="W169" s="90">
        <f t="shared" si="205"/>
        <v>-3.5549999999999998E-2</v>
      </c>
      <c r="X169" s="90">
        <f t="shared" si="205"/>
        <v>-4.2659999999999997E-2</v>
      </c>
      <c r="Y169" s="90">
        <f t="shared" si="205"/>
        <v>-4.9769999999999995E-2</v>
      </c>
      <c r="Z169" s="90">
        <f t="shared" si="205"/>
        <v>-5.6879999999999993E-2</v>
      </c>
      <c r="AA169" s="90">
        <f t="shared" si="205"/>
        <v>-6.3989999999999991E-2</v>
      </c>
      <c r="AB169" s="90">
        <f t="shared" si="205"/>
        <v>-7.1099999999999997E-2</v>
      </c>
    </row>
    <row r="170" spans="1:28" x14ac:dyDescent="0.25">
      <c r="A170" s="86" t="s">
        <v>18</v>
      </c>
      <c r="B170" s="87" t="s">
        <v>5</v>
      </c>
      <c r="C170" s="89">
        <v>0</v>
      </c>
      <c r="D170" s="90">
        <f t="shared" ref="D170:D182" si="206">+(C170+E170)/2</f>
        <v>0</v>
      </c>
      <c r="E170" s="89">
        <v>0</v>
      </c>
      <c r="F170" s="90">
        <f t="shared" ref="F170:F182" si="207">+(E170+G170)/2</f>
        <v>0</v>
      </c>
      <c r="G170" s="89">
        <v>0</v>
      </c>
      <c r="H170" s="90">
        <f t="shared" ref="H170:H182" si="208">+(G170+I170)/2</f>
        <v>0</v>
      </c>
      <c r="I170" s="89">
        <v>0</v>
      </c>
      <c r="J170" s="90">
        <f t="shared" ref="J170:J182" si="209">+(I170+K170)/2</f>
        <v>0</v>
      </c>
      <c r="K170" s="89">
        <v>0</v>
      </c>
      <c r="L170" s="89">
        <v>57.06</v>
      </c>
      <c r="M170" s="89">
        <v>57.06</v>
      </c>
      <c r="N170" s="89">
        <v>9.1349999999999998</v>
      </c>
      <c r="O170" s="89">
        <v>9.1349999999999998</v>
      </c>
      <c r="P170" s="91">
        <f t="shared" ref="P170:R182" si="210">+O170+(0.049/100)</f>
        <v>9.135489999999999</v>
      </c>
      <c r="Q170" s="91">
        <f t="shared" si="210"/>
        <v>9.1359799999999982</v>
      </c>
      <c r="R170" s="91">
        <f t="shared" si="210"/>
        <v>9.1364699999999974</v>
      </c>
      <c r="S170" s="90">
        <f t="shared" ref="S170:AB170" si="211">+R170-(0.711/100)</f>
        <v>9.1293599999999966</v>
      </c>
      <c r="T170" s="90">
        <f t="shared" si="211"/>
        <v>9.1222499999999958</v>
      </c>
      <c r="U170" s="90">
        <f t="shared" si="211"/>
        <v>9.1151399999999949</v>
      </c>
      <c r="V170" s="90">
        <f t="shared" si="211"/>
        <v>9.1080299999999941</v>
      </c>
      <c r="W170" s="90">
        <f t="shared" si="211"/>
        <v>9.1009199999999932</v>
      </c>
      <c r="X170" s="90">
        <f t="shared" si="211"/>
        <v>9.0938099999999924</v>
      </c>
      <c r="Y170" s="90">
        <f t="shared" si="211"/>
        <v>9.0866999999999916</v>
      </c>
      <c r="Z170" s="90">
        <f t="shared" si="211"/>
        <v>9.0795899999999907</v>
      </c>
      <c r="AA170" s="90">
        <f t="shared" si="211"/>
        <v>9.0724799999999899</v>
      </c>
      <c r="AB170" s="90">
        <f t="shared" si="211"/>
        <v>9.065369999999989</v>
      </c>
    </row>
    <row r="171" spans="1:28" x14ac:dyDescent="0.25">
      <c r="A171" s="86" t="s">
        <v>20</v>
      </c>
      <c r="B171" s="87" t="s">
        <v>5</v>
      </c>
      <c r="C171" s="89">
        <v>185.4</v>
      </c>
      <c r="D171" s="90">
        <f t="shared" si="206"/>
        <v>185.4</v>
      </c>
      <c r="E171" s="89">
        <v>185.4</v>
      </c>
      <c r="F171" s="90">
        <f t="shared" si="207"/>
        <v>185.4</v>
      </c>
      <c r="G171" s="89">
        <v>185.4</v>
      </c>
      <c r="H171" s="90">
        <f t="shared" si="208"/>
        <v>190.50749999999999</v>
      </c>
      <c r="I171" s="89">
        <v>195.61499999999998</v>
      </c>
      <c r="J171" s="90">
        <f t="shared" si="209"/>
        <v>133.49250000000001</v>
      </c>
      <c r="K171" s="89">
        <v>71.37</v>
      </c>
      <c r="L171" s="89">
        <v>97.2</v>
      </c>
      <c r="M171" s="89">
        <v>97.2</v>
      </c>
      <c r="N171" s="89">
        <v>20.34</v>
      </c>
      <c r="O171" s="89">
        <v>20.34</v>
      </c>
      <c r="P171" s="91">
        <f t="shared" si="210"/>
        <v>20.340489999999999</v>
      </c>
      <c r="Q171" s="91">
        <f t="shared" si="210"/>
        <v>20.340979999999998</v>
      </c>
      <c r="R171" s="91">
        <f t="shared" si="210"/>
        <v>20.341469999999997</v>
      </c>
      <c r="S171" s="90">
        <f t="shared" ref="S171:AB171" si="212">+R171-(0.711/100)</f>
        <v>20.334359999999997</v>
      </c>
      <c r="T171" s="90">
        <f t="shared" si="212"/>
        <v>20.327249999999996</v>
      </c>
      <c r="U171" s="90">
        <f t="shared" si="212"/>
        <v>20.320139999999995</v>
      </c>
      <c r="V171" s="90">
        <f t="shared" si="212"/>
        <v>20.313029999999994</v>
      </c>
      <c r="W171" s="90">
        <f t="shared" si="212"/>
        <v>20.305919999999993</v>
      </c>
      <c r="X171" s="90">
        <f t="shared" si="212"/>
        <v>20.298809999999992</v>
      </c>
      <c r="Y171" s="90">
        <f t="shared" si="212"/>
        <v>20.291699999999992</v>
      </c>
      <c r="Z171" s="90">
        <f t="shared" si="212"/>
        <v>20.284589999999991</v>
      </c>
      <c r="AA171" s="90">
        <f t="shared" si="212"/>
        <v>20.27747999999999</v>
      </c>
      <c r="AB171" s="90">
        <f t="shared" si="212"/>
        <v>20.270369999999989</v>
      </c>
    </row>
    <row r="172" spans="1:28" x14ac:dyDescent="0.25">
      <c r="A172" s="86" t="s">
        <v>21</v>
      </c>
      <c r="B172" s="87" t="s">
        <v>5</v>
      </c>
      <c r="C172" s="89">
        <v>0</v>
      </c>
      <c r="D172" s="90">
        <f t="shared" si="206"/>
        <v>0</v>
      </c>
      <c r="E172" s="89">
        <v>0</v>
      </c>
      <c r="F172" s="90">
        <f t="shared" si="207"/>
        <v>0</v>
      </c>
      <c r="G172" s="89">
        <v>0</v>
      </c>
      <c r="H172" s="90">
        <f t="shared" si="208"/>
        <v>0</v>
      </c>
      <c r="I172" s="89">
        <v>0</v>
      </c>
      <c r="J172" s="90">
        <f t="shared" si="209"/>
        <v>0.5625</v>
      </c>
      <c r="K172" s="89">
        <v>1.125</v>
      </c>
      <c r="L172" s="89">
        <v>731.3</v>
      </c>
      <c r="M172" s="89">
        <v>731.3</v>
      </c>
      <c r="N172" s="89">
        <v>460.125</v>
      </c>
      <c r="O172" s="89">
        <v>460.125</v>
      </c>
      <c r="P172" s="91">
        <f t="shared" si="210"/>
        <v>460.12549000000001</v>
      </c>
      <c r="Q172" s="91">
        <f t="shared" si="210"/>
        <v>460.12598000000003</v>
      </c>
      <c r="R172" s="91">
        <f t="shared" si="210"/>
        <v>460.12647000000004</v>
      </c>
      <c r="S172" s="90">
        <f t="shared" ref="S172:AB172" si="213">+R172-(0.711/100)</f>
        <v>460.11936000000003</v>
      </c>
      <c r="T172" s="90">
        <f t="shared" si="213"/>
        <v>460.11225000000002</v>
      </c>
      <c r="U172" s="90">
        <f t="shared" si="213"/>
        <v>460.10514000000001</v>
      </c>
      <c r="V172" s="90">
        <f t="shared" si="213"/>
        <v>460.09802999999999</v>
      </c>
      <c r="W172" s="90">
        <f t="shared" si="213"/>
        <v>460.09091999999998</v>
      </c>
      <c r="X172" s="90">
        <f t="shared" si="213"/>
        <v>460.08380999999997</v>
      </c>
      <c r="Y172" s="90">
        <f t="shared" si="213"/>
        <v>460.07669999999996</v>
      </c>
      <c r="Z172" s="90">
        <f t="shared" si="213"/>
        <v>460.06958999999995</v>
      </c>
      <c r="AA172" s="90">
        <f t="shared" si="213"/>
        <v>460.06247999999994</v>
      </c>
      <c r="AB172" s="90">
        <f t="shared" si="213"/>
        <v>460.05536999999993</v>
      </c>
    </row>
    <row r="173" spans="1:28" x14ac:dyDescent="0.25">
      <c r="A173" s="86" t="s">
        <v>22</v>
      </c>
      <c r="B173" s="87" t="s">
        <v>5</v>
      </c>
      <c r="C173" s="89">
        <v>0</v>
      </c>
      <c r="D173" s="90">
        <f t="shared" si="206"/>
        <v>0</v>
      </c>
      <c r="E173" s="89">
        <v>0</v>
      </c>
      <c r="F173" s="90">
        <f t="shared" si="207"/>
        <v>0</v>
      </c>
      <c r="G173" s="89">
        <v>0</v>
      </c>
      <c r="H173" s="90">
        <f t="shared" si="208"/>
        <v>0</v>
      </c>
      <c r="I173" s="89">
        <v>0</v>
      </c>
      <c r="J173" s="90">
        <f t="shared" si="209"/>
        <v>2.2949999999999999</v>
      </c>
      <c r="K173" s="89">
        <v>4.59</v>
      </c>
      <c r="L173" s="89">
        <v>237.2</v>
      </c>
      <c r="M173" s="89">
        <v>237.2</v>
      </c>
      <c r="N173" s="89">
        <v>950.44500000000005</v>
      </c>
      <c r="O173" s="89">
        <v>950.44500000000005</v>
      </c>
      <c r="P173" s="91">
        <f t="shared" si="210"/>
        <v>950.44549000000006</v>
      </c>
      <c r="Q173" s="91">
        <f t="shared" si="210"/>
        <v>950.44598000000008</v>
      </c>
      <c r="R173" s="91">
        <f t="shared" si="210"/>
        <v>950.44647000000009</v>
      </c>
      <c r="S173" s="90">
        <f t="shared" ref="S173:AB173" si="214">+R173-(0.711/100)</f>
        <v>950.43936000000008</v>
      </c>
      <c r="T173" s="90">
        <f t="shared" si="214"/>
        <v>950.43225000000007</v>
      </c>
      <c r="U173" s="90">
        <f t="shared" si="214"/>
        <v>950.42514000000006</v>
      </c>
      <c r="V173" s="90">
        <f t="shared" si="214"/>
        <v>950.41803000000004</v>
      </c>
      <c r="W173" s="90">
        <f t="shared" si="214"/>
        <v>950.41092000000003</v>
      </c>
      <c r="X173" s="90">
        <f t="shared" si="214"/>
        <v>950.40381000000002</v>
      </c>
      <c r="Y173" s="90">
        <f t="shared" si="214"/>
        <v>950.39670000000001</v>
      </c>
      <c r="Z173" s="90">
        <f t="shared" si="214"/>
        <v>950.38959</v>
      </c>
      <c r="AA173" s="90">
        <f t="shared" si="214"/>
        <v>950.38247999999999</v>
      </c>
      <c r="AB173" s="90">
        <f t="shared" si="214"/>
        <v>950.37536999999998</v>
      </c>
    </row>
    <row r="174" spans="1:28" x14ac:dyDescent="0.25">
      <c r="A174" s="86" t="s">
        <v>23</v>
      </c>
      <c r="B174" s="87" t="s">
        <v>5</v>
      </c>
      <c r="C174" s="89">
        <v>0</v>
      </c>
      <c r="D174" s="90">
        <f t="shared" si="206"/>
        <v>0</v>
      </c>
      <c r="E174" s="89">
        <v>0</v>
      </c>
      <c r="F174" s="90">
        <f t="shared" si="207"/>
        <v>0</v>
      </c>
      <c r="G174" s="89">
        <v>0</v>
      </c>
      <c r="H174" s="90">
        <f t="shared" si="208"/>
        <v>0</v>
      </c>
      <c r="I174" s="89">
        <v>0</v>
      </c>
      <c r="J174" s="90">
        <f t="shared" si="209"/>
        <v>0</v>
      </c>
      <c r="K174" s="89">
        <v>0</v>
      </c>
      <c r="L174" s="89">
        <v>54.77</v>
      </c>
      <c r="M174" s="89">
        <v>54.77</v>
      </c>
      <c r="N174" s="89">
        <v>25.56</v>
      </c>
      <c r="O174" s="89">
        <v>25.56</v>
      </c>
      <c r="P174" s="91">
        <f t="shared" si="210"/>
        <v>25.560489999999998</v>
      </c>
      <c r="Q174" s="91">
        <f t="shared" si="210"/>
        <v>25.560979999999997</v>
      </c>
      <c r="R174" s="91">
        <f t="shared" si="210"/>
        <v>25.561469999999996</v>
      </c>
      <c r="S174" s="90">
        <f t="shared" ref="S174:AB174" si="215">+R174-(0.711/100)</f>
        <v>25.554359999999996</v>
      </c>
      <c r="T174" s="90">
        <f t="shared" si="215"/>
        <v>25.547249999999995</v>
      </c>
      <c r="U174" s="90">
        <f t="shared" si="215"/>
        <v>25.540139999999994</v>
      </c>
      <c r="V174" s="90">
        <f t="shared" si="215"/>
        <v>25.533029999999993</v>
      </c>
      <c r="W174" s="90">
        <f t="shared" si="215"/>
        <v>25.525919999999992</v>
      </c>
      <c r="X174" s="90">
        <f t="shared" si="215"/>
        <v>25.518809999999991</v>
      </c>
      <c r="Y174" s="90">
        <f t="shared" si="215"/>
        <v>25.51169999999999</v>
      </c>
      <c r="Z174" s="90">
        <f t="shared" si="215"/>
        <v>25.50458999999999</v>
      </c>
      <c r="AA174" s="90">
        <f t="shared" si="215"/>
        <v>25.497479999999989</v>
      </c>
      <c r="AB174" s="90">
        <f t="shared" si="215"/>
        <v>25.490369999999988</v>
      </c>
    </row>
    <row r="175" spans="1:28" ht="22.5" x14ac:dyDescent="0.25">
      <c r="A175" s="86" t="s">
        <v>24</v>
      </c>
      <c r="B175" s="87" t="s">
        <v>5</v>
      </c>
      <c r="C175" s="89">
        <v>0</v>
      </c>
      <c r="D175" s="90">
        <f t="shared" si="206"/>
        <v>0</v>
      </c>
      <c r="E175" s="89">
        <v>0</v>
      </c>
      <c r="F175" s="90">
        <f t="shared" si="207"/>
        <v>0</v>
      </c>
      <c r="G175" s="89">
        <v>0</v>
      </c>
      <c r="H175" s="90">
        <f t="shared" si="208"/>
        <v>0</v>
      </c>
      <c r="I175" s="89">
        <v>0</v>
      </c>
      <c r="J175" s="90">
        <f t="shared" si="209"/>
        <v>0</v>
      </c>
      <c r="K175" s="89">
        <v>0</v>
      </c>
      <c r="L175" s="89">
        <v>3041.91</v>
      </c>
      <c r="M175" s="89">
        <v>3041.91</v>
      </c>
      <c r="N175" s="89">
        <v>5179.95</v>
      </c>
      <c r="O175" s="89">
        <v>5179.95</v>
      </c>
      <c r="P175" s="91">
        <f t="shared" si="210"/>
        <v>5179.9504900000002</v>
      </c>
      <c r="Q175" s="91">
        <f t="shared" si="210"/>
        <v>5179.9509800000005</v>
      </c>
      <c r="R175" s="91">
        <f t="shared" si="210"/>
        <v>5179.9514700000009</v>
      </c>
      <c r="S175" s="90">
        <f t="shared" ref="S175:AB175" si="216">+R175-(0.711/100)</f>
        <v>5179.9443600000013</v>
      </c>
      <c r="T175" s="90">
        <f t="shared" si="216"/>
        <v>5179.9372500000018</v>
      </c>
      <c r="U175" s="90">
        <f t="shared" si="216"/>
        <v>5179.9301400000022</v>
      </c>
      <c r="V175" s="90">
        <f t="shared" si="216"/>
        <v>5179.9230300000027</v>
      </c>
      <c r="W175" s="90">
        <f t="shared" si="216"/>
        <v>5179.9159200000031</v>
      </c>
      <c r="X175" s="90">
        <f t="shared" si="216"/>
        <v>5179.9088100000035</v>
      </c>
      <c r="Y175" s="90">
        <f t="shared" si="216"/>
        <v>5179.901700000004</v>
      </c>
      <c r="Z175" s="90">
        <f t="shared" si="216"/>
        <v>5179.8945900000044</v>
      </c>
      <c r="AA175" s="90">
        <f t="shared" si="216"/>
        <v>5179.8874800000049</v>
      </c>
      <c r="AB175" s="90">
        <f t="shared" si="216"/>
        <v>5179.8803700000053</v>
      </c>
    </row>
    <row r="176" spans="1:28" x14ac:dyDescent="0.25">
      <c r="A176" s="86" t="s">
        <v>25</v>
      </c>
      <c r="B176" s="87" t="s">
        <v>5</v>
      </c>
      <c r="C176" s="89">
        <v>23.204999999999998</v>
      </c>
      <c r="D176" s="90">
        <f t="shared" si="206"/>
        <v>23.204999999999998</v>
      </c>
      <c r="E176" s="89">
        <v>23.204999999999998</v>
      </c>
      <c r="F176" s="90">
        <f t="shared" si="207"/>
        <v>23.204999999999998</v>
      </c>
      <c r="G176" s="89">
        <v>23.204999999999998</v>
      </c>
      <c r="H176" s="90">
        <f t="shared" si="208"/>
        <v>53.52000000000001</v>
      </c>
      <c r="I176" s="89">
        <v>83.835000000000022</v>
      </c>
      <c r="J176" s="90">
        <f t="shared" si="209"/>
        <v>61.627500000000012</v>
      </c>
      <c r="K176" s="89">
        <v>39.42</v>
      </c>
      <c r="L176" s="89">
        <v>17.149999999999999</v>
      </c>
      <c r="M176" s="89">
        <v>17.149999999999999</v>
      </c>
      <c r="N176" s="89">
        <v>69.3</v>
      </c>
      <c r="O176" s="89">
        <v>69.3</v>
      </c>
      <c r="P176" s="91">
        <f t="shared" si="210"/>
        <v>69.300489999999996</v>
      </c>
      <c r="Q176" s="91">
        <f t="shared" si="210"/>
        <v>69.300979999999996</v>
      </c>
      <c r="R176" s="91">
        <f t="shared" si="210"/>
        <v>69.301469999999995</v>
      </c>
      <c r="S176" s="90">
        <f t="shared" ref="S176:AB176" si="217">+R176-(0.711/100)</f>
        <v>69.294359999999998</v>
      </c>
      <c r="T176" s="90">
        <f t="shared" si="217"/>
        <v>69.28725</v>
      </c>
      <c r="U176" s="90">
        <f t="shared" si="217"/>
        <v>69.280140000000003</v>
      </c>
      <c r="V176" s="90">
        <f t="shared" si="217"/>
        <v>69.273030000000006</v>
      </c>
      <c r="W176" s="90">
        <f t="shared" si="217"/>
        <v>69.265920000000008</v>
      </c>
      <c r="X176" s="90">
        <f t="shared" si="217"/>
        <v>69.258810000000011</v>
      </c>
      <c r="Y176" s="90">
        <f t="shared" si="217"/>
        <v>69.251700000000014</v>
      </c>
      <c r="Z176" s="90">
        <f t="shared" si="217"/>
        <v>69.244590000000017</v>
      </c>
      <c r="AA176" s="90">
        <f t="shared" si="217"/>
        <v>69.237480000000019</v>
      </c>
      <c r="AB176" s="90">
        <f t="shared" si="217"/>
        <v>69.230370000000022</v>
      </c>
    </row>
    <row r="177" spans="1:28" x14ac:dyDescent="0.25">
      <c r="A177" s="86" t="s">
        <v>26</v>
      </c>
      <c r="B177" s="87" t="s">
        <v>5</v>
      </c>
      <c r="C177" s="89">
        <v>709.14</v>
      </c>
      <c r="D177" s="90">
        <f t="shared" si="206"/>
        <v>709.14</v>
      </c>
      <c r="E177" s="89">
        <v>709.14</v>
      </c>
      <c r="F177" s="90">
        <f t="shared" si="207"/>
        <v>709.14</v>
      </c>
      <c r="G177" s="89">
        <v>709.14</v>
      </c>
      <c r="H177" s="90">
        <f t="shared" si="208"/>
        <v>809.33999999999992</v>
      </c>
      <c r="I177" s="89">
        <v>909.54</v>
      </c>
      <c r="J177" s="90">
        <f t="shared" si="209"/>
        <v>947.43000000000006</v>
      </c>
      <c r="K177" s="89">
        <v>985.32</v>
      </c>
      <c r="L177" s="89">
        <v>719.15</v>
      </c>
      <c r="M177" s="89">
        <v>719.15</v>
      </c>
      <c r="N177" s="89">
        <v>48.15</v>
      </c>
      <c r="O177" s="89">
        <v>48.15</v>
      </c>
      <c r="P177" s="91">
        <f t="shared" si="210"/>
        <v>48.150489999999998</v>
      </c>
      <c r="Q177" s="91">
        <f t="shared" si="210"/>
        <v>48.150979999999997</v>
      </c>
      <c r="R177" s="91">
        <f t="shared" si="210"/>
        <v>48.151469999999996</v>
      </c>
      <c r="S177" s="90">
        <f t="shared" ref="S177:AB177" si="218">+R177-(0.711/100)</f>
        <v>48.144359999999999</v>
      </c>
      <c r="T177" s="90">
        <f t="shared" si="218"/>
        <v>48.137250000000002</v>
      </c>
      <c r="U177" s="90">
        <f t="shared" si="218"/>
        <v>48.130140000000004</v>
      </c>
      <c r="V177" s="90">
        <f t="shared" si="218"/>
        <v>48.123030000000007</v>
      </c>
      <c r="W177" s="90">
        <f t="shared" si="218"/>
        <v>48.11592000000001</v>
      </c>
      <c r="X177" s="90">
        <f t="shared" si="218"/>
        <v>48.108810000000013</v>
      </c>
      <c r="Y177" s="90">
        <f t="shared" si="218"/>
        <v>48.101700000000015</v>
      </c>
      <c r="Z177" s="90">
        <f t="shared" si="218"/>
        <v>48.094590000000018</v>
      </c>
      <c r="AA177" s="90">
        <f t="shared" si="218"/>
        <v>48.087480000000021</v>
      </c>
      <c r="AB177" s="90">
        <f t="shared" si="218"/>
        <v>48.080370000000023</v>
      </c>
    </row>
    <row r="178" spans="1:28" x14ac:dyDescent="0.25">
      <c r="A178" s="86" t="s">
        <v>27</v>
      </c>
      <c r="B178" s="87" t="s">
        <v>5</v>
      </c>
      <c r="C178" s="89">
        <v>0</v>
      </c>
      <c r="D178" s="90">
        <f t="shared" si="206"/>
        <v>0</v>
      </c>
      <c r="E178" s="89">
        <v>0</v>
      </c>
      <c r="F178" s="90">
        <f t="shared" si="207"/>
        <v>0</v>
      </c>
      <c r="G178" s="89">
        <v>0</v>
      </c>
      <c r="H178" s="90">
        <f t="shared" si="208"/>
        <v>0</v>
      </c>
      <c r="I178" s="89">
        <v>0</v>
      </c>
      <c r="J178" s="90">
        <f t="shared" si="209"/>
        <v>0</v>
      </c>
      <c r="K178" s="89">
        <v>0</v>
      </c>
      <c r="L178" s="89">
        <v>552.78</v>
      </c>
      <c r="M178" s="89">
        <v>552.78</v>
      </c>
      <c r="N178" s="89">
        <v>234.63</v>
      </c>
      <c r="O178" s="89">
        <v>234.63</v>
      </c>
      <c r="P178" s="91">
        <f t="shared" si="210"/>
        <v>234.63049000000001</v>
      </c>
      <c r="Q178" s="91">
        <f t="shared" si="210"/>
        <v>234.63098000000002</v>
      </c>
      <c r="R178" s="91">
        <f t="shared" si="210"/>
        <v>234.63147000000004</v>
      </c>
      <c r="S178" s="90">
        <f t="shared" ref="S178:AB178" si="219">+R178-(0.711/100)</f>
        <v>234.62436000000002</v>
      </c>
      <c r="T178" s="90">
        <f t="shared" si="219"/>
        <v>234.61725000000001</v>
      </c>
      <c r="U178" s="90">
        <f t="shared" si="219"/>
        <v>234.61014</v>
      </c>
      <c r="V178" s="90">
        <f t="shared" si="219"/>
        <v>234.60302999999999</v>
      </c>
      <c r="W178" s="90">
        <f t="shared" si="219"/>
        <v>234.59591999999998</v>
      </c>
      <c r="X178" s="90">
        <f t="shared" si="219"/>
        <v>234.58880999999997</v>
      </c>
      <c r="Y178" s="90">
        <f t="shared" si="219"/>
        <v>234.58169999999996</v>
      </c>
      <c r="Z178" s="90">
        <f t="shared" si="219"/>
        <v>234.57458999999994</v>
      </c>
      <c r="AA178" s="90">
        <f t="shared" si="219"/>
        <v>234.56747999999993</v>
      </c>
      <c r="AB178" s="90">
        <f t="shared" si="219"/>
        <v>234.56036999999992</v>
      </c>
    </row>
    <row r="179" spans="1:28" x14ac:dyDescent="0.25">
      <c r="A179" s="86" t="s">
        <v>28</v>
      </c>
      <c r="B179" s="87" t="s">
        <v>5</v>
      </c>
      <c r="C179" s="89">
        <v>0</v>
      </c>
      <c r="D179" s="90">
        <f t="shared" si="206"/>
        <v>0</v>
      </c>
      <c r="E179" s="89">
        <v>0</v>
      </c>
      <c r="F179" s="90">
        <f t="shared" si="207"/>
        <v>0</v>
      </c>
      <c r="G179" s="89">
        <v>0</v>
      </c>
      <c r="H179" s="90">
        <f t="shared" si="208"/>
        <v>54.81</v>
      </c>
      <c r="I179" s="89">
        <v>109.62</v>
      </c>
      <c r="J179" s="90">
        <f t="shared" si="209"/>
        <v>63.765000000000001</v>
      </c>
      <c r="K179" s="89">
        <v>17.91</v>
      </c>
      <c r="L179" s="89">
        <v>18.989999999999998</v>
      </c>
      <c r="M179" s="89">
        <v>18.989999999999998</v>
      </c>
      <c r="N179" s="89">
        <v>7.2</v>
      </c>
      <c r="O179" s="89">
        <v>7.2</v>
      </c>
      <c r="P179" s="91">
        <f t="shared" si="210"/>
        <v>7.2004900000000003</v>
      </c>
      <c r="Q179" s="91">
        <f t="shared" si="210"/>
        <v>7.2009800000000004</v>
      </c>
      <c r="R179" s="91">
        <f t="shared" si="210"/>
        <v>7.2014700000000005</v>
      </c>
      <c r="S179" s="90">
        <f t="shared" ref="S179:AB179" si="220">+R179-(0.711/100)</f>
        <v>7.1943600000000005</v>
      </c>
      <c r="T179" s="90">
        <f t="shared" si="220"/>
        <v>7.1872500000000006</v>
      </c>
      <c r="U179" s="90">
        <f t="shared" si="220"/>
        <v>7.1801400000000006</v>
      </c>
      <c r="V179" s="90">
        <f t="shared" si="220"/>
        <v>7.1730300000000007</v>
      </c>
      <c r="W179" s="90">
        <f t="shared" si="220"/>
        <v>7.1659200000000007</v>
      </c>
      <c r="X179" s="90">
        <f t="shared" si="220"/>
        <v>7.1588100000000008</v>
      </c>
      <c r="Y179" s="90">
        <f t="shared" si="220"/>
        <v>7.1517000000000008</v>
      </c>
      <c r="Z179" s="90">
        <f t="shared" si="220"/>
        <v>7.1445900000000009</v>
      </c>
      <c r="AA179" s="90">
        <f t="shared" si="220"/>
        <v>7.1374800000000009</v>
      </c>
      <c r="AB179" s="90">
        <f t="shared" si="220"/>
        <v>7.130370000000001</v>
      </c>
    </row>
    <row r="180" spans="1:28" x14ac:dyDescent="0.25">
      <c r="A180" s="88" t="s">
        <v>19</v>
      </c>
      <c r="B180" s="87" t="s">
        <v>5</v>
      </c>
      <c r="C180" s="89">
        <v>7739.04</v>
      </c>
      <c r="D180" s="90">
        <f t="shared" si="206"/>
        <v>7739.04</v>
      </c>
      <c r="E180" s="89">
        <v>7739.04</v>
      </c>
      <c r="F180" s="90">
        <f t="shared" si="207"/>
        <v>7739.04</v>
      </c>
      <c r="G180" s="89">
        <v>7739.04</v>
      </c>
      <c r="H180" s="90">
        <f t="shared" si="208"/>
        <v>7635.75</v>
      </c>
      <c r="I180" s="89">
        <v>7532.46</v>
      </c>
      <c r="J180" s="90">
        <f t="shared" si="209"/>
        <v>7934.3799999999992</v>
      </c>
      <c r="K180" s="89">
        <v>8336.2999999999993</v>
      </c>
      <c r="L180" s="89">
        <v>7082.69</v>
      </c>
      <c r="M180" s="89">
        <v>7082.69</v>
      </c>
      <c r="N180" s="89">
        <v>1511.69</v>
      </c>
      <c r="O180" s="89">
        <v>1511.69</v>
      </c>
      <c r="P180" s="91">
        <f t="shared" si="210"/>
        <v>1511.69049</v>
      </c>
      <c r="Q180" s="91">
        <f t="shared" si="210"/>
        <v>1511.6909799999999</v>
      </c>
      <c r="R180" s="91">
        <f t="shared" si="210"/>
        <v>1511.6914699999998</v>
      </c>
      <c r="S180" s="90">
        <f t="shared" ref="S180:AB180" si="221">+R180-(0.711/100)</f>
        <v>1511.6843599999997</v>
      </c>
      <c r="T180" s="90">
        <f t="shared" si="221"/>
        <v>1511.6772499999997</v>
      </c>
      <c r="U180" s="90">
        <f t="shared" si="221"/>
        <v>1511.6701399999997</v>
      </c>
      <c r="V180" s="90">
        <f t="shared" si="221"/>
        <v>1511.6630299999997</v>
      </c>
      <c r="W180" s="90">
        <f t="shared" si="221"/>
        <v>1511.6559199999997</v>
      </c>
      <c r="X180" s="90">
        <f t="shared" si="221"/>
        <v>1511.6488099999997</v>
      </c>
      <c r="Y180" s="90">
        <f t="shared" si="221"/>
        <v>1511.6416999999997</v>
      </c>
      <c r="Z180" s="90">
        <f t="shared" si="221"/>
        <v>1511.6345899999997</v>
      </c>
      <c r="AA180" s="90">
        <f t="shared" si="221"/>
        <v>1511.6274799999997</v>
      </c>
      <c r="AB180" s="90">
        <f t="shared" si="221"/>
        <v>1511.6203699999996</v>
      </c>
    </row>
    <row r="181" spans="1:28" x14ac:dyDescent="0.25">
      <c r="A181" s="88" t="s">
        <v>4</v>
      </c>
      <c r="B181" s="87" t="s">
        <v>5</v>
      </c>
      <c r="C181" s="89">
        <v>420.255</v>
      </c>
      <c r="D181" s="90">
        <f t="shared" si="206"/>
        <v>420.255</v>
      </c>
      <c r="E181" s="89">
        <v>420.255</v>
      </c>
      <c r="F181" s="90">
        <f t="shared" si="207"/>
        <v>420.255</v>
      </c>
      <c r="G181" s="89">
        <v>420.255</v>
      </c>
      <c r="H181" s="90">
        <f t="shared" si="208"/>
        <v>654.66250000000002</v>
      </c>
      <c r="I181" s="89">
        <v>889.07</v>
      </c>
      <c r="J181" s="90">
        <f t="shared" si="209"/>
        <v>530.35</v>
      </c>
      <c r="K181" s="89">
        <v>171.63</v>
      </c>
      <c r="L181" s="89">
        <v>1057.5899999999999</v>
      </c>
      <c r="M181" s="89">
        <v>1057.5899999999999</v>
      </c>
      <c r="N181" s="89">
        <v>137.47999999999999</v>
      </c>
      <c r="O181" s="89">
        <v>137.47999999999999</v>
      </c>
      <c r="P181" s="91">
        <f t="shared" si="210"/>
        <v>137.48049</v>
      </c>
      <c r="Q181" s="91">
        <f t="shared" si="210"/>
        <v>137.48098000000002</v>
      </c>
      <c r="R181" s="91">
        <f t="shared" si="210"/>
        <v>137.48147000000003</v>
      </c>
      <c r="S181" s="90">
        <f t="shared" ref="S181:AB181" si="222">+R181-(0.711/100)</f>
        <v>137.47436000000002</v>
      </c>
      <c r="T181" s="90">
        <f t="shared" si="222"/>
        <v>137.46725000000001</v>
      </c>
      <c r="U181" s="90">
        <f t="shared" si="222"/>
        <v>137.46014</v>
      </c>
      <c r="V181" s="90">
        <f t="shared" si="222"/>
        <v>137.45302999999998</v>
      </c>
      <c r="W181" s="90">
        <f t="shared" si="222"/>
        <v>137.44591999999997</v>
      </c>
      <c r="X181" s="90">
        <f t="shared" si="222"/>
        <v>137.43880999999996</v>
      </c>
      <c r="Y181" s="90">
        <f t="shared" si="222"/>
        <v>137.43169999999995</v>
      </c>
      <c r="Z181" s="90">
        <f t="shared" si="222"/>
        <v>137.42458999999994</v>
      </c>
      <c r="AA181" s="90">
        <f t="shared" si="222"/>
        <v>137.41747999999993</v>
      </c>
      <c r="AB181" s="90">
        <f t="shared" si="222"/>
        <v>137.41036999999992</v>
      </c>
    </row>
    <row r="182" spans="1:28" x14ac:dyDescent="0.25">
      <c r="A182" s="88" t="s">
        <v>29</v>
      </c>
      <c r="B182" s="87" t="s">
        <v>5</v>
      </c>
      <c r="C182" s="89">
        <v>1846.79</v>
      </c>
      <c r="D182" s="90">
        <f t="shared" si="206"/>
        <v>1846.79</v>
      </c>
      <c r="E182" s="89">
        <v>1846.79</v>
      </c>
      <c r="F182" s="90">
        <f t="shared" si="207"/>
        <v>1846.79</v>
      </c>
      <c r="G182" s="89">
        <v>1846.79</v>
      </c>
      <c r="H182" s="90">
        <f t="shared" si="208"/>
        <v>2744.6800000000003</v>
      </c>
      <c r="I182" s="89">
        <v>3642.57</v>
      </c>
      <c r="J182" s="90">
        <f t="shared" si="209"/>
        <v>2664.2049999999999</v>
      </c>
      <c r="K182" s="89">
        <v>1685.84</v>
      </c>
      <c r="L182" s="89">
        <v>3312.72</v>
      </c>
      <c r="M182" s="89">
        <v>3312.72</v>
      </c>
      <c r="N182" s="89">
        <v>218.03</v>
      </c>
      <c r="O182" s="89">
        <v>218.03</v>
      </c>
      <c r="P182" s="91">
        <f t="shared" si="210"/>
        <v>218.03049000000001</v>
      </c>
      <c r="Q182" s="91">
        <f t="shared" si="210"/>
        <v>218.03098000000003</v>
      </c>
      <c r="R182" s="91">
        <f t="shared" si="210"/>
        <v>218.03147000000004</v>
      </c>
      <c r="S182" s="90">
        <f t="shared" ref="S182:AB182" si="223">+R182-(0.711/100)</f>
        <v>218.02436000000003</v>
      </c>
      <c r="T182" s="90">
        <f t="shared" si="223"/>
        <v>218.01725000000002</v>
      </c>
      <c r="U182" s="90">
        <f t="shared" si="223"/>
        <v>218.01014000000001</v>
      </c>
      <c r="V182" s="90">
        <f t="shared" si="223"/>
        <v>218.00303</v>
      </c>
      <c r="W182" s="90">
        <f t="shared" si="223"/>
        <v>217.99591999999998</v>
      </c>
      <c r="X182" s="90">
        <f t="shared" si="223"/>
        <v>217.98880999999997</v>
      </c>
      <c r="Y182" s="90">
        <f t="shared" si="223"/>
        <v>217.98169999999996</v>
      </c>
      <c r="Z182" s="90">
        <f t="shared" si="223"/>
        <v>217.97458999999995</v>
      </c>
      <c r="AA182" s="90">
        <f t="shared" si="223"/>
        <v>217.96747999999994</v>
      </c>
      <c r="AB182" s="90">
        <f t="shared" si="223"/>
        <v>217.96036999999993</v>
      </c>
    </row>
    <row r="183" spans="1:28" x14ac:dyDescent="0.25">
      <c r="S183" s="90">
        <f t="shared" ref="S183:AB183" si="224">+R183-(0.711/100)</f>
        <v>-7.11E-3</v>
      </c>
      <c r="T183" s="90">
        <f t="shared" si="224"/>
        <v>-1.422E-2</v>
      </c>
      <c r="U183" s="90">
        <f t="shared" si="224"/>
        <v>-2.1330000000000002E-2</v>
      </c>
      <c r="V183" s="90">
        <f t="shared" si="224"/>
        <v>-2.844E-2</v>
      </c>
      <c r="W183" s="90">
        <f t="shared" si="224"/>
        <v>-3.5549999999999998E-2</v>
      </c>
      <c r="X183" s="90">
        <f t="shared" si="224"/>
        <v>-4.2659999999999997E-2</v>
      </c>
      <c r="Y183" s="90">
        <f t="shared" si="224"/>
        <v>-4.9769999999999995E-2</v>
      </c>
      <c r="Z183" s="90">
        <f t="shared" si="224"/>
        <v>-5.6879999999999993E-2</v>
      </c>
      <c r="AA183" s="90">
        <f t="shared" si="224"/>
        <v>-6.3989999999999991E-2</v>
      </c>
      <c r="AB183" s="90">
        <f t="shared" si="224"/>
        <v>-7.1099999999999997E-2</v>
      </c>
    </row>
    <row r="184" spans="1:28" x14ac:dyDescent="0.25">
      <c r="A184" s="86" t="s">
        <v>18</v>
      </c>
      <c r="B184" s="87" t="s">
        <v>6</v>
      </c>
      <c r="C184" s="89">
        <v>0</v>
      </c>
      <c r="D184" s="90">
        <f t="shared" ref="D184:D197" si="225">+(C184+E184)/2</f>
        <v>0</v>
      </c>
      <c r="E184" s="89">
        <v>0</v>
      </c>
      <c r="F184" s="90">
        <f t="shared" ref="F184:F197" si="226">+(E184+G184)/2</f>
        <v>0</v>
      </c>
      <c r="G184" s="89">
        <v>0</v>
      </c>
      <c r="H184" s="90">
        <f t="shared" ref="H184:H197" si="227">+(G184+I184)/2</f>
        <v>0</v>
      </c>
      <c r="I184" s="89">
        <v>0</v>
      </c>
      <c r="J184" s="90">
        <f t="shared" ref="J184:J197" si="228">+(I184+K184)/2</f>
        <v>5.1974999999999998</v>
      </c>
      <c r="K184" s="89">
        <v>10.395</v>
      </c>
      <c r="L184" s="89">
        <v>7.52</v>
      </c>
      <c r="M184" s="89">
        <v>7.52</v>
      </c>
      <c r="N184" s="89">
        <v>0</v>
      </c>
      <c r="O184" s="89">
        <v>0</v>
      </c>
      <c r="P184" s="91">
        <f t="shared" ref="P184:R197" si="229">+O184+(0.049/100)</f>
        <v>4.8999999999999998E-4</v>
      </c>
      <c r="Q184" s="91">
        <f t="shared" si="229"/>
        <v>9.7999999999999997E-4</v>
      </c>
      <c r="R184" s="91">
        <f t="shared" si="229"/>
        <v>1.47E-3</v>
      </c>
      <c r="S184" s="90">
        <f t="shared" ref="S184:AB184" si="230">+R184-(0.711/100)</f>
        <v>-5.64E-3</v>
      </c>
      <c r="T184" s="90">
        <f t="shared" si="230"/>
        <v>-1.2750000000000001E-2</v>
      </c>
      <c r="U184" s="90">
        <f t="shared" si="230"/>
        <v>-1.9860000000000003E-2</v>
      </c>
      <c r="V184" s="90">
        <f t="shared" si="230"/>
        <v>-2.6970000000000001E-2</v>
      </c>
      <c r="W184" s="90">
        <f t="shared" si="230"/>
        <v>-3.4079999999999999E-2</v>
      </c>
      <c r="X184" s="90">
        <f t="shared" si="230"/>
        <v>-4.1189999999999997E-2</v>
      </c>
      <c r="Y184" s="90">
        <f t="shared" si="230"/>
        <v>-4.8299999999999996E-2</v>
      </c>
      <c r="Z184" s="90">
        <f t="shared" si="230"/>
        <v>-5.5409999999999994E-2</v>
      </c>
      <c r="AA184" s="90">
        <f t="shared" si="230"/>
        <v>-6.2519999999999992E-2</v>
      </c>
      <c r="AB184" s="90">
        <f t="shared" si="230"/>
        <v>-6.9629999999999997E-2</v>
      </c>
    </row>
    <row r="185" spans="1:28" x14ac:dyDescent="0.25">
      <c r="A185" s="86" t="s">
        <v>20</v>
      </c>
      <c r="B185" s="87" t="s">
        <v>6</v>
      </c>
      <c r="C185" s="89">
        <v>390</v>
      </c>
      <c r="D185" s="90">
        <f t="shared" si="225"/>
        <v>390</v>
      </c>
      <c r="E185" s="89">
        <v>390</v>
      </c>
      <c r="F185" s="90">
        <f t="shared" si="226"/>
        <v>390</v>
      </c>
      <c r="G185" s="89">
        <v>390</v>
      </c>
      <c r="H185" s="90">
        <f t="shared" si="227"/>
        <v>232.50749999999999</v>
      </c>
      <c r="I185" s="89">
        <v>75.015000000000001</v>
      </c>
      <c r="J185" s="90">
        <f t="shared" si="228"/>
        <v>75.240000000000009</v>
      </c>
      <c r="K185" s="89">
        <v>75.465000000000003</v>
      </c>
      <c r="L185" s="89">
        <v>527.66999999999996</v>
      </c>
      <c r="M185" s="89">
        <v>527.66999999999996</v>
      </c>
      <c r="N185" s="89">
        <v>802.49</v>
      </c>
      <c r="O185" s="89">
        <v>802.49</v>
      </c>
      <c r="P185" s="91">
        <f t="shared" si="229"/>
        <v>802.49049000000002</v>
      </c>
      <c r="Q185" s="91">
        <f t="shared" si="229"/>
        <v>802.49098000000004</v>
      </c>
      <c r="R185" s="91">
        <f t="shared" si="229"/>
        <v>802.49147000000005</v>
      </c>
      <c r="S185" s="90">
        <f t="shared" ref="S185:AB185" si="231">+R185-(0.711/100)</f>
        <v>802.48436000000004</v>
      </c>
      <c r="T185" s="90">
        <f t="shared" si="231"/>
        <v>802.47725000000003</v>
      </c>
      <c r="U185" s="90">
        <f t="shared" si="231"/>
        <v>802.47014000000001</v>
      </c>
      <c r="V185" s="90">
        <f t="shared" si="231"/>
        <v>802.46303</v>
      </c>
      <c r="W185" s="90">
        <f t="shared" si="231"/>
        <v>802.45591999999999</v>
      </c>
      <c r="X185" s="90">
        <f t="shared" si="231"/>
        <v>802.44880999999998</v>
      </c>
      <c r="Y185" s="90">
        <f t="shared" si="231"/>
        <v>802.44169999999997</v>
      </c>
      <c r="Z185" s="90">
        <f t="shared" si="231"/>
        <v>802.43458999999996</v>
      </c>
      <c r="AA185" s="90">
        <f t="shared" si="231"/>
        <v>802.42747999999995</v>
      </c>
      <c r="AB185" s="90">
        <f t="shared" si="231"/>
        <v>802.42036999999993</v>
      </c>
    </row>
    <row r="186" spans="1:28" x14ac:dyDescent="0.25">
      <c r="A186" s="86" t="s">
        <v>21</v>
      </c>
      <c r="B186" s="87" t="s">
        <v>6</v>
      </c>
      <c r="C186" s="89">
        <v>42.464999999999996</v>
      </c>
      <c r="D186" s="90">
        <f t="shared" si="225"/>
        <v>42.464999999999996</v>
      </c>
      <c r="E186" s="89">
        <v>42.464999999999996</v>
      </c>
      <c r="F186" s="90">
        <f t="shared" si="226"/>
        <v>42.464999999999996</v>
      </c>
      <c r="G186" s="89">
        <v>42.464999999999996</v>
      </c>
      <c r="H186" s="90">
        <f t="shared" si="227"/>
        <v>54.825000000000003</v>
      </c>
      <c r="I186" s="89">
        <v>67.185000000000002</v>
      </c>
      <c r="J186" s="90">
        <f t="shared" si="228"/>
        <v>89.032499999999999</v>
      </c>
      <c r="K186" s="89">
        <v>110.88</v>
      </c>
      <c r="L186" s="89">
        <v>59.4</v>
      </c>
      <c r="M186" s="89">
        <v>59.4</v>
      </c>
      <c r="N186" s="89">
        <v>123.44</v>
      </c>
      <c r="O186" s="89">
        <v>123.44</v>
      </c>
      <c r="P186" s="91">
        <f t="shared" si="229"/>
        <v>123.44049</v>
      </c>
      <c r="Q186" s="91">
        <f t="shared" si="229"/>
        <v>123.44098</v>
      </c>
      <c r="R186" s="91">
        <f t="shared" si="229"/>
        <v>123.44147</v>
      </c>
      <c r="S186" s="90">
        <f t="shared" ref="S186:AB186" si="232">+R186-(0.711/100)</f>
        <v>123.43436</v>
      </c>
      <c r="T186" s="90">
        <f t="shared" si="232"/>
        <v>123.42725</v>
      </c>
      <c r="U186" s="90">
        <f t="shared" si="232"/>
        <v>123.42014</v>
      </c>
      <c r="V186" s="90">
        <f t="shared" si="232"/>
        <v>123.41303000000001</v>
      </c>
      <c r="W186" s="90">
        <f t="shared" si="232"/>
        <v>123.40592000000001</v>
      </c>
      <c r="X186" s="90">
        <f t="shared" si="232"/>
        <v>123.39881000000001</v>
      </c>
      <c r="Y186" s="90">
        <f t="shared" si="232"/>
        <v>123.39170000000001</v>
      </c>
      <c r="Z186" s="90">
        <f t="shared" si="232"/>
        <v>123.38459000000002</v>
      </c>
      <c r="AA186" s="90">
        <f t="shared" si="232"/>
        <v>123.37748000000002</v>
      </c>
      <c r="AB186" s="90">
        <f t="shared" si="232"/>
        <v>123.37037000000002</v>
      </c>
    </row>
    <row r="187" spans="1:28" x14ac:dyDescent="0.25">
      <c r="A187" s="86" t="s">
        <v>22</v>
      </c>
      <c r="B187" s="87" t="s">
        <v>6</v>
      </c>
      <c r="C187" s="89">
        <v>51.254999999999995</v>
      </c>
      <c r="D187" s="90">
        <f t="shared" si="225"/>
        <v>51.254999999999995</v>
      </c>
      <c r="E187" s="89">
        <v>51.254999999999995</v>
      </c>
      <c r="F187" s="90">
        <f t="shared" si="226"/>
        <v>51.254999999999995</v>
      </c>
      <c r="G187" s="89">
        <v>51.254999999999995</v>
      </c>
      <c r="H187" s="90">
        <f t="shared" si="227"/>
        <v>48.959999999999994</v>
      </c>
      <c r="I187" s="89">
        <v>46.664999999999992</v>
      </c>
      <c r="J187" s="90">
        <f t="shared" si="228"/>
        <v>61.717499999999994</v>
      </c>
      <c r="K187" s="89">
        <v>76.77</v>
      </c>
      <c r="L187" s="89">
        <v>99.45</v>
      </c>
      <c r="M187" s="89">
        <v>99.45</v>
      </c>
      <c r="N187" s="89">
        <v>138.56</v>
      </c>
      <c r="O187" s="89">
        <v>138.56</v>
      </c>
      <c r="P187" s="91">
        <f t="shared" si="229"/>
        <v>138.56049000000002</v>
      </c>
      <c r="Q187" s="91">
        <f t="shared" si="229"/>
        <v>138.56098000000003</v>
      </c>
      <c r="R187" s="91">
        <f t="shared" si="229"/>
        <v>138.56147000000004</v>
      </c>
      <c r="S187" s="90">
        <f t="shared" ref="S187:AB187" si="233">+R187-(0.711/100)</f>
        <v>138.55436000000003</v>
      </c>
      <c r="T187" s="90">
        <f t="shared" si="233"/>
        <v>138.54725000000002</v>
      </c>
      <c r="U187" s="90">
        <f t="shared" si="233"/>
        <v>138.54014000000001</v>
      </c>
      <c r="V187" s="90">
        <f t="shared" si="233"/>
        <v>138.53303</v>
      </c>
      <c r="W187" s="90">
        <f t="shared" si="233"/>
        <v>138.52591999999999</v>
      </c>
      <c r="X187" s="90">
        <f t="shared" si="233"/>
        <v>138.51880999999997</v>
      </c>
      <c r="Y187" s="90">
        <f t="shared" si="233"/>
        <v>138.51169999999996</v>
      </c>
      <c r="Z187" s="90">
        <f t="shared" si="233"/>
        <v>138.50458999999995</v>
      </c>
      <c r="AA187" s="90">
        <f t="shared" si="233"/>
        <v>138.49747999999994</v>
      </c>
      <c r="AB187" s="90">
        <f t="shared" si="233"/>
        <v>138.49036999999993</v>
      </c>
    </row>
    <row r="188" spans="1:28" x14ac:dyDescent="0.25">
      <c r="A188" s="86" t="s">
        <v>23</v>
      </c>
      <c r="B188" s="87" t="s">
        <v>6</v>
      </c>
      <c r="C188" s="89">
        <v>18.059999999999999</v>
      </c>
      <c r="D188" s="90">
        <f t="shared" si="225"/>
        <v>18.059999999999999</v>
      </c>
      <c r="E188" s="89">
        <v>18.059999999999999</v>
      </c>
      <c r="F188" s="90">
        <f t="shared" si="226"/>
        <v>18.059999999999999</v>
      </c>
      <c r="G188" s="89">
        <v>18.059999999999999</v>
      </c>
      <c r="H188" s="90">
        <f t="shared" si="227"/>
        <v>21.2925</v>
      </c>
      <c r="I188" s="89">
        <v>24.525000000000002</v>
      </c>
      <c r="J188" s="90">
        <f t="shared" si="228"/>
        <v>28.17</v>
      </c>
      <c r="K188" s="89">
        <v>31.814999999999998</v>
      </c>
      <c r="L188" s="89">
        <v>39.65</v>
      </c>
      <c r="M188" s="89">
        <v>39.65</v>
      </c>
      <c r="N188" s="89">
        <v>0.54</v>
      </c>
      <c r="O188" s="89">
        <v>0.54</v>
      </c>
      <c r="P188" s="91">
        <f t="shared" si="229"/>
        <v>0.54049000000000003</v>
      </c>
      <c r="Q188" s="91">
        <f t="shared" si="229"/>
        <v>0.54098000000000002</v>
      </c>
      <c r="R188" s="91">
        <f t="shared" si="229"/>
        <v>0.54147000000000001</v>
      </c>
      <c r="S188" s="90">
        <f t="shared" ref="S188:AB188" si="234">+R188-(0.711/100)</f>
        <v>0.53436000000000006</v>
      </c>
      <c r="T188" s="90">
        <f t="shared" si="234"/>
        <v>0.52725000000000011</v>
      </c>
      <c r="U188" s="90">
        <f t="shared" si="234"/>
        <v>0.52014000000000016</v>
      </c>
      <c r="V188" s="90">
        <f t="shared" si="234"/>
        <v>0.51303000000000021</v>
      </c>
      <c r="W188" s="90">
        <f t="shared" si="234"/>
        <v>0.50592000000000026</v>
      </c>
      <c r="X188" s="90">
        <f t="shared" si="234"/>
        <v>0.49881000000000025</v>
      </c>
      <c r="Y188" s="90">
        <f t="shared" si="234"/>
        <v>0.49170000000000025</v>
      </c>
      <c r="Z188" s="90">
        <f t="shared" si="234"/>
        <v>0.48459000000000024</v>
      </c>
      <c r="AA188" s="90">
        <f t="shared" si="234"/>
        <v>0.47748000000000024</v>
      </c>
      <c r="AB188" s="90">
        <f t="shared" si="234"/>
        <v>0.47037000000000023</v>
      </c>
    </row>
    <row r="189" spans="1:28" ht="22.5" x14ac:dyDescent="0.25">
      <c r="A189" s="86" t="s">
        <v>24</v>
      </c>
      <c r="B189" s="87" t="s">
        <v>6</v>
      </c>
      <c r="C189" s="89">
        <v>102.55500000000001</v>
      </c>
      <c r="D189" s="90">
        <f t="shared" si="225"/>
        <v>102.55500000000001</v>
      </c>
      <c r="E189" s="89">
        <v>102.55500000000001</v>
      </c>
      <c r="F189" s="90">
        <f t="shared" si="226"/>
        <v>102.55500000000001</v>
      </c>
      <c r="G189" s="89">
        <v>102.55500000000001</v>
      </c>
      <c r="H189" s="90">
        <f t="shared" si="227"/>
        <v>107.23500000000001</v>
      </c>
      <c r="I189" s="89">
        <v>111.91500000000001</v>
      </c>
      <c r="J189" s="90">
        <f t="shared" si="228"/>
        <v>157.9725</v>
      </c>
      <c r="K189" s="89">
        <v>204.03</v>
      </c>
      <c r="L189" s="89">
        <v>300.74</v>
      </c>
      <c r="M189" s="89">
        <v>300.74</v>
      </c>
      <c r="N189" s="89">
        <v>861.98</v>
      </c>
      <c r="O189" s="89">
        <v>861.98</v>
      </c>
      <c r="P189" s="91">
        <f t="shared" si="229"/>
        <v>861.98049000000003</v>
      </c>
      <c r="Q189" s="91">
        <f t="shared" si="229"/>
        <v>861.98098000000005</v>
      </c>
      <c r="R189" s="91">
        <f t="shared" si="229"/>
        <v>861.98147000000006</v>
      </c>
      <c r="S189" s="90">
        <f t="shared" ref="S189:AB189" si="235">+R189-(0.711/100)</f>
        <v>861.97436000000005</v>
      </c>
      <c r="T189" s="90">
        <f t="shared" si="235"/>
        <v>861.96725000000004</v>
      </c>
      <c r="U189" s="90">
        <f t="shared" si="235"/>
        <v>861.96014000000002</v>
      </c>
      <c r="V189" s="90">
        <f t="shared" si="235"/>
        <v>861.95303000000001</v>
      </c>
      <c r="W189" s="90">
        <f t="shared" si="235"/>
        <v>861.94592</v>
      </c>
      <c r="X189" s="90">
        <f t="shared" si="235"/>
        <v>861.93880999999999</v>
      </c>
      <c r="Y189" s="90">
        <f t="shared" si="235"/>
        <v>861.93169999999998</v>
      </c>
      <c r="Z189" s="90">
        <f t="shared" si="235"/>
        <v>861.92458999999997</v>
      </c>
      <c r="AA189" s="90">
        <f t="shared" si="235"/>
        <v>861.91747999999995</v>
      </c>
      <c r="AB189" s="90">
        <f t="shared" si="235"/>
        <v>861.91036999999994</v>
      </c>
    </row>
    <row r="190" spans="1:28" x14ac:dyDescent="0.25">
      <c r="A190" s="86" t="s">
        <v>25</v>
      </c>
      <c r="B190" s="87" t="s">
        <v>6</v>
      </c>
      <c r="C190" s="89">
        <v>30.825000000000003</v>
      </c>
      <c r="D190" s="90">
        <f t="shared" si="225"/>
        <v>30.825000000000003</v>
      </c>
      <c r="E190" s="89">
        <v>30.825000000000003</v>
      </c>
      <c r="F190" s="90">
        <f t="shared" si="226"/>
        <v>30.825000000000003</v>
      </c>
      <c r="G190" s="89">
        <v>30.825000000000003</v>
      </c>
      <c r="H190" s="90">
        <f t="shared" si="227"/>
        <v>22.770000000000003</v>
      </c>
      <c r="I190" s="89">
        <v>14.715</v>
      </c>
      <c r="J190" s="90">
        <f t="shared" si="228"/>
        <v>18.09</v>
      </c>
      <c r="K190" s="89">
        <v>21.465</v>
      </c>
      <c r="L190" s="89">
        <v>33.979999999999997</v>
      </c>
      <c r="M190" s="89">
        <v>33.979999999999997</v>
      </c>
      <c r="N190" s="89">
        <v>201.56</v>
      </c>
      <c r="O190" s="89">
        <v>201.56</v>
      </c>
      <c r="P190" s="91">
        <f t="shared" si="229"/>
        <v>201.56049000000002</v>
      </c>
      <c r="Q190" s="91">
        <f t="shared" si="229"/>
        <v>201.56098000000003</v>
      </c>
      <c r="R190" s="91">
        <f t="shared" si="229"/>
        <v>201.56147000000004</v>
      </c>
      <c r="S190" s="90">
        <f t="shared" ref="S190:AB190" si="236">+R190-(0.711/100)</f>
        <v>201.55436000000003</v>
      </c>
      <c r="T190" s="90">
        <f t="shared" si="236"/>
        <v>201.54725000000002</v>
      </c>
      <c r="U190" s="90">
        <f t="shared" si="236"/>
        <v>201.54014000000001</v>
      </c>
      <c r="V190" s="90">
        <f t="shared" si="236"/>
        <v>201.53303</v>
      </c>
      <c r="W190" s="90">
        <f t="shared" si="236"/>
        <v>201.52591999999999</v>
      </c>
      <c r="X190" s="90">
        <f t="shared" si="236"/>
        <v>201.51880999999997</v>
      </c>
      <c r="Y190" s="90">
        <f t="shared" si="236"/>
        <v>201.51169999999996</v>
      </c>
      <c r="Z190" s="90">
        <f t="shared" si="236"/>
        <v>201.50458999999995</v>
      </c>
      <c r="AA190" s="90">
        <f t="shared" si="236"/>
        <v>201.49747999999994</v>
      </c>
      <c r="AB190" s="90">
        <f t="shared" si="236"/>
        <v>201.49036999999993</v>
      </c>
    </row>
    <row r="191" spans="1:28" x14ac:dyDescent="0.25">
      <c r="A191" s="86" t="s">
        <v>26</v>
      </c>
      <c r="B191" s="87" t="s">
        <v>6</v>
      </c>
      <c r="C191" s="89">
        <v>33.630000000000003</v>
      </c>
      <c r="D191" s="90">
        <f t="shared" si="225"/>
        <v>33.630000000000003</v>
      </c>
      <c r="E191" s="89">
        <v>33.630000000000003</v>
      </c>
      <c r="F191" s="90">
        <f t="shared" si="226"/>
        <v>33.630000000000003</v>
      </c>
      <c r="G191" s="89">
        <v>33.630000000000003</v>
      </c>
      <c r="H191" s="90">
        <f t="shared" si="227"/>
        <v>20.842500000000001</v>
      </c>
      <c r="I191" s="89">
        <v>8.0549999999999997</v>
      </c>
      <c r="J191" s="90">
        <f t="shared" si="228"/>
        <v>11.6775</v>
      </c>
      <c r="K191" s="89">
        <v>15.3</v>
      </c>
      <c r="L191" s="89">
        <v>2210.7199999999998</v>
      </c>
      <c r="M191" s="89">
        <v>2210.7199999999998</v>
      </c>
      <c r="N191" s="89">
        <v>78.709999999999994</v>
      </c>
      <c r="O191" s="89">
        <v>78.709999999999994</v>
      </c>
      <c r="P191" s="91">
        <f t="shared" si="229"/>
        <v>78.710489999999993</v>
      </c>
      <c r="Q191" s="91">
        <f t="shared" si="229"/>
        <v>78.710979999999992</v>
      </c>
      <c r="R191" s="91">
        <f t="shared" si="229"/>
        <v>78.711469999999991</v>
      </c>
      <c r="S191" s="90">
        <f t="shared" ref="S191:AB191" si="237">+R191-(0.711/100)</f>
        <v>78.704359999999994</v>
      </c>
      <c r="T191" s="90">
        <f t="shared" si="237"/>
        <v>78.697249999999997</v>
      </c>
      <c r="U191" s="90">
        <f t="shared" si="237"/>
        <v>78.69014</v>
      </c>
      <c r="V191" s="90">
        <f t="shared" si="237"/>
        <v>78.683030000000002</v>
      </c>
      <c r="W191" s="90">
        <f t="shared" si="237"/>
        <v>78.675920000000005</v>
      </c>
      <c r="X191" s="90">
        <f t="shared" si="237"/>
        <v>78.668810000000008</v>
      </c>
      <c r="Y191" s="90">
        <f t="shared" si="237"/>
        <v>78.66170000000001</v>
      </c>
      <c r="Z191" s="90">
        <f t="shared" si="237"/>
        <v>78.654590000000013</v>
      </c>
      <c r="AA191" s="90">
        <f t="shared" si="237"/>
        <v>78.647480000000016</v>
      </c>
      <c r="AB191" s="90">
        <f t="shared" si="237"/>
        <v>78.640370000000019</v>
      </c>
    </row>
    <row r="192" spans="1:28" x14ac:dyDescent="0.25">
      <c r="A192" s="86" t="s">
        <v>27</v>
      </c>
      <c r="B192" s="87" t="s">
        <v>6</v>
      </c>
      <c r="C192" s="89">
        <v>1.83</v>
      </c>
      <c r="D192" s="90">
        <f t="shared" si="225"/>
        <v>1.83</v>
      </c>
      <c r="E192" s="89">
        <v>1.83</v>
      </c>
      <c r="F192" s="90">
        <f t="shared" si="226"/>
        <v>1.83</v>
      </c>
      <c r="G192" s="89">
        <v>1.83</v>
      </c>
      <c r="H192" s="90">
        <f t="shared" si="227"/>
        <v>2.58</v>
      </c>
      <c r="I192" s="89">
        <v>3.33</v>
      </c>
      <c r="J192" s="90">
        <f t="shared" si="228"/>
        <v>4.6575000000000006</v>
      </c>
      <c r="K192" s="89">
        <v>5.9850000000000003</v>
      </c>
      <c r="L192" s="89">
        <v>6.53</v>
      </c>
      <c r="M192" s="89">
        <v>6.53</v>
      </c>
      <c r="N192" s="89">
        <v>13.23</v>
      </c>
      <c r="O192" s="89">
        <v>13.23</v>
      </c>
      <c r="P192" s="91">
        <f t="shared" si="229"/>
        <v>13.23049</v>
      </c>
      <c r="Q192" s="91">
        <f t="shared" si="229"/>
        <v>13.230979999999999</v>
      </c>
      <c r="R192" s="91">
        <f t="shared" si="229"/>
        <v>13.231469999999998</v>
      </c>
      <c r="S192" s="90">
        <f t="shared" ref="S192:AB192" si="238">+R192-(0.711/100)</f>
        <v>13.224359999999997</v>
      </c>
      <c r="T192" s="90">
        <f t="shared" si="238"/>
        <v>13.217249999999996</v>
      </c>
      <c r="U192" s="90">
        <f t="shared" si="238"/>
        <v>13.210139999999996</v>
      </c>
      <c r="V192" s="90">
        <f t="shared" si="238"/>
        <v>13.203029999999995</v>
      </c>
      <c r="W192" s="90">
        <f t="shared" si="238"/>
        <v>13.195919999999994</v>
      </c>
      <c r="X192" s="90">
        <f t="shared" si="238"/>
        <v>13.188809999999993</v>
      </c>
      <c r="Y192" s="90">
        <f t="shared" si="238"/>
        <v>13.181699999999992</v>
      </c>
      <c r="Z192" s="90">
        <f t="shared" si="238"/>
        <v>13.174589999999991</v>
      </c>
      <c r="AA192" s="90">
        <f t="shared" si="238"/>
        <v>13.167479999999991</v>
      </c>
      <c r="AB192" s="90">
        <f t="shared" si="238"/>
        <v>13.16036999999999</v>
      </c>
    </row>
    <row r="193" spans="1:28" x14ac:dyDescent="0.25">
      <c r="A193" s="86" t="s">
        <v>28</v>
      </c>
      <c r="B193" s="87" t="s">
        <v>6</v>
      </c>
      <c r="C193" s="89">
        <v>20.58</v>
      </c>
      <c r="D193" s="90">
        <f t="shared" si="225"/>
        <v>20.58</v>
      </c>
      <c r="E193" s="89">
        <v>20.58</v>
      </c>
      <c r="F193" s="90">
        <f t="shared" si="226"/>
        <v>20.58</v>
      </c>
      <c r="G193" s="89">
        <v>20.58</v>
      </c>
      <c r="H193" s="90">
        <f t="shared" si="227"/>
        <v>44.92</v>
      </c>
      <c r="I193" s="89">
        <v>69.260000000000005</v>
      </c>
      <c r="J193" s="90">
        <f t="shared" si="228"/>
        <v>122.875</v>
      </c>
      <c r="K193" s="89">
        <v>176.49</v>
      </c>
      <c r="L193" s="89">
        <v>53.46</v>
      </c>
      <c r="M193" s="89">
        <v>53.46</v>
      </c>
      <c r="N193" s="89">
        <v>10.98</v>
      </c>
      <c r="O193" s="89">
        <v>10.98</v>
      </c>
      <c r="P193" s="91">
        <f t="shared" si="229"/>
        <v>10.98049</v>
      </c>
      <c r="Q193" s="91">
        <f t="shared" si="229"/>
        <v>10.980979999999999</v>
      </c>
      <c r="R193" s="91">
        <f t="shared" si="229"/>
        <v>10.981469999999998</v>
      </c>
      <c r="S193" s="90">
        <f t="shared" ref="S193:AB193" si="239">+R193-(0.711/100)</f>
        <v>10.974359999999997</v>
      </c>
      <c r="T193" s="90">
        <f t="shared" si="239"/>
        <v>10.967249999999996</v>
      </c>
      <c r="U193" s="90">
        <f t="shared" si="239"/>
        <v>10.960139999999996</v>
      </c>
      <c r="V193" s="90">
        <f t="shared" si="239"/>
        <v>10.953029999999995</v>
      </c>
      <c r="W193" s="90">
        <f t="shared" si="239"/>
        <v>10.945919999999994</v>
      </c>
      <c r="X193" s="90">
        <f t="shared" si="239"/>
        <v>10.938809999999993</v>
      </c>
      <c r="Y193" s="90">
        <f t="shared" si="239"/>
        <v>10.931699999999992</v>
      </c>
      <c r="Z193" s="90">
        <f t="shared" si="239"/>
        <v>10.924589999999991</v>
      </c>
      <c r="AA193" s="90">
        <f t="shared" si="239"/>
        <v>10.917479999999991</v>
      </c>
      <c r="AB193" s="90">
        <f t="shared" si="239"/>
        <v>10.91036999999999</v>
      </c>
    </row>
    <row r="194" spans="1:28" x14ac:dyDescent="0.25">
      <c r="A194" s="88" t="s">
        <v>19</v>
      </c>
      <c r="B194" s="87" t="s">
        <v>6</v>
      </c>
      <c r="C194" s="89">
        <v>9692.42</v>
      </c>
      <c r="D194" s="90">
        <f t="shared" si="225"/>
        <v>9692.42</v>
      </c>
      <c r="E194" s="89">
        <v>9692.42</v>
      </c>
      <c r="F194" s="90">
        <f t="shared" si="226"/>
        <v>9692.42</v>
      </c>
      <c r="G194" s="89">
        <v>9692.42</v>
      </c>
      <c r="H194" s="90">
        <f t="shared" si="227"/>
        <v>6006.2650000000003</v>
      </c>
      <c r="I194" s="89">
        <v>2320.11</v>
      </c>
      <c r="J194" s="90">
        <f t="shared" si="228"/>
        <v>8269.5550000000003</v>
      </c>
      <c r="K194" s="89">
        <v>14219</v>
      </c>
      <c r="L194" s="89">
        <v>3174.03</v>
      </c>
      <c r="M194" s="89">
        <v>3174.03</v>
      </c>
      <c r="N194" s="89">
        <v>11997.5</v>
      </c>
      <c r="O194" s="89">
        <v>11997.5</v>
      </c>
      <c r="P194" s="91">
        <f t="shared" si="229"/>
        <v>11997.50049</v>
      </c>
      <c r="Q194" s="91">
        <f t="shared" si="229"/>
        <v>11997.500980000001</v>
      </c>
      <c r="R194" s="91">
        <f t="shared" si="229"/>
        <v>11997.501470000001</v>
      </c>
      <c r="S194" s="90">
        <f t="shared" ref="S194:AB194" si="240">+R194-(0.711/100)</f>
        <v>11997.494360000001</v>
      </c>
      <c r="T194" s="90">
        <f t="shared" si="240"/>
        <v>11997.48725</v>
      </c>
      <c r="U194" s="90">
        <f t="shared" si="240"/>
        <v>11997.48014</v>
      </c>
      <c r="V194" s="90">
        <f t="shared" si="240"/>
        <v>11997.473029999999</v>
      </c>
      <c r="W194" s="90">
        <f t="shared" si="240"/>
        <v>11997.465919999999</v>
      </c>
      <c r="X194" s="90">
        <f t="shared" si="240"/>
        <v>11997.458809999998</v>
      </c>
      <c r="Y194" s="90">
        <f t="shared" si="240"/>
        <v>11997.451699999998</v>
      </c>
      <c r="Z194" s="90">
        <f t="shared" si="240"/>
        <v>11997.444589999997</v>
      </c>
      <c r="AA194" s="90">
        <f t="shared" si="240"/>
        <v>11997.437479999997</v>
      </c>
      <c r="AB194" s="90">
        <f t="shared" si="240"/>
        <v>11997.430369999996</v>
      </c>
    </row>
    <row r="195" spans="1:28" x14ac:dyDescent="0.25">
      <c r="A195" s="88" t="s">
        <v>4</v>
      </c>
      <c r="B195" s="87" t="s">
        <v>6</v>
      </c>
      <c r="C195" s="89">
        <v>614.61</v>
      </c>
      <c r="D195" s="90">
        <f t="shared" si="225"/>
        <v>614.61</v>
      </c>
      <c r="E195" s="89">
        <v>614.61</v>
      </c>
      <c r="F195" s="90">
        <f t="shared" si="226"/>
        <v>614.61</v>
      </c>
      <c r="G195" s="89">
        <v>614.61</v>
      </c>
      <c r="H195" s="90">
        <f t="shared" si="227"/>
        <v>481.88499999999999</v>
      </c>
      <c r="I195" s="89">
        <v>349.16</v>
      </c>
      <c r="J195" s="90">
        <f t="shared" si="228"/>
        <v>314.82500000000005</v>
      </c>
      <c r="K195" s="89">
        <v>280.49</v>
      </c>
      <c r="L195" s="89">
        <v>230.99</v>
      </c>
      <c r="M195" s="89">
        <v>230.99</v>
      </c>
      <c r="N195" s="89">
        <v>1935.81</v>
      </c>
      <c r="O195" s="89">
        <v>1935.81</v>
      </c>
      <c r="P195" s="91">
        <f t="shared" si="229"/>
        <v>1935.8104899999998</v>
      </c>
      <c r="Q195" s="91">
        <f t="shared" si="229"/>
        <v>1935.8109799999997</v>
      </c>
      <c r="R195" s="91">
        <f t="shared" si="229"/>
        <v>1935.8114699999996</v>
      </c>
      <c r="S195" s="90">
        <f t="shared" ref="S195:AB195" si="241">+R195-(0.711/100)</f>
        <v>1935.8043599999996</v>
      </c>
      <c r="T195" s="90">
        <f t="shared" si="241"/>
        <v>1935.7972499999996</v>
      </c>
      <c r="U195" s="90">
        <f t="shared" si="241"/>
        <v>1935.7901399999996</v>
      </c>
      <c r="V195" s="90">
        <f t="shared" si="241"/>
        <v>1935.7830299999996</v>
      </c>
      <c r="W195" s="90">
        <f t="shared" si="241"/>
        <v>1935.7759199999996</v>
      </c>
      <c r="X195" s="90">
        <f t="shared" si="241"/>
        <v>1935.7688099999996</v>
      </c>
      <c r="Y195" s="90">
        <f t="shared" si="241"/>
        <v>1935.7616999999996</v>
      </c>
      <c r="Z195" s="90">
        <f t="shared" si="241"/>
        <v>1935.7545899999996</v>
      </c>
      <c r="AA195" s="90">
        <f t="shared" si="241"/>
        <v>1935.7474799999995</v>
      </c>
      <c r="AB195" s="90">
        <f t="shared" si="241"/>
        <v>1935.7403699999995</v>
      </c>
    </row>
    <row r="196" spans="1:28" x14ac:dyDescent="0.25">
      <c r="A196" s="88" t="s">
        <v>5</v>
      </c>
      <c r="B196" s="87" t="s">
        <v>6</v>
      </c>
      <c r="C196" s="89">
        <v>275.76</v>
      </c>
      <c r="D196" s="90">
        <f t="shared" si="225"/>
        <v>275.76</v>
      </c>
      <c r="E196" s="89">
        <v>275.76</v>
      </c>
      <c r="F196" s="90">
        <f t="shared" si="226"/>
        <v>275.76</v>
      </c>
      <c r="G196" s="89">
        <v>275.76</v>
      </c>
      <c r="H196" s="90">
        <f t="shared" si="227"/>
        <v>261.45</v>
      </c>
      <c r="I196" s="89">
        <v>247.14</v>
      </c>
      <c r="J196" s="90">
        <f t="shared" si="228"/>
        <v>345.35500000000002</v>
      </c>
      <c r="K196" s="89">
        <v>443.57</v>
      </c>
      <c r="L196" s="89">
        <v>95151.11</v>
      </c>
      <c r="M196" s="89">
        <v>95151.11</v>
      </c>
      <c r="N196" s="89">
        <v>494.06</v>
      </c>
      <c r="O196" s="89">
        <v>494.06</v>
      </c>
      <c r="P196" s="91">
        <f t="shared" si="229"/>
        <v>494.06049000000002</v>
      </c>
      <c r="Q196" s="91">
        <f t="shared" si="229"/>
        <v>494.06098000000003</v>
      </c>
      <c r="R196" s="91">
        <f t="shared" si="229"/>
        <v>494.06147000000004</v>
      </c>
      <c r="S196" s="90">
        <f t="shared" ref="S196:AB196" si="242">+R196-(0.711/100)</f>
        <v>494.05436000000003</v>
      </c>
      <c r="T196" s="90">
        <f t="shared" si="242"/>
        <v>494.04725000000002</v>
      </c>
      <c r="U196" s="90">
        <f t="shared" si="242"/>
        <v>494.04014000000001</v>
      </c>
      <c r="V196" s="90">
        <f t="shared" si="242"/>
        <v>494.03303</v>
      </c>
      <c r="W196" s="90">
        <f t="shared" si="242"/>
        <v>494.02591999999999</v>
      </c>
      <c r="X196" s="90">
        <f t="shared" si="242"/>
        <v>494.01880999999997</v>
      </c>
      <c r="Y196" s="90">
        <f t="shared" si="242"/>
        <v>494.01169999999996</v>
      </c>
      <c r="Z196" s="90">
        <f t="shared" si="242"/>
        <v>494.00458999999995</v>
      </c>
      <c r="AA196" s="90">
        <f t="shared" si="242"/>
        <v>493.99747999999994</v>
      </c>
      <c r="AB196" s="90">
        <f t="shared" si="242"/>
        <v>493.99036999999993</v>
      </c>
    </row>
    <row r="197" spans="1:28" x14ac:dyDescent="0.25">
      <c r="A197" s="88" t="s">
        <v>29</v>
      </c>
      <c r="B197" s="87" t="s">
        <v>6</v>
      </c>
      <c r="C197" s="89">
        <v>223.995</v>
      </c>
      <c r="D197" s="90">
        <f t="shared" si="225"/>
        <v>223.995</v>
      </c>
      <c r="E197" s="89">
        <v>223.995</v>
      </c>
      <c r="F197" s="90">
        <f t="shared" si="226"/>
        <v>223.995</v>
      </c>
      <c r="G197" s="89">
        <v>223.995</v>
      </c>
      <c r="H197" s="90">
        <f t="shared" si="227"/>
        <v>174.42750000000001</v>
      </c>
      <c r="I197" s="89">
        <v>124.86</v>
      </c>
      <c r="J197" s="90">
        <f t="shared" si="228"/>
        <v>436.92</v>
      </c>
      <c r="K197" s="89">
        <v>748.98</v>
      </c>
      <c r="L197" s="89">
        <v>871.12</v>
      </c>
      <c r="M197" s="89">
        <v>871.12</v>
      </c>
      <c r="N197" s="89">
        <v>2832.75</v>
      </c>
      <c r="O197" s="89">
        <v>2832.75</v>
      </c>
      <c r="P197" s="91">
        <f t="shared" si="229"/>
        <v>2832.7504899999999</v>
      </c>
      <c r="Q197" s="91">
        <f t="shared" si="229"/>
        <v>2832.7509799999998</v>
      </c>
      <c r="R197" s="91">
        <f t="shared" si="229"/>
        <v>2832.7514699999997</v>
      </c>
      <c r="S197" s="90">
        <f t="shared" ref="S197:AB197" si="243">+R197-(0.711/100)</f>
        <v>2832.7443599999997</v>
      </c>
      <c r="T197" s="90">
        <f t="shared" si="243"/>
        <v>2832.7372499999997</v>
      </c>
      <c r="U197" s="90">
        <f t="shared" si="243"/>
        <v>2832.7301399999997</v>
      </c>
      <c r="V197" s="90">
        <f t="shared" si="243"/>
        <v>2832.7230299999997</v>
      </c>
      <c r="W197" s="90">
        <f t="shared" si="243"/>
        <v>2832.7159199999996</v>
      </c>
      <c r="X197" s="90">
        <f t="shared" si="243"/>
        <v>2832.7088099999996</v>
      </c>
      <c r="Y197" s="90">
        <f t="shared" si="243"/>
        <v>2832.7016999999996</v>
      </c>
      <c r="Z197" s="90">
        <f t="shared" si="243"/>
        <v>2832.6945899999996</v>
      </c>
      <c r="AA197" s="90">
        <f t="shared" si="243"/>
        <v>2832.6874799999996</v>
      </c>
      <c r="AB197" s="90">
        <f t="shared" si="243"/>
        <v>2832.6803699999996</v>
      </c>
    </row>
    <row r="199" spans="1:28" x14ac:dyDescent="0.25">
      <c r="A199" s="86" t="s">
        <v>18</v>
      </c>
      <c r="B199" s="87" t="s">
        <v>29</v>
      </c>
      <c r="C199" s="89">
        <v>0.42</v>
      </c>
      <c r="D199" s="90">
        <f t="shared" ref="D199:D212" si="244">+(C199+E199)/2</f>
        <v>0.42</v>
      </c>
      <c r="E199" s="89">
        <v>0.42</v>
      </c>
      <c r="F199" s="90">
        <f t="shared" ref="F199:F212" si="245">+(E199+G199)/2</f>
        <v>0.42</v>
      </c>
      <c r="G199" s="89">
        <v>0.42</v>
      </c>
      <c r="H199" s="90">
        <f t="shared" ref="H199:H212" si="246">+(G199+I199)/2</f>
        <v>18.772500000000001</v>
      </c>
      <c r="I199" s="89">
        <v>37.125</v>
      </c>
      <c r="J199" s="90">
        <f t="shared" ref="J199:J212" si="247">+(I199+K199)/2</f>
        <v>28.372500000000002</v>
      </c>
      <c r="K199" s="89">
        <v>19.62</v>
      </c>
      <c r="L199" s="89">
        <v>8.3699999999999992</v>
      </c>
      <c r="M199" s="89">
        <v>8.3699999999999992</v>
      </c>
      <c r="N199" s="89">
        <v>0.72</v>
      </c>
      <c r="O199" s="89">
        <v>0.72</v>
      </c>
      <c r="P199" s="91">
        <f t="shared" ref="P199:R212" si="248">+O199+(0.049/100)</f>
        <v>0.72048999999999996</v>
      </c>
      <c r="Q199" s="91">
        <f t="shared" si="248"/>
        <v>0.72097999999999995</v>
      </c>
      <c r="R199" s="91">
        <f t="shared" si="248"/>
        <v>0.72146999999999994</v>
      </c>
      <c r="S199" s="90">
        <f t="shared" ref="S199:AB199" si="249">+R199-(0.711/100)</f>
        <v>0.71435999999999999</v>
      </c>
      <c r="T199" s="90">
        <f t="shared" si="249"/>
        <v>0.70725000000000005</v>
      </c>
      <c r="U199" s="90">
        <f t="shared" si="249"/>
        <v>0.7001400000000001</v>
      </c>
      <c r="V199" s="90">
        <f t="shared" si="249"/>
        <v>0.69303000000000015</v>
      </c>
      <c r="W199" s="90">
        <f t="shared" si="249"/>
        <v>0.6859200000000002</v>
      </c>
      <c r="X199" s="90">
        <f t="shared" si="249"/>
        <v>0.67881000000000025</v>
      </c>
      <c r="Y199" s="90">
        <f t="shared" si="249"/>
        <v>0.6717000000000003</v>
      </c>
      <c r="Z199" s="90">
        <f t="shared" si="249"/>
        <v>0.66459000000000035</v>
      </c>
      <c r="AA199" s="90">
        <f t="shared" si="249"/>
        <v>0.6574800000000004</v>
      </c>
      <c r="AB199" s="90">
        <f t="shared" si="249"/>
        <v>0.65037000000000045</v>
      </c>
    </row>
    <row r="200" spans="1:28" x14ac:dyDescent="0.25">
      <c r="A200" s="86" t="s">
        <v>20</v>
      </c>
      <c r="B200" s="87" t="s">
        <v>29</v>
      </c>
      <c r="C200" s="89">
        <v>497.68499999999995</v>
      </c>
      <c r="D200" s="90">
        <f t="shared" si="244"/>
        <v>497.68499999999995</v>
      </c>
      <c r="E200" s="89">
        <v>497.68499999999995</v>
      </c>
      <c r="F200" s="90">
        <f t="shared" si="245"/>
        <v>497.68499999999995</v>
      </c>
      <c r="G200" s="89">
        <v>497.68499999999995</v>
      </c>
      <c r="H200" s="90">
        <f t="shared" si="246"/>
        <v>486.75749999999994</v>
      </c>
      <c r="I200" s="89">
        <v>475.83</v>
      </c>
      <c r="J200" s="90">
        <f t="shared" si="247"/>
        <v>299.45249999999999</v>
      </c>
      <c r="K200" s="89">
        <v>123.075</v>
      </c>
      <c r="L200" s="89">
        <v>87.35</v>
      </c>
      <c r="M200" s="89">
        <v>87.35</v>
      </c>
      <c r="N200" s="89">
        <v>13.32</v>
      </c>
      <c r="O200" s="89">
        <v>13.32</v>
      </c>
      <c r="P200" s="91">
        <f t="shared" si="248"/>
        <v>13.320489999999999</v>
      </c>
      <c r="Q200" s="91">
        <f t="shared" si="248"/>
        <v>13.320979999999999</v>
      </c>
      <c r="R200" s="91">
        <f t="shared" si="248"/>
        <v>13.321469999999998</v>
      </c>
      <c r="S200" s="90">
        <f t="shared" ref="S200:AB200" si="250">+R200-(0.711/100)</f>
        <v>13.314359999999997</v>
      </c>
      <c r="T200" s="90">
        <f t="shared" si="250"/>
        <v>13.307249999999996</v>
      </c>
      <c r="U200" s="90">
        <f t="shared" si="250"/>
        <v>13.300139999999995</v>
      </c>
      <c r="V200" s="90">
        <f t="shared" si="250"/>
        <v>13.293029999999995</v>
      </c>
      <c r="W200" s="90">
        <f t="shared" si="250"/>
        <v>13.285919999999994</v>
      </c>
      <c r="X200" s="90">
        <f t="shared" si="250"/>
        <v>13.278809999999993</v>
      </c>
      <c r="Y200" s="90">
        <f t="shared" si="250"/>
        <v>13.271699999999992</v>
      </c>
      <c r="Z200" s="90">
        <f t="shared" si="250"/>
        <v>13.264589999999991</v>
      </c>
      <c r="AA200" s="90">
        <f t="shared" si="250"/>
        <v>13.25747999999999</v>
      </c>
      <c r="AB200" s="90">
        <f t="shared" si="250"/>
        <v>13.25036999999999</v>
      </c>
    </row>
    <row r="201" spans="1:28" x14ac:dyDescent="0.25">
      <c r="A201" s="86" t="s">
        <v>21</v>
      </c>
      <c r="B201" s="87" t="s">
        <v>29</v>
      </c>
      <c r="C201" s="89">
        <v>52.04999999999999</v>
      </c>
      <c r="D201" s="90">
        <f t="shared" si="244"/>
        <v>52.04999999999999</v>
      </c>
      <c r="E201" s="89">
        <v>52.04999999999999</v>
      </c>
      <c r="F201" s="90">
        <f t="shared" si="245"/>
        <v>52.04999999999999</v>
      </c>
      <c r="G201" s="89">
        <v>52.04999999999999</v>
      </c>
      <c r="H201" s="90">
        <f t="shared" si="246"/>
        <v>244.83750000000001</v>
      </c>
      <c r="I201" s="89">
        <v>437.625</v>
      </c>
      <c r="J201" s="90">
        <f t="shared" si="247"/>
        <v>332.03250000000003</v>
      </c>
      <c r="K201" s="89">
        <v>226.44</v>
      </c>
      <c r="L201" s="89">
        <v>220.41</v>
      </c>
      <c r="M201" s="89">
        <v>220.41</v>
      </c>
      <c r="N201" s="89">
        <v>38.299999999999997</v>
      </c>
      <c r="O201" s="89">
        <v>38.299999999999997</v>
      </c>
      <c r="P201" s="91">
        <f t="shared" si="248"/>
        <v>38.300489999999996</v>
      </c>
      <c r="Q201" s="91">
        <f t="shared" si="248"/>
        <v>38.300979999999996</v>
      </c>
      <c r="R201" s="91">
        <f t="shared" si="248"/>
        <v>38.301469999999995</v>
      </c>
      <c r="S201" s="90">
        <f t="shared" ref="S201:AB201" si="251">+R201-(0.711/100)</f>
        <v>38.294359999999998</v>
      </c>
      <c r="T201" s="90">
        <f t="shared" si="251"/>
        <v>38.28725</v>
      </c>
      <c r="U201" s="90">
        <f t="shared" si="251"/>
        <v>38.280140000000003</v>
      </c>
      <c r="V201" s="90">
        <f t="shared" si="251"/>
        <v>38.273030000000006</v>
      </c>
      <c r="W201" s="90">
        <f t="shared" si="251"/>
        <v>38.265920000000008</v>
      </c>
      <c r="X201" s="90">
        <f t="shared" si="251"/>
        <v>38.258810000000011</v>
      </c>
      <c r="Y201" s="90">
        <f t="shared" si="251"/>
        <v>38.251700000000014</v>
      </c>
      <c r="Z201" s="90">
        <f t="shared" si="251"/>
        <v>38.244590000000017</v>
      </c>
      <c r="AA201" s="90">
        <f t="shared" si="251"/>
        <v>38.237480000000019</v>
      </c>
      <c r="AB201" s="90">
        <f t="shared" si="251"/>
        <v>38.230370000000022</v>
      </c>
    </row>
    <row r="202" spans="1:28" x14ac:dyDescent="0.25">
      <c r="A202" s="86" t="s">
        <v>22</v>
      </c>
      <c r="B202" s="87" t="s">
        <v>29</v>
      </c>
      <c r="C202" s="89">
        <v>22.185000000000002</v>
      </c>
      <c r="D202" s="90">
        <f t="shared" si="244"/>
        <v>22.185000000000002</v>
      </c>
      <c r="E202" s="89">
        <v>22.185000000000002</v>
      </c>
      <c r="F202" s="90">
        <f t="shared" si="245"/>
        <v>22.185000000000002</v>
      </c>
      <c r="G202" s="89">
        <v>22.185000000000002</v>
      </c>
      <c r="H202" s="90">
        <f t="shared" si="246"/>
        <v>63.247500000000002</v>
      </c>
      <c r="I202" s="89">
        <v>104.31</v>
      </c>
      <c r="J202" s="90">
        <f t="shared" si="247"/>
        <v>125.86499999999999</v>
      </c>
      <c r="K202" s="89">
        <v>147.41999999999999</v>
      </c>
      <c r="L202" s="89">
        <v>49.95</v>
      </c>
      <c r="M202" s="89">
        <v>49.95</v>
      </c>
      <c r="N202" s="89">
        <v>62.06</v>
      </c>
      <c r="O202" s="89">
        <v>62.06</v>
      </c>
      <c r="P202" s="91">
        <f t="shared" si="248"/>
        <v>62.060490000000001</v>
      </c>
      <c r="Q202" s="91">
        <f t="shared" si="248"/>
        <v>62.060980000000001</v>
      </c>
      <c r="R202" s="91">
        <f t="shared" si="248"/>
        <v>62.06147</v>
      </c>
      <c r="S202" s="90">
        <f t="shared" ref="S202:AB202" si="252">+R202-(0.711/100)</f>
        <v>62.054360000000003</v>
      </c>
      <c r="T202" s="90">
        <f t="shared" si="252"/>
        <v>62.047250000000005</v>
      </c>
      <c r="U202" s="90">
        <f t="shared" si="252"/>
        <v>62.040140000000008</v>
      </c>
      <c r="V202" s="90">
        <f t="shared" si="252"/>
        <v>62.033030000000011</v>
      </c>
      <c r="W202" s="90">
        <f t="shared" si="252"/>
        <v>62.025920000000013</v>
      </c>
      <c r="X202" s="90">
        <f t="shared" si="252"/>
        <v>62.018810000000016</v>
      </c>
      <c r="Y202" s="90">
        <f t="shared" si="252"/>
        <v>62.011700000000019</v>
      </c>
      <c r="Z202" s="90">
        <f t="shared" si="252"/>
        <v>62.004590000000022</v>
      </c>
      <c r="AA202" s="90">
        <f t="shared" si="252"/>
        <v>61.997480000000024</v>
      </c>
      <c r="AB202" s="90">
        <f t="shared" si="252"/>
        <v>61.990370000000027</v>
      </c>
    </row>
    <row r="203" spans="1:28" x14ac:dyDescent="0.25">
      <c r="A203" s="86" t="s">
        <v>23</v>
      </c>
      <c r="B203" s="87" t="s">
        <v>29</v>
      </c>
      <c r="C203" s="89">
        <v>76.410000000000011</v>
      </c>
      <c r="D203" s="90">
        <f t="shared" si="244"/>
        <v>76.410000000000011</v>
      </c>
      <c r="E203" s="89">
        <v>76.410000000000011</v>
      </c>
      <c r="F203" s="90">
        <f t="shared" si="245"/>
        <v>76.410000000000011</v>
      </c>
      <c r="G203" s="89">
        <v>76.410000000000011</v>
      </c>
      <c r="H203" s="90">
        <f t="shared" si="246"/>
        <v>147.91500000000002</v>
      </c>
      <c r="I203" s="89">
        <v>219.42000000000002</v>
      </c>
      <c r="J203" s="90">
        <f t="shared" si="247"/>
        <v>177.32249999999999</v>
      </c>
      <c r="K203" s="89">
        <v>135.22499999999999</v>
      </c>
      <c r="L203" s="89">
        <v>102.15</v>
      </c>
      <c r="M203" s="89">
        <v>102.15</v>
      </c>
      <c r="N203" s="89">
        <v>7.34</v>
      </c>
      <c r="O203" s="89">
        <v>7.34</v>
      </c>
      <c r="P203" s="91">
        <f t="shared" si="248"/>
        <v>7.34049</v>
      </c>
      <c r="Q203" s="91">
        <f t="shared" si="248"/>
        <v>7.3409800000000001</v>
      </c>
      <c r="R203" s="91">
        <f t="shared" si="248"/>
        <v>7.3414700000000002</v>
      </c>
      <c r="S203" s="90">
        <f t="shared" ref="S203:AB203" si="253">+R203-(0.711/100)</f>
        <v>7.3343600000000002</v>
      </c>
      <c r="T203" s="90">
        <f t="shared" si="253"/>
        <v>7.3272500000000003</v>
      </c>
      <c r="U203" s="90">
        <f t="shared" si="253"/>
        <v>7.3201400000000003</v>
      </c>
      <c r="V203" s="90">
        <f t="shared" si="253"/>
        <v>7.3130300000000004</v>
      </c>
      <c r="W203" s="90">
        <f t="shared" si="253"/>
        <v>7.3059200000000004</v>
      </c>
      <c r="X203" s="90">
        <f t="shared" si="253"/>
        <v>7.2988100000000005</v>
      </c>
      <c r="Y203" s="90">
        <f t="shared" si="253"/>
        <v>7.2917000000000005</v>
      </c>
      <c r="Z203" s="90">
        <f t="shared" si="253"/>
        <v>7.2845900000000006</v>
      </c>
      <c r="AA203" s="90">
        <f t="shared" si="253"/>
        <v>7.2774800000000006</v>
      </c>
      <c r="AB203" s="90">
        <f t="shared" si="253"/>
        <v>7.2703700000000007</v>
      </c>
    </row>
    <row r="204" spans="1:28" ht="22.5" x14ac:dyDescent="0.25">
      <c r="A204" s="86" t="s">
        <v>24</v>
      </c>
      <c r="B204" s="87" t="s">
        <v>29</v>
      </c>
      <c r="C204" s="89">
        <v>64.304999999999993</v>
      </c>
      <c r="D204" s="90">
        <f t="shared" si="244"/>
        <v>64.304999999999993</v>
      </c>
      <c r="E204" s="89">
        <v>64.304999999999993</v>
      </c>
      <c r="F204" s="90">
        <f t="shared" si="245"/>
        <v>64.304999999999993</v>
      </c>
      <c r="G204" s="89">
        <v>64.304999999999993</v>
      </c>
      <c r="H204" s="90">
        <f t="shared" si="246"/>
        <v>285.27749999999997</v>
      </c>
      <c r="I204" s="89">
        <v>506.25</v>
      </c>
      <c r="J204" s="90">
        <f t="shared" si="247"/>
        <v>589.18499999999995</v>
      </c>
      <c r="K204" s="89">
        <v>672.11999999999989</v>
      </c>
      <c r="L204" s="89">
        <v>582.98</v>
      </c>
      <c r="M204" s="89">
        <v>582.98</v>
      </c>
      <c r="N204" s="89">
        <v>170.37</v>
      </c>
      <c r="O204" s="89">
        <v>170.37</v>
      </c>
      <c r="P204" s="91">
        <f t="shared" si="248"/>
        <v>170.37049000000002</v>
      </c>
      <c r="Q204" s="91">
        <f t="shared" si="248"/>
        <v>170.37098000000003</v>
      </c>
      <c r="R204" s="91">
        <f t="shared" si="248"/>
        <v>170.37147000000004</v>
      </c>
      <c r="S204" s="90">
        <f t="shared" ref="S204:AB204" si="254">+R204-(0.711/100)</f>
        <v>170.36436000000003</v>
      </c>
      <c r="T204" s="90">
        <f t="shared" si="254"/>
        <v>170.35725000000002</v>
      </c>
      <c r="U204" s="90">
        <f t="shared" si="254"/>
        <v>170.35014000000001</v>
      </c>
      <c r="V204" s="90">
        <f t="shared" si="254"/>
        <v>170.34303</v>
      </c>
      <c r="W204" s="90">
        <f t="shared" si="254"/>
        <v>170.33591999999999</v>
      </c>
      <c r="X204" s="90">
        <f t="shared" si="254"/>
        <v>170.32880999999998</v>
      </c>
      <c r="Y204" s="90">
        <f t="shared" si="254"/>
        <v>170.32169999999996</v>
      </c>
      <c r="Z204" s="90">
        <f t="shared" si="254"/>
        <v>170.31458999999995</v>
      </c>
      <c r="AA204" s="90">
        <f t="shared" si="254"/>
        <v>170.30747999999994</v>
      </c>
      <c r="AB204" s="90">
        <f t="shared" si="254"/>
        <v>170.30036999999993</v>
      </c>
    </row>
    <row r="205" spans="1:28" x14ac:dyDescent="0.25">
      <c r="A205" s="86" t="s">
        <v>25</v>
      </c>
      <c r="B205" s="87" t="s">
        <v>29</v>
      </c>
      <c r="C205" s="89">
        <v>17.655000000000001</v>
      </c>
      <c r="D205" s="90">
        <f t="shared" si="244"/>
        <v>17.655000000000001</v>
      </c>
      <c r="E205" s="89">
        <v>17.655000000000001</v>
      </c>
      <c r="F205" s="90">
        <f t="shared" si="245"/>
        <v>17.655000000000001</v>
      </c>
      <c r="G205" s="89">
        <v>17.655000000000001</v>
      </c>
      <c r="H205" s="90">
        <f t="shared" si="246"/>
        <v>32.362499999999997</v>
      </c>
      <c r="I205" s="89">
        <v>47.07</v>
      </c>
      <c r="J205" s="90">
        <f t="shared" si="247"/>
        <v>62.617499999999993</v>
      </c>
      <c r="K205" s="89">
        <v>78.164999999999978</v>
      </c>
      <c r="L205" s="89">
        <v>73.22</v>
      </c>
      <c r="M205" s="89">
        <v>73.22</v>
      </c>
      <c r="N205" s="89">
        <v>3.38</v>
      </c>
      <c r="O205" s="89">
        <v>3.38</v>
      </c>
      <c r="P205" s="91">
        <f t="shared" si="248"/>
        <v>3.38049</v>
      </c>
      <c r="Q205" s="91">
        <f t="shared" si="248"/>
        <v>3.3809800000000001</v>
      </c>
      <c r="R205" s="91">
        <f t="shared" si="248"/>
        <v>3.3814700000000002</v>
      </c>
      <c r="S205" s="90">
        <f t="shared" ref="S205:AB205" si="255">+R205-(0.711/100)</f>
        <v>3.3743600000000002</v>
      </c>
      <c r="T205" s="90">
        <f t="shared" si="255"/>
        <v>3.3672500000000003</v>
      </c>
      <c r="U205" s="90">
        <f t="shared" si="255"/>
        <v>3.3601400000000003</v>
      </c>
      <c r="V205" s="90">
        <f t="shared" si="255"/>
        <v>3.3530300000000004</v>
      </c>
      <c r="W205" s="90">
        <f t="shared" si="255"/>
        <v>3.3459200000000004</v>
      </c>
      <c r="X205" s="90">
        <f t="shared" si="255"/>
        <v>3.3388100000000005</v>
      </c>
      <c r="Y205" s="90">
        <f t="shared" si="255"/>
        <v>3.3317000000000005</v>
      </c>
      <c r="Z205" s="90">
        <f t="shared" si="255"/>
        <v>3.3245900000000006</v>
      </c>
      <c r="AA205" s="90">
        <f t="shared" si="255"/>
        <v>3.3174800000000007</v>
      </c>
      <c r="AB205" s="90">
        <f t="shared" si="255"/>
        <v>3.3103700000000007</v>
      </c>
    </row>
    <row r="206" spans="1:28" x14ac:dyDescent="0.25">
      <c r="A206" s="86" t="s">
        <v>26</v>
      </c>
      <c r="B206" s="87" t="s">
        <v>29</v>
      </c>
      <c r="C206" s="89">
        <v>71.250000000000014</v>
      </c>
      <c r="D206" s="90">
        <f t="shared" si="244"/>
        <v>71.250000000000014</v>
      </c>
      <c r="E206" s="89">
        <v>71.250000000000014</v>
      </c>
      <c r="F206" s="90">
        <f t="shared" si="245"/>
        <v>71.250000000000014</v>
      </c>
      <c r="G206" s="89">
        <v>71.250000000000014</v>
      </c>
      <c r="H206" s="90">
        <f t="shared" si="246"/>
        <v>133.34249999999997</v>
      </c>
      <c r="I206" s="89">
        <v>195.43499999999995</v>
      </c>
      <c r="J206" s="90">
        <f t="shared" si="247"/>
        <v>191.65499999999997</v>
      </c>
      <c r="K206" s="89">
        <v>187.87500000000003</v>
      </c>
      <c r="L206" s="89">
        <v>191.3</v>
      </c>
      <c r="M206" s="89">
        <v>191.3</v>
      </c>
      <c r="N206" s="89">
        <v>19.940000000000001</v>
      </c>
      <c r="O206" s="89">
        <v>19.940000000000001</v>
      </c>
      <c r="P206" s="91">
        <f t="shared" si="248"/>
        <v>19.94049</v>
      </c>
      <c r="Q206" s="91">
        <f t="shared" si="248"/>
        <v>19.94098</v>
      </c>
      <c r="R206" s="91">
        <f t="shared" si="248"/>
        <v>19.941469999999999</v>
      </c>
      <c r="S206" s="90">
        <f t="shared" ref="S206:AB206" si="256">+R206-(0.711/100)</f>
        <v>19.934359999999998</v>
      </c>
      <c r="T206" s="90">
        <f t="shared" si="256"/>
        <v>19.927249999999997</v>
      </c>
      <c r="U206" s="90">
        <f t="shared" si="256"/>
        <v>19.920139999999996</v>
      </c>
      <c r="V206" s="90">
        <f t="shared" si="256"/>
        <v>19.913029999999996</v>
      </c>
      <c r="W206" s="90">
        <f t="shared" si="256"/>
        <v>19.905919999999995</v>
      </c>
      <c r="X206" s="90">
        <f t="shared" si="256"/>
        <v>19.898809999999994</v>
      </c>
      <c r="Y206" s="90">
        <f t="shared" si="256"/>
        <v>19.891699999999993</v>
      </c>
      <c r="Z206" s="90">
        <f t="shared" si="256"/>
        <v>19.884589999999992</v>
      </c>
      <c r="AA206" s="90">
        <f t="shared" si="256"/>
        <v>19.877479999999991</v>
      </c>
      <c r="AB206" s="90">
        <f t="shared" si="256"/>
        <v>19.870369999999991</v>
      </c>
    </row>
    <row r="207" spans="1:28" x14ac:dyDescent="0.25">
      <c r="A207" s="86" t="s">
        <v>27</v>
      </c>
      <c r="B207" s="87" t="s">
        <v>29</v>
      </c>
      <c r="C207" s="89">
        <v>1.6050000000000002</v>
      </c>
      <c r="D207" s="90">
        <f t="shared" si="244"/>
        <v>1.6050000000000002</v>
      </c>
      <c r="E207" s="89">
        <v>1.6050000000000002</v>
      </c>
      <c r="F207" s="90">
        <f t="shared" si="245"/>
        <v>1.6050000000000002</v>
      </c>
      <c r="G207" s="89">
        <v>1.6050000000000002</v>
      </c>
      <c r="H207" s="90">
        <f t="shared" si="246"/>
        <v>6.7424999999999997</v>
      </c>
      <c r="I207" s="89">
        <v>11.879999999999999</v>
      </c>
      <c r="J207" s="90">
        <f t="shared" si="247"/>
        <v>9.3149999999999995</v>
      </c>
      <c r="K207" s="89">
        <v>6.75</v>
      </c>
      <c r="L207" s="89">
        <v>8.5500000000000007</v>
      </c>
      <c r="M207" s="89">
        <v>8.5500000000000007</v>
      </c>
      <c r="N207" s="89">
        <v>9.6300000000000008</v>
      </c>
      <c r="O207" s="89">
        <v>9.6300000000000008</v>
      </c>
      <c r="P207" s="91">
        <f t="shared" si="248"/>
        <v>9.63049</v>
      </c>
      <c r="Q207" s="91">
        <f t="shared" si="248"/>
        <v>9.6309799999999992</v>
      </c>
      <c r="R207" s="91">
        <f t="shared" si="248"/>
        <v>9.6314699999999984</v>
      </c>
      <c r="S207" s="90">
        <f t="shared" ref="S207:AB207" si="257">+R207-(0.711/100)</f>
        <v>9.6243599999999976</v>
      </c>
      <c r="T207" s="90">
        <f t="shared" si="257"/>
        <v>9.6172499999999967</v>
      </c>
      <c r="U207" s="90">
        <f t="shared" si="257"/>
        <v>9.6101399999999959</v>
      </c>
      <c r="V207" s="90">
        <f t="shared" si="257"/>
        <v>9.6030299999999951</v>
      </c>
      <c r="W207" s="90">
        <f t="shared" si="257"/>
        <v>9.5959199999999942</v>
      </c>
      <c r="X207" s="90">
        <f t="shared" si="257"/>
        <v>9.5888099999999934</v>
      </c>
      <c r="Y207" s="90">
        <f t="shared" si="257"/>
        <v>9.5816999999999926</v>
      </c>
      <c r="Z207" s="90">
        <f t="shared" si="257"/>
        <v>9.5745899999999917</v>
      </c>
      <c r="AA207" s="90">
        <f t="shared" si="257"/>
        <v>9.5674799999999909</v>
      </c>
      <c r="AB207" s="90">
        <f t="shared" si="257"/>
        <v>9.56036999999999</v>
      </c>
    </row>
    <row r="208" spans="1:28" x14ac:dyDescent="0.25">
      <c r="A208" s="86" t="s">
        <v>28</v>
      </c>
      <c r="B208" s="87" t="s">
        <v>29</v>
      </c>
      <c r="C208" s="89">
        <v>34.950000000000003</v>
      </c>
      <c r="D208" s="90">
        <f t="shared" si="244"/>
        <v>34.950000000000003</v>
      </c>
      <c r="E208" s="89">
        <v>34.950000000000003</v>
      </c>
      <c r="F208" s="90">
        <f t="shared" si="245"/>
        <v>34.950000000000003</v>
      </c>
      <c r="G208" s="89">
        <v>34.950000000000003</v>
      </c>
      <c r="H208" s="90">
        <f t="shared" si="246"/>
        <v>105.4725</v>
      </c>
      <c r="I208" s="89">
        <v>175.995</v>
      </c>
      <c r="J208" s="90">
        <f t="shared" si="247"/>
        <v>180.22750000000002</v>
      </c>
      <c r="K208" s="89">
        <v>184.46</v>
      </c>
      <c r="L208" s="89">
        <v>7.38</v>
      </c>
      <c r="M208" s="89">
        <v>7.38</v>
      </c>
      <c r="N208" s="89">
        <v>10.35</v>
      </c>
      <c r="O208" s="89">
        <v>10.35</v>
      </c>
      <c r="P208" s="91">
        <f t="shared" si="248"/>
        <v>10.350489999999999</v>
      </c>
      <c r="Q208" s="91">
        <f t="shared" si="248"/>
        <v>10.350979999999998</v>
      </c>
      <c r="R208" s="91">
        <f t="shared" si="248"/>
        <v>10.351469999999997</v>
      </c>
      <c r="S208" s="90">
        <f t="shared" ref="S208:AB208" si="258">+R208-(0.711/100)</f>
        <v>10.344359999999996</v>
      </c>
      <c r="T208" s="90">
        <f t="shared" si="258"/>
        <v>10.337249999999996</v>
      </c>
      <c r="U208" s="90">
        <f t="shared" si="258"/>
        <v>10.330139999999995</v>
      </c>
      <c r="V208" s="90">
        <f t="shared" si="258"/>
        <v>10.323029999999994</v>
      </c>
      <c r="W208" s="90">
        <f t="shared" si="258"/>
        <v>10.315919999999993</v>
      </c>
      <c r="X208" s="90">
        <f t="shared" si="258"/>
        <v>10.308809999999992</v>
      </c>
      <c r="Y208" s="90">
        <f t="shared" si="258"/>
        <v>10.301699999999991</v>
      </c>
      <c r="Z208" s="90">
        <f t="shared" si="258"/>
        <v>10.294589999999991</v>
      </c>
      <c r="AA208" s="90">
        <f t="shared" si="258"/>
        <v>10.28747999999999</v>
      </c>
      <c r="AB208" s="90">
        <f t="shared" si="258"/>
        <v>10.280369999999989</v>
      </c>
    </row>
    <row r="209" spans="1:28" x14ac:dyDescent="0.25">
      <c r="A209" s="88" t="s">
        <v>19</v>
      </c>
      <c r="B209" s="87" t="s">
        <v>29</v>
      </c>
      <c r="C209" s="89">
        <v>3381.8250000000003</v>
      </c>
      <c r="D209" s="90">
        <f t="shared" si="244"/>
        <v>3381.8250000000003</v>
      </c>
      <c r="E209" s="89">
        <v>3381.8250000000003</v>
      </c>
      <c r="F209" s="90">
        <f t="shared" si="245"/>
        <v>3381.8250000000003</v>
      </c>
      <c r="G209" s="89">
        <v>3381.8250000000003</v>
      </c>
      <c r="H209" s="90">
        <f t="shared" si="246"/>
        <v>2758.6950000000002</v>
      </c>
      <c r="I209" s="89">
        <v>2135.5650000000001</v>
      </c>
      <c r="J209" s="90">
        <f t="shared" si="247"/>
        <v>3725.7825000000003</v>
      </c>
      <c r="K209" s="89">
        <v>5316</v>
      </c>
      <c r="L209" s="89">
        <v>196.43</v>
      </c>
      <c r="M209" s="89">
        <v>196.43</v>
      </c>
      <c r="N209" s="89">
        <v>2343.11</v>
      </c>
      <c r="O209" s="89">
        <v>2343.11</v>
      </c>
      <c r="P209" s="91">
        <f t="shared" si="248"/>
        <v>2343.11049</v>
      </c>
      <c r="Q209" s="91">
        <f t="shared" si="248"/>
        <v>2343.1109799999999</v>
      </c>
      <c r="R209" s="91">
        <f t="shared" si="248"/>
        <v>2343.1114699999998</v>
      </c>
      <c r="S209" s="90">
        <f t="shared" ref="S209:AB209" si="259">+R209-(0.711/100)</f>
        <v>2343.1043599999998</v>
      </c>
      <c r="T209" s="90">
        <f t="shared" si="259"/>
        <v>2343.0972499999998</v>
      </c>
      <c r="U209" s="90">
        <f t="shared" si="259"/>
        <v>2343.0901399999998</v>
      </c>
      <c r="V209" s="90">
        <f t="shared" si="259"/>
        <v>2343.0830299999998</v>
      </c>
      <c r="W209" s="90">
        <f t="shared" si="259"/>
        <v>2343.0759199999998</v>
      </c>
      <c r="X209" s="90">
        <f t="shared" si="259"/>
        <v>2343.0688099999998</v>
      </c>
      <c r="Y209" s="90">
        <f t="shared" si="259"/>
        <v>2343.0616999999997</v>
      </c>
      <c r="Z209" s="90">
        <f t="shared" si="259"/>
        <v>2343.0545899999997</v>
      </c>
      <c r="AA209" s="90">
        <f t="shared" si="259"/>
        <v>2343.0474799999997</v>
      </c>
      <c r="AB209" s="90">
        <f t="shared" si="259"/>
        <v>2343.0403699999997</v>
      </c>
    </row>
    <row r="210" spans="1:28" x14ac:dyDescent="0.25">
      <c r="A210" s="88" t="s">
        <v>4</v>
      </c>
      <c r="B210" s="87" t="s">
        <v>29</v>
      </c>
      <c r="C210" s="89">
        <v>1159.8499999999999</v>
      </c>
      <c r="D210" s="90">
        <f t="shared" si="244"/>
        <v>1159.8499999999999</v>
      </c>
      <c r="E210" s="89">
        <v>1159.8499999999999</v>
      </c>
      <c r="F210" s="90">
        <f t="shared" si="245"/>
        <v>1159.8499999999999</v>
      </c>
      <c r="G210" s="89">
        <v>1159.8499999999999</v>
      </c>
      <c r="H210" s="90">
        <f t="shared" si="246"/>
        <v>1791.19</v>
      </c>
      <c r="I210" s="89">
        <v>2422.5300000000002</v>
      </c>
      <c r="J210" s="90">
        <f t="shared" si="247"/>
        <v>1698.5050000000001</v>
      </c>
      <c r="K210" s="89">
        <v>974.48</v>
      </c>
      <c r="L210" s="89">
        <v>464.04</v>
      </c>
      <c r="M210" s="89">
        <v>464.04</v>
      </c>
      <c r="N210" s="89">
        <v>465.71</v>
      </c>
      <c r="O210" s="89">
        <v>465.71</v>
      </c>
      <c r="P210" s="91">
        <f t="shared" si="248"/>
        <v>465.71048999999999</v>
      </c>
      <c r="Q210" s="91">
        <f t="shared" si="248"/>
        <v>465.71098000000001</v>
      </c>
      <c r="R210" s="91">
        <f t="shared" si="248"/>
        <v>465.71147000000002</v>
      </c>
      <c r="S210" s="90">
        <f t="shared" ref="S210:AB210" si="260">+R210-(0.711/100)</f>
        <v>465.70436000000001</v>
      </c>
      <c r="T210" s="90">
        <f t="shared" si="260"/>
        <v>465.69725</v>
      </c>
      <c r="U210" s="90">
        <f t="shared" si="260"/>
        <v>465.69013999999999</v>
      </c>
      <c r="V210" s="90">
        <f t="shared" si="260"/>
        <v>465.68302999999997</v>
      </c>
      <c r="W210" s="90">
        <f t="shared" si="260"/>
        <v>465.67591999999996</v>
      </c>
      <c r="X210" s="90">
        <f t="shared" si="260"/>
        <v>465.66880999999995</v>
      </c>
      <c r="Y210" s="90">
        <f t="shared" si="260"/>
        <v>465.66169999999994</v>
      </c>
      <c r="Z210" s="90">
        <f t="shared" si="260"/>
        <v>465.65458999999993</v>
      </c>
      <c r="AA210" s="90">
        <f t="shared" si="260"/>
        <v>465.64747999999992</v>
      </c>
      <c r="AB210" s="90">
        <f t="shared" si="260"/>
        <v>465.6403699999999</v>
      </c>
    </row>
    <row r="211" spans="1:28" x14ac:dyDescent="0.25">
      <c r="A211" s="88" t="s">
        <v>5</v>
      </c>
      <c r="B211" s="87" t="s">
        <v>29</v>
      </c>
      <c r="C211" s="89">
        <v>1795.99</v>
      </c>
      <c r="D211" s="90">
        <f t="shared" si="244"/>
        <v>1795.99</v>
      </c>
      <c r="E211" s="89">
        <v>1795.99</v>
      </c>
      <c r="F211" s="90">
        <f t="shared" si="245"/>
        <v>1795.99</v>
      </c>
      <c r="G211" s="89">
        <v>1795.99</v>
      </c>
      <c r="H211" s="90">
        <f t="shared" si="246"/>
        <v>1414.6399999999999</v>
      </c>
      <c r="I211" s="89">
        <v>1033.29</v>
      </c>
      <c r="J211" s="90">
        <f t="shared" si="247"/>
        <v>2623.5</v>
      </c>
      <c r="K211" s="89">
        <v>4213.71</v>
      </c>
      <c r="L211" s="89">
        <v>26.96</v>
      </c>
      <c r="M211" s="89">
        <v>26.96</v>
      </c>
      <c r="N211" s="89">
        <v>341.55</v>
      </c>
      <c r="O211" s="89">
        <v>341.55</v>
      </c>
      <c r="P211" s="91">
        <f t="shared" si="248"/>
        <v>341.55049000000002</v>
      </c>
      <c r="Q211" s="91">
        <f t="shared" si="248"/>
        <v>341.55098000000004</v>
      </c>
      <c r="R211" s="91">
        <f t="shared" si="248"/>
        <v>341.55147000000005</v>
      </c>
      <c r="S211" s="90">
        <f t="shared" ref="S211:AB211" si="261">+R211-(0.711/100)</f>
        <v>341.54436000000004</v>
      </c>
      <c r="T211" s="90">
        <f t="shared" si="261"/>
        <v>341.53725000000003</v>
      </c>
      <c r="U211" s="90">
        <f t="shared" si="261"/>
        <v>341.53014000000002</v>
      </c>
      <c r="V211" s="90">
        <f t="shared" si="261"/>
        <v>341.52303000000001</v>
      </c>
      <c r="W211" s="90">
        <f t="shared" si="261"/>
        <v>341.51591999999999</v>
      </c>
      <c r="X211" s="90">
        <f t="shared" si="261"/>
        <v>341.50880999999998</v>
      </c>
      <c r="Y211" s="90">
        <f t="shared" si="261"/>
        <v>341.50169999999997</v>
      </c>
      <c r="Z211" s="90">
        <f t="shared" si="261"/>
        <v>341.49458999999996</v>
      </c>
      <c r="AA211" s="90">
        <f t="shared" si="261"/>
        <v>341.48747999999995</v>
      </c>
      <c r="AB211" s="90">
        <f t="shared" si="261"/>
        <v>341.48036999999994</v>
      </c>
    </row>
    <row r="212" spans="1:28" x14ac:dyDescent="0.25">
      <c r="A212" s="88" t="s">
        <v>6</v>
      </c>
      <c r="B212" s="87" t="s">
        <v>29</v>
      </c>
      <c r="C212" s="89">
        <v>0</v>
      </c>
      <c r="D212" s="90">
        <f t="shared" si="244"/>
        <v>0</v>
      </c>
      <c r="E212" s="89">
        <v>0</v>
      </c>
      <c r="F212" s="90">
        <f t="shared" si="245"/>
        <v>0</v>
      </c>
      <c r="G212" s="89">
        <v>0</v>
      </c>
      <c r="H212" s="90">
        <f t="shared" si="246"/>
        <v>0</v>
      </c>
      <c r="I212" s="89">
        <v>0</v>
      </c>
      <c r="J212" s="90">
        <f t="shared" si="247"/>
        <v>0</v>
      </c>
      <c r="K212" s="89">
        <v>0</v>
      </c>
      <c r="L212" s="89">
        <v>0</v>
      </c>
      <c r="M212" s="89">
        <v>0</v>
      </c>
      <c r="N212" s="89">
        <v>0</v>
      </c>
      <c r="O212" s="89">
        <v>0</v>
      </c>
      <c r="P212" s="91">
        <f t="shared" si="248"/>
        <v>4.8999999999999998E-4</v>
      </c>
      <c r="Q212" s="91">
        <f t="shared" si="248"/>
        <v>9.7999999999999997E-4</v>
      </c>
      <c r="R212" s="91">
        <f t="shared" si="248"/>
        <v>1.47E-3</v>
      </c>
      <c r="S212" s="90">
        <f t="shared" ref="S212:AB212" si="262">+R212-(0.711/100)</f>
        <v>-5.64E-3</v>
      </c>
      <c r="T212" s="90">
        <f t="shared" si="262"/>
        <v>-1.2750000000000001E-2</v>
      </c>
      <c r="U212" s="90">
        <f t="shared" si="262"/>
        <v>-1.9860000000000003E-2</v>
      </c>
      <c r="V212" s="90">
        <f t="shared" si="262"/>
        <v>-2.6970000000000001E-2</v>
      </c>
      <c r="W212" s="90">
        <f t="shared" si="262"/>
        <v>-3.4079999999999999E-2</v>
      </c>
      <c r="X212" s="90">
        <f t="shared" si="262"/>
        <v>-4.1189999999999997E-2</v>
      </c>
      <c r="Y212" s="90">
        <f t="shared" si="262"/>
        <v>-4.8299999999999996E-2</v>
      </c>
      <c r="Z212" s="90">
        <f t="shared" si="262"/>
        <v>-5.5409999999999994E-2</v>
      </c>
      <c r="AA212" s="90">
        <f t="shared" si="262"/>
        <v>-6.2519999999999992E-2</v>
      </c>
      <c r="AB212" s="90">
        <f t="shared" si="262"/>
        <v>-6.9629999999999997E-2</v>
      </c>
    </row>
    <row r="213" spans="1:28" x14ac:dyDescent="0.25">
      <c r="A213" s="113"/>
      <c r="B213" s="114"/>
      <c r="C213" s="117"/>
      <c r="D213" s="116"/>
      <c r="E213" s="117"/>
      <c r="F213" s="116"/>
      <c r="G213" s="117"/>
      <c r="H213" s="116"/>
      <c r="I213" s="117"/>
      <c r="J213" s="116"/>
      <c r="K213" s="117"/>
      <c r="L213" s="117"/>
      <c r="M213" s="117"/>
      <c r="N213" s="117"/>
      <c r="O213" s="117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5" spans="1:28" x14ac:dyDescent="0.25">
      <c r="A215" s="1" t="s">
        <v>105</v>
      </c>
      <c r="B215" s="65" t="s">
        <v>106</v>
      </c>
      <c r="C215" s="1">
        <v>2010</v>
      </c>
      <c r="D215" s="1">
        <v>2011</v>
      </c>
      <c r="E215" s="1">
        <v>2012</v>
      </c>
      <c r="F215" s="1">
        <v>2013</v>
      </c>
      <c r="G215" s="1">
        <v>2014</v>
      </c>
      <c r="H215" s="1">
        <v>2015</v>
      </c>
      <c r="I215" s="1">
        <v>2016</v>
      </c>
      <c r="J215" s="1">
        <v>2017</v>
      </c>
      <c r="K215" s="1">
        <v>2018</v>
      </c>
      <c r="L215" s="1">
        <v>2019</v>
      </c>
      <c r="M215" s="1">
        <v>2020</v>
      </c>
      <c r="N215" s="1">
        <v>2021</v>
      </c>
      <c r="O215" s="1">
        <v>2022</v>
      </c>
      <c r="P215" s="1">
        <v>2023</v>
      </c>
      <c r="Q215" s="1">
        <v>2024</v>
      </c>
      <c r="R215" s="1">
        <v>2025</v>
      </c>
      <c r="S215" s="1">
        <v>2026</v>
      </c>
      <c r="T215" s="1">
        <v>2027</v>
      </c>
      <c r="U215" s="1">
        <v>2028</v>
      </c>
      <c r="V215" s="1">
        <v>2029</v>
      </c>
      <c r="W215" s="1">
        <v>2030</v>
      </c>
      <c r="X215" s="1">
        <v>2031</v>
      </c>
      <c r="Y215" s="1">
        <v>2032</v>
      </c>
      <c r="Z215" s="1">
        <v>2033</v>
      </c>
      <c r="AA215" s="1">
        <v>2034</v>
      </c>
      <c r="AB215" s="1">
        <v>2035</v>
      </c>
    </row>
    <row r="216" spans="1:28" x14ac:dyDescent="0.25">
      <c r="A216" s="87" t="s">
        <v>19</v>
      </c>
      <c r="B216" s="86" t="s">
        <v>18</v>
      </c>
      <c r="C216" s="90">
        <f t="shared" ref="C216:O216" si="263">+C96</f>
        <v>35.450349455211686</v>
      </c>
      <c r="D216" s="90">
        <f t="shared" si="263"/>
        <v>35.450349455211686</v>
      </c>
      <c r="E216" s="90">
        <f t="shared" si="263"/>
        <v>35.450349455211686</v>
      </c>
      <c r="F216" s="90">
        <f t="shared" si="263"/>
        <v>35.450349455211686</v>
      </c>
      <c r="G216" s="90">
        <f t="shared" si="263"/>
        <v>35.450349455211686</v>
      </c>
      <c r="H216" s="90">
        <f t="shared" si="263"/>
        <v>27.971301260442953</v>
      </c>
      <c r="I216" s="90">
        <f t="shared" si="263"/>
        <v>20.492253065674223</v>
      </c>
      <c r="J216" s="90">
        <f t="shared" si="263"/>
        <v>26.145300649667249</v>
      </c>
      <c r="K216" s="90">
        <f t="shared" si="263"/>
        <v>31.798348233660274</v>
      </c>
      <c r="L216" s="90">
        <f t="shared" si="263"/>
        <v>5.2465438706970549</v>
      </c>
      <c r="M216" s="90">
        <f t="shared" si="263"/>
        <v>5.2465438706970549</v>
      </c>
      <c r="N216" s="90">
        <f t="shared" si="263"/>
        <v>5.8147838288109819</v>
      </c>
      <c r="O216" s="90">
        <f t="shared" si="263"/>
        <v>5.8147838288109819</v>
      </c>
      <c r="P216" s="90">
        <f t="shared" ref="P216:R224" si="264">+O216-(0.049/100)</f>
        <v>5.8142938288109818</v>
      </c>
      <c r="Q216" s="90">
        <f t="shared" si="264"/>
        <v>5.8138038288109817</v>
      </c>
      <c r="R216" s="90">
        <f t="shared" si="264"/>
        <v>5.8133138288109816</v>
      </c>
      <c r="S216" s="90">
        <f t="shared" ref="S216:AB216" si="265">+R216+(0.711/100)</f>
        <v>5.8204238288109815</v>
      </c>
      <c r="T216" s="90">
        <f t="shared" si="265"/>
        <v>5.8275338288109815</v>
      </c>
      <c r="U216" s="90">
        <f t="shared" si="265"/>
        <v>5.8346438288109814</v>
      </c>
      <c r="V216" s="90">
        <f t="shared" si="265"/>
        <v>5.8417538288109814</v>
      </c>
      <c r="W216" s="90">
        <f t="shared" si="265"/>
        <v>5.8488638288109813</v>
      </c>
      <c r="X216" s="90">
        <f t="shared" si="265"/>
        <v>5.8559738288109813</v>
      </c>
      <c r="Y216" s="90">
        <f t="shared" si="265"/>
        <v>5.8630838288109812</v>
      </c>
      <c r="Z216" s="90">
        <f t="shared" si="265"/>
        <v>5.8701938288109812</v>
      </c>
      <c r="AA216" s="90">
        <f t="shared" si="265"/>
        <v>5.8773038288109811</v>
      </c>
      <c r="AB216" s="90">
        <f t="shared" si="265"/>
        <v>5.8844138288109811</v>
      </c>
    </row>
    <row r="217" spans="1:28" x14ac:dyDescent="0.25">
      <c r="A217" s="87" t="s">
        <v>19</v>
      </c>
      <c r="B217" s="86" t="s">
        <v>20</v>
      </c>
      <c r="C217" s="90">
        <f t="shared" ref="C217:O217" si="266">+C97</f>
        <v>346.1792516375865</v>
      </c>
      <c r="D217" s="90">
        <f t="shared" si="266"/>
        <v>346.1792516375865</v>
      </c>
      <c r="E217" s="90">
        <f t="shared" si="266"/>
        <v>346.1792516375865</v>
      </c>
      <c r="F217" s="90">
        <f t="shared" si="266"/>
        <v>346.1792516375865</v>
      </c>
      <c r="G217" s="90">
        <f t="shared" si="266"/>
        <v>346.1792516375865</v>
      </c>
      <c r="H217" s="90">
        <f t="shared" si="266"/>
        <v>273.14495587422419</v>
      </c>
      <c r="I217" s="90">
        <f t="shared" si="266"/>
        <v>200.11066011086183</v>
      </c>
      <c r="J217" s="90">
        <f t="shared" si="266"/>
        <v>255.31372050863939</v>
      </c>
      <c r="K217" s="90">
        <f t="shared" si="266"/>
        <v>310.51678090641695</v>
      </c>
      <c r="L217" s="90">
        <f t="shared" si="266"/>
        <v>51.23347608001253</v>
      </c>
      <c r="M217" s="90">
        <f t="shared" si="266"/>
        <v>51.23347608001253</v>
      </c>
      <c r="N217" s="90">
        <f t="shared" si="266"/>
        <v>56.78244489057338</v>
      </c>
      <c r="O217" s="90">
        <f t="shared" si="266"/>
        <v>56.78244489057338</v>
      </c>
      <c r="P217" s="90">
        <f t="shared" si="264"/>
        <v>56.781954890573381</v>
      </c>
      <c r="Q217" s="90">
        <f t="shared" si="264"/>
        <v>56.781464890573382</v>
      </c>
      <c r="R217" s="90">
        <f t="shared" si="264"/>
        <v>56.780974890573383</v>
      </c>
      <c r="S217" s="90">
        <f t="shared" ref="S217:AB217" si="267">+R217+(0.711/100)</f>
        <v>56.78808489057338</v>
      </c>
      <c r="T217" s="90">
        <f t="shared" si="267"/>
        <v>56.795194890573377</v>
      </c>
      <c r="U217" s="90">
        <f t="shared" si="267"/>
        <v>56.802304890573375</v>
      </c>
      <c r="V217" s="90">
        <f t="shared" si="267"/>
        <v>56.809414890573372</v>
      </c>
      <c r="W217" s="90">
        <f t="shared" si="267"/>
        <v>56.816524890573369</v>
      </c>
      <c r="X217" s="90">
        <f t="shared" si="267"/>
        <v>56.823634890573366</v>
      </c>
      <c r="Y217" s="90">
        <f t="shared" si="267"/>
        <v>56.830744890573364</v>
      </c>
      <c r="Z217" s="90">
        <f t="shared" si="267"/>
        <v>56.837854890573361</v>
      </c>
      <c r="AA217" s="90">
        <f t="shared" si="267"/>
        <v>56.844964890573358</v>
      </c>
      <c r="AB217" s="90">
        <f t="shared" si="267"/>
        <v>56.852074890573356</v>
      </c>
    </row>
    <row r="218" spans="1:28" x14ac:dyDescent="0.25">
      <c r="A218" s="87" t="s">
        <v>19</v>
      </c>
      <c r="B218" s="86" t="s">
        <v>21</v>
      </c>
      <c r="C218" s="90">
        <f t="shared" ref="C218:O218" si="268">+C98</f>
        <v>3310.1998640493071</v>
      </c>
      <c r="D218" s="90">
        <f t="shared" si="268"/>
        <v>3310.1998640493071</v>
      </c>
      <c r="E218" s="90">
        <f t="shared" si="268"/>
        <v>3310.1998640493071</v>
      </c>
      <c r="F218" s="90">
        <f t="shared" si="268"/>
        <v>3310.1998640493071</v>
      </c>
      <c r="G218" s="90">
        <f t="shared" si="268"/>
        <v>3310.1998640493071</v>
      </c>
      <c r="H218" s="90">
        <f t="shared" si="268"/>
        <v>2611.8387844548711</v>
      </c>
      <c r="I218" s="90">
        <f t="shared" si="268"/>
        <v>1913.4777048604346</v>
      </c>
      <c r="J218" s="90">
        <f t="shared" si="268"/>
        <v>2441.3347678109649</v>
      </c>
      <c r="K218" s="90">
        <f t="shared" si="268"/>
        <v>2969.1918307614956</v>
      </c>
      <c r="L218" s="90">
        <f t="shared" si="268"/>
        <v>489.89950943789398</v>
      </c>
      <c r="M218" s="90">
        <f t="shared" si="268"/>
        <v>489.89950943789398</v>
      </c>
      <c r="N218" s="90">
        <f t="shared" si="268"/>
        <v>542.95929195068879</v>
      </c>
      <c r="O218" s="90">
        <f t="shared" si="268"/>
        <v>542.95929195068879</v>
      </c>
      <c r="P218" s="90">
        <f t="shared" si="264"/>
        <v>542.95880195068878</v>
      </c>
      <c r="Q218" s="90">
        <f t="shared" si="264"/>
        <v>542.95831195068877</v>
      </c>
      <c r="R218" s="90">
        <f t="shared" si="264"/>
        <v>542.95782195068875</v>
      </c>
      <c r="S218" s="90">
        <f t="shared" ref="S218:AB218" si="269">+R218+(0.711/100)</f>
        <v>542.96493195068877</v>
      </c>
      <c r="T218" s="90">
        <f t="shared" si="269"/>
        <v>542.97204195068878</v>
      </c>
      <c r="U218" s="90">
        <f t="shared" si="269"/>
        <v>542.97915195068879</v>
      </c>
      <c r="V218" s="90">
        <f t="shared" si="269"/>
        <v>542.9862619506888</v>
      </c>
      <c r="W218" s="90">
        <f t="shared" si="269"/>
        <v>542.99337195068881</v>
      </c>
      <c r="X218" s="90">
        <f t="shared" si="269"/>
        <v>543.00048195068882</v>
      </c>
      <c r="Y218" s="90">
        <f t="shared" si="269"/>
        <v>543.00759195068883</v>
      </c>
      <c r="Z218" s="90">
        <f t="shared" si="269"/>
        <v>543.01470195068885</v>
      </c>
      <c r="AA218" s="90">
        <f t="shared" si="269"/>
        <v>543.02181195068886</v>
      </c>
      <c r="AB218" s="90">
        <f t="shared" si="269"/>
        <v>543.02892195068887</v>
      </c>
    </row>
    <row r="219" spans="1:28" x14ac:dyDescent="0.25">
      <c r="A219" s="87" t="s">
        <v>19</v>
      </c>
      <c r="B219" s="86" t="s">
        <v>22</v>
      </c>
      <c r="C219" s="90">
        <f t="shared" ref="C219:O219" si="270">+C99</f>
        <v>1345.5748980235817</v>
      </c>
      <c r="D219" s="90">
        <f t="shared" si="270"/>
        <v>1345.5748980235817</v>
      </c>
      <c r="E219" s="90">
        <f t="shared" si="270"/>
        <v>1345.5748980235817</v>
      </c>
      <c r="F219" s="90">
        <f t="shared" si="270"/>
        <v>1345.5748980235817</v>
      </c>
      <c r="G219" s="90">
        <f t="shared" si="270"/>
        <v>1345.5748980235817</v>
      </c>
      <c r="H219" s="90">
        <f t="shared" si="270"/>
        <v>1061.6956227373435</v>
      </c>
      <c r="I219" s="90">
        <f t="shared" si="270"/>
        <v>777.81634745110512</v>
      </c>
      <c r="J219" s="90">
        <f t="shared" si="270"/>
        <v>992.3868395125196</v>
      </c>
      <c r="K219" s="90">
        <f t="shared" si="270"/>
        <v>1206.9573315739342</v>
      </c>
      <c r="L219" s="90">
        <f t="shared" si="270"/>
        <v>199.14099133800156</v>
      </c>
      <c r="M219" s="90">
        <f t="shared" si="270"/>
        <v>199.14099133800156</v>
      </c>
      <c r="N219" s="90">
        <f t="shared" si="270"/>
        <v>220.70945075920093</v>
      </c>
      <c r="O219" s="90">
        <f t="shared" si="270"/>
        <v>220.70945075920093</v>
      </c>
      <c r="P219" s="90">
        <f t="shared" si="264"/>
        <v>220.70896075920092</v>
      </c>
      <c r="Q219" s="90">
        <f t="shared" si="264"/>
        <v>220.70847075920091</v>
      </c>
      <c r="R219" s="90">
        <f t="shared" si="264"/>
        <v>220.70798075920089</v>
      </c>
      <c r="S219" s="90">
        <f t="shared" ref="S219:AB219" si="271">+R219+(0.711/100)</f>
        <v>220.7150907592009</v>
      </c>
      <c r="T219" s="90">
        <f t="shared" si="271"/>
        <v>220.72220075920092</v>
      </c>
      <c r="U219" s="90">
        <f t="shared" si="271"/>
        <v>220.72931075920093</v>
      </c>
      <c r="V219" s="90">
        <f t="shared" si="271"/>
        <v>220.73642075920094</v>
      </c>
      <c r="W219" s="90">
        <f t="shared" si="271"/>
        <v>220.74353075920095</v>
      </c>
      <c r="X219" s="90">
        <f t="shared" si="271"/>
        <v>220.75064075920096</v>
      </c>
      <c r="Y219" s="90">
        <f t="shared" si="271"/>
        <v>220.75775075920097</v>
      </c>
      <c r="Z219" s="90">
        <f t="shared" si="271"/>
        <v>220.76486075920099</v>
      </c>
      <c r="AA219" s="90">
        <f t="shared" si="271"/>
        <v>220.771970759201</v>
      </c>
      <c r="AB219" s="90">
        <f t="shared" si="271"/>
        <v>220.77908075920101</v>
      </c>
    </row>
    <row r="220" spans="1:28" x14ac:dyDescent="0.25">
      <c r="A220" s="87" t="s">
        <v>19</v>
      </c>
      <c r="B220" s="86" t="s">
        <v>23</v>
      </c>
      <c r="C220" s="90">
        <f t="shared" ref="C220:O220" si="272">+C100</f>
        <v>926.66258971003924</v>
      </c>
      <c r="D220" s="90">
        <f t="shared" si="272"/>
        <v>926.66258971003924</v>
      </c>
      <c r="E220" s="90">
        <f t="shared" si="272"/>
        <v>926.66258971003924</v>
      </c>
      <c r="F220" s="90">
        <f t="shared" si="272"/>
        <v>926.66258971003924</v>
      </c>
      <c r="G220" s="90">
        <f t="shared" si="272"/>
        <v>926.66258971003924</v>
      </c>
      <c r="H220" s="90">
        <f t="shared" si="272"/>
        <v>731.16228364149924</v>
      </c>
      <c r="I220" s="90">
        <f t="shared" si="272"/>
        <v>535.66197757295924</v>
      </c>
      <c r="J220" s="90">
        <f t="shared" si="272"/>
        <v>683.43111932868112</v>
      </c>
      <c r="K220" s="90">
        <f t="shared" si="272"/>
        <v>831.20026108440311</v>
      </c>
      <c r="L220" s="90">
        <f t="shared" si="272"/>
        <v>137.14324414177867</v>
      </c>
      <c r="M220" s="90">
        <f t="shared" si="272"/>
        <v>137.14324414177867</v>
      </c>
      <c r="N220" s="90">
        <f t="shared" si="272"/>
        <v>151.99688364758509</v>
      </c>
      <c r="O220" s="90">
        <f t="shared" si="272"/>
        <v>151.99688364758509</v>
      </c>
      <c r="P220" s="90">
        <f t="shared" si="264"/>
        <v>151.99639364758508</v>
      </c>
      <c r="Q220" s="90">
        <f t="shared" si="264"/>
        <v>151.99590364758507</v>
      </c>
      <c r="R220" s="90">
        <f t="shared" si="264"/>
        <v>151.99541364758505</v>
      </c>
      <c r="S220" s="90">
        <f t="shared" ref="S220:AB220" si="273">+R220+(0.711/100)</f>
        <v>152.00252364758506</v>
      </c>
      <c r="T220" s="90">
        <f t="shared" si="273"/>
        <v>152.00963364758508</v>
      </c>
      <c r="U220" s="90">
        <f t="shared" si="273"/>
        <v>152.01674364758509</v>
      </c>
      <c r="V220" s="90">
        <f t="shared" si="273"/>
        <v>152.0238536475851</v>
      </c>
      <c r="W220" s="90">
        <f t="shared" si="273"/>
        <v>152.03096364758511</v>
      </c>
      <c r="X220" s="90">
        <f t="shared" si="273"/>
        <v>152.03807364758512</v>
      </c>
      <c r="Y220" s="90">
        <f t="shared" si="273"/>
        <v>152.04518364758513</v>
      </c>
      <c r="Z220" s="90">
        <f t="shared" si="273"/>
        <v>152.05229364758515</v>
      </c>
      <c r="AA220" s="90">
        <f t="shared" si="273"/>
        <v>152.05940364758516</v>
      </c>
      <c r="AB220" s="90">
        <f t="shared" si="273"/>
        <v>152.06651364758517</v>
      </c>
    </row>
    <row r="221" spans="1:28" x14ac:dyDescent="0.25">
      <c r="A221" s="87" t="s">
        <v>19</v>
      </c>
      <c r="B221" s="86" t="s">
        <v>24</v>
      </c>
      <c r="C221" s="90">
        <f t="shared" ref="C221:O221" si="274">+C101</f>
        <v>6780.8508624532096</v>
      </c>
      <c r="D221" s="90">
        <f t="shared" si="274"/>
        <v>6780.8508624532096</v>
      </c>
      <c r="E221" s="90">
        <f t="shared" si="274"/>
        <v>6780.8508624532096</v>
      </c>
      <c r="F221" s="90">
        <f t="shared" si="274"/>
        <v>6780.8508624532096</v>
      </c>
      <c r="G221" s="90">
        <f t="shared" si="274"/>
        <v>6780.8508624532096</v>
      </c>
      <c r="H221" s="90">
        <f t="shared" si="274"/>
        <v>5350.277929289332</v>
      </c>
      <c r="I221" s="90">
        <f t="shared" si="274"/>
        <v>3919.7049961254538</v>
      </c>
      <c r="J221" s="90">
        <f t="shared" si="274"/>
        <v>5001.0052702972998</v>
      </c>
      <c r="K221" s="90">
        <f t="shared" si="274"/>
        <v>6082.3055444691454</v>
      </c>
      <c r="L221" s="90">
        <f t="shared" si="274"/>
        <v>1003.5452986284897</v>
      </c>
      <c r="M221" s="90">
        <f t="shared" si="274"/>
        <v>1003.5452986284897</v>
      </c>
      <c r="N221" s="90">
        <f t="shared" si="274"/>
        <v>1112.2367634312643</v>
      </c>
      <c r="O221" s="90">
        <f t="shared" si="274"/>
        <v>1112.2367634312643</v>
      </c>
      <c r="P221" s="90">
        <f t="shared" si="264"/>
        <v>1112.2362734312644</v>
      </c>
      <c r="Q221" s="90">
        <f t="shared" si="264"/>
        <v>1112.2357834312645</v>
      </c>
      <c r="R221" s="90">
        <f t="shared" si="264"/>
        <v>1112.2352934312646</v>
      </c>
      <c r="S221" s="90">
        <f t="shared" ref="S221:AB221" si="275">+R221+(0.711/100)</f>
        <v>1112.2424034312646</v>
      </c>
      <c r="T221" s="90">
        <f t="shared" si="275"/>
        <v>1112.2495134312646</v>
      </c>
      <c r="U221" s="90">
        <f t="shared" si="275"/>
        <v>1112.2566234312646</v>
      </c>
      <c r="V221" s="90">
        <f t="shared" si="275"/>
        <v>1112.2637334312647</v>
      </c>
      <c r="W221" s="90">
        <f t="shared" si="275"/>
        <v>1112.2708434312647</v>
      </c>
      <c r="X221" s="90">
        <f t="shared" si="275"/>
        <v>1112.2779534312647</v>
      </c>
      <c r="Y221" s="90">
        <f t="shared" si="275"/>
        <v>1112.2850634312647</v>
      </c>
      <c r="Z221" s="90">
        <f t="shared" si="275"/>
        <v>1112.2921734312647</v>
      </c>
      <c r="AA221" s="90">
        <f t="shared" si="275"/>
        <v>1112.2992834312647</v>
      </c>
      <c r="AB221" s="90">
        <f t="shared" si="275"/>
        <v>1112.3063934312647</v>
      </c>
    </row>
    <row r="222" spans="1:28" x14ac:dyDescent="0.25">
      <c r="A222" s="87" t="s">
        <v>19</v>
      </c>
      <c r="B222" s="86" t="s">
        <v>25</v>
      </c>
      <c r="C222" s="90">
        <f t="shared" ref="C222:O222" si="276">+C102</f>
        <v>751.26524843634377</v>
      </c>
      <c r="D222" s="90">
        <f t="shared" si="276"/>
        <v>751.26524843634377</v>
      </c>
      <c r="E222" s="90">
        <f t="shared" si="276"/>
        <v>751.26524843634377</v>
      </c>
      <c r="F222" s="90">
        <f t="shared" si="276"/>
        <v>751.26524843634377</v>
      </c>
      <c r="G222" s="90">
        <f t="shared" si="276"/>
        <v>751.26524843634377</v>
      </c>
      <c r="H222" s="90">
        <f t="shared" si="276"/>
        <v>592.76895470561192</v>
      </c>
      <c r="I222" s="90">
        <f t="shared" si="276"/>
        <v>434.27266097488018</v>
      </c>
      <c r="J222" s="90">
        <f t="shared" si="276"/>
        <v>554.07227544628665</v>
      </c>
      <c r="K222" s="90">
        <f t="shared" si="276"/>
        <v>673.87188991769301</v>
      </c>
      <c r="L222" s="90">
        <f t="shared" si="276"/>
        <v>111.18497123508436</v>
      </c>
      <c r="M222" s="90">
        <f t="shared" si="276"/>
        <v>111.18497123508436</v>
      </c>
      <c r="N222" s="90">
        <f t="shared" si="276"/>
        <v>123.227135554036</v>
      </c>
      <c r="O222" s="90">
        <f t="shared" si="276"/>
        <v>123.227135554036</v>
      </c>
      <c r="P222" s="90">
        <f t="shared" si="264"/>
        <v>123.226645554036</v>
      </c>
      <c r="Q222" s="90">
        <f t="shared" si="264"/>
        <v>123.226155554036</v>
      </c>
      <c r="R222" s="90">
        <f t="shared" si="264"/>
        <v>123.225665554036</v>
      </c>
      <c r="S222" s="90">
        <f t="shared" ref="S222:AB222" si="277">+R222+(0.711/100)</f>
        <v>123.232775554036</v>
      </c>
      <c r="T222" s="90">
        <f t="shared" si="277"/>
        <v>123.23988555403599</v>
      </c>
      <c r="U222" s="90">
        <f t="shared" si="277"/>
        <v>123.24699555403599</v>
      </c>
      <c r="V222" s="90">
        <f t="shared" si="277"/>
        <v>123.25410555403599</v>
      </c>
      <c r="W222" s="90">
        <f t="shared" si="277"/>
        <v>123.26121555403599</v>
      </c>
      <c r="X222" s="90">
        <f t="shared" si="277"/>
        <v>123.26832555403598</v>
      </c>
      <c r="Y222" s="90">
        <f t="shared" si="277"/>
        <v>123.27543555403598</v>
      </c>
      <c r="Z222" s="90">
        <f t="shared" si="277"/>
        <v>123.28254555403598</v>
      </c>
      <c r="AA222" s="90">
        <f t="shared" si="277"/>
        <v>123.28965555403597</v>
      </c>
      <c r="AB222" s="90">
        <f t="shared" si="277"/>
        <v>123.29676555403597</v>
      </c>
    </row>
    <row r="223" spans="1:28" x14ac:dyDescent="0.25">
      <c r="A223" s="87" t="s">
        <v>19</v>
      </c>
      <c r="B223" s="86" t="s">
        <v>26</v>
      </c>
      <c r="C223" s="90">
        <f t="shared" ref="C223:O223" si="278">+C103</f>
        <v>186.57832370711517</v>
      </c>
      <c r="D223" s="90">
        <f t="shared" si="278"/>
        <v>186.57832370711517</v>
      </c>
      <c r="E223" s="90">
        <f t="shared" si="278"/>
        <v>186.57832370711517</v>
      </c>
      <c r="F223" s="90">
        <f t="shared" si="278"/>
        <v>186.57832370711517</v>
      </c>
      <c r="G223" s="90">
        <f t="shared" si="278"/>
        <v>186.57832370711517</v>
      </c>
      <c r="H223" s="90">
        <f t="shared" si="278"/>
        <v>147.21543175966983</v>
      </c>
      <c r="I223" s="90">
        <f t="shared" si="278"/>
        <v>107.85253981222448</v>
      </c>
      <c r="J223" s="90">
        <f t="shared" si="278"/>
        <v>137.60502908995471</v>
      </c>
      <c r="K223" s="90">
        <f t="shared" si="278"/>
        <v>167.35751836768497</v>
      </c>
      <c r="L223" s="90">
        <f t="shared" si="278"/>
        <v>27.613024291544345</v>
      </c>
      <c r="M223" s="90">
        <f t="shared" si="278"/>
        <v>27.613024291544345</v>
      </c>
      <c r="N223" s="90">
        <f t="shared" si="278"/>
        <v>30.603721434946163</v>
      </c>
      <c r="O223" s="90">
        <f t="shared" si="278"/>
        <v>30.603721434946163</v>
      </c>
      <c r="P223" s="90">
        <f t="shared" si="264"/>
        <v>30.603231434946164</v>
      </c>
      <c r="Q223" s="90">
        <f t="shared" si="264"/>
        <v>30.602741434946164</v>
      </c>
      <c r="R223" s="90">
        <f t="shared" si="264"/>
        <v>30.602251434946165</v>
      </c>
      <c r="S223" s="90">
        <f t="shared" ref="S223:AB223" si="279">+R223+(0.711/100)</f>
        <v>30.609361434946166</v>
      </c>
      <c r="T223" s="90">
        <f t="shared" si="279"/>
        <v>30.616471434946167</v>
      </c>
      <c r="U223" s="90">
        <f t="shared" si="279"/>
        <v>30.623581434946168</v>
      </c>
      <c r="V223" s="90">
        <f t="shared" si="279"/>
        <v>30.630691434946169</v>
      </c>
      <c r="W223" s="90">
        <f t="shared" si="279"/>
        <v>30.637801434946169</v>
      </c>
      <c r="X223" s="90">
        <f t="shared" si="279"/>
        <v>30.64491143494617</v>
      </c>
      <c r="Y223" s="90">
        <f t="shared" si="279"/>
        <v>30.652021434946171</v>
      </c>
      <c r="Z223" s="90">
        <f t="shared" si="279"/>
        <v>30.659131434946172</v>
      </c>
      <c r="AA223" s="90">
        <f t="shared" si="279"/>
        <v>30.666241434946173</v>
      </c>
      <c r="AB223" s="90">
        <f t="shared" si="279"/>
        <v>30.673351434946174</v>
      </c>
    </row>
    <row r="224" spans="1:28" x14ac:dyDescent="0.25">
      <c r="A224" s="87" t="s">
        <v>19</v>
      </c>
      <c r="B224" s="86" t="s">
        <v>27</v>
      </c>
      <c r="C224" s="90">
        <f t="shared" ref="C224:O224" si="280">+C104</f>
        <v>780.23861252760332</v>
      </c>
      <c r="D224" s="90">
        <f t="shared" si="280"/>
        <v>780.23861252760332</v>
      </c>
      <c r="E224" s="90">
        <f t="shared" si="280"/>
        <v>780.23861252760332</v>
      </c>
      <c r="F224" s="90">
        <f t="shared" si="280"/>
        <v>780.23861252760332</v>
      </c>
      <c r="G224" s="90">
        <f t="shared" si="280"/>
        <v>780.23861252760332</v>
      </c>
      <c r="H224" s="90">
        <f t="shared" si="280"/>
        <v>615.62973627700433</v>
      </c>
      <c r="I224" s="90">
        <f t="shared" si="280"/>
        <v>451.02086002640527</v>
      </c>
      <c r="J224" s="90">
        <f t="shared" si="280"/>
        <v>575.44067735598594</v>
      </c>
      <c r="K224" s="90">
        <f t="shared" si="280"/>
        <v>699.86049468556666</v>
      </c>
      <c r="L224" s="90">
        <f t="shared" si="280"/>
        <v>115.47294097649757</v>
      </c>
      <c r="M224" s="90">
        <f t="shared" si="280"/>
        <v>115.47294097649757</v>
      </c>
      <c r="N224" s="90">
        <f t="shared" si="280"/>
        <v>127.97952450289418</v>
      </c>
      <c r="O224" s="90">
        <f t="shared" si="280"/>
        <v>127.97952450289418</v>
      </c>
      <c r="P224" s="90">
        <f t="shared" si="264"/>
        <v>127.97903450289418</v>
      </c>
      <c r="Q224" s="90">
        <f t="shared" si="264"/>
        <v>127.97854450289418</v>
      </c>
      <c r="R224" s="90">
        <f t="shared" si="264"/>
        <v>127.97805450289418</v>
      </c>
      <c r="S224" s="90">
        <f t="shared" ref="S224:AB224" si="281">+R224+(0.711/100)</f>
        <v>127.98516450289418</v>
      </c>
      <c r="T224" s="90">
        <f t="shared" si="281"/>
        <v>127.99227450289418</v>
      </c>
      <c r="U224" s="90">
        <f t="shared" si="281"/>
        <v>127.99938450289417</v>
      </c>
      <c r="V224" s="90">
        <f t="shared" si="281"/>
        <v>128.00649450289418</v>
      </c>
      <c r="W224" s="90">
        <f t="shared" si="281"/>
        <v>128.0136045028942</v>
      </c>
      <c r="X224" s="90">
        <f t="shared" si="281"/>
        <v>128.02071450289421</v>
      </c>
      <c r="Y224" s="90">
        <f t="shared" si="281"/>
        <v>128.02782450289422</v>
      </c>
      <c r="Z224" s="90">
        <f t="shared" si="281"/>
        <v>128.03493450289423</v>
      </c>
      <c r="AA224" s="90">
        <f t="shared" si="281"/>
        <v>128.04204450289424</v>
      </c>
      <c r="AB224" s="90">
        <f t="shared" si="281"/>
        <v>128.04915450289425</v>
      </c>
    </row>
    <row r="226" spans="1:28" x14ac:dyDescent="0.25">
      <c r="A226" s="1" t="s">
        <v>105</v>
      </c>
      <c r="B226" s="65" t="s">
        <v>106</v>
      </c>
      <c r="C226" s="1">
        <v>2010</v>
      </c>
      <c r="D226" s="1">
        <v>2011</v>
      </c>
      <c r="E226" s="1">
        <v>2012</v>
      </c>
      <c r="F226" s="1">
        <v>2013</v>
      </c>
      <c r="G226" s="1">
        <v>2014</v>
      </c>
      <c r="H226" s="1">
        <v>2015</v>
      </c>
      <c r="I226" s="1">
        <v>2016</v>
      </c>
      <c r="J226" s="1">
        <v>2017</v>
      </c>
      <c r="K226" s="1">
        <v>2018</v>
      </c>
      <c r="L226" s="1">
        <v>2019</v>
      </c>
      <c r="M226" s="1">
        <v>2020</v>
      </c>
      <c r="N226" s="1">
        <v>2021</v>
      </c>
      <c r="O226" s="1">
        <v>2022</v>
      </c>
      <c r="P226" s="1">
        <v>2023</v>
      </c>
      <c r="Q226" s="1">
        <v>2024</v>
      </c>
      <c r="R226" s="1">
        <v>2025</v>
      </c>
      <c r="S226" s="1">
        <v>2026</v>
      </c>
      <c r="T226" s="1">
        <v>2027</v>
      </c>
      <c r="U226" s="1">
        <v>2028</v>
      </c>
      <c r="V226" s="1">
        <v>2029</v>
      </c>
      <c r="W226" s="1">
        <v>2030</v>
      </c>
      <c r="X226" s="1">
        <v>2031</v>
      </c>
      <c r="Y226" s="1">
        <v>2032</v>
      </c>
      <c r="Z226" s="1">
        <v>2033</v>
      </c>
      <c r="AA226" s="1">
        <v>2034</v>
      </c>
      <c r="AB226" s="1">
        <v>2035</v>
      </c>
    </row>
    <row r="227" spans="1:28" x14ac:dyDescent="0.25">
      <c r="A227" s="87" t="s">
        <v>5</v>
      </c>
      <c r="B227" s="86" t="s">
        <v>18</v>
      </c>
      <c r="C227" s="90">
        <f t="shared" ref="C227:O227" si="282">+C107</f>
        <v>9.069093063975886E-2</v>
      </c>
      <c r="D227" s="90">
        <f t="shared" si="282"/>
        <v>9.069093063975886E-2</v>
      </c>
      <c r="E227" s="90">
        <f t="shared" si="282"/>
        <v>9.069093063975886E-2</v>
      </c>
      <c r="F227" s="90">
        <f t="shared" si="282"/>
        <v>9.069093063975886E-2</v>
      </c>
      <c r="G227" s="90">
        <f t="shared" si="282"/>
        <v>9.069093063975886E-2</v>
      </c>
      <c r="H227" s="90">
        <f t="shared" si="282"/>
        <v>9.5911786917128747E-2</v>
      </c>
      <c r="I227" s="90">
        <f t="shared" si="282"/>
        <v>0.10113264319449865</v>
      </c>
      <c r="J227" s="90">
        <f t="shared" si="282"/>
        <v>7.2515977918304483E-2</v>
      </c>
      <c r="K227" s="90">
        <f t="shared" si="282"/>
        <v>4.3899312642110298E-2</v>
      </c>
      <c r="L227" s="90">
        <f t="shared" si="282"/>
        <v>4.899761360780485E-2</v>
      </c>
      <c r="M227" s="90">
        <f t="shared" si="282"/>
        <v>4.899761360780485E-2</v>
      </c>
      <c r="N227" s="90">
        <f t="shared" si="282"/>
        <v>2.9780940737110004E-2</v>
      </c>
      <c r="O227" s="90">
        <f t="shared" si="282"/>
        <v>2.9780940737110004E-2</v>
      </c>
      <c r="P227" s="90">
        <f t="shared" ref="P227:R235" si="283">+O227-(0.049/100)</f>
        <v>2.9290940737110003E-2</v>
      </c>
      <c r="Q227" s="90">
        <f t="shared" si="283"/>
        <v>2.8800940737110002E-2</v>
      </c>
      <c r="R227" s="90">
        <f t="shared" si="283"/>
        <v>2.8310940737110001E-2</v>
      </c>
      <c r="S227" s="90">
        <f t="shared" ref="S227:AB227" si="284">+R227+(0.711/100)</f>
        <v>3.5420940737110003E-2</v>
      </c>
      <c r="T227" s="90">
        <f t="shared" si="284"/>
        <v>4.2530940737110001E-2</v>
      </c>
      <c r="U227" s="90">
        <f t="shared" si="284"/>
        <v>4.9640940737109999E-2</v>
      </c>
      <c r="V227" s="90">
        <f t="shared" si="284"/>
        <v>5.6750940737109998E-2</v>
      </c>
      <c r="W227" s="90">
        <f t="shared" si="284"/>
        <v>6.3860940737110003E-2</v>
      </c>
      <c r="X227" s="90">
        <f t="shared" si="284"/>
        <v>7.0970940737110008E-2</v>
      </c>
      <c r="Y227" s="90">
        <f t="shared" si="284"/>
        <v>7.8080940737110013E-2</v>
      </c>
      <c r="Z227" s="90">
        <f t="shared" si="284"/>
        <v>8.5190940737110019E-2</v>
      </c>
      <c r="AA227" s="90">
        <f t="shared" si="284"/>
        <v>9.2300940737110024E-2</v>
      </c>
      <c r="AB227" s="90">
        <f t="shared" si="284"/>
        <v>9.9410940737110029E-2</v>
      </c>
    </row>
    <row r="228" spans="1:28" x14ac:dyDescent="0.25">
      <c r="A228" s="87" t="s">
        <v>5</v>
      </c>
      <c r="B228" s="86" t="s">
        <v>20</v>
      </c>
      <c r="C228" s="90">
        <f t="shared" ref="C228:O228" si="285">+C108</f>
        <v>0.88561379455097156</v>
      </c>
      <c r="D228" s="90">
        <f t="shared" si="285"/>
        <v>0.88561379455097156</v>
      </c>
      <c r="E228" s="90">
        <f t="shared" si="285"/>
        <v>0.88561379455097156</v>
      </c>
      <c r="F228" s="90">
        <f t="shared" si="285"/>
        <v>0.88561379455097156</v>
      </c>
      <c r="G228" s="90">
        <f t="shared" si="285"/>
        <v>0.88561379455097156</v>
      </c>
      <c r="H228" s="90">
        <f t="shared" si="285"/>
        <v>0.93659642650755437</v>
      </c>
      <c r="I228" s="90">
        <f t="shared" si="285"/>
        <v>0.9875790584641374</v>
      </c>
      <c r="J228" s="90">
        <f t="shared" si="285"/>
        <v>0.7081320030213647</v>
      </c>
      <c r="K228" s="90">
        <f t="shared" si="285"/>
        <v>0.42868494757859188</v>
      </c>
      <c r="L228" s="90">
        <f t="shared" si="285"/>
        <v>0.47847080413713294</v>
      </c>
      <c r="M228" s="90">
        <f t="shared" si="285"/>
        <v>0.47847080413713294</v>
      </c>
      <c r="N228" s="90">
        <f t="shared" si="285"/>
        <v>0.29081642172417038</v>
      </c>
      <c r="O228" s="90">
        <f t="shared" si="285"/>
        <v>0.29081642172417038</v>
      </c>
      <c r="P228" s="90">
        <f t="shared" si="283"/>
        <v>0.29032642172417039</v>
      </c>
      <c r="Q228" s="90">
        <f t="shared" si="283"/>
        <v>0.2898364217241704</v>
      </c>
      <c r="R228" s="90">
        <f t="shared" si="283"/>
        <v>0.28934642172417041</v>
      </c>
      <c r="S228" s="90">
        <f t="shared" ref="S228:AB228" si="286">+R228+(0.711/100)</f>
        <v>0.29645642172417042</v>
      </c>
      <c r="T228" s="90">
        <f t="shared" si="286"/>
        <v>0.30356642172417042</v>
      </c>
      <c r="U228" s="90">
        <f t="shared" si="286"/>
        <v>0.31067642172417043</v>
      </c>
      <c r="V228" s="90">
        <f t="shared" si="286"/>
        <v>0.31778642172417043</v>
      </c>
      <c r="W228" s="90">
        <f t="shared" si="286"/>
        <v>0.32489642172417044</v>
      </c>
      <c r="X228" s="90">
        <f t="shared" si="286"/>
        <v>0.33200642172417044</v>
      </c>
      <c r="Y228" s="90">
        <f t="shared" si="286"/>
        <v>0.33911642172417045</v>
      </c>
      <c r="Z228" s="90">
        <f t="shared" si="286"/>
        <v>0.34622642172417045</v>
      </c>
      <c r="AA228" s="90">
        <f t="shared" si="286"/>
        <v>0.35333642172417046</v>
      </c>
      <c r="AB228" s="90">
        <f t="shared" si="286"/>
        <v>0.36044642172417046</v>
      </c>
    </row>
    <row r="229" spans="1:28" x14ac:dyDescent="0.25">
      <c r="A229" s="87" t="s">
        <v>5</v>
      </c>
      <c r="B229" s="86" t="s">
        <v>21</v>
      </c>
      <c r="C229" s="90">
        <f t="shared" ref="C229:O229" si="287">+C109</f>
        <v>8.4683257256326048</v>
      </c>
      <c r="D229" s="90">
        <f t="shared" si="287"/>
        <v>8.4683257256326048</v>
      </c>
      <c r="E229" s="90">
        <f t="shared" si="287"/>
        <v>8.4683257256326048</v>
      </c>
      <c r="F229" s="90">
        <f t="shared" si="287"/>
        <v>8.4683257256326048</v>
      </c>
      <c r="G229" s="90">
        <f t="shared" si="287"/>
        <v>8.4683257256326048</v>
      </c>
      <c r="H229" s="90">
        <f t="shared" si="287"/>
        <v>8.9558266390271299</v>
      </c>
      <c r="I229" s="90">
        <f t="shared" si="287"/>
        <v>9.4433275524216551</v>
      </c>
      <c r="J229" s="90">
        <f t="shared" si="287"/>
        <v>6.7712274754821786</v>
      </c>
      <c r="K229" s="90">
        <f t="shared" si="287"/>
        <v>4.0991273985427013</v>
      </c>
      <c r="L229" s="90">
        <f t="shared" si="287"/>
        <v>4.5751846285242097</v>
      </c>
      <c r="M229" s="90">
        <f t="shared" si="287"/>
        <v>4.5751846285242097</v>
      </c>
      <c r="N229" s="90">
        <f t="shared" si="287"/>
        <v>2.7808150693631393</v>
      </c>
      <c r="O229" s="90">
        <f t="shared" si="287"/>
        <v>2.7808150693631393</v>
      </c>
      <c r="P229" s="90">
        <f t="shared" si="283"/>
        <v>2.7803250693631392</v>
      </c>
      <c r="Q229" s="90">
        <f t="shared" si="283"/>
        <v>2.7798350693631391</v>
      </c>
      <c r="R229" s="90">
        <f t="shared" si="283"/>
        <v>2.779345069363139</v>
      </c>
      <c r="S229" s="90">
        <f t="shared" ref="S229:AB229" si="288">+R229+(0.711/100)</f>
        <v>2.7864550693631389</v>
      </c>
      <c r="T229" s="90">
        <f t="shared" si="288"/>
        <v>2.7935650693631389</v>
      </c>
      <c r="U229" s="90">
        <f t="shared" si="288"/>
        <v>2.8006750693631388</v>
      </c>
      <c r="V229" s="90">
        <f t="shared" si="288"/>
        <v>2.8077850693631388</v>
      </c>
      <c r="W229" s="90">
        <f t="shared" si="288"/>
        <v>2.8148950693631387</v>
      </c>
      <c r="X229" s="90">
        <f t="shared" si="288"/>
        <v>2.8220050693631387</v>
      </c>
      <c r="Y229" s="90">
        <f t="shared" si="288"/>
        <v>2.8291150693631386</v>
      </c>
      <c r="Z229" s="90">
        <f t="shared" si="288"/>
        <v>2.8362250693631386</v>
      </c>
      <c r="AA229" s="90">
        <f t="shared" si="288"/>
        <v>2.8433350693631385</v>
      </c>
      <c r="AB229" s="90">
        <f t="shared" si="288"/>
        <v>2.8504450693631385</v>
      </c>
    </row>
    <row r="230" spans="1:28" x14ac:dyDescent="0.25">
      <c r="A230" s="87" t="s">
        <v>5</v>
      </c>
      <c r="B230" s="86" t="s">
        <v>22</v>
      </c>
      <c r="C230" s="90">
        <f t="shared" ref="C230:O230" si="289">+C110</f>
        <v>3.4423197971978516</v>
      </c>
      <c r="D230" s="90">
        <f t="shared" si="289"/>
        <v>3.4423197971978516</v>
      </c>
      <c r="E230" s="90">
        <f t="shared" si="289"/>
        <v>3.4423197971978516</v>
      </c>
      <c r="F230" s="90">
        <f t="shared" si="289"/>
        <v>3.4423197971978516</v>
      </c>
      <c r="G230" s="90">
        <f t="shared" si="289"/>
        <v>3.4423197971978516</v>
      </c>
      <c r="H230" s="90">
        <f t="shared" si="289"/>
        <v>3.6404857747122139</v>
      </c>
      <c r="I230" s="90">
        <f t="shared" si="289"/>
        <v>3.8386517522265771</v>
      </c>
      <c r="J230" s="90">
        <f t="shared" si="289"/>
        <v>2.7524603027053631</v>
      </c>
      <c r="K230" s="90">
        <f t="shared" si="289"/>
        <v>1.6662688531841492</v>
      </c>
      <c r="L230" s="90">
        <f t="shared" si="289"/>
        <v>1.8597830471887851</v>
      </c>
      <c r="M230" s="90">
        <f t="shared" si="289"/>
        <v>1.8597830471887851</v>
      </c>
      <c r="N230" s="90">
        <f t="shared" si="289"/>
        <v>1.1303833928636189</v>
      </c>
      <c r="O230" s="90">
        <f t="shared" si="289"/>
        <v>1.1303833928636189</v>
      </c>
      <c r="P230" s="90">
        <f t="shared" si="283"/>
        <v>1.1298933928636188</v>
      </c>
      <c r="Q230" s="90">
        <f t="shared" si="283"/>
        <v>1.1294033928636187</v>
      </c>
      <c r="R230" s="90">
        <f t="shared" si="283"/>
        <v>1.1289133928636186</v>
      </c>
      <c r="S230" s="90">
        <f t="shared" ref="S230:AB230" si="290">+R230+(0.711/100)</f>
        <v>1.1360233928636185</v>
      </c>
      <c r="T230" s="90">
        <f t="shared" si="290"/>
        <v>1.1431333928636185</v>
      </c>
      <c r="U230" s="90">
        <f t="shared" si="290"/>
        <v>1.1502433928636184</v>
      </c>
      <c r="V230" s="90">
        <f t="shared" si="290"/>
        <v>1.1573533928636184</v>
      </c>
      <c r="W230" s="90">
        <f t="shared" si="290"/>
        <v>1.1644633928636183</v>
      </c>
      <c r="X230" s="90">
        <f t="shared" si="290"/>
        <v>1.1715733928636183</v>
      </c>
      <c r="Y230" s="90">
        <f t="shared" si="290"/>
        <v>1.1786833928636182</v>
      </c>
      <c r="Z230" s="90">
        <f t="shared" si="290"/>
        <v>1.1857933928636182</v>
      </c>
      <c r="AA230" s="90">
        <f t="shared" si="290"/>
        <v>1.1929033928636181</v>
      </c>
      <c r="AB230" s="90">
        <f t="shared" si="290"/>
        <v>1.2000133928636181</v>
      </c>
    </row>
    <row r="231" spans="1:28" x14ac:dyDescent="0.25">
      <c r="A231" s="87" t="s">
        <v>5</v>
      </c>
      <c r="B231" s="86" t="s">
        <v>23</v>
      </c>
      <c r="C231" s="90">
        <f t="shared" ref="C231:O231" si="291">+C111</f>
        <v>2.3706365082812315</v>
      </c>
      <c r="D231" s="90">
        <f t="shared" si="291"/>
        <v>2.3706365082812315</v>
      </c>
      <c r="E231" s="90">
        <f t="shared" si="291"/>
        <v>2.3706365082812315</v>
      </c>
      <c r="F231" s="90">
        <f t="shared" si="291"/>
        <v>2.3706365082812315</v>
      </c>
      <c r="G231" s="90">
        <f t="shared" si="291"/>
        <v>2.3706365082812315</v>
      </c>
      <c r="H231" s="90">
        <f t="shared" si="291"/>
        <v>2.5071082856498532</v>
      </c>
      <c r="I231" s="90">
        <f t="shared" si="291"/>
        <v>2.6435800630184758</v>
      </c>
      <c r="J231" s="90">
        <f t="shared" si="291"/>
        <v>1.8955481377702765</v>
      </c>
      <c r="K231" s="90">
        <f t="shared" si="291"/>
        <v>1.1475162125220773</v>
      </c>
      <c r="L231" s="90">
        <f t="shared" si="291"/>
        <v>1.2807844270416706</v>
      </c>
      <c r="M231" s="90">
        <f t="shared" si="291"/>
        <v>1.2807844270416706</v>
      </c>
      <c r="N231" s="90">
        <f t="shared" si="291"/>
        <v>0.77846577231397196</v>
      </c>
      <c r="O231" s="90">
        <f t="shared" si="291"/>
        <v>0.77846577231397196</v>
      </c>
      <c r="P231" s="90">
        <f t="shared" si="283"/>
        <v>0.77797577231397197</v>
      </c>
      <c r="Q231" s="90">
        <f t="shared" si="283"/>
        <v>0.77748577231397198</v>
      </c>
      <c r="R231" s="90">
        <f t="shared" si="283"/>
        <v>0.77699577231397199</v>
      </c>
      <c r="S231" s="90">
        <f t="shared" ref="S231:AB231" si="292">+R231+(0.711/100)</f>
        <v>0.78410577231397194</v>
      </c>
      <c r="T231" s="90">
        <f t="shared" si="292"/>
        <v>0.79121577231397189</v>
      </c>
      <c r="U231" s="90">
        <f t="shared" si="292"/>
        <v>0.79832577231397184</v>
      </c>
      <c r="V231" s="90">
        <f t="shared" si="292"/>
        <v>0.80543577231397179</v>
      </c>
      <c r="W231" s="90">
        <f t="shared" si="292"/>
        <v>0.81254577231397174</v>
      </c>
      <c r="X231" s="90">
        <f t="shared" si="292"/>
        <v>0.81965577231397169</v>
      </c>
      <c r="Y231" s="90">
        <f t="shared" si="292"/>
        <v>0.82676577231397164</v>
      </c>
      <c r="Z231" s="90">
        <f t="shared" si="292"/>
        <v>0.83387577231397159</v>
      </c>
      <c r="AA231" s="90">
        <f t="shared" si="292"/>
        <v>0.84098577231397154</v>
      </c>
      <c r="AB231" s="90">
        <f t="shared" si="292"/>
        <v>0.84809577231397149</v>
      </c>
    </row>
    <row r="232" spans="1:28" x14ac:dyDescent="0.25">
      <c r="A232" s="87" t="s">
        <v>5</v>
      </c>
      <c r="B232" s="86" t="s">
        <v>24</v>
      </c>
      <c r="C232" s="90">
        <f t="shared" ref="C232:O232" si="293">+C112</f>
        <v>17.347125901318453</v>
      </c>
      <c r="D232" s="90">
        <f t="shared" si="293"/>
        <v>17.347125901318453</v>
      </c>
      <c r="E232" s="90">
        <f t="shared" si="293"/>
        <v>17.347125901318453</v>
      </c>
      <c r="F232" s="90">
        <f t="shared" si="293"/>
        <v>17.347125901318453</v>
      </c>
      <c r="G232" s="90">
        <f t="shared" si="293"/>
        <v>17.347125901318453</v>
      </c>
      <c r="H232" s="90">
        <f t="shared" si="293"/>
        <v>18.3457577437457</v>
      </c>
      <c r="I232" s="90">
        <f t="shared" si="293"/>
        <v>19.344389586172955</v>
      </c>
      <c r="J232" s="90">
        <f t="shared" si="293"/>
        <v>13.870668102446119</v>
      </c>
      <c r="K232" s="90">
        <f t="shared" si="293"/>
        <v>8.3969466187192836</v>
      </c>
      <c r="L232" s="90">
        <f t="shared" si="293"/>
        <v>9.3721363991177249</v>
      </c>
      <c r="M232" s="90">
        <f t="shared" si="293"/>
        <v>9.3721363991177249</v>
      </c>
      <c r="N232" s="90">
        <f t="shared" si="293"/>
        <v>5.6964210730005185</v>
      </c>
      <c r="O232" s="90">
        <f t="shared" si="293"/>
        <v>5.6964210730005185</v>
      </c>
      <c r="P232" s="90">
        <f t="shared" si="283"/>
        <v>5.6959310730005184</v>
      </c>
      <c r="Q232" s="90">
        <f t="shared" si="283"/>
        <v>5.6954410730005183</v>
      </c>
      <c r="R232" s="90">
        <f t="shared" si="283"/>
        <v>5.6949510730005182</v>
      </c>
      <c r="S232" s="90">
        <f t="shared" ref="S232:AB232" si="294">+R232+(0.711/100)</f>
        <v>5.7020610730005181</v>
      </c>
      <c r="T232" s="90">
        <f t="shared" si="294"/>
        <v>5.7091710730005181</v>
      </c>
      <c r="U232" s="90">
        <f t="shared" si="294"/>
        <v>5.716281073000518</v>
      </c>
      <c r="V232" s="90">
        <f t="shared" si="294"/>
        <v>5.723391073000518</v>
      </c>
      <c r="W232" s="90">
        <f t="shared" si="294"/>
        <v>5.7305010730005179</v>
      </c>
      <c r="X232" s="90">
        <f t="shared" si="294"/>
        <v>5.7376110730005179</v>
      </c>
      <c r="Y232" s="90">
        <f t="shared" si="294"/>
        <v>5.7447210730005178</v>
      </c>
      <c r="Z232" s="90">
        <f t="shared" si="294"/>
        <v>5.7518310730005178</v>
      </c>
      <c r="AA232" s="90">
        <f t="shared" si="294"/>
        <v>5.7589410730005177</v>
      </c>
      <c r="AB232" s="90">
        <f t="shared" si="294"/>
        <v>5.7660510730005177</v>
      </c>
    </row>
    <row r="233" spans="1:28" x14ac:dyDescent="0.25">
      <c r="A233" s="87" t="s">
        <v>5</v>
      </c>
      <c r="B233" s="86" t="s">
        <v>25</v>
      </c>
      <c r="C233" s="90">
        <f t="shared" ref="C233:O233" si="295">+C113</f>
        <v>1.9219258931165539</v>
      </c>
      <c r="D233" s="90">
        <f t="shared" si="295"/>
        <v>1.9219258931165539</v>
      </c>
      <c r="E233" s="90">
        <f t="shared" si="295"/>
        <v>1.9219258931165539</v>
      </c>
      <c r="F233" s="90">
        <f t="shared" si="295"/>
        <v>1.9219258931165539</v>
      </c>
      <c r="G233" s="90">
        <f t="shared" si="295"/>
        <v>1.9219258931165539</v>
      </c>
      <c r="H233" s="90">
        <f t="shared" si="295"/>
        <v>2.0325664918283985</v>
      </c>
      <c r="I233" s="90">
        <f t="shared" si="295"/>
        <v>2.1432070905402436</v>
      </c>
      <c r="J233" s="90">
        <f t="shared" si="295"/>
        <v>1.536761555347385</v>
      </c>
      <c r="K233" s="90">
        <f t="shared" si="295"/>
        <v>0.93031602015452641</v>
      </c>
      <c r="L233" s="90">
        <f t="shared" si="295"/>
        <v>1.038359421713511</v>
      </c>
      <c r="M233" s="90">
        <f t="shared" si="295"/>
        <v>1.038359421713511</v>
      </c>
      <c r="N233" s="90">
        <f t="shared" si="295"/>
        <v>0.63111890814503058</v>
      </c>
      <c r="O233" s="90">
        <f t="shared" si="295"/>
        <v>0.63111890814503058</v>
      </c>
      <c r="P233" s="90">
        <f t="shared" si="283"/>
        <v>0.63062890814503059</v>
      </c>
      <c r="Q233" s="90">
        <f t="shared" si="283"/>
        <v>0.6301389081450306</v>
      </c>
      <c r="R233" s="90">
        <f t="shared" si="283"/>
        <v>0.62964890814503061</v>
      </c>
      <c r="S233" s="90">
        <f t="shared" ref="S233:AB233" si="296">+R233+(0.711/100)</f>
        <v>0.63675890814503056</v>
      </c>
      <c r="T233" s="90">
        <f t="shared" si="296"/>
        <v>0.64386890814503051</v>
      </c>
      <c r="U233" s="90">
        <f t="shared" si="296"/>
        <v>0.65097890814503045</v>
      </c>
      <c r="V233" s="90">
        <f t="shared" si="296"/>
        <v>0.6580889081450304</v>
      </c>
      <c r="W233" s="90">
        <f t="shared" si="296"/>
        <v>0.66519890814503035</v>
      </c>
      <c r="X233" s="90">
        <f t="shared" si="296"/>
        <v>0.6723089081450303</v>
      </c>
      <c r="Y233" s="90">
        <f t="shared" si="296"/>
        <v>0.67941890814503025</v>
      </c>
      <c r="Z233" s="90">
        <f t="shared" si="296"/>
        <v>0.6865289081450302</v>
      </c>
      <c r="AA233" s="90">
        <f t="shared" si="296"/>
        <v>0.69363890814503015</v>
      </c>
      <c r="AB233" s="90">
        <f t="shared" si="296"/>
        <v>0.7007489081450301</v>
      </c>
    </row>
    <row r="234" spans="1:28" x14ac:dyDescent="0.25">
      <c r="A234" s="87" t="s">
        <v>5</v>
      </c>
      <c r="B234" s="86" t="s">
        <v>26</v>
      </c>
      <c r="C234" s="90">
        <f t="shared" ref="C234:O234" si="297">+C114</f>
        <v>0.4773143868604896</v>
      </c>
      <c r="D234" s="90">
        <f t="shared" si="297"/>
        <v>0.4773143868604896</v>
      </c>
      <c r="E234" s="90">
        <f t="shared" si="297"/>
        <v>0.4773143868604896</v>
      </c>
      <c r="F234" s="90">
        <f t="shared" si="297"/>
        <v>0.4773143868604896</v>
      </c>
      <c r="G234" s="90">
        <f t="shared" si="297"/>
        <v>0.4773143868604896</v>
      </c>
      <c r="H234" s="90">
        <f t="shared" si="297"/>
        <v>0.50479221507705285</v>
      </c>
      <c r="I234" s="90">
        <f t="shared" si="297"/>
        <v>0.53227004329361616</v>
      </c>
      <c r="J234" s="90">
        <f t="shared" si="297"/>
        <v>0.38165800365588065</v>
      </c>
      <c r="K234" s="90">
        <f t="shared" si="297"/>
        <v>0.23104596401814509</v>
      </c>
      <c r="L234" s="90">
        <f t="shared" si="297"/>
        <v>0.25787877279300503</v>
      </c>
      <c r="M234" s="90">
        <f t="shared" si="297"/>
        <v>0.25787877279300503</v>
      </c>
      <c r="N234" s="90">
        <f t="shared" si="297"/>
        <v>0.15673972433391753</v>
      </c>
      <c r="O234" s="90">
        <f t="shared" si="297"/>
        <v>0.15673972433391753</v>
      </c>
      <c r="P234" s="90">
        <f t="shared" si="283"/>
        <v>0.15624972433391754</v>
      </c>
      <c r="Q234" s="90">
        <f t="shared" si="283"/>
        <v>0.15575972433391755</v>
      </c>
      <c r="R234" s="90">
        <f t="shared" si="283"/>
        <v>0.15526972433391756</v>
      </c>
      <c r="S234" s="90">
        <f t="shared" ref="S234:AB234" si="298">+R234+(0.711/100)</f>
        <v>0.16237972433391756</v>
      </c>
      <c r="T234" s="90">
        <f t="shared" si="298"/>
        <v>0.16948972433391757</v>
      </c>
      <c r="U234" s="90">
        <f t="shared" si="298"/>
        <v>0.17659972433391757</v>
      </c>
      <c r="V234" s="90">
        <f t="shared" si="298"/>
        <v>0.18370972433391758</v>
      </c>
      <c r="W234" s="90">
        <f t="shared" si="298"/>
        <v>0.19081972433391758</v>
      </c>
      <c r="X234" s="90">
        <f t="shared" si="298"/>
        <v>0.19792972433391759</v>
      </c>
      <c r="Y234" s="90">
        <f t="shared" si="298"/>
        <v>0.20503972433391759</v>
      </c>
      <c r="Z234" s="90">
        <f t="shared" si="298"/>
        <v>0.2121497243339176</v>
      </c>
      <c r="AA234" s="90">
        <f t="shared" si="298"/>
        <v>0.2192597243339176</v>
      </c>
      <c r="AB234" s="90">
        <f t="shared" si="298"/>
        <v>0.22636972433391761</v>
      </c>
    </row>
    <row r="235" spans="1:28" x14ac:dyDescent="0.25">
      <c r="A235" s="87" t="s">
        <v>5</v>
      </c>
      <c r="B235" s="86" t="s">
        <v>27</v>
      </c>
      <c r="C235" s="90">
        <f t="shared" ref="C235:O235" si="299">+C115</f>
        <v>1.9960470624020827</v>
      </c>
      <c r="D235" s="90">
        <f t="shared" si="299"/>
        <v>1.9960470624020827</v>
      </c>
      <c r="E235" s="90">
        <f t="shared" si="299"/>
        <v>1.9960470624020827</v>
      </c>
      <c r="F235" s="90">
        <f t="shared" si="299"/>
        <v>1.9960470624020827</v>
      </c>
      <c r="G235" s="90">
        <f t="shared" si="299"/>
        <v>1.9960470624020827</v>
      </c>
      <c r="H235" s="90">
        <f t="shared" si="299"/>
        <v>2.110954636534959</v>
      </c>
      <c r="I235" s="90">
        <f t="shared" si="299"/>
        <v>2.2258622106678358</v>
      </c>
      <c r="J235" s="90">
        <f t="shared" si="299"/>
        <v>1.5960284416531247</v>
      </c>
      <c r="K235" s="90">
        <f t="shared" si="299"/>
        <v>0.96619467263841352</v>
      </c>
      <c r="L235" s="90">
        <f t="shared" si="299"/>
        <v>1.0784048858761521</v>
      </c>
      <c r="M235" s="90">
        <f t="shared" si="299"/>
        <v>1.0784048858761521</v>
      </c>
      <c r="N235" s="90">
        <f t="shared" si="299"/>
        <v>0.65545869751852182</v>
      </c>
      <c r="O235" s="90">
        <f t="shared" si="299"/>
        <v>0.65545869751852182</v>
      </c>
      <c r="P235" s="90">
        <f t="shared" si="283"/>
        <v>0.65496869751852183</v>
      </c>
      <c r="Q235" s="90">
        <f t="shared" si="283"/>
        <v>0.65447869751852183</v>
      </c>
      <c r="R235" s="90">
        <f t="shared" si="283"/>
        <v>0.65398869751852184</v>
      </c>
      <c r="S235" s="90">
        <f t="shared" ref="S235:AB235" si="300">+R235+(0.711/100)</f>
        <v>0.66109869751852179</v>
      </c>
      <c r="T235" s="90">
        <f t="shared" si="300"/>
        <v>0.66820869751852174</v>
      </c>
      <c r="U235" s="90">
        <f t="shared" si="300"/>
        <v>0.67531869751852169</v>
      </c>
      <c r="V235" s="90">
        <f t="shared" si="300"/>
        <v>0.68242869751852164</v>
      </c>
      <c r="W235" s="90">
        <f t="shared" si="300"/>
        <v>0.68953869751852159</v>
      </c>
      <c r="X235" s="90">
        <f t="shared" si="300"/>
        <v>0.69664869751852154</v>
      </c>
      <c r="Y235" s="90">
        <f t="shared" si="300"/>
        <v>0.70375869751852149</v>
      </c>
      <c r="Z235" s="90">
        <f t="shared" si="300"/>
        <v>0.71086869751852144</v>
      </c>
      <c r="AA235" s="90">
        <f t="shared" si="300"/>
        <v>0.71797869751852139</v>
      </c>
      <c r="AB235" s="90">
        <f t="shared" si="300"/>
        <v>0.72508869751852134</v>
      </c>
    </row>
    <row r="237" spans="1:28" x14ac:dyDescent="0.25">
      <c r="A237" s="1" t="s">
        <v>105</v>
      </c>
      <c r="B237" s="65" t="s">
        <v>106</v>
      </c>
      <c r="C237" s="1">
        <v>2010</v>
      </c>
      <c r="D237" s="1">
        <v>2011</v>
      </c>
      <c r="E237" s="1">
        <v>2012</v>
      </c>
      <c r="F237" s="1">
        <v>2013</v>
      </c>
      <c r="G237" s="1">
        <v>2014</v>
      </c>
      <c r="H237" s="1">
        <v>2015</v>
      </c>
      <c r="I237" s="1">
        <v>2016</v>
      </c>
      <c r="J237" s="1">
        <v>2017</v>
      </c>
      <c r="K237" s="1">
        <v>2018</v>
      </c>
      <c r="L237" s="1">
        <v>2019</v>
      </c>
      <c r="M237" s="1">
        <v>2020</v>
      </c>
      <c r="N237" s="1">
        <v>2021</v>
      </c>
      <c r="O237" s="1">
        <v>2022</v>
      </c>
      <c r="P237" s="1">
        <v>2023</v>
      </c>
      <c r="Q237" s="1">
        <v>2024</v>
      </c>
      <c r="R237" s="1">
        <v>2025</v>
      </c>
      <c r="S237" s="1">
        <v>2026</v>
      </c>
      <c r="T237" s="1">
        <v>2027</v>
      </c>
      <c r="U237" s="1">
        <v>2028</v>
      </c>
      <c r="V237" s="1">
        <v>2029</v>
      </c>
      <c r="W237" s="1">
        <v>2030</v>
      </c>
      <c r="X237" s="1">
        <v>2031</v>
      </c>
      <c r="Y237" s="1">
        <v>2032</v>
      </c>
      <c r="Z237" s="1">
        <v>2033</v>
      </c>
      <c r="AA237" s="1">
        <v>2034</v>
      </c>
      <c r="AB237" s="1">
        <v>2035</v>
      </c>
    </row>
    <row r="238" spans="1:28" x14ac:dyDescent="0.25">
      <c r="A238" s="87" t="s">
        <v>6</v>
      </c>
      <c r="B238" s="86" t="s">
        <v>18</v>
      </c>
      <c r="C238" s="90">
        <f t="shared" ref="C238:O238" si="301">+C118</f>
        <v>0</v>
      </c>
      <c r="D238" s="90" t="e">
        <f t="shared" si="301"/>
        <v>#VALUE!</v>
      </c>
      <c r="E238" s="90">
        <f t="shared" si="301"/>
        <v>0</v>
      </c>
      <c r="F238" s="90" t="e">
        <f t="shared" si="301"/>
        <v>#VALUE!</v>
      </c>
      <c r="G238" s="90">
        <f t="shared" si="301"/>
        <v>0</v>
      </c>
      <c r="H238" s="90" t="e">
        <f t="shared" si="301"/>
        <v>#VALUE!</v>
      </c>
      <c r="I238" s="90">
        <f t="shared" si="301"/>
        <v>0</v>
      </c>
      <c r="J238" s="90" t="e">
        <f t="shared" si="301"/>
        <v>#VALUE!</v>
      </c>
      <c r="K238" s="90">
        <f t="shared" si="301"/>
        <v>0.43259573915164978</v>
      </c>
      <c r="L238" s="90">
        <f t="shared" si="301"/>
        <v>0.131036139243284</v>
      </c>
      <c r="M238" s="90">
        <f t="shared" si="301"/>
        <v>0.131036139243284</v>
      </c>
      <c r="N238" s="90">
        <f t="shared" si="301"/>
        <v>0</v>
      </c>
      <c r="O238" s="90">
        <f t="shared" si="301"/>
        <v>0</v>
      </c>
      <c r="P238" s="90">
        <f t="shared" ref="P238:R246" si="302">+O238-(0.049/100)</f>
        <v>-4.8999999999999998E-4</v>
      </c>
      <c r="Q238" s="90">
        <f t="shared" si="302"/>
        <v>-9.7999999999999997E-4</v>
      </c>
      <c r="R238" s="90">
        <f t="shared" si="302"/>
        <v>-1.47E-3</v>
      </c>
      <c r="S238" s="90">
        <f t="shared" ref="S238:AB238" si="303">+R238+(0.711/100)</f>
        <v>5.64E-3</v>
      </c>
      <c r="T238" s="90">
        <f t="shared" si="303"/>
        <v>1.2750000000000001E-2</v>
      </c>
      <c r="U238" s="90">
        <f t="shared" si="303"/>
        <v>1.9860000000000003E-2</v>
      </c>
      <c r="V238" s="90">
        <f t="shared" si="303"/>
        <v>2.6970000000000001E-2</v>
      </c>
      <c r="W238" s="90">
        <f t="shared" si="303"/>
        <v>3.4079999999999999E-2</v>
      </c>
      <c r="X238" s="90">
        <f t="shared" si="303"/>
        <v>4.1189999999999997E-2</v>
      </c>
      <c r="Y238" s="90">
        <f t="shared" si="303"/>
        <v>4.8299999999999996E-2</v>
      </c>
      <c r="Z238" s="90">
        <f t="shared" si="303"/>
        <v>5.5409999999999994E-2</v>
      </c>
      <c r="AA238" s="90">
        <f t="shared" si="303"/>
        <v>6.2519999999999992E-2</v>
      </c>
      <c r="AB238" s="90">
        <f t="shared" si="303"/>
        <v>6.9629999999999997E-2</v>
      </c>
    </row>
    <row r="239" spans="1:28" x14ac:dyDescent="0.25">
      <c r="A239" s="87" t="s">
        <v>6</v>
      </c>
      <c r="B239" s="86" t="s">
        <v>20</v>
      </c>
      <c r="C239" s="90">
        <f t="shared" ref="C239:O239" si="304">+C119</f>
        <v>0</v>
      </c>
      <c r="D239" s="90" t="e">
        <f t="shared" si="304"/>
        <v>#VALUE!</v>
      </c>
      <c r="E239" s="90">
        <f t="shared" si="304"/>
        <v>0</v>
      </c>
      <c r="F239" s="90" t="e">
        <f t="shared" si="304"/>
        <v>#VALUE!</v>
      </c>
      <c r="G239" s="90">
        <f t="shared" si="304"/>
        <v>0</v>
      </c>
      <c r="H239" s="90" t="e">
        <f t="shared" si="304"/>
        <v>#VALUE!</v>
      </c>
      <c r="I239" s="90">
        <f t="shared" si="304"/>
        <v>0</v>
      </c>
      <c r="J239" s="90" t="e">
        <f t="shared" si="304"/>
        <v>#VALUE!</v>
      </c>
      <c r="K239" s="90">
        <f t="shared" si="304"/>
        <v>4.224377800008134</v>
      </c>
      <c r="L239" s="90">
        <f t="shared" si="304"/>
        <v>1.2795922555863497</v>
      </c>
      <c r="M239" s="90">
        <f t="shared" si="304"/>
        <v>1.2795922555863497</v>
      </c>
      <c r="N239" s="90">
        <f t="shared" si="304"/>
        <v>0</v>
      </c>
      <c r="O239" s="90">
        <f t="shared" si="304"/>
        <v>0</v>
      </c>
      <c r="P239" s="90">
        <f t="shared" si="302"/>
        <v>-4.8999999999999998E-4</v>
      </c>
      <c r="Q239" s="90">
        <f t="shared" si="302"/>
        <v>-9.7999999999999997E-4</v>
      </c>
      <c r="R239" s="90">
        <f t="shared" si="302"/>
        <v>-1.47E-3</v>
      </c>
      <c r="S239" s="90">
        <f t="shared" ref="S239:AB239" si="305">+R239+(0.711/100)</f>
        <v>5.64E-3</v>
      </c>
      <c r="T239" s="90">
        <f t="shared" si="305"/>
        <v>1.2750000000000001E-2</v>
      </c>
      <c r="U239" s="90">
        <f t="shared" si="305"/>
        <v>1.9860000000000003E-2</v>
      </c>
      <c r="V239" s="90">
        <f t="shared" si="305"/>
        <v>2.6970000000000001E-2</v>
      </c>
      <c r="W239" s="90">
        <f t="shared" si="305"/>
        <v>3.4079999999999999E-2</v>
      </c>
      <c r="X239" s="90">
        <f t="shared" si="305"/>
        <v>4.1189999999999997E-2</v>
      </c>
      <c r="Y239" s="90">
        <f t="shared" si="305"/>
        <v>4.8299999999999996E-2</v>
      </c>
      <c r="Z239" s="90">
        <f t="shared" si="305"/>
        <v>5.5409999999999994E-2</v>
      </c>
      <c r="AA239" s="90">
        <f t="shared" si="305"/>
        <v>6.2519999999999992E-2</v>
      </c>
      <c r="AB239" s="90">
        <f t="shared" si="305"/>
        <v>6.9629999999999997E-2</v>
      </c>
    </row>
    <row r="240" spans="1:28" x14ac:dyDescent="0.25">
      <c r="A240" s="87" t="s">
        <v>6</v>
      </c>
      <c r="B240" s="86" t="s">
        <v>21</v>
      </c>
      <c r="C240" s="90">
        <f t="shared" ref="C240:O240" si="306">+C120</f>
        <v>0</v>
      </c>
      <c r="D240" s="90" t="e">
        <f t="shared" si="306"/>
        <v>#VALUE!</v>
      </c>
      <c r="E240" s="90">
        <f t="shared" si="306"/>
        <v>0</v>
      </c>
      <c r="F240" s="90" t="e">
        <f t="shared" si="306"/>
        <v>#VALUE!</v>
      </c>
      <c r="G240" s="90">
        <f t="shared" si="306"/>
        <v>0</v>
      </c>
      <c r="H240" s="90" t="e">
        <f t="shared" si="306"/>
        <v>#VALUE!</v>
      </c>
      <c r="I240" s="90">
        <f t="shared" si="306"/>
        <v>0</v>
      </c>
      <c r="J240" s="90" t="e">
        <f t="shared" si="306"/>
        <v>#VALUE!</v>
      </c>
      <c r="K240" s="90">
        <f t="shared" si="306"/>
        <v>40.39391371126753</v>
      </c>
      <c r="L240" s="90">
        <f t="shared" si="306"/>
        <v>12.235586305197812</v>
      </c>
      <c r="M240" s="90">
        <f t="shared" si="306"/>
        <v>12.235586305197812</v>
      </c>
      <c r="N240" s="90">
        <f t="shared" si="306"/>
        <v>0</v>
      </c>
      <c r="O240" s="90">
        <f t="shared" si="306"/>
        <v>0</v>
      </c>
      <c r="P240" s="90">
        <f t="shared" si="302"/>
        <v>-4.8999999999999998E-4</v>
      </c>
      <c r="Q240" s="90">
        <f t="shared" si="302"/>
        <v>-9.7999999999999997E-4</v>
      </c>
      <c r="R240" s="90">
        <f t="shared" si="302"/>
        <v>-1.47E-3</v>
      </c>
      <c r="S240" s="90">
        <f t="shared" ref="S240:AB240" si="307">+R240+(0.711/100)</f>
        <v>5.64E-3</v>
      </c>
      <c r="T240" s="90">
        <f t="shared" si="307"/>
        <v>1.2750000000000001E-2</v>
      </c>
      <c r="U240" s="90">
        <f t="shared" si="307"/>
        <v>1.9860000000000003E-2</v>
      </c>
      <c r="V240" s="90">
        <f t="shared" si="307"/>
        <v>2.6970000000000001E-2</v>
      </c>
      <c r="W240" s="90">
        <f t="shared" si="307"/>
        <v>3.4079999999999999E-2</v>
      </c>
      <c r="X240" s="90">
        <f t="shared" si="307"/>
        <v>4.1189999999999997E-2</v>
      </c>
      <c r="Y240" s="90">
        <f t="shared" si="307"/>
        <v>4.8299999999999996E-2</v>
      </c>
      <c r="Z240" s="90">
        <f t="shared" si="307"/>
        <v>5.5409999999999994E-2</v>
      </c>
      <c r="AA240" s="90">
        <f t="shared" si="307"/>
        <v>6.2519999999999992E-2</v>
      </c>
      <c r="AB240" s="90">
        <f t="shared" si="307"/>
        <v>6.9629999999999997E-2</v>
      </c>
    </row>
    <row r="241" spans="1:28" x14ac:dyDescent="0.25">
      <c r="A241" s="87" t="s">
        <v>6</v>
      </c>
      <c r="B241" s="86" t="s">
        <v>22</v>
      </c>
      <c r="C241" s="90">
        <f t="shared" ref="C241:O241" si="308">+C121</f>
        <v>0</v>
      </c>
      <c r="D241" s="90" t="e">
        <f t="shared" si="308"/>
        <v>#VALUE!</v>
      </c>
      <c r="E241" s="90">
        <f t="shared" si="308"/>
        <v>0</v>
      </c>
      <c r="F241" s="90" t="e">
        <f t="shared" si="308"/>
        <v>#VALUE!</v>
      </c>
      <c r="G241" s="90">
        <f t="shared" si="308"/>
        <v>0</v>
      </c>
      <c r="H241" s="90" t="e">
        <f t="shared" si="308"/>
        <v>#VALUE!</v>
      </c>
      <c r="I241" s="90">
        <f t="shared" si="308"/>
        <v>0</v>
      </c>
      <c r="J241" s="90" t="e">
        <f t="shared" si="308"/>
        <v>#VALUE!</v>
      </c>
      <c r="K241" s="90">
        <f t="shared" si="308"/>
        <v>16.419865432633753</v>
      </c>
      <c r="L241" s="90">
        <f t="shared" si="308"/>
        <v>4.973686928599923</v>
      </c>
      <c r="M241" s="90">
        <f t="shared" si="308"/>
        <v>4.973686928599923</v>
      </c>
      <c r="N241" s="90">
        <f t="shared" si="308"/>
        <v>0</v>
      </c>
      <c r="O241" s="90">
        <f t="shared" si="308"/>
        <v>0</v>
      </c>
      <c r="P241" s="90">
        <f t="shared" si="302"/>
        <v>-4.8999999999999998E-4</v>
      </c>
      <c r="Q241" s="90">
        <f t="shared" si="302"/>
        <v>-9.7999999999999997E-4</v>
      </c>
      <c r="R241" s="90">
        <f t="shared" si="302"/>
        <v>-1.47E-3</v>
      </c>
      <c r="S241" s="90">
        <f t="shared" ref="S241:AB241" si="309">+R241+(0.711/100)</f>
        <v>5.64E-3</v>
      </c>
      <c r="T241" s="90">
        <f t="shared" si="309"/>
        <v>1.2750000000000001E-2</v>
      </c>
      <c r="U241" s="90">
        <f t="shared" si="309"/>
        <v>1.9860000000000003E-2</v>
      </c>
      <c r="V241" s="90">
        <f t="shared" si="309"/>
        <v>2.6970000000000001E-2</v>
      </c>
      <c r="W241" s="90">
        <f t="shared" si="309"/>
        <v>3.4079999999999999E-2</v>
      </c>
      <c r="X241" s="90">
        <f t="shared" si="309"/>
        <v>4.1189999999999997E-2</v>
      </c>
      <c r="Y241" s="90">
        <f t="shared" si="309"/>
        <v>4.8299999999999996E-2</v>
      </c>
      <c r="Z241" s="90">
        <f t="shared" si="309"/>
        <v>5.5409999999999994E-2</v>
      </c>
      <c r="AA241" s="90">
        <f t="shared" si="309"/>
        <v>6.2519999999999992E-2</v>
      </c>
      <c r="AB241" s="90">
        <f t="shared" si="309"/>
        <v>6.9629999999999997E-2</v>
      </c>
    </row>
    <row r="242" spans="1:28" x14ac:dyDescent="0.25">
      <c r="A242" s="87" t="s">
        <v>6</v>
      </c>
      <c r="B242" s="86" t="s">
        <v>23</v>
      </c>
      <c r="C242" s="90">
        <f t="shared" ref="C242:O242" si="310">+C122</f>
        <v>0</v>
      </c>
      <c r="D242" s="90" t="e">
        <f t="shared" si="310"/>
        <v>#VALUE!</v>
      </c>
      <c r="E242" s="90">
        <f t="shared" si="310"/>
        <v>0</v>
      </c>
      <c r="F242" s="90" t="e">
        <f t="shared" si="310"/>
        <v>#VALUE!</v>
      </c>
      <c r="G242" s="90">
        <f t="shared" si="310"/>
        <v>0</v>
      </c>
      <c r="H242" s="90" t="e">
        <f t="shared" si="310"/>
        <v>#VALUE!</v>
      </c>
      <c r="I242" s="90">
        <f t="shared" si="310"/>
        <v>0</v>
      </c>
      <c r="J242" s="90" t="e">
        <f t="shared" si="310"/>
        <v>#VALUE!</v>
      </c>
      <c r="K242" s="90">
        <f t="shared" si="310"/>
        <v>11.307936144501475</v>
      </c>
      <c r="L242" s="90">
        <f t="shared" si="310"/>
        <v>3.4252493981814767</v>
      </c>
      <c r="M242" s="90">
        <f t="shared" si="310"/>
        <v>3.4252493981814767</v>
      </c>
      <c r="N242" s="90">
        <f t="shared" si="310"/>
        <v>0</v>
      </c>
      <c r="O242" s="90">
        <f t="shared" si="310"/>
        <v>0</v>
      </c>
      <c r="P242" s="90">
        <f t="shared" si="302"/>
        <v>-4.8999999999999998E-4</v>
      </c>
      <c r="Q242" s="90">
        <f t="shared" si="302"/>
        <v>-9.7999999999999997E-4</v>
      </c>
      <c r="R242" s="90">
        <f t="shared" si="302"/>
        <v>-1.47E-3</v>
      </c>
      <c r="S242" s="90">
        <f t="shared" ref="S242:AB242" si="311">+R242+(0.711/100)</f>
        <v>5.64E-3</v>
      </c>
      <c r="T242" s="90">
        <f t="shared" si="311"/>
        <v>1.2750000000000001E-2</v>
      </c>
      <c r="U242" s="90">
        <f t="shared" si="311"/>
        <v>1.9860000000000003E-2</v>
      </c>
      <c r="V242" s="90">
        <f t="shared" si="311"/>
        <v>2.6970000000000001E-2</v>
      </c>
      <c r="W242" s="90">
        <f t="shared" si="311"/>
        <v>3.4079999999999999E-2</v>
      </c>
      <c r="X242" s="90">
        <f t="shared" si="311"/>
        <v>4.1189999999999997E-2</v>
      </c>
      <c r="Y242" s="90">
        <f t="shared" si="311"/>
        <v>4.8299999999999996E-2</v>
      </c>
      <c r="Z242" s="90">
        <f t="shared" si="311"/>
        <v>5.5409999999999994E-2</v>
      </c>
      <c r="AA242" s="90">
        <f t="shared" si="311"/>
        <v>6.2519999999999992E-2</v>
      </c>
      <c r="AB242" s="90">
        <f t="shared" si="311"/>
        <v>6.9629999999999997E-2</v>
      </c>
    </row>
    <row r="243" spans="1:28" x14ac:dyDescent="0.25">
      <c r="A243" s="87" t="s">
        <v>6</v>
      </c>
      <c r="B243" s="86" t="s">
        <v>24</v>
      </c>
      <c r="C243" s="90">
        <f t="shared" ref="C243:O243" si="312">+C123</f>
        <v>0</v>
      </c>
      <c r="D243" s="90" t="e">
        <f t="shared" si="312"/>
        <v>#VALUE!</v>
      </c>
      <c r="E243" s="90">
        <f t="shared" si="312"/>
        <v>0</v>
      </c>
      <c r="F243" s="90" t="e">
        <f t="shared" si="312"/>
        <v>#VALUE!</v>
      </c>
      <c r="G243" s="90">
        <f t="shared" si="312"/>
        <v>0</v>
      </c>
      <c r="H243" s="90" t="e">
        <f t="shared" si="312"/>
        <v>#VALUE!</v>
      </c>
      <c r="I243" s="90">
        <f t="shared" si="312"/>
        <v>0</v>
      </c>
      <c r="J243" s="90" t="e">
        <f t="shared" si="312"/>
        <v>#VALUE!</v>
      </c>
      <c r="K243" s="90">
        <f t="shared" si="312"/>
        <v>82.745790549289026</v>
      </c>
      <c r="L243" s="90">
        <f t="shared" si="312"/>
        <v>25.064252721202283</v>
      </c>
      <c r="M243" s="90">
        <f t="shared" si="312"/>
        <v>25.064252721202283</v>
      </c>
      <c r="N243" s="90">
        <f t="shared" si="312"/>
        <v>0</v>
      </c>
      <c r="O243" s="90">
        <f t="shared" si="312"/>
        <v>0</v>
      </c>
      <c r="P243" s="90">
        <f t="shared" si="302"/>
        <v>-4.8999999999999998E-4</v>
      </c>
      <c r="Q243" s="90">
        <f t="shared" si="302"/>
        <v>-9.7999999999999997E-4</v>
      </c>
      <c r="R243" s="90">
        <f t="shared" si="302"/>
        <v>-1.47E-3</v>
      </c>
      <c r="S243" s="90">
        <f t="shared" ref="S243:AB243" si="313">+R243+(0.711/100)</f>
        <v>5.64E-3</v>
      </c>
      <c r="T243" s="90">
        <f t="shared" si="313"/>
        <v>1.2750000000000001E-2</v>
      </c>
      <c r="U243" s="90">
        <f t="shared" si="313"/>
        <v>1.9860000000000003E-2</v>
      </c>
      <c r="V243" s="90">
        <f t="shared" si="313"/>
        <v>2.6970000000000001E-2</v>
      </c>
      <c r="W243" s="90">
        <f t="shared" si="313"/>
        <v>3.4079999999999999E-2</v>
      </c>
      <c r="X243" s="90">
        <f t="shared" si="313"/>
        <v>4.1189999999999997E-2</v>
      </c>
      <c r="Y243" s="90">
        <f t="shared" si="313"/>
        <v>4.8299999999999996E-2</v>
      </c>
      <c r="Z243" s="90">
        <f t="shared" si="313"/>
        <v>5.5409999999999994E-2</v>
      </c>
      <c r="AA243" s="90">
        <f t="shared" si="313"/>
        <v>6.2519999999999992E-2</v>
      </c>
      <c r="AB243" s="90">
        <f t="shared" si="313"/>
        <v>6.9629999999999997E-2</v>
      </c>
    </row>
    <row r="244" spans="1:28" x14ac:dyDescent="0.25">
      <c r="A244" s="87" t="s">
        <v>6</v>
      </c>
      <c r="B244" s="86" t="s">
        <v>25</v>
      </c>
      <c r="C244" s="90">
        <f t="shared" ref="C244:O244" si="314">+C124</f>
        <v>0</v>
      </c>
      <c r="D244" s="90" t="e">
        <f t="shared" si="314"/>
        <v>#VALUE!</v>
      </c>
      <c r="E244" s="90">
        <f t="shared" si="314"/>
        <v>0</v>
      </c>
      <c r="F244" s="90" t="e">
        <f t="shared" si="314"/>
        <v>#VALUE!</v>
      </c>
      <c r="G244" s="90">
        <f t="shared" si="314"/>
        <v>0</v>
      </c>
      <c r="H244" s="90" t="e">
        <f t="shared" si="314"/>
        <v>#VALUE!</v>
      </c>
      <c r="I244" s="90">
        <f t="shared" si="314"/>
        <v>0</v>
      </c>
      <c r="J244" s="90" t="e">
        <f t="shared" si="314"/>
        <v>#VALUE!</v>
      </c>
      <c r="K244" s="90">
        <f t="shared" si="314"/>
        <v>9.1675865101659628</v>
      </c>
      <c r="L244" s="90">
        <f t="shared" si="314"/>
        <v>2.7769231958381342</v>
      </c>
      <c r="M244" s="90">
        <f t="shared" si="314"/>
        <v>2.7769231958381342</v>
      </c>
      <c r="N244" s="90">
        <f t="shared" si="314"/>
        <v>0</v>
      </c>
      <c r="O244" s="90">
        <f t="shared" si="314"/>
        <v>0</v>
      </c>
      <c r="P244" s="90">
        <f t="shared" si="302"/>
        <v>-4.8999999999999998E-4</v>
      </c>
      <c r="Q244" s="90">
        <f t="shared" si="302"/>
        <v>-9.7999999999999997E-4</v>
      </c>
      <c r="R244" s="90">
        <f t="shared" si="302"/>
        <v>-1.47E-3</v>
      </c>
      <c r="S244" s="90">
        <f t="shared" ref="S244:AB244" si="315">+R244+(0.711/100)</f>
        <v>5.64E-3</v>
      </c>
      <c r="T244" s="90">
        <f t="shared" si="315"/>
        <v>1.2750000000000001E-2</v>
      </c>
      <c r="U244" s="90">
        <f t="shared" si="315"/>
        <v>1.9860000000000003E-2</v>
      </c>
      <c r="V244" s="90">
        <f t="shared" si="315"/>
        <v>2.6970000000000001E-2</v>
      </c>
      <c r="W244" s="90">
        <f t="shared" si="315"/>
        <v>3.4079999999999999E-2</v>
      </c>
      <c r="X244" s="90">
        <f t="shared" si="315"/>
        <v>4.1189999999999997E-2</v>
      </c>
      <c r="Y244" s="90">
        <f t="shared" si="315"/>
        <v>4.8299999999999996E-2</v>
      </c>
      <c r="Z244" s="90">
        <f t="shared" si="315"/>
        <v>5.5409999999999994E-2</v>
      </c>
      <c r="AA244" s="90">
        <f t="shared" si="315"/>
        <v>6.2519999999999992E-2</v>
      </c>
      <c r="AB244" s="90">
        <f t="shared" si="315"/>
        <v>6.9629999999999997E-2</v>
      </c>
    </row>
    <row r="245" spans="1:28" x14ac:dyDescent="0.25">
      <c r="A245" s="87" t="s">
        <v>6</v>
      </c>
      <c r="B245" s="86" t="s">
        <v>26</v>
      </c>
      <c r="C245" s="90">
        <f t="shared" ref="C245:O245" si="316">+C125</f>
        <v>0</v>
      </c>
      <c r="D245" s="90" t="e">
        <f t="shared" si="316"/>
        <v>#VALUE!</v>
      </c>
      <c r="E245" s="90">
        <f t="shared" si="316"/>
        <v>0</v>
      </c>
      <c r="F245" s="90" t="e">
        <f t="shared" si="316"/>
        <v>#VALUE!</v>
      </c>
      <c r="G245" s="90">
        <f t="shared" si="316"/>
        <v>0</v>
      </c>
      <c r="H245" s="90" t="e">
        <f t="shared" si="316"/>
        <v>#VALUE!</v>
      </c>
      <c r="I245" s="90">
        <f t="shared" si="316"/>
        <v>0</v>
      </c>
      <c r="J245" s="90" t="e">
        <f t="shared" si="316"/>
        <v>#VALUE!</v>
      </c>
      <c r="K245" s="90">
        <f t="shared" si="316"/>
        <v>2.2767896253245357</v>
      </c>
      <c r="L245" s="90">
        <f t="shared" si="316"/>
        <v>0.68965478706923711</v>
      </c>
      <c r="M245" s="90">
        <f t="shared" si="316"/>
        <v>0.68965478706923711</v>
      </c>
      <c r="N245" s="90">
        <f t="shared" si="316"/>
        <v>0</v>
      </c>
      <c r="O245" s="90">
        <f t="shared" si="316"/>
        <v>0</v>
      </c>
      <c r="P245" s="90">
        <f t="shared" si="302"/>
        <v>-4.8999999999999998E-4</v>
      </c>
      <c r="Q245" s="90">
        <f t="shared" si="302"/>
        <v>-9.7999999999999997E-4</v>
      </c>
      <c r="R245" s="90">
        <f t="shared" si="302"/>
        <v>-1.47E-3</v>
      </c>
      <c r="S245" s="90">
        <f t="shared" ref="S245:AB245" si="317">+R245+(0.711/100)</f>
        <v>5.64E-3</v>
      </c>
      <c r="T245" s="90">
        <f t="shared" si="317"/>
        <v>1.2750000000000001E-2</v>
      </c>
      <c r="U245" s="90">
        <f t="shared" si="317"/>
        <v>1.9860000000000003E-2</v>
      </c>
      <c r="V245" s="90">
        <f t="shared" si="317"/>
        <v>2.6970000000000001E-2</v>
      </c>
      <c r="W245" s="90">
        <f t="shared" si="317"/>
        <v>3.4079999999999999E-2</v>
      </c>
      <c r="X245" s="90">
        <f t="shared" si="317"/>
        <v>4.1189999999999997E-2</v>
      </c>
      <c r="Y245" s="90">
        <f t="shared" si="317"/>
        <v>4.8299999999999996E-2</v>
      </c>
      <c r="Z245" s="90">
        <f t="shared" si="317"/>
        <v>5.5409999999999994E-2</v>
      </c>
      <c r="AA245" s="90">
        <f t="shared" si="317"/>
        <v>6.2519999999999992E-2</v>
      </c>
      <c r="AB245" s="90">
        <f t="shared" si="317"/>
        <v>6.9629999999999997E-2</v>
      </c>
    </row>
    <row r="246" spans="1:28" x14ac:dyDescent="0.25">
      <c r="A246" s="87" t="s">
        <v>6</v>
      </c>
      <c r="B246" s="86" t="s">
        <v>27</v>
      </c>
      <c r="C246" s="90">
        <f t="shared" ref="C246:O246" si="318">+C126</f>
        <v>0</v>
      </c>
      <c r="D246" s="90" t="e">
        <f t="shared" si="318"/>
        <v>#VALUE!</v>
      </c>
      <c r="E246" s="90">
        <f t="shared" si="318"/>
        <v>0</v>
      </c>
      <c r="F246" s="90" t="e">
        <f t="shared" si="318"/>
        <v>#VALUE!</v>
      </c>
      <c r="G246" s="90">
        <f t="shared" si="318"/>
        <v>0</v>
      </c>
      <c r="H246" s="90" t="e">
        <f t="shared" si="318"/>
        <v>#VALUE!</v>
      </c>
      <c r="I246" s="90">
        <f t="shared" si="318"/>
        <v>0</v>
      </c>
      <c r="J246" s="90" t="e">
        <f t="shared" si="318"/>
        <v>#VALUE!</v>
      </c>
      <c r="K246" s="90">
        <f t="shared" si="318"/>
        <v>9.521144487657935</v>
      </c>
      <c r="L246" s="90">
        <f t="shared" si="318"/>
        <v>2.8840182690814955</v>
      </c>
      <c r="M246" s="90">
        <f t="shared" si="318"/>
        <v>2.8840182690814955</v>
      </c>
      <c r="N246" s="90">
        <f t="shared" si="318"/>
        <v>0</v>
      </c>
      <c r="O246" s="90">
        <f t="shared" si="318"/>
        <v>0</v>
      </c>
      <c r="P246" s="90">
        <f t="shared" si="302"/>
        <v>-4.8999999999999998E-4</v>
      </c>
      <c r="Q246" s="90">
        <f t="shared" si="302"/>
        <v>-9.7999999999999997E-4</v>
      </c>
      <c r="R246" s="90">
        <f t="shared" si="302"/>
        <v>-1.47E-3</v>
      </c>
      <c r="S246" s="90">
        <f t="shared" ref="S246:AB246" si="319">+R246+(0.711/100)</f>
        <v>5.64E-3</v>
      </c>
      <c r="T246" s="90">
        <f t="shared" si="319"/>
        <v>1.2750000000000001E-2</v>
      </c>
      <c r="U246" s="90">
        <f t="shared" si="319"/>
        <v>1.9860000000000003E-2</v>
      </c>
      <c r="V246" s="90">
        <f t="shared" si="319"/>
        <v>2.6970000000000001E-2</v>
      </c>
      <c r="W246" s="90">
        <f t="shared" si="319"/>
        <v>3.4079999999999999E-2</v>
      </c>
      <c r="X246" s="90">
        <f t="shared" si="319"/>
        <v>4.1189999999999997E-2</v>
      </c>
      <c r="Y246" s="90">
        <f t="shared" si="319"/>
        <v>4.8299999999999996E-2</v>
      </c>
      <c r="Z246" s="90">
        <f t="shared" si="319"/>
        <v>5.5409999999999994E-2</v>
      </c>
      <c r="AA246" s="90">
        <f t="shared" si="319"/>
        <v>6.2519999999999992E-2</v>
      </c>
      <c r="AB246" s="90">
        <f t="shared" si="319"/>
        <v>6.9629999999999997E-2</v>
      </c>
    </row>
    <row r="248" spans="1:28" x14ac:dyDescent="0.25">
      <c r="A248" s="1" t="s">
        <v>105</v>
      </c>
      <c r="B248" s="65" t="s">
        <v>106</v>
      </c>
      <c r="C248" s="1">
        <v>2010</v>
      </c>
      <c r="D248" s="1">
        <v>2011</v>
      </c>
      <c r="E248" s="1">
        <v>2012</v>
      </c>
      <c r="F248" s="1">
        <v>2013</v>
      </c>
      <c r="G248" s="1">
        <v>2014</v>
      </c>
      <c r="H248" s="1">
        <v>2015</v>
      </c>
      <c r="I248" s="1">
        <v>2016</v>
      </c>
      <c r="J248" s="1">
        <v>2017</v>
      </c>
      <c r="K248" s="1">
        <v>2018</v>
      </c>
      <c r="L248" s="1">
        <v>2019</v>
      </c>
      <c r="M248" s="1">
        <v>2020</v>
      </c>
      <c r="N248" s="1">
        <v>2021</v>
      </c>
      <c r="O248" s="1">
        <v>2022</v>
      </c>
      <c r="P248" s="1">
        <v>2023</v>
      </c>
      <c r="Q248" s="1">
        <v>2024</v>
      </c>
      <c r="R248" s="1">
        <v>2025</v>
      </c>
      <c r="S248" s="1">
        <v>2026</v>
      </c>
      <c r="T248" s="1">
        <v>2027</v>
      </c>
      <c r="U248" s="1">
        <v>2028</v>
      </c>
      <c r="V248" s="1">
        <v>2029</v>
      </c>
      <c r="W248" s="1">
        <v>2030</v>
      </c>
      <c r="X248" s="1">
        <v>2031</v>
      </c>
      <c r="Y248" s="1">
        <v>2032</v>
      </c>
      <c r="Z248" s="1">
        <v>2033</v>
      </c>
      <c r="AA248" s="1">
        <v>2034</v>
      </c>
      <c r="AB248" s="1">
        <v>2035</v>
      </c>
    </row>
    <row r="249" spans="1:28" x14ac:dyDescent="0.25">
      <c r="A249" s="87" t="s">
        <v>113</v>
      </c>
      <c r="B249" s="86" t="s">
        <v>18</v>
      </c>
      <c r="C249" s="90">
        <f t="shared" ref="C249:O249" si="320">+C129</f>
        <v>1.9608849868055968E-2</v>
      </c>
      <c r="D249" s="90">
        <f t="shared" si="320"/>
        <v>1.9608849868055968E-2</v>
      </c>
      <c r="E249" s="90">
        <f t="shared" si="320"/>
        <v>1.9608849868055968E-2</v>
      </c>
      <c r="F249" s="90">
        <f t="shared" si="320"/>
        <v>1.9608849868055968E-2</v>
      </c>
      <c r="G249" s="90">
        <f t="shared" si="320"/>
        <v>1.9608849868055968E-2</v>
      </c>
      <c r="H249" s="90">
        <f t="shared" si="320"/>
        <v>3.8212746180374069E-2</v>
      </c>
      <c r="I249" s="90">
        <f t="shared" si="320"/>
        <v>5.6816642492692165E-2</v>
      </c>
      <c r="J249" s="90">
        <f t="shared" si="320"/>
        <v>0.25447384916269633</v>
      </c>
      <c r="K249" s="90">
        <f t="shared" si="320"/>
        <v>0.45213105583270052</v>
      </c>
      <c r="L249" s="90">
        <f t="shared" si="320"/>
        <v>1.808916400328163E-2</v>
      </c>
      <c r="M249" s="90">
        <f t="shared" si="320"/>
        <v>1.808916400328163E-2</v>
      </c>
      <c r="N249" s="90">
        <f t="shared" si="320"/>
        <v>9.3644513651134784E-2</v>
      </c>
      <c r="O249" s="90">
        <f t="shared" si="320"/>
        <v>9.3644513651134784E-2</v>
      </c>
      <c r="P249" s="90">
        <f t="shared" ref="P249:R257" si="321">+O249-(0.049/100)</f>
        <v>9.3154513651134779E-2</v>
      </c>
      <c r="Q249" s="90">
        <f t="shared" si="321"/>
        <v>9.2664513651134775E-2</v>
      </c>
      <c r="R249" s="90">
        <f t="shared" si="321"/>
        <v>9.2174513651134771E-2</v>
      </c>
      <c r="S249" s="90">
        <f t="shared" ref="S249:AB249" si="322">+R249+(0.711/100)</f>
        <v>9.9284513651134776E-2</v>
      </c>
      <c r="T249" s="90">
        <f t="shared" si="322"/>
        <v>0.10639451365113478</v>
      </c>
      <c r="U249" s="90">
        <f t="shared" si="322"/>
        <v>0.11350451365113479</v>
      </c>
      <c r="V249" s="90">
        <f t="shared" si="322"/>
        <v>0.12061451365113479</v>
      </c>
      <c r="W249" s="90">
        <f t="shared" si="322"/>
        <v>0.1277245136511348</v>
      </c>
      <c r="X249" s="90">
        <f t="shared" si="322"/>
        <v>0.1348345136511348</v>
      </c>
      <c r="Y249" s="90">
        <f t="shared" si="322"/>
        <v>0.14194451365113481</v>
      </c>
      <c r="Z249" s="90">
        <f t="shared" si="322"/>
        <v>0.14905451365113481</v>
      </c>
      <c r="AA249" s="90">
        <f t="shared" si="322"/>
        <v>0.15616451365113482</v>
      </c>
      <c r="AB249" s="90">
        <f t="shared" si="322"/>
        <v>0.16327451365113482</v>
      </c>
    </row>
    <row r="250" spans="1:28" x14ac:dyDescent="0.25">
      <c r="A250" s="87" t="s">
        <v>113</v>
      </c>
      <c r="B250" s="86" t="s">
        <v>20</v>
      </c>
      <c r="C250" s="90">
        <f t="shared" ref="C250:O250" si="323">+C130</f>
        <v>0.19148406368669654</v>
      </c>
      <c r="D250" s="90">
        <f t="shared" si="323"/>
        <v>0.19148406368669654</v>
      </c>
      <c r="E250" s="90">
        <f t="shared" si="323"/>
        <v>0.19148406368669654</v>
      </c>
      <c r="F250" s="90">
        <f t="shared" si="323"/>
        <v>0.19148406368669654</v>
      </c>
      <c r="G250" s="90">
        <f t="shared" si="323"/>
        <v>0.19148406368669654</v>
      </c>
      <c r="H250" s="90">
        <f t="shared" si="323"/>
        <v>0.37315456910944989</v>
      </c>
      <c r="I250" s="90">
        <f t="shared" si="323"/>
        <v>0.5548250745322032</v>
      </c>
      <c r="J250" s="90">
        <f t="shared" si="323"/>
        <v>2.4849844364941047</v>
      </c>
      <c r="K250" s="90">
        <f t="shared" si="323"/>
        <v>4.4151437984560058</v>
      </c>
      <c r="L250" s="90">
        <f t="shared" si="323"/>
        <v>0.17664404875097756</v>
      </c>
      <c r="M250" s="90">
        <f t="shared" si="323"/>
        <v>0.17664404875097756</v>
      </c>
      <c r="N250" s="90">
        <f t="shared" si="323"/>
        <v>0.91445608164378012</v>
      </c>
      <c r="O250" s="90">
        <f t="shared" si="323"/>
        <v>0.91445608164378012</v>
      </c>
      <c r="P250" s="90">
        <f t="shared" si="321"/>
        <v>0.91396608164378013</v>
      </c>
      <c r="Q250" s="90">
        <f t="shared" si="321"/>
        <v>0.91347608164378014</v>
      </c>
      <c r="R250" s="90">
        <f t="shared" si="321"/>
        <v>0.91298608164378015</v>
      </c>
      <c r="S250" s="90">
        <f t="shared" ref="S250:AB250" si="324">+R250+(0.711/100)</f>
        <v>0.92009608164378009</v>
      </c>
      <c r="T250" s="90">
        <f t="shared" si="324"/>
        <v>0.92720608164378004</v>
      </c>
      <c r="U250" s="90">
        <f t="shared" si="324"/>
        <v>0.93431608164377999</v>
      </c>
      <c r="V250" s="90">
        <f t="shared" si="324"/>
        <v>0.94142608164377994</v>
      </c>
      <c r="W250" s="90">
        <f t="shared" si="324"/>
        <v>0.94853608164377989</v>
      </c>
      <c r="X250" s="90">
        <f t="shared" si="324"/>
        <v>0.95564608164377984</v>
      </c>
      <c r="Y250" s="90">
        <f t="shared" si="324"/>
        <v>0.96275608164377979</v>
      </c>
      <c r="Z250" s="90">
        <f t="shared" si="324"/>
        <v>0.96986608164377974</v>
      </c>
      <c r="AA250" s="90">
        <f t="shared" si="324"/>
        <v>0.97697608164377969</v>
      </c>
      <c r="AB250" s="90">
        <f t="shared" si="324"/>
        <v>0.98408608164377964</v>
      </c>
    </row>
    <row r="251" spans="1:28" x14ac:dyDescent="0.25">
      <c r="A251" s="87" t="s">
        <v>113</v>
      </c>
      <c r="B251" s="86" t="s">
        <v>21</v>
      </c>
      <c r="C251" s="90">
        <f t="shared" ref="C251:O251" si="325">+C131</f>
        <v>1.8309893460827253</v>
      </c>
      <c r="D251" s="90">
        <f t="shared" si="325"/>
        <v>1.8309893460827253</v>
      </c>
      <c r="E251" s="90">
        <f t="shared" si="325"/>
        <v>1.8309893460827253</v>
      </c>
      <c r="F251" s="90">
        <f t="shared" si="325"/>
        <v>1.8309893460827253</v>
      </c>
      <c r="G251" s="90">
        <f t="shared" si="325"/>
        <v>1.8309893460827253</v>
      </c>
      <c r="H251" s="90">
        <f t="shared" si="325"/>
        <v>3.5681404881787109</v>
      </c>
      <c r="I251" s="90">
        <f t="shared" si="325"/>
        <v>5.3052916302746969</v>
      </c>
      <c r="J251" s="90">
        <f t="shared" si="325"/>
        <v>23.761664238788569</v>
      </c>
      <c r="K251" s="90">
        <f t="shared" si="325"/>
        <v>42.218036847302443</v>
      </c>
      <c r="L251" s="90">
        <f t="shared" si="325"/>
        <v>1.6890876717613141</v>
      </c>
      <c r="M251" s="90">
        <f t="shared" si="325"/>
        <v>1.6890876717613141</v>
      </c>
      <c r="N251" s="90">
        <f t="shared" si="325"/>
        <v>8.7441184958863154</v>
      </c>
      <c r="O251" s="90">
        <f t="shared" si="325"/>
        <v>8.7441184958863154</v>
      </c>
      <c r="P251" s="90">
        <f t="shared" si="321"/>
        <v>8.7436284958863162</v>
      </c>
      <c r="Q251" s="90">
        <f t="shared" si="321"/>
        <v>8.743138495886317</v>
      </c>
      <c r="R251" s="90">
        <f t="shared" si="321"/>
        <v>8.7426484958863178</v>
      </c>
      <c r="S251" s="90">
        <f t="shared" ref="S251:AB251" si="326">+R251+(0.711/100)</f>
        <v>8.7497584958863186</v>
      </c>
      <c r="T251" s="90">
        <f t="shared" si="326"/>
        <v>8.7568684958863194</v>
      </c>
      <c r="U251" s="90">
        <f t="shared" si="326"/>
        <v>8.7639784958863203</v>
      </c>
      <c r="V251" s="90">
        <f t="shared" si="326"/>
        <v>8.7710884958863211</v>
      </c>
      <c r="W251" s="90">
        <f t="shared" si="326"/>
        <v>8.778198495886322</v>
      </c>
      <c r="X251" s="90">
        <f t="shared" si="326"/>
        <v>8.7853084958863228</v>
      </c>
      <c r="Y251" s="90">
        <f t="shared" si="326"/>
        <v>8.7924184958863236</v>
      </c>
      <c r="Z251" s="90">
        <f t="shared" si="326"/>
        <v>8.7995284958863245</v>
      </c>
      <c r="AA251" s="90">
        <f t="shared" si="326"/>
        <v>8.8066384958863253</v>
      </c>
      <c r="AB251" s="90">
        <f t="shared" si="326"/>
        <v>8.8137484958863261</v>
      </c>
    </row>
    <row r="252" spans="1:28" x14ac:dyDescent="0.25">
      <c r="A252" s="87" t="s">
        <v>113</v>
      </c>
      <c r="B252" s="86" t="s">
        <v>22</v>
      </c>
      <c r="C252" s="90">
        <f t="shared" ref="C252:O252" si="327">+C132</f>
        <v>0.74428536155629221</v>
      </c>
      <c r="D252" s="90">
        <f t="shared" si="327"/>
        <v>0.74428536155629221</v>
      </c>
      <c r="E252" s="90">
        <f t="shared" si="327"/>
        <v>0.74428536155629221</v>
      </c>
      <c r="F252" s="90">
        <f t="shared" si="327"/>
        <v>0.74428536155629221</v>
      </c>
      <c r="G252" s="90">
        <f t="shared" si="327"/>
        <v>0.74428536155629221</v>
      </c>
      <c r="H252" s="90">
        <f t="shared" si="327"/>
        <v>1.4504260983328245</v>
      </c>
      <c r="I252" s="90">
        <f t="shared" si="327"/>
        <v>2.1565668351093565</v>
      </c>
      <c r="J252" s="90">
        <f t="shared" si="327"/>
        <v>9.658963279596783</v>
      </c>
      <c r="K252" s="90">
        <f t="shared" si="327"/>
        <v>17.161359724084207</v>
      </c>
      <c r="L252" s="90">
        <f t="shared" si="327"/>
        <v>0.68660324603567957</v>
      </c>
      <c r="M252" s="90">
        <f t="shared" si="327"/>
        <v>0.68660324603567957</v>
      </c>
      <c r="N252" s="90">
        <f t="shared" si="327"/>
        <v>3.5544277797822676</v>
      </c>
      <c r="O252" s="90">
        <f t="shared" si="327"/>
        <v>3.5544277797822676</v>
      </c>
      <c r="P252" s="90">
        <f t="shared" si="321"/>
        <v>3.5539377797822675</v>
      </c>
      <c r="Q252" s="90">
        <f t="shared" si="321"/>
        <v>3.5534477797822674</v>
      </c>
      <c r="R252" s="90">
        <f t="shared" si="321"/>
        <v>3.5529577797822673</v>
      </c>
      <c r="S252" s="90">
        <f t="shared" ref="S252:AB252" si="328">+R252+(0.711/100)</f>
        <v>3.5600677797822673</v>
      </c>
      <c r="T252" s="90">
        <f t="shared" si="328"/>
        <v>3.5671777797822672</v>
      </c>
      <c r="U252" s="90">
        <f t="shared" si="328"/>
        <v>3.5742877797822672</v>
      </c>
      <c r="V252" s="90">
        <f t="shared" si="328"/>
        <v>3.5813977797822671</v>
      </c>
      <c r="W252" s="90">
        <f t="shared" si="328"/>
        <v>3.5885077797822671</v>
      </c>
      <c r="X252" s="90">
        <f t="shared" si="328"/>
        <v>3.595617779782267</v>
      </c>
      <c r="Y252" s="90">
        <f t="shared" si="328"/>
        <v>3.602727779782267</v>
      </c>
      <c r="Z252" s="90">
        <f t="shared" si="328"/>
        <v>3.6098377797822669</v>
      </c>
      <c r="AA252" s="90">
        <f t="shared" si="328"/>
        <v>3.6169477797822669</v>
      </c>
      <c r="AB252" s="90">
        <f t="shared" si="328"/>
        <v>3.6240577797822668</v>
      </c>
    </row>
    <row r="253" spans="1:28" x14ac:dyDescent="0.25">
      <c r="A253" s="87" t="s">
        <v>113</v>
      </c>
      <c r="B253" s="86" t="s">
        <v>23</v>
      </c>
      <c r="C253" s="90">
        <f t="shared" ref="C253:O253" si="329">+C133</f>
        <v>0.51257005584459059</v>
      </c>
      <c r="D253" s="90">
        <f t="shared" si="329"/>
        <v>0.51257005584459059</v>
      </c>
      <c r="E253" s="90">
        <f t="shared" si="329"/>
        <v>0.51257005584459059</v>
      </c>
      <c r="F253" s="90">
        <f t="shared" si="329"/>
        <v>0.51257005584459059</v>
      </c>
      <c r="G253" s="90">
        <f t="shared" si="329"/>
        <v>0.51257005584459059</v>
      </c>
      <c r="H253" s="90">
        <f t="shared" si="329"/>
        <v>0.99887089632714587</v>
      </c>
      <c r="I253" s="90">
        <f t="shared" si="329"/>
        <v>1.4851717368097013</v>
      </c>
      <c r="J253" s="90">
        <f t="shared" si="329"/>
        <v>6.6518778997231749</v>
      </c>
      <c r="K253" s="90">
        <f t="shared" si="329"/>
        <v>11.818584062636647</v>
      </c>
      <c r="L253" s="90">
        <f t="shared" si="329"/>
        <v>0.47284587651663479</v>
      </c>
      <c r="M253" s="90">
        <f t="shared" si="329"/>
        <v>0.47284587651663479</v>
      </c>
      <c r="N253" s="90">
        <f t="shared" si="329"/>
        <v>2.4478423729428229</v>
      </c>
      <c r="O253" s="90">
        <f t="shared" si="329"/>
        <v>2.4478423729428229</v>
      </c>
      <c r="P253" s="90">
        <f t="shared" si="321"/>
        <v>2.4473523729428228</v>
      </c>
      <c r="Q253" s="90">
        <f t="shared" si="321"/>
        <v>2.4468623729428227</v>
      </c>
      <c r="R253" s="90">
        <f t="shared" si="321"/>
        <v>2.4463723729428226</v>
      </c>
      <c r="S253" s="90">
        <f t="shared" ref="S253:AB253" si="330">+R253+(0.711/100)</f>
        <v>2.4534823729428226</v>
      </c>
      <c r="T253" s="90">
        <f t="shared" si="330"/>
        <v>2.4605923729428225</v>
      </c>
      <c r="U253" s="90">
        <f t="shared" si="330"/>
        <v>2.4677023729428225</v>
      </c>
      <c r="V253" s="90">
        <f t="shared" si="330"/>
        <v>2.4748123729428224</v>
      </c>
      <c r="W253" s="90">
        <f t="shared" si="330"/>
        <v>2.4819223729428224</v>
      </c>
      <c r="X253" s="90">
        <f t="shared" si="330"/>
        <v>2.4890323729428223</v>
      </c>
      <c r="Y253" s="90">
        <f t="shared" si="330"/>
        <v>2.4961423729428223</v>
      </c>
      <c r="Z253" s="90">
        <f t="shared" si="330"/>
        <v>2.5032523729428222</v>
      </c>
      <c r="AA253" s="90">
        <f t="shared" si="330"/>
        <v>2.5103623729428222</v>
      </c>
      <c r="AB253" s="90">
        <f t="shared" si="330"/>
        <v>2.5174723729428221</v>
      </c>
    </row>
    <row r="254" spans="1:28" x14ac:dyDescent="0.25">
      <c r="A254" s="87" t="s">
        <v>113</v>
      </c>
      <c r="B254" s="86" t="s">
        <v>24</v>
      </c>
      <c r="C254" s="90">
        <f t="shared" ref="C254:O254" si="331">+C134</f>
        <v>3.750729924609395</v>
      </c>
      <c r="D254" s="90">
        <f t="shared" si="331"/>
        <v>3.750729924609395</v>
      </c>
      <c r="E254" s="90">
        <f t="shared" si="331"/>
        <v>3.750729924609395</v>
      </c>
      <c r="F254" s="90">
        <f t="shared" si="331"/>
        <v>3.750729924609395</v>
      </c>
      <c r="G254" s="90">
        <f t="shared" si="331"/>
        <v>3.750729924609395</v>
      </c>
      <c r="H254" s="90">
        <f t="shared" si="331"/>
        <v>7.3092349405825585</v>
      </c>
      <c r="I254" s="90">
        <f t="shared" si="331"/>
        <v>10.867739956555722</v>
      </c>
      <c r="J254" s="90">
        <f t="shared" si="331"/>
        <v>48.675097596618428</v>
      </c>
      <c r="K254" s="90">
        <f t="shared" si="331"/>
        <v>86.482455236681133</v>
      </c>
      <c r="L254" s="90">
        <f t="shared" si="331"/>
        <v>3.4600483554521668</v>
      </c>
      <c r="M254" s="90">
        <f t="shared" si="331"/>
        <v>3.4600483554521668</v>
      </c>
      <c r="N254" s="90">
        <f t="shared" si="331"/>
        <v>17.912079596212742</v>
      </c>
      <c r="O254" s="90">
        <f t="shared" si="331"/>
        <v>17.912079596212742</v>
      </c>
      <c r="P254" s="90">
        <f t="shared" si="321"/>
        <v>17.911589596212742</v>
      </c>
      <c r="Q254" s="90">
        <f t="shared" si="321"/>
        <v>17.911099596212743</v>
      </c>
      <c r="R254" s="90">
        <f t="shared" si="321"/>
        <v>17.910609596212744</v>
      </c>
      <c r="S254" s="90">
        <f t="shared" ref="S254:AB254" si="332">+R254+(0.711/100)</f>
        <v>17.917719596212745</v>
      </c>
      <c r="T254" s="90">
        <f t="shared" si="332"/>
        <v>17.924829596212746</v>
      </c>
      <c r="U254" s="90">
        <f t="shared" si="332"/>
        <v>17.931939596212747</v>
      </c>
      <c r="V254" s="90">
        <f t="shared" si="332"/>
        <v>17.939049596212747</v>
      </c>
      <c r="W254" s="90">
        <f t="shared" si="332"/>
        <v>17.946159596212748</v>
      </c>
      <c r="X254" s="90">
        <f t="shared" si="332"/>
        <v>17.953269596212749</v>
      </c>
      <c r="Y254" s="90">
        <f t="shared" si="332"/>
        <v>17.96037959621275</v>
      </c>
      <c r="Z254" s="90">
        <f t="shared" si="332"/>
        <v>17.967489596212751</v>
      </c>
      <c r="AA254" s="90">
        <f t="shared" si="332"/>
        <v>17.974599596212752</v>
      </c>
      <c r="AB254" s="90">
        <f t="shared" si="332"/>
        <v>17.981709596212752</v>
      </c>
    </row>
    <row r="255" spans="1:28" x14ac:dyDescent="0.25">
      <c r="A255" s="87" t="s">
        <v>113</v>
      </c>
      <c r="B255" s="86" t="s">
        <v>25</v>
      </c>
      <c r="C255" s="90">
        <f t="shared" ref="C255:O255" si="333">+C135</f>
        <v>0.41555154445763326</v>
      </c>
      <c r="D255" s="90">
        <f t="shared" si="333"/>
        <v>0.41555154445763326</v>
      </c>
      <c r="E255" s="90">
        <f t="shared" si="333"/>
        <v>0.41555154445763326</v>
      </c>
      <c r="F255" s="90">
        <f t="shared" si="333"/>
        <v>0.41555154445763326</v>
      </c>
      <c r="G255" s="90">
        <f t="shared" si="333"/>
        <v>0.41555154445763326</v>
      </c>
      <c r="H255" s="90">
        <f t="shared" si="333"/>
        <v>0.80980607226181278</v>
      </c>
      <c r="I255" s="90">
        <f t="shared" si="333"/>
        <v>1.2040606000659924</v>
      </c>
      <c r="J255" s="90">
        <f t="shared" si="333"/>
        <v>5.3928201681989361</v>
      </c>
      <c r="K255" s="90">
        <f t="shared" si="333"/>
        <v>9.5815797363318786</v>
      </c>
      <c r="L255" s="90">
        <f t="shared" si="333"/>
        <v>0.38334629976216666</v>
      </c>
      <c r="M255" s="90">
        <f t="shared" si="333"/>
        <v>0.38334629976216666</v>
      </c>
      <c r="N255" s="90">
        <f t="shared" si="333"/>
        <v>1.9845183445004848</v>
      </c>
      <c r="O255" s="90">
        <f t="shared" si="333"/>
        <v>1.9845183445004848</v>
      </c>
      <c r="P255" s="90">
        <f t="shared" si="321"/>
        <v>1.9840283445004847</v>
      </c>
      <c r="Q255" s="90">
        <f t="shared" si="321"/>
        <v>1.9835383445004846</v>
      </c>
      <c r="R255" s="90">
        <f t="shared" si="321"/>
        <v>1.9830483445004845</v>
      </c>
      <c r="S255" s="90">
        <f t="shared" ref="S255:AB255" si="334">+R255+(0.711/100)</f>
        <v>1.9901583445004845</v>
      </c>
      <c r="T255" s="90">
        <f t="shared" si="334"/>
        <v>1.9972683445004844</v>
      </c>
      <c r="U255" s="90">
        <f t="shared" si="334"/>
        <v>2.0043783445004846</v>
      </c>
      <c r="V255" s="90">
        <f t="shared" si="334"/>
        <v>2.0114883445004845</v>
      </c>
      <c r="W255" s="90">
        <f t="shared" si="334"/>
        <v>2.0185983445004845</v>
      </c>
      <c r="X255" s="90">
        <f t="shared" si="334"/>
        <v>2.0257083445004844</v>
      </c>
      <c r="Y255" s="90">
        <f t="shared" si="334"/>
        <v>2.0328183445004844</v>
      </c>
      <c r="Z255" s="90">
        <f t="shared" si="334"/>
        <v>2.0399283445004843</v>
      </c>
      <c r="AA255" s="90">
        <f t="shared" si="334"/>
        <v>2.0470383445004843</v>
      </c>
      <c r="AB255" s="90">
        <f t="shared" si="334"/>
        <v>2.0541483445004842</v>
      </c>
    </row>
    <row r="256" spans="1:28" x14ac:dyDescent="0.25">
      <c r="A256" s="87" t="s">
        <v>113</v>
      </c>
      <c r="B256" s="86" t="s">
        <v>26</v>
      </c>
      <c r="C256" s="90">
        <f t="shared" ref="C256:O256" si="335">+C136</f>
        <v>0.10320311067253829</v>
      </c>
      <c r="D256" s="90">
        <f t="shared" si="335"/>
        <v>0.10320311067253829</v>
      </c>
      <c r="E256" s="90">
        <f t="shared" si="335"/>
        <v>0.10320311067253829</v>
      </c>
      <c r="F256" s="90">
        <f t="shared" si="335"/>
        <v>0.10320311067253829</v>
      </c>
      <c r="G256" s="90">
        <f t="shared" si="335"/>
        <v>0.10320311067253829</v>
      </c>
      <c r="H256" s="90">
        <f t="shared" si="335"/>
        <v>0.20111706192310899</v>
      </c>
      <c r="I256" s="90">
        <f t="shared" si="335"/>
        <v>0.29903101317367969</v>
      </c>
      <c r="J256" s="90">
        <f t="shared" si="335"/>
        <v>1.3393183687528658</v>
      </c>
      <c r="K256" s="90">
        <f t="shared" si="335"/>
        <v>2.3796057243320519</v>
      </c>
      <c r="L256" s="90">
        <f t="shared" si="335"/>
        <v>9.5204869595416575E-2</v>
      </c>
      <c r="M256" s="90">
        <f t="shared" si="335"/>
        <v>9.5204869595416575E-2</v>
      </c>
      <c r="N256" s="90">
        <f t="shared" si="335"/>
        <v>0.49285935540554066</v>
      </c>
      <c r="O256" s="90">
        <f t="shared" si="335"/>
        <v>0.49285935540554066</v>
      </c>
      <c r="P256" s="90">
        <f t="shared" si="321"/>
        <v>0.49236935540554067</v>
      </c>
      <c r="Q256" s="90">
        <f t="shared" si="321"/>
        <v>0.49187935540554067</v>
      </c>
      <c r="R256" s="90">
        <f t="shared" si="321"/>
        <v>0.49138935540554068</v>
      </c>
      <c r="S256" s="90">
        <f t="shared" ref="S256:AB256" si="336">+R256+(0.711/100)</f>
        <v>0.49849935540554069</v>
      </c>
      <c r="T256" s="90">
        <f t="shared" si="336"/>
        <v>0.50560935540554064</v>
      </c>
      <c r="U256" s="90">
        <f t="shared" si="336"/>
        <v>0.51271935540554059</v>
      </c>
      <c r="V256" s="90">
        <f t="shared" si="336"/>
        <v>0.51982935540554054</v>
      </c>
      <c r="W256" s="90">
        <f t="shared" si="336"/>
        <v>0.52693935540554049</v>
      </c>
      <c r="X256" s="90">
        <f t="shared" si="336"/>
        <v>0.53404935540554044</v>
      </c>
      <c r="Y256" s="90">
        <f t="shared" si="336"/>
        <v>0.54115935540554039</v>
      </c>
      <c r="Z256" s="90">
        <f t="shared" si="336"/>
        <v>0.54826935540554034</v>
      </c>
      <c r="AA256" s="90">
        <f t="shared" si="336"/>
        <v>0.55537935540554029</v>
      </c>
      <c r="AB256" s="90">
        <f t="shared" si="336"/>
        <v>0.56248935540554024</v>
      </c>
    </row>
    <row r="257" spans="1:28" x14ac:dyDescent="0.25">
      <c r="A257" s="87" t="s">
        <v>113</v>
      </c>
      <c r="B257" s="86" t="s">
        <v>27</v>
      </c>
      <c r="C257" s="90">
        <f t="shared" ref="C257:O257" si="337">+C137</f>
        <v>0.43157774322207193</v>
      </c>
      <c r="D257" s="90">
        <f t="shared" si="337"/>
        <v>0.43157774322207193</v>
      </c>
      <c r="E257" s="90">
        <f t="shared" si="337"/>
        <v>0.43157774322207193</v>
      </c>
      <c r="F257" s="90">
        <f t="shared" si="337"/>
        <v>0.43157774322207193</v>
      </c>
      <c r="G257" s="90">
        <f t="shared" si="337"/>
        <v>0.43157774322207193</v>
      </c>
      <c r="H257" s="90">
        <f t="shared" si="337"/>
        <v>0.84103712710401268</v>
      </c>
      <c r="I257" s="90">
        <f t="shared" si="337"/>
        <v>1.2504965109859534</v>
      </c>
      <c r="J257" s="90">
        <f t="shared" si="337"/>
        <v>5.6008001626644388</v>
      </c>
      <c r="K257" s="90">
        <f t="shared" si="337"/>
        <v>9.9511038143429236</v>
      </c>
      <c r="L257" s="90">
        <f t="shared" si="337"/>
        <v>0.39813046812236136</v>
      </c>
      <c r="M257" s="90">
        <f t="shared" si="337"/>
        <v>0.39813046812236136</v>
      </c>
      <c r="N257" s="90">
        <f t="shared" si="337"/>
        <v>2.0610534599749073</v>
      </c>
      <c r="O257" s="90">
        <f t="shared" si="337"/>
        <v>2.0610534599749073</v>
      </c>
      <c r="P257" s="90">
        <f t="shared" si="321"/>
        <v>2.0605634599749072</v>
      </c>
      <c r="Q257" s="90">
        <f t="shared" si="321"/>
        <v>2.0600734599749071</v>
      </c>
      <c r="R257" s="90">
        <f t="shared" si="321"/>
        <v>2.059583459974907</v>
      </c>
      <c r="S257" s="90">
        <f t="shared" ref="S257:AB257" si="338">+R257+(0.711/100)</f>
        <v>2.0666934599749069</v>
      </c>
      <c r="T257" s="90">
        <f t="shared" si="338"/>
        <v>2.0738034599749069</v>
      </c>
      <c r="U257" s="90">
        <f t="shared" si="338"/>
        <v>2.0809134599749068</v>
      </c>
      <c r="V257" s="90">
        <f t="shared" si="338"/>
        <v>2.0880234599749068</v>
      </c>
      <c r="W257" s="90">
        <f t="shared" si="338"/>
        <v>2.0951334599749067</v>
      </c>
      <c r="X257" s="90">
        <f t="shared" si="338"/>
        <v>2.1022434599749067</v>
      </c>
      <c r="Y257" s="90">
        <f t="shared" si="338"/>
        <v>2.1093534599749066</v>
      </c>
      <c r="Z257" s="90">
        <f t="shared" si="338"/>
        <v>2.1164634599749066</v>
      </c>
      <c r="AA257" s="90">
        <f t="shared" si="338"/>
        <v>2.1235734599749065</v>
      </c>
      <c r="AB257" s="90">
        <f t="shared" si="338"/>
        <v>2.1306834599749065</v>
      </c>
    </row>
    <row r="259" spans="1:28" x14ac:dyDescent="0.25">
      <c r="A259" s="81" t="s">
        <v>116</v>
      </c>
    </row>
    <row r="260" spans="1:28" x14ac:dyDescent="0.25">
      <c r="A260" s="1" t="s">
        <v>105</v>
      </c>
      <c r="B260" s="65" t="s">
        <v>106</v>
      </c>
      <c r="C260" s="1">
        <v>2010</v>
      </c>
      <c r="D260" s="1">
        <v>2011</v>
      </c>
      <c r="E260" s="1">
        <v>2012</v>
      </c>
      <c r="F260" s="1">
        <v>2013</v>
      </c>
      <c r="G260" s="1">
        <v>2014</v>
      </c>
      <c r="H260" s="1">
        <v>2015</v>
      </c>
      <c r="I260" s="1">
        <v>2016</v>
      </c>
      <c r="J260" s="1">
        <v>2017</v>
      </c>
      <c r="K260" s="1">
        <v>2018</v>
      </c>
      <c r="L260" s="1">
        <v>2019</v>
      </c>
      <c r="M260" s="1">
        <v>2020</v>
      </c>
      <c r="N260" s="1">
        <v>2021</v>
      </c>
      <c r="O260" s="1">
        <v>2022</v>
      </c>
      <c r="P260" s="1">
        <v>2023</v>
      </c>
      <c r="Q260" s="1">
        <v>2024</v>
      </c>
      <c r="R260" s="1">
        <v>2025</v>
      </c>
      <c r="S260" s="1">
        <v>2026</v>
      </c>
      <c r="T260" s="1">
        <v>2027</v>
      </c>
      <c r="U260" s="1">
        <v>2028</v>
      </c>
      <c r="V260" s="1">
        <v>2029</v>
      </c>
      <c r="W260" s="1">
        <v>2030</v>
      </c>
      <c r="X260" s="1">
        <v>2031</v>
      </c>
      <c r="Y260" s="1">
        <v>2032</v>
      </c>
      <c r="Z260" s="1">
        <v>2033</v>
      </c>
      <c r="AA260" s="1">
        <v>2034</v>
      </c>
      <c r="AB260" s="1">
        <v>2035</v>
      </c>
    </row>
    <row r="261" spans="1:28" x14ac:dyDescent="0.25">
      <c r="A261" s="86" t="s">
        <v>18</v>
      </c>
      <c r="B261" s="87" t="s">
        <v>19</v>
      </c>
      <c r="C261" s="90">
        <v>2921.6550000000002</v>
      </c>
      <c r="D261" s="90">
        <f t="shared" ref="D261:D274" si="339">+(C261+E261)/2</f>
        <v>2921.6550000000002</v>
      </c>
      <c r="E261" s="90">
        <v>2921.6550000000002</v>
      </c>
      <c r="F261" s="90">
        <f t="shared" ref="F261:F274" si="340">+(E261+G261)/2</f>
        <v>2921.6550000000002</v>
      </c>
      <c r="G261" s="90">
        <v>2921.6550000000002</v>
      </c>
      <c r="H261" s="90">
        <f t="shared" ref="H261:H274" si="341">+(G261+I261)/2</f>
        <v>2044.4325000000001</v>
      </c>
      <c r="I261" s="90">
        <v>1167.21</v>
      </c>
      <c r="J261" s="90">
        <f t="shared" ref="J261:J274" si="342">+(I261+K261)/2</f>
        <v>1052.55</v>
      </c>
      <c r="K261" s="90">
        <v>937.89</v>
      </c>
      <c r="L261" s="90">
        <v>3382.92</v>
      </c>
      <c r="M261" s="90">
        <v>3382.92</v>
      </c>
      <c r="N261" s="90">
        <v>2392.92</v>
      </c>
      <c r="O261" s="90">
        <v>2392.92</v>
      </c>
      <c r="P261" s="90">
        <f t="shared" ref="P261:R274" si="343">+O261+(0.049/100)</f>
        <v>2392.92049</v>
      </c>
      <c r="Q261" s="90">
        <f t="shared" si="343"/>
        <v>2392.9209799999999</v>
      </c>
      <c r="R261" s="90">
        <f t="shared" si="343"/>
        <v>2392.9214699999998</v>
      </c>
      <c r="S261" s="90">
        <f t="shared" ref="S261:AB261" si="344">+R261-(0.711/100)</f>
        <v>2392.9143599999998</v>
      </c>
      <c r="T261" s="90">
        <f t="shared" si="344"/>
        <v>2392.9072499999997</v>
      </c>
      <c r="U261" s="90">
        <f t="shared" si="344"/>
        <v>2392.9001399999997</v>
      </c>
      <c r="V261" s="90">
        <f t="shared" si="344"/>
        <v>2392.8930299999997</v>
      </c>
      <c r="W261" s="90">
        <f t="shared" si="344"/>
        <v>2392.8859199999997</v>
      </c>
      <c r="X261" s="90">
        <f t="shared" si="344"/>
        <v>2392.8788099999997</v>
      </c>
      <c r="Y261" s="90">
        <f t="shared" si="344"/>
        <v>2392.8716999999997</v>
      </c>
      <c r="Z261" s="90">
        <f t="shared" si="344"/>
        <v>2392.8645899999997</v>
      </c>
      <c r="AA261" s="90">
        <f t="shared" si="344"/>
        <v>2392.8574799999997</v>
      </c>
      <c r="AB261" s="90">
        <f t="shared" si="344"/>
        <v>2392.8503699999997</v>
      </c>
    </row>
    <row r="262" spans="1:28" x14ac:dyDescent="0.25">
      <c r="A262" s="86" t="s">
        <v>20</v>
      </c>
      <c r="B262" s="87" t="s">
        <v>19</v>
      </c>
      <c r="C262" s="90">
        <v>14129.010000000007</v>
      </c>
      <c r="D262" s="90">
        <f t="shared" si="339"/>
        <v>14129.010000000007</v>
      </c>
      <c r="E262" s="90">
        <v>14129.010000000007</v>
      </c>
      <c r="F262" s="90">
        <f t="shared" si="340"/>
        <v>14129.010000000007</v>
      </c>
      <c r="G262" s="90">
        <v>14129.010000000007</v>
      </c>
      <c r="H262" s="90">
        <f t="shared" si="341"/>
        <v>13915.642500000002</v>
      </c>
      <c r="I262" s="90">
        <v>13702.274999999998</v>
      </c>
      <c r="J262" s="90">
        <f t="shared" si="342"/>
        <v>11871.967499999999</v>
      </c>
      <c r="K262" s="90">
        <v>10041.66</v>
      </c>
      <c r="L262" s="90">
        <v>11193.21</v>
      </c>
      <c r="M262" s="90">
        <v>11193.21</v>
      </c>
      <c r="N262" s="90">
        <v>14441.400000000001</v>
      </c>
      <c r="O262" s="90">
        <v>14441.400000000001</v>
      </c>
      <c r="P262" s="90">
        <f t="shared" si="343"/>
        <v>14441.400490000002</v>
      </c>
      <c r="Q262" s="90">
        <f t="shared" si="343"/>
        <v>14441.400980000002</v>
      </c>
      <c r="R262" s="90">
        <f t="shared" si="343"/>
        <v>14441.401470000003</v>
      </c>
      <c r="S262" s="90">
        <f t="shared" ref="S262:AB262" si="345">+R262-(0.711/100)</f>
        <v>14441.394360000002</v>
      </c>
      <c r="T262" s="90">
        <f t="shared" si="345"/>
        <v>14441.387250000002</v>
      </c>
      <c r="U262" s="90">
        <f t="shared" si="345"/>
        <v>14441.380140000001</v>
      </c>
      <c r="V262" s="90">
        <f t="shared" si="345"/>
        <v>14441.373030000001</v>
      </c>
      <c r="W262" s="90">
        <f t="shared" si="345"/>
        <v>14441.36592</v>
      </c>
      <c r="X262" s="90">
        <f t="shared" si="345"/>
        <v>14441.35881</v>
      </c>
      <c r="Y262" s="90">
        <f t="shared" si="345"/>
        <v>14441.351699999999</v>
      </c>
      <c r="Z262" s="90">
        <f t="shared" si="345"/>
        <v>14441.344589999999</v>
      </c>
      <c r="AA262" s="90">
        <f t="shared" si="345"/>
        <v>14441.337479999998</v>
      </c>
      <c r="AB262" s="90">
        <f t="shared" si="345"/>
        <v>14441.330369999998</v>
      </c>
    </row>
    <row r="263" spans="1:28" x14ac:dyDescent="0.25">
      <c r="A263" s="86" t="s">
        <v>21</v>
      </c>
      <c r="B263" s="87" t="s">
        <v>19</v>
      </c>
      <c r="C263" s="90">
        <v>13631.910000000002</v>
      </c>
      <c r="D263" s="90">
        <f t="shared" si="339"/>
        <v>13631.910000000002</v>
      </c>
      <c r="E263" s="90">
        <v>13631.910000000002</v>
      </c>
      <c r="F263" s="90">
        <f t="shared" si="340"/>
        <v>13631.910000000002</v>
      </c>
      <c r="G263" s="90">
        <v>13631.910000000002</v>
      </c>
      <c r="H263" s="90">
        <f t="shared" si="341"/>
        <v>13444.094999999999</v>
      </c>
      <c r="I263" s="90">
        <v>13256.279999999997</v>
      </c>
      <c r="J263" s="90">
        <f t="shared" si="342"/>
        <v>12232.394999999999</v>
      </c>
      <c r="K263" s="90">
        <v>11208.51</v>
      </c>
      <c r="L263" s="90">
        <v>11090.66</v>
      </c>
      <c r="M263" s="90">
        <v>11090.66</v>
      </c>
      <c r="N263" s="90">
        <v>8753.94</v>
      </c>
      <c r="O263" s="90">
        <v>8753.94</v>
      </c>
      <c r="P263" s="90">
        <f t="shared" si="343"/>
        <v>8753.9404900000009</v>
      </c>
      <c r="Q263" s="90">
        <f t="shared" si="343"/>
        <v>8753.9409800000012</v>
      </c>
      <c r="R263" s="90">
        <f t="shared" si="343"/>
        <v>8753.9414700000016</v>
      </c>
      <c r="S263" s="90">
        <f t="shared" ref="S263:AB263" si="346">+R263-(0.711/100)</f>
        <v>8753.9343600000011</v>
      </c>
      <c r="T263" s="90">
        <f t="shared" si="346"/>
        <v>8753.9272500000006</v>
      </c>
      <c r="U263" s="90">
        <f t="shared" si="346"/>
        <v>8753.9201400000002</v>
      </c>
      <c r="V263" s="90">
        <f t="shared" si="346"/>
        <v>8753.9130299999997</v>
      </c>
      <c r="W263" s="90">
        <f t="shared" si="346"/>
        <v>8753.9059199999992</v>
      </c>
      <c r="X263" s="90">
        <f t="shared" si="346"/>
        <v>8753.8988099999988</v>
      </c>
      <c r="Y263" s="90">
        <f t="shared" si="346"/>
        <v>8753.8916999999983</v>
      </c>
      <c r="Z263" s="90">
        <f t="shared" si="346"/>
        <v>8753.8845899999978</v>
      </c>
      <c r="AA263" s="90">
        <f t="shared" si="346"/>
        <v>8753.8774799999974</v>
      </c>
      <c r="AB263" s="90">
        <f t="shared" si="346"/>
        <v>8753.8703699999969</v>
      </c>
    </row>
    <row r="264" spans="1:28" x14ac:dyDescent="0.25">
      <c r="A264" s="86" t="s">
        <v>22</v>
      </c>
      <c r="B264" s="87" t="s">
        <v>19</v>
      </c>
      <c r="C264" s="90">
        <v>19148.415000000001</v>
      </c>
      <c r="D264" s="90">
        <f t="shared" si="339"/>
        <v>19148.415000000001</v>
      </c>
      <c r="E264" s="90">
        <v>19148.415000000001</v>
      </c>
      <c r="F264" s="90">
        <f t="shared" si="340"/>
        <v>19148.415000000001</v>
      </c>
      <c r="G264" s="90">
        <v>19148.415000000001</v>
      </c>
      <c r="H264" s="90">
        <f t="shared" si="341"/>
        <v>15017.677500000002</v>
      </c>
      <c r="I264" s="90">
        <v>10886.94</v>
      </c>
      <c r="J264" s="90">
        <f t="shared" si="342"/>
        <v>10514.34</v>
      </c>
      <c r="K264" s="90">
        <v>10141.74</v>
      </c>
      <c r="L264" s="90">
        <v>8861.5349999999999</v>
      </c>
      <c r="M264" s="90">
        <v>8861.5349999999999</v>
      </c>
      <c r="N264" s="90">
        <v>11154.645</v>
      </c>
      <c r="O264" s="90">
        <v>11154.645</v>
      </c>
      <c r="P264" s="90">
        <f t="shared" si="343"/>
        <v>11154.645490000001</v>
      </c>
      <c r="Q264" s="90">
        <f t="shared" si="343"/>
        <v>11154.645980000001</v>
      </c>
      <c r="R264" s="90">
        <f t="shared" si="343"/>
        <v>11154.646470000002</v>
      </c>
      <c r="S264" s="90">
        <f t="shared" ref="S264:AB264" si="347">+R264-(0.711/100)</f>
        <v>11154.639360000001</v>
      </c>
      <c r="T264" s="90">
        <f t="shared" si="347"/>
        <v>11154.632250000001</v>
      </c>
      <c r="U264" s="90">
        <f t="shared" si="347"/>
        <v>11154.62514</v>
      </c>
      <c r="V264" s="90">
        <f t="shared" si="347"/>
        <v>11154.61803</v>
      </c>
      <c r="W264" s="90">
        <f t="shared" si="347"/>
        <v>11154.610919999999</v>
      </c>
      <c r="X264" s="90">
        <f t="shared" si="347"/>
        <v>11154.603809999999</v>
      </c>
      <c r="Y264" s="90">
        <f t="shared" si="347"/>
        <v>11154.596699999998</v>
      </c>
      <c r="Z264" s="90">
        <f t="shared" si="347"/>
        <v>11154.589589999998</v>
      </c>
      <c r="AA264" s="90">
        <f t="shared" si="347"/>
        <v>11154.582479999997</v>
      </c>
      <c r="AB264" s="90">
        <f t="shared" si="347"/>
        <v>11154.575369999997</v>
      </c>
    </row>
    <row r="265" spans="1:28" x14ac:dyDescent="0.25">
      <c r="A265" s="86" t="s">
        <v>23</v>
      </c>
      <c r="B265" s="87" t="s">
        <v>19</v>
      </c>
      <c r="C265" s="90">
        <v>2543.9550000000004</v>
      </c>
      <c r="D265" s="90">
        <f t="shared" si="339"/>
        <v>2543.9550000000004</v>
      </c>
      <c r="E265" s="90">
        <v>2543.9550000000004</v>
      </c>
      <c r="F265" s="90">
        <f t="shared" si="340"/>
        <v>2543.9550000000004</v>
      </c>
      <c r="G265" s="90">
        <v>2543.9550000000004</v>
      </c>
      <c r="H265" s="90">
        <f t="shared" si="341"/>
        <v>2740.3950000000004</v>
      </c>
      <c r="I265" s="90">
        <v>2936.835</v>
      </c>
      <c r="J265" s="90">
        <f t="shared" si="342"/>
        <v>2619.4974999999999</v>
      </c>
      <c r="K265" s="90">
        <v>2302.16</v>
      </c>
      <c r="L265" s="90">
        <v>3169.13</v>
      </c>
      <c r="M265" s="90">
        <v>3169.13</v>
      </c>
      <c r="N265" s="90">
        <v>1357.29</v>
      </c>
      <c r="O265" s="90">
        <v>1357.29</v>
      </c>
      <c r="P265" s="90">
        <f t="shared" si="343"/>
        <v>1357.2904899999999</v>
      </c>
      <c r="Q265" s="90">
        <f t="shared" si="343"/>
        <v>1357.2909799999998</v>
      </c>
      <c r="R265" s="90">
        <f t="shared" si="343"/>
        <v>1357.2914699999997</v>
      </c>
      <c r="S265" s="90">
        <f t="shared" ref="S265:AB265" si="348">+R265-(0.711/100)</f>
        <v>1357.2843599999997</v>
      </c>
      <c r="T265" s="90">
        <f t="shared" si="348"/>
        <v>1357.2772499999996</v>
      </c>
      <c r="U265" s="90">
        <f t="shared" si="348"/>
        <v>1357.2701399999996</v>
      </c>
      <c r="V265" s="90">
        <f t="shared" si="348"/>
        <v>1357.2630299999996</v>
      </c>
      <c r="W265" s="90">
        <f t="shared" si="348"/>
        <v>1357.2559199999996</v>
      </c>
      <c r="X265" s="90">
        <f t="shared" si="348"/>
        <v>1357.2488099999996</v>
      </c>
      <c r="Y265" s="90">
        <f t="shared" si="348"/>
        <v>1357.2416999999996</v>
      </c>
      <c r="Z265" s="90">
        <f t="shared" si="348"/>
        <v>1357.2345899999996</v>
      </c>
      <c r="AA265" s="90">
        <f t="shared" si="348"/>
        <v>1357.2274799999996</v>
      </c>
      <c r="AB265" s="90">
        <f t="shared" si="348"/>
        <v>1357.2203699999995</v>
      </c>
    </row>
    <row r="266" spans="1:28" ht="22.5" x14ac:dyDescent="0.25">
      <c r="A266" s="86" t="s">
        <v>24</v>
      </c>
      <c r="B266" s="87" t="s">
        <v>19</v>
      </c>
      <c r="C266" s="90">
        <v>22227.494999999999</v>
      </c>
      <c r="D266" s="90">
        <f t="shared" si="339"/>
        <v>22227.494999999999</v>
      </c>
      <c r="E266" s="90">
        <v>22227.494999999999</v>
      </c>
      <c r="F266" s="90">
        <f t="shared" si="340"/>
        <v>22227.494999999999</v>
      </c>
      <c r="G266" s="90">
        <v>22227.494999999999</v>
      </c>
      <c r="H266" s="90">
        <f t="shared" si="341"/>
        <v>24651.502500000002</v>
      </c>
      <c r="I266" s="90">
        <v>27075.510000000002</v>
      </c>
      <c r="J266" s="90">
        <f t="shared" si="342"/>
        <v>25636.365000000002</v>
      </c>
      <c r="K266" s="90">
        <v>24197.22</v>
      </c>
      <c r="L266" s="90">
        <v>26998.74</v>
      </c>
      <c r="M266" s="90">
        <v>26998.74</v>
      </c>
      <c r="N266" s="90">
        <v>28947.375</v>
      </c>
      <c r="O266" s="90">
        <v>28947.375</v>
      </c>
      <c r="P266" s="90">
        <f t="shared" si="343"/>
        <v>28947.375489999999</v>
      </c>
      <c r="Q266" s="90">
        <f t="shared" si="343"/>
        <v>28947.375979999997</v>
      </c>
      <c r="R266" s="90">
        <f t="shared" si="343"/>
        <v>28947.376469999996</v>
      </c>
      <c r="S266" s="90">
        <f t="shared" ref="S266:AB266" si="349">+R266-(0.711/100)</f>
        <v>28947.369359999997</v>
      </c>
      <c r="T266" s="90">
        <f t="shared" si="349"/>
        <v>28947.362249999998</v>
      </c>
      <c r="U266" s="90">
        <f t="shared" si="349"/>
        <v>28947.35514</v>
      </c>
      <c r="V266" s="90">
        <f t="shared" si="349"/>
        <v>28947.348030000001</v>
      </c>
      <c r="W266" s="90">
        <f t="shared" si="349"/>
        <v>28947.340920000002</v>
      </c>
      <c r="X266" s="90">
        <f t="shared" si="349"/>
        <v>28947.333810000004</v>
      </c>
      <c r="Y266" s="90">
        <f t="shared" si="349"/>
        <v>28947.326700000005</v>
      </c>
      <c r="Z266" s="90">
        <f t="shared" si="349"/>
        <v>28947.319590000006</v>
      </c>
      <c r="AA266" s="90">
        <f t="shared" si="349"/>
        <v>28947.312480000008</v>
      </c>
      <c r="AB266" s="90">
        <f t="shared" si="349"/>
        <v>28947.305370000009</v>
      </c>
    </row>
    <row r="267" spans="1:28" x14ac:dyDescent="0.25">
      <c r="A267" s="86" t="s">
        <v>25</v>
      </c>
      <c r="B267" s="87" t="s">
        <v>19</v>
      </c>
      <c r="C267" s="90">
        <v>19344.36</v>
      </c>
      <c r="D267" s="90">
        <f t="shared" si="339"/>
        <v>19344.36</v>
      </c>
      <c r="E267" s="90">
        <v>19344.36</v>
      </c>
      <c r="F267" s="90">
        <f t="shared" si="340"/>
        <v>19344.36</v>
      </c>
      <c r="G267" s="90">
        <v>19344.36</v>
      </c>
      <c r="H267" s="90">
        <f t="shared" si="341"/>
        <v>19871.79</v>
      </c>
      <c r="I267" s="90">
        <v>20399.220000000005</v>
      </c>
      <c r="J267" s="90">
        <f t="shared" si="342"/>
        <v>19175.940000000002</v>
      </c>
      <c r="K267" s="90">
        <v>17952.66</v>
      </c>
      <c r="L267" s="90">
        <v>16612.38</v>
      </c>
      <c r="M267" s="90">
        <v>16612.38</v>
      </c>
      <c r="N267" s="90">
        <v>23323.995000000003</v>
      </c>
      <c r="O267" s="90">
        <v>23323.995000000003</v>
      </c>
      <c r="P267" s="90">
        <f t="shared" si="343"/>
        <v>23323.995490000001</v>
      </c>
      <c r="Q267" s="90">
        <f t="shared" si="343"/>
        <v>23323.99598</v>
      </c>
      <c r="R267" s="90">
        <f t="shared" si="343"/>
        <v>23323.996469999998</v>
      </c>
      <c r="S267" s="90">
        <f t="shared" ref="S267:AB267" si="350">+R267-(0.711/100)</f>
        <v>23323.98936</v>
      </c>
      <c r="T267" s="90">
        <f t="shared" si="350"/>
        <v>23323.982250000001</v>
      </c>
      <c r="U267" s="90">
        <f t="shared" si="350"/>
        <v>23323.975140000002</v>
      </c>
      <c r="V267" s="90">
        <f t="shared" si="350"/>
        <v>23323.968030000004</v>
      </c>
      <c r="W267" s="90">
        <f t="shared" si="350"/>
        <v>23323.960920000005</v>
      </c>
      <c r="X267" s="90">
        <f t="shared" si="350"/>
        <v>23323.953810000006</v>
      </c>
      <c r="Y267" s="90">
        <f t="shared" si="350"/>
        <v>23323.946700000008</v>
      </c>
      <c r="Z267" s="90">
        <f t="shared" si="350"/>
        <v>23323.939590000009</v>
      </c>
      <c r="AA267" s="90">
        <f t="shared" si="350"/>
        <v>23323.93248000001</v>
      </c>
      <c r="AB267" s="90">
        <f t="shared" si="350"/>
        <v>23323.925370000012</v>
      </c>
    </row>
    <row r="268" spans="1:28" x14ac:dyDescent="0.25">
      <c r="A268" s="86" t="s">
        <v>26</v>
      </c>
      <c r="B268" s="87" t="s">
        <v>19</v>
      </c>
      <c r="C268" s="90">
        <v>363.52500000000009</v>
      </c>
      <c r="D268" s="90">
        <f t="shared" si="339"/>
        <v>363.52500000000009</v>
      </c>
      <c r="E268" s="90">
        <v>363.52500000000009</v>
      </c>
      <c r="F268" s="90">
        <f t="shared" si="340"/>
        <v>363.52500000000009</v>
      </c>
      <c r="G268" s="90">
        <v>363.52500000000009</v>
      </c>
      <c r="H268" s="90">
        <f t="shared" si="341"/>
        <v>561.31500000000028</v>
      </c>
      <c r="I268" s="90">
        <v>759.10500000000059</v>
      </c>
      <c r="J268" s="90">
        <f t="shared" si="342"/>
        <v>538.24750000000029</v>
      </c>
      <c r="K268" s="90">
        <v>317.39</v>
      </c>
      <c r="L268" s="90">
        <v>137.97</v>
      </c>
      <c r="M268" s="90">
        <v>137.97</v>
      </c>
      <c r="N268" s="90">
        <v>329.58</v>
      </c>
      <c r="O268" s="90">
        <v>329.58</v>
      </c>
      <c r="P268" s="90">
        <f t="shared" si="343"/>
        <v>329.58049</v>
      </c>
      <c r="Q268" s="90">
        <f t="shared" si="343"/>
        <v>329.58098000000001</v>
      </c>
      <c r="R268" s="90">
        <f t="shared" si="343"/>
        <v>329.58147000000002</v>
      </c>
      <c r="S268" s="90">
        <f t="shared" ref="S268:AB268" si="351">+R268-(0.711/100)</f>
        <v>329.57436000000001</v>
      </c>
      <c r="T268" s="90">
        <f t="shared" si="351"/>
        <v>329.56725</v>
      </c>
      <c r="U268" s="90">
        <f t="shared" si="351"/>
        <v>329.56013999999999</v>
      </c>
      <c r="V268" s="90">
        <f t="shared" si="351"/>
        <v>329.55302999999998</v>
      </c>
      <c r="W268" s="90">
        <f t="shared" si="351"/>
        <v>329.54591999999997</v>
      </c>
      <c r="X268" s="90">
        <f t="shared" si="351"/>
        <v>329.53880999999996</v>
      </c>
      <c r="Y268" s="90">
        <f t="shared" si="351"/>
        <v>329.53169999999994</v>
      </c>
      <c r="Z268" s="90">
        <f t="shared" si="351"/>
        <v>329.52458999999993</v>
      </c>
      <c r="AA268" s="90">
        <f t="shared" si="351"/>
        <v>329.51747999999992</v>
      </c>
      <c r="AB268" s="90">
        <f t="shared" si="351"/>
        <v>329.51036999999991</v>
      </c>
    </row>
    <row r="269" spans="1:28" x14ac:dyDescent="0.25">
      <c r="A269" s="86" t="s">
        <v>27</v>
      </c>
      <c r="B269" s="87" t="s">
        <v>19</v>
      </c>
      <c r="C269" s="90">
        <v>423.67500000000001</v>
      </c>
      <c r="D269" s="90">
        <f t="shared" si="339"/>
        <v>423.67500000000001</v>
      </c>
      <c r="E269" s="90">
        <v>423.67500000000001</v>
      </c>
      <c r="F269" s="90">
        <f t="shared" si="340"/>
        <v>423.67500000000001</v>
      </c>
      <c r="G269" s="90">
        <v>423.67500000000001</v>
      </c>
      <c r="H269" s="90">
        <f t="shared" si="341"/>
        <v>506.65499999999997</v>
      </c>
      <c r="I269" s="90">
        <v>589.63499999999999</v>
      </c>
      <c r="J269" s="90">
        <f t="shared" si="342"/>
        <v>463.27499999999998</v>
      </c>
      <c r="K269" s="90">
        <v>336.91500000000002</v>
      </c>
      <c r="L269" s="90">
        <v>621.04999999999995</v>
      </c>
      <c r="M269" s="90">
        <v>621.04999999999995</v>
      </c>
      <c r="N269" s="90">
        <v>667.8900000000001</v>
      </c>
      <c r="O269" s="90">
        <v>667.8900000000001</v>
      </c>
      <c r="P269" s="90">
        <f t="shared" si="343"/>
        <v>667.89049000000011</v>
      </c>
      <c r="Q269" s="90">
        <f t="shared" si="343"/>
        <v>667.89098000000013</v>
      </c>
      <c r="R269" s="90">
        <f t="shared" si="343"/>
        <v>667.89147000000014</v>
      </c>
      <c r="S269" s="90">
        <f t="shared" ref="S269:AB269" si="352">+R269-(0.711/100)</f>
        <v>667.88436000000013</v>
      </c>
      <c r="T269" s="90">
        <f t="shared" si="352"/>
        <v>667.87725000000012</v>
      </c>
      <c r="U269" s="90">
        <f t="shared" si="352"/>
        <v>667.87014000000011</v>
      </c>
      <c r="V269" s="90">
        <f t="shared" si="352"/>
        <v>667.86303000000009</v>
      </c>
      <c r="W269" s="90">
        <f t="shared" si="352"/>
        <v>667.85592000000008</v>
      </c>
      <c r="X269" s="90">
        <f t="shared" si="352"/>
        <v>667.84881000000007</v>
      </c>
      <c r="Y269" s="90">
        <f t="shared" si="352"/>
        <v>667.84170000000006</v>
      </c>
      <c r="Z269" s="90">
        <f t="shared" si="352"/>
        <v>667.83459000000005</v>
      </c>
      <c r="AA269" s="90">
        <f t="shared" si="352"/>
        <v>667.82748000000004</v>
      </c>
      <c r="AB269" s="90">
        <f t="shared" si="352"/>
        <v>667.82037000000003</v>
      </c>
    </row>
    <row r="270" spans="1:28" x14ac:dyDescent="0.25">
      <c r="A270" s="86" t="s">
        <v>28</v>
      </c>
      <c r="B270" s="87" t="s">
        <v>19</v>
      </c>
      <c r="C270" s="90">
        <v>2300.9850000000001</v>
      </c>
      <c r="D270" s="90">
        <f t="shared" si="339"/>
        <v>2300.9850000000001</v>
      </c>
      <c r="E270" s="90">
        <v>2300.9850000000001</v>
      </c>
      <c r="F270" s="90">
        <f t="shared" si="340"/>
        <v>2300.9850000000001</v>
      </c>
      <c r="G270" s="90">
        <v>2300.9850000000001</v>
      </c>
      <c r="H270" s="90">
        <f t="shared" si="341"/>
        <v>6718.8375000000005</v>
      </c>
      <c r="I270" s="90">
        <v>11136.69</v>
      </c>
      <c r="J270" s="90">
        <f t="shared" si="342"/>
        <v>9869.0625</v>
      </c>
      <c r="K270" s="90">
        <v>8601.4349999999995</v>
      </c>
      <c r="L270" s="90">
        <v>1903.73</v>
      </c>
      <c r="M270" s="90">
        <v>1903.73</v>
      </c>
      <c r="N270" s="90">
        <v>5155.1099999999997</v>
      </c>
      <c r="O270" s="90">
        <v>5155.1099999999997</v>
      </c>
      <c r="P270" s="90">
        <f t="shared" si="343"/>
        <v>5155.11049</v>
      </c>
      <c r="Q270" s="90">
        <f t="shared" si="343"/>
        <v>5155.1109800000004</v>
      </c>
      <c r="R270" s="90">
        <f t="shared" si="343"/>
        <v>5155.1114700000007</v>
      </c>
      <c r="S270" s="90">
        <f t="shared" ref="S270:AB270" si="353">+R270-(0.711/100)</f>
        <v>5155.1043600000012</v>
      </c>
      <c r="T270" s="90">
        <f t="shared" si="353"/>
        <v>5155.0972500000016</v>
      </c>
      <c r="U270" s="90">
        <f t="shared" si="353"/>
        <v>5155.0901400000021</v>
      </c>
      <c r="V270" s="90">
        <f t="shared" si="353"/>
        <v>5155.0830300000025</v>
      </c>
      <c r="W270" s="90">
        <f t="shared" si="353"/>
        <v>5155.075920000003</v>
      </c>
      <c r="X270" s="90">
        <f t="shared" si="353"/>
        <v>5155.0688100000034</v>
      </c>
      <c r="Y270" s="90">
        <f t="shared" si="353"/>
        <v>5155.0617000000038</v>
      </c>
      <c r="Z270" s="90">
        <f t="shared" si="353"/>
        <v>5155.0545900000043</v>
      </c>
      <c r="AA270" s="90">
        <f t="shared" si="353"/>
        <v>5155.0474800000047</v>
      </c>
      <c r="AB270" s="90">
        <f t="shared" si="353"/>
        <v>5155.0403700000052</v>
      </c>
    </row>
    <row r="271" spans="1:28" x14ac:dyDescent="0.25">
      <c r="A271" s="88" t="s">
        <v>4</v>
      </c>
      <c r="B271" s="87" t="s">
        <v>19</v>
      </c>
      <c r="C271" s="90">
        <v>24385.99</v>
      </c>
      <c r="D271" s="90">
        <f t="shared" si="339"/>
        <v>24385.99</v>
      </c>
      <c r="E271" s="90">
        <v>24385.99</v>
      </c>
      <c r="F271" s="90">
        <f t="shared" si="340"/>
        <v>24385.99</v>
      </c>
      <c r="G271" s="90">
        <v>24385.99</v>
      </c>
      <c r="H271" s="90">
        <f t="shared" si="341"/>
        <v>38966.805</v>
      </c>
      <c r="I271" s="90">
        <v>53547.62</v>
      </c>
      <c r="J271" s="90">
        <f t="shared" si="342"/>
        <v>34203.535000000003</v>
      </c>
      <c r="K271" s="90">
        <v>14859.45</v>
      </c>
      <c r="L271" s="90">
        <v>32440.31</v>
      </c>
      <c r="M271" s="90">
        <v>32440.31</v>
      </c>
      <c r="N271" s="90">
        <v>23216.04</v>
      </c>
      <c r="O271" s="90">
        <v>23216.04</v>
      </c>
      <c r="P271" s="90">
        <f t="shared" si="343"/>
        <v>23216.040489999999</v>
      </c>
      <c r="Q271" s="90">
        <f t="shared" si="343"/>
        <v>23216.040979999998</v>
      </c>
      <c r="R271" s="90">
        <f t="shared" si="343"/>
        <v>23216.041469999996</v>
      </c>
      <c r="S271" s="90">
        <f t="shared" ref="S271:AB271" si="354">+R271-(0.711/100)</f>
        <v>23216.034359999998</v>
      </c>
      <c r="T271" s="90">
        <f t="shared" si="354"/>
        <v>23216.027249999999</v>
      </c>
      <c r="U271" s="90">
        <f t="shared" si="354"/>
        <v>23216.020140000001</v>
      </c>
      <c r="V271" s="90">
        <f t="shared" si="354"/>
        <v>23216.013030000002</v>
      </c>
      <c r="W271" s="90">
        <f t="shared" si="354"/>
        <v>23216.005920000003</v>
      </c>
      <c r="X271" s="90">
        <f t="shared" si="354"/>
        <v>23215.998810000005</v>
      </c>
      <c r="Y271" s="90">
        <f t="shared" si="354"/>
        <v>23215.991700000006</v>
      </c>
      <c r="Z271" s="90">
        <f t="shared" si="354"/>
        <v>23215.984590000007</v>
      </c>
      <c r="AA271" s="90">
        <f t="shared" si="354"/>
        <v>23215.977480000009</v>
      </c>
      <c r="AB271" s="90">
        <f t="shared" si="354"/>
        <v>23215.97037000001</v>
      </c>
    </row>
    <row r="272" spans="1:28" x14ac:dyDescent="0.25">
      <c r="A272" s="88" t="s">
        <v>5</v>
      </c>
      <c r="B272" s="87" t="s">
        <v>19</v>
      </c>
      <c r="C272" s="90">
        <v>8319.99</v>
      </c>
      <c r="D272" s="90">
        <f t="shared" si="339"/>
        <v>8319.99</v>
      </c>
      <c r="E272" s="90">
        <v>8319.99</v>
      </c>
      <c r="F272" s="90">
        <f t="shared" si="340"/>
        <v>8319.99</v>
      </c>
      <c r="G272" s="90">
        <v>8319.99</v>
      </c>
      <c r="H272" s="90">
        <f t="shared" si="341"/>
        <v>9268.2150000000001</v>
      </c>
      <c r="I272" s="90">
        <v>10216.44</v>
      </c>
      <c r="J272" s="90">
        <f t="shared" si="342"/>
        <v>8473.6149999999998</v>
      </c>
      <c r="K272" s="90">
        <v>6730.79</v>
      </c>
      <c r="L272" s="90">
        <v>795.38</v>
      </c>
      <c r="M272" s="90">
        <v>795.38</v>
      </c>
      <c r="N272" s="90">
        <v>2562.98</v>
      </c>
      <c r="O272" s="90">
        <v>2562.98</v>
      </c>
      <c r="P272" s="90">
        <f t="shared" si="343"/>
        <v>2562.9804899999999</v>
      </c>
      <c r="Q272" s="90">
        <f t="shared" si="343"/>
        <v>2562.9809799999998</v>
      </c>
      <c r="R272" s="90">
        <f t="shared" si="343"/>
        <v>2562.9814699999997</v>
      </c>
      <c r="S272" s="90">
        <f t="shared" ref="S272:AB272" si="355">+R272-(0.711/100)</f>
        <v>2562.9743599999997</v>
      </c>
      <c r="T272" s="90">
        <f t="shared" si="355"/>
        <v>2562.9672499999997</v>
      </c>
      <c r="U272" s="90">
        <f t="shared" si="355"/>
        <v>2562.9601399999997</v>
      </c>
      <c r="V272" s="90">
        <f t="shared" si="355"/>
        <v>2562.9530299999997</v>
      </c>
      <c r="W272" s="90">
        <f t="shared" si="355"/>
        <v>2562.9459199999997</v>
      </c>
      <c r="X272" s="90">
        <f t="shared" si="355"/>
        <v>2562.9388099999996</v>
      </c>
      <c r="Y272" s="90">
        <f t="shared" si="355"/>
        <v>2562.9316999999996</v>
      </c>
      <c r="Z272" s="90">
        <f t="shared" si="355"/>
        <v>2562.9245899999996</v>
      </c>
      <c r="AA272" s="90">
        <f t="shared" si="355"/>
        <v>2562.9174799999996</v>
      </c>
      <c r="AB272" s="90">
        <f t="shared" si="355"/>
        <v>2562.9103699999996</v>
      </c>
    </row>
    <row r="273" spans="1:28" x14ac:dyDescent="0.25">
      <c r="A273" s="88" t="s">
        <v>6</v>
      </c>
      <c r="B273" s="87" t="s">
        <v>19</v>
      </c>
      <c r="C273" s="90">
        <v>0</v>
      </c>
      <c r="D273" s="90">
        <f t="shared" si="339"/>
        <v>0</v>
      </c>
      <c r="E273" s="90">
        <v>0</v>
      </c>
      <c r="F273" s="90">
        <f t="shared" si="340"/>
        <v>0</v>
      </c>
      <c r="G273" s="90">
        <v>0</v>
      </c>
      <c r="H273" s="90">
        <f t="shared" si="341"/>
        <v>0</v>
      </c>
      <c r="I273" s="90">
        <v>0</v>
      </c>
      <c r="J273" s="90">
        <f t="shared" si="342"/>
        <v>0</v>
      </c>
      <c r="K273" s="90">
        <v>0</v>
      </c>
      <c r="L273" s="90">
        <v>0</v>
      </c>
      <c r="M273" s="90">
        <v>0</v>
      </c>
      <c r="N273" s="90">
        <v>262.35000000000002</v>
      </c>
      <c r="O273" s="90">
        <v>262.35000000000002</v>
      </c>
      <c r="P273" s="90">
        <f t="shared" si="343"/>
        <v>262.35049000000004</v>
      </c>
      <c r="Q273" s="90">
        <f t="shared" si="343"/>
        <v>262.35098000000005</v>
      </c>
      <c r="R273" s="90">
        <f t="shared" si="343"/>
        <v>262.35147000000006</v>
      </c>
      <c r="S273" s="90">
        <f t="shared" ref="S273:AB273" si="356">+R273-(0.711/100)</f>
        <v>262.34436000000005</v>
      </c>
      <c r="T273" s="90">
        <f t="shared" si="356"/>
        <v>262.33725000000004</v>
      </c>
      <c r="U273" s="90">
        <f t="shared" si="356"/>
        <v>262.33014000000003</v>
      </c>
      <c r="V273" s="90">
        <f t="shared" si="356"/>
        <v>262.32303000000002</v>
      </c>
      <c r="W273" s="90">
        <f t="shared" si="356"/>
        <v>262.31592000000001</v>
      </c>
      <c r="X273" s="90">
        <f t="shared" si="356"/>
        <v>262.30880999999999</v>
      </c>
      <c r="Y273" s="90">
        <f t="shared" si="356"/>
        <v>262.30169999999998</v>
      </c>
      <c r="Z273" s="90">
        <f t="shared" si="356"/>
        <v>262.29458999999997</v>
      </c>
      <c r="AA273" s="90">
        <f t="shared" si="356"/>
        <v>262.28747999999996</v>
      </c>
      <c r="AB273" s="90">
        <f t="shared" si="356"/>
        <v>262.28036999999995</v>
      </c>
    </row>
    <row r="274" spans="1:28" x14ac:dyDescent="0.25">
      <c r="A274" s="88" t="s">
        <v>29</v>
      </c>
      <c r="B274" s="87" t="s">
        <v>19</v>
      </c>
      <c r="C274" s="90">
        <v>1280.52</v>
      </c>
      <c r="D274" s="90">
        <f t="shared" si="339"/>
        <v>1280.52</v>
      </c>
      <c r="E274" s="90">
        <v>1280.52</v>
      </c>
      <c r="F274" s="90">
        <f t="shared" si="340"/>
        <v>1280.52</v>
      </c>
      <c r="G274" s="90">
        <v>1280.52</v>
      </c>
      <c r="H274" s="90">
        <f t="shared" si="341"/>
        <v>5254.8525</v>
      </c>
      <c r="I274" s="90">
        <v>9229.1849999999995</v>
      </c>
      <c r="J274" s="90">
        <f t="shared" si="342"/>
        <v>5389.7874999999995</v>
      </c>
      <c r="K274" s="90">
        <v>1550.39</v>
      </c>
      <c r="L274" s="90">
        <v>608.72</v>
      </c>
      <c r="M274" s="90">
        <v>608.72</v>
      </c>
      <c r="N274" s="90">
        <v>3363.16</v>
      </c>
      <c r="O274" s="90">
        <v>3363.16</v>
      </c>
      <c r="P274" s="90">
        <f t="shared" si="343"/>
        <v>3363.1604899999998</v>
      </c>
      <c r="Q274" s="90">
        <f t="shared" si="343"/>
        <v>3363.1609799999997</v>
      </c>
      <c r="R274" s="90">
        <f t="shared" si="343"/>
        <v>3363.1614699999996</v>
      </c>
      <c r="S274" s="90">
        <f t="shared" ref="S274:AB274" si="357">+R274-(0.711/100)</f>
        <v>3363.1543599999995</v>
      </c>
      <c r="T274" s="90">
        <f t="shared" si="357"/>
        <v>3363.1472499999995</v>
      </c>
      <c r="U274" s="90">
        <f t="shared" si="357"/>
        <v>3363.1401399999995</v>
      </c>
      <c r="V274" s="90">
        <f t="shared" si="357"/>
        <v>3363.1330299999995</v>
      </c>
      <c r="W274" s="90">
        <f t="shared" si="357"/>
        <v>3363.1259199999995</v>
      </c>
      <c r="X274" s="90">
        <f t="shared" si="357"/>
        <v>3363.1188099999995</v>
      </c>
      <c r="Y274" s="90">
        <f t="shared" si="357"/>
        <v>3363.1116999999995</v>
      </c>
      <c r="Z274" s="90">
        <f t="shared" si="357"/>
        <v>3363.1045899999995</v>
      </c>
      <c r="AA274" s="90">
        <f t="shared" si="357"/>
        <v>3363.0974799999995</v>
      </c>
      <c r="AB274" s="90">
        <f t="shared" si="357"/>
        <v>3363.0903699999994</v>
      </c>
    </row>
    <row r="276" spans="1:28" x14ac:dyDescent="0.25">
      <c r="A276" s="86" t="s">
        <v>18</v>
      </c>
      <c r="B276" s="87" t="s">
        <v>4</v>
      </c>
      <c r="C276" s="89">
        <v>0</v>
      </c>
      <c r="D276" s="90">
        <f t="shared" ref="D276:D288" si="358">+(C276+E276)/2</f>
        <v>0</v>
      </c>
      <c r="E276" s="89">
        <v>0</v>
      </c>
      <c r="F276" s="90">
        <f t="shared" ref="F276:F288" si="359">+(E276+G276)/2</f>
        <v>0</v>
      </c>
      <c r="G276" s="89">
        <v>0</v>
      </c>
      <c r="H276" s="90">
        <f t="shared" ref="H276:H288" si="360">+(G276+I276)/2</f>
        <v>0</v>
      </c>
      <c r="I276" s="89">
        <v>0</v>
      </c>
      <c r="J276" s="90">
        <f t="shared" ref="J276:J288" si="361">+(I276+K276)/2</f>
        <v>80.887500000000003</v>
      </c>
      <c r="K276" s="89">
        <v>161.77500000000001</v>
      </c>
      <c r="L276" s="89">
        <v>23.94</v>
      </c>
      <c r="M276" s="89">
        <v>23.94</v>
      </c>
      <c r="N276" s="89">
        <v>1.62</v>
      </c>
      <c r="O276" s="89">
        <v>1.62</v>
      </c>
      <c r="P276" s="90">
        <f t="shared" ref="P276:R288" si="362">+O276+(0.049/100)</f>
        <v>1.6204900000000002</v>
      </c>
      <c r="Q276" s="90">
        <f t="shared" si="362"/>
        <v>1.6209800000000003</v>
      </c>
      <c r="R276" s="90">
        <f t="shared" si="362"/>
        <v>1.6214700000000004</v>
      </c>
      <c r="S276" s="90">
        <f t="shared" ref="S276:AB276" si="363">+R276-(0.711/100)</f>
        <v>1.6143600000000005</v>
      </c>
      <c r="T276" s="90">
        <f t="shared" si="363"/>
        <v>1.6072500000000005</v>
      </c>
      <c r="U276" s="90">
        <f t="shared" si="363"/>
        <v>1.6001400000000006</v>
      </c>
      <c r="V276" s="90">
        <f t="shared" si="363"/>
        <v>1.5930300000000006</v>
      </c>
      <c r="W276" s="90">
        <f t="shared" si="363"/>
        <v>1.5859200000000007</v>
      </c>
      <c r="X276" s="90">
        <f t="shared" si="363"/>
        <v>1.5788100000000007</v>
      </c>
      <c r="Y276" s="90">
        <f t="shared" si="363"/>
        <v>1.5717000000000008</v>
      </c>
      <c r="Z276" s="90">
        <f t="shared" si="363"/>
        <v>1.5645900000000008</v>
      </c>
      <c r="AA276" s="90">
        <f t="shared" si="363"/>
        <v>1.5574800000000009</v>
      </c>
      <c r="AB276" s="90">
        <f t="shared" si="363"/>
        <v>1.5503700000000009</v>
      </c>
    </row>
    <row r="277" spans="1:28" x14ac:dyDescent="0.25">
      <c r="A277" s="86" t="s">
        <v>20</v>
      </c>
      <c r="B277" s="87" t="s">
        <v>4</v>
      </c>
      <c r="C277" s="89">
        <v>0</v>
      </c>
      <c r="D277" s="90">
        <f t="shared" si="358"/>
        <v>0</v>
      </c>
      <c r="E277" s="89">
        <v>0</v>
      </c>
      <c r="F277" s="90">
        <f t="shared" si="359"/>
        <v>0</v>
      </c>
      <c r="G277" s="89">
        <v>0</v>
      </c>
      <c r="H277" s="90">
        <f t="shared" si="360"/>
        <v>0</v>
      </c>
      <c r="I277" s="89">
        <v>0</v>
      </c>
      <c r="J277" s="90">
        <f t="shared" si="361"/>
        <v>303.09750000000003</v>
      </c>
      <c r="K277" s="89">
        <v>606.19500000000005</v>
      </c>
      <c r="L277" s="89">
        <v>194.535</v>
      </c>
      <c r="M277" s="89">
        <v>194.535</v>
      </c>
      <c r="N277" s="89">
        <v>465.88499999999999</v>
      </c>
      <c r="O277" s="89">
        <v>465.88499999999999</v>
      </c>
      <c r="P277" s="90">
        <f t="shared" si="362"/>
        <v>465.88549</v>
      </c>
      <c r="Q277" s="90">
        <f t="shared" si="362"/>
        <v>465.88598000000002</v>
      </c>
      <c r="R277" s="90">
        <f t="shared" si="362"/>
        <v>465.88647000000003</v>
      </c>
      <c r="S277" s="90">
        <f t="shared" ref="S277:AB277" si="364">+R277-(0.711/100)</f>
        <v>465.87936000000002</v>
      </c>
      <c r="T277" s="90">
        <f t="shared" si="364"/>
        <v>465.87225000000001</v>
      </c>
      <c r="U277" s="90">
        <f t="shared" si="364"/>
        <v>465.86514</v>
      </c>
      <c r="V277" s="90">
        <f t="shared" si="364"/>
        <v>465.85802999999999</v>
      </c>
      <c r="W277" s="90">
        <f t="shared" si="364"/>
        <v>465.85091999999997</v>
      </c>
      <c r="X277" s="90">
        <f t="shared" si="364"/>
        <v>465.84380999999996</v>
      </c>
      <c r="Y277" s="90">
        <f t="shared" si="364"/>
        <v>465.83669999999995</v>
      </c>
      <c r="Z277" s="90">
        <f t="shared" si="364"/>
        <v>465.82958999999994</v>
      </c>
      <c r="AA277" s="90">
        <f t="shared" si="364"/>
        <v>465.82247999999993</v>
      </c>
      <c r="AB277" s="90">
        <f t="shared" si="364"/>
        <v>465.81536999999992</v>
      </c>
    </row>
    <row r="278" spans="1:28" x14ac:dyDescent="0.25">
      <c r="A278" s="86" t="s">
        <v>21</v>
      </c>
      <c r="B278" s="87" t="s">
        <v>4</v>
      </c>
      <c r="C278" s="89">
        <v>0</v>
      </c>
      <c r="D278" s="90">
        <f t="shared" si="358"/>
        <v>0</v>
      </c>
      <c r="E278" s="89">
        <v>0</v>
      </c>
      <c r="F278" s="90">
        <f t="shared" si="359"/>
        <v>0</v>
      </c>
      <c r="G278" s="89">
        <v>0</v>
      </c>
      <c r="H278" s="90">
        <f t="shared" si="360"/>
        <v>0</v>
      </c>
      <c r="I278" s="89">
        <v>0</v>
      </c>
      <c r="J278" s="90">
        <f t="shared" si="361"/>
        <v>195.88499999999999</v>
      </c>
      <c r="K278" s="89">
        <v>391.77</v>
      </c>
      <c r="L278" s="89">
        <v>846.23</v>
      </c>
      <c r="M278" s="89">
        <v>846.23</v>
      </c>
      <c r="N278" s="89">
        <v>79.11</v>
      </c>
      <c r="O278" s="89">
        <v>79.11</v>
      </c>
      <c r="P278" s="90">
        <f t="shared" si="362"/>
        <v>79.110489999999999</v>
      </c>
      <c r="Q278" s="90">
        <f t="shared" si="362"/>
        <v>79.110979999999998</v>
      </c>
      <c r="R278" s="90">
        <f t="shared" si="362"/>
        <v>79.111469999999997</v>
      </c>
      <c r="S278" s="90">
        <f t="shared" ref="S278:AB278" si="365">+R278-(0.711/100)</f>
        <v>79.10436</v>
      </c>
      <c r="T278" s="90">
        <f t="shared" si="365"/>
        <v>79.097250000000003</v>
      </c>
      <c r="U278" s="90">
        <f t="shared" si="365"/>
        <v>79.090140000000005</v>
      </c>
      <c r="V278" s="90">
        <f t="shared" si="365"/>
        <v>79.083030000000008</v>
      </c>
      <c r="W278" s="90">
        <f t="shared" si="365"/>
        <v>79.075920000000011</v>
      </c>
      <c r="X278" s="90">
        <f t="shared" si="365"/>
        <v>79.068810000000013</v>
      </c>
      <c r="Y278" s="90">
        <f t="shared" si="365"/>
        <v>79.061700000000016</v>
      </c>
      <c r="Z278" s="90">
        <f t="shared" si="365"/>
        <v>79.054590000000019</v>
      </c>
      <c r="AA278" s="90">
        <f t="shared" si="365"/>
        <v>79.047480000000022</v>
      </c>
      <c r="AB278" s="90">
        <f t="shared" si="365"/>
        <v>79.040370000000024</v>
      </c>
    </row>
    <row r="279" spans="1:28" x14ac:dyDescent="0.25">
      <c r="A279" s="86" t="s">
        <v>22</v>
      </c>
      <c r="B279" s="87" t="s">
        <v>4</v>
      </c>
      <c r="C279" s="89">
        <v>0</v>
      </c>
      <c r="D279" s="90">
        <f t="shared" si="358"/>
        <v>0</v>
      </c>
      <c r="E279" s="89">
        <v>0</v>
      </c>
      <c r="F279" s="90">
        <f t="shared" si="359"/>
        <v>0</v>
      </c>
      <c r="G279" s="89">
        <v>0</v>
      </c>
      <c r="H279" s="90">
        <f t="shared" si="360"/>
        <v>0</v>
      </c>
      <c r="I279" s="89">
        <v>0</v>
      </c>
      <c r="J279" s="90">
        <f t="shared" si="361"/>
        <v>34.042499999999997</v>
      </c>
      <c r="K279" s="89">
        <v>68.084999999999994</v>
      </c>
      <c r="L279" s="89">
        <v>149.94</v>
      </c>
      <c r="M279" s="89">
        <v>149.94</v>
      </c>
      <c r="N279" s="89">
        <v>20.925000000000001</v>
      </c>
      <c r="O279" s="89">
        <v>20.925000000000001</v>
      </c>
      <c r="P279" s="90">
        <f t="shared" si="362"/>
        <v>20.92549</v>
      </c>
      <c r="Q279" s="90">
        <f t="shared" si="362"/>
        <v>20.925979999999999</v>
      </c>
      <c r="R279" s="90">
        <f t="shared" si="362"/>
        <v>20.926469999999998</v>
      </c>
      <c r="S279" s="90">
        <f t="shared" ref="S279:AB279" si="366">+R279-(0.711/100)</f>
        <v>20.919359999999998</v>
      </c>
      <c r="T279" s="90">
        <f t="shared" si="366"/>
        <v>20.912249999999997</v>
      </c>
      <c r="U279" s="90">
        <f t="shared" si="366"/>
        <v>20.905139999999996</v>
      </c>
      <c r="V279" s="90">
        <f t="shared" si="366"/>
        <v>20.898029999999995</v>
      </c>
      <c r="W279" s="90">
        <f t="shared" si="366"/>
        <v>20.890919999999994</v>
      </c>
      <c r="X279" s="90">
        <f t="shared" si="366"/>
        <v>20.883809999999993</v>
      </c>
      <c r="Y279" s="90">
        <f t="shared" si="366"/>
        <v>20.876699999999992</v>
      </c>
      <c r="Z279" s="90">
        <f t="shared" si="366"/>
        <v>20.869589999999992</v>
      </c>
      <c r="AA279" s="90">
        <f t="shared" si="366"/>
        <v>20.862479999999991</v>
      </c>
      <c r="AB279" s="90">
        <f t="shared" si="366"/>
        <v>20.85536999999999</v>
      </c>
    </row>
    <row r="280" spans="1:28" x14ac:dyDescent="0.25">
      <c r="A280" s="86" t="s">
        <v>23</v>
      </c>
      <c r="B280" s="87" t="s">
        <v>4</v>
      </c>
      <c r="C280" s="89">
        <v>0</v>
      </c>
      <c r="D280" s="90">
        <f t="shared" si="358"/>
        <v>0</v>
      </c>
      <c r="E280" s="89">
        <v>0</v>
      </c>
      <c r="F280" s="90">
        <f t="shared" si="359"/>
        <v>0</v>
      </c>
      <c r="G280" s="89">
        <v>0</v>
      </c>
      <c r="H280" s="90">
        <f t="shared" si="360"/>
        <v>0</v>
      </c>
      <c r="I280" s="89">
        <v>0</v>
      </c>
      <c r="J280" s="90">
        <f t="shared" si="361"/>
        <v>191.20500000000001</v>
      </c>
      <c r="K280" s="89">
        <v>382.41</v>
      </c>
      <c r="L280" s="89">
        <v>1335.29</v>
      </c>
      <c r="M280" s="89">
        <v>1335.29</v>
      </c>
      <c r="N280" s="89">
        <v>40.46</v>
      </c>
      <c r="O280" s="89">
        <v>40.46</v>
      </c>
      <c r="P280" s="90">
        <f t="shared" si="362"/>
        <v>40.46049</v>
      </c>
      <c r="Q280" s="90">
        <f t="shared" si="362"/>
        <v>40.460979999999999</v>
      </c>
      <c r="R280" s="90">
        <f t="shared" si="362"/>
        <v>40.461469999999998</v>
      </c>
      <c r="S280" s="90">
        <f t="shared" ref="S280:AB280" si="367">+R280-(0.711/100)</f>
        <v>40.454360000000001</v>
      </c>
      <c r="T280" s="90">
        <f t="shared" si="367"/>
        <v>40.447250000000004</v>
      </c>
      <c r="U280" s="90">
        <f t="shared" si="367"/>
        <v>40.440140000000007</v>
      </c>
      <c r="V280" s="90">
        <f t="shared" si="367"/>
        <v>40.433030000000009</v>
      </c>
      <c r="W280" s="90">
        <f t="shared" si="367"/>
        <v>40.425920000000012</v>
      </c>
      <c r="X280" s="90">
        <f t="shared" si="367"/>
        <v>40.418810000000015</v>
      </c>
      <c r="Y280" s="90">
        <f t="shared" si="367"/>
        <v>40.411700000000017</v>
      </c>
      <c r="Z280" s="90">
        <f t="shared" si="367"/>
        <v>40.40459000000002</v>
      </c>
      <c r="AA280" s="90">
        <f t="shared" si="367"/>
        <v>40.397480000000023</v>
      </c>
      <c r="AB280" s="90">
        <f t="shared" si="367"/>
        <v>40.390370000000026</v>
      </c>
    </row>
    <row r="281" spans="1:28" ht="22.5" x14ac:dyDescent="0.25">
      <c r="A281" s="86" t="s">
        <v>24</v>
      </c>
      <c r="B281" s="87" t="s">
        <v>4</v>
      </c>
      <c r="C281" s="89">
        <v>0</v>
      </c>
      <c r="D281" s="90">
        <f t="shared" si="358"/>
        <v>0</v>
      </c>
      <c r="E281" s="89">
        <v>0</v>
      </c>
      <c r="F281" s="90">
        <f t="shared" si="359"/>
        <v>0</v>
      </c>
      <c r="G281" s="89">
        <v>0</v>
      </c>
      <c r="H281" s="90">
        <f t="shared" si="360"/>
        <v>0</v>
      </c>
      <c r="I281" s="89">
        <v>0</v>
      </c>
      <c r="J281" s="90">
        <f t="shared" si="361"/>
        <v>20.317499999999999</v>
      </c>
      <c r="K281" s="89">
        <v>40.634999999999998</v>
      </c>
      <c r="L281" s="89">
        <v>342.85500000000002</v>
      </c>
      <c r="M281" s="89">
        <v>342.85500000000002</v>
      </c>
      <c r="N281" s="89">
        <v>19.754999999999999</v>
      </c>
      <c r="O281" s="89">
        <v>19.754999999999999</v>
      </c>
      <c r="P281" s="90">
        <f t="shared" si="362"/>
        <v>19.755489999999998</v>
      </c>
      <c r="Q281" s="90">
        <f t="shared" si="362"/>
        <v>19.755979999999997</v>
      </c>
      <c r="R281" s="90">
        <f t="shared" si="362"/>
        <v>19.756469999999997</v>
      </c>
      <c r="S281" s="90">
        <f t="shared" ref="S281:AB281" si="368">+R281-(0.711/100)</f>
        <v>19.749359999999996</v>
      </c>
      <c r="T281" s="90">
        <f t="shared" si="368"/>
        <v>19.742249999999995</v>
      </c>
      <c r="U281" s="90">
        <f t="shared" si="368"/>
        <v>19.735139999999994</v>
      </c>
      <c r="V281" s="90">
        <f t="shared" si="368"/>
        <v>19.728029999999993</v>
      </c>
      <c r="W281" s="90">
        <f t="shared" si="368"/>
        <v>19.720919999999992</v>
      </c>
      <c r="X281" s="90">
        <f t="shared" si="368"/>
        <v>19.713809999999992</v>
      </c>
      <c r="Y281" s="90">
        <f t="shared" si="368"/>
        <v>19.706699999999991</v>
      </c>
      <c r="Z281" s="90">
        <f t="shared" si="368"/>
        <v>19.69958999999999</v>
      </c>
      <c r="AA281" s="90">
        <f t="shared" si="368"/>
        <v>19.692479999999989</v>
      </c>
      <c r="AB281" s="90">
        <f t="shared" si="368"/>
        <v>19.685369999999988</v>
      </c>
    </row>
    <row r="282" spans="1:28" x14ac:dyDescent="0.25">
      <c r="A282" s="86" t="s">
        <v>25</v>
      </c>
      <c r="B282" s="87" t="s">
        <v>4</v>
      </c>
      <c r="C282" s="89">
        <v>0</v>
      </c>
      <c r="D282" s="90">
        <f t="shared" si="358"/>
        <v>0</v>
      </c>
      <c r="E282" s="89">
        <v>0</v>
      </c>
      <c r="F282" s="90">
        <f t="shared" si="359"/>
        <v>0</v>
      </c>
      <c r="G282" s="89">
        <v>0</v>
      </c>
      <c r="H282" s="90">
        <f t="shared" si="360"/>
        <v>0</v>
      </c>
      <c r="I282" s="89">
        <v>0</v>
      </c>
      <c r="J282" s="90">
        <f t="shared" si="361"/>
        <v>65.227500000000006</v>
      </c>
      <c r="K282" s="89">
        <v>130.45500000000001</v>
      </c>
      <c r="L282" s="89">
        <v>582.12</v>
      </c>
      <c r="M282" s="89">
        <v>582.12</v>
      </c>
      <c r="N282" s="89">
        <v>37.395000000000003</v>
      </c>
      <c r="O282" s="89">
        <v>37.395000000000003</v>
      </c>
      <c r="P282" s="90">
        <f t="shared" si="362"/>
        <v>37.395490000000002</v>
      </c>
      <c r="Q282" s="90">
        <f t="shared" si="362"/>
        <v>37.395980000000002</v>
      </c>
      <c r="R282" s="90">
        <f t="shared" si="362"/>
        <v>37.396470000000001</v>
      </c>
      <c r="S282" s="90">
        <f t="shared" ref="S282:AB282" si="369">+R282-(0.711/100)</f>
        <v>37.389360000000003</v>
      </c>
      <c r="T282" s="90">
        <f t="shared" si="369"/>
        <v>37.382250000000006</v>
      </c>
      <c r="U282" s="90">
        <f t="shared" si="369"/>
        <v>37.375140000000009</v>
      </c>
      <c r="V282" s="90">
        <f t="shared" si="369"/>
        <v>37.368030000000012</v>
      </c>
      <c r="W282" s="90">
        <f t="shared" si="369"/>
        <v>37.360920000000014</v>
      </c>
      <c r="X282" s="90">
        <f t="shared" si="369"/>
        <v>37.353810000000017</v>
      </c>
      <c r="Y282" s="90">
        <f t="shared" si="369"/>
        <v>37.34670000000002</v>
      </c>
      <c r="Z282" s="90">
        <f t="shared" si="369"/>
        <v>37.339590000000022</v>
      </c>
      <c r="AA282" s="90">
        <f t="shared" si="369"/>
        <v>37.332480000000025</v>
      </c>
      <c r="AB282" s="90">
        <f t="shared" si="369"/>
        <v>37.325370000000028</v>
      </c>
    </row>
    <row r="283" spans="1:28" x14ac:dyDescent="0.25">
      <c r="A283" s="86" t="s">
        <v>26</v>
      </c>
      <c r="B283" s="87" t="s">
        <v>4</v>
      </c>
      <c r="C283" s="89">
        <v>0</v>
      </c>
      <c r="D283" s="90">
        <f t="shared" si="358"/>
        <v>0</v>
      </c>
      <c r="E283" s="89">
        <v>0</v>
      </c>
      <c r="F283" s="90">
        <f t="shared" si="359"/>
        <v>0</v>
      </c>
      <c r="G283" s="89">
        <v>0</v>
      </c>
      <c r="H283" s="90">
        <f t="shared" si="360"/>
        <v>0</v>
      </c>
      <c r="I283" s="89">
        <v>0</v>
      </c>
      <c r="J283" s="90">
        <f t="shared" si="361"/>
        <v>8.7524999999999995</v>
      </c>
      <c r="K283" s="89">
        <v>17.504999999999999</v>
      </c>
      <c r="L283" s="89">
        <v>102.69</v>
      </c>
      <c r="M283" s="89">
        <v>102.69</v>
      </c>
      <c r="N283" s="89">
        <v>140.76</v>
      </c>
      <c r="O283" s="89">
        <v>140.76</v>
      </c>
      <c r="P283" s="90">
        <f t="shared" si="362"/>
        <v>140.76049</v>
      </c>
      <c r="Q283" s="90">
        <f t="shared" si="362"/>
        <v>140.76098000000002</v>
      </c>
      <c r="R283" s="90">
        <f t="shared" si="362"/>
        <v>140.76147000000003</v>
      </c>
      <c r="S283" s="90">
        <f t="shared" ref="S283:AB283" si="370">+R283-(0.711/100)</f>
        <v>140.75436000000002</v>
      </c>
      <c r="T283" s="90">
        <f t="shared" si="370"/>
        <v>140.74725000000001</v>
      </c>
      <c r="U283" s="90">
        <f t="shared" si="370"/>
        <v>140.74014</v>
      </c>
      <c r="V283" s="90">
        <f t="shared" si="370"/>
        <v>140.73302999999999</v>
      </c>
      <c r="W283" s="90">
        <f t="shared" si="370"/>
        <v>140.72591999999997</v>
      </c>
      <c r="X283" s="90">
        <f t="shared" si="370"/>
        <v>140.71880999999996</v>
      </c>
      <c r="Y283" s="90">
        <f t="shared" si="370"/>
        <v>140.71169999999995</v>
      </c>
      <c r="Z283" s="90">
        <f t="shared" si="370"/>
        <v>140.70458999999994</v>
      </c>
      <c r="AA283" s="90">
        <f t="shared" si="370"/>
        <v>140.69747999999993</v>
      </c>
      <c r="AB283" s="90">
        <f t="shared" si="370"/>
        <v>140.69036999999992</v>
      </c>
    </row>
    <row r="284" spans="1:28" x14ac:dyDescent="0.25">
      <c r="A284" s="86" t="s">
        <v>27</v>
      </c>
      <c r="B284" s="87" t="s">
        <v>4</v>
      </c>
      <c r="C284" s="89">
        <v>0</v>
      </c>
      <c r="D284" s="90">
        <f t="shared" si="358"/>
        <v>0</v>
      </c>
      <c r="E284" s="89">
        <v>0</v>
      </c>
      <c r="F284" s="90">
        <f t="shared" si="359"/>
        <v>0</v>
      </c>
      <c r="G284" s="89">
        <v>0</v>
      </c>
      <c r="H284" s="90">
        <f t="shared" si="360"/>
        <v>0</v>
      </c>
      <c r="I284" s="89">
        <v>0</v>
      </c>
      <c r="J284" s="90">
        <f t="shared" si="361"/>
        <v>0.87749999999999995</v>
      </c>
      <c r="K284" s="89">
        <v>1.7549999999999999</v>
      </c>
      <c r="L284" s="89">
        <v>23.535</v>
      </c>
      <c r="M284" s="89">
        <v>23.535</v>
      </c>
      <c r="N284" s="89">
        <v>0.36</v>
      </c>
      <c r="O284" s="89">
        <v>0.36</v>
      </c>
      <c r="P284" s="90">
        <f t="shared" si="362"/>
        <v>0.36048999999999998</v>
      </c>
      <c r="Q284" s="90">
        <f t="shared" si="362"/>
        <v>0.36097999999999997</v>
      </c>
      <c r="R284" s="90">
        <f t="shared" si="362"/>
        <v>0.36146999999999996</v>
      </c>
      <c r="S284" s="90">
        <f t="shared" ref="S284:AB284" si="371">+R284-(0.711/100)</f>
        <v>0.35435999999999995</v>
      </c>
      <c r="T284" s="90">
        <f t="shared" si="371"/>
        <v>0.34724999999999995</v>
      </c>
      <c r="U284" s="90">
        <f t="shared" si="371"/>
        <v>0.34013999999999994</v>
      </c>
      <c r="V284" s="90">
        <f t="shared" si="371"/>
        <v>0.33302999999999994</v>
      </c>
      <c r="W284" s="90">
        <f t="shared" si="371"/>
        <v>0.32591999999999993</v>
      </c>
      <c r="X284" s="90">
        <f t="shared" si="371"/>
        <v>0.31880999999999993</v>
      </c>
      <c r="Y284" s="90">
        <f t="shared" si="371"/>
        <v>0.31169999999999992</v>
      </c>
      <c r="Z284" s="90">
        <f t="shared" si="371"/>
        <v>0.30458999999999992</v>
      </c>
      <c r="AA284" s="90">
        <f t="shared" si="371"/>
        <v>0.29747999999999991</v>
      </c>
      <c r="AB284" s="90">
        <f t="shared" si="371"/>
        <v>0.29036999999999991</v>
      </c>
    </row>
    <row r="285" spans="1:28" x14ac:dyDescent="0.25">
      <c r="A285" s="86" t="s">
        <v>28</v>
      </c>
      <c r="B285" s="87" t="s">
        <v>4</v>
      </c>
      <c r="C285" s="89">
        <v>1629.99</v>
      </c>
      <c r="D285" s="90">
        <f t="shared" si="358"/>
        <v>1629.99</v>
      </c>
      <c r="E285" s="89">
        <v>1629.99</v>
      </c>
      <c r="F285" s="90">
        <f t="shared" si="359"/>
        <v>1629.99</v>
      </c>
      <c r="G285" s="89">
        <v>1629.99</v>
      </c>
      <c r="H285" s="90">
        <f t="shared" si="360"/>
        <v>869.76</v>
      </c>
      <c r="I285" s="89">
        <v>109.53</v>
      </c>
      <c r="J285" s="90">
        <f t="shared" si="361"/>
        <v>2240.5724999999998</v>
      </c>
      <c r="K285" s="89">
        <v>4371.6149999999998</v>
      </c>
      <c r="L285" s="89">
        <v>236.75</v>
      </c>
      <c r="M285" s="89">
        <v>236.75</v>
      </c>
      <c r="N285" s="89">
        <v>431.1</v>
      </c>
      <c r="O285" s="89">
        <v>431.1</v>
      </c>
      <c r="P285" s="90">
        <f t="shared" si="362"/>
        <v>431.10049000000004</v>
      </c>
      <c r="Q285" s="90">
        <f t="shared" si="362"/>
        <v>431.10098000000005</v>
      </c>
      <c r="R285" s="90">
        <f t="shared" si="362"/>
        <v>431.10147000000006</v>
      </c>
      <c r="S285" s="90">
        <f t="shared" ref="S285:AB285" si="372">+R285-(0.711/100)</f>
        <v>431.09436000000005</v>
      </c>
      <c r="T285" s="90">
        <f t="shared" si="372"/>
        <v>431.08725000000004</v>
      </c>
      <c r="U285" s="90">
        <f t="shared" si="372"/>
        <v>431.08014000000003</v>
      </c>
      <c r="V285" s="90">
        <f t="shared" si="372"/>
        <v>431.07303000000002</v>
      </c>
      <c r="W285" s="90">
        <f t="shared" si="372"/>
        <v>431.06592000000001</v>
      </c>
      <c r="X285" s="90">
        <f t="shared" si="372"/>
        <v>431.05880999999999</v>
      </c>
      <c r="Y285" s="90">
        <f t="shared" si="372"/>
        <v>431.05169999999998</v>
      </c>
      <c r="Z285" s="90">
        <f t="shared" si="372"/>
        <v>431.04458999999997</v>
      </c>
      <c r="AA285" s="90">
        <f t="shared" si="372"/>
        <v>431.03747999999996</v>
      </c>
      <c r="AB285" s="90">
        <f t="shared" si="372"/>
        <v>431.03036999999995</v>
      </c>
    </row>
    <row r="286" spans="1:28" x14ac:dyDescent="0.25">
      <c r="A286" s="88" t="s">
        <v>19</v>
      </c>
      <c r="B286" s="87" t="s">
        <v>4</v>
      </c>
      <c r="C286" s="89">
        <v>66529.460000000006</v>
      </c>
      <c r="D286" s="90">
        <f t="shared" si="358"/>
        <v>66529.460000000006</v>
      </c>
      <c r="E286" s="89">
        <v>66529.460000000006</v>
      </c>
      <c r="F286" s="90">
        <f t="shared" si="359"/>
        <v>66529.460000000006</v>
      </c>
      <c r="G286" s="89">
        <v>66529.460000000006</v>
      </c>
      <c r="H286" s="90">
        <f t="shared" si="360"/>
        <v>44241.83</v>
      </c>
      <c r="I286" s="89">
        <v>21954.2</v>
      </c>
      <c r="J286" s="90">
        <f t="shared" si="361"/>
        <v>19003.055</v>
      </c>
      <c r="K286" s="89">
        <v>16051.91</v>
      </c>
      <c r="L286" s="89">
        <v>3245.4</v>
      </c>
      <c r="M286" s="89">
        <v>3245.4</v>
      </c>
      <c r="N286" s="89">
        <v>10864.71</v>
      </c>
      <c r="O286" s="89">
        <v>10864.71</v>
      </c>
      <c r="P286" s="90">
        <f t="shared" si="362"/>
        <v>10864.710489999999</v>
      </c>
      <c r="Q286" s="90">
        <f t="shared" si="362"/>
        <v>10864.71098</v>
      </c>
      <c r="R286" s="90">
        <f t="shared" si="362"/>
        <v>10864.71147</v>
      </c>
      <c r="S286" s="90">
        <f t="shared" ref="S286:AB286" si="373">+R286-(0.711/100)</f>
        <v>10864.70436</v>
      </c>
      <c r="T286" s="90">
        <f t="shared" si="373"/>
        <v>10864.697249999999</v>
      </c>
      <c r="U286" s="90">
        <f t="shared" si="373"/>
        <v>10864.690139999999</v>
      </c>
      <c r="V286" s="90">
        <f t="shared" si="373"/>
        <v>10864.683029999998</v>
      </c>
      <c r="W286" s="90">
        <f t="shared" si="373"/>
        <v>10864.675919999998</v>
      </c>
      <c r="X286" s="90">
        <f t="shared" si="373"/>
        <v>10864.668809999997</v>
      </c>
      <c r="Y286" s="90">
        <f t="shared" si="373"/>
        <v>10864.661699999997</v>
      </c>
      <c r="Z286" s="90">
        <f t="shared" si="373"/>
        <v>10864.654589999996</v>
      </c>
      <c r="AA286" s="90">
        <f t="shared" si="373"/>
        <v>10864.647479999996</v>
      </c>
      <c r="AB286" s="90">
        <f t="shared" si="373"/>
        <v>10864.640369999996</v>
      </c>
    </row>
    <row r="287" spans="1:28" x14ac:dyDescent="0.25">
      <c r="A287" s="88" t="s">
        <v>5</v>
      </c>
      <c r="B287" s="87" t="s">
        <v>4</v>
      </c>
      <c r="C287" s="89">
        <v>12.48</v>
      </c>
      <c r="D287" s="90">
        <f t="shared" si="358"/>
        <v>12.48</v>
      </c>
      <c r="E287" s="89">
        <v>12.48</v>
      </c>
      <c r="F287" s="90">
        <f t="shared" si="359"/>
        <v>12.48</v>
      </c>
      <c r="G287" s="89">
        <v>12.48</v>
      </c>
      <c r="H287" s="90">
        <f t="shared" si="360"/>
        <v>1375.4549999999999</v>
      </c>
      <c r="I287" s="89">
        <v>2738.43</v>
      </c>
      <c r="J287" s="90">
        <f t="shared" si="361"/>
        <v>1722.3525</v>
      </c>
      <c r="K287" s="89">
        <v>706.27499999999998</v>
      </c>
      <c r="L287" s="89">
        <v>104.13</v>
      </c>
      <c r="M287" s="89">
        <v>104.13</v>
      </c>
      <c r="N287" s="89">
        <v>2137.0100000000002</v>
      </c>
      <c r="O287" s="89">
        <v>2137.0100000000002</v>
      </c>
      <c r="P287" s="90">
        <f t="shared" si="362"/>
        <v>2137.0104900000001</v>
      </c>
      <c r="Q287" s="90">
        <f t="shared" si="362"/>
        <v>2137.01098</v>
      </c>
      <c r="R287" s="90">
        <f t="shared" si="362"/>
        <v>2137.0114699999999</v>
      </c>
      <c r="S287" s="90">
        <f t="shared" ref="S287:AB287" si="374">+R287-(0.711/100)</f>
        <v>2137.0043599999999</v>
      </c>
      <c r="T287" s="90">
        <f t="shared" si="374"/>
        <v>2136.9972499999999</v>
      </c>
      <c r="U287" s="90">
        <f t="shared" si="374"/>
        <v>2136.9901399999999</v>
      </c>
      <c r="V287" s="90">
        <f t="shared" si="374"/>
        <v>2136.9830299999999</v>
      </c>
      <c r="W287" s="90">
        <f t="shared" si="374"/>
        <v>2136.9759199999999</v>
      </c>
      <c r="X287" s="90">
        <f t="shared" si="374"/>
        <v>2136.9688099999998</v>
      </c>
      <c r="Y287" s="90">
        <f t="shared" si="374"/>
        <v>2136.9616999999998</v>
      </c>
      <c r="Z287" s="90">
        <f t="shared" si="374"/>
        <v>2136.9545899999998</v>
      </c>
      <c r="AA287" s="90">
        <f t="shared" si="374"/>
        <v>2136.9474799999998</v>
      </c>
      <c r="AB287" s="90">
        <f t="shared" si="374"/>
        <v>2136.9403699999998</v>
      </c>
    </row>
    <row r="288" spans="1:28" x14ac:dyDescent="0.25">
      <c r="A288" s="88" t="s">
        <v>29</v>
      </c>
      <c r="B288" s="87" t="s">
        <v>4</v>
      </c>
      <c r="C288" s="89">
        <v>3687.21</v>
      </c>
      <c r="D288" s="90">
        <f t="shared" si="358"/>
        <v>3687.21</v>
      </c>
      <c r="E288" s="89">
        <v>3687.21</v>
      </c>
      <c r="F288" s="90">
        <f t="shared" si="359"/>
        <v>3687.21</v>
      </c>
      <c r="G288" s="89">
        <v>3687.21</v>
      </c>
      <c r="H288" s="90">
        <f t="shared" si="360"/>
        <v>4063.3449999999998</v>
      </c>
      <c r="I288" s="89">
        <v>4439.4799999999996</v>
      </c>
      <c r="J288" s="90">
        <f t="shared" si="361"/>
        <v>3868.1124999999997</v>
      </c>
      <c r="K288" s="89">
        <v>3296.7449999999999</v>
      </c>
      <c r="L288" s="89">
        <v>370.94</v>
      </c>
      <c r="M288" s="89">
        <v>370.94</v>
      </c>
      <c r="N288" s="89">
        <v>2590.52</v>
      </c>
      <c r="O288" s="89">
        <v>2590.52</v>
      </c>
      <c r="P288" s="90">
        <f t="shared" si="362"/>
        <v>2590.5204899999999</v>
      </c>
      <c r="Q288" s="90">
        <f t="shared" si="362"/>
        <v>2590.5209799999998</v>
      </c>
      <c r="R288" s="90">
        <f t="shared" si="362"/>
        <v>2590.5214699999997</v>
      </c>
      <c r="S288" s="90">
        <f t="shared" ref="S288:AB288" si="375">+R288-(0.711/100)</f>
        <v>2590.5143599999997</v>
      </c>
      <c r="T288" s="90">
        <f t="shared" si="375"/>
        <v>2590.5072499999997</v>
      </c>
      <c r="U288" s="90">
        <f t="shared" si="375"/>
        <v>2590.5001399999996</v>
      </c>
      <c r="V288" s="90">
        <f t="shared" si="375"/>
        <v>2590.4930299999996</v>
      </c>
      <c r="W288" s="90">
        <f t="shared" si="375"/>
        <v>2590.4859199999996</v>
      </c>
      <c r="X288" s="90">
        <f t="shared" si="375"/>
        <v>2590.4788099999996</v>
      </c>
      <c r="Y288" s="90">
        <f t="shared" si="375"/>
        <v>2590.4716999999996</v>
      </c>
      <c r="Z288" s="90">
        <f t="shared" si="375"/>
        <v>2590.4645899999996</v>
      </c>
      <c r="AA288" s="90">
        <f t="shared" si="375"/>
        <v>2590.4574799999996</v>
      </c>
      <c r="AB288" s="90">
        <f t="shared" si="375"/>
        <v>2590.4503699999996</v>
      </c>
    </row>
    <row r="289" spans="1:28" x14ac:dyDescent="0.25">
      <c r="D289" s="90"/>
      <c r="F289" s="90"/>
      <c r="H289" s="90"/>
      <c r="J289" s="90"/>
      <c r="P289" s="90"/>
      <c r="S289" s="90">
        <f t="shared" ref="S289:AB289" si="376">+R289-(0.711/100)</f>
        <v>-7.11E-3</v>
      </c>
      <c r="T289" s="90">
        <f t="shared" si="376"/>
        <v>-1.422E-2</v>
      </c>
      <c r="U289" s="90">
        <f t="shared" si="376"/>
        <v>-2.1330000000000002E-2</v>
      </c>
      <c r="V289" s="90">
        <f t="shared" si="376"/>
        <v>-2.844E-2</v>
      </c>
      <c r="W289" s="90">
        <f t="shared" si="376"/>
        <v>-3.5549999999999998E-2</v>
      </c>
      <c r="X289" s="90">
        <f t="shared" si="376"/>
        <v>-4.2659999999999997E-2</v>
      </c>
      <c r="Y289" s="90">
        <f t="shared" si="376"/>
        <v>-4.9769999999999995E-2</v>
      </c>
      <c r="Z289" s="90">
        <f t="shared" si="376"/>
        <v>-5.6879999999999993E-2</v>
      </c>
      <c r="AA289" s="90">
        <f t="shared" si="376"/>
        <v>-6.3989999999999991E-2</v>
      </c>
      <c r="AB289" s="90">
        <f t="shared" si="376"/>
        <v>-7.1099999999999997E-2</v>
      </c>
    </row>
    <row r="290" spans="1:28" x14ac:dyDescent="0.25">
      <c r="A290" s="86" t="s">
        <v>18</v>
      </c>
      <c r="B290" s="87" t="s">
        <v>5</v>
      </c>
      <c r="C290" s="89">
        <v>0</v>
      </c>
      <c r="D290" s="90">
        <f t="shared" ref="D290:D302" si="377">+(C290+E290)/2</f>
        <v>0</v>
      </c>
      <c r="E290" s="89">
        <v>0</v>
      </c>
      <c r="F290" s="90">
        <f t="shared" ref="F290:F302" si="378">+(E290+G290)/2</f>
        <v>0</v>
      </c>
      <c r="G290" s="89">
        <v>0</v>
      </c>
      <c r="H290" s="90">
        <f t="shared" ref="H290:H302" si="379">+(G290+I290)/2</f>
        <v>0</v>
      </c>
      <c r="I290" s="89">
        <v>0</v>
      </c>
      <c r="J290" s="90">
        <f t="shared" ref="J290:J302" si="380">+(I290+K290)/2</f>
        <v>0</v>
      </c>
      <c r="K290" s="89">
        <v>0</v>
      </c>
      <c r="L290" s="89">
        <v>57.06</v>
      </c>
      <c r="M290" s="89">
        <v>57.06</v>
      </c>
      <c r="N290" s="89">
        <v>9.1349999999999998</v>
      </c>
      <c r="O290" s="89">
        <v>9.1349999999999998</v>
      </c>
      <c r="P290" s="91">
        <f t="shared" ref="P290:R302" si="381">+O290+(0.049/100)</f>
        <v>9.135489999999999</v>
      </c>
      <c r="Q290" s="91">
        <f t="shared" si="381"/>
        <v>9.1359799999999982</v>
      </c>
      <c r="R290" s="91">
        <f t="shared" si="381"/>
        <v>9.1364699999999974</v>
      </c>
      <c r="S290" s="90">
        <f t="shared" ref="S290:AB290" si="382">+R290-(0.711/100)</f>
        <v>9.1293599999999966</v>
      </c>
      <c r="T290" s="90">
        <f t="shared" si="382"/>
        <v>9.1222499999999958</v>
      </c>
      <c r="U290" s="90">
        <f t="shared" si="382"/>
        <v>9.1151399999999949</v>
      </c>
      <c r="V290" s="90">
        <f t="shared" si="382"/>
        <v>9.1080299999999941</v>
      </c>
      <c r="W290" s="90">
        <f t="shared" si="382"/>
        <v>9.1009199999999932</v>
      </c>
      <c r="X290" s="90">
        <f t="shared" si="382"/>
        <v>9.0938099999999924</v>
      </c>
      <c r="Y290" s="90">
        <f t="shared" si="382"/>
        <v>9.0866999999999916</v>
      </c>
      <c r="Z290" s="90">
        <f t="shared" si="382"/>
        <v>9.0795899999999907</v>
      </c>
      <c r="AA290" s="90">
        <f t="shared" si="382"/>
        <v>9.0724799999999899</v>
      </c>
      <c r="AB290" s="90">
        <f t="shared" si="382"/>
        <v>9.065369999999989</v>
      </c>
    </row>
    <row r="291" spans="1:28" x14ac:dyDescent="0.25">
      <c r="A291" s="86" t="s">
        <v>20</v>
      </c>
      <c r="B291" s="87" t="s">
        <v>5</v>
      </c>
      <c r="C291" s="89">
        <v>185.4</v>
      </c>
      <c r="D291" s="90">
        <f t="shared" si="377"/>
        <v>185.4</v>
      </c>
      <c r="E291" s="89">
        <v>185.4</v>
      </c>
      <c r="F291" s="90">
        <f t="shared" si="378"/>
        <v>185.4</v>
      </c>
      <c r="G291" s="89">
        <v>185.4</v>
      </c>
      <c r="H291" s="90">
        <f t="shared" si="379"/>
        <v>190.50749999999999</v>
      </c>
      <c r="I291" s="89">
        <v>195.61499999999998</v>
      </c>
      <c r="J291" s="90">
        <f t="shared" si="380"/>
        <v>133.49250000000001</v>
      </c>
      <c r="K291" s="89">
        <v>71.37</v>
      </c>
      <c r="L291" s="89">
        <v>97.2</v>
      </c>
      <c r="M291" s="89">
        <v>97.2</v>
      </c>
      <c r="N291" s="89">
        <v>20.34</v>
      </c>
      <c r="O291" s="89">
        <v>20.34</v>
      </c>
      <c r="P291" s="91">
        <f t="shared" si="381"/>
        <v>20.340489999999999</v>
      </c>
      <c r="Q291" s="91">
        <f t="shared" si="381"/>
        <v>20.340979999999998</v>
      </c>
      <c r="R291" s="91">
        <f t="shared" si="381"/>
        <v>20.341469999999997</v>
      </c>
      <c r="S291" s="90">
        <f t="shared" ref="S291:AB291" si="383">+R291-(0.711/100)</f>
        <v>20.334359999999997</v>
      </c>
      <c r="T291" s="90">
        <f t="shared" si="383"/>
        <v>20.327249999999996</v>
      </c>
      <c r="U291" s="90">
        <f t="shared" si="383"/>
        <v>20.320139999999995</v>
      </c>
      <c r="V291" s="90">
        <f t="shared" si="383"/>
        <v>20.313029999999994</v>
      </c>
      <c r="W291" s="90">
        <f t="shared" si="383"/>
        <v>20.305919999999993</v>
      </c>
      <c r="X291" s="90">
        <f t="shared" si="383"/>
        <v>20.298809999999992</v>
      </c>
      <c r="Y291" s="90">
        <f t="shared" si="383"/>
        <v>20.291699999999992</v>
      </c>
      <c r="Z291" s="90">
        <f t="shared" si="383"/>
        <v>20.284589999999991</v>
      </c>
      <c r="AA291" s="90">
        <f t="shared" si="383"/>
        <v>20.27747999999999</v>
      </c>
      <c r="AB291" s="90">
        <f t="shared" si="383"/>
        <v>20.270369999999989</v>
      </c>
    </row>
    <row r="292" spans="1:28" x14ac:dyDescent="0.25">
      <c r="A292" s="86" t="s">
        <v>21</v>
      </c>
      <c r="B292" s="87" t="s">
        <v>5</v>
      </c>
      <c r="C292" s="89">
        <v>0</v>
      </c>
      <c r="D292" s="90">
        <f t="shared" si="377"/>
        <v>0</v>
      </c>
      <c r="E292" s="89">
        <v>0</v>
      </c>
      <c r="F292" s="90">
        <f t="shared" si="378"/>
        <v>0</v>
      </c>
      <c r="G292" s="89">
        <v>0</v>
      </c>
      <c r="H292" s="90">
        <f t="shared" si="379"/>
        <v>0</v>
      </c>
      <c r="I292" s="89">
        <v>0</v>
      </c>
      <c r="J292" s="90">
        <f t="shared" si="380"/>
        <v>0.5625</v>
      </c>
      <c r="K292" s="89">
        <v>1.125</v>
      </c>
      <c r="L292" s="89">
        <v>731.3</v>
      </c>
      <c r="M292" s="89">
        <v>731.3</v>
      </c>
      <c r="N292" s="89">
        <v>460.125</v>
      </c>
      <c r="O292" s="89">
        <v>460.125</v>
      </c>
      <c r="P292" s="91">
        <f t="shared" si="381"/>
        <v>460.12549000000001</v>
      </c>
      <c r="Q292" s="91">
        <f t="shared" si="381"/>
        <v>460.12598000000003</v>
      </c>
      <c r="R292" s="91">
        <f t="shared" si="381"/>
        <v>460.12647000000004</v>
      </c>
      <c r="S292" s="90">
        <f t="shared" ref="S292:AB292" si="384">+R292-(0.711/100)</f>
        <v>460.11936000000003</v>
      </c>
      <c r="T292" s="90">
        <f t="shared" si="384"/>
        <v>460.11225000000002</v>
      </c>
      <c r="U292" s="90">
        <f t="shared" si="384"/>
        <v>460.10514000000001</v>
      </c>
      <c r="V292" s="90">
        <f t="shared" si="384"/>
        <v>460.09802999999999</v>
      </c>
      <c r="W292" s="90">
        <f t="shared" si="384"/>
        <v>460.09091999999998</v>
      </c>
      <c r="X292" s="90">
        <f t="shared" si="384"/>
        <v>460.08380999999997</v>
      </c>
      <c r="Y292" s="90">
        <f t="shared" si="384"/>
        <v>460.07669999999996</v>
      </c>
      <c r="Z292" s="90">
        <f t="shared" si="384"/>
        <v>460.06958999999995</v>
      </c>
      <c r="AA292" s="90">
        <f t="shared" si="384"/>
        <v>460.06247999999994</v>
      </c>
      <c r="AB292" s="90">
        <f t="shared" si="384"/>
        <v>460.05536999999993</v>
      </c>
    </row>
    <row r="293" spans="1:28" x14ac:dyDescent="0.25">
      <c r="A293" s="86" t="s">
        <v>22</v>
      </c>
      <c r="B293" s="87" t="s">
        <v>5</v>
      </c>
      <c r="C293" s="89">
        <v>0</v>
      </c>
      <c r="D293" s="90">
        <f t="shared" si="377"/>
        <v>0</v>
      </c>
      <c r="E293" s="89">
        <v>0</v>
      </c>
      <c r="F293" s="90">
        <f t="shared" si="378"/>
        <v>0</v>
      </c>
      <c r="G293" s="89">
        <v>0</v>
      </c>
      <c r="H293" s="90">
        <f t="shared" si="379"/>
        <v>0</v>
      </c>
      <c r="I293" s="89">
        <v>0</v>
      </c>
      <c r="J293" s="90">
        <f t="shared" si="380"/>
        <v>2.2949999999999999</v>
      </c>
      <c r="K293" s="89">
        <v>4.59</v>
      </c>
      <c r="L293" s="89">
        <v>237.2</v>
      </c>
      <c r="M293" s="89">
        <v>237.2</v>
      </c>
      <c r="N293" s="89">
        <v>950.44500000000005</v>
      </c>
      <c r="O293" s="89">
        <v>950.44500000000005</v>
      </c>
      <c r="P293" s="91">
        <f t="shared" si="381"/>
        <v>950.44549000000006</v>
      </c>
      <c r="Q293" s="91">
        <f t="shared" si="381"/>
        <v>950.44598000000008</v>
      </c>
      <c r="R293" s="91">
        <f t="shared" si="381"/>
        <v>950.44647000000009</v>
      </c>
      <c r="S293" s="90">
        <f t="shared" ref="S293:AB293" si="385">+R293-(0.711/100)</f>
        <v>950.43936000000008</v>
      </c>
      <c r="T293" s="90">
        <f t="shared" si="385"/>
        <v>950.43225000000007</v>
      </c>
      <c r="U293" s="90">
        <f t="shared" si="385"/>
        <v>950.42514000000006</v>
      </c>
      <c r="V293" s="90">
        <f t="shared" si="385"/>
        <v>950.41803000000004</v>
      </c>
      <c r="W293" s="90">
        <f t="shared" si="385"/>
        <v>950.41092000000003</v>
      </c>
      <c r="X293" s="90">
        <f t="shared" si="385"/>
        <v>950.40381000000002</v>
      </c>
      <c r="Y293" s="90">
        <f t="shared" si="385"/>
        <v>950.39670000000001</v>
      </c>
      <c r="Z293" s="90">
        <f t="shared" si="385"/>
        <v>950.38959</v>
      </c>
      <c r="AA293" s="90">
        <f t="shared" si="385"/>
        <v>950.38247999999999</v>
      </c>
      <c r="AB293" s="90">
        <f t="shared" si="385"/>
        <v>950.37536999999998</v>
      </c>
    </row>
    <row r="294" spans="1:28" x14ac:dyDescent="0.25">
      <c r="A294" s="86" t="s">
        <v>23</v>
      </c>
      <c r="B294" s="87" t="s">
        <v>5</v>
      </c>
      <c r="C294" s="89">
        <v>0</v>
      </c>
      <c r="D294" s="90">
        <f t="shared" si="377"/>
        <v>0</v>
      </c>
      <c r="E294" s="89">
        <v>0</v>
      </c>
      <c r="F294" s="90">
        <f t="shared" si="378"/>
        <v>0</v>
      </c>
      <c r="G294" s="89">
        <v>0</v>
      </c>
      <c r="H294" s="90">
        <f t="shared" si="379"/>
        <v>0</v>
      </c>
      <c r="I294" s="89">
        <v>0</v>
      </c>
      <c r="J294" s="90">
        <f t="shared" si="380"/>
        <v>0</v>
      </c>
      <c r="K294" s="89">
        <v>0</v>
      </c>
      <c r="L294" s="89">
        <v>54.77</v>
      </c>
      <c r="M294" s="89">
        <v>54.77</v>
      </c>
      <c r="N294" s="89">
        <v>25.56</v>
      </c>
      <c r="O294" s="89">
        <v>25.56</v>
      </c>
      <c r="P294" s="91">
        <f t="shared" si="381"/>
        <v>25.560489999999998</v>
      </c>
      <c r="Q294" s="91">
        <f t="shared" si="381"/>
        <v>25.560979999999997</v>
      </c>
      <c r="R294" s="91">
        <f t="shared" si="381"/>
        <v>25.561469999999996</v>
      </c>
      <c r="S294" s="90">
        <f t="shared" ref="S294:AB294" si="386">+R294-(0.711/100)</f>
        <v>25.554359999999996</v>
      </c>
      <c r="T294" s="90">
        <f t="shared" si="386"/>
        <v>25.547249999999995</v>
      </c>
      <c r="U294" s="90">
        <f t="shared" si="386"/>
        <v>25.540139999999994</v>
      </c>
      <c r="V294" s="90">
        <f t="shared" si="386"/>
        <v>25.533029999999993</v>
      </c>
      <c r="W294" s="90">
        <f t="shared" si="386"/>
        <v>25.525919999999992</v>
      </c>
      <c r="X294" s="90">
        <f t="shared" si="386"/>
        <v>25.518809999999991</v>
      </c>
      <c r="Y294" s="90">
        <f t="shared" si="386"/>
        <v>25.51169999999999</v>
      </c>
      <c r="Z294" s="90">
        <f t="shared" si="386"/>
        <v>25.50458999999999</v>
      </c>
      <c r="AA294" s="90">
        <f t="shared" si="386"/>
        <v>25.497479999999989</v>
      </c>
      <c r="AB294" s="90">
        <f t="shared" si="386"/>
        <v>25.490369999999988</v>
      </c>
    </row>
    <row r="295" spans="1:28" ht="22.5" x14ac:dyDescent="0.25">
      <c r="A295" s="86" t="s">
        <v>24</v>
      </c>
      <c r="B295" s="87" t="s">
        <v>5</v>
      </c>
      <c r="C295" s="89">
        <v>0</v>
      </c>
      <c r="D295" s="90">
        <f t="shared" si="377"/>
        <v>0</v>
      </c>
      <c r="E295" s="89">
        <v>0</v>
      </c>
      <c r="F295" s="90">
        <f t="shared" si="378"/>
        <v>0</v>
      </c>
      <c r="G295" s="89">
        <v>0</v>
      </c>
      <c r="H295" s="90">
        <f t="shared" si="379"/>
        <v>0</v>
      </c>
      <c r="I295" s="89">
        <v>0</v>
      </c>
      <c r="J295" s="90">
        <f t="shared" si="380"/>
        <v>0</v>
      </c>
      <c r="K295" s="89">
        <v>0</v>
      </c>
      <c r="L295" s="89">
        <v>3041.91</v>
      </c>
      <c r="M295" s="89">
        <v>3041.91</v>
      </c>
      <c r="N295" s="89">
        <v>5179.95</v>
      </c>
      <c r="O295" s="89">
        <v>5179.95</v>
      </c>
      <c r="P295" s="91">
        <f t="shared" si="381"/>
        <v>5179.9504900000002</v>
      </c>
      <c r="Q295" s="91">
        <f t="shared" si="381"/>
        <v>5179.9509800000005</v>
      </c>
      <c r="R295" s="91">
        <f t="shared" si="381"/>
        <v>5179.9514700000009</v>
      </c>
      <c r="S295" s="90">
        <f t="shared" ref="S295:AB295" si="387">+R295-(0.711/100)</f>
        <v>5179.9443600000013</v>
      </c>
      <c r="T295" s="90">
        <f t="shared" si="387"/>
        <v>5179.9372500000018</v>
      </c>
      <c r="U295" s="90">
        <f t="shared" si="387"/>
        <v>5179.9301400000022</v>
      </c>
      <c r="V295" s="90">
        <f t="shared" si="387"/>
        <v>5179.9230300000027</v>
      </c>
      <c r="W295" s="90">
        <f t="shared" si="387"/>
        <v>5179.9159200000031</v>
      </c>
      <c r="X295" s="90">
        <f t="shared" si="387"/>
        <v>5179.9088100000035</v>
      </c>
      <c r="Y295" s="90">
        <f t="shared" si="387"/>
        <v>5179.901700000004</v>
      </c>
      <c r="Z295" s="90">
        <f t="shared" si="387"/>
        <v>5179.8945900000044</v>
      </c>
      <c r="AA295" s="90">
        <f t="shared" si="387"/>
        <v>5179.8874800000049</v>
      </c>
      <c r="AB295" s="90">
        <f t="shared" si="387"/>
        <v>5179.8803700000053</v>
      </c>
    </row>
    <row r="296" spans="1:28" x14ac:dyDescent="0.25">
      <c r="A296" s="86" t="s">
        <v>25</v>
      </c>
      <c r="B296" s="87" t="s">
        <v>5</v>
      </c>
      <c r="C296" s="89">
        <v>23.204999999999998</v>
      </c>
      <c r="D296" s="90">
        <f t="shared" si="377"/>
        <v>23.204999999999998</v>
      </c>
      <c r="E296" s="89">
        <v>23.204999999999998</v>
      </c>
      <c r="F296" s="90">
        <f t="shared" si="378"/>
        <v>23.204999999999998</v>
      </c>
      <c r="G296" s="89">
        <v>23.204999999999998</v>
      </c>
      <c r="H296" s="90">
        <f t="shared" si="379"/>
        <v>53.52000000000001</v>
      </c>
      <c r="I296" s="89">
        <v>83.835000000000022</v>
      </c>
      <c r="J296" s="90">
        <f t="shared" si="380"/>
        <v>61.627500000000012</v>
      </c>
      <c r="K296" s="89">
        <v>39.42</v>
      </c>
      <c r="L296" s="89">
        <v>17.149999999999999</v>
      </c>
      <c r="M296" s="89">
        <v>17.149999999999999</v>
      </c>
      <c r="N296" s="89">
        <v>69.3</v>
      </c>
      <c r="O296" s="89">
        <v>69.3</v>
      </c>
      <c r="P296" s="91">
        <f t="shared" si="381"/>
        <v>69.300489999999996</v>
      </c>
      <c r="Q296" s="91">
        <f t="shared" si="381"/>
        <v>69.300979999999996</v>
      </c>
      <c r="R296" s="91">
        <f t="shared" si="381"/>
        <v>69.301469999999995</v>
      </c>
      <c r="S296" s="90">
        <f t="shared" ref="S296:AB296" si="388">+R296-(0.711/100)</f>
        <v>69.294359999999998</v>
      </c>
      <c r="T296" s="90">
        <f t="shared" si="388"/>
        <v>69.28725</v>
      </c>
      <c r="U296" s="90">
        <f t="shared" si="388"/>
        <v>69.280140000000003</v>
      </c>
      <c r="V296" s="90">
        <f t="shared" si="388"/>
        <v>69.273030000000006</v>
      </c>
      <c r="W296" s="90">
        <f t="shared" si="388"/>
        <v>69.265920000000008</v>
      </c>
      <c r="X296" s="90">
        <f t="shared" si="388"/>
        <v>69.258810000000011</v>
      </c>
      <c r="Y296" s="90">
        <f t="shared" si="388"/>
        <v>69.251700000000014</v>
      </c>
      <c r="Z296" s="90">
        <f t="shared" si="388"/>
        <v>69.244590000000017</v>
      </c>
      <c r="AA296" s="90">
        <f t="shared" si="388"/>
        <v>69.237480000000019</v>
      </c>
      <c r="AB296" s="90">
        <f t="shared" si="388"/>
        <v>69.230370000000022</v>
      </c>
    </row>
    <row r="297" spans="1:28" x14ac:dyDescent="0.25">
      <c r="A297" s="86" t="s">
        <v>26</v>
      </c>
      <c r="B297" s="87" t="s">
        <v>5</v>
      </c>
      <c r="C297" s="89">
        <v>709.14</v>
      </c>
      <c r="D297" s="90">
        <f t="shared" si="377"/>
        <v>709.14</v>
      </c>
      <c r="E297" s="89">
        <v>709.14</v>
      </c>
      <c r="F297" s="90">
        <f t="shared" si="378"/>
        <v>709.14</v>
      </c>
      <c r="G297" s="89">
        <v>709.14</v>
      </c>
      <c r="H297" s="90">
        <f t="shared" si="379"/>
        <v>809.33999999999992</v>
      </c>
      <c r="I297" s="89">
        <v>909.54</v>
      </c>
      <c r="J297" s="90">
        <f t="shared" si="380"/>
        <v>947.43000000000006</v>
      </c>
      <c r="K297" s="89">
        <v>985.32</v>
      </c>
      <c r="L297" s="89">
        <v>719.15</v>
      </c>
      <c r="M297" s="89">
        <v>719.15</v>
      </c>
      <c r="N297" s="89">
        <v>48.15</v>
      </c>
      <c r="O297" s="89">
        <v>48.15</v>
      </c>
      <c r="P297" s="91">
        <f t="shared" si="381"/>
        <v>48.150489999999998</v>
      </c>
      <c r="Q297" s="91">
        <f t="shared" si="381"/>
        <v>48.150979999999997</v>
      </c>
      <c r="R297" s="91">
        <f t="shared" si="381"/>
        <v>48.151469999999996</v>
      </c>
      <c r="S297" s="90">
        <f t="shared" ref="S297:AB297" si="389">+R297-(0.711/100)</f>
        <v>48.144359999999999</v>
      </c>
      <c r="T297" s="90">
        <f t="shared" si="389"/>
        <v>48.137250000000002</v>
      </c>
      <c r="U297" s="90">
        <f t="shared" si="389"/>
        <v>48.130140000000004</v>
      </c>
      <c r="V297" s="90">
        <f t="shared" si="389"/>
        <v>48.123030000000007</v>
      </c>
      <c r="W297" s="90">
        <f t="shared" si="389"/>
        <v>48.11592000000001</v>
      </c>
      <c r="X297" s="90">
        <f t="shared" si="389"/>
        <v>48.108810000000013</v>
      </c>
      <c r="Y297" s="90">
        <f t="shared" si="389"/>
        <v>48.101700000000015</v>
      </c>
      <c r="Z297" s="90">
        <f t="shared" si="389"/>
        <v>48.094590000000018</v>
      </c>
      <c r="AA297" s="90">
        <f t="shared" si="389"/>
        <v>48.087480000000021</v>
      </c>
      <c r="AB297" s="90">
        <f t="shared" si="389"/>
        <v>48.080370000000023</v>
      </c>
    </row>
    <row r="298" spans="1:28" x14ac:dyDescent="0.25">
      <c r="A298" s="86" t="s">
        <v>27</v>
      </c>
      <c r="B298" s="87" t="s">
        <v>5</v>
      </c>
      <c r="C298" s="89">
        <v>0</v>
      </c>
      <c r="D298" s="90">
        <f t="shared" si="377"/>
        <v>0</v>
      </c>
      <c r="E298" s="89">
        <v>0</v>
      </c>
      <c r="F298" s="90">
        <f t="shared" si="378"/>
        <v>0</v>
      </c>
      <c r="G298" s="89">
        <v>0</v>
      </c>
      <c r="H298" s="90">
        <f t="shared" si="379"/>
        <v>0</v>
      </c>
      <c r="I298" s="89">
        <v>0</v>
      </c>
      <c r="J298" s="90">
        <f t="shared" si="380"/>
        <v>0</v>
      </c>
      <c r="K298" s="89">
        <v>0</v>
      </c>
      <c r="L298" s="89">
        <v>552.78</v>
      </c>
      <c r="M298" s="89">
        <v>552.78</v>
      </c>
      <c r="N298" s="89">
        <v>234.63</v>
      </c>
      <c r="O298" s="89">
        <v>234.63</v>
      </c>
      <c r="P298" s="91">
        <f t="shared" si="381"/>
        <v>234.63049000000001</v>
      </c>
      <c r="Q298" s="91">
        <f t="shared" si="381"/>
        <v>234.63098000000002</v>
      </c>
      <c r="R298" s="91">
        <f t="shared" si="381"/>
        <v>234.63147000000004</v>
      </c>
      <c r="S298" s="90">
        <f t="shared" ref="S298:AB298" si="390">+R298-(0.711/100)</f>
        <v>234.62436000000002</v>
      </c>
      <c r="T298" s="90">
        <f t="shared" si="390"/>
        <v>234.61725000000001</v>
      </c>
      <c r="U298" s="90">
        <f t="shared" si="390"/>
        <v>234.61014</v>
      </c>
      <c r="V298" s="90">
        <f t="shared" si="390"/>
        <v>234.60302999999999</v>
      </c>
      <c r="W298" s="90">
        <f t="shared" si="390"/>
        <v>234.59591999999998</v>
      </c>
      <c r="X298" s="90">
        <f t="shared" si="390"/>
        <v>234.58880999999997</v>
      </c>
      <c r="Y298" s="90">
        <f t="shared" si="390"/>
        <v>234.58169999999996</v>
      </c>
      <c r="Z298" s="90">
        <f t="shared" si="390"/>
        <v>234.57458999999994</v>
      </c>
      <c r="AA298" s="90">
        <f t="shared" si="390"/>
        <v>234.56747999999993</v>
      </c>
      <c r="AB298" s="90">
        <f t="shared" si="390"/>
        <v>234.56036999999992</v>
      </c>
    </row>
    <row r="299" spans="1:28" x14ac:dyDescent="0.25">
      <c r="A299" s="86" t="s">
        <v>28</v>
      </c>
      <c r="B299" s="87" t="s">
        <v>5</v>
      </c>
      <c r="C299" s="89">
        <v>0</v>
      </c>
      <c r="D299" s="90">
        <f t="shared" si="377"/>
        <v>0</v>
      </c>
      <c r="E299" s="89">
        <v>0</v>
      </c>
      <c r="F299" s="90">
        <f t="shared" si="378"/>
        <v>0</v>
      </c>
      <c r="G299" s="89">
        <v>0</v>
      </c>
      <c r="H299" s="90">
        <f t="shared" si="379"/>
        <v>54.81</v>
      </c>
      <c r="I299" s="89">
        <v>109.62</v>
      </c>
      <c r="J299" s="90">
        <f t="shared" si="380"/>
        <v>63.765000000000001</v>
      </c>
      <c r="K299" s="89">
        <v>17.91</v>
      </c>
      <c r="L299" s="89">
        <v>18.989999999999998</v>
      </c>
      <c r="M299" s="89">
        <v>18.989999999999998</v>
      </c>
      <c r="N299" s="89">
        <v>7.2</v>
      </c>
      <c r="O299" s="89">
        <v>7.2</v>
      </c>
      <c r="P299" s="91">
        <f t="shared" si="381"/>
        <v>7.2004900000000003</v>
      </c>
      <c r="Q299" s="91">
        <f t="shared" si="381"/>
        <v>7.2009800000000004</v>
      </c>
      <c r="R299" s="91">
        <f t="shared" si="381"/>
        <v>7.2014700000000005</v>
      </c>
      <c r="S299" s="90">
        <f t="shared" ref="S299:AB299" si="391">+R299-(0.711/100)</f>
        <v>7.1943600000000005</v>
      </c>
      <c r="T299" s="90">
        <f t="shared" si="391"/>
        <v>7.1872500000000006</v>
      </c>
      <c r="U299" s="90">
        <f t="shared" si="391"/>
        <v>7.1801400000000006</v>
      </c>
      <c r="V299" s="90">
        <f t="shared" si="391"/>
        <v>7.1730300000000007</v>
      </c>
      <c r="W299" s="90">
        <f t="shared" si="391"/>
        <v>7.1659200000000007</v>
      </c>
      <c r="X299" s="90">
        <f t="shared" si="391"/>
        <v>7.1588100000000008</v>
      </c>
      <c r="Y299" s="90">
        <f t="shared" si="391"/>
        <v>7.1517000000000008</v>
      </c>
      <c r="Z299" s="90">
        <f t="shared" si="391"/>
        <v>7.1445900000000009</v>
      </c>
      <c r="AA299" s="90">
        <f t="shared" si="391"/>
        <v>7.1374800000000009</v>
      </c>
      <c r="AB299" s="90">
        <f t="shared" si="391"/>
        <v>7.130370000000001</v>
      </c>
    </row>
    <row r="300" spans="1:28" x14ac:dyDescent="0.25">
      <c r="A300" s="88" t="s">
        <v>19</v>
      </c>
      <c r="B300" s="87" t="s">
        <v>5</v>
      </c>
      <c r="C300" s="89">
        <v>7739.04</v>
      </c>
      <c r="D300" s="90">
        <f t="shared" si="377"/>
        <v>7739.04</v>
      </c>
      <c r="E300" s="89">
        <v>7739.04</v>
      </c>
      <c r="F300" s="90">
        <f t="shared" si="378"/>
        <v>7739.04</v>
      </c>
      <c r="G300" s="89">
        <v>7739.04</v>
      </c>
      <c r="H300" s="90">
        <f t="shared" si="379"/>
        <v>7635.75</v>
      </c>
      <c r="I300" s="89">
        <v>7532.46</v>
      </c>
      <c r="J300" s="90">
        <f t="shared" si="380"/>
        <v>7934.3799999999992</v>
      </c>
      <c r="K300" s="89">
        <v>8336.2999999999993</v>
      </c>
      <c r="L300" s="89">
        <v>7082.69</v>
      </c>
      <c r="M300" s="89">
        <v>7082.69</v>
      </c>
      <c r="N300" s="89">
        <v>1511.69</v>
      </c>
      <c r="O300" s="89">
        <v>1511.69</v>
      </c>
      <c r="P300" s="91">
        <f t="shared" si="381"/>
        <v>1511.69049</v>
      </c>
      <c r="Q300" s="91">
        <f t="shared" si="381"/>
        <v>1511.6909799999999</v>
      </c>
      <c r="R300" s="91">
        <f t="shared" si="381"/>
        <v>1511.6914699999998</v>
      </c>
      <c r="S300" s="90">
        <f t="shared" ref="S300:AB300" si="392">+R300-(0.711/100)</f>
        <v>1511.6843599999997</v>
      </c>
      <c r="T300" s="90">
        <f t="shared" si="392"/>
        <v>1511.6772499999997</v>
      </c>
      <c r="U300" s="90">
        <f t="shared" si="392"/>
        <v>1511.6701399999997</v>
      </c>
      <c r="V300" s="90">
        <f t="shared" si="392"/>
        <v>1511.6630299999997</v>
      </c>
      <c r="W300" s="90">
        <f t="shared" si="392"/>
        <v>1511.6559199999997</v>
      </c>
      <c r="X300" s="90">
        <f t="shared" si="392"/>
        <v>1511.6488099999997</v>
      </c>
      <c r="Y300" s="90">
        <f t="shared" si="392"/>
        <v>1511.6416999999997</v>
      </c>
      <c r="Z300" s="90">
        <f t="shared" si="392"/>
        <v>1511.6345899999997</v>
      </c>
      <c r="AA300" s="90">
        <f t="shared" si="392"/>
        <v>1511.6274799999997</v>
      </c>
      <c r="AB300" s="90">
        <f t="shared" si="392"/>
        <v>1511.6203699999996</v>
      </c>
    </row>
    <row r="301" spans="1:28" x14ac:dyDescent="0.25">
      <c r="A301" s="88" t="s">
        <v>4</v>
      </c>
      <c r="B301" s="87" t="s">
        <v>5</v>
      </c>
      <c r="C301" s="89">
        <v>420.255</v>
      </c>
      <c r="D301" s="90">
        <f t="shared" si="377"/>
        <v>420.255</v>
      </c>
      <c r="E301" s="89">
        <v>420.255</v>
      </c>
      <c r="F301" s="90">
        <f t="shared" si="378"/>
        <v>420.255</v>
      </c>
      <c r="G301" s="89">
        <v>420.255</v>
      </c>
      <c r="H301" s="90">
        <f t="shared" si="379"/>
        <v>654.66250000000002</v>
      </c>
      <c r="I301" s="89">
        <v>889.07</v>
      </c>
      <c r="J301" s="90">
        <f t="shared" si="380"/>
        <v>530.35</v>
      </c>
      <c r="K301" s="89">
        <v>171.63</v>
      </c>
      <c r="L301" s="89">
        <v>1057.5899999999999</v>
      </c>
      <c r="M301" s="89">
        <v>1057.5899999999999</v>
      </c>
      <c r="N301" s="89">
        <v>137.47999999999999</v>
      </c>
      <c r="O301" s="89">
        <v>137.47999999999999</v>
      </c>
      <c r="P301" s="91">
        <f t="shared" si="381"/>
        <v>137.48049</v>
      </c>
      <c r="Q301" s="91">
        <f t="shared" si="381"/>
        <v>137.48098000000002</v>
      </c>
      <c r="R301" s="91">
        <f t="shared" si="381"/>
        <v>137.48147000000003</v>
      </c>
      <c r="S301" s="90">
        <f t="shared" ref="S301:AB301" si="393">+R301-(0.711/100)</f>
        <v>137.47436000000002</v>
      </c>
      <c r="T301" s="90">
        <f t="shared" si="393"/>
        <v>137.46725000000001</v>
      </c>
      <c r="U301" s="90">
        <f t="shared" si="393"/>
        <v>137.46014</v>
      </c>
      <c r="V301" s="90">
        <f t="shared" si="393"/>
        <v>137.45302999999998</v>
      </c>
      <c r="W301" s="90">
        <f t="shared" si="393"/>
        <v>137.44591999999997</v>
      </c>
      <c r="X301" s="90">
        <f t="shared" si="393"/>
        <v>137.43880999999996</v>
      </c>
      <c r="Y301" s="90">
        <f t="shared" si="393"/>
        <v>137.43169999999995</v>
      </c>
      <c r="Z301" s="90">
        <f t="shared" si="393"/>
        <v>137.42458999999994</v>
      </c>
      <c r="AA301" s="90">
        <f t="shared" si="393"/>
        <v>137.41747999999993</v>
      </c>
      <c r="AB301" s="90">
        <f t="shared" si="393"/>
        <v>137.41036999999992</v>
      </c>
    </row>
    <row r="302" spans="1:28" x14ac:dyDescent="0.25">
      <c r="A302" s="88" t="s">
        <v>29</v>
      </c>
      <c r="B302" s="87" t="s">
        <v>5</v>
      </c>
      <c r="C302" s="89">
        <v>1846.79</v>
      </c>
      <c r="D302" s="90">
        <f t="shared" si="377"/>
        <v>1846.79</v>
      </c>
      <c r="E302" s="89">
        <v>1846.79</v>
      </c>
      <c r="F302" s="90">
        <f t="shared" si="378"/>
        <v>1846.79</v>
      </c>
      <c r="G302" s="89">
        <v>1846.79</v>
      </c>
      <c r="H302" s="90">
        <f t="shared" si="379"/>
        <v>2744.6800000000003</v>
      </c>
      <c r="I302" s="89">
        <v>3642.57</v>
      </c>
      <c r="J302" s="90">
        <f t="shared" si="380"/>
        <v>2664.2049999999999</v>
      </c>
      <c r="K302" s="89">
        <v>1685.84</v>
      </c>
      <c r="L302" s="89">
        <v>3312.72</v>
      </c>
      <c r="M302" s="89">
        <v>3312.72</v>
      </c>
      <c r="N302" s="89">
        <v>218.03</v>
      </c>
      <c r="O302" s="89">
        <v>218.03</v>
      </c>
      <c r="P302" s="91">
        <f t="shared" si="381"/>
        <v>218.03049000000001</v>
      </c>
      <c r="Q302" s="91">
        <f t="shared" si="381"/>
        <v>218.03098000000003</v>
      </c>
      <c r="R302" s="91">
        <f t="shared" si="381"/>
        <v>218.03147000000004</v>
      </c>
      <c r="S302" s="90">
        <f t="shared" ref="S302:AB302" si="394">+R302-(0.711/100)</f>
        <v>218.02436000000003</v>
      </c>
      <c r="T302" s="90">
        <f t="shared" si="394"/>
        <v>218.01725000000002</v>
      </c>
      <c r="U302" s="90">
        <f t="shared" si="394"/>
        <v>218.01014000000001</v>
      </c>
      <c r="V302" s="90">
        <f t="shared" si="394"/>
        <v>218.00303</v>
      </c>
      <c r="W302" s="90">
        <f t="shared" si="394"/>
        <v>217.99591999999998</v>
      </c>
      <c r="X302" s="90">
        <f t="shared" si="394"/>
        <v>217.98880999999997</v>
      </c>
      <c r="Y302" s="90">
        <f t="shared" si="394"/>
        <v>217.98169999999996</v>
      </c>
      <c r="Z302" s="90">
        <f t="shared" si="394"/>
        <v>217.97458999999995</v>
      </c>
      <c r="AA302" s="90">
        <f t="shared" si="394"/>
        <v>217.96747999999994</v>
      </c>
      <c r="AB302" s="90">
        <f t="shared" si="394"/>
        <v>217.96036999999993</v>
      </c>
    </row>
    <row r="303" spans="1:28" x14ac:dyDescent="0.25">
      <c r="S303" s="90">
        <f t="shared" ref="S303:AB303" si="395">+R303-(0.711/100)</f>
        <v>-7.11E-3</v>
      </c>
      <c r="T303" s="90">
        <f t="shared" si="395"/>
        <v>-1.422E-2</v>
      </c>
      <c r="U303" s="90">
        <f t="shared" si="395"/>
        <v>-2.1330000000000002E-2</v>
      </c>
      <c r="V303" s="90">
        <f t="shared" si="395"/>
        <v>-2.844E-2</v>
      </c>
      <c r="W303" s="90">
        <f t="shared" si="395"/>
        <v>-3.5549999999999998E-2</v>
      </c>
      <c r="X303" s="90">
        <f t="shared" si="395"/>
        <v>-4.2659999999999997E-2</v>
      </c>
      <c r="Y303" s="90">
        <f t="shared" si="395"/>
        <v>-4.9769999999999995E-2</v>
      </c>
      <c r="Z303" s="90">
        <f t="shared" si="395"/>
        <v>-5.6879999999999993E-2</v>
      </c>
      <c r="AA303" s="90">
        <f t="shared" si="395"/>
        <v>-6.3989999999999991E-2</v>
      </c>
      <c r="AB303" s="90">
        <f t="shared" si="395"/>
        <v>-7.1099999999999997E-2</v>
      </c>
    </row>
    <row r="304" spans="1:28" x14ac:dyDescent="0.25">
      <c r="A304" s="86" t="s">
        <v>18</v>
      </c>
      <c r="B304" s="87" t="s">
        <v>6</v>
      </c>
      <c r="C304" s="89">
        <v>0</v>
      </c>
      <c r="D304" s="90">
        <f t="shared" ref="D304:D317" si="396">+(C304+E304)/2</f>
        <v>0</v>
      </c>
      <c r="E304" s="89">
        <v>0</v>
      </c>
      <c r="F304" s="90">
        <f t="shared" ref="F304:F317" si="397">+(E304+G304)/2</f>
        <v>0</v>
      </c>
      <c r="G304" s="89">
        <v>0</v>
      </c>
      <c r="H304" s="90">
        <f t="shared" ref="H304:H317" si="398">+(G304+I304)/2</f>
        <v>0</v>
      </c>
      <c r="I304" s="89">
        <v>0</v>
      </c>
      <c r="J304" s="90">
        <f t="shared" ref="J304:J317" si="399">+(I304+K304)/2</f>
        <v>5.1974999999999998</v>
      </c>
      <c r="K304" s="89">
        <v>10.395</v>
      </c>
      <c r="L304" s="89">
        <v>7.52</v>
      </c>
      <c r="M304" s="89">
        <v>7.52</v>
      </c>
      <c r="N304" s="89">
        <v>0</v>
      </c>
      <c r="O304" s="89">
        <v>0</v>
      </c>
      <c r="P304" s="91">
        <f t="shared" ref="P304:R317" si="400">+O304+(0.049/100)</f>
        <v>4.8999999999999998E-4</v>
      </c>
      <c r="Q304" s="91">
        <f t="shared" si="400"/>
        <v>9.7999999999999997E-4</v>
      </c>
      <c r="R304" s="91">
        <f t="shared" si="400"/>
        <v>1.47E-3</v>
      </c>
      <c r="S304" s="90">
        <f t="shared" ref="S304:AB304" si="401">+R304-(0.711/100)</f>
        <v>-5.64E-3</v>
      </c>
      <c r="T304" s="90">
        <f t="shared" si="401"/>
        <v>-1.2750000000000001E-2</v>
      </c>
      <c r="U304" s="90">
        <f t="shared" si="401"/>
        <v>-1.9860000000000003E-2</v>
      </c>
      <c r="V304" s="90">
        <f t="shared" si="401"/>
        <v>-2.6970000000000001E-2</v>
      </c>
      <c r="W304" s="90">
        <f t="shared" si="401"/>
        <v>-3.4079999999999999E-2</v>
      </c>
      <c r="X304" s="90">
        <f t="shared" si="401"/>
        <v>-4.1189999999999997E-2</v>
      </c>
      <c r="Y304" s="90">
        <f t="shared" si="401"/>
        <v>-4.8299999999999996E-2</v>
      </c>
      <c r="Z304" s="90">
        <f t="shared" si="401"/>
        <v>-5.5409999999999994E-2</v>
      </c>
      <c r="AA304" s="90">
        <f t="shared" si="401"/>
        <v>-6.2519999999999992E-2</v>
      </c>
      <c r="AB304" s="90">
        <f t="shared" si="401"/>
        <v>-6.9629999999999997E-2</v>
      </c>
    </row>
    <row r="305" spans="1:28" x14ac:dyDescent="0.25">
      <c r="A305" s="86" t="s">
        <v>20</v>
      </c>
      <c r="B305" s="87" t="s">
        <v>6</v>
      </c>
      <c r="C305" s="89">
        <v>390</v>
      </c>
      <c r="D305" s="90">
        <f t="shared" si="396"/>
        <v>390</v>
      </c>
      <c r="E305" s="89">
        <v>390</v>
      </c>
      <c r="F305" s="90">
        <f t="shared" si="397"/>
        <v>390</v>
      </c>
      <c r="G305" s="89">
        <v>390</v>
      </c>
      <c r="H305" s="90">
        <f t="shared" si="398"/>
        <v>232.50749999999999</v>
      </c>
      <c r="I305" s="89">
        <v>75.015000000000001</v>
      </c>
      <c r="J305" s="90">
        <f t="shared" si="399"/>
        <v>75.240000000000009</v>
      </c>
      <c r="K305" s="89">
        <v>75.465000000000003</v>
      </c>
      <c r="L305" s="89">
        <v>527.66999999999996</v>
      </c>
      <c r="M305" s="89">
        <v>527.66999999999996</v>
      </c>
      <c r="N305" s="89">
        <v>802.49</v>
      </c>
      <c r="O305" s="89">
        <v>802.49</v>
      </c>
      <c r="P305" s="91">
        <f t="shared" si="400"/>
        <v>802.49049000000002</v>
      </c>
      <c r="Q305" s="91">
        <f t="shared" si="400"/>
        <v>802.49098000000004</v>
      </c>
      <c r="R305" s="91">
        <f t="shared" si="400"/>
        <v>802.49147000000005</v>
      </c>
      <c r="S305" s="90">
        <f t="shared" ref="S305:AB305" si="402">+R305-(0.711/100)</f>
        <v>802.48436000000004</v>
      </c>
      <c r="T305" s="90">
        <f t="shared" si="402"/>
        <v>802.47725000000003</v>
      </c>
      <c r="U305" s="90">
        <f t="shared" si="402"/>
        <v>802.47014000000001</v>
      </c>
      <c r="V305" s="90">
        <f t="shared" si="402"/>
        <v>802.46303</v>
      </c>
      <c r="W305" s="90">
        <f t="shared" si="402"/>
        <v>802.45591999999999</v>
      </c>
      <c r="X305" s="90">
        <f t="shared" si="402"/>
        <v>802.44880999999998</v>
      </c>
      <c r="Y305" s="90">
        <f t="shared" si="402"/>
        <v>802.44169999999997</v>
      </c>
      <c r="Z305" s="90">
        <f t="shared" si="402"/>
        <v>802.43458999999996</v>
      </c>
      <c r="AA305" s="90">
        <f t="shared" si="402"/>
        <v>802.42747999999995</v>
      </c>
      <c r="AB305" s="90">
        <f t="shared" si="402"/>
        <v>802.42036999999993</v>
      </c>
    </row>
    <row r="306" spans="1:28" x14ac:dyDescent="0.25">
      <c r="A306" s="86" t="s">
        <v>21</v>
      </c>
      <c r="B306" s="87" t="s">
        <v>6</v>
      </c>
      <c r="C306" s="89">
        <v>42.464999999999996</v>
      </c>
      <c r="D306" s="90">
        <f t="shared" si="396"/>
        <v>42.464999999999996</v>
      </c>
      <c r="E306" s="89">
        <v>42.464999999999996</v>
      </c>
      <c r="F306" s="90">
        <f t="shared" si="397"/>
        <v>42.464999999999996</v>
      </c>
      <c r="G306" s="89">
        <v>42.464999999999996</v>
      </c>
      <c r="H306" s="90">
        <f t="shared" si="398"/>
        <v>54.825000000000003</v>
      </c>
      <c r="I306" s="89">
        <v>67.185000000000002</v>
      </c>
      <c r="J306" s="90">
        <f t="shared" si="399"/>
        <v>89.032499999999999</v>
      </c>
      <c r="K306" s="89">
        <v>110.88</v>
      </c>
      <c r="L306" s="89">
        <v>59.4</v>
      </c>
      <c r="M306" s="89">
        <v>59.4</v>
      </c>
      <c r="N306" s="89">
        <v>123.44</v>
      </c>
      <c r="O306" s="89">
        <v>123.44</v>
      </c>
      <c r="P306" s="91">
        <f t="shared" si="400"/>
        <v>123.44049</v>
      </c>
      <c r="Q306" s="91">
        <f t="shared" si="400"/>
        <v>123.44098</v>
      </c>
      <c r="R306" s="91">
        <f t="shared" si="400"/>
        <v>123.44147</v>
      </c>
      <c r="S306" s="90">
        <f t="shared" ref="S306:AB306" si="403">+R306-(0.711/100)</f>
        <v>123.43436</v>
      </c>
      <c r="T306" s="90">
        <f t="shared" si="403"/>
        <v>123.42725</v>
      </c>
      <c r="U306" s="90">
        <f t="shared" si="403"/>
        <v>123.42014</v>
      </c>
      <c r="V306" s="90">
        <f t="shared" si="403"/>
        <v>123.41303000000001</v>
      </c>
      <c r="W306" s="90">
        <f t="shared" si="403"/>
        <v>123.40592000000001</v>
      </c>
      <c r="X306" s="90">
        <f t="shared" si="403"/>
        <v>123.39881000000001</v>
      </c>
      <c r="Y306" s="90">
        <f t="shared" si="403"/>
        <v>123.39170000000001</v>
      </c>
      <c r="Z306" s="90">
        <f t="shared" si="403"/>
        <v>123.38459000000002</v>
      </c>
      <c r="AA306" s="90">
        <f t="shared" si="403"/>
        <v>123.37748000000002</v>
      </c>
      <c r="AB306" s="90">
        <f t="shared" si="403"/>
        <v>123.37037000000002</v>
      </c>
    </row>
    <row r="307" spans="1:28" x14ac:dyDescent="0.25">
      <c r="A307" s="86" t="s">
        <v>22</v>
      </c>
      <c r="B307" s="87" t="s">
        <v>6</v>
      </c>
      <c r="C307" s="89">
        <v>51.254999999999995</v>
      </c>
      <c r="D307" s="90">
        <f t="shared" si="396"/>
        <v>51.254999999999995</v>
      </c>
      <c r="E307" s="89">
        <v>51.254999999999995</v>
      </c>
      <c r="F307" s="90">
        <f t="shared" si="397"/>
        <v>51.254999999999995</v>
      </c>
      <c r="G307" s="89">
        <v>51.254999999999995</v>
      </c>
      <c r="H307" s="90">
        <f t="shared" si="398"/>
        <v>48.959999999999994</v>
      </c>
      <c r="I307" s="89">
        <v>46.664999999999992</v>
      </c>
      <c r="J307" s="90">
        <f t="shared" si="399"/>
        <v>61.717499999999994</v>
      </c>
      <c r="K307" s="89">
        <v>76.77</v>
      </c>
      <c r="L307" s="89">
        <v>99.45</v>
      </c>
      <c r="M307" s="89">
        <v>99.45</v>
      </c>
      <c r="N307" s="89">
        <v>138.56</v>
      </c>
      <c r="O307" s="89">
        <v>138.56</v>
      </c>
      <c r="P307" s="91">
        <f t="shared" si="400"/>
        <v>138.56049000000002</v>
      </c>
      <c r="Q307" s="91">
        <f t="shared" si="400"/>
        <v>138.56098000000003</v>
      </c>
      <c r="R307" s="91">
        <f t="shared" si="400"/>
        <v>138.56147000000004</v>
      </c>
      <c r="S307" s="90">
        <f t="shared" ref="S307:AB307" si="404">+R307-(0.711/100)</f>
        <v>138.55436000000003</v>
      </c>
      <c r="T307" s="90">
        <f t="shared" si="404"/>
        <v>138.54725000000002</v>
      </c>
      <c r="U307" s="90">
        <f t="shared" si="404"/>
        <v>138.54014000000001</v>
      </c>
      <c r="V307" s="90">
        <f t="shared" si="404"/>
        <v>138.53303</v>
      </c>
      <c r="W307" s="90">
        <f t="shared" si="404"/>
        <v>138.52591999999999</v>
      </c>
      <c r="X307" s="90">
        <f t="shared" si="404"/>
        <v>138.51880999999997</v>
      </c>
      <c r="Y307" s="90">
        <f t="shared" si="404"/>
        <v>138.51169999999996</v>
      </c>
      <c r="Z307" s="90">
        <f t="shared" si="404"/>
        <v>138.50458999999995</v>
      </c>
      <c r="AA307" s="90">
        <f t="shared" si="404"/>
        <v>138.49747999999994</v>
      </c>
      <c r="AB307" s="90">
        <f t="shared" si="404"/>
        <v>138.49036999999993</v>
      </c>
    </row>
    <row r="308" spans="1:28" x14ac:dyDescent="0.25">
      <c r="A308" s="86" t="s">
        <v>23</v>
      </c>
      <c r="B308" s="87" t="s">
        <v>6</v>
      </c>
      <c r="C308" s="89">
        <v>18.059999999999999</v>
      </c>
      <c r="D308" s="90">
        <f t="shared" si="396"/>
        <v>18.059999999999999</v>
      </c>
      <c r="E308" s="89">
        <v>18.059999999999999</v>
      </c>
      <c r="F308" s="90">
        <f t="shared" si="397"/>
        <v>18.059999999999999</v>
      </c>
      <c r="G308" s="89">
        <v>18.059999999999999</v>
      </c>
      <c r="H308" s="90">
        <f t="shared" si="398"/>
        <v>21.2925</v>
      </c>
      <c r="I308" s="89">
        <v>24.525000000000002</v>
      </c>
      <c r="J308" s="90">
        <f t="shared" si="399"/>
        <v>28.17</v>
      </c>
      <c r="K308" s="89">
        <v>31.814999999999998</v>
      </c>
      <c r="L308" s="89">
        <v>39.65</v>
      </c>
      <c r="M308" s="89">
        <v>39.65</v>
      </c>
      <c r="N308" s="89">
        <v>0.54</v>
      </c>
      <c r="O308" s="89">
        <v>0.54</v>
      </c>
      <c r="P308" s="91">
        <f t="shared" si="400"/>
        <v>0.54049000000000003</v>
      </c>
      <c r="Q308" s="91">
        <f t="shared" si="400"/>
        <v>0.54098000000000002</v>
      </c>
      <c r="R308" s="91">
        <f t="shared" si="400"/>
        <v>0.54147000000000001</v>
      </c>
      <c r="S308" s="90">
        <f t="shared" ref="S308:AB308" si="405">+R308-(0.711/100)</f>
        <v>0.53436000000000006</v>
      </c>
      <c r="T308" s="90">
        <f t="shared" si="405"/>
        <v>0.52725000000000011</v>
      </c>
      <c r="U308" s="90">
        <f t="shared" si="405"/>
        <v>0.52014000000000016</v>
      </c>
      <c r="V308" s="90">
        <f t="shared" si="405"/>
        <v>0.51303000000000021</v>
      </c>
      <c r="W308" s="90">
        <f t="shared" si="405"/>
        <v>0.50592000000000026</v>
      </c>
      <c r="X308" s="90">
        <f t="shared" si="405"/>
        <v>0.49881000000000025</v>
      </c>
      <c r="Y308" s="90">
        <f t="shared" si="405"/>
        <v>0.49170000000000025</v>
      </c>
      <c r="Z308" s="90">
        <f t="shared" si="405"/>
        <v>0.48459000000000024</v>
      </c>
      <c r="AA308" s="90">
        <f t="shared" si="405"/>
        <v>0.47748000000000024</v>
      </c>
      <c r="AB308" s="90">
        <f t="shared" si="405"/>
        <v>0.47037000000000023</v>
      </c>
    </row>
    <row r="309" spans="1:28" ht="22.5" x14ac:dyDescent="0.25">
      <c r="A309" s="86" t="s">
        <v>24</v>
      </c>
      <c r="B309" s="87" t="s">
        <v>6</v>
      </c>
      <c r="C309" s="89">
        <v>102.55500000000001</v>
      </c>
      <c r="D309" s="90">
        <f t="shared" si="396"/>
        <v>102.55500000000001</v>
      </c>
      <c r="E309" s="89">
        <v>102.55500000000001</v>
      </c>
      <c r="F309" s="90">
        <f t="shared" si="397"/>
        <v>102.55500000000001</v>
      </c>
      <c r="G309" s="89">
        <v>102.55500000000001</v>
      </c>
      <c r="H309" s="90">
        <f t="shared" si="398"/>
        <v>107.23500000000001</v>
      </c>
      <c r="I309" s="89">
        <v>111.91500000000001</v>
      </c>
      <c r="J309" s="90">
        <f t="shared" si="399"/>
        <v>157.9725</v>
      </c>
      <c r="K309" s="89">
        <v>204.03</v>
      </c>
      <c r="L309" s="89">
        <v>300.74</v>
      </c>
      <c r="M309" s="89">
        <v>300.74</v>
      </c>
      <c r="N309" s="89">
        <v>861.98</v>
      </c>
      <c r="O309" s="89">
        <v>861.98</v>
      </c>
      <c r="P309" s="91">
        <f t="shared" si="400"/>
        <v>861.98049000000003</v>
      </c>
      <c r="Q309" s="91">
        <f t="shared" si="400"/>
        <v>861.98098000000005</v>
      </c>
      <c r="R309" s="91">
        <f t="shared" si="400"/>
        <v>861.98147000000006</v>
      </c>
      <c r="S309" s="90">
        <f t="shared" ref="S309:AB309" si="406">+R309-(0.711/100)</f>
        <v>861.97436000000005</v>
      </c>
      <c r="T309" s="90">
        <f t="shared" si="406"/>
        <v>861.96725000000004</v>
      </c>
      <c r="U309" s="90">
        <f t="shared" si="406"/>
        <v>861.96014000000002</v>
      </c>
      <c r="V309" s="90">
        <f t="shared" si="406"/>
        <v>861.95303000000001</v>
      </c>
      <c r="W309" s="90">
        <f t="shared" si="406"/>
        <v>861.94592</v>
      </c>
      <c r="X309" s="90">
        <f t="shared" si="406"/>
        <v>861.93880999999999</v>
      </c>
      <c r="Y309" s="90">
        <f t="shared" si="406"/>
        <v>861.93169999999998</v>
      </c>
      <c r="Z309" s="90">
        <f t="shared" si="406"/>
        <v>861.92458999999997</v>
      </c>
      <c r="AA309" s="90">
        <f t="shared" si="406"/>
        <v>861.91747999999995</v>
      </c>
      <c r="AB309" s="90">
        <f t="shared" si="406"/>
        <v>861.91036999999994</v>
      </c>
    </row>
    <row r="310" spans="1:28" x14ac:dyDescent="0.25">
      <c r="A310" s="86" t="s">
        <v>25</v>
      </c>
      <c r="B310" s="87" t="s">
        <v>6</v>
      </c>
      <c r="C310" s="89">
        <v>30.825000000000003</v>
      </c>
      <c r="D310" s="90">
        <f t="shared" si="396"/>
        <v>30.825000000000003</v>
      </c>
      <c r="E310" s="89">
        <v>30.825000000000003</v>
      </c>
      <c r="F310" s="90">
        <f t="shared" si="397"/>
        <v>30.825000000000003</v>
      </c>
      <c r="G310" s="89">
        <v>30.825000000000003</v>
      </c>
      <c r="H310" s="90">
        <f t="shared" si="398"/>
        <v>22.770000000000003</v>
      </c>
      <c r="I310" s="89">
        <v>14.715</v>
      </c>
      <c r="J310" s="90">
        <f t="shared" si="399"/>
        <v>18.09</v>
      </c>
      <c r="K310" s="89">
        <v>21.465</v>
      </c>
      <c r="L310" s="89">
        <v>33.979999999999997</v>
      </c>
      <c r="M310" s="89">
        <v>33.979999999999997</v>
      </c>
      <c r="N310" s="89">
        <v>201.56</v>
      </c>
      <c r="O310" s="89">
        <v>201.56</v>
      </c>
      <c r="P310" s="91">
        <f t="shared" si="400"/>
        <v>201.56049000000002</v>
      </c>
      <c r="Q310" s="91">
        <f t="shared" si="400"/>
        <v>201.56098000000003</v>
      </c>
      <c r="R310" s="91">
        <f t="shared" si="400"/>
        <v>201.56147000000004</v>
      </c>
      <c r="S310" s="90">
        <f t="shared" ref="S310:AB310" si="407">+R310-(0.711/100)</f>
        <v>201.55436000000003</v>
      </c>
      <c r="T310" s="90">
        <f t="shared" si="407"/>
        <v>201.54725000000002</v>
      </c>
      <c r="U310" s="90">
        <f t="shared" si="407"/>
        <v>201.54014000000001</v>
      </c>
      <c r="V310" s="90">
        <f t="shared" si="407"/>
        <v>201.53303</v>
      </c>
      <c r="W310" s="90">
        <f t="shared" si="407"/>
        <v>201.52591999999999</v>
      </c>
      <c r="X310" s="90">
        <f t="shared" si="407"/>
        <v>201.51880999999997</v>
      </c>
      <c r="Y310" s="90">
        <f t="shared" si="407"/>
        <v>201.51169999999996</v>
      </c>
      <c r="Z310" s="90">
        <f t="shared" si="407"/>
        <v>201.50458999999995</v>
      </c>
      <c r="AA310" s="90">
        <f t="shared" si="407"/>
        <v>201.49747999999994</v>
      </c>
      <c r="AB310" s="90">
        <f t="shared" si="407"/>
        <v>201.49036999999993</v>
      </c>
    </row>
    <row r="311" spans="1:28" x14ac:dyDescent="0.25">
      <c r="A311" s="86" t="s">
        <v>26</v>
      </c>
      <c r="B311" s="87" t="s">
        <v>6</v>
      </c>
      <c r="C311" s="89">
        <v>33.630000000000003</v>
      </c>
      <c r="D311" s="90">
        <f t="shared" si="396"/>
        <v>33.630000000000003</v>
      </c>
      <c r="E311" s="89">
        <v>33.630000000000003</v>
      </c>
      <c r="F311" s="90">
        <f t="shared" si="397"/>
        <v>33.630000000000003</v>
      </c>
      <c r="G311" s="89">
        <v>33.630000000000003</v>
      </c>
      <c r="H311" s="90">
        <f t="shared" si="398"/>
        <v>20.842500000000001</v>
      </c>
      <c r="I311" s="89">
        <v>8.0549999999999997</v>
      </c>
      <c r="J311" s="90">
        <f t="shared" si="399"/>
        <v>11.6775</v>
      </c>
      <c r="K311" s="89">
        <v>15.3</v>
      </c>
      <c r="L311" s="89">
        <v>2210.7199999999998</v>
      </c>
      <c r="M311" s="89">
        <v>2210.7199999999998</v>
      </c>
      <c r="N311" s="89">
        <v>78.709999999999994</v>
      </c>
      <c r="O311" s="89">
        <v>78.709999999999994</v>
      </c>
      <c r="P311" s="91">
        <f t="shared" si="400"/>
        <v>78.710489999999993</v>
      </c>
      <c r="Q311" s="91">
        <f t="shared" si="400"/>
        <v>78.710979999999992</v>
      </c>
      <c r="R311" s="91">
        <f t="shared" si="400"/>
        <v>78.711469999999991</v>
      </c>
      <c r="S311" s="90">
        <f t="shared" ref="S311:AB311" si="408">+R311-(0.711/100)</f>
        <v>78.704359999999994</v>
      </c>
      <c r="T311" s="90">
        <f t="shared" si="408"/>
        <v>78.697249999999997</v>
      </c>
      <c r="U311" s="90">
        <f t="shared" si="408"/>
        <v>78.69014</v>
      </c>
      <c r="V311" s="90">
        <f t="shared" si="408"/>
        <v>78.683030000000002</v>
      </c>
      <c r="W311" s="90">
        <f t="shared" si="408"/>
        <v>78.675920000000005</v>
      </c>
      <c r="X311" s="90">
        <f t="shared" si="408"/>
        <v>78.668810000000008</v>
      </c>
      <c r="Y311" s="90">
        <f t="shared" si="408"/>
        <v>78.66170000000001</v>
      </c>
      <c r="Z311" s="90">
        <f t="shared" si="408"/>
        <v>78.654590000000013</v>
      </c>
      <c r="AA311" s="90">
        <f t="shared" si="408"/>
        <v>78.647480000000016</v>
      </c>
      <c r="AB311" s="90">
        <f t="shared" si="408"/>
        <v>78.640370000000019</v>
      </c>
    </row>
    <row r="312" spans="1:28" x14ac:dyDescent="0.25">
      <c r="A312" s="86" t="s">
        <v>27</v>
      </c>
      <c r="B312" s="87" t="s">
        <v>6</v>
      </c>
      <c r="C312" s="89">
        <v>1.83</v>
      </c>
      <c r="D312" s="90">
        <f t="shared" si="396"/>
        <v>1.83</v>
      </c>
      <c r="E312" s="89">
        <v>1.83</v>
      </c>
      <c r="F312" s="90">
        <f t="shared" si="397"/>
        <v>1.83</v>
      </c>
      <c r="G312" s="89">
        <v>1.83</v>
      </c>
      <c r="H312" s="90">
        <f t="shared" si="398"/>
        <v>2.58</v>
      </c>
      <c r="I312" s="89">
        <v>3.33</v>
      </c>
      <c r="J312" s="90">
        <f t="shared" si="399"/>
        <v>4.6575000000000006</v>
      </c>
      <c r="K312" s="89">
        <v>5.9850000000000003</v>
      </c>
      <c r="L312" s="89">
        <v>6.53</v>
      </c>
      <c r="M312" s="89">
        <v>6.53</v>
      </c>
      <c r="N312" s="89">
        <v>13.23</v>
      </c>
      <c r="O312" s="89">
        <v>13.23</v>
      </c>
      <c r="P312" s="91">
        <f t="shared" si="400"/>
        <v>13.23049</v>
      </c>
      <c r="Q312" s="91">
        <f t="shared" si="400"/>
        <v>13.230979999999999</v>
      </c>
      <c r="R312" s="91">
        <f t="shared" si="400"/>
        <v>13.231469999999998</v>
      </c>
      <c r="S312" s="90">
        <f t="shared" ref="S312:AB312" si="409">+R312-(0.711/100)</f>
        <v>13.224359999999997</v>
      </c>
      <c r="T312" s="90">
        <f t="shared" si="409"/>
        <v>13.217249999999996</v>
      </c>
      <c r="U312" s="90">
        <f t="shared" si="409"/>
        <v>13.210139999999996</v>
      </c>
      <c r="V312" s="90">
        <f t="shared" si="409"/>
        <v>13.203029999999995</v>
      </c>
      <c r="W312" s="90">
        <f t="shared" si="409"/>
        <v>13.195919999999994</v>
      </c>
      <c r="X312" s="90">
        <f t="shared" si="409"/>
        <v>13.188809999999993</v>
      </c>
      <c r="Y312" s="90">
        <f t="shared" si="409"/>
        <v>13.181699999999992</v>
      </c>
      <c r="Z312" s="90">
        <f t="shared" si="409"/>
        <v>13.174589999999991</v>
      </c>
      <c r="AA312" s="90">
        <f t="shared" si="409"/>
        <v>13.167479999999991</v>
      </c>
      <c r="AB312" s="90">
        <f t="shared" si="409"/>
        <v>13.16036999999999</v>
      </c>
    </row>
    <row r="313" spans="1:28" x14ac:dyDescent="0.25">
      <c r="A313" s="86" t="s">
        <v>28</v>
      </c>
      <c r="B313" s="87" t="s">
        <v>6</v>
      </c>
      <c r="C313" s="89">
        <v>20.58</v>
      </c>
      <c r="D313" s="90">
        <f t="shared" si="396"/>
        <v>20.58</v>
      </c>
      <c r="E313" s="89">
        <v>20.58</v>
      </c>
      <c r="F313" s="90">
        <f t="shared" si="397"/>
        <v>20.58</v>
      </c>
      <c r="G313" s="89">
        <v>20.58</v>
      </c>
      <c r="H313" s="90">
        <f t="shared" si="398"/>
        <v>44.92</v>
      </c>
      <c r="I313" s="89">
        <v>69.260000000000005</v>
      </c>
      <c r="J313" s="90">
        <f t="shared" si="399"/>
        <v>122.875</v>
      </c>
      <c r="K313" s="89">
        <v>176.49</v>
      </c>
      <c r="L313" s="89">
        <v>53.46</v>
      </c>
      <c r="M313" s="89">
        <v>53.46</v>
      </c>
      <c r="N313" s="89">
        <v>10.98</v>
      </c>
      <c r="O313" s="89">
        <v>10.98</v>
      </c>
      <c r="P313" s="91">
        <f t="shared" si="400"/>
        <v>10.98049</v>
      </c>
      <c r="Q313" s="91">
        <f t="shared" si="400"/>
        <v>10.980979999999999</v>
      </c>
      <c r="R313" s="91">
        <f t="shared" si="400"/>
        <v>10.981469999999998</v>
      </c>
      <c r="S313" s="90">
        <f t="shared" ref="S313:AB313" si="410">+R313-(0.711/100)</f>
        <v>10.974359999999997</v>
      </c>
      <c r="T313" s="90">
        <f t="shared" si="410"/>
        <v>10.967249999999996</v>
      </c>
      <c r="U313" s="90">
        <f t="shared" si="410"/>
        <v>10.960139999999996</v>
      </c>
      <c r="V313" s="90">
        <f t="shared" si="410"/>
        <v>10.953029999999995</v>
      </c>
      <c r="W313" s="90">
        <f t="shared" si="410"/>
        <v>10.945919999999994</v>
      </c>
      <c r="X313" s="90">
        <f t="shared" si="410"/>
        <v>10.938809999999993</v>
      </c>
      <c r="Y313" s="90">
        <f t="shared" si="410"/>
        <v>10.931699999999992</v>
      </c>
      <c r="Z313" s="90">
        <f t="shared" si="410"/>
        <v>10.924589999999991</v>
      </c>
      <c r="AA313" s="90">
        <f t="shared" si="410"/>
        <v>10.917479999999991</v>
      </c>
      <c r="AB313" s="90">
        <f t="shared" si="410"/>
        <v>10.91036999999999</v>
      </c>
    </row>
    <row r="314" spans="1:28" x14ac:dyDescent="0.25">
      <c r="A314" s="88" t="s">
        <v>19</v>
      </c>
      <c r="B314" s="87" t="s">
        <v>6</v>
      </c>
      <c r="C314" s="89">
        <v>9692.42</v>
      </c>
      <c r="D314" s="90">
        <f t="shared" si="396"/>
        <v>9692.42</v>
      </c>
      <c r="E314" s="89">
        <v>9692.42</v>
      </c>
      <c r="F314" s="90">
        <f t="shared" si="397"/>
        <v>9692.42</v>
      </c>
      <c r="G314" s="89">
        <v>9692.42</v>
      </c>
      <c r="H314" s="90">
        <f t="shared" si="398"/>
        <v>6006.2650000000003</v>
      </c>
      <c r="I314" s="89">
        <v>2320.11</v>
      </c>
      <c r="J314" s="90">
        <f t="shared" si="399"/>
        <v>8269.5550000000003</v>
      </c>
      <c r="K314" s="89">
        <v>14219</v>
      </c>
      <c r="L314" s="89">
        <v>3174.03</v>
      </c>
      <c r="M314" s="89">
        <v>3174.03</v>
      </c>
      <c r="N314" s="89">
        <v>11997.5</v>
      </c>
      <c r="O314" s="89">
        <v>11997.5</v>
      </c>
      <c r="P314" s="91">
        <f t="shared" si="400"/>
        <v>11997.50049</v>
      </c>
      <c r="Q314" s="91">
        <f t="shared" si="400"/>
        <v>11997.500980000001</v>
      </c>
      <c r="R314" s="91">
        <f t="shared" si="400"/>
        <v>11997.501470000001</v>
      </c>
      <c r="S314" s="90">
        <f t="shared" ref="S314:AB314" si="411">+R314-(0.711/100)</f>
        <v>11997.494360000001</v>
      </c>
      <c r="T314" s="90">
        <f t="shared" si="411"/>
        <v>11997.48725</v>
      </c>
      <c r="U314" s="90">
        <f t="shared" si="411"/>
        <v>11997.48014</v>
      </c>
      <c r="V314" s="90">
        <f t="shared" si="411"/>
        <v>11997.473029999999</v>
      </c>
      <c r="W314" s="90">
        <f t="shared" si="411"/>
        <v>11997.465919999999</v>
      </c>
      <c r="X314" s="90">
        <f t="shared" si="411"/>
        <v>11997.458809999998</v>
      </c>
      <c r="Y314" s="90">
        <f t="shared" si="411"/>
        <v>11997.451699999998</v>
      </c>
      <c r="Z314" s="90">
        <f t="shared" si="411"/>
        <v>11997.444589999997</v>
      </c>
      <c r="AA314" s="90">
        <f t="shared" si="411"/>
        <v>11997.437479999997</v>
      </c>
      <c r="AB314" s="90">
        <f t="shared" si="411"/>
        <v>11997.430369999996</v>
      </c>
    </row>
    <row r="315" spans="1:28" x14ac:dyDescent="0.25">
      <c r="A315" s="88" t="s">
        <v>4</v>
      </c>
      <c r="B315" s="87" t="s">
        <v>6</v>
      </c>
      <c r="C315" s="89">
        <v>614.61</v>
      </c>
      <c r="D315" s="90">
        <f t="shared" si="396"/>
        <v>614.61</v>
      </c>
      <c r="E315" s="89">
        <v>614.61</v>
      </c>
      <c r="F315" s="90">
        <f t="shared" si="397"/>
        <v>614.61</v>
      </c>
      <c r="G315" s="89">
        <v>614.61</v>
      </c>
      <c r="H315" s="90">
        <f t="shared" si="398"/>
        <v>481.88499999999999</v>
      </c>
      <c r="I315" s="89">
        <v>349.16</v>
      </c>
      <c r="J315" s="90">
        <f t="shared" si="399"/>
        <v>314.82500000000005</v>
      </c>
      <c r="K315" s="89">
        <v>280.49</v>
      </c>
      <c r="L315" s="89">
        <v>230.99</v>
      </c>
      <c r="M315" s="89">
        <v>230.99</v>
      </c>
      <c r="N315" s="89">
        <v>1935.81</v>
      </c>
      <c r="O315" s="89">
        <v>1935.81</v>
      </c>
      <c r="P315" s="91">
        <f t="shared" si="400"/>
        <v>1935.8104899999998</v>
      </c>
      <c r="Q315" s="91">
        <f t="shared" si="400"/>
        <v>1935.8109799999997</v>
      </c>
      <c r="R315" s="91">
        <f t="shared" si="400"/>
        <v>1935.8114699999996</v>
      </c>
      <c r="S315" s="90">
        <f t="shared" ref="S315:AB315" si="412">+R315-(0.711/100)</f>
        <v>1935.8043599999996</v>
      </c>
      <c r="T315" s="90">
        <f t="shared" si="412"/>
        <v>1935.7972499999996</v>
      </c>
      <c r="U315" s="90">
        <f t="shared" si="412"/>
        <v>1935.7901399999996</v>
      </c>
      <c r="V315" s="90">
        <f t="shared" si="412"/>
        <v>1935.7830299999996</v>
      </c>
      <c r="W315" s="90">
        <f t="shared" si="412"/>
        <v>1935.7759199999996</v>
      </c>
      <c r="X315" s="90">
        <f t="shared" si="412"/>
        <v>1935.7688099999996</v>
      </c>
      <c r="Y315" s="90">
        <f t="shared" si="412"/>
        <v>1935.7616999999996</v>
      </c>
      <c r="Z315" s="90">
        <f t="shared" si="412"/>
        <v>1935.7545899999996</v>
      </c>
      <c r="AA315" s="90">
        <f t="shared" si="412"/>
        <v>1935.7474799999995</v>
      </c>
      <c r="AB315" s="90">
        <f t="shared" si="412"/>
        <v>1935.7403699999995</v>
      </c>
    </row>
    <row r="316" spans="1:28" x14ac:dyDescent="0.25">
      <c r="A316" s="88" t="s">
        <v>5</v>
      </c>
      <c r="B316" s="87" t="s">
        <v>6</v>
      </c>
      <c r="C316" s="89">
        <v>275.76</v>
      </c>
      <c r="D316" s="90">
        <f t="shared" si="396"/>
        <v>275.76</v>
      </c>
      <c r="E316" s="89">
        <v>275.76</v>
      </c>
      <c r="F316" s="90">
        <f t="shared" si="397"/>
        <v>275.76</v>
      </c>
      <c r="G316" s="89">
        <v>275.76</v>
      </c>
      <c r="H316" s="90">
        <f t="shared" si="398"/>
        <v>261.45</v>
      </c>
      <c r="I316" s="89">
        <v>247.14</v>
      </c>
      <c r="J316" s="90">
        <f t="shared" si="399"/>
        <v>345.35500000000002</v>
      </c>
      <c r="K316" s="89">
        <v>443.57</v>
      </c>
      <c r="L316" s="89">
        <v>95151.11</v>
      </c>
      <c r="M316" s="89">
        <v>95151.11</v>
      </c>
      <c r="N316" s="89">
        <v>494.06</v>
      </c>
      <c r="O316" s="89">
        <v>494.06</v>
      </c>
      <c r="P316" s="91">
        <f t="shared" si="400"/>
        <v>494.06049000000002</v>
      </c>
      <c r="Q316" s="91">
        <f t="shared" si="400"/>
        <v>494.06098000000003</v>
      </c>
      <c r="R316" s="91">
        <f t="shared" si="400"/>
        <v>494.06147000000004</v>
      </c>
      <c r="S316" s="90">
        <f t="shared" ref="S316:AB316" si="413">+R316-(0.711/100)</f>
        <v>494.05436000000003</v>
      </c>
      <c r="T316" s="90">
        <f t="shared" si="413"/>
        <v>494.04725000000002</v>
      </c>
      <c r="U316" s="90">
        <f t="shared" si="413"/>
        <v>494.04014000000001</v>
      </c>
      <c r="V316" s="90">
        <f t="shared" si="413"/>
        <v>494.03303</v>
      </c>
      <c r="W316" s="90">
        <f t="shared" si="413"/>
        <v>494.02591999999999</v>
      </c>
      <c r="X316" s="90">
        <f t="shared" si="413"/>
        <v>494.01880999999997</v>
      </c>
      <c r="Y316" s="90">
        <f t="shared" si="413"/>
        <v>494.01169999999996</v>
      </c>
      <c r="Z316" s="90">
        <f t="shared" si="413"/>
        <v>494.00458999999995</v>
      </c>
      <c r="AA316" s="90">
        <f t="shared" si="413"/>
        <v>493.99747999999994</v>
      </c>
      <c r="AB316" s="90">
        <f t="shared" si="413"/>
        <v>493.99036999999993</v>
      </c>
    </row>
    <row r="317" spans="1:28" x14ac:dyDescent="0.25">
      <c r="A317" s="88" t="s">
        <v>29</v>
      </c>
      <c r="B317" s="87" t="s">
        <v>6</v>
      </c>
      <c r="C317" s="89">
        <v>223.995</v>
      </c>
      <c r="D317" s="90">
        <f t="shared" si="396"/>
        <v>223.995</v>
      </c>
      <c r="E317" s="89">
        <v>223.995</v>
      </c>
      <c r="F317" s="90">
        <f t="shared" si="397"/>
        <v>223.995</v>
      </c>
      <c r="G317" s="89">
        <v>223.995</v>
      </c>
      <c r="H317" s="90">
        <f t="shared" si="398"/>
        <v>174.42750000000001</v>
      </c>
      <c r="I317" s="89">
        <v>124.86</v>
      </c>
      <c r="J317" s="90">
        <f t="shared" si="399"/>
        <v>436.92</v>
      </c>
      <c r="K317" s="89">
        <v>748.98</v>
      </c>
      <c r="L317" s="89">
        <v>871.12</v>
      </c>
      <c r="M317" s="89">
        <v>871.12</v>
      </c>
      <c r="N317" s="89">
        <v>2832.75</v>
      </c>
      <c r="O317" s="89">
        <v>2832.75</v>
      </c>
      <c r="P317" s="91">
        <f t="shared" si="400"/>
        <v>2832.7504899999999</v>
      </c>
      <c r="Q317" s="91">
        <f t="shared" si="400"/>
        <v>2832.7509799999998</v>
      </c>
      <c r="R317" s="91">
        <f t="shared" si="400"/>
        <v>2832.7514699999997</v>
      </c>
      <c r="S317" s="90">
        <f t="shared" ref="S317:AB317" si="414">+R317-(0.711/100)</f>
        <v>2832.7443599999997</v>
      </c>
      <c r="T317" s="90">
        <f t="shared" si="414"/>
        <v>2832.7372499999997</v>
      </c>
      <c r="U317" s="90">
        <f t="shared" si="414"/>
        <v>2832.7301399999997</v>
      </c>
      <c r="V317" s="90">
        <f t="shared" si="414"/>
        <v>2832.7230299999997</v>
      </c>
      <c r="W317" s="90">
        <f t="shared" si="414"/>
        <v>2832.7159199999996</v>
      </c>
      <c r="X317" s="90">
        <f t="shared" si="414"/>
        <v>2832.7088099999996</v>
      </c>
      <c r="Y317" s="90">
        <f t="shared" si="414"/>
        <v>2832.7016999999996</v>
      </c>
      <c r="Z317" s="90">
        <f t="shared" si="414"/>
        <v>2832.6945899999996</v>
      </c>
      <c r="AA317" s="90">
        <f t="shared" si="414"/>
        <v>2832.6874799999996</v>
      </c>
      <c r="AB317" s="90">
        <f t="shared" si="414"/>
        <v>2832.6803699999996</v>
      </c>
    </row>
    <row r="319" spans="1:28" x14ac:dyDescent="0.25">
      <c r="A319" s="86" t="s">
        <v>18</v>
      </c>
      <c r="B319" s="87" t="s">
        <v>29</v>
      </c>
      <c r="C319" s="89">
        <v>0.42</v>
      </c>
      <c r="D319" s="90">
        <f t="shared" ref="D319:D332" si="415">+(C319+E319)/2</f>
        <v>0.42</v>
      </c>
      <c r="E319" s="89">
        <v>0.42</v>
      </c>
      <c r="F319" s="90">
        <f t="shared" ref="F319:F332" si="416">+(E319+G319)/2</f>
        <v>0.42</v>
      </c>
      <c r="G319" s="89">
        <v>0.42</v>
      </c>
      <c r="H319" s="90">
        <f t="shared" ref="H319:H332" si="417">+(G319+I319)/2</f>
        <v>18.772500000000001</v>
      </c>
      <c r="I319" s="89">
        <v>37.125</v>
      </c>
      <c r="J319" s="90">
        <f t="shared" ref="J319:J332" si="418">+(I319+K319)/2</f>
        <v>28.372500000000002</v>
      </c>
      <c r="K319" s="89">
        <v>19.62</v>
      </c>
      <c r="L319" s="89">
        <v>8.3699999999999992</v>
      </c>
      <c r="M319" s="89">
        <v>8.3699999999999992</v>
      </c>
      <c r="N319" s="89">
        <v>0.72</v>
      </c>
      <c r="O319" s="89">
        <v>0.72</v>
      </c>
      <c r="P319" s="91">
        <f t="shared" ref="P319:R332" si="419">+O319+(0.049/100)</f>
        <v>0.72048999999999996</v>
      </c>
      <c r="Q319" s="91">
        <f t="shared" si="419"/>
        <v>0.72097999999999995</v>
      </c>
      <c r="R319" s="91">
        <f t="shared" si="419"/>
        <v>0.72146999999999994</v>
      </c>
      <c r="S319" s="90">
        <f t="shared" ref="S319:AB319" si="420">+R319-(0.711/100)</f>
        <v>0.71435999999999999</v>
      </c>
      <c r="T319" s="90">
        <f t="shared" si="420"/>
        <v>0.70725000000000005</v>
      </c>
      <c r="U319" s="90">
        <f t="shared" si="420"/>
        <v>0.7001400000000001</v>
      </c>
      <c r="V319" s="90">
        <f t="shared" si="420"/>
        <v>0.69303000000000015</v>
      </c>
      <c r="W319" s="90">
        <f t="shared" si="420"/>
        <v>0.6859200000000002</v>
      </c>
      <c r="X319" s="90">
        <f t="shared" si="420"/>
        <v>0.67881000000000025</v>
      </c>
      <c r="Y319" s="90">
        <f t="shared" si="420"/>
        <v>0.6717000000000003</v>
      </c>
      <c r="Z319" s="90">
        <f t="shared" si="420"/>
        <v>0.66459000000000035</v>
      </c>
      <c r="AA319" s="90">
        <f t="shared" si="420"/>
        <v>0.6574800000000004</v>
      </c>
      <c r="AB319" s="90">
        <f t="shared" si="420"/>
        <v>0.65037000000000045</v>
      </c>
    </row>
    <row r="320" spans="1:28" x14ac:dyDescent="0.25">
      <c r="A320" s="86" t="s">
        <v>20</v>
      </c>
      <c r="B320" s="87" t="s">
        <v>29</v>
      </c>
      <c r="C320" s="89">
        <v>497.68499999999995</v>
      </c>
      <c r="D320" s="90">
        <f t="shared" si="415"/>
        <v>497.68499999999995</v>
      </c>
      <c r="E320" s="89">
        <v>497.68499999999995</v>
      </c>
      <c r="F320" s="90">
        <f t="shared" si="416"/>
        <v>497.68499999999995</v>
      </c>
      <c r="G320" s="89">
        <v>497.68499999999995</v>
      </c>
      <c r="H320" s="90">
        <f t="shared" si="417"/>
        <v>486.75749999999994</v>
      </c>
      <c r="I320" s="89">
        <v>475.83</v>
      </c>
      <c r="J320" s="90">
        <f t="shared" si="418"/>
        <v>299.45249999999999</v>
      </c>
      <c r="K320" s="89">
        <v>123.075</v>
      </c>
      <c r="L320" s="89">
        <v>87.35</v>
      </c>
      <c r="M320" s="89">
        <v>87.35</v>
      </c>
      <c r="N320" s="89">
        <v>13.32</v>
      </c>
      <c r="O320" s="89">
        <v>13.32</v>
      </c>
      <c r="P320" s="91">
        <f t="shared" si="419"/>
        <v>13.320489999999999</v>
      </c>
      <c r="Q320" s="91">
        <f t="shared" si="419"/>
        <v>13.320979999999999</v>
      </c>
      <c r="R320" s="91">
        <f t="shared" si="419"/>
        <v>13.321469999999998</v>
      </c>
      <c r="S320" s="90">
        <f t="shared" ref="S320:AB320" si="421">+R320-(0.711/100)</f>
        <v>13.314359999999997</v>
      </c>
      <c r="T320" s="90">
        <f t="shared" si="421"/>
        <v>13.307249999999996</v>
      </c>
      <c r="U320" s="90">
        <f t="shared" si="421"/>
        <v>13.300139999999995</v>
      </c>
      <c r="V320" s="90">
        <f t="shared" si="421"/>
        <v>13.293029999999995</v>
      </c>
      <c r="W320" s="90">
        <f t="shared" si="421"/>
        <v>13.285919999999994</v>
      </c>
      <c r="X320" s="90">
        <f t="shared" si="421"/>
        <v>13.278809999999993</v>
      </c>
      <c r="Y320" s="90">
        <f t="shared" si="421"/>
        <v>13.271699999999992</v>
      </c>
      <c r="Z320" s="90">
        <f t="shared" si="421"/>
        <v>13.264589999999991</v>
      </c>
      <c r="AA320" s="90">
        <f t="shared" si="421"/>
        <v>13.25747999999999</v>
      </c>
      <c r="AB320" s="90">
        <f t="shared" si="421"/>
        <v>13.25036999999999</v>
      </c>
    </row>
    <row r="321" spans="1:28" x14ac:dyDescent="0.25">
      <c r="A321" s="86" t="s">
        <v>21</v>
      </c>
      <c r="B321" s="87" t="s">
        <v>29</v>
      </c>
      <c r="C321" s="89">
        <v>52.04999999999999</v>
      </c>
      <c r="D321" s="90">
        <f t="shared" si="415"/>
        <v>52.04999999999999</v>
      </c>
      <c r="E321" s="89">
        <v>52.04999999999999</v>
      </c>
      <c r="F321" s="90">
        <f t="shared" si="416"/>
        <v>52.04999999999999</v>
      </c>
      <c r="G321" s="89">
        <v>52.04999999999999</v>
      </c>
      <c r="H321" s="90">
        <f t="shared" si="417"/>
        <v>244.83750000000001</v>
      </c>
      <c r="I321" s="89">
        <v>437.625</v>
      </c>
      <c r="J321" s="90">
        <f t="shared" si="418"/>
        <v>332.03250000000003</v>
      </c>
      <c r="K321" s="89">
        <v>226.44</v>
      </c>
      <c r="L321" s="89">
        <v>220.41</v>
      </c>
      <c r="M321" s="89">
        <v>220.41</v>
      </c>
      <c r="N321" s="89">
        <v>38.299999999999997</v>
      </c>
      <c r="O321" s="89">
        <v>38.299999999999997</v>
      </c>
      <c r="P321" s="91">
        <f t="shared" si="419"/>
        <v>38.300489999999996</v>
      </c>
      <c r="Q321" s="91">
        <f t="shared" si="419"/>
        <v>38.300979999999996</v>
      </c>
      <c r="R321" s="91">
        <f t="shared" si="419"/>
        <v>38.301469999999995</v>
      </c>
      <c r="S321" s="90">
        <f t="shared" ref="S321:AB321" si="422">+R321-(0.711/100)</f>
        <v>38.294359999999998</v>
      </c>
      <c r="T321" s="90">
        <f t="shared" si="422"/>
        <v>38.28725</v>
      </c>
      <c r="U321" s="90">
        <f t="shared" si="422"/>
        <v>38.280140000000003</v>
      </c>
      <c r="V321" s="90">
        <f t="shared" si="422"/>
        <v>38.273030000000006</v>
      </c>
      <c r="W321" s="90">
        <f t="shared" si="422"/>
        <v>38.265920000000008</v>
      </c>
      <c r="X321" s="90">
        <f t="shared" si="422"/>
        <v>38.258810000000011</v>
      </c>
      <c r="Y321" s="90">
        <f t="shared" si="422"/>
        <v>38.251700000000014</v>
      </c>
      <c r="Z321" s="90">
        <f t="shared" si="422"/>
        <v>38.244590000000017</v>
      </c>
      <c r="AA321" s="90">
        <f t="shared" si="422"/>
        <v>38.237480000000019</v>
      </c>
      <c r="AB321" s="90">
        <f t="shared" si="422"/>
        <v>38.230370000000022</v>
      </c>
    </row>
    <row r="322" spans="1:28" x14ac:dyDescent="0.25">
      <c r="A322" s="86" t="s">
        <v>22</v>
      </c>
      <c r="B322" s="87" t="s">
        <v>29</v>
      </c>
      <c r="C322" s="89">
        <v>22.185000000000002</v>
      </c>
      <c r="D322" s="90">
        <f t="shared" si="415"/>
        <v>22.185000000000002</v>
      </c>
      <c r="E322" s="89">
        <v>22.185000000000002</v>
      </c>
      <c r="F322" s="90">
        <f t="shared" si="416"/>
        <v>22.185000000000002</v>
      </c>
      <c r="G322" s="89">
        <v>22.185000000000002</v>
      </c>
      <c r="H322" s="90">
        <f t="shared" si="417"/>
        <v>63.247500000000002</v>
      </c>
      <c r="I322" s="89">
        <v>104.31</v>
      </c>
      <c r="J322" s="90">
        <f t="shared" si="418"/>
        <v>125.86499999999999</v>
      </c>
      <c r="K322" s="89">
        <v>147.41999999999999</v>
      </c>
      <c r="L322" s="89">
        <v>49.95</v>
      </c>
      <c r="M322" s="89">
        <v>49.95</v>
      </c>
      <c r="N322" s="89">
        <v>62.06</v>
      </c>
      <c r="O322" s="89">
        <v>62.06</v>
      </c>
      <c r="P322" s="91">
        <f t="shared" si="419"/>
        <v>62.060490000000001</v>
      </c>
      <c r="Q322" s="91">
        <f t="shared" si="419"/>
        <v>62.060980000000001</v>
      </c>
      <c r="R322" s="91">
        <f t="shared" si="419"/>
        <v>62.06147</v>
      </c>
      <c r="S322" s="90">
        <f t="shared" ref="S322:AB322" si="423">+R322-(0.711/100)</f>
        <v>62.054360000000003</v>
      </c>
      <c r="T322" s="90">
        <f t="shared" si="423"/>
        <v>62.047250000000005</v>
      </c>
      <c r="U322" s="90">
        <f t="shared" si="423"/>
        <v>62.040140000000008</v>
      </c>
      <c r="V322" s="90">
        <f t="shared" si="423"/>
        <v>62.033030000000011</v>
      </c>
      <c r="W322" s="90">
        <f t="shared" si="423"/>
        <v>62.025920000000013</v>
      </c>
      <c r="X322" s="90">
        <f t="shared" si="423"/>
        <v>62.018810000000016</v>
      </c>
      <c r="Y322" s="90">
        <f t="shared" si="423"/>
        <v>62.011700000000019</v>
      </c>
      <c r="Z322" s="90">
        <f t="shared" si="423"/>
        <v>62.004590000000022</v>
      </c>
      <c r="AA322" s="90">
        <f t="shared" si="423"/>
        <v>61.997480000000024</v>
      </c>
      <c r="AB322" s="90">
        <f t="shared" si="423"/>
        <v>61.990370000000027</v>
      </c>
    </row>
    <row r="323" spans="1:28" x14ac:dyDescent="0.25">
      <c r="A323" s="86" t="s">
        <v>23</v>
      </c>
      <c r="B323" s="87" t="s">
        <v>29</v>
      </c>
      <c r="C323" s="89">
        <v>76.410000000000011</v>
      </c>
      <c r="D323" s="90">
        <f t="shared" si="415"/>
        <v>76.410000000000011</v>
      </c>
      <c r="E323" s="89">
        <v>76.410000000000011</v>
      </c>
      <c r="F323" s="90">
        <f t="shared" si="416"/>
        <v>76.410000000000011</v>
      </c>
      <c r="G323" s="89">
        <v>76.410000000000011</v>
      </c>
      <c r="H323" s="90">
        <f t="shared" si="417"/>
        <v>147.91500000000002</v>
      </c>
      <c r="I323" s="89">
        <v>219.42000000000002</v>
      </c>
      <c r="J323" s="90">
        <f t="shared" si="418"/>
        <v>177.32249999999999</v>
      </c>
      <c r="K323" s="89">
        <v>135.22499999999999</v>
      </c>
      <c r="L323" s="89">
        <v>102.15</v>
      </c>
      <c r="M323" s="89">
        <v>102.15</v>
      </c>
      <c r="N323" s="89">
        <v>7.34</v>
      </c>
      <c r="O323" s="89">
        <v>7.34</v>
      </c>
      <c r="P323" s="91">
        <f t="shared" si="419"/>
        <v>7.34049</v>
      </c>
      <c r="Q323" s="91">
        <f t="shared" si="419"/>
        <v>7.3409800000000001</v>
      </c>
      <c r="R323" s="91">
        <f t="shared" si="419"/>
        <v>7.3414700000000002</v>
      </c>
      <c r="S323" s="90">
        <f t="shared" ref="S323:AB323" si="424">+R323-(0.711/100)</f>
        <v>7.3343600000000002</v>
      </c>
      <c r="T323" s="90">
        <f t="shared" si="424"/>
        <v>7.3272500000000003</v>
      </c>
      <c r="U323" s="90">
        <f t="shared" si="424"/>
        <v>7.3201400000000003</v>
      </c>
      <c r="V323" s="90">
        <f t="shared" si="424"/>
        <v>7.3130300000000004</v>
      </c>
      <c r="W323" s="90">
        <f t="shared" si="424"/>
        <v>7.3059200000000004</v>
      </c>
      <c r="X323" s="90">
        <f t="shared" si="424"/>
        <v>7.2988100000000005</v>
      </c>
      <c r="Y323" s="90">
        <f t="shared" si="424"/>
        <v>7.2917000000000005</v>
      </c>
      <c r="Z323" s="90">
        <f t="shared" si="424"/>
        <v>7.2845900000000006</v>
      </c>
      <c r="AA323" s="90">
        <f t="shared" si="424"/>
        <v>7.2774800000000006</v>
      </c>
      <c r="AB323" s="90">
        <f t="shared" si="424"/>
        <v>7.2703700000000007</v>
      </c>
    </row>
    <row r="324" spans="1:28" ht="22.5" x14ac:dyDescent="0.25">
      <c r="A324" s="86" t="s">
        <v>24</v>
      </c>
      <c r="B324" s="87" t="s">
        <v>29</v>
      </c>
      <c r="C324" s="89">
        <v>64.304999999999993</v>
      </c>
      <c r="D324" s="90">
        <f t="shared" si="415"/>
        <v>64.304999999999993</v>
      </c>
      <c r="E324" s="89">
        <v>64.304999999999993</v>
      </c>
      <c r="F324" s="90">
        <f t="shared" si="416"/>
        <v>64.304999999999993</v>
      </c>
      <c r="G324" s="89">
        <v>64.304999999999993</v>
      </c>
      <c r="H324" s="90">
        <f t="shared" si="417"/>
        <v>285.27749999999997</v>
      </c>
      <c r="I324" s="89">
        <v>506.25</v>
      </c>
      <c r="J324" s="90">
        <f t="shared" si="418"/>
        <v>589.18499999999995</v>
      </c>
      <c r="K324" s="89">
        <v>672.11999999999989</v>
      </c>
      <c r="L324" s="89">
        <v>582.98</v>
      </c>
      <c r="M324" s="89">
        <v>582.98</v>
      </c>
      <c r="N324" s="89">
        <v>170.37</v>
      </c>
      <c r="O324" s="89">
        <v>170.37</v>
      </c>
      <c r="P324" s="91">
        <f t="shared" si="419"/>
        <v>170.37049000000002</v>
      </c>
      <c r="Q324" s="91">
        <f t="shared" si="419"/>
        <v>170.37098000000003</v>
      </c>
      <c r="R324" s="91">
        <f t="shared" si="419"/>
        <v>170.37147000000004</v>
      </c>
      <c r="S324" s="90">
        <f t="shared" ref="S324:AB324" si="425">+R324-(0.711/100)</f>
        <v>170.36436000000003</v>
      </c>
      <c r="T324" s="90">
        <f t="shared" si="425"/>
        <v>170.35725000000002</v>
      </c>
      <c r="U324" s="90">
        <f t="shared" si="425"/>
        <v>170.35014000000001</v>
      </c>
      <c r="V324" s="90">
        <f t="shared" si="425"/>
        <v>170.34303</v>
      </c>
      <c r="W324" s="90">
        <f t="shared" si="425"/>
        <v>170.33591999999999</v>
      </c>
      <c r="X324" s="90">
        <f t="shared" si="425"/>
        <v>170.32880999999998</v>
      </c>
      <c r="Y324" s="90">
        <f t="shared" si="425"/>
        <v>170.32169999999996</v>
      </c>
      <c r="Z324" s="90">
        <f t="shared" si="425"/>
        <v>170.31458999999995</v>
      </c>
      <c r="AA324" s="90">
        <f t="shared" si="425"/>
        <v>170.30747999999994</v>
      </c>
      <c r="AB324" s="90">
        <f t="shared" si="425"/>
        <v>170.30036999999993</v>
      </c>
    </row>
    <row r="325" spans="1:28" x14ac:dyDescent="0.25">
      <c r="A325" s="86" t="s">
        <v>25</v>
      </c>
      <c r="B325" s="87" t="s">
        <v>29</v>
      </c>
      <c r="C325" s="89">
        <v>17.655000000000001</v>
      </c>
      <c r="D325" s="90">
        <f t="shared" si="415"/>
        <v>17.655000000000001</v>
      </c>
      <c r="E325" s="89">
        <v>17.655000000000001</v>
      </c>
      <c r="F325" s="90">
        <f t="shared" si="416"/>
        <v>17.655000000000001</v>
      </c>
      <c r="G325" s="89">
        <v>17.655000000000001</v>
      </c>
      <c r="H325" s="90">
        <f t="shared" si="417"/>
        <v>32.362499999999997</v>
      </c>
      <c r="I325" s="89">
        <v>47.07</v>
      </c>
      <c r="J325" s="90">
        <f t="shared" si="418"/>
        <v>62.617499999999993</v>
      </c>
      <c r="K325" s="89">
        <v>78.164999999999978</v>
      </c>
      <c r="L325" s="89">
        <v>73.22</v>
      </c>
      <c r="M325" s="89">
        <v>73.22</v>
      </c>
      <c r="N325" s="89">
        <v>3.38</v>
      </c>
      <c r="O325" s="89">
        <v>3.38</v>
      </c>
      <c r="P325" s="91">
        <f t="shared" si="419"/>
        <v>3.38049</v>
      </c>
      <c r="Q325" s="91">
        <f t="shared" si="419"/>
        <v>3.3809800000000001</v>
      </c>
      <c r="R325" s="91">
        <f t="shared" si="419"/>
        <v>3.3814700000000002</v>
      </c>
      <c r="S325" s="90">
        <f t="shared" ref="S325:AB325" si="426">+R325-(0.711/100)</f>
        <v>3.3743600000000002</v>
      </c>
      <c r="T325" s="90">
        <f t="shared" si="426"/>
        <v>3.3672500000000003</v>
      </c>
      <c r="U325" s="90">
        <f t="shared" si="426"/>
        <v>3.3601400000000003</v>
      </c>
      <c r="V325" s="90">
        <f t="shared" si="426"/>
        <v>3.3530300000000004</v>
      </c>
      <c r="W325" s="90">
        <f t="shared" si="426"/>
        <v>3.3459200000000004</v>
      </c>
      <c r="X325" s="90">
        <f t="shared" si="426"/>
        <v>3.3388100000000005</v>
      </c>
      <c r="Y325" s="90">
        <f t="shared" si="426"/>
        <v>3.3317000000000005</v>
      </c>
      <c r="Z325" s="90">
        <f t="shared" si="426"/>
        <v>3.3245900000000006</v>
      </c>
      <c r="AA325" s="90">
        <f t="shared" si="426"/>
        <v>3.3174800000000007</v>
      </c>
      <c r="AB325" s="90">
        <f t="shared" si="426"/>
        <v>3.3103700000000007</v>
      </c>
    </row>
    <row r="326" spans="1:28" x14ac:dyDescent="0.25">
      <c r="A326" s="86" t="s">
        <v>26</v>
      </c>
      <c r="B326" s="87" t="s">
        <v>29</v>
      </c>
      <c r="C326" s="89">
        <v>71.250000000000014</v>
      </c>
      <c r="D326" s="90">
        <f t="shared" si="415"/>
        <v>71.250000000000014</v>
      </c>
      <c r="E326" s="89">
        <v>71.250000000000014</v>
      </c>
      <c r="F326" s="90">
        <f t="shared" si="416"/>
        <v>71.250000000000014</v>
      </c>
      <c r="G326" s="89">
        <v>71.250000000000014</v>
      </c>
      <c r="H326" s="90">
        <f t="shared" si="417"/>
        <v>133.34249999999997</v>
      </c>
      <c r="I326" s="89">
        <v>195.43499999999995</v>
      </c>
      <c r="J326" s="90">
        <f t="shared" si="418"/>
        <v>191.65499999999997</v>
      </c>
      <c r="K326" s="89">
        <v>187.87500000000003</v>
      </c>
      <c r="L326" s="89">
        <v>191.3</v>
      </c>
      <c r="M326" s="89">
        <v>191.3</v>
      </c>
      <c r="N326" s="89">
        <v>19.940000000000001</v>
      </c>
      <c r="O326" s="89">
        <v>19.940000000000001</v>
      </c>
      <c r="P326" s="91">
        <f t="shared" si="419"/>
        <v>19.94049</v>
      </c>
      <c r="Q326" s="91">
        <f t="shared" si="419"/>
        <v>19.94098</v>
      </c>
      <c r="R326" s="91">
        <f t="shared" si="419"/>
        <v>19.941469999999999</v>
      </c>
      <c r="S326" s="90">
        <f t="shared" ref="S326:AB326" si="427">+R326-(0.711/100)</f>
        <v>19.934359999999998</v>
      </c>
      <c r="T326" s="90">
        <f t="shared" si="427"/>
        <v>19.927249999999997</v>
      </c>
      <c r="U326" s="90">
        <f t="shared" si="427"/>
        <v>19.920139999999996</v>
      </c>
      <c r="V326" s="90">
        <f t="shared" si="427"/>
        <v>19.913029999999996</v>
      </c>
      <c r="W326" s="90">
        <f t="shared" si="427"/>
        <v>19.905919999999995</v>
      </c>
      <c r="X326" s="90">
        <f t="shared" si="427"/>
        <v>19.898809999999994</v>
      </c>
      <c r="Y326" s="90">
        <f t="shared" si="427"/>
        <v>19.891699999999993</v>
      </c>
      <c r="Z326" s="90">
        <f t="shared" si="427"/>
        <v>19.884589999999992</v>
      </c>
      <c r="AA326" s="90">
        <f t="shared" si="427"/>
        <v>19.877479999999991</v>
      </c>
      <c r="AB326" s="90">
        <f t="shared" si="427"/>
        <v>19.870369999999991</v>
      </c>
    </row>
    <row r="327" spans="1:28" x14ac:dyDescent="0.25">
      <c r="A327" s="86" t="s">
        <v>27</v>
      </c>
      <c r="B327" s="87" t="s">
        <v>29</v>
      </c>
      <c r="C327" s="89">
        <v>1.6050000000000002</v>
      </c>
      <c r="D327" s="90">
        <f t="shared" si="415"/>
        <v>1.6050000000000002</v>
      </c>
      <c r="E327" s="89">
        <v>1.6050000000000002</v>
      </c>
      <c r="F327" s="90">
        <f t="shared" si="416"/>
        <v>1.6050000000000002</v>
      </c>
      <c r="G327" s="89">
        <v>1.6050000000000002</v>
      </c>
      <c r="H327" s="90">
        <f t="shared" si="417"/>
        <v>6.7424999999999997</v>
      </c>
      <c r="I327" s="89">
        <v>11.879999999999999</v>
      </c>
      <c r="J327" s="90">
        <f t="shared" si="418"/>
        <v>9.3149999999999995</v>
      </c>
      <c r="K327" s="89">
        <v>6.75</v>
      </c>
      <c r="L327" s="89">
        <v>8.5500000000000007</v>
      </c>
      <c r="M327" s="89">
        <v>8.5500000000000007</v>
      </c>
      <c r="N327" s="89">
        <v>9.6300000000000008</v>
      </c>
      <c r="O327" s="89">
        <v>9.6300000000000008</v>
      </c>
      <c r="P327" s="91">
        <f t="shared" si="419"/>
        <v>9.63049</v>
      </c>
      <c r="Q327" s="91">
        <f t="shared" si="419"/>
        <v>9.6309799999999992</v>
      </c>
      <c r="R327" s="91">
        <f t="shared" si="419"/>
        <v>9.6314699999999984</v>
      </c>
      <c r="S327" s="90">
        <f t="shared" ref="S327:AB327" si="428">+R327-(0.711/100)</f>
        <v>9.6243599999999976</v>
      </c>
      <c r="T327" s="90">
        <f t="shared" si="428"/>
        <v>9.6172499999999967</v>
      </c>
      <c r="U327" s="90">
        <f t="shared" si="428"/>
        <v>9.6101399999999959</v>
      </c>
      <c r="V327" s="90">
        <f t="shared" si="428"/>
        <v>9.6030299999999951</v>
      </c>
      <c r="W327" s="90">
        <f t="shared" si="428"/>
        <v>9.5959199999999942</v>
      </c>
      <c r="X327" s="90">
        <f t="shared" si="428"/>
        <v>9.5888099999999934</v>
      </c>
      <c r="Y327" s="90">
        <f t="shared" si="428"/>
        <v>9.5816999999999926</v>
      </c>
      <c r="Z327" s="90">
        <f t="shared" si="428"/>
        <v>9.5745899999999917</v>
      </c>
      <c r="AA327" s="90">
        <f t="shared" si="428"/>
        <v>9.5674799999999909</v>
      </c>
      <c r="AB327" s="90">
        <f t="shared" si="428"/>
        <v>9.56036999999999</v>
      </c>
    </row>
    <row r="328" spans="1:28" x14ac:dyDescent="0.25">
      <c r="A328" s="86" t="s">
        <v>28</v>
      </c>
      <c r="B328" s="87" t="s">
        <v>29</v>
      </c>
      <c r="C328" s="89">
        <v>34.950000000000003</v>
      </c>
      <c r="D328" s="90">
        <f t="shared" si="415"/>
        <v>34.950000000000003</v>
      </c>
      <c r="E328" s="89">
        <v>34.950000000000003</v>
      </c>
      <c r="F328" s="90">
        <f t="shared" si="416"/>
        <v>34.950000000000003</v>
      </c>
      <c r="G328" s="89">
        <v>34.950000000000003</v>
      </c>
      <c r="H328" s="90">
        <f t="shared" si="417"/>
        <v>105.4725</v>
      </c>
      <c r="I328" s="89">
        <v>175.995</v>
      </c>
      <c r="J328" s="90">
        <f t="shared" si="418"/>
        <v>180.22750000000002</v>
      </c>
      <c r="K328" s="89">
        <v>184.46</v>
      </c>
      <c r="L328" s="89">
        <v>7.38</v>
      </c>
      <c r="M328" s="89">
        <v>7.38</v>
      </c>
      <c r="N328" s="89">
        <v>10.35</v>
      </c>
      <c r="O328" s="89">
        <v>10.35</v>
      </c>
      <c r="P328" s="91">
        <f t="shared" si="419"/>
        <v>10.350489999999999</v>
      </c>
      <c r="Q328" s="91">
        <f t="shared" si="419"/>
        <v>10.350979999999998</v>
      </c>
      <c r="R328" s="91">
        <f t="shared" si="419"/>
        <v>10.351469999999997</v>
      </c>
      <c r="S328" s="90">
        <f t="shared" ref="S328:AB328" si="429">+R328-(0.711/100)</f>
        <v>10.344359999999996</v>
      </c>
      <c r="T328" s="90">
        <f t="shared" si="429"/>
        <v>10.337249999999996</v>
      </c>
      <c r="U328" s="90">
        <f t="shared" si="429"/>
        <v>10.330139999999995</v>
      </c>
      <c r="V328" s="90">
        <f t="shared" si="429"/>
        <v>10.323029999999994</v>
      </c>
      <c r="W328" s="90">
        <f t="shared" si="429"/>
        <v>10.315919999999993</v>
      </c>
      <c r="X328" s="90">
        <f t="shared" si="429"/>
        <v>10.308809999999992</v>
      </c>
      <c r="Y328" s="90">
        <f t="shared" si="429"/>
        <v>10.301699999999991</v>
      </c>
      <c r="Z328" s="90">
        <f t="shared" si="429"/>
        <v>10.294589999999991</v>
      </c>
      <c r="AA328" s="90">
        <f t="shared" si="429"/>
        <v>10.28747999999999</v>
      </c>
      <c r="AB328" s="90">
        <f t="shared" si="429"/>
        <v>10.280369999999989</v>
      </c>
    </row>
    <row r="329" spans="1:28" x14ac:dyDescent="0.25">
      <c r="A329" s="88" t="s">
        <v>19</v>
      </c>
      <c r="B329" s="87" t="s">
        <v>29</v>
      </c>
      <c r="C329" s="89">
        <v>3381.8250000000003</v>
      </c>
      <c r="D329" s="90">
        <f t="shared" si="415"/>
        <v>3381.8250000000003</v>
      </c>
      <c r="E329" s="89">
        <v>3381.8250000000003</v>
      </c>
      <c r="F329" s="90">
        <f t="shared" si="416"/>
        <v>3381.8250000000003</v>
      </c>
      <c r="G329" s="89">
        <v>3381.8250000000003</v>
      </c>
      <c r="H329" s="90">
        <f t="shared" si="417"/>
        <v>2758.6950000000002</v>
      </c>
      <c r="I329" s="89">
        <v>2135.5650000000001</v>
      </c>
      <c r="J329" s="90">
        <f t="shared" si="418"/>
        <v>3725.7825000000003</v>
      </c>
      <c r="K329" s="89">
        <v>5316</v>
      </c>
      <c r="L329" s="89">
        <v>196.43</v>
      </c>
      <c r="M329" s="89">
        <v>196.43</v>
      </c>
      <c r="N329" s="89">
        <v>2343.11</v>
      </c>
      <c r="O329" s="89">
        <v>2343.11</v>
      </c>
      <c r="P329" s="91">
        <f t="shared" si="419"/>
        <v>2343.11049</v>
      </c>
      <c r="Q329" s="91">
        <f t="shared" si="419"/>
        <v>2343.1109799999999</v>
      </c>
      <c r="R329" s="91">
        <f t="shared" si="419"/>
        <v>2343.1114699999998</v>
      </c>
      <c r="S329" s="90">
        <f t="shared" ref="S329:AB329" si="430">+R329-(0.711/100)</f>
        <v>2343.1043599999998</v>
      </c>
      <c r="T329" s="90">
        <f t="shared" si="430"/>
        <v>2343.0972499999998</v>
      </c>
      <c r="U329" s="90">
        <f t="shared" si="430"/>
        <v>2343.0901399999998</v>
      </c>
      <c r="V329" s="90">
        <f t="shared" si="430"/>
        <v>2343.0830299999998</v>
      </c>
      <c r="W329" s="90">
        <f t="shared" si="430"/>
        <v>2343.0759199999998</v>
      </c>
      <c r="X329" s="90">
        <f t="shared" si="430"/>
        <v>2343.0688099999998</v>
      </c>
      <c r="Y329" s="90">
        <f t="shared" si="430"/>
        <v>2343.0616999999997</v>
      </c>
      <c r="Z329" s="90">
        <f t="shared" si="430"/>
        <v>2343.0545899999997</v>
      </c>
      <c r="AA329" s="90">
        <f t="shared" si="430"/>
        <v>2343.0474799999997</v>
      </c>
      <c r="AB329" s="90">
        <f t="shared" si="430"/>
        <v>2343.0403699999997</v>
      </c>
    </row>
    <row r="330" spans="1:28" x14ac:dyDescent="0.25">
      <c r="A330" s="88" t="s">
        <v>4</v>
      </c>
      <c r="B330" s="87" t="s">
        <v>29</v>
      </c>
      <c r="C330" s="89">
        <v>1159.8499999999999</v>
      </c>
      <c r="D330" s="90">
        <f t="shared" si="415"/>
        <v>1159.8499999999999</v>
      </c>
      <c r="E330" s="89">
        <v>1159.8499999999999</v>
      </c>
      <c r="F330" s="90">
        <f t="shared" si="416"/>
        <v>1159.8499999999999</v>
      </c>
      <c r="G330" s="89">
        <v>1159.8499999999999</v>
      </c>
      <c r="H330" s="90">
        <f t="shared" si="417"/>
        <v>1791.19</v>
      </c>
      <c r="I330" s="89">
        <v>2422.5300000000002</v>
      </c>
      <c r="J330" s="90">
        <f t="shared" si="418"/>
        <v>1698.5050000000001</v>
      </c>
      <c r="K330" s="89">
        <v>974.48</v>
      </c>
      <c r="L330" s="89">
        <v>464.04</v>
      </c>
      <c r="M330" s="89">
        <v>464.04</v>
      </c>
      <c r="N330" s="89">
        <v>465.71</v>
      </c>
      <c r="O330" s="89">
        <v>465.71</v>
      </c>
      <c r="P330" s="91">
        <f t="shared" si="419"/>
        <v>465.71048999999999</v>
      </c>
      <c r="Q330" s="91">
        <f t="shared" si="419"/>
        <v>465.71098000000001</v>
      </c>
      <c r="R330" s="91">
        <f t="shared" si="419"/>
        <v>465.71147000000002</v>
      </c>
      <c r="S330" s="90">
        <f t="shared" ref="S330:AB330" si="431">+R330-(0.711/100)</f>
        <v>465.70436000000001</v>
      </c>
      <c r="T330" s="90">
        <f t="shared" si="431"/>
        <v>465.69725</v>
      </c>
      <c r="U330" s="90">
        <f t="shared" si="431"/>
        <v>465.69013999999999</v>
      </c>
      <c r="V330" s="90">
        <f t="shared" si="431"/>
        <v>465.68302999999997</v>
      </c>
      <c r="W330" s="90">
        <f t="shared" si="431"/>
        <v>465.67591999999996</v>
      </c>
      <c r="X330" s="90">
        <f t="shared" si="431"/>
        <v>465.66880999999995</v>
      </c>
      <c r="Y330" s="90">
        <f t="shared" si="431"/>
        <v>465.66169999999994</v>
      </c>
      <c r="Z330" s="90">
        <f t="shared" si="431"/>
        <v>465.65458999999993</v>
      </c>
      <c r="AA330" s="90">
        <f t="shared" si="431"/>
        <v>465.64747999999992</v>
      </c>
      <c r="AB330" s="90">
        <f t="shared" si="431"/>
        <v>465.6403699999999</v>
      </c>
    </row>
    <row r="331" spans="1:28" x14ac:dyDescent="0.25">
      <c r="A331" s="88" t="s">
        <v>5</v>
      </c>
      <c r="B331" s="87" t="s">
        <v>29</v>
      </c>
      <c r="C331" s="89">
        <v>1795.99</v>
      </c>
      <c r="D331" s="90">
        <f t="shared" si="415"/>
        <v>1795.99</v>
      </c>
      <c r="E331" s="89">
        <v>1795.99</v>
      </c>
      <c r="F331" s="90">
        <f t="shared" si="416"/>
        <v>1795.99</v>
      </c>
      <c r="G331" s="89">
        <v>1795.99</v>
      </c>
      <c r="H331" s="90">
        <f t="shared" si="417"/>
        <v>1414.6399999999999</v>
      </c>
      <c r="I331" s="89">
        <v>1033.29</v>
      </c>
      <c r="J331" s="90">
        <f t="shared" si="418"/>
        <v>2623.5</v>
      </c>
      <c r="K331" s="89">
        <v>4213.71</v>
      </c>
      <c r="L331" s="89">
        <v>26.96</v>
      </c>
      <c r="M331" s="89">
        <v>26.96</v>
      </c>
      <c r="N331" s="89">
        <v>341.55</v>
      </c>
      <c r="O331" s="89">
        <v>341.55</v>
      </c>
      <c r="P331" s="91">
        <f t="shared" si="419"/>
        <v>341.55049000000002</v>
      </c>
      <c r="Q331" s="91">
        <f t="shared" si="419"/>
        <v>341.55098000000004</v>
      </c>
      <c r="R331" s="91">
        <f t="shared" si="419"/>
        <v>341.55147000000005</v>
      </c>
      <c r="S331" s="90">
        <f t="shared" ref="S331:AB331" si="432">+R331-(0.711/100)</f>
        <v>341.54436000000004</v>
      </c>
      <c r="T331" s="90">
        <f t="shared" si="432"/>
        <v>341.53725000000003</v>
      </c>
      <c r="U331" s="90">
        <f t="shared" si="432"/>
        <v>341.53014000000002</v>
      </c>
      <c r="V331" s="90">
        <f t="shared" si="432"/>
        <v>341.52303000000001</v>
      </c>
      <c r="W331" s="90">
        <f t="shared" si="432"/>
        <v>341.51591999999999</v>
      </c>
      <c r="X331" s="90">
        <f t="shared" si="432"/>
        <v>341.50880999999998</v>
      </c>
      <c r="Y331" s="90">
        <f t="shared" si="432"/>
        <v>341.50169999999997</v>
      </c>
      <c r="Z331" s="90">
        <f t="shared" si="432"/>
        <v>341.49458999999996</v>
      </c>
      <c r="AA331" s="90">
        <f t="shared" si="432"/>
        <v>341.48747999999995</v>
      </c>
      <c r="AB331" s="90">
        <f t="shared" si="432"/>
        <v>341.48036999999994</v>
      </c>
    </row>
    <row r="332" spans="1:28" x14ac:dyDescent="0.25">
      <c r="A332" s="88" t="s">
        <v>6</v>
      </c>
      <c r="B332" s="87" t="s">
        <v>29</v>
      </c>
      <c r="C332" s="89">
        <v>0</v>
      </c>
      <c r="D332" s="90">
        <f t="shared" si="415"/>
        <v>0</v>
      </c>
      <c r="E332" s="89">
        <v>0</v>
      </c>
      <c r="F332" s="90">
        <f t="shared" si="416"/>
        <v>0</v>
      </c>
      <c r="G332" s="89">
        <v>0</v>
      </c>
      <c r="H332" s="90">
        <f t="shared" si="417"/>
        <v>0</v>
      </c>
      <c r="I332" s="89">
        <v>0</v>
      </c>
      <c r="J332" s="90">
        <f t="shared" si="418"/>
        <v>0</v>
      </c>
      <c r="K332" s="89">
        <v>0</v>
      </c>
      <c r="L332" s="89">
        <v>0</v>
      </c>
      <c r="M332" s="89">
        <v>0</v>
      </c>
      <c r="N332" s="89">
        <v>0</v>
      </c>
      <c r="O332" s="89">
        <v>0</v>
      </c>
      <c r="P332" s="91">
        <f t="shared" si="419"/>
        <v>4.8999999999999998E-4</v>
      </c>
      <c r="Q332" s="91">
        <f t="shared" si="419"/>
        <v>9.7999999999999997E-4</v>
      </c>
      <c r="R332" s="91">
        <f t="shared" si="419"/>
        <v>1.47E-3</v>
      </c>
      <c r="S332" s="90">
        <f t="shared" ref="S332:AB332" si="433">+R332-(0.711/100)</f>
        <v>-5.64E-3</v>
      </c>
      <c r="T332" s="90">
        <f t="shared" si="433"/>
        <v>-1.2750000000000001E-2</v>
      </c>
      <c r="U332" s="90">
        <f t="shared" si="433"/>
        <v>-1.9860000000000003E-2</v>
      </c>
      <c r="V332" s="90">
        <f t="shared" si="433"/>
        <v>-2.6970000000000001E-2</v>
      </c>
      <c r="W332" s="90">
        <f t="shared" si="433"/>
        <v>-3.4079999999999999E-2</v>
      </c>
      <c r="X332" s="90">
        <f t="shared" si="433"/>
        <v>-4.1189999999999997E-2</v>
      </c>
      <c r="Y332" s="90">
        <f t="shared" si="433"/>
        <v>-4.8299999999999996E-2</v>
      </c>
      <c r="Z332" s="90">
        <f t="shared" si="433"/>
        <v>-5.5409999999999994E-2</v>
      </c>
      <c r="AA332" s="90">
        <f t="shared" si="433"/>
        <v>-6.2519999999999992E-2</v>
      </c>
      <c r="AB332" s="90">
        <f t="shared" si="433"/>
        <v>-6.9629999999999997E-2</v>
      </c>
    </row>
    <row r="333" spans="1:28" x14ac:dyDescent="0.25">
      <c r="A333" s="113"/>
      <c r="B333" s="114"/>
      <c r="C333" s="117"/>
      <c r="D333" s="116"/>
      <c r="E333" s="117"/>
      <c r="F333" s="116"/>
      <c r="G333" s="117"/>
      <c r="H333" s="116"/>
      <c r="I333" s="117"/>
      <c r="J333" s="116"/>
      <c r="K333" s="117"/>
      <c r="L333" s="117"/>
      <c r="M333" s="117"/>
      <c r="N333" s="117"/>
      <c r="O333" s="117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</row>
    <row r="335" spans="1:28" x14ac:dyDescent="0.25">
      <c r="A335" s="1" t="s">
        <v>105</v>
      </c>
      <c r="B335" s="65" t="s">
        <v>106</v>
      </c>
      <c r="C335" s="1">
        <v>2010</v>
      </c>
      <c r="D335" s="1">
        <v>2011</v>
      </c>
      <c r="E335" s="1">
        <v>2012</v>
      </c>
      <c r="F335" s="1">
        <v>2013</v>
      </c>
      <c r="G335" s="1">
        <v>2014</v>
      </c>
      <c r="H335" s="1">
        <v>2015</v>
      </c>
      <c r="I335" s="1">
        <v>2016</v>
      </c>
      <c r="J335" s="1">
        <v>2017</v>
      </c>
      <c r="K335" s="1">
        <v>2018</v>
      </c>
      <c r="L335" s="1">
        <v>2019</v>
      </c>
      <c r="M335" s="1">
        <v>2020</v>
      </c>
      <c r="N335" s="1">
        <v>2021</v>
      </c>
      <c r="O335" s="1">
        <v>2022</v>
      </c>
      <c r="P335" s="1">
        <v>2023</v>
      </c>
      <c r="Q335" s="1">
        <v>2024</v>
      </c>
      <c r="R335" s="1">
        <v>2025</v>
      </c>
      <c r="S335" s="1">
        <v>2026</v>
      </c>
      <c r="T335" s="1">
        <v>2027</v>
      </c>
      <c r="U335" s="1">
        <v>2028</v>
      </c>
      <c r="V335" s="1">
        <v>2029</v>
      </c>
      <c r="W335" s="1">
        <v>2030</v>
      </c>
      <c r="X335" s="1">
        <v>2031</v>
      </c>
      <c r="Y335" s="1">
        <v>2032</v>
      </c>
      <c r="Z335" s="1">
        <v>2033</v>
      </c>
      <c r="AA335" s="1">
        <v>2034</v>
      </c>
      <c r="AB335" s="1">
        <v>2035</v>
      </c>
    </row>
    <row r="336" spans="1:28" x14ac:dyDescent="0.25">
      <c r="A336" s="87" t="s">
        <v>19</v>
      </c>
      <c r="B336" s="86" t="s">
        <v>18</v>
      </c>
      <c r="C336" s="90">
        <f t="shared" ref="C336:O336" si="434">+C216</f>
        <v>35.450349455211686</v>
      </c>
      <c r="D336" s="90">
        <f t="shared" si="434"/>
        <v>35.450349455211686</v>
      </c>
      <c r="E336" s="90">
        <f t="shared" si="434"/>
        <v>35.450349455211686</v>
      </c>
      <c r="F336" s="90">
        <f t="shared" si="434"/>
        <v>35.450349455211686</v>
      </c>
      <c r="G336" s="90">
        <f t="shared" si="434"/>
        <v>35.450349455211686</v>
      </c>
      <c r="H336" s="90">
        <f t="shared" si="434"/>
        <v>27.971301260442953</v>
      </c>
      <c r="I336" s="90">
        <f t="shared" si="434"/>
        <v>20.492253065674223</v>
      </c>
      <c r="J336" s="90">
        <f t="shared" si="434"/>
        <v>26.145300649667249</v>
      </c>
      <c r="K336" s="90">
        <f t="shared" si="434"/>
        <v>31.798348233660274</v>
      </c>
      <c r="L336" s="90">
        <f t="shared" si="434"/>
        <v>5.2465438706970549</v>
      </c>
      <c r="M336" s="90">
        <f t="shared" si="434"/>
        <v>5.2465438706970549</v>
      </c>
      <c r="N336" s="90">
        <f t="shared" si="434"/>
        <v>5.8147838288109819</v>
      </c>
      <c r="O336" s="90">
        <f t="shared" si="434"/>
        <v>5.8147838288109819</v>
      </c>
      <c r="P336" s="90">
        <f t="shared" ref="P336:R344" si="435">+O336-(0.049/100)</f>
        <v>5.8142938288109818</v>
      </c>
      <c r="Q336" s="90">
        <f t="shared" si="435"/>
        <v>5.8138038288109817</v>
      </c>
      <c r="R336" s="90">
        <f t="shared" si="435"/>
        <v>5.8133138288109816</v>
      </c>
      <c r="S336" s="90">
        <f t="shared" ref="S336:AB336" si="436">+R336+(0.711/100)</f>
        <v>5.8204238288109815</v>
      </c>
      <c r="T336" s="90">
        <f t="shared" si="436"/>
        <v>5.8275338288109815</v>
      </c>
      <c r="U336" s="90">
        <f t="shared" si="436"/>
        <v>5.8346438288109814</v>
      </c>
      <c r="V336" s="90">
        <f t="shared" si="436"/>
        <v>5.8417538288109814</v>
      </c>
      <c r="W336" s="90">
        <f t="shared" si="436"/>
        <v>5.8488638288109813</v>
      </c>
      <c r="X336" s="90">
        <f t="shared" si="436"/>
        <v>5.8559738288109813</v>
      </c>
      <c r="Y336" s="90">
        <f t="shared" si="436"/>
        <v>5.8630838288109812</v>
      </c>
      <c r="Z336" s="90">
        <f t="shared" si="436"/>
        <v>5.8701938288109812</v>
      </c>
      <c r="AA336" s="90">
        <f t="shared" si="436"/>
        <v>5.8773038288109811</v>
      </c>
      <c r="AB336" s="90">
        <f t="shared" si="436"/>
        <v>5.8844138288109811</v>
      </c>
    </row>
    <row r="337" spans="1:28" x14ac:dyDescent="0.25">
      <c r="A337" s="87" t="s">
        <v>19</v>
      </c>
      <c r="B337" s="86" t="s">
        <v>20</v>
      </c>
      <c r="C337" s="90">
        <f t="shared" ref="C337:O337" si="437">+C217</f>
        <v>346.1792516375865</v>
      </c>
      <c r="D337" s="90">
        <f t="shared" si="437"/>
        <v>346.1792516375865</v>
      </c>
      <c r="E337" s="90">
        <f t="shared" si="437"/>
        <v>346.1792516375865</v>
      </c>
      <c r="F337" s="90">
        <f t="shared" si="437"/>
        <v>346.1792516375865</v>
      </c>
      <c r="G337" s="90">
        <f t="shared" si="437"/>
        <v>346.1792516375865</v>
      </c>
      <c r="H337" s="90">
        <f t="shared" si="437"/>
        <v>273.14495587422419</v>
      </c>
      <c r="I337" s="90">
        <f t="shared" si="437"/>
        <v>200.11066011086183</v>
      </c>
      <c r="J337" s="90">
        <f t="shared" si="437"/>
        <v>255.31372050863939</v>
      </c>
      <c r="K337" s="90">
        <f t="shared" si="437"/>
        <v>310.51678090641695</v>
      </c>
      <c r="L337" s="90">
        <f t="shared" si="437"/>
        <v>51.23347608001253</v>
      </c>
      <c r="M337" s="90">
        <f t="shared" si="437"/>
        <v>51.23347608001253</v>
      </c>
      <c r="N337" s="90">
        <f t="shared" si="437"/>
        <v>56.78244489057338</v>
      </c>
      <c r="O337" s="90">
        <f t="shared" si="437"/>
        <v>56.78244489057338</v>
      </c>
      <c r="P337" s="90">
        <f t="shared" si="435"/>
        <v>56.781954890573381</v>
      </c>
      <c r="Q337" s="90">
        <f t="shared" si="435"/>
        <v>56.781464890573382</v>
      </c>
      <c r="R337" s="90">
        <f t="shared" si="435"/>
        <v>56.780974890573383</v>
      </c>
      <c r="S337" s="90">
        <f t="shared" ref="S337:AB337" si="438">+R337+(0.711/100)</f>
        <v>56.78808489057338</v>
      </c>
      <c r="T337" s="90">
        <f t="shared" si="438"/>
        <v>56.795194890573377</v>
      </c>
      <c r="U337" s="90">
        <f t="shared" si="438"/>
        <v>56.802304890573375</v>
      </c>
      <c r="V337" s="90">
        <f t="shared" si="438"/>
        <v>56.809414890573372</v>
      </c>
      <c r="W337" s="90">
        <f t="shared" si="438"/>
        <v>56.816524890573369</v>
      </c>
      <c r="X337" s="90">
        <f t="shared" si="438"/>
        <v>56.823634890573366</v>
      </c>
      <c r="Y337" s="90">
        <f t="shared" si="438"/>
        <v>56.830744890573364</v>
      </c>
      <c r="Z337" s="90">
        <f t="shared" si="438"/>
        <v>56.837854890573361</v>
      </c>
      <c r="AA337" s="90">
        <f t="shared" si="438"/>
        <v>56.844964890573358</v>
      </c>
      <c r="AB337" s="90">
        <f t="shared" si="438"/>
        <v>56.852074890573356</v>
      </c>
    </row>
    <row r="338" spans="1:28" x14ac:dyDescent="0.25">
      <c r="A338" s="87" t="s">
        <v>19</v>
      </c>
      <c r="B338" s="86" t="s">
        <v>21</v>
      </c>
      <c r="C338" s="90">
        <f t="shared" ref="C338:O338" si="439">+C218</f>
        <v>3310.1998640493071</v>
      </c>
      <c r="D338" s="90">
        <f t="shared" si="439"/>
        <v>3310.1998640493071</v>
      </c>
      <c r="E338" s="90">
        <f t="shared" si="439"/>
        <v>3310.1998640493071</v>
      </c>
      <c r="F338" s="90">
        <f t="shared" si="439"/>
        <v>3310.1998640493071</v>
      </c>
      <c r="G338" s="90">
        <f t="shared" si="439"/>
        <v>3310.1998640493071</v>
      </c>
      <c r="H338" s="90">
        <f t="shared" si="439"/>
        <v>2611.8387844548711</v>
      </c>
      <c r="I338" s="90">
        <f t="shared" si="439"/>
        <v>1913.4777048604346</v>
      </c>
      <c r="J338" s="90">
        <f t="shared" si="439"/>
        <v>2441.3347678109649</v>
      </c>
      <c r="K338" s="90">
        <f t="shared" si="439"/>
        <v>2969.1918307614956</v>
      </c>
      <c r="L338" s="90">
        <f t="shared" si="439"/>
        <v>489.89950943789398</v>
      </c>
      <c r="M338" s="90">
        <f t="shared" si="439"/>
        <v>489.89950943789398</v>
      </c>
      <c r="N338" s="90">
        <f t="shared" si="439"/>
        <v>542.95929195068879</v>
      </c>
      <c r="O338" s="90">
        <f t="shared" si="439"/>
        <v>542.95929195068879</v>
      </c>
      <c r="P338" s="90">
        <f t="shared" si="435"/>
        <v>542.95880195068878</v>
      </c>
      <c r="Q338" s="90">
        <f t="shared" si="435"/>
        <v>542.95831195068877</v>
      </c>
      <c r="R338" s="90">
        <f t="shared" si="435"/>
        <v>542.95782195068875</v>
      </c>
      <c r="S338" s="90">
        <f t="shared" ref="S338:AB338" si="440">+R338+(0.711/100)</f>
        <v>542.96493195068877</v>
      </c>
      <c r="T338" s="90">
        <f t="shared" si="440"/>
        <v>542.97204195068878</v>
      </c>
      <c r="U338" s="90">
        <f t="shared" si="440"/>
        <v>542.97915195068879</v>
      </c>
      <c r="V338" s="90">
        <f t="shared" si="440"/>
        <v>542.9862619506888</v>
      </c>
      <c r="W338" s="90">
        <f t="shared" si="440"/>
        <v>542.99337195068881</v>
      </c>
      <c r="X338" s="90">
        <f t="shared" si="440"/>
        <v>543.00048195068882</v>
      </c>
      <c r="Y338" s="90">
        <f t="shared" si="440"/>
        <v>543.00759195068883</v>
      </c>
      <c r="Z338" s="90">
        <f t="shared" si="440"/>
        <v>543.01470195068885</v>
      </c>
      <c r="AA338" s="90">
        <f t="shared" si="440"/>
        <v>543.02181195068886</v>
      </c>
      <c r="AB338" s="90">
        <f t="shared" si="440"/>
        <v>543.02892195068887</v>
      </c>
    </row>
    <row r="339" spans="1:28" x14ac:dyDescent="0.25">
      <c r="A339" s="87" t="s">
        <v>19</v>
      </c>
      <c r="B339" s="86" t="s">
        <v>22</v>
      </c>
      <c r="C339" s="90">
        <f t="shared" ref="C339:O339" si="441">+C219</f>
        <v>1345.5748980235817</v>
      </c>
      <c r="D339" s="90">
        <f t="shared" si="441"/>
        <v>1345.5748980235817</v>
      </c>
      <c r="E339" s="90">
        <f t="shared" si="441"/>
        <v>1345.5748980235817</v>
      </c>
      <c r="F339" s="90">
        <f t="shared" si="441"/>
        <v>1345.5748980235817</v>
      </c>
      <c r="G339" s="90">
        <f t="shared" si="441"/>
        <v>1345.5748980235817</v>
      </c>
      <c r="H339" s="90">
        <f t="shared" si="441"/>
        <v>1061.6956227373435</v>
      </c>
      <c r="I339" s="90">
        <f t="shared" si="441"/>
        <v>777.81634745110512</v>
      </c>
      <c r="J339" s="90">
        <f t="shared" si="441"/>
        <v>992.3868395125196</v>
      </c>
      <c r="K339" s="90">
        <f t="shared" si="441"/>
        <v>1206.9573315739342</v>
      </c>
      <c r="L339" s="90">
        <f t="shared" si="441"/>
        <v>199.14099133800156</v>
      </c>
      <c r="M339" s="90">
        <f t="shared" si="441"/>
        <v>199.14099133800156</v>
      </c>
      <c r="N339" s="90">
        <f t="shared" si="441"/>
        <v>220.70945075920093</v>
      </c>
      <c r="O339" s="90">
        <f t="shared" si="441"/>
        <v>220.70945075920093</v>
      </c>
      <c r="P339" s="90">
        <f t="shared" si="435"/>
        <v>220.70896075920092</v>
      </c>
      <c r="Q339" s="90">
        <f t="shared" si="435"/>
        <v>220.70847075920091</v>
      </c>
      <c r="R339" s="90">
        <f t="shared" si="435"/>
        <v>220.70798075920089</v>
      </c>
      <c r="S339" s="90">
        <f t="shared" ref="S339:AB339" si="442">+R339+(0.711/100)</f>
        <v>220.7150907592009</v>
      </c>
      <c r="T339" s="90">
        <f t="shared" si="442"/>
        <v>220.72220075920092</v>
      </c>
      <c r="U339" s="90">
        <f t="shared" si="442"/>
        <v>220.72931075920093</v>
      </c>
      <c r="V339" s="90">
        <f t="shared" si="442"/>
        <v>220.73642075920094</v>
      </c>
      <c r="W339" s="90">
        <f t="shared" si="442"/>
        <v>220.74353075920095</v>
      </c>
      <c r="X339" s="90">
        <f t="shared" si="442"/>
        <v>220.75064075920096</v>
      </c>
      <c r="Y339" s="90">
        <f t="shared" si="442"/>
        <v>220.75775075920097</v>
      </c>
      <c r="Z339" s="90">
        <f t="shared" si="442"/>
        <v>220.76486075920099</v>
      </c>
      <c r="AA339" s="90">
        <f t="shared" si="442"/>
        <v>220.771970759201</v>
      </c>
      <c r="AB339" s="90">
        <f t="shared" si="442"/>
        <v>220.77908075920101</v>
      </c>
    </row>
    <row r="340" spans="1:28" x14ac:dyDescent="0.25">
      <c r="A340" s="87" t="s">
        <v>19</v>
      </c>
      <c r="B340" s="86" t="s">
        <v>23</v>
      </c>
      <c r="C340" s="90">
        <f t="shared" ref="C340:O340" si="443">+C220</f>
        <v>926.66258971003924</v>
      </c>
      <c r="D340" s="90">
        <f t="shared" si="443"/>
        <v>926.66258971003924</v>
      </c>
      <c r="E340" s="90">
        <f t="shared" si="443"/>
        <v>926.66258971003924</v>
      </c>
      <c r="F340" s="90">
        <f t="shared" si="443"/>
        <v>926.66258971003924</v>
      </c>
      <c r="G340" s="90">
        <f t="shared" si="443"/>
        <v>926.66258971003924</v>
      </c>
      <c r="H340" s="90">
        <f t="shared" si="443"/>
        <v>731.16228364149924</v>
      </c>
      <c r="I340" s="90">
        <f t="shared" si="443"/>
        <v>535.66197757295924</v>
      </c>
      <c r="J340" s="90">
        <f t="shared" si="443"/>
        <v>683.43111932868112</v>
      </c>
      <c r="K340" s="90">
        <f t="shared" si="443"/>
        <v>831.20026108440311</v>
      </c>
      <c r="L340" s="90">
        <f t="shared" si="443"/>
        <v>137.14324414177867</v>
      </c>
      <c r="M340" s="90">
        <f t="shared" si="443"/>
        <v>137.14324414177867</v>
      </c>
      <c r="N340" s="90">
        <f t="shared" si="443"/>
        <v>151.99688364758509</v>
      </c>
      <c r="O340" s="90">
        <f t="shared" si="443"/>
        <v>151.99688364758509</v>
      </c>
      <c r="P340" s="90">
        <f t="shared" si="435"/>
        <v>151.99639364758508</v>
      </c>
      <c r="Q340" s="90">
        <f t="shared" si="435"/>
        <v>151.99590364758507</v>
      </c>
      <c r="R340" s="90">
        <f t="shared" si="435"/>
        <v>151.99541364758505</v>
      </c>
      <c r="S340" s="90">
        <f t="shared" ref="S340:AB340" si="444">+R340+(0.711/100)</f>
        <v>152.00252364758506</v>
      </c>
      <c r="T340" s="90">
        <f t="shared" si="444"/>
        <v>152.00963364758508</v>
      </c>
      <c r="U340" s="90">
        <f t="shared" si="444"/>
        <v>152.01674364758509</v>
      </c>
      <c r="V340" s="90">
        <f t="shared" si="444"/>
        <v>152.0238536475851</v>
      </c>
      <c r="W340" s="90">
        <f t="shared" si="444"/>
        <v>152.03096364758511</v>
      </c>
      <c r="X340" s="90">
        <f t="shared" si="444"/>
        <v>152.03807364758512</v>
      </c>
      <c r="Y340" s="90">
        <f t="shared" si="444"/>
        <v>152.04518364758513</v>
      </c>
      <c r="Z340" s="90">
        <f t="shared" si="444"/>
        <v>152.05229364758515</v>
      </c>
      <c r="AA340" s="90">
        <f t="shared" si="444"/>
        <v>152.05940364758516</v>
      </c>
      <c r="AB340" s="90">
        <f t="shared" si="444"/>
        <v>152.06651364758517</v>
      </c>
    </row>
    <row r="341" spans="1:28" x14ac:dyDescent="0.25">
      <c r="A341" s="87" t="s">
        <v>19</v>
      </c>
      <c r="B341" s="86" t="s">
        <v>24</v>
      </c>
      <c r="C341" s="90">
        <f t="shared" ref="C341:O341" si="445">+C221</f>
        <v>6780.8508624532096</v>
      </c>
      <c r="D341" s="90">
        <f t="shared" si="445"/>
        <v>6780.8508624532096</v>
      </c>
      <c r="E341" s="90">
        <f t="shared" si="445"/>
        <v>6780.8508624532096</v>
      </c>
      <c r="F341" s="90">
        <f t="shared" si="445"/>
        <v>6780.8508624532096</v>
      </c>
      <c r="G341" s="90">
        <f t="shared" si="445"/>
        <v>6780.8508624532096</v>
      </c>
      <c r="H341" s="90">
        <f t="shared" si="445"/>
        <v>5350.277929289332</v>
      </c>
      <c r="I341" s="90">
        <f t="shared" si="445"/>
        <v>3919.7049961254538</v>
      </c>
      <c r="J341" s="90">
        <f t="shared" si="445"/>
        <v>5001.0052702972998</v>
      </c>
      <c r="K341" s="90">
        <f t="shared" si="445"/>
        <v>6082.3055444691454</v>
      </c>
      <c r="L341" s="90">
        <f t="shared" si="445"/>
        <v>1003.5452986284897</v>
      </c>
      <c r="M341" s="90">
        <f t="shared" si="445"/>
        <v>1003.5452986284897</v>
      </c>
      <c r="N341" s="90">
        <f t="shared" si="445"/>
        <v>1112.2367634312643</v>
      </c>
      <c r="O341" s="90">
        <f t="shared" si="445"/>
        <v>1112.2367634312643</v>
      </c>
      <c r="P341" s="90">
        <f t="shared" si="435"/>
        <v>1112.2362734312644</v>
      </c>
      <c r="Q341" s="90">
        <f t="shared" si="435"/>
        <v>1112.2357834312645</v>
      </c>
      <c r="R341" s="90">
        <f t="shared" si="435"/>
        <v>1112.2352934312646</v>
      </c>
      <c r="S341" s="90">
        <f t="shared" ref="S341:AB341" si="446">+R341+(0.711/100)</f>
        <v>1112.2424034312646</v>
      </c>
      <c r="T341" s="90">
        <f t="shared" si="446"/>
        <v>1112.2495134312646</v>
      </c>
      <c r="U341" s="90">
        <f t="shared" si="446"/>
        <v>1112.2566234312646</v>
      </c>
      <c r="V341" s="90">
        <f t="shared" si="446"/>
        <v>1112.2637334312647</v>
      </c>
      <c r="W341" s="90">
        <f t="shared" si="446"/>
        <v>1112.2708434312647</v>
      </c>
      <c r="X341" s="90">
        <f t="shared" si="446"/>
        <v>1112.2779534312647</v>
      </c>
      <c r="Y341" s="90">
        <f t="shared" si="446"/>
        <v>1112.2850634312647</v>
      </c>
      <c r="Z341" s="90">
        <f t="shared" si="446"/>
        <v>1112.2921734312647</v>
      </c>
      <c r="AA341" s="90">
        <f t="shared" si="446"/>
        <v>1112.2992834312647</v>
      </c>
      <c r="AB341" s="90">
        <f t="shared" si="446"/>
        <v>1112.3063934312647</v>
      </c>
    </row>
    <row r="342" spans="1:28" x14ac:dyDescent="0.25">
      <c r="A342" s="87" t="s">
        <v>19</v>
      </c>
      <c r="B342" s="86" t="s">
        <v>25</v>
      </c>
      <c r="C342" s="90">
        <f t="shared" ref="C342:O342" si="447">+C222</f>
        <v>751.26524843634377</v>
      </c>
      <c r="D342" s="90">
        <f t="shared" si="447"/>
        <v>751.26524843634377</v>
      </c>
      <c r="E342" s="90">
        <f t="shared" si="447"/>
        <v>751.26524843634377</v>
      </c>
      <c r="F342" s="90">
        <f t="shared" si="447"/>
        <v>751.26524843634377</v>
      </c>
      <c r="G342" s="90">
        <f t="shared" si="447"/>
        <v>751.26524843634377</v>
      </c>
      <c r="H342" s="90">
        <f t="shared" si="447"/>
        <v>592.76895470561192</v>
      </c>
      <c r="I342" s="90">
        <f t="shared" si="447"/>
        <v>434.27266097488018</v>
      </c>
      <c r="J342" s="90">
        <f t="shared" si="447"/>
        <v>554.07227544628665</v>
      </c>
      <c r="K342" s="90">
        <f t="shared" si="447"/>
        <v>673.87188991769301</v>
      </c>
      <c r="L342" s="90">
        <f t="shared" si="447"/>
        <v>111.18497123508436</v>
      </c>
      <c r="M342" s="90">
        <f t="shared" si="447"/>
        <v>111.18497123508436</v>
      </c>
      <c r="N342" s="90">
        <f t="shared" si="447"/>
        <v>123.227135554036</v>
      </c>
      <c r="O342" s="90">
        <f t="shared" si="447"/>
        <v>123.227135554036</v>
      </c>
      <c r="P342" s="90">
        <f t="shared" si="435"/>
        <v>123.226645554036</v>
      </c>
      <c r="Q342" s="90">
        <f t="shared" si="435"/>
        <v>123.226155554036</v>
      </c>
      <c r="R342" s="90">
        <f t="shared" si="435"/>
        <v>123.225665554036</v>
      </c>
      <c r="S342" s="90">
        <f t="shared" ref="S342:AB342" si="448">+R342+(0.711/100)</f>
        <v>123.232775554036</v>
      </c>
      <c r="T342" s="90">
        <f t="shared" si="448"/>
        <v>123.23988555403599</v>
      </c>
      <c r="U342" s="90">
        <f t="shared" si="448"/>
        <v>123.24699555403599</v>
      </c>
      <c r="V342" s="90">
        <f t="shared" si="448"/>
        <v>123.25410555403599</v>
      </c>
      <c r="W342" s="90">
        <f t="shared" si="448"/>
        <v>123.26121555403599</v>
      </c>
      <c r="X342" s="90">
        <f t="shared" si="448"/>
        <v>123.26832555403598</v>
      </c>
      <c r="Y342" s="90">
        <f t="shared" si="448"/>
        <v>123.27543555403598</v>
      </c>
      <c r="Z342" s="90">
        <f t="shared" si="448"/>
        <v>123.28254555403598</v>
      </c>
      <c r="AA342" s="90">
        <f t="shared" si="448"/>
        <v>123.28965555403597</v>
      </c>
      <c r="AB342" s="90">
        <f t="shared" si="448"/>
        <v>123.29676555403597</v>
      </c>
    </row>
    <row r="343" spans="1:28" x14ac:dyDescent="0.25">
      <c r="A343" s="87" t="s">
        <v>19</v>
      </c>
      <c r="B343" s="86" t="s">
        <v>26</v>
      </c>
      <c r="C343" s="90">
        <f t="shared" ref="C343:O343" si="449">+C223</f>
        <v>186.57832370711517</v>
      </c>
      <c r="D343" s="90">
        <f t="shared" si="449"/>
        <v>186.57832370711517</v>
      </c>
      <c r="E343" s="90">
        <f t="shared" si="449"/>
        <v>186.57832370711517</v>
      </c>
      <c r="F343" s="90">
        <f t="shared" si="449"/>
        <v>186.57832370711517</v>
      </c>
      <c r="G343" s="90">
        <f t="shared" si="449"/>
        <v>186.57832370711517</v>
      </c>
      <c r="H343" s="90">
        <f t="shared" si="449"/>
        <v>147.21543175966983</v>
      </c>
      <c r="I343" s="90">
        <f t="shared" si="449"/>
        <v>107.85253981222448</v>
      </c>
      <c r="J343" s="90">
        <f t="shared" si="449"/>
        <v>137.60502908995471</v>
      </c>
      <c r="K343" s="90">
        <f t="shared" si="449"/>
        <v>167.35751836768497</v>
      </c>
      <c r="L343" s="90">
        <f t="shared" si="449"/>
        <v>27.613024291544345</v>
      </c>
      <c r="M343" s="90">
        <f t="shared" si="449"/>
        <v>27.613024291544345</v>
      </c>
      <c r="N343" s="90">
        <f t="shared" si="449"/>
        <v>30.603721434946163</v>
      </c>
      <c r="O343" s="90">
        <f t="shared" si="449"/>
        <v>30.603721434946163</v>
      </c>
      <c r="P343" s="90">
        <f t="shared" si="435"/>
        <v>30.603231434946164</v>
      </c>
      <c r="Q343" s="90">
        <f t="shared" si="435"/>
        <v>30.602741434946164</v>
      </c>
      <c r="R343" s="90">
        <f t="shared" si="435"/>
        <v>30.602251434946165</v>
      </c>
      <c r="S343" s="90">
        <f t="shared" ref="S343:AB343" si="450">+R343+(0.711/100)</f>
        <v>30.609361434946166</v>
      </c>
      <c r="T343" s="90">
        <f t="shared" si="450"/>
        <v>30.616471434946167</v>
      </c>
      <c r="U343" s="90">
        <f t="shared" si="450"/>
        <v>30.623581434946168</v>
      </c>
      <c r="V343" s="90">
        <f t="shared" si="450"/>
        <v>30.630691434946169</v>
      </c>
      <c r="W343" s="90">
        <f t="shared" si="450"/>
        <v>30.637801434946169</v>
      </c>
      <c r="X343" s="90">
        <f t="shared" si="450"/>
        <v>30.64491143494617</v>
      </c>
      <c r="Y343" s="90">
        <f t="shared" si="450"/>
        <v>30.652021434946171</v>
      </c>
      <c r="Z343" s="90">
        <f t="shared" si="450"/>
        <v>30.659131434946172</v>
      </c>
      <c r="AA343" s="90">
        <f t="shared" si="450"/>
        <v>30.666241434946173</v>
      </c>
      <c r="AB343" s="90">
        <f t="shared" si="450"/>
        <v>30.673351434946174</v>
      </c>
    </row>
    <row r="344" spans="1:28" x14ac:dyDescent="0.25">
      <c r="A344" s="87" t="s">
        <v>19</v>
      </c>
      <c r="B344" s="86" t="s">
        <v>27</v>
      </c>
      <c r="C344" s="90">
        <f t="shared" ref="C344:O344" si="451">+C224</f>
        <v>780.23861252760332</v>
      </c>
      <c r="D344" s="90">
        <f t="shared" si="451"/>
        <v>780.23861252760332</v>
      </c>
      <c r="E344" s="90">
        <f t="shared" si="451"/>
        <v>780.23861252760332</v>
      </c>
      <c r="F344" s="90">
        <f t="shared" si="451"/>
        <v>780.23861252760332</v>
      </c>
      <c r="G344" s="90">
        <f t="shared" si="451"/>
        <v>780.23861252760332</v>
      </c>
      <c r="H344" s="90">
        <f t="shared" si="451"/>
        <v>615.62973627700433</v>
      </c>
      <c r="I344" s="90">
        <f t="shared" si="451"/>
        <v>451.02086002640527</v>
      </c>
      <c r="J344" s="90">
        <f t="shared" si="451"/>
        <v>575.44067735598594</v>
      </c>
      <c r="K344" s="90">
        <f t="shared" si="451"/>
        <v>699.86049468556666</v>
      </c>
      <c r="L344" s="90">
        <f t="shared" si="451"/>
        <v>115.47294097649757</v>
      </c>
      <c r="M344" s="90">
        <f t="shared" si="451"/>
        <v>115.47294097649757</v>
      </c>
      <c r="N344" s="90">
        <f t="shared" si="451"/>
        <v>127.97952450289418</v>
      </c>
      <c r="O344" s="90">
        <f t="shared" si="451"/>
        <v>127.97952450289418</v>
      </c>
      <c r="P344" s="90">
        <f t="shared" si="435"/>
        <v>127.97903450289418</v>
      </c>
      <c r="Q344" s="90">
        <f t="shared" si="435"/>
        <v>127.97854450289418</v>
      </c>
      <c r="R344" s="90">
        <f t="shared" si="435"/>
        <v>127.97805450289418</v>
      </c>
      <c r="S344" s="90">
        <f t="shared" ref="S344:AB344" si="452">+R344+(0.711/100)</f>
        <v>127.98516450289418</v>
      </c>
      <c r="T344" s="90">
        <f t="shared" si="452"/>
        <v>127.99227450289418</v>
      </c>
      <c r="U344" s="90">
        <f t="shared" si="452"/>
        <v>127.99938450289417</v>
      </c>
      <c r="V344" s="90">
        <f t="shared" si="452"/>
        <v>128.00649450289418</v>
      </c>
      <c r="W344" s="90">
        <f t="shared" si="452"/>
        <v>128.0136045028942</v>
      </c>
      <c r="X344" s="90">
        <f t="shared" si="452"/>
        <v>128.02071450289421</v>
      </c>
      <c r="Y344" s="90">
        <f t="shared" si="452"/>
        <v>128.02782450289422</v>
      </c>
      <c r="Z344" s="90">
        <f t="shared" si="452"/>
        <v>128.03493450289423</v>
      </c>
      <c r="AA344" s="90">
        <f t="shared" si="452"/>
        <v>128.04204450289424</v>
      </c>
      <c r="AB344" s="90">
        <f t="shared" si="452"/>
        <v>128.04915450289425</v>
      </c>
    </row>
    <row r="346" spans="1:28" x14ac:dyDescent="0.25">
      <c r="A346" s="1" t="s">
        <v>105</v>
      </c>
      <c r="B346" s="65" t="s">
        <v>106</v>
      </c>
      <c r="C346" s="1">
        <v>2010</v>
      </c>
      <c r="D346" s="1">
        <v>2011</v>
      </c>
      <c r="E346" s="1">
        <v>2012</v>
      </c>
      <c r="F346" s="1">
        <v>2013</v>
      </c>
      <c r="G346" s="1">
        <v>2014</v>
      </c>
      <c r="H346" s="1">
        <v>2015</v>
      </c>
      <c r="I346" s="1">
        <v>2016</v>
      </c>
      <c r="J346" s="1">
        <v>2017</v>
      </c>
      <c r="K346" s="1">
        <v>2018</v>
      </c>
      <c r="L346" s="1">
        <v>2019</v>
      </c>
      <c r="M346" s="1">
        <v>2020</v>
      </c>
      <c r="N346" s="1">
        <v>2021</v>
      </c>
      <c r="O346" s="1">
        <v>2022</v>
      </c>
      <c r="P346" s="1">
        <v>2023</v>
      </c>
      <c r="Q346" s="1">
        <v>2024</v>
      </c>
      <c r="R346" s="1">
        <v>2025</v>
      </c>
      <c r="S346" s="1">
        <v>2026</v>
      </c>
      <c r="T346" s="1">
        <v>2027</v>
      </c>
      <c r="U346" s="1">
        <v>2028</v>
      </c>
      <c r="V346" s="1">
        <v>2029</v>
      </c>
      <c r="W346" s="1">
        <v>2030</v>
      </c>
      <c r="X346" s="1">
        <v>2031</v>
      </c>
      <c r="Y346" s="1">
        <v>2032</v>
      </c>
      <c r="Z346" s="1">
        <v>2033</v>
      </c>
      <c r="AA346" s="1">
        <v>2034</v>
      </c>
      <c r="AB346" s="1">
        <v>2035</v>
      </c>
    </row>
    <row r="347" spans="1:28" x14ac:dyDescent="0.25">
      <c r="A347" s="87" t="s">
        <v>5</v>
      </c>
      <c r="B347" s="86" t="s">
        <v>18</v>
      </c>
      <c r="C347" s="90">
        <f t="shared" ref="C347:O347" si="453">+C227</f>
        <v>9.069093063975886E-2</v>
      </c>
      <c r="D347" s="90">
        <f t="shared" si="453"/>
        <v>9.069093063975886E-2</v>
      </c>
      <c r="E347" s="90">
        <f t="shared" si="453"/>
        <v>9.069093063975886E-2</v>
      </c>
      <c r="F347" s="90">
        <f t="shared" si="453"/>
        <v>9.069093063975886E-2</v>
      </c>
      <c r="G347" s="90">
        <f t="shared" si="453"/>
        <v>9.069093063975886E-2</v>
      </c>
      <c r="H347" s="90">
        <f t="shared" si="453"/>
        <v>9.5911786917128747E-2</v>
      </c>
      <c r="I347" s="90">
        <f t="shared" si="453"/>
        <v>0.10113264319449865</v>
      </c>
      <c r="J347" s="90">
        <f t="shared" si="453"/>
        <v>7.2515977918304483E-2</v>
      </c>
      <c r="K347" s="90">
        <f t="shared" si="453"/>
        <v>4.3899312642110298E-2</v>
      </c>
      <c r="L347" s="90">
        <f t="shared" si="453"/>
        <v>4.899761360780485E-2</v>
      </c>
      <c r="M347" s="90">
        <f t="shared" si="453"/>
        <v>4.899761360780485E-2</v>
      </c>
      <c r="N347" s="90">
        <f t="shared" si="453"/>
        <v>2.9780940737110004E-2</v>
      </c>
      <c r="O347" s="90">
        <f t="shared" si="453"/>
        <v>2.9780940737110004E-2</v>
      </c>
      <c r="P347" s="90">
        <f t="shared" ref="P347:R355" si="454">+O347-(0.049/100)</f>
        <v>2.9290940737110003E-2</v>
      </c>
      <c r="Q347" s="90">
        <f t="shared" si="454"/>
        <v>2.8800940737110002E-2</v>
      </c>
      <c r="R347" s="90">
        <f t="shared" si="454"/>
        <v>2.8310940737110001E-2</v>
      </c>
      <c r="S347" s="90">
        <f t="shared" ref="S347:AB347" si="455">+R347+(0.711/100)</f>
        <v>3.5420940737110003E-2</v>
      </c>
      <c r="T347" s="90">
        <f t="shared" si="455"/>
        <v>4.2530940737110001E-2</v>
      </c>
      <c r="U347" s="90">
        <f t="shared" si="455"/>
        <v>4.9640940737109999E-2</v>
      </c>
      <c r="V347" s="90">
        <f t="shared" si="455"/>
        <v>5.6750940737109998E-2</v>
      </c>
      <c r="W347" s="90">
        <f t="shared" si="455"/>
        <v>6.3860940737110003E-2</v>
      </c>
      <c r="X347" s="90">
        <f t="shared" si="455"/>
        <v>7.0970940737110008E-2</v>
      </c>
      <c r="Y347" s="90">
        <f t="shared" si="455"/>
        <v>7.8080940737110013E-2</v>
      </c>
      <c r="Z347" s="90">
        <f t="shared" si="455"/>
        <v>8.5190940737110019E-2</v>
      </c>
      <c r="AA347" s="90">
        <f t="shared" si="455"/>
        <v>9.2300940737110024E-2</v>
      </c>
      <c r="AB347" s="90">
        <f t="shared" si="455"/>
        <v>9.9410940737110029E-2</v>
      </c>
    </row>
    <row r="348" spans="1:28" x14ac:dyDescent="0.25">
      <c r="A348" s="87" t="s">
        <v>5</v>
      </c>
      <c r="B348" s="86" t="s">
        <v>20</v>
      </c>
      <c r="C348" s="90">
        <f t="shared" ref="C348:O348" si="456">+C228</f>
        <v>0.88561379455097156</v>
      </c>
      <c r="D348" s="90">
        <f t="shared" si="456"/>
        <v>0.88561379455097156</v>
      </c>
      <c r="E348" s="90">
        <f t="shared" si="456"/>
        <v>0.88561379455097156</v>
      </c>
      <c r="F348" s="90">
        <f t="shared" si="456"/>
        <v>0.88561379455097156</v>
      </c>
      <c r="G348" s="90">
        <f t="shared" si="456"/>
        <v>0.88561379455097156</v>
      </c>
      <c r="H348" s="90">
        <f t="shared" si="456"/>
        <v>0.93659642650755437</v>
      </c>
      <c r="I348" s="90">
        <f t="shared" si="456"/>
        <v>0.9875790584641374</v>
      </c>
      <c r="J348" s="90">
        <f t="shared" si="456"/>
        <v>0.7081320030213647</v>
      </c>
      <c r="K348" s="90">
        <f t="shared" si="456"/>
        <v>0.42868494757859188</v>
      </c>
      <c r="L348" s="90">
        <f t="shared" si="456"/>
        <v>0.47847080413713294</v>
      </c>
      <c r="M348" s="90">
        <f t="shared" si="456"/>
        <v>0.47847080413713294</v>
      </c>
      <c r="N348" s="90">
        <f t="shared" si="456"/>
        <v>0.29081642172417038</v>
      </c>
      <c r="O348" s="90">
        <f t="shared" si="456"/>
        <v>0.29081642172417038</v>
      </c>
      <c r="P348" s="90">
        <f t="shared" si="454"/>
        <v>0.29032642172417039</v>
      </c>
      <c r="Q348" s="90">
        <f t="shared" si="454"/>
        <v>0.2898364217241704</v>
      </c>
      <c r="R348" s="90">
        <f t="shared" si="454"/>
        <v>0.28934642172417041</v>
      </c>
      <c r="S348" s="90">
        <f t="shared" ref="S348:AB348" si="457">+R348+(0.711/100)</f>
        <v>0.29645642172417042</v>
      </c>
      <c r="T348" s="90">
        <f t="shared" si="457"/>
        <v>0.30356642172417042</v>
      </c>
      <c r="U348" s="90">
        <f t="shared" si="457"/>
        <v>0.31067642172417043</v>
      </c>
      <c r="V348" s="90">
        <f t="shared" si="457"/>
        <v>0.31778642172417043</v>
      </c>
      <c r="W348" s="90">
        <f t="shared" si="457"/>
        <v>0.32489642172417044</v>
      </c>
      <c r="X348" s="90">
        <f t="shared" si="457"/>
        <v>0.33200642172417044</v>
      </c>
      <c r="Y348" s="90">
        <f t="shared" si="457"/>
        <v>0.33911642172417045</v>
      </c>
      <c r="Z348" s="90">
        <f t="shared" si="457"/>
        <v>0.34622642172417045</v>
      </c>
      <c r="AA348" s="90">
        <f t="shared" si="457"/>
        <v>0.35333642172417046</v>
      </c>
      <c r="AB348" s="90">
        <f t="shared" si="457"/>
        <v>0.36044642172417046</v>
      </c>
    </row>
    <row r="349" spans="1:28" x14ac:dyDescent="0.25">
      <c r="A349" s="87" t="s">
        <v>5</v>
      </c>
      <c r="B349" s="86" t="s">
        <v>21</v>
      </c>
      <c r="C349" s="90">
        <f t="shared" ref="C349:O349" si="458">+C229</f>
        <v>8.4683257256326048</v>
      </c>
      <c r="D349" s="90">
        <f t="shared" si="458"/>
        <v>8.4683257256326048</v>
      </c>
      <c r="E349" s="90">
        <f t="shared" si="458"/>
        <v>8.4683257256326048</v>
      </c>
      <c r="F349" s="90">
        <f t="shared" si="458"/>
        <v>8.4683257256326048</v>
      </c>
      <c r="G349" s="90">
        <f t="shared" si="458"/>
        <v>8.4683257256326048</v>
      </c>
      <c r="H349" s="90">
        <f t="shared" si="458"/>
        <v>8.9558266390271299</v>
      </c>
      <c r="I349" s="90">
        <f t="shared" si="458"/>
        <v>9.4433275524216551</v>
      </c>
      <c r="J349" s="90">
        <f t="shared" si="458"/>
        <v>6.7712274754821786</v>
      </c>
      <c r="K349" s="90">
        <f t="shared" si="458"/>
        <v>4.0991273985427013</v>
      </c>
      <c r="L349" s="90">
        <f t="shared" si="458"/>
        <v>4.5751846285242097</v>
      </c>
      <c r="M349" s="90">
        <f t="shared" si="458"/>
        <v>4.5751846285242097</v>
      </c>
      <c r="N349" s="90">
        <f t="shared" si="458"/>
        <v>2.7808150693631393</v>
      </c>
      <c r="O349" s="90">
        <f t="shared" si="458"/>
        <v>2.7808150693631393</v>
      </c>
      <c r="P349" s="90">
        <f t="shared" si="454"/>
        <v>2.7803250693631392</v>
      </c>
      <c r="Q349" s="90">
        <f t="shared" si="454"/>
        <v>2.7798350693631391</v>
      </c>
      <c r="R349" s="90">
        <f t="shared" si="454"/>
        <v>2.779345069363139</v>
      </c>
      <c r="S349" s="90">
        <f t="shared" ref="S349:AB349" si="459">+R349+(0.711/100)</f>
        <v>2.7864550693631389</v>
      </c>
      <c r="T349" s="90">
        <f t="shared" si="459"/>
        <v>2.7935650693631389</v>
      </c>
      <c r="U349" s="90">
        <f t="shared" si="459"/>
        <v>2.8006750693631388</v>
      </c>
      <c r="V349" s="90">
        <f t="shared" si="459"/>
        <v>2.8077850693631388</v>
      </c>
      <c r="W349" s="90">
        <f t="shared" si="459"/>
        <v>2.8148950693631387</v>
      </c>
      <c r="X349" s="90">
        <f t="shared" si="459"/>
        <v>2.8220050693631387</v>
      </c>
      <c r="Y349" s="90">
        <f t="shared" si="459"/>
        <v>2.8291150693631386</v>
      </c>
      <c r="Z349" s="90">
        <f t="shared" si="459"/>
        <v>2.8362250693631386</v>
      </c>
      <c r="AA349" s="90">
        <f t="shared" si="459"/>
        <v>2.8433350693631385</v>
      </c>
      <c r="AB349" s="90">
        <f t="shared" si="459"/>
        <v>2.8504450693631385</v>
      </c>
    </row>
    <row r="350" spans="1:28" x14ac:dyDescent="0.25">
      <c r="A350" s="87" t="s">
        <v>5</v>
      </c>
      <c r="B350" s="86" t="s">
        <v>22</v>
      </c>
      <c r="C350" s="90">
        <f t="shared" ref="C350:O350" si="460">+C230</f>
        <v>3.4423197971978516</v>
      </c>
      <c r="D350" s="90">
        <f t="shared" si="460"/>
        <v>3.4423197971978516</v>
      </c>
      <c r="E350" s="90">
        <f t="shared" si="460"/>
        <v>3.4423197971978516</v>
      </c>
      <c r="F350" s="90">
        <f t="shared" si="460"/>
        <v>3.4423197971978516</v>
      </c>
      <c r="G350" s="90">
        <f t="shared" si="460"/>
        <v>3.4423197971978516</v>
      </c>
      <c r="H350" s="90">
        <f t="shared" si="460"/>
        <v>3.6404857747122139</v>
      </c>
      <c r="I350" s="90">
        <f t="shared" si="460"/>
        <v>3.8386517522265771</v>
      </c>
      <c r="J350" s="90">
        <f t="shared" si="460"/>
        <v>2.7524603027053631</v>
      </c>
      <c r="K350" s="90">
        <f t="shared" si="460"/>
        <v>1.6662688531841492</v>
      </c>
      <c r="L350" s="90">
        <f t="shared" si="460"/>
        <v>1.8597830471887851</v>
      </c>
      <c r="M350" s="90">
        <f t="shared" si="460"/>
        <v>1.8597830471887851</v>
      </c>
      <c r="N350" s="90">
        <f t="shared" si="460"/>
        <v>1.1303833928636189</v>
      </c>
      <c r="O350" s="90">
        <f t="shared" si="460"/>
        <v>1.1303833928636189</v>
      </c>
      <c r="P350" s="90">
        <f t="shared" si="454"/>
        <v>1.1298933928636188</v>
      </c>
      <c r="Q350" s="90">
        <f t="shared" si="454"/>
        <v>1.1294033928636187</v>
      </c>
      <c r="R350" s="90">
        <f t="shared" si="454"/>
        <v>1.1289133928636186</v>
      </c>
      <c r="S350" s="90">
        <f t="shared" ref="S350:AB350" si="461">+R350+(0.711/100)</f>
        <v>1.1360233928636185</v>
      </c>
      <c r="T350" s="90">
        <f t="shared" si="461"/>
        <v>1.1431333928636185</v>
      </c>
      <c r="U350" s="90">
        <f t="shared" si="461"/>
        <v>1.1502433928636184</v>
      </c>
      <c r="V350" s="90">
        <f t="shared" si="461"/>
        <v>1.1573533928636184</v>
      </c>
      <c r="W350" s="90">
        <f t="shared" si="461"/>
        <v>1.1644633928636183</v>
      </c>
      <c r="X350" s="90">
        <f t="shared" si="461"/>
        <v>1.1715733928636183</v>
      </c>
      <c r="Y350" s="90">
        <f t="shared" si="461"/>
        <v>1.1786833928636182</v>
      </c>
      <c r="Z350" s="90">
        <f t="shared" si="461"/>
        <v>1.1857933928636182</v>
      </c>
      <c r="AA350" s="90">
        <f t="shared" si="461"/>
        <v>1.1929033928636181</v>
      </c>
      <c r="AB350" s="90">
        <f t="shared" si="461"/>
        <v>1.2000133928636181</v>
      </c>
    </row>
    <row r="351" spans="1:28" x14ac:dyDescent="0.25">
      <c r="A351" s="87" t="s">
        <v>5</v>
      </c>
      <c r="B351" s="86" t="s">
        <v>23</v>
      </c>
      <c r="C351" s="90">
        <f t="shared" ref="C351:O351" si="462">+C231</f>
        <v>2.3706365082812315</v>
      </c>
      <c r="D351" s="90">
        <f t="shared" si="462"/>
        <v>2.3706365082812315</v>
      </c>
      <c r="E351" s="90">
        <f t="shared" si="462"/>
        <v>2.3706365082812315</v>
      </c>
      <c r="F351" s="90">
        <f t="shared" si="462"/>
        <v>2.3706365082812315</v>
      </c>
      <c r="G351" s="90">
        <f t="shared" si="462"/>
        <v>2.3706365082812315</v>
      </c>
      <c r="H351" s="90">
        <f t="shared" si="462"/>
        <v>2.5071082856498532</v>
      </c>
      <c r="I351" s="90">
        <f t="shared" si="462"/>
        <v>2.6435800630184758</v>
      </c>
      <c r="J351" s="90">
        <f t="shared" si="462"/>
        <v>1.8955481377702765</v>
      </c>
      <c r="K351" s="90">
        <f t="shared" si="462"/>
        <v>1.1475162125220773</v>
      </c>
      <c r="L351" s="90">
        <f t="shared" si="462"/>
        <v>1.2807844270416706</v>
      </c>
      <c r="M351" s="90">
        <f t="shared" si="462"/>
        <v>1.2807844270416706</v>
      </c>
      <c r="N351" s="90">
        <f t="shared" si="462"/>
        <v>0.77846577231397196</v>
      </c>
      <c r="O351" s="90">
        <f t="shared" si="462"/>
        <v>0.77846577231397196</v>
      </c>
      <c r="P351" s="90">
        <f t="shared" si="454"/>
        <v>0.77797577231397197</v>
      </c>
      <c r="Q351" s="90">
        <f t="shared" si="454"/>
        <v>0.77748577231397198</v>
      </c>
      <c r="R351" s="90">
        <f t="shared" si="454"/>
        <v>0.77699577231397199</v>
      </c>
      <c r="S351" s="90">
        <f t="shared" ref="S351:AB351" si="463">+R351+(0.711/100)</f>
        <v>0.78410577231397194</v>
      </c>
      <c r="T351" s="90">
        <f t="shared" si="463"/>
        <v>0.79121577231397189</v>
      </c>
      <c r="U351" s="90">
        <f t="shared" si="463"/>
        <v>0.79832577231397184</v>
      </c>
      <c r="V351" s="90">
        <f t="shared" si="463"/>
        <v>0.80543577231397179</v>
      </c>
      <c r="W351" s="90">
        <f t="shared" si="463"/>
        <v>0.81254577231397174</v>
      </c>
      <c r="X351" s="90">
        <f t="shared" si="463"/>
        <v>0.81965577231397169</v>
      </c>
      <c r="Y351" s="90">
        <f t="shared" si="463"/>
        <v>0.82676577231397164</v>
      </c>
      <c r="Z351" s="90">
        <f t="shared" si="463"/>
        <v>0.83387577231397159</v>
      </c>
      <c r="AA351" s="90">
        <f t="shared" si="463"/>
        <v>0.84098577231397154</v>
      </c>
      <c r="AB351" s="90">
        <f t="shared" si="463"/>
        <v>0.84809577231397149</v>
      </c>
    </row>
    <row r="352" spans="1:28" x14ac:dyDescent="0.25">
      <c r="A352" s="87" t="s">
        <v>5</v>
      </c>
      <c r="B352" s="86" t="s">
        <v>24</v>
      </c>
      <c r="C352" s="90">
        <f t="shared" ref="C352:O352" si="464">+C232</f>
        <v>17.347125901318453</v>
      </c>
      <c r="D352" s="90">
        <f t="shared" si="464"/>
        <v>17.347125901318453</v>
      </c>
      <c r="E352" s="90">
        <f t="shared" si="464"/>
        <v>17.347125901318453</v>
      </c>
      <c r="F352" s="90">
        <f t="shared" si="464"/>
        <v>17.347125901318453</v>
      </c>
      <c r="G352" s="90">
        <f t="shared" si="464"/>
        <v>17.347125901318453</v>
      </c>
      <c r="H352" s="90">
        <f t="shared" si="464"/>
        <v>18.3457577437457</v>
      </c>
      <c r="I352" s="90">
        <f t="shared" si="464"/>
        <v>19.344389586172955</v>
      </c>
      <c r="J352" s="90">
        <f t="shared" si="464"/>
        <v>13.870668102446119</v>
      </c>
      <c r="K352" s="90">
        <f t="shared" si="464"/>
        <v>8.3969466187192836</v>
      </c>
      <c r="L352" s="90">
        <f t="shared" si="464"/>
        <v>9.3721363991177249</v>
      </c>
      <c r="M352" s="90">
        <f t="shared" si="464"/>
        <v>9.3721363991177249</v>
      </c>
      <c r="N352" s="90">
        <f t="shared" si="464"/>
        <v>5.6964210730005185</v>
      </c>
      <c r="O352" s="90">
        <f t="shared" si="464"/>
        <v>5.6964210730005185</v>
      </c>
      <c r="P352" s="90">
        <f t="shared" si="454"/>
        <v>5.6959310730005184</v>
      </c>
      <c r="Q352" s="90">
        <f t="shared" si="454"/>
        <v>5.6954410730005183</v>
      </c>
      <c r="R352" s="90">
        <f t="shared" si="454"/>
        <v>5.6949510730005182</v>
      </c>
      <c r="S352" s="90">
        <f t="shared" ref="S352:AB352" si="465">+R352+(0.711/100)</f>
        <v>5.7020610730005181</v>
      </c>
      <c r="T352" s="90">
        <f t="shared" si="465"/>
        <v>5.7091710730005181</v>
      </c>
      <c r="U352" s="90">
        <f t="shared" si="465"/>
        <v>5.716281073000518</v>
      </c>
      <c r="V352" s="90">
        <f t="shared" si="465"/>
        <v>5.723391073000518</v>
      </c>
      <c r="W352" s="90">
        <f t="shared" si="465"/>
        <v>5.7305010730005179</v>
      </c>
      <c r="X352" s="90">
        <f t="shared" si="465"/>
        <v>5.7376110730005179</v>
      </c>
      <c r="Y352" s="90">
        <f t="shared" si="465"/>
        <v>5.7447210730005178</v>
      </c>
      <c r="Z352" s="90">
        <f t="shared" si="465"/>
        <v>5.7518310730005178</v>
      </c>
      <c r="AA352" s="90">
        <f t="shared" si="465"/>
        <v>5.7589410730005177</v>
      </c>
      <c r="AB352" s="90">
        <f t="shared" si="465"/>
        <v>5.7660510730005177</v>
      </c>
    </row>
    <row r="353" spans="1:28" x14ac:dyDescent="0.25">
      <c r="A353" s="87" t="s">
        <v>5</v>
      </c>
      <c r="B353" s="86" t="s">
        <v>25</v>
      </c>
      <c r="C353" s="90">
        <f t="shared" ref="C353:O353" si="466">+C233</f>
        <v>1.9219258931165539</v>
      </c>
      <c r="D353" s="90">
        <f t="shared" si="466"/>
        <v>1.9219258931165539</v>
      </c>
      <c r="E353" s="90">
        <f t="shared" si="466"/>
        <v>1.9219258931165539</v>
      </c>
      <c r="F353" s="90">
        <f t="shared" si="466"/>
        <v>1.9219258931165539</v>
      </c>
      <c r="G353" s="90">
        <f t="shared" si="466"/>
        <v>1.9219258931165539</v>
      </c>
      <c r="H353" s="90">
        <f t="shared" si="466"/>
        <v>2.0325664918283985</v>
      </c>
      <c r="I353" s="90">
        <f t="shared" si="466"/>
        <v>2.1432070905402436</v>
      </c>
      <c r="J353" s="90">
        <f t="shared" si="466"/>
        <v>1.536761555347385</v>
      </c>
      <c r="K353" s="90">
        <f t="shared" si="466"/>
        <v>0.93031602015452641</v>
      </c>
      <c r="L353" s="90">
        <f t="shared" si="466"/>
        <v>1.038359421713511</v>
      </c>
      <c r="M353" s="90">
        <f t="shared" si="466"/>
        <v>1.038359421713511</v>
      </c>
      <c r="N353" s="90">
        <f t="shared" si="466"/>
        <v>0.63111890814503058</v>
      </c>
      <c r="O353" s="90">
        <f t="shared" si="466"/>
        <v>0.63111890814503058</v>
      </c>
      <c r="P353" s="90">
        <f t="shared" si="454"/>
        <v>0.63062890814503059</v>
      </c>
      <c r="Q353" s="90">
        <f t="shared" si="454"/>
        <v>0.6301389081450306</v>
      </c>
      <c r="R353" s="90">
        <f t="shared" si="454"/>
        <v>0.62964890814503061</v>
      </c>
      <c r="S353" s="90">
        <f t="shared" ref="S353:AB353" si="467">+R353+(0.711/100)</f>
        <v>0.63675890814503056</v>
      </c>
      <c r="T353" s="90">
        <f t="shared" si="467"/>
        <v>0.64386890814503051</v>
      </c>
      <c r="U353" s="90">
        <f t="shared" si="467"/>
        <v>0.65097890814503045</v>
      </c>
      <c r="V353" s="90">
        <f t="shared" si="467"/>
        <v>0.6580889081450304</v>
      </c>
      <c r="W353" s="90">
        <f t="shared" si="467"/>
        <v>0.66519890814503035</v>
      </c>
      <c r="X353" s="90">
        <f t="shared" si="467"/>
        <v>0.6723089081450303</v>
      </c>
      <c r="Y353" s="90">
        <f t="shared" si="467"/>
        <v>0.67941890814503025</v>
      </c>
      <c r="Z353" s="90">
        <f t="shared" si="467"/>
        <v>0.6865289081450302</v>
      </c>
      <c r="AA353" s="90">
        <f t="shared" si="467"/>
        <v>0.69363890814503015</v>
      </c>
      <c r="AB353" s="90">
        <f t="shared" si="467"/>
        <v>0.7007489081450301</v>
      </c>
    </row>
    <row r="354" spans="1:28" x14ac:dyDescent="0.25">
      <c r="A354" s="87" t="s">
        <v>5</v>
      </c>
      <c r="B354" s="86" t="s">
        <v>26</v>
      </c>
      <c r="C354" s="90">
        <f t="shared" ref="C354:O354" si="468">+C234</f>
        <v>0.4773143868604896</v>
      </c>
      <c r="D354" s="90">
        <f t="shared" si="468"/>
        <v>0.4773143868604896</v>
      </c>
      <c r="E354" s="90">
        <f t="shared" si="468"/>
        <v>0.4773143868604896</v>
      </c>
      <c r="F354" s="90">
        <f t="shared" si="468"/>
        <v>0.4773143868604896</v>
      </c>
      <c r="G354" s="90">
        <f t="shared" si="468"/>
        <v>0.4773143868604896</v>
      </c>
      <c r="H354" s="90">
        <f t="shared" si="468"/>
        <v>0.50479221507705285</v>
      </c>
      <c r="I354" s="90">
        <f t="shared" si="468"/>
        <v>0.53227004329361616</v>
      </c>
      <c r="J354" s="90">
        <f t="shared" si="468"/>
        <v>0.38165800365588065</v>
      </c>
      <c r="K354" s="90">
        <f t="shared" si="468"/>
        <v>0.23104596401814509</v>
      </c>
      <c r="L354" s="90">
        <f t="shared" si="468"/>
        <v>0.25787877279300503</v>
      </c>
      <c r="M354" s="90">
        <f t="shared" si="468"/>
        <v>0.25787877279300503</v>
      </c>
      <c r="N354" s="90">
        <f t="shared" si="468"/>
        <v>0.15673972433391753</v>
      </c>
      <c r="O354" s="90">
        <f t="shared" si="468"/>
        <v>0.15673972433391753</v>
      </c>
      <c r="P354" s="90">
        <f t="shared" si="454"/>
        <v>0.15624972433391754</v>
      </c>
      <c r="Q354" s="90">
        <f t="shared" si="454"/>
        <v>0.15575972433391755</v>
      </c>
      <c r="R354" s="90">
        <f t="shared" si="454"/>
        <v>0.15526972433391756</v>
      </c>
      <c r="S354" s="90">
        <f t="shared" ref="S354:AB354" si="469">+R354+(0.711/100)</f>
        <v>0.16237972433391756</v>
      </c>
      <c r="T354" s="90">
        <f t="shared" si="469"/>
        <v>0.16948972433391757</v>
      </c>
      <c r="U354" s="90">
        <f t="shared" si="469"/>
        <v>0.17659972433391757</v>
      </c>
      <c r="V354" s="90">
        <f t="shared" si="469"/>
        <v>0.18370972433391758</v>
      </c>
      <c r="W354" s="90">
        <f t="shared" si="469"/>
        <v>0.19081972433391758</v>
      </c>
      <c r="X354" s="90">
        <f t="shared" si="469"/>
        <v>0.19792972433391759</v>
      </c>
      <c r="Y354" s="90">
        <f t="shared" si="469"/>
        <v>0.20503972433391759</v>
      </c>
      <c r="Z354" s="90">
        <f t="shared" si="469"/>
        <v>0.2121497243339176</v>
      </c>
      <c r="AA354" s="90">
        <f t="shared" si="469"/>
        <v>0.2192597243339176</v>
      </c>
      <c r="AB354" s="90">
        <f t="shared" si="469"/>
        <v>0.22636972433391761</v>
      </c>
    </row>
    <row r="355" spans="1:28" x14ac:dyDescent="0.25">
      <c r="A355" s="87" t="s">
        <v>5</v>
      </c>
      <c r="B355" s="86" t="s">
        <v>27</v>
      </c>
      <c r="C355" s="90">
        <f t="shared" ref="C355:O355" si="470">+C235</f>
        <v>1.9960470624020827</v>
      </c>
      <c r="D355" s="90">
        <f t="shared" si="470"/>
        <v>1.9960470624020827</v>
      </c>
      <c r="E355" s="90">
        <f t="shared" si="470"/>
        <v>1.9960470624020827</v>
      </c>
      <c r="F355" s="90">
        <f t="shared" si="470"/>
        <v>1.9960470624020827</v>
      </c>
      <c r="G355" s="90">
        <f t="shared" si="470"/>
        <v>1.9960470624020827</v>
      </c>
      <c r="H355" s="90">
        <f t="shared" si="470"/>
        <v>2.110954636534959</v>
      </c>
      <c r="I355" s="90">
        <f t="shared" si="470"/>
        <v>2.2258622106678358</v>
      </c>
      <c r="J355" s="90">
        <f t="shared" si="470"/>
        <v>1.5960284416531247</v>
      </c>
      <c r="K355" s="90">
        <f t="shared" si="470"/>
        <v>0.96619467263841352</v>
      </c>
      <c r="L355" s="90">
        <f t="shared" si="470"/>
        <v>1.0784048858761521</v>
      </c>
      <c r="M355" s="90">
        <f t="shared" si="470"/>
        <v>1.0784048858761521</v>
      </c>
      <c r="N355" s="90">
        <f t="shared" si="470"/>
        <v>0.65545869751852182</v>
      </c>
      <c r="O355" s="90">
        <f t="shared" si="470"/>
        <v>0.65545869751852182</v>
      </c>
      <c r="P355" s="90">
        <f t="shared" si="454"/>
        <v>0.65496869751852183</v>
      </c>
      <c r="Q355" s="90">
        <f t="shared" si="454"/>
        <v>0.65447869751852183</v>
      </c>
      <c r="R355" s="90">
        <f t="shared" si="454"/>
        <v>0.65398869751852184</v>
      </c>
      <c r="S355" s="90">
        <f t="shared" ref="S355:AB355" si="471">+R355+(0.711/100)</f>
        <v>0.66109869751852179</v>
      </c>
      <c r="T355" s="90">
        <f t="shared" si="471"/>
        <v>0.66820869751852174</v>
      </c>
      <c r="U355" s="90">
        <f t="shared" si="471"/>
        <v>0.67531869751852169</v>
      </c>
      <c r="V355" s="90">
        <f t="shared" si="471"/>
        <v>0.68242869751852164</v>
      </c>
      <c r="W355" s="90">
        <f t="shared" si="471"/>
        <v>0.68953869751852159</v>
      </c>
      <c r="X355" s="90">
        <f t="shared" si="471"/>
        <v>0.69664869751852154</v>
      </c>
      <c r="Y355" s="90">
        <f t="shared" si="471"/>
        <v>0.70375869751852149</v>
      </c>
      <c r="Z355" s="90">
        <f t="shared" si="471"/>
        <v>0.71086869751852144</v>
      </c>
      <c r="AA355" s="90">
        <f t="shared" si="471"/>
        <v>0.71797869751852139</v>
      </c>
      <c r="AB355" s="90">
        <f t="shared" si="471"/>
        <v>0.72508869751852134</v>
      </c>
    </row>
    <row r="357" spans="1:28" x14ac:dyDescent="0.25">
      <c r="A357" s="1" t="s">
        <v>105</v>
      </c>
      <c r="B357" s="65" t="s">
        <v>106</v>
      </c>
      <c r="C357" s="1">
        <v>2010</v>
      </c>
      <c r="D357" s="1">
        <v>2011</v>
      </c>
      <c r="E357" s="1">
        <v>2012</v>
      </c>
      <c r="F357" s="1">
        <v>2013</v>
      </c>
      <c r="G357" s="1">
        <v>2014</v>
      </c>
      <c r="H357" s="1">
        <v>2015</v>
      </c>
      <c r="I357" s="1">
        <v>2016</v>
      </c>
      <c r="J357" s="1">
        <v>2017</v>
      </c>
      <c r="K357" s="1">
        <v>2018</v>
      </c>
      <c r="L357" s="1">
        <v>2019</v>
      </c>
      <c r="M357" s="1">
        <v>2020</v>
      </c>
      <c r="N357" s="1">
        <v>2021</v>
      </c>
      <c r="O357" s="1">
        <v>2022</v>
      </c>
      <c r="P357" s="1">
        <v>2023</v>
      </c>
      <c r="Q357" s="1">
        <v>2024</v>
      </c>
      <c r="R357" s="1">
        <v>2025</v>
      </c>
      <c r="S357" s="1">
        <v>2026</v>
      </c>
      <c r="T357" s="1">
        <v>2027</v>
      </c>
      <c r="U357" s="1">
        <v>2028</v>
      </c>
      <c r="V357" s="1">
        <v>2029</v>
      </c>
      <c r="W357" s="1">
        <v>2030</v>
      </c>
      <c r="X357" s="1">
        <v>2031</v>
      </c>
      <c r="Y357" s="1">
        <v>2032</v>
      </c>
      <c r="Z357" s="1">
        <v>2033</v>
      </c>
      <c r="AA357" s="1">
        <v>2034</v>
      </c>
      <c r="AB357" s="1">
        <v>2035</v>
      </c>
    </row>
    <row r="358" spans="1:28" x14ac:dyDescent="0.25">
      <c r="A358" s="87" t="s">
        <v>6</v>
      </c>
      <c r="B358" s="86" t="s">
        <v>18</v>
      </c>
      <c r="C358" s="90">
        <f t="shared" ref="C358:O358" si="472">+C238</f>
        <v>0</v>
      </c>
      <c r="D358" s="90" t="e">
        <f t="shared" si="472"/>
        <v>#VALUE!</v>
      </c>
      <c r="E358" s="90">
        <f t="shared" si="472"/>
        <v>0</v>
      </c>
      <c r="F358" s="90" t="e">
        <f t="shared" si="472"/>
        <v>#VALUE!</v>
      </c>
      <c r="G358" s="90">
        <f t="shared" si="472"/>
        <v>0</v>
      </c>
      <c r="H358" s="90" t="e">
        <f t="shared" si="472"/>
        <v>#VALUE!</v>
      </c>
      <c r="I358" s="90">
        <f t="shared" si="472"/>
        <v>0</v>
      </c>
      <c r="J358" s="90" t="e">
        <f t="shared" si="472"/>
        <v>#VALUE!</v>
      </c>
      <c r="K358" s="90">
        <f t="shared" si="472"/>
        <v>0.43259573915164978</v>
      </c>
      <c r="L358" s="90">
        <f t="shared" si="472"/>
        <v>0.131036139243284</v>
      </c>
      <c r="M358" s="90">
        <f t="shared" si="472"/>
        <v>0.131036139243284</v>
      </c>
      <c r="N358" s="90">
        <f t="shared" si="472"/>
        <v>0</v>
      </c>
      <c r="O358" s="90">
        <f t="shared" si="472"/>
        <v>0</v>
      </c>
      <c r="P358" s="90">
        <f t="shared" ref="P358:R366" si="473">+O358-(0.049/100)</f>
        <v>-4.8999999999999998E-4</v>
      </c>
      <c r="Q358" s="90">
        <f t="shared" si="473"/>
        <v>-9.7999999999999997E-4</v>
      </c>
      <c r="R358" s="90">
        <f t="shared" si="473"/>
        <v>-1.47E-3</v>
      </c>
      <c r="S358" s="90">
        <f t="shared" ref="S358:AB358" si="474">+R358+(0.711/100)</f>
        <v>5.64E-3</v>
      </c>
      <c r="T358" s="90">
        <f t="shared" si="474"/>
        <v>1.2750000000000001E-2</v>
      </c>
      <c r="U358" s="90">
        <f t="shared" si="474"/>
        <v>1.9860000000000003E-2</v>
      </c>
      <c r="V358" s="90">
        <f t="shared" si="474"/>
        <v>2.6970000000000001E-2</v>
      </c>
      <c r="W358" s="90">
        <f t="shared" si="474"/>
        <v>3.4079999999999999E-2</v>
      </c>
      <c r="X358" s="90">
        <f t="shared" si="474"/>
        <v>4.1189999999999997E-2</v>
      </c>
      <c r="Y358" s="90">
        <f t="shared" si="474"/>
        <v>4.8299999999999996E-2</v>
      </c>
      <c r="Z358" s="90">
        <f t="shared" si="474"/>
        <v>5.5409999999999994E-2</v>
      </c>
      <c r="AA358" s="90">
        <f t="shared" si="474"/>
        <v>6.2519999999999992E-2</v>
      </c>
      <c r="AB358" s="90">
        <f t="shared" si="474"/>
        <v>6.9629999999999997E-2</v>
      </c>
    </row>
    <row r="359" spans="1:28" x14ac:dyDescent="0.25">
      <c r="A359" s="87" t="s">
        <v>6</v>
      </c>
      <c r="B359" s="86" t="s">
        <v>20</v>
      </c>
      <c r="C359" s="90">
        <f t="shared" ref="C359:O359" si="475">+C239</f>
        <v>0</v>
      </c>
      <c r="D359" s="90" t="e">
        <f t="shared" si="475"/>
        <v>#VALUE!</v>
      </c>
      <c r="E359" s="90">
        <f t="shared" si="475"/>
        <v>0</v>
      </c>
      <c r="F359" s="90" t="e">
        <f t="shared" si="475"/>
        <v>#VALUE!</v>
      </c>
      <c r="G359" s="90">
        <f t="shared" si="475"/>
        <v>0</v>
      </c>
      <c r="H359" s="90" t="e">
        <f t="shared" si="475"/>
        <v>#VALUE!</v>
      </c>
      <c r="I359" s="90">
        <f t="shared" si="475"/>
        <v>0</v>
      </c>
      <c r="J359" s="90" t="e">
        <f t="shared" si="475"/>
        <v>#VALUE!</v>
      </c>
      <c r="K359" s="90">
        <f t="shared" si="475"/>
        <v>4.224377800008134</v>
      </c>
      <c r="L359" s="90">
        <f t="shared" si="475"/>
        <v>1.2795922555863497</v>
      </c>
      <c r="M359" s="90">
        <f t="shared" si="475"/>
        <v>1.2795922555863497</v>
      </c>
      <c r="N359" s="90">
        <f t="shared" si="475"/>
        <v>0</v>
      </c>
      <c r="O359" s="90">
        <f t="shared" si="475"/>
        <v>0</v>
      </c>
      <c r="P359" s="90">
        <f t="shared" si="473"/>
        <v>-4.8999999999999998E-4</v>
      </c>
      <c r="Q359" s="90">
        <f t="shared" si="473"/>
        <v>-9.7999999999999997E-4</v>
      </c>
      <c r="R359" s="90">
        <f t="shared" si="473"/>
        <v>-1.47E-3</v>
      </c>
      <c r="S359" s="90">
        <f t="shared" ref="S359:AB359" si="476">+R359+(0.711/100)</f>
        <v>5.64E-3</v>
      </c>
      <c r="T359" s="90">
        <f t="shared" si="476"/>
        <v>1.2750000000000001E-2</v>
      </c>
      <c r="U359" s="90">
        <f t="shared" si="476"/>
        <v>1.9860000000000003E-2</v>
      </c>
      <c r="V359" s="90">
        <f t="shared" si="476"/>
        <v>2.6970000000000001E-2</v>
      </c>
      <c r="W359" s="90">
        <f t="shared" si="476"/>
        <v>3.4079999999999999E-2</v>
      </c>
      <c r="X359" s="90">
        <f t="shared" si="476"/>
        <v>4.1189999999999997E-2</v>
      </c>
      <c r="Y359" s="90">
        <f t="shared" si="476"/>
        <v>4.8299999999999996E-2</v>
      </c>
      <c r="Z359" s="90">
        <f t="shared" si="476"/>
        <v>5.5409999999999994E-2</v>
      </c>
      <c r="AA359" s="90">
        <f t="shared" si="476"/>
        <v>6.2519999999999992E-2</v>
      </c>
      <c r="AB359" s="90">
        <f t="shared" si="476"/>
        <v>6.9629999999999997E-2</v>
      </c>
    </row>
    <row r="360" spans="1:28" x14ac:dyDescent="0.25">
      <c r="A360" s="87" t="s">
        <v>6</v>
      </c>
      <c r="B360" s="86" t="s">
        <v>21</v>
      </c>
      <c r="C360" s="90">
        <f t="shared" ref="C360:O360" si="477">+C240</f>
        <v>0</v>
      </c>
      <c r="D360" s="90" t="e">
        <f t="shared" si="477"/>
        <v>#VALUE!</v>
      </c>
      <c r="E360" s="90">
        <f t="shared" si="477"/>
        <v>0</v>
      </c>
      <c r="F360" s="90" t="e">
        <f t="shared" si="477"/>
        <v>#VALUE!</v>
      </c>
      <c r="G360" s="90">
        <f t="shared" si="477"/>
        <v>0</v>
      </c>
      <c r="H360" s="90" t="e">
        <f t="shared" si="477"/>
        <v>#VALUE!</v>
      </c>
      <c r="I360" s="90">
        <f t="shared" si="477"/>
        <v>0</v>
      </c>
      <c r="J360" s="90" t="e">
        <f t="shared" si="477"/>
        <v>#VALUE!</v>
      </c>
      <c r="K360" s="90">
        <f t="shared" si="477"/>
        <v>40.39391371126753</v>
      </c>
      <c r="L360" s="90">
        <f t="shared" si="477"/>
        <v>12.235586305197812</v>
      </c>
      <c r="M360" s="90">
        <f t="shared" si="477"/>
        <v>12.235586305197812</v>
      </c>
      <c r="N360" s="90">
        <f t="shared" si="477"/>
        <v>0</v>
      </c>
      <c r="O360" s="90">
        <f t="shared" si="477"/>
        <v>0</v>
      </c>
      <c r="P360" s="90">
        <f t="shared" si="473"/>
        <v>-4.8999999999999998E-4</v>
      </c>
      <c r="Q360" s="90">
        <f t="shared" si="473"/>
        <v>-9.7999999999999997E-4</v>
      </c>
      <c r="R360" s="90">
        <f t="shared" si="473"/>
        <v>-1.47E-3</v>
      </c>
      <c r="S360" s="90">
        <f t="shared" ref="S360:AB360" si="478">+R360+(0.711/100)</f>
        <v>5.64E-3</v>
      </c>
      <c r="T360" s="90">
        <f t="shared" si="478"/>
        <v>1.2750000000000001E-2</v>
      </c>
      <c r="U360" s="90">
        <f t="shared" si="478"/>
        <v>1.9860000000000003E-2</v>
      </c>
      <c r="V360" s="90">
        <f t="shared" si="478"/>
        <v>2.6970000000000001E-2</v>
      </c>
      <c r="W360" s="90">
        <f t="shared" si="478"/>
        <v>3.4079999999999999E-2</v>
      </c>
      <c r="X360" s="90">
        <f t="shared" si="478"/>
        <v>4.1189999999999997E-2</v>
      </c>
      <c r="Y360" s="90">
        <f t="shared" si="478"/>
        <v>4.8299999999999996E-2</v>
      </c>
      <c r="Z360" s="90">
        <f t="shared" si="478"/>
        <v>5.5409999999999994E-2</v>
      </c>
      <c r="AA360" s="90">
        <f t="shared" si="478"/>
        <v>6.2519999999999992E-2</v>
      </c>
      <c r="AB360" s="90">
        <f t="shared" si="478"/>
        <v>6.9629999999999997E-2</v>
      </c>
    </row>
    <row r="361" spans="1:28" x14ac:dyDescent="0.25">
      <c r="A361" s="87" t="s">
        <v>6</v>
      </c>
      <c r="B361" s="86" t="s">
        <v>22</v>
      </c>
      <c r="C361" s="90">
        <f t="shared" ref="C361:O361" si="479">+C241</f>
        <v>0</v>
      </c>
      <c r="D361" s="90" t="e">
        <f t="shared" si="479"/>
        <v>#VALUE!</v>
      </c>
      <c r="E361" s="90">
        <f t="shared" si="479"/>
        <v>0</v>
      </c>
      <c r="F361" s="90" t="e">
        <f t="shared" si="479"/>
        <v>#VALUE!</v>
      </c>
      <c r="G361" s="90">
        <f t="shared" si="479"/>
        <v>0</v>
      </c>
      <c r="H361" s="90" t="e">
        <f t="shared" si="479"/>
        <v>#VALUE!</v>
      </c>
      <c r="I361" s="90">
        <f t="shared" si="479"/>
        <v>0</v>
      </c>
      <c r="J361" s="90" t="e">
        <f t="shared" si="479"/>
        <v>#VALUE!</v>
      </c>
      <c r="K361" s="90">
        <f t="shared" si="479"/>
        <v>16.419865432633753</v>
      </c>
      <c r="L361" s="90">
        <f t="shared" si="479"/>
        <v>4.973686928599923</v>
      </c>
      <c r="M361" s="90">
        <f t="shared" si="479"/>
        <v>4.973686928599923</v>
      </c>
      <c r="N361" s="90">
        <f t="shared" si="479"/>
        <v>0</v>
      </c>
      <c r="O361" s="90">
        <f t="shared" si="479"/>
        <v>0</v>
      </c>
      <c r="P361" s="90">
        <f t="shared" si="473"/>
        <v>-4.8999999999999998E-4</v>
      </c>
      <c r="Q361" s="90">
        <f t="shared" si="473"/>
        <v>-9.7999999999999997E-4</v>
      </c>
      <c r="R361" s="90">
        <f t="shared" si="473"/>
        <v>-1.47E-3</v>
      </c>
      <c r="S361" s="90">
        <f t="shared" ref="S361:AB361" si="480">+R361+(0.711/100)</f>
        <v>5.64E-3</v>
      </c>
      <c r="T361" s="90">
        <f t="shared" si="480"/>
        <v>1.2750000000000001E-2</v>
      </c>
      <c r="U361" s="90">
        <f t="shared" si="480"/>
        <v>1.9860000000000003E-2</v>
      </c>
      <c r="V361" s="90">
        <f t="shared" si="480"/>
        <v>2.6970000000000001E-2</v>
      </c>
      <c r="W361" s="90">
        <f t="shared" si="480"/>
        <v>3.4079999999999999E-2</v>
      </c>
      <c r="X361" s="90">
        <f t="shared" si="480"/>
        <v>4.1189999999999997E-2</v>
      </c>
      <c r="Y361" s="90">
        <f t="shared" si="480"/>
        <v>4.8299999999999996E-2</v>
      </c>
      <c r="Z361" s="90">
        <f t="shared" si="480"/>
        <v>5.5409999999999994E-2</v>
      </c>
      <c r="AA361" s="90">
        <f t="shared" si="480"/>
        <v>6.2519999999999992E-2</v>
      </c>
      <c r="AB361" s="90">
        <f t="shared" si="480"/>
        <v>6.9629999999999997E-2</v>
      </c>
    </row>
    <row r="362" spans="1:28" x14ac:dyDescent="0.25">
      <c r="A362" s="87" t="s">
        <v>6</v>
      </c>
      <c r="B362" s="86" t="s">
        <v>23</v>
      </c>
      <c r="C362" s="90">
        <f t="shared" ref="C362:O362" si="481">+C242</f>
        <v>0</v>
      </c>
      <c r="D362" s="90" t="e">
        <f t="shared" si="481"/>
        <v>#VALUE!</v>
      </c>
      <c r="E362" s="90">
        <f t="shared" si="481"/>
        <v>0</v>
      </c>
      <c r="F362" s="90" t="e">
        <f t="shared" si="481"/>
        <v>#VALUE!</v>
      </c>
      <c r="G362" s="90">
        <f t="shared" si="481"/>
        <v>0</v>
      </c>
      <c r="H362" s="90" t="e">
        <f t="shared" si="481"/>
        <v>#VALUE!</v>
      </c>
      <c r="I362" s="90">
        <f t="shared" si="481"/>
        <v>0</v>
      </c>
      <c r="J362" s="90" t="e">
        <f t="shared" si="481"/>
        <v>#VALUE!</v>
      </c>
      <c r="K362" s="90">
        <f t="shared" si="481"/>
        <v>11.307936144501475</v>
      </c>
      <c r="L362" s="90">
        <f t="shared" si="481"/>
        <v>3.4252493981814767</v>
      </c>
      <c r="M362" s="90">
        <f t="shared" si="481"/>
        <v>3.4252493981814767</v>
      </c>
      <c r="N362" s="90">
        <f t="shared" si="481"/>
        <v>0</v>
      </c>
      <c r="O362" s="90">
        <f t="shared" si="481"/>
        <v>0</v>
      </c>
      <c r="P362" s="90">
        <f t="shared" si="473"/>
        <v>-4.8999999999999998E-4</v>
      </c>
      <c r="Q362" s="90">
        <f t="shared" si="473"/>
        <v>-9.7999999999999997E-4</v>
      </c>
      <c r="R362" s="90">
        <f t="shared" si="473"/>
        <v>-1.47E-3</v>
      </c>
      <c r="S362" s="90">
        <f t="shared" ref="S362:AB362" si="482">+R362+(0.711/100)</f>
        <v>5.64E-3</v>
      </c>
      <c r="T362" s="90">
        <f t="shared" si="482"/>
        <v>1.2750000000000001E-2</v>
      </c>
      <c r="U362" s="90">
        <f t="shared" si="482"/>
        <v>1.9860000000000003E-2</v>
      </c>
      <c r="V362" s="90">
        <f t="shared" si="482"/>
        <v>2.6970000000000001E-2</v>
      </c>
      <c r="W362" s="90">
        <f t="shared" si="482"/>
        <v>3.4079999999999999E-2</v>
      </c>
      <c r="X362" s="90">
        <f t="shared" si="482"/>
        <v>4.1189999999999997E-2</v>
      </c>
      <c r="Y362" s="90">
        <f t="shared" si="482"/>
        <v>4.8299999999999996E-2</v>
      </c>
      <c r="Z362" s="90">
        <f t="shared" si="482"/>
        <v>5.5409999999999994E-2</v>
      </c>
      <c r="AA362" s="90">
        <f t="shared" si="482"/>
        <v>6.2519999999999992E-2</v>
      </c>
      <c r="AB362" s="90">
        <f t="shared" si="482"/>
        <v>6.9629999999999997E-2</v>
      </c>
    </row>
    <row r="363" spans="1:28" x14ac:dyDescent="0.25">
      <c r="A363" s="87" t="s">
        <v>6</v>
      </c>
      <c r="B363" s="86" t="s">
        <v>24</v>
      </c>
      <c r="C363" s="90">
        <f t="shared" ref="C363:O363" si="483">+C243</f>
        <v>0</v>
      </c>
      <c r="D363" s="90" t="e">
        <f t="shared" si="483"/>
        <v>#VALUE!</v>
      </c>
      <c r="E363" s="90">
        <f t="shared" si="483"/>
        <v>0</v>
      </c>
      <c r="F363" s="90" t="e">
        <f t="shared" si="483"/>
        <v>#VALUE!</v>
      </c>
      <c r="G363" s="90">
        <f t="shared" si="483"/>
        <v>0</v>
      </c>
      <c r="H363" s="90" t="e">
        <f t="shared" si="483"/>
        <v>#VALUE!</v>
      </c>
      <c r="I363" s="90">
        <f t="shared" si="483"/>
        <v>0</v>
      </c>
      <c r="J363" s="90" t="e">
        <f t="shared" si="483"/>
        <v>#VALUE!</v>
      </c>
      <c r="K363" s="90">
        <f t="shared" si="483"/>
        <v>82.745790549289026</v>
      </c>
      <c r="L363" s="90">
        <f t="shared" si="483"/>
        <v>25.064252721202283</v>
      </c>
      <c r="M363" s="90">
        <f t="shared" si="483"/>
        <v>25.064252721202283</v>
      </c>
      <c r="N363" s="90">
        <f t="shared" si="483"/>
        <v>0</v>
      </c>
      <c r="O363" s="90">
        <f t="shared" si="483"/>
        <v>0</v>
      </c>
      <c r="P363" s="90">
        <f t="shared" si="473"/>
        <v>-4.8999999999999998E-4</v>
      </c>
      <c r="Q363" s="90">
        <f t="shared" si="473"/>
        <v>-9.7999999999999997E-4</v>
      </c>
      <c r="R363" s="90">
        <f t="shared" si="473"/>
        <v>-1.47E-3</v>
      </c>
      <c r="S363" s="90">
        <f t="shared" ref="S363:AB363" si="484">+R363+(0.711/100)</f>
        <v>5.64E-3</v>
      </c>
      <c r="T363" s="90">
        <f t="shared" si="484"/>
        <v>1.2750000000000001E-2</v>
      </c>
      <c r="U363" s="90">
        <f t="shared" si="484"/>
        <v>1.9860000000000003E-2</v>
      </c>
      <c r="V363" s="90">
        <f t="shared" si="484"/>
        <v>2.6970000000000001E-2</v>
      </c>
      <c r="W363" s="90">
        <f t="shared" si="484"/>
        <v>3.4079999999999999E-2</v>
      </c>
      <c r="X363" s="90">
        <f t="shared" si="484"/>
        <v>4.1189999999999997E-2</v>
      </c>
      <c r="Y363" s="90">
        <f t="shared" si="484"/>
        <v>4.8299999999999996E-2</v>
      </c>
      <c r="Z363" s="90">
        <f t="shared" si="484"/>
        <v>5.5409999999999994E-2</v>
      </c>
      <c r="AA363" s="90">
        <f t="shared" si="484"/>
        <v>6.2519999999999992E-2</v>
      </c>
      <c r="AB363" s="90">
        <f t="shared" si="484"/>
        <v>6.9629999999999997E-2</v>
      </c>
    </row>
    <row r="364" spans="1:28" x14ac:dyDescent="0.25">
      <c r="A364" s="87" t="s">
        <v>6</v>
      </c>
      <c r="B364" s="86" t="s">
        <v>25</v>
      </c>
      <c r="C364" s="90">
        <f t="shared" ref="C364:O364" si="485">+C244</f>
        <v>0</v>
      </c>
      <c r="D364" s="90" t="e">
        <f t="shared" si="485"/>
        <v>#VALUE!</v>
      </c>
      <c r="E364" s="90">
        <f t="shared" si="485"/>
        <v>0</v>
      </c>
      <c r="F364" s="90" t="e">
        <f t="shared" si="485"/>
        <v>#VALUE!</v>
      </c>
      <c r="G364" s="90">
        <f t="shared" si="485"/>
        <v>0</v>
      </c>
      <c r="H364" s="90" t="e">
        <f t="shared" si="485"/>
        <v>#VALUE!</v>
      </c>
      <c r="I364" s="90">
        <f t="shared" si="485"/>
        <v>0</v>
      </c>
      <c r="J364" s="90" t="e">
        <f t="shared" si="485"/>
        <v>#VALUE!</v>
      </c>
      <c r="K364" s="90">
        <f t="shared" si="485"/>
        <v>9.1675865101659628</v>
      </c>
      <c r="L364" s="90">
        <f t="shared" si="485"/>
        <v>2.7769231958381342</v>
      </c>
      <c r="M364" s="90">
        <f t="shared" si="485"/>
        <v>2.7769231958381342</v>
      </c>
      <c r="N364" s="90">
        <f t="shared" si="485"/>
        <v>0</v>
      </c>
      <c r="O364" s="90">
        <f t="shared" si="485"/>
        <v>0</v>
      </c>
      <c r="P364" s="90">
        <f t="shared" si="473"/>
        <v>-4.8999999999999998E-4</v>
      </c>
      <c r="Q364" s="90">
        <f t="shared" si="473"/>
        <v>-9.7999999999999997E-4</v>
      </c>
      <c r="R364" s="90">
        <f t="shared" si="473"/>
        <v>-1.47E-3</v>
      </c>
      <c r="S364" s="90">
        <f t="shared" ref="S364:AB364" si="486">+R364+(0.711/100)</f>
        <v>5.64E-3</v>
      </c>
      <c r="T364" s="90">
        <f t="shared" si="486"/>
        <v>1.2750000000000001E-2</v>
      </c>
      <c r="U364" s="90">
        <f t="shared" si="486"/>
        <v>1.9860000000000003E-2</v>
      </c>
      <c r="V364" s="90">
        <f t="shared" si="486"/>
        <v>2.6970000000000001E-2</v>
      </c>
      <c r="W364" s="90">
        <f t="shared" si="486"/>
        <v>3.4079999999999999E-2</v>
      </c>
      <c r="X364" s="90">
        <f t="shared" si="486"/>
        <v>4.1189999999999997E-2</v>
      </c>
      <c r="Y364" s="90">
        <f t="shared" si="486"/>
        <v>4.8299999999999996E-2</v>
      </c>
      <c r="Z364" s="90">
        <f t="shared" si="486"/>
        <v>5.5409999999999994E-2</v>
      </c>
      <c r="AA364" s="90">
        <f t="shared" si="486"/>
        <v>6.2519999999999992E-2</v>
      </c>
      <c r="AB364" s="90">
        <f t="shared" si="486"/>
        <v>6.9629999999999997E-2</v>
      </c>
    </row>
    <row r="365" spans="1:28" x14ac:dyDescent="0.25">
      <c r="A365" s="87" t="s">
        <v>6</v>
      </c>
      <c r="B365" s="86" t="s">
        <v>26</v>
      </c>
      <c r="C365" s="90">
        <f t="shared" ref="C365:O365" si="487">+C245</f>
        <v>0</v>
      </c>
      <c r="D365" s="90" t="e">
        <f t="shared" si="487"/>
        <v>#VALUE!</v>
      </c>
      <c r="E365" s="90">
        <f t="shared" si="487"/>
        <v>0</v>
      </c>
      <c r="F365" s="90" t="e">
        <f t="shared" si="487"/>
        <v>#VALUE!</v>
      </c>
      <c r="G365" s="90">
        <f t="shared" si="487"/>
        <v>0</v>
      </c>
      <c r="H365" s="90" t="e">
        <f t="shared" si="487"/>
        <v>#VALUE!</v>
      </c>
      <c r="I365" s="90">
        <f t="shared" si="487"/>
        <v>0</v>
      </c>
      <c r="J365" s="90" t="e">
        <f t="shared" si="487"/>
        <v>#VALUE!</v>
      </c>
      <c r="K365" s="90">
        <f t="shared" si="487"/>
        <v>2.2767896253245357</v>
      </c>
      <c r="L365" s="90">
        <f t="shared" si="487"/>
        <v>0.68965478706923711</v>
      </c>
      <c r="M365" s="90">
        <f t="shared" si="487"/>
        <v>0.68965478706923711</v>
      </c>
      <c r="N365" s="90">
        <f t="shared" si="487"/>
        <v>0</v>
      </c>
      <c r="O365" s="90">
        <f t="shared" si="487"/>
        <v>0</v>
      </c>
      <c r="P365" s="90">
        <f t="shared" si="473"/>
        <v>-4.8999999999999998E-4</v>
      </c>
      <c r="Q365" s="90">
        <f t="shared" si="473"/>
        <v>-9.7999999999999997E-4</v>
      </c>
      <c r="R365" s="90">
        <f t="shared" si="473"/>
        <v>-1.47E-3</v>
      </c>
      <c r="S365" s="90">
        <f t="shared" ref="S365:AB365" si="488">+R365+(0.711/100)</f>
        <v>5.64E-3</v>
      </c>
      <c r="T365" s="90">
        <f t="shared" si="488"/>
        <v>1.2750000000000001E-2</v>
      </c>
      <c r="U365" s="90">
        <f t="shared" si="488"/>
        <v>1.9860000000000003E-2</v>
      </c>
      <c r="V365" s="90">
        <f t="shared" si="488"/>
        <v>2.6970000000000001E-2</v>
      </c>
      <c r="W365" s="90">
        <f t="shared" si="488"/>
        <v>3.4079999999999999E-2</v>
      </c>
      <c r="X365" s="90">
        <f t="shared" si="488"/>
        <v>4.1189999999999997E-2</v>
      </c>
      <c r="Y365" s="90">
        <f t="shared" si="488"/>
        <v>4.8299999999999996E-2</v>
      </c>
      <c r="Z365" s="90">
        <f t="shared" si="488"/>
        <v>5.5409999999999994E-2</v>
      </c>
      <c r="AA365" s="90">
        <f t="shared" si="488"/>
        <v>6.2519999999999992E-2</v>
      </c>
      <c r="AB365" s="90">
        <f t="shared" si="488"/>
        <v>6.9629999999999997E-2</v>
      </c>
    </row>
    <row r="366" spans="1:28" x14ac:dyDescent="0.25">
      <c r="A366" s="87" t="s">
        <v>6</v>
      </c>
      <c r="B366" s="86" t="s">
        <v>27</v>
      </c>
      <c r="C366" s="90">
        <f t="shared" ref="C366:O366" si="489">+C246</f>
        <v>0</v>
      </c>
      <c r="D366" s="90" t="e">
        <f t="shared" si="489"/>
        <v>#VALUE!</v>
      </c>
      <c r="E366" s="90">
        <f t="shared" si="489"/>
        <v>0</v>
      </c>
      <c r="F366" s="90" t="e">
        <f t="shared" si="489"/>
        <v>#VALUE!</v>
      </c>
      <c r="G366" s="90">
        <f t="shared" si="489"/>
        <v>0</v>
      </c>
      <c r="H366" s="90" t="e">
        <f t="shared" si="489"/>
        <v>#VALUE!</v>
      </c>
      <c r="I366" s="90">
        <f t="shared" si="489"/>
        <v>0</v>
      </c>
      <c r="J366" s="90" t="e">
        <f t="shared" si="489"/>
        <v>#VALUE!</v>
      </c>
      <c r="K366" s="90">
        <f t="shared" si="489"/>
        <v>9.521144487657935</v>
      </c>
      <c r="L366" s="90">
        <f t="shared" si="489"/>
        <v>2.8840182690814955</v>
      </c>
      <c r="M366" s="90">
        <f t="shared" si="489"/>
        <v>2.8840182690814955</v>
      </c>
      <c r="N366" s="90">
        <f t="shared" si="489"/>
        <v>0</v>
      </c>
      <c r="O366" s="90">
        <f t="shared" si="489"/>
        <v>0</v>
      </c>
      <c r="P366" s="90">
        <f t="shared" si="473"/>
        <v>-4.8999999999999998E-4</v>
      </c>
      <c r="Q366" s="90">
        <f t="shared" si="473"/>
        <v>-9.7999999999999997E-4</v>
      </c>
      <c r="R366" s="90">
        <f t="shared" si="473"/>
        <v>-1.47E-3</v>
      </c>
      <c r="S366" s="90">
        <f t="shared" ref="S366:AB366" si="490">+R366+(0.711/100)</f>
        <v>5.64E-3</v>
      </c>
      <c r="T366" s="90">
        <f t="shared" si="490"/>
        <v>1.2750000000000001E-2</v>
      </c>
      <c r="U366" s="90">
        <f t="shared" si="490"/>
        <v>1.9860000000000003E-2</v>
      </c>
      <c r="V366" s="90">
        <f t="shared" si="490"/>
        <v>2.6970000000000001E-2</v>
      </c>
      <c r="W366" s="90">
        <f t="shared" si="490"/>
        <v>3.4079999999999999E-2</v>
      </c>
      <c r="X366" s="90">
        <f t="shared" si="490"/>
        <v>4.1189999999999997E-2</v>
      </c>
      <c r="Y366" s="90">
        <f t="shared" si="490"/>
        <v>4.8299999999999996E-2</v>
      </c>
      <c r="Z366" s="90">
        <f t="shared" si="490"/>
        <v>5.5409999999999994E-2</v>
      </c>
      <c r="AA366" s="90">
        <f t="shared" si="490"/>
        <v>6.2519999999999992E-2</v>
      </c>
      <c r="AB366" s="90">
        <f t="shared" si="490"/>
        <v>6.9629999999999997E-2</v>
      </c>
    </row>
    <row r="368" spans="1:28" x14ac:dyDescent="0.25">
      <c r="A368" s="1" t="s">
        <v>105</v>
      </c>
      <c r="B368" s="65" t="s">
        <v>106</v>
      </c>
      <c r="C368" s="1">
        <v>2010</v>
      </c>
      <c r="D368" s="1">
        <v>2011</v>
      </c>
      <c r="E368" s="1">
        <v>2012</v>
      </c>
      <c r="F368" s="1">
        <v>2013</v>
      </c>
      <c r="G368" s="1">
        <v>2014</v>
      </c>
      <c r="H368" s="1">
        <v>2015</v>
      </c>
      <c r="I368" s="1">
        <v>2016</v>
      </c>
      <c r="J368" s="1">
        <v>2017</v>
      </c>
      <c r="K368" s="1">
        <v>2018</v>
      </c>
      <c r="L368" s="1">
        <v>2019</v>
      </c>
      <c r="M368" s="1">
        <v>2020</v>
      </c>
      <c r="N368" s="1">
        <v>2021</v>
      </c>
      <c r="O368" s="1">
        <v>2022</v>
      </c>
      <c r="P368" s="1">
        <v>2023</v>
      </c>
      <c r="Q368" s="1">
        <v>2024</v>
      </c>
      <c r="R368" s="1">
        <v>2025</v>
      </c>
      <c r="S368" s="1">
        <v>2026</v>
      </c>
      <c r="T368" s="1">
        <v>2027</v>
      </c>
      <c r="U368" s="1">
        <v>2028</v>
      </c>
      <c r="V368" s="1">
        <v>2029</v>
      </c>
      <c r="W368" s="1">
        <v>2030</v>
      </c>
      <c r="X368" s="1">
        <v>2031</v>
      </c>
      <c r="Y368" s="1">
        <v>2032</v>
      </c>
      <c r="Z368" s="1">
        <v>2033</v>
      </c>
      <c r="AA368" s="1">
        <v>2034</v>
      </c>
      <c r="AB368" s="1">
        <v>2035</v>
      </c>
    </row>
    <row r="369" spans="1:28" x14ac:dyDescent="0.25">
      <c r="A369" s="87" t="s">
        <v>113</v>
      </c>
      <c r="B369" s="86" t="s">
        <v>18</v>
      </c>
      <c r="C369" s="90">
        <f t="shared" ref="C369:O369" si="491">+C249</f>
        <v>1.9608849868055968E-2</v>
      </c>
      <c r="D369" s="90">
        <f t="shared" si="491"/>
        <v>1.9608849868055968E-2</v>
      </c>
      <c r="E369" s="90">
        <f t="shared" si="491"/>
        <v>1.9608849868055968E-2</v>
      </c>
      <c r="F369" s="90">
        <f t="shared" si="491"/>
        <v>1.9608849868055968E-2</v>
      </c>
      <c r="G369" s="90">
        <f t="shared" si="491"/>
        <v>1.9608849868055968E-2</v>
      </c>
      <c r="H369" s="90">
        <f t="shared" si="491"/>
        <v>3.8212746180374069E-2</v>
      </c>
      <c r="I369" s="90">
        <f t="shared" si="491"/>
        <v>5.6816642492692165E-2</v>
      </c>
      <c r="J369" s="90">
        <f t="shared" si="491"/>
        <v>0.25447384916269633</v>
      </c>
      <c r="K369" s="90">
        <f t="shared" si="491"/>
        <v>0.45213105583270052</v>
      </c>
      <c r="L369" s="90">
        <f t="shared" si="491"/>
        <v>1.808916400328163E-2</v>
      </c>
      <c r="M369" s="90">
        <f t="shared" si="491"/>
        <v>1.808916400328163E-2</v>
      </c>
      <c r="N369" s="90">
        <f t="shared" si="491"/>
        <v>9.3644513651134784E-2</v>
      </c>
      <c r="O369" s="90">
        <f t="shared" si="491"/>
        <v>9.3644513651134784E-2</v>
      </c>
      <c r="P369" s="90">
        <f t="shared" ref="P369:R377" si="492">+O369-(0.049/100)</f>
        <v>9.3154513651134779E-2</v>
      </c>
      <c r="Q369" s="90">
        <f t="shared" si="492"/>
        <v>9.2664513651134775E-2</v>
      </c>
      <c r="R369" s="90">
        <f t="shared" si="492"/>
        <v>9.2174513651134771E-2</v>
      </c>
      <c r="S369" s="90">
        <f t="shared" ref="S369:AB369" si="493">+R369+(0.711/100)</f>
        <v>9.9284513651134776E-2</v>
      </c>
      <c r="T369" s="90">
        <f t="shared" si="493"/>
        <v>0.10639451365113478</v>
      </c>
      <c r="U369" s="90">
        <f t="shared" si="493"/>
        <v>0.11350451365113479</v>
      </c>
      <c r="V369" s="90">
        <f t="shared" si="493"/>
        <v>0.12061451365113479</v>
      </c>
      <c r="W369" s="90">
        <f t="shared" si="493"/>
        <v>0.1277245136511348</v>
      </c>
      <c r="X369" s="90">
        <f t="shared" si="493"/>
        <v>0.1348345136511348</v>
      </c>
      <c r="Y369" s="90">
        <f t="shared" si="493"/>
        <v>0.14194451365113481</v>
      </c>
      <c r="Z369" s="90">
        <f t="shared" si="493"/>
        <v>0.14905451365113481</v>
      </c>
      <c r="AA369" s="90">
        <f t="shared" si="493"/>
        <v>0.15616451365113482</v>
      </c>
      <c r="AB369" s="90">
        <f t="shared" si="493"/>
        <v>0.16327451365113482</v>
      </c>
    </row>
    <row r="370" spans="1:28" x14ac:dyDescent="0.25">
      <c r="A370" s="87" t="s">
        <v>113</v>
      </c>
      <c r="B370" s="86" t="s">
        <v>20</v>
      </c>
      <c r="C370" s="90">
        <f t="shared" ref="C370:O370" si="494">+C250</f>
        <v>0.19148406368669654</v>
      </c>
      <c r="D370" s="90">
        <f t="shared" si="494"/>
        <v>0.19148406368669654</v>
      </c>
      <c r="E370" s="90">
        <f t="shared" si="494"/>
        <v>0.19148406368669654</v>
      </c>
      <c r="F370" s="90">
        <f t="shared" si="494"/>
        <v>0.19148406368669654</v>
      </c>
      <c r="G370" s="90">
        <f t="shared" si="494"/>
        <v>0.19148406368669654</v>
      </c>
      <c r="H370" s="90">
        <f t="shared" si="494"/>
        <v>0.37315456910944989</v>
      </c>
      <c r="I370" s="90">
        <f t="shared" si="494"/>
        <v>0.5548250745322032</v>
      </c>
      <c r="J370" s="90">
        <f t="shared" si="494"/>
        <v>2.4849844364941047</v>
      </c>
      <c r="K370" s="90">
        <f t="shared" si="494"/>
        <v>4.4151437984560058</v>
      </c>
      <c r="L370" s="90">
        <f t="shared" si="494"/>
        <v>0.17664404875097756</v>
      </c>
      <c r="M370" s="90">
        <f t="shared" si="494"/>
        <v>0.17664404875097756</v>
      </c>
      <c r="N370" s="90">
        <f t="shared" si="494"/>
        <v>0.91445608164378012</v>
      </c>
      <c r="O370" s="90">
        <f t="shared" si="494"/>
        <v>0.91445608164378012</v>
      </c>
      <c r="P370" s="90">
        <f t="shared" si="492"/>
        <v>0.91396608164378013</v>
      </c>
      <c r="Q370" s="90">
        <f t="shared" si="492"/>
        <v>0.91347608164378014</v>
      </c>
      <c r="R370" s="90">
        <f t="shared" si="492"/>
        <v>0.91298608164378015</v>
      </c>
      <c r="S370" s="90">
        <f t="shared" ref="S370:AB370" si="495">+R370+(0.711/100)</f>
        <v>0.92009608164378009</v>
      </c>
      <c r="T370" s="90">
        <f t="shared" si="495"/>
        <v>0.92720608164378004</v>
      </c>
      <c r="U370" s="90">
        <f t="shared" si="495"/>
        <v>0.93431608164377999</v>
      </c>
      <c r="V370" s="90">
        <f t="shared" si="495"/>
        <v>0.94142608164377994</v>
      </c>
      <c r="W370" s="90">
        <f t="shared" si="495"/>
        <v>0.94853608164377989</v>
      </c>
      <c r="X370" s="90">
        <f t="shared" si="495"/>
        <v>0.95564608164377984</v>
      </c>
      <c r="Y370" s="90">
        <f t="shared" si="495"/>
        <v>0.96275608164377979</v>
      </c>
      <c r="Z370" s="90">
        <f t="shared" si="495"/>
        <v>0.96986608164377974</v>
      </c>
      <c r="AA370" s="90">
        <f t="shared" si="495"/>
        <v>0.97697608164377969</v>
      </c>
      <c r="AB370" s="90">
        <f t="shared" si="495"/>
        <v>0.98408608164377964</v>
      </c>
    </row>
    <row r="371" spans="1:28" x14ac:dyDescent="0.25">
      <c r="A371" s="87" t="s">
        <v>113</v>
      </c>
      <c r="B371" s="86" t="s">
        <v>21</v>
      </c>
      <c r="C371" s="90">
        <f t="shared" ref="C371:O371" si="496">+C251</f>
        <v>1.8309893460827253</v>
      </c>
      <c r="D371" s="90">
        <f t="shared" si="496"/>
        <v>1.8309893460827253</v>
      </c>
      <c r="E371" s="90">
        <f t="shared" si="496"/>
        <v>1.8309893460827253</v>
      </c>
      <c r="F371" s="90">
        <f t="shared" si="496"/>
        <v>1.8309893460827253</v>
      </c>
      <c r="G371" s="90">
        <f t="shared" si="496"/>
        <v>1.8309893460827253</v>
      </c>
      <c r="H371" s="90">
        <f t="shared" si="496"/>
        <v>3.5681404881787109</v>
      </c>
      <c r="I371" s="90">
        <f t="shared" si="496"/>
        <v>5.3052916302746969</v>
      </c>
      <c r="J371" s="90">
        <f t="shared" si="496"/>
        <v>23.761664238788569</v>
      </c>
      <c r="K371" s="90">
        <f t="shared" si="496"/>
        <v>42.218036847302443</v>
      </c>
      <c r="L371" s="90">
        <f t="shared" si="496"/>
        <v>1.6890876717613141</v>
      </c>
      <c r="M371" s="90">
        <f t="shared" si="496"/>
        <v>1.6890876717613141</v>
      </c>
      <c r="N371" s="90">
        <f t="shared" si="496"/>
        <v>8.7441184958863154</v>
      </c>
      <c r="O371" s="90">
        <f t="shared" si="496"/>
        <v>8.7441184958863154</v>
      </c>
      <c r="P371" s="90">
        <f t="shared" si="492"/>
        <v>8.7436284958863162</v>
      </c>
      <c r="Q371" s="90">
        <f t="shared" si="492"/>
        <v>8.743138495886317</v>
      </c>
      <c r="R371" s="90">
        <f t="shared" si="492"/>
        <v>8.7426484958863178</v>
      </c>
      <c r="S371" s="90">
        <f t="shared" ref="S371:AB371" si="497">+R371+(0.711/100)</f>
        <v>8.7497584958863186</v>
      </c>
      <c r="T371" s="90">
        <f t="shared" si="497"/>
        <v>8.7568684958863194</v>
      </c>
      <c r="U371" s="90">
        <f t="shared" si="497"/>
        <v>8.7639784958863203</v>
      </c>
      <c r="V371" s="90">
        <f t="shared" si="497"/>
        <v>8.7710884958863211</v>
      </c>
      <c r="W371" s="90">
        <f t="shared" si="497"/>
        <v>8.778198495886322</v>
      </c>
      <c r="X371" s="90">
        <f t="shared" si="497"/>
        <v>8.7853084958863228</v>
      </c>
      <c r="Y371" s="90">
        <f t="shared" si="497"/>
        <v>8.7924184958863236</v>
      </c>
      <c r="Z371" s="90">
        <f t="shared" si="497"/>
        <v>8.7995284958863245</v>
      </c>
      <c r="AA371" s="90">
        <f t="shared" si="497"/>
        <v>8.8066384958863253</v>
      </c>
      <c r="AB371" s="90">
        <f t="shared" si="497"/>
        <v>8.8137484958863261</v>
      </c>
    </row>
    <row r="372" spans="1:28" x14ac:dyDescent="0.25">
      <c r="A372" s="87" t="s">
        <v>113</v>
      </c>
      <c r="B372" s="86" t="s">
        <v>22</v>
      </c>
      <c r="C372" s="90">
        <f t="shared" ref="C372:O372" si="498">+C252</f>
        <v>0.74428536155629221</v>
      </c>
      <c r="D372" s="90">
        <f t="shared" si="498"/>
        <v>0.74428536155629221</v>
      </c>
      <c r="E372" s="90">
        <f t="shared" si="498"/>
        <v>0.74428536155629221</v>
      </c>
      <c r="F372" s="90">
        <f t="shared" si="498"/>
        <v>0.74428536155629221</v>
      </c>
      <c r="G372" s="90">
        <f t="shared" si="498"/>
        <v>0.74428536155629221</v>
      </c>
      <c r="H372" s="90">
        <f t="shared" si="498"/>
        <v>1.4504260983328245</v>
      </c>
      <c r="I372" s="90">
        <f t="shared" si="498"/>
        <v>2.1565668351093565</v>
      </c>
      <c r="J372" s="90">
        <f t="shared" si="498"/>
        <v>9.658963279596783</v>
      </c>
      <c r="K372" s="90">
        <f t="shared" si="498"/>
        <v>17.161359724084207</v>
      </c>
      <c r="L372" s="90">
        <f t="shared" si="498"/>
        <v>0.68660324603567957</v>
      </c>
      <c r="M372" s="90">
        <f t="shared" si="498"/>
        <v>0.68660324603567957</v>
      </c>
      <c r="N372" s="90">
        <f t="shared" si="498"/>
        <v>3.5544277797822676</v>
      </c>
      <c r="O372" s="90">
        <f t="shared" si="498"/>
        <v>3.5544277797822676</v>
      </c>
      <c r="P372" s="90">
        <f t="shared" si="492"/>
        <v>3.5539377797822675</v>
      </c>
      <c r="Q372" s="90">
        <f t="shared" si="492"/>
        <v>3.5534477797822674</v>
      </c>
      <c r="R372" s="90">
        <f t="shared" si="492"/>
        <v>3.5529577797822673</v>
      </c>
      <c r="S372" s="90">
        <f t="shared" ref="S372:AB372" si="499">+R372+(0.711/100)</f>
        <v>3.5600677797822673</v>
      </c>
      <c r="T372" s="90">
        <f t="shared" si="499"/>
        <v>3.5671777797822672</v>
      </c>
      <c r="U372" s="90">
        <f t="shared" si="499"/>
        <v>3.5742877797822672</v>
      </c>
      <c r="V372" s="90">
        <f t="shared" si="499"/>
        <v>3.5813977797822671</v>
      </c>
      <c r="W372" s="90">
        <f t="shared" si="499"/>
        <v>3.5885077797822671</v>
      </c>
      <c r="X372" s="90">
        <f t="shared" si="499"/>
        <v>3.595617779782267</v>
      </c>
      <c r="Y372" s="90">
        <f t="shared" si="499"/>
        <v>3.602727779782267</v>
      </c>
      <c r="Z372" s="90">
        <f t="shared" si="499"/>
        <v>3.6098377797822669</v>
      </c>
      <c r="AA372" s="90">
        <f t="shared" si="499"/>
        <v>3.6169477797822669</v>
      </c>
      <c r="AB372" s="90">
        <f t="shared" si="499"/>
        <v>3.6240577797822668</v>
      </c>
    </row>
    <row r="373" spans="1:28" x14ac:dyDescent="0.25">
      <c r="A373" s="87" t="s">
        <v>113</v>
      </c>
      <c r="B373" s="86" t="s">
        <v>23</v>
      </c>
      <c r="C373" s="90">
        <f t="shared" ref="C373:O373" si="500">+C253</f>
        <v>0.51257005584459059</v>
      </c>
      <c r="D373" s="90">
        <f t="shared" si="500"/>
        <v>0.51257005584459059</v>
      </c>
      <c r="E373" s="90">
        <f t="shared" si="500"/>
        <v>0.51257005584459059</v>
      </c>
      <c r="F373" s="90">
        <f t="shared" si="500"/>
        <v>0.51257005584459059</v>
      </c>
      <c r="G373" s="90">
        <f t="shared" si="500"/>
        <v>0.51257005584459059</v>
      </c>
      <c r="H373" s="90">
        <f t="shared" si="500"/>
        <v>0.99887089632714587</v>
      </c>
      <c r="I373" s="90">
        <f t="shared" si="500"/>
        <v>1.4851717368097013</v>
      </c>
      <c r="J373" s="90">
        <f t="shared" si="500"/>
        <v>6.6518778997231749</v>
      </c>
      <c r="K373" s="90">
        <f t="shared" si="500"/>
        <v>11.818584062636647</v>
      </c>
      <c r="L373" s="90">
        <f t="shared" si="500"/>
        <v>0.47284587651663479</v>
      </c>
      <c r="M373" s="90">
        <f t="shared" si="500"/>
        <v>0.47284587651663479</v>
      </c>
      <c r="N373" s="90">
        <f t="shared" si="500"/>
        <v>2.4478423729428229</v>
      </c>
      <c r="O373" s="90">
        <f t="shared" si="500"/>
        <v>2.4478423729428229</v>
      </c>
      <c r="P373" s="90">
        <f t="shared" si="492"/>
        <v>2.4473523729428228</v>
      </c>
      <c r="Q373" s="90">
        <f t="shared" si="492"/>
        <v>2.4468623729428227</v>
      </c>
      <c r="R373" s="90">
        <f t="shared" si="492"/>
        <v>2.4463723729428226</v>
      </c>
      <c r="S373" s="90">
        <f t="shared" ref="S373:AB373" si="501">+R373+(0.711/100)</f>
        <v>2.4534823729428226</v>
      </c>
      <c r="T373" s="90">
        <f t="shared" si="501"/>
        <v>2.4605923729428225</v>
      </c>
      <c r="U373" s="90">
        <f t="shared" si="501"/>
        <v>2.4677023729428225</v>
      </c>
      <c r="V373" s="90">
        <f t="shared" si="501"/>
        <v>2.4748123729428224</v>
      </c>
      <c r="W373" s="90">
        <f t="shared" si="501"/>
        <v>2.4819223729428224</v>
      </c>
      <c r="X373" s="90">
        <f t="shared" si="501"/>
        <v>2.4890323729428223</v>
      </c>
      <c r="Y373" s="90">
        <f t="shared" si="501"/>
        <v>2.4961423729428223</v>
      </c>
      <c r="Z373" s="90">
        <f t="shared" si="501"/>
        <v>2.5032523729428222</v>
      </c>
      <c r="AA373" s="90">
        <f t="shared" si="501"/>
        <v>2.5103623729428222</v>
      </c>
      <c r="AB373" s="90">
        <f t="shared" si="501"/>
        <v>2.5174723729428221</v>
      </c>
    </row>
    <row r="374" spans="1:28" x14ac:dyDescent="0.25">
      <c r="A374" s="87" t="s">
        <v>113</v>
      </c>
      <c r="B374" s="86" t="s">
        <v>24</v>
      </c>
      <c r="C374" s="90">
        <f t="shared" ref="C374:O374" si="502">+C254</f>
        <v>3.750729924609395</v>
      </c>
      <c r="D374" s="90">
        <f t="shared" si="502"/>
        <v>3.750729924609395</v>
      </c>
      <c r="E374" s="90">
        <f t="shared" si="502"/>
        <v>3.750729924609395</v>
      </c>
      <c r="F374" s="90">
        <f t="shared" si="502"/>
        <v>3.750729924609395</v>
      </c>
      <c r="G374" s="90">
        <f t="shared" si="502"/>
        <v>3.750729924609395</v>
      </c>
      <c r="H374" s="90">
        <f t="shared" si="502"/>
        <v>7.3092349405825585</v>
      </c>
      <c r="I374" s="90">
        <f t="shared" si="502"/>
        <v>10.867739956555722</v>
      </c>
      <c r="J374" s="90">
        <f t="shared" si="502"/>
        <v>48.675097596618428</v>
      </c>
      <c r="K374" s="90">
        <f t="shared" si="502"/>
        <v>86.482455236681133</v>
      </c>
      <c r="L374" s="90">
        <f t="shared" si="502"/>
        <v>3.4600483554521668</v>
      </c>
      <c r="M374" s="90">
        <f t="shared" si="502"/>
        <v>3.4600483554521668</v>
      </c>
      <c r="N374" s="90">
        <f t="shared" si="502"/>
        <v>17.912079596212742</v>
      </c>
      <c r="O374" s="90">
        <f t="shared" si="502"/>
        <v>17.912079596212742</v>
      </c>
      <c r="P374" s="90">
        <f t="shared" si="492"/>
        <v>17.911589596212742</v>
      </c>
      <c r="Q374" s="90">
        <f t="shared" si="492"/>
        <v>17.911099596212743</v>
      </c>
      <c r="R374" s="90">
        <f t="shared" si="492"/>
        <v>17.910609596212744</v>
      </c>
      <c r="S374" s="90">
        <f t="shared" ref="S374:AB374" si="503">+R374+(0.711/100)</f>
        <v>17.917719596212745</v>
      </c>
      <c r="T374" s="90">
        <f t="shared" si="503"/>
        <v>17.924829596212746</v>
      </c>
      <c r="U374" s="90">
        <f t="shared" si="503"/>
        <v>17.931939596212747</v>
      </c>
      <c r="V374" s="90">
        <f t="shared" si="503"/>
        <v>17.939049596212747</v>
      </c>
      <c r="W374" s="90">
        <f t="shared" si="503"/>
        <v>17.946159596212748</v>
      </c>
      <c r="X374" s="90">
        <f t="shared" si="503"/>
        <v>17.953269596212749</v>
      </c>
      <c r="Y374" s="90">
        <f t="shared" si="503"/>
        <v>17.96037959621275</v>
      </c>
      <c r="Z374" s="90">
        <f t="shared" si="503"/>
        <v>17.967489596212751</v>
      </c>
      <c r="AA374" s="90">
        <f t="shared" si="503"/>
        <v>17.974599596212752</v>
      </c>
      <c r="AB374" s="90">
        <f t="shared" si="503"/>
        <v>17.981709596212752</v>
      </c>
    </row>
    <row r="375" spans="1:28" x14ac:dyDescent="0.25">
      <c r="A375" s="87" t="s">
        <v>113</v>
      </c>
      <c r="B375" s="86" t="s">
        <v>25</v>
      </c>
      <c r="C375" s="90">
        <f t="shared" ref="C375:O375" si="504">+C255</f>
        <v>0.41555154445763326</v>
      </c>
      <c r="D375" s="90">
        <f t="shared" si="504"/>
        <v>0.41555154445763326</v>
      </c>
      <c r="E375" s="90">
        <f t="shared" si="504"/>
        <v>0.41555154445763326</v>
      </c>
      <c r="F375" s="90">
        <f t="shared" si="504"/>
        <v>0.41555154445763326</v>
      </c>
      <c r="G375" s="90">
        <f t="shared" si="504"/>
        <v>0.41555154445763326</v>
      </c>
      <c r="H375" s="90">
        <f t="shared" si="504"/>
        <v>0.80980607226181278</v>
      </c>
      <c r="I375" s="90">
        <f t="shared" si="504"/>
        <v>1.2040606000659924</v>
      </c>
      <c r="J375" s="90">
        <f t="shared" si="504"/>
        <v>5.3928201681989361</v>
      </c>
      <c r="K375" s="90">
        <f t="shared" si="504"/>
        <v>9.5815797363318786</v>
      </c>
      <c r="L375" s="90">
        <f t="shared" si="504"/>
        <v>0.38334629976216666</v>
      </c>
      <c r="M375" s="90">
        <f t="shared" si="504"/>
        <v>0.38334629976216666</v>
      </c>
      <c r="N375" s="90">
        <f t="shared" si="504"/>
        <v>1.9845183445004848</v>
      </c>
      <c r="O375" s="90">
        <f t="shared" si="504"/>
        <v>1.9845183445004848</v>
      </c>
      <c r="P375" s="90">
        <f t="shared" si="492"/>
        <v>1.9840283445004847</v>
      </c>
      <c r="Q375" s="90">
        <f t="shared" si="492"/>
        <v>1.9835383445004846</v>
      </c>
      <c r="R375" s="90">
        <f t="shared" si="492"/>
        <v>1.9830483445004845</v>
      </c>
      <c r="S375" s="90">
        <f t="shared" ref="S375:AB375" si="505">+R375+(0.711/100)</f>
        <v>1.9901583445004845</v>
      </c>
      <c r="T375" s="90">
        <f t="shared" si="505"/>
        <v>1.9972683445004844</v>
      </c>
      <c r="U375" s="90">
        <f t="shared" si="505"/>
        <v>2.0043783445004846</v>
      </c>
      <c r="V375" s="90">
        <f t="shared" si="505"/>
        <v>2.0114883445004845</v>
      </c>
      <c r="W375" s="90">
        <f t="shared" si="505"/>
        <v>2.0185983445004845</v>
      </c>
      <c r="X375" s="90">
        <f t="shared" si="505"/>
        <v>2.0257083445004844</v>
      </c>
      <c r="Y375" s="90">
        <f t="shared" si="505"/>
        <v>2.0328183445004844</v>
      </c>
      <c r="Z375" s="90">
        <f t="shared" si="505"/>
        <v>2.0399283445004843</v>
      </c>
      <c r="AA375" s="90">
        <f t="shared" si="505"/>
        <v>2.0470383445004843</v>
      </c>
      <c r="AB375" s="90">
        <f t="shared" si="505"/>
        <v>2.0541483445004842</v>
      </c>
    </row>
    <row r="376" spans="1:28" x14ac:dyDescent="0.25">
      <c r="A376" s="87" t="s">
        <v>113</v>
      </c>
      <c r="B376" s="86" t="s">
        <v>26</v>
      </c>
      <c r="C376" s="90">
        <f t="shared" ref="C376:O376" si="506">+C256</f>
        <v>0.10320311067253829</v>
      </c>
      <c r="D376" s="90">
        <f t="shared" si="506"/>
        <v>0.10320311067253829</v>
      </c>
      <c r="E376" s="90">
        <f t="shared" si="506"/>
        <v>0.10320311067253829</v>
      </c>
      <c r="F376" s="90">
        <f t="shared" si="506"/>
        <v>0.10320311067253829</v>
      </c>
      <c r="G376" s="90">
        <f t="shared" si="506"/>
        <v>0.10320311067253829</v>
      </c>
      <c r="H376" s="90">
        <f t="shared" si="506"/>
        <v>0.20111706192310899</v>
      </c>
      <c r="I376" s="90">
        <f t="shared" si="506"/>
        <v>0.29903101317367969</v>
      </c>
      <c r="J376" s="90">
        <f t="shared" si="506"/>
        <v>1.3393183687528658</v>
      </c>
      <c r="K376" s="90">
        <f t="shared" si="506"/>
        <v>2.3796057243320519</v>
      </c>
      <c r="L376" s="90">
        <f t="shared" si="506"/>
        <v>9.5204869595416575E-2</v>
      </c>
      <c r="M376" s="90">
        <f t="shared" si="506"/>
        <v>9.5204869595416575E-2</v>
      </c>
      <c r="N376" s="90">
        <f t="shared" si="506"/>
        <v>0.49285935540554066</v>
      </c>
      <c r="O376" s="90">
        <f t="shared" si="506"/>
        <v>0.49285935540554066</v>
      </c>
      <c r="P376" s="90">
        <f t="shared" si="492"/>
        <v>0.49236935540554067</v>
      </c>
      <c r="Q376" s="90">
        <f t="shared" si="492"/>
        <v>0.49187935540554067</v>
      </c>
      <c r="R376" s="90">
        <f t="shared" si="492"/>
        <v>0.49138935540554068</v>
      </c>
      <c r="S376" s="90">
        <f t="shared" ref="S376:AB376" si="507">+R376+(0.711/100)</f>
        <v>0.49849935540554069</v>
      </c>
      <c r="T376" s="90">
        <f t="shared" si="507"/>
        <v>0.50560935540554064</v>
      </c>
      <c r="U376" s="90">
        <f t="shared" si="507"/>
        <v>0.51271935540554059</v>
      </c>
      <c r="V376" s="90">
        <f t="shared" si="507"/>
        <v>0.51982935540554054</v>
      </c>
      <c r="W376" s="90">
        <f t="shared" si="507"/>
        <v>0.52693935540554049</v>
      </c>
      <c r="X376" s="90">
        <f t="shared" si="507"/>
        <v>0.53404935540554044</v>
      </c>
      <c r="Y376" s="90">
        <f t="shared" si="507"/>
        <v>0.54115935540554039</v>
      </c>
      <c r="Z376" s="90">
        <f t="shared" si="507"/>
        <v>0.54826935540554034</v>
      </c>
      <c r="AA376" s="90">
        <f t="shared" si="507"/>
        <v>0.55537935540554029</v>
      </c>
      <c r="AB376" s="90">
        <f t="shared" si="507"/>
        <v>0.56248935540554024</v>
      </c>
    </row>
    <row r="377" spans="1:28" x14ac:dyDescent="0.25">
      <c r="A377" s="87" t="s">
        <v>113</v>
      </c>
      <c r="B377" s="86" t="s">
        <v>27</v>
      </c>
      <c r="C377" s="90">
        <f t="shared" ref="C377:O377" si="508">+C257</f>
        <v>0.43157774322207193</v>
      </c>
      <c r="D377" s="90">
        <f t="shared" si="508"/>
        <v>0.43157774322207193</v>
      </c>
      <c r="E377" s="90">
        <f t="shared" si="508"/>
        <v>0.43157774322207193</v>
      </c>
      <c r="F377" s="90">
        <f t="shared" si="508"/>
        <v>0.43157774322207193</v>
      </c>
      <c r="G377" s="90">
        <f t="shared" si="508"/>
        <v>0.43157774322207193</v>
      </c>
      <c r="H377" s="90">
        <f t="shared" si="508"/>
        <v>0.84103712710401268</v>
      </c>
      <c r="I377" s="90">
        <f t="shared" si="508"/>
        <v>1.2504965109859534</v>
      </c>
      <c r="J377" s="90">
        <f t="shared" si="508"/>
        <v>5.6008001626644388</v>
      </c>
      <c r="K377" s="90">
        <f t="shared" si="508"/>
        <v>9.9511038143429236</v>
      </c>
      <c r="L377" s="90">
        <f t="shared" si="508"/>
        <v>0.39813046812236136</v>
      </c>
      <c r="M377" s="90">
        <f t="shared" si="508"/>
        <v>0.39813046812236136</v>
      </c>
      <c r="N377" s="90">
        <f t="shared" si="508"/>
        <v>2.0610534599749073</v>
      </c>
      <c r="O377" s="90">
        <f t="shared" si="508"/>
        <v>2.0610534599749073</v>
      </c>
      <c r="P377" s="90">
        <f t="shared" si="492"/>
        <v>2.0605634599749072</v>
      </c>
      <c r="Q377" s="90">
        <f t="shared" si="492"/>
        <v>2.0600734599749071</v>
      </c>
      <c r="R377" s="90">
        <f t="shared" si="492"/>
        <v>2.059583459974907</v>
      </c>
      <c r="S377" s="90">
        <f t="shared" ref="S377:AB377" si="509">+R377+(0.711/100)</f>
        <v>2.0666934599749069</v>
      </c>
      <c r="T377" s="90">
        <f t="shared" si="509"/>
        <v>2.0738034599749069</v>
      </c>
      <c r="U377" s="90">
        <f t="shared" si="509"/>
        <v>2.0809134599749068</v>
      </c>
      <c r="V377" s="90">
        <f t="shared" si="509"/>
        <v>2.0880234599749068</v>
      </c>
      <c r="W377" s="90">
        <f t="shared" si="509"/>
        <v>2.0951334599749067</v>
      </c>
      <c r="X377" s="90">
        <f t="shared" si="509"/>
        <v>2.1022434599749067</v>
      </c>
      <c r="Y377" s="90">
        <f t="shared" si="509"/>
        <v>2.1093534599749066</v>
      </c>
      <c r="Z377" s="90">
        <f t="shared" si="509"/>
        <v>2.1164634599749066</v>
      </c>
      <c r="AA377" s="90">
        <f t="shared" si="509"/>
        <v>2.1235734599749065</v>
      </c>
      <c r="AB377" s="90">
        <f t="shared" si="509"/>
        <v>2.1306834599749065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8817-2710-4EEE-AD40-ACF8C73CCC52}">
  <dimension ref="A1:BJ51"/>
  <sheetViews>
    <sheetView topLeftCell="R1" zoomScale="75" zoomScaleNormal="115" workbookViewId="0">
      <selection activeCell="AA11" sqref="AA11"/>
    </sheetView>
  </sheetViews>
  <sheetFormatPr defaultColWidth="8.85546875" defaultRowHeight="15" x14ac:dyDescent="0.25"/>
  <cols>
    <col min="1" max="1" width="23.140625" style="161" bestFit="1" customWidth="1"/>
    <col min="2" max="10" width="7.42578125" style="161" bestFit="1" customWidth="1"/>
    <col min="11" max="27" width="23.42578125" style="161" customWidth="1"/>
    <col min="28" max="62" width="1.85546875" style="161" bestFit="1" customWidth="1"/>
    <col min="63" max="16384" width="8.85546875" style="161"/>
  </cols>
  <sheetData>
    <row r="1" spans="1:62" ht="30" x14ac:dyDescent="0.25">
      <c r="A1" s="170" t="s">
        <v>44</v>
      </c>
      <c r="B1" s="170">
        <v>2010</v>
      </c>
      <c r="C1" s="170">
        <v>2011</v>
      </c>
      <c r="D1" s="170">
        <v>2012</v>
      </c>
      <c r="E1" s="170">
        <v>2013</v>
      </c>
      <c r="F1" s="170">
        <v>2014</v>
      </c>
      <c r="G1" s="170">
        <v>2015</v>
      </c>
      <c r="H1" s="170">
        <v>2016</v>
      </c>
      <c r="I1" s="170">
        <v>2017</v>
      </c>
      <c r="J1" s="170">
        <v>2018</v>
      </c>
      <c r="K1" s="170">
        <v>2019</v>
      </c>
      <c r="L1" s="170">
        <v>2020</v>
      </c>
      <c r="M1" s="170">
        <v>2021</v>
      </c>
      <c r="N1" s="170">
        <v>2022</v>
      </c>
      <c r="O1" s="170">
        <v>2023</v>
      </c>
      <c r="P1" s="170">
        <v>2024</v>
      </c>
      <c r="Q1" s="170">
        <v>2025</v>
      </c>
      <c r="R1" s="170">
        <v>2026</v>
      </c>
      <c r="S1" s="170">
        <v>2027</v>
      </c>
      <c r="T1" s="170">
        <v>2028</v>
      </c>
      <c r="U1" s="170">
        <v>2029</v>
      </c>
      <c r="V1" s="170">
        <v>2030</v>
      </c>
      <c r="W1" s="170">
        <v>2031</v>
      </c>
      <c r="X1" s="170">
        <v>2032</v>
      </c>
      <c r="Y1" s="170">
        <v>2033</v>
      </c>
      <c r="Z1" s="170">
        <v>2034</v>
      </c>
      <c r="AA1" s="170">
        <v>2035</v>
      </c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</row>
    <row r="2" spans="1:62" x14ac:dyDescent="0.25">
      <c r="A2" s="171" t="s">
        <v>35</v>
      </c>
      <c r="B2" s="163">
        <v>12.348319999999999</v>
      </c>
      <c r="C2" s="163">
        <v>13.402625</v>
      </c>
      <c r="D2" s="163">
        <v>14.45693</v>
      </c>
      <c r="E2" s="163">
        <v>14.584459999999998</v>
      </c>
      <c r="F2" s="163">
        <v>14.71199</v>
      </c>
      <c r="G2" s="163">
        <v>14.755529999999998</v>
      </c>
      <c r="H2" s="163">
        <v>14.799069999999999</v>
      </c>
      <c r="I2" s="163">
        <v>14.779864999999999</v>
      </c>
      <c r="J2" s="163">
        <v>14.76066</v>
      </c>
      <c r="K2" s="163">
        <v>14.76066</v>
      </c>
      <c r="L2" s="163">
        <v>14.76066</v>
      </c>
      <c r="M2" s="163">
        <v>13.635</v>
      </c>
      <c r="N2" s="163">
        <v>13.635</v>
      </c>
      <c r="O2" s="172">
        <f>+'5ta'!$R87*Coberturas!O$11</f>
        <v>14.310128964267692</v>
      </c>
      <c r="P2" s="172">
        <f>+'5ta'!$R87*Coberturas!P$11</f>
        <v>14.303117001075201</v>
      </c>
      <c r="Q2" s="172">
        <f>+'5ta'!$R87*Coberturas!Q$11</f>
        <v>14.296108473744676</v>
      </c>
      <c r="R2" s="172">
        <f>+'5ta'!$R87*Coberturas!R$11</f>
        <v>14.289103380592541</v>
      </c>
      <c r="S2" s="172">
        <f>+'5ta'!$R87*Coberturas!S$11</f>
        <v>14.282101719936051</v>
      </c>
      <c r="T2" s="172">
        <f>+'5ta'!$R87*Coberturas!T$11</f>
        <v>14.275103490093283</v>
      </c>
      <c r="U2" s="172">
        <f>+'5ta'!$R87*Coberturas!U$11</f>
        <v>14.268108689383137</v>
      </c>
      <c r="V2" s="172">
        <f>+'5ta'!$R87*Coberturas!V$11</f>
        <v>14.26111731612534</v>
      </c>
      <c r="W2" s="172">
        <f>+'5ta'!$R87*Coberturas!W$11</f>
        <v>14.254129368640438</v>
      </c>
      <c r="X2" s="172">
        <f>+'5ta'!$R87*Coberturas!X$11</f>
        <v>14.247144845249805</v>
      </c>
      <c r="Y2" s="172">
        <f>+'5ta'!$R87*Coberturas!Y$11</f>
        <v>14.24016374427563</v>
      </c>
      <c r="Z2" s="172">
        <f>+'5ta'!$R87*Coberturas!Z$11</f>
        <v>14.233186064040936</v>
      </c>
      <c r="AA2" s="172">
        <f>+'5ta'!$R87*Coberturas!AA$11</f>
        <v>14.226211802869555</v>
      </c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</row>
    <row r="3" spans="1:62" ht="30" x14ac:dyDescent="0.25">
      <c r="A3" s="171" t="s">
        <v>36</v>
      </c>
      <c r="B3" s="163">
        <v>120.58364</v>
      </c>
      <c r="C3" s="163">
        <v>126.21503000000001</v>
      </c>
      <c r="D3" s="163">
        <v>131.84642000000002</v>
      </c>
      <c r="E3" s="163">
        <v>136.01050000000001</v>
      </c>
      <c r="F3" s="163">
        <v>140.17457999999999</v>
      </c>
      <c r="G3" s="163">
        <v>140.004625</v>
      </c>
      <c r="H3" s="163">
        <v>139.83467000000002</v>
      </c>
      <c r="I3" s="163">
        <v>139.85384000000005</v>
      </c>
      <c r="J3" s="163">
        <v>139.87301000000002</v>
      </c>
      <c r="K3" s="163">
        <v>139.87301000000002</v>
      </c>
      <c r="L3" s="163">
        <v>139.87301000000002</v>
      </c>
      <c r="M3" s="163">
        <v>139.38600000000002</v>
      </c>
      <c r="N3" s="163">
        <v>139.38600000000002</v>
      </c>
      <c r="O3" s="172">
        <f>+'5ta'!$R88*Coberturas!O$11</f>
        <v>139.74106918032805</v>
      </c>
      <c r="P3" s="172">
        <f>+'5ta'!$R88*Coberturas!P$11</f>
        <v>139.67259605642968</v>
      </c>
      <c r="Q3" s="172">
        <f>+'5ta'!$R88*Coberturas!Q$11</f>
        <v>139.60415648436205</v>
      </c>
      <c r="R3" s="172">
        <f>+'5ta'!$R88*Coberturas!R$11</f>
        <v>139.53575044768471</v>
      </c>
      <c r="S3" s="172">
        <f>+'5ta'!$R88*Coberturas!S$11</f>
        <v>139.46737792996535</v>
      </c>
      <c r="T3" s="172">
        <f>+'5ta'!$R88*Coberturas!T$11</f>
        <v>139.39903891477968</v>
      </c>
      <c r="U3" s="172">
        <f>+'5ta'!$R88*Coberturas!U$11</f>
        <v>139.33073338571143</v>
      </c>
      <c r="V3" s="172">
        <f>+'5ta'!$R88*Coberturas!V$11</f>
        <v>139.26246132635245</v>
      </c>
      <c r="W3" s="172">
        <f>+'5ta'!$R88*Coberturas!W$11</f>
        <v>139.19422272030252</v>
      </c>
      <c r="X3" s="172">
        <f>+'5ta'!$R88*Coberturas!X$11</f>
        <v>139.12601755116958</v>
      </c>
      <c r="Y3" s="172">
        <f>+'5ta'!$R88*Coberturas!Y$11</f>
        <v>139.05784580256949</v>
      </c>
      <c r="Z3" s="172">
        <f>+'5ta'!$R88*Coberturas!Z$11</f>
        <v>138.98970745812622</v>
      </c>
      <c r="AA3" s="172">
        <f>+'5ta'!$R88*Coberturas!AA$11</f>
        <v>138.92160250147174</v>
      </c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</row>
    <row r="4" spans="1:62" ht="30" x14ac:dyDescent="0.25">
      <c r="A4" s="171" t="s">
        <v>37</v>
      </c>
      <c r="B4" s="163">
        <v>1153.0325599999999</v>
      </c>
      <c r="C4" s="163">
        <v>1158.7425649999998</v>
      </c>
      <c r="D4" s="163">
        <v>1164.4525700000002</v>
      </c>
      <c r="E4" s="163">
        <v>1198.650245</v>
      </c>
      <c r="F4" s="163">
        <v>1232.8479199999999</v>
      </c>
      <c r="G4" s="163">
        <v>1233.796515</v>
      </c>
      <c r="H4" s="163">
        <v>1234.7451100000003</v>
      </c>
      <c r="I4" s="163">
        <v>1245.5305000000001</v>
      </c>
      <c r="J4" s="163">
        <v>1256.3158900000001</v>
      </c>
      <c r="K4" s="163">
        <v>1256.3158900000001</v>
      </c>
      <c r="L4" s="163">
        <v>1256.3158900000001</v>
      </c>
      <c r="M4" s="163">
        <v>1257.5179999999998</v>
      </c>
      <c r="N4" s="163">
        <v>1257.5179999999998</v>
      </c>
      <c r="O4" s="172">
        <f>+'5ta'!$R89*Coberturas!O$11</f>
        <v>1336.217771615874</v>
      </c>
      <c r="P4" s="172">
        <f>+'5ta'!$R89*Coberturas!P$11</f>
        <v>1335.5630249077822</v>
      </c>
      <c r="Q4" s="172">
        <f>+'5ta'!$R89*Coberturas!Q$11</f>
        <v>1334.9085990255774</v>
      </c>
      <c r="R4" s="172">
        <f>+'5ta'!$R89*Coberturas!R$11</f>
        <v>1334.254493812055</v>
      </c>
      <c r="S4" s="172">
        <f>+'5ta'!$R89*Coberturas!S$11</f>
        <v>1333.6007091100871</v>
      </c>
      <c r="T4" s="172">
        <f>+'5ta'!$R89*Coberturas!T$11</f>
        <v>1332.9472447626231</v>
      </c>
      <c r="U4" s="172">
        <f>+'5ta'!$R89*Coberturas!U$11</f>
        <v>1332.2941006126894</v>
      </c>
      <c r="V4" s="172">
        <f>+'5ta'!$R89*Coberturas!V$11</f>
        <v>1331.6412765033892</v>
      </c>
      <c r="W4" s="172">
        <f>+'5ta'!$R89*Coberturas!W$11</f>
        <v>1330.9887722779026</v>
      </c>
      <c r="X4" s="172">
        <f>+'5ta'!$R89*Coberturas!X$11</f>
        <v>1330.3365877794865</v>
      </c>
      <c r="Y4" s="172">
        <f>+'5ta'!$R89*Coberturas!Y$11</f>
        <v>1329.6847228514744</v>
      </c>
      <c r="Z4" s="172">
        <f>+'5ta'!$R89*Coberturas!Z$11</f>
        <v>1329.0331773372773</v>
      </c>
      <c r="AA4" s="172">
        <f>+'5ta'!$R89*Coberturas!AA$11</f>
        <v>1328.3819510803819</v>
      </c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</row>
    <row r="5" spans="1:62" ht="30" x14ac:dyDescent="0.25">
      <c r="A5" s="171" t="s">
        <v>38</v>
      </c>
      <c r="B5" s="163">
        <v>468.70030000000003</v>
      </c>
      <c r="C5" s="163">
        <v>469.70792499999999</v>
      </c>
      <c r="D5" s="163">
        <v>470.71555000000001</v>
      </c>
      <c r="E5" s="163">
        <v>488.97562999999997</v>
      </c>
      <c r="F5" s="163">
        <v>507.23570999999998</v>
      </c>
      <c r="G5" s="163">
        <v>506.69036499999999</v>
      </c>
      <c r="H5" s="163">
        <v>506.14502000000005</v>
      </c>
      <c r="I5" s="163">
        <v>514.642335</v>
      </c>
      <c r="J5" s="163">
        <v>523.13965000000007</v>
      </c>
      <c r="K5" s="163">
        <v>523.13965000000007</v>
      </c>
      <c r="L5" s="163">
        <v>523.13965000000007</v>
      </c>
      <c r="M5" s="163">
        <v>515.14400000000001</v>
      </c>
      <c r="N5" s="163">
        <v>515.14400000000001</v>
      </c>
      <c r="O5" s="172">
        <f>+'5ta'!$R90*Coberturas!O$11</f>
        <v>543.16390720283869</v>
      </c>
      <c r="P5" s="172">
        <f>+'5ta'!$R90*Coberturas!P$11</f>
        <v>542.89775688830935</v>
      </c>
      <c r="Q5" s="172">
        <f>+'5ta'!$R90*Coberturas!Q$11</f>
        <v>542.63173698743412</v>
      </c>
      <c r="R5" s="172">
        <f>+'5ta'!$R90*Coberturas!R$11</f>
        <v>542.36584743631033</v>
      </c>
      <c r="S5" s="172">
        <f>+'5ta'!$R90*Coberturas!S$11</f>
        <v>542.10008817106655</v>
      </c>
      <c r="T5" s="172">
        <f>+'5ta'!$R90*Coberturas!T$11</f>
        <v>541.83445912786271</v>
      </c>
      <c r="U5" s="172">
        <f>+'5ta'!$R90*Coberturas!U$11</f>
        <v>541.56896024289006</v>
      </c>
      <c r="V5" s="172">
        <f>+'5ta'!$R90*Coberturas!V$11</f>
        <v>541.30359145237105</v>
      </c>
      <c r="W5" s="172">
        <f>+'5ta'!$R90*Coberturas!W$11</f>
        <v>541.03835269255944</v>
      </c>
      <c r="X5" s="172">
        <f>+'5ta'!$R90*Coberturas!X$11</f>
        <v>540.77324389974001</v>
      </c>
      <c r="Y5" s="172">
        <f>+'5ta'!$R90*Coberturas!Y$11</f>
        <v>540.50826501022914</v>
      </c>
      <c r="Z5" s="172">
        <f>+'5ta'!$R90*Coberturas!Z$11</f>
        <v>540.24341596037414</v>
      </c>
      <c r="AA5" s="172">
        <f>+'5ta'!$R90*Coberturas!AA$11</f>
        <v>539.97869668655346</v>
      </c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</row>
    <row r="6" spans="1:62" ht="45" x14ac:dyDescent="0.25">
      <c r="A6" s="171" t="s">
        <v>39</v>
      </c>
      <c r="B6" s="163">
        <v>322.78176000000002</v>
      </c>
      <c r="C6" s="163">
        <v>325.37089000000003</v>
      </c>
      <c r="D6" s="163">
        <v>327.96002000000004</v>
      </c>
      <c r="E6" s="163">
        <v>333.55776000000003</v>
      </c>
      <c r="F6" s="163">
        <v>339.15550000000002</v>
      </c>
      <c r="G6" s="163">
        <v>340.20731000000001</v>
      </c>
      <c r="H6" s="163">
        <v>341.25912</v>
      </c>
      <c r="I6" s="163">
        <v>357.94489000000004</v>
      </c>
      <c r="J6" s="163">
        <v>374.63065999999992</v>
      </c>
      <c r="K6" s="163">
        <v>374.63065999999992</v>
      </c>
      <c r="L6" s="163">
        <v>374.63065999999992</v>
      </c>
      <c r="M6" s="163">
        <v>375.10900000000004</v>
      </c>
      <c r="N6" s="163">
        <v>375.10900000000004</v>
      </c>
      <c r="O6" s="172">
        <f>+'5ta'!$R91*Coberturas!O$11</f>
        <v>374.06291810653624</v>
      </c>
      <c r="P6" s="172">
        <f>+'5ta'!$R91*Coberturas!P$11</f>
        <v>373.87962727666405</v>
      </c>
      <c r="Q6" s="172">
        <f>+'5ta'!$R91*Coberturas!Q$11</f>
        <v>373.69642625929851</v>
      </c>
      <c r="R6" s="172">
        <f>+'5ta'!$R91*Coberturas!R$11</f>
        <v>373.51331501043148</v>
      </c>
      <c r="S6" s="172">
        <f>+'5ta'!$R91*Coberturas!S$11</f>
        <v>373.33029348607641</v>
      </c>
      <c r="T6" s="172">
        <f>+'5ta'!$R91*Coberturas!T$11</f>
        <v>373.14736164226821</v>
      </c>
      <c r="U6" s="172">
        <f>+'5ta'!$R91*Coberturas!U$11</f>
        <v>372.96451943506349</v>
      </c>
      <c r="V6" s="172">
        <f>+'5ta'!$R91*Coberturas!V$11</f>
        <v>372.78176682054033</v>
      </c>
      <c r="W6" s="172">
        <f>+'5ta'!$R91*Coberturas!W$11</f>
        <v>372.59910375479831</v>
      </c>
      <c r="X6" s="172">
        <f>+'5ta'!$R91*Coberturas!X$11</f>
        <v>372.41653019395841</v>
      </c>
      <c r="Y6" s="172">
        <f>+'5ta'!$R91*Coberturas!Y$11</f>
        <v>372.23404609416332</v>
      </c>
      <c r="Z6" s="172">
        <f>+'5ta'!$R91*Coberturas!Z$11</f>
        <v>372.05165141157721</v>
      </c>
      <c r="AA6" s="172">
        <f>+'5ta'!$R91*Coberturas!AA$11</f>
        <v>371.86934610238552</v>
      </c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</row>
    <row r="7" spans="1:62" ht="45" x14ac:dyDescent="0.25">
      <c r="A7" s="171" t="s">
        <v>40</v>
      </c>
      <c r="B7" s="163">
        <v>2361.9546099999998</v>
      </c>
      <c r="C7" s="163">
        <v>2536.3037899999999</v>
      </c>
      <c r="D7" s="163">
        <v>2710.6529700000006</v>
      </c>
      <c r="E7" s="163">
        <v>2768.5833699999998</v>
      </c>
      <c r="F7" s="163">
        <v>2826.51377</v>
      </c>
      <c r="G7" s="163">
        <v>2858.75821</v>
      </c>
      <c r="H7" s="163">
        <v>2891.0026499999999</v>
      </c>
      <c r="I7" s="163">
        <v>2955.7263049999997</v>
      </c>
      <c r="J7" s="163">
        <v>3020.4499599999999</v>
      </c>
      <c r="K7" s="163">
        <v>3020.4499599999999</v>
      </c>
      <c r="L7" s="163">
        <v>3020.4499599999999</v>
      </c>
      <c r="M7" s="163">
        <v>2928.8820000000001</v>
      </c>
      <c r="N7" s="163">
        <v>2928.8820000000001</v>
      </c>
      <c r="O7" s="172">
        <f>+'5ta'!$R92*Coberturas!O$11</f>
        <v>2737.2043384724884</v>
      </c>
      <c r="P7" s="172">
        <f>+'5ta'!$R92*Coberturas!P$11</f>
        <v>2735.8631083466371</v>
      </c>
      <c r="Q7" s="172">
        <f>+'5ta'!$R92*Coberturas!Q$11</f>
        <v>2734.5225354235472</v>
      </c>
      <c r="R7" s="172">
        <f>+'5ta'!$R92*Coberturas!R$11</f>
        <v>2733.1826193811899</v>
      </c>
      <c r="S7" s="172">
        <f>+'5ta'!$R92*Coberturas!S$11</f>
        <v>2731.8433598976931</v>
      </c>
      <c r="T7" s="172">
        <f>+'5ta'!$R92*Coberturas!T$11</f>
        <v>2730.5047566513435</v>
      </c>
      <c r="U7" s="172">
        <f>+'5ta'!$R92*Coberturas!U$11</f>
        <v>2729.1668093205844</v>
      </c>
      <c r="V7" s="172">
        <f>+'5ta'!$R92*Coberturas!V$11</f>
        <v>2727.8295175840171</v>
      </c>
      <c r="W7" s="172">
        <f>+'5ta'!$R92*Coberturas!W$11</f>
        <v>2726.4928811204013</v>
      </c>
      <c r="X7" s="172">
        <f>+'5ta'!$R92*Coberturas!X$11</f>
        <v>2725.1568996086521</v>
      </c>
      <c r="Y7" s="172">
        <f>+'5ta'!$R92*Coberturas!Y$11</f>
        <v>2723.8215727278434</v>
      </c>
      <c r="Z7" s="172">
        <f>+'5ta'!$R92*Coberturas!Z$11</f>
        <v>2722.4869001572069</v>
      </c>
      <c r="AA7" s="172">
        <f>+'5ta'!$R92*Coberturas!AA$11</f>
        <v>2721.1528815761299</v>
      </c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</row>
    <row r="8" spans="1:62" ht="45" x14ac:dyDescent="0.25">
      <c r="A8" s="171" t="s">
        <v>41</v>
      </c>
      <c r="B8" s="163">
        <v>261.68610000000001</v>
      </c>
      <c r="C8" s="163">
        <v>263.62240000000003</v>
      </c>
      <c r="D8" s="163">
        <v>265.55870000000004</v>
      </c>
      <c r="E8" s="163">
        <v>269.70002000000005</v>
      </c>
      <c r="F8" s="163">
        <v>273.84134000000006</v>
      </c>
      <c r="G8" s="163">
        <v>268.73807500000004</v>
      </c>
      <c r="H8" s="163">
        <v>263.63481000000002</v>
      </c>
      <c r="I8" s="163">
        <v>262.90870499999994</v>
      </c>
      <c r="J8" s="163">
        <v>262.18259999999998</v>
      </c>
      <c r="K8" s="163">
        <v>262.18259999999998</v>
      </c>
      <c r="L8" s="163">
        <v>262.18259999999998</v>
      </c>
      <c r="M8" s="163">
        <v>240.48699999999999</v>
      </c>
      <c r="N8" s="163">
        <v>240.48699999999999</v>
      </c>
      <c r="O8" s="172">
        <f>+'5ta'!$R93*Coberturas!O$11</f>
        <v>303.2608354137447</v>
      </c>
      <c r="P8" s="172">
        <f>+'5ta'!$R93*Coberturas!P$11</f>
        <v>303.11223760439202</v>
      </c>
      <c r="Q8" s="172">
        <f>+'5ta'!$R93*Coberturas!Q$11</f>
        <v>302.96371260796587</v>
      </c>
      <c r="R8" s="172">
        <f>+'5ta'!$R93*Coberturas!R$11</f>
        <v>302.81526038878798</v>
      </c>
      <c r="S8" s="172">
        <f>+'5ta'!$R93*Coberturas!S$11</f>
        <v>302.6668809111975</v>
      </c>
      <c r="T8" s="172">
        <f>+'5ta'!$R93*Coberturas!T$11</f>
        <v>302.51857413955099</v>
      </c>
      <c r="U8" s="172">
        <f>+'5ta'!$R93*Coberturas!U$11</f>
        <v>302.37034003822265</v>
      </c>
      <c r="V8" s="172">
        <f>+'5ta'!$R93*Coberturas!V$11</f>
        <v>302.22217857160393</v>
      </c>
      <c r="W8" s="172">
        <f>+'5ta'!$R93*Coberturas!W$11</f>
        <v>302.07408970410381</v>
      </c>
      <c r="X8" s="172">
        <f>+'5ta'!$R93*Coberturas!X$11</f>
        <v>301.92607340014882</v>
      </c>
      <c r="Y8" s="172">
        <f>+'5ta'!$R93*Coberturas!Y$11</f>
        <v>301.77812962418272</v>
      </c>
      <c r="Z8" s="172">
        <f>+'5ta'!$R93*Coberturas!Z$11</f>
        <v>301.63025834066684</v>
      </c>
      <c r="AA8" s="172">
        <f>+'5ta'!$R93*Coberturas!AA$11</f>
        <v>301.48245951407989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</row>
    <row r="9" spans="1:62" x14ac:dyDescent="0.25">
      <c r="A9" s="171" t="s">
        <v>42</v>
      </c>
      <c r="B9" s="163">
        <v>64.990300000000005</v>
      </c>
      <c r="C9" s="163">
        <v>65.33518500000001</v>
      </c>
      <c r="D9" s="163">
        <v>65.680070000000001</v>
      </c>
      <c r="E9" s="163">
        <v>64.106674999999996</v>
      </c>
      <c r="F9" s="163">
        <v>62.533279999999998</v>
      </c>
      <c r="G9" s="163">
        <v>65.738849999999999</v>
      </c>
      <c r="H9" s="163">
        <v>68.944419999999994</v>
      </c>
      <c r="I9" s="163">
        <v>68.62894</v>
      </c>
      <c r="J9" s="163">
        <v>68.313460000000006</v>
      </c>
      <c r="K9" s="163">
        <v>68.313460000000006</v>
      </c>
      <c r="L9" s="163">
        <v>68.313460000000006</v>
      </c>
      <c r="M9" s="163">
        <v>98.086999999999989</v>
      </c>
      <c r="N9" s="163">
        <v>98.086999999999989</v>
      </c>
      <c r="O9" s="172">
        <f>+'5ta'!$R94*Coberturas!O$11</f>
        <v>75.31547404233504</v>
      </c>
      <c r="P9" s="172">
        <f>+'5ta'!$R94*Coberturas!P$11</f>
        <v>75.278569460054314</v>
      </c>
      <c r="Q9" s="172">
        <f>+'5ta'!$R94*Coberturas!Q$11</f>
        <v>75.241682961018881</v>
      </c>
      <c r="R9" s="172">
        <f>+'5ta'!$R94*Coberturas!R$11</f>
        <v>75.204814536367991</v>
      </c>
      <c r="S9" s="172">
        <f>+'5ta'!$R94*Coberturas!S$11</f>
        <v>75.167964177245167</v>
      </c>
      <c r="T9" s="172">
        <f>+'5ta'!$R94*Coberturas!T$11</f>
        <v>75.131131874798328</v>
      </c>
      <c r="U9" s="172">
        <f>+'5ta'!$R94*Coberturas!U$11</f>
        <v>75.094317620179666</v>
      </c>
      <c r="V9" s="172">
        <f>+'5ta'!$R94*Coberturas!V$11</f>
        <v>75.057521404545781</v>
      </c>
      <c r="W9" s="172">
        <f>+'5ta'!$R94*Coberturas!W$11</f>
        <v>75.020743219057564</v>
      </c>
      <c r="X9" s="172">
        <f>+'5ta'!$R94*Coberturas!X$11</f>
        <v>74.983983054880213</v>
      </c>
      <c r="Y9" s="172">
        <f>+'5ta'!$R94*Coberturas!Y$11</f>
        <v>74.947240903183314</v>
      </c>
      <c r="Z9" s="172">
        <f>+'5ta'!$R94*Coberturas!Z$11</f>
        <v>74.910516755140762</v>
      </c>
      <c r="AA9" s="172">
        <f>+'5ta'!$R94*Coberturas!AA$11</f>
        <v>74.873810601930742</v>
      </c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</row>
    <row r="10" spans="1:62" x14ac:dyDescent="0.25">
      <c r="A10" s="171" t="s">
        <v>43</v>
      </c>
      <c r="B10" s="163">
        <v>271.77831000000003</v>
      </c>
      <c r="C10" s="163">
        <v>272.68513999999999</v>
      </c>
      <c r="D10" s="163">
        <v>273.59196999999995</v>
      </c>
      <c r="E10" s="163">
        <v>278.16317499999997</v>
      </c>
      <c r="F10" s="163">
        <v>282.73437999999999</v>
      </c>
      <c r="G10" s="163">
        <v>289.39154000000008</v>
      </c>
      <c r="H10" s="163">
        <v>296.0487</v>
      </c>
      <c r="I10" s="163">
        <v>298.13771499999996</v>
      </c>
      <c r="J10" s="163">
        <v>300.22672999999998</v>
      </c>
      <c r="K10" s="163">
        <v>300.22672999999998</v>
      </c>
      <c r="L10" s="163">
        <v>300.22672999999998</v>
      </c>
      <c r="M10" s="163">
        <v>272.84699999999998</v>
      </c>
      <c r="N10" s="163">
        <v>272.84699999999998</v>
      </c>
      <c r="O10" s="172">
        <f>+'5ta'!$R95*Coberturas!O$11</f>
        <v>314.9564204515857</v>
      </c>
      <c r="P10" s="172">
        <f>+'5ta'!$R95*Coberturas!P$11</f>
        <v>314.80209180556443</v>
      </c>
      <c r="Q10" s="172">
        <f>+'5ta'!$R95*Coberturas!Q$11</f>
        <v>314.64783878057972</v>
      </c>
      <c r="R10" s="172">
        <f>+'5ta'!$R95*Coberturas!R$11</f>
        <v>314.49366133957722</v>
      </c>
      <c r="S10" s="172">
        <f>+'5ta'!$R95*Coberturas!S$11</f>
        <v>314.33955944552088</v>
      </c>
      <c r="T10" s="172">
        <f>+'5ta'!$R95*Coberturas!T$11</f>
        <v>314.18553306139256</v>
      </c>
      <c r="U10" s="172">
        <f>+'5ta'!$R95*Coberturas!U$11</f>
        <v>314.03158215019249</v>
      </c>
      <c r="V10" s="172">
        <f>+'5ta'!$R95*Coberturas!V$11</f>
        <v>313.87770667493891</v>
      </c>
      <c r="W10" s="172">
        <f>+'5ta'!$R95*Coberturas!W$11</f>
        <v>313.72390659866818</v>
      </c>
      <c r="X10" s="172">
        <f>+'5ta'!$R95*Coberturas!X$11</f>
        <v>313.57018188443482</v>
      </c>
      <c r="Y10" s="172">
        <f>+'5ta'!$R95*Coberturas!Y$11</f>
        <v>313.4165324953114</v>
      </c>
      <c r="Z10" s="172">
        <f>+'5ta'!$R95*Coberturas!Z$11</f>
        <v>313.2629583943887</v>
      </c>
      <c r="AA10" s="172">
        <f>+'5ta'!$R95*Coberturas!AA$11</f>
        <v>313.10945954477546</v>
      </c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</row>
    <row r="11" spans="1:62" x14ac:dyDescent="0.25">
      <c r="A11" s="164" t="s">
        <v>224</v>
      </c>
      <c r="B11" s="165">
        <f>+SUM(B2:B10)</f>
        <v>5037.8558999999996</v>
      </c>
      <c r="C11" s="165">
        <f t="shared" ref="C11" si="0">+SUM(C2:C10)</f>
        <v>5231.3855499999991</v>
      </c>
      <c r="D11" s="165">
        <f t="shared" ref="D11" si="1">+SUM(D2:D10)</f>
        <v>5424.9151999999995</v>
      </c>
      <c r="E11" s="165">
        <f t="shared" ref="E11" si="2">+SUM(E2:E10)</f>
        <v>5552.331835</v>
      </c>
      <c r="F11" s="165">
        <f t="shared" ref="F11" si="3">+SUM(F2:F10)</f>
        <v>5679.7484699999995</v>
      </c>
      <c r="G11" s="165">
        <f t="shared" ref="G11" si="4">+SUM(G2:G10)</f>
        <v>5718.0810199999996</v>
      </c>
      <c r="H11" s="165">
        <f t="shared" ref="H11" si="5">+SUM(H2:H10)</f>
        <v>5756.4135699999997</v>
      </c>
      <c r="I11" s="165">
        <f t="shared" ref="I11" si="6">+SUM(I2:I10)</f>
        <v>5858.1530949999997</v>
      </c>
      <c r="J11" s="165">
        <f t="shared" ref="J11" si="7">+SUM(J2:J10)</f>
        <v>5959.8926200000005</v>
      </c>
      <c r="K11" s="165">
        <f t="shared" ref="K11" si="8">+SUM(K2:K10)</f>
        <v>5959.8926200000005</v>
      </c>
      <c r="L11" s="165">
        <f>+SUM(L2:L10)</f>
        <v>5959.8926200000005</v>
      </c>
      <c r="M11" s="165">
        <f>+SUM(M2:M10)</f>
        <v>5841.0949999999993</v>
      </c>
      <c r="N11" s="165">
        <f>+SUM(N2:N10)</f>
        <v>5841.0949999999993</v>
      </c>
      <c r="O11" s="166">
        <f>+N11-N11*(0.049/100)</f>
        <v>5838.2328634499991</v>
      </c>
      <c r="P11" s="166">
        <f t="shared" ref="P11:AA11" si="9">+O11-O11*(0.049/100)</f>
        <v>5835.3721293469089</v>
      </c>
      <c r="Q11" s="166">
        <f t="shared" si="9"/>
        <v>5832.5127970035292</v>
      </c>
      <c r="R11" s="166">
        <f t="shared" si="9"/>
        <v>5829.6548657329977</v>
      </c>
      <c r="S11" s="166">
        <f t="shared" si="9"/>
        <v>5826.7983348487887</v>
      </c>
      <c r="T11" s="166">
        <f t="shared" si="9"/>
        <v>5823.9432036647131</v>
      </c>
      <c r="U11" s="166">
        <f t="shared" si="9"/>
        <v>5821.0894714949172</v>
      </c>
      <c r="V11" s="166">
        <f t="shared" si="9"/>
        <v>5818.2371376538849</v>
      </c>
      <c r="W11" s="166">
        <f t="shared" si="9"/>
        <v>5815.3862014564347</v>
      </c>
      <c r="X11" s="166">
        <f t="shared" si="9"/>
        <v>5812.5366622177207</v>
      </c>
      <c r="Y11" s="166">
        <f t="shared" si="9"/>
        <v>5809.6885192532336</v>
      </c>
      <c r="Z11" s="166">
        <f t="shared" si="9"/>
        <v>5806.8417718787996</v>
      </c>
      <c r="AA11" s="166">
        <f t="shared" si="9"/>
        <v>5803.9964194105787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</row>
    <row r="12" spans="1:62" x14ac:dyDescent="0.25">
      <c r="A12" s="164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>
        <f>+L13*1000</f>
        <v>6402.21</v>
      </c>
      <c r="M12" s="165">
        <f t="shared" ref="M12:AA12" si="10">+M13*1000</f>
        <v>6308.2599999999993</v>
      </c>
      <c r="N12" s="165">
        <f t="shared" si="10"/>
        <v>6215.02</v>
      </c>
      <c r="O12" s="165">
        <f t="shared" si="10"/>
        <v>6122.49</v>
      </c>
      <c r="P12" s="165">
        <f t="shared" si="10"/>
        <v>6030.66</v>
      </c>
      <c r="Q12" s="165">
        <f t="shared" si="10"/>
        <v>5939.54</v>
      </c>
      <c r="R12" s="165">
        <f t="shared" si="10"/>
        <v>5849.1</v>
      </c>
      <c r="S12" s="165">
        <f t="shared" si="10"/>
        <v>5759.35</v>
      </c>
      <c r="T12" s="165">
        <f t="shared" si="10"/>
        <v>5670.29</v>
      </c>
      <c r="U12" s="165">
        <f t="shared" si="10"/>
        <v>5581.9</v>
      </c>
      <c r="V12" s="165">
        <f t="shared" si="10"/>
        <v>5494.18</v>
      </c>
      <c r="W12" s="165">
        <f t="shared" si="10"/>
        <v>5407.13</v>
      </c>
      <c r="X12" s="165">
        <f t="shared" si="10"/>
        <v>5320.74</v>
      </c>
      <c r="Y12" s="165">
        <f t="shared" si="10"/>
        <v>5235.01</v>
      </c>
      <c r="Z12" s="165">
        <f t="shared" si="10"/>
        <v>5149.92</v>
      </c>
      <c r="AA12" s="165">
        <f t="shared" si="10"/>
        <v>5065.49</v>
      </c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</row>
    <row r="13" spans="1:62" x14ac:dyDescent="0.25">
      <c r="A13" s="164" t="s">
        <v>225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7">
        <v>6.4022100000000002</v>
      </c>
      <c r="M13" s="168">
        <v>6.3082599999999998</v>
      </c>
      <c r="N13" s="168">
        <v>6.21502</v>
      </c>
      <c r="O13" s="168">
        <v>6.12249</v>
      </c>
      <c r="P13" s="168">
        <v>6.0306600000000001</v>
      </c>
      <c r="Q13" s="168">
        <v>5.93954</v>
      </c>
      <c r="R13" s="169">
        <v>5.8491</v>
      </c>
      <c r="S13" s="169">
        <v>5.7593500000000004</v>
      </c>
      <c r="T13" s="169">
        <v>5.6702899999999996</v>
      </c>
      <c r="U13" s="169">
        <v>5.5819000000000001</v>
      </c>
      <c r="V13" s="169">
        <v>5.4941800000000001</v>
      </c>
      <c r="W13" s="169">
        <v>5.4071300000000004</v>
      </c>
      <c r="X13" s="169">
        <v>5.3207399999999998</v>
      </c>
      <c r="Y13" s="169">
        <v>5.2350099999999999</v>
      </c>
      <c r="Z13" s="169">
        <v>5.1499199999999998</v>
      </c>
      <c r="AA13" s="169">
        <v>5.0654899999999996</v>
      </c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</row>
    <row r="14" spans="1:62" x14ac:dyDescent="0.25">
      <c r="A14" s="193" t="s">
        <v>14</v>
      </c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>
        <f>+L11+(L13*1000)</f>
        <v>12362.102620000001</v>
      </c>
      <c r="M14" s="194">
        <f t="shared" ref="L14:AA14" si="11">+M11+(M13*1000)</f>
        <v>12149.355</v>
      </c>
      <c r="N14" s="194">
        <f t="shared" si="11"/>
        <v>12056.115</v>
      </c>
      <c r="O14" s="194">
        <f t="shared" si="11"/>
        <v>11960.722863449999</v>
      </c>
      <c r="P14" s="194">
        <f t="shared" si="11"/>
        <v>11866.03212934691</v>
      </c>
      <c r="Q14" s="194">
        <f t="shared" si="11"/>
        <v>11772.052797003529</v>
      </c>
      <c r="R14" s="194">
        <f t="shared" si="11"/>
        <v>11678.754865732997</v>
      </c>
      <c r="S14" s="194">
        <f t="shared" si="11"/>
        <v>11586.148334848789</v>
      </c>
      <c r="T14" s="194">
        <f t="shared" si="11"/>
        <v>11494.233203664713</v>
      </c>
      <c r="U14" s="194">
        <f t="shared" si="11"/>
        <v>11402.989471494917</v>
      </c>
      <c r="V14" s="194">
        <f t="shared" si="11"/>
        <v>11312.417137653885</v>
      </c>
      <c r="W14" s="194">
        <f t="shared" si="11"/>
        <v>11222.516201456434</v>
      </c>
      <c r="X14" s="194">
        <f t="shared" si="11"/>
        <v>11133.276662217721</v>
      </c>
      <c r="Y14" s="194">
        <f t="shared" si="11"/>
        <v>11044.698519253234</v>
      </c>
      <c r="Z14" s="194">
        <f t="shared" si="11"/>
        <v>10956.761771878799</v>
      </c>
      <c r="AA14" s="194">
        <f t="shared" si="11"/>
        <v>10869.486419410579</v>
      </c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</row>
    <row r="15" spans="1:62" x14ac:dyDescent="0.25">
      <c r="A15" s="196" t="s">
        <v>226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69">
        <f>+(M14-L14)/1000</f>
        <v>-0.21274762000000191</v>
      </c>
      <c r="N15" s="169">
        <f t="shared" ref="N15:AA15" si="12">+(N14-M14)/1000</f>
        <v>-9.3239999999999781E-2</v>
      </c>
      <c r="O15" s="169">
        <f>+(O14-N14)/1000</f>
        <v>-9.5392136550000936E-2</v>
      </c>
      <c r="P15" s="169">
        <f t="shared" si="12"/>
        <v>-9.4690734103089202E-2</v>
      </c>
      <c r="Q15" s="169">
        <f t="shared" si="12"/>
        <v>-9.3979332343380517E-2</v>
      </c>
      <c r="R15" s="169">
        <f t="shared" si="12"/>
        <v>-9.3297931270531986E-2</v>
      </c>
      <c r="S15" s="169">
        <f t="shared" si="12"/>
        <v>-9.2606530884208046E-2</v>
      </c>
      <c r="T15" s="169">
        <f t="shared" si="12"/>
        <v>-9.1915131184076015E-2</v>
      </c>
      <c r="U15" s="169">
        <f t="shared" si="12"/>
        <v>-9.1243732169796199E-2</v>
      </c>
      <c r="V15" s="169">
        <f t="shared" si="12"/>
        <v>-9.0572333841031652E-2</v>
      </c>
      <c r="W15" s="169">
        <f t="shared" si="12"/>
        <v>-8.9900936197451306E-2</v>
      </c>
      <c r="X15" s="169">
        <f t="shared" si="12"/>
        <v>-8.9239539238713403E-2</v>
      </c>
      <c r="Y15" s="169">
        <f t="shared" si="12"/>
        <v>-8.8578142964486684E-2</v>
      </c>
      <c r="Z15" s="169">
        <f t="shared" si="12"/>
        <v>-8.7936747374435076E-2</v>
      </c>
      <c r="AA15" s="169">
        <f t="shared" si="12"/>
        <v>-8.7275352468219353E-2</v>
      </c>
    </row>
    <row r="16" spans="1:62" x14ac:dyDescent="0.25">
      <c r="A16" s="463"/>
      <c r="B16" s="464"/>
      <c r="C16" s="464"/>
      <c r="D16" s="464"/>
      <c r="E16" s="464"/>
      <c r="F16" s="464"/>
      <c r="G16" s="464"/>
      <c r="H16" s="464"/>
      <c r="I16" s="464"/>
      <c r="J16" s="464"/>
      <c r="K16" s="464"/>
      <c r="L16" s="464"/>
      <c r="M16" s="465"/>
      <c r="N16" s="465"/>
      <c r="O16" s="465"/>
      <c r="P16" s="465"/>
      <c r="Q16" s="465"/>
      <c r="R16" s="465"/>
      <c r="S16" s="465"/>
      <c r="T16" s="465"/>
      <c r="U16" s="465"/>
      <c r="V16" s="465"/>
      <c r="W16" s="465"/>
      <c r="X16" s="465"/>
      <c r="Y16" s="465"/>
      <c r="Z16" s="465"/>
      <c r="AA16" s="465"/>
    </row>
    <row r="18" spans="1:27" x14ac:dyDescent="0.25">
      <c r="O18" s="66"/>
      <c r="P18" s="454"/>
      <c r="Q18" s="454"/>
      <c r="R18" s="454"/>
      <c r="S18" s="454"/>
      <c r="T18" s="454"/>
      <c r="U18" s="454"/>
      <c r="V18" s="454"/>
      <c r="W18" s="454"/>
      <c r="X18" s="66"/>
      <c r="Y18" s="66"/>
      <c r="Z18" s="66"/>
      <c r="AA18" s="66"/>
    </row>
    <row r="19" spans="1:27" ht="15.75" thickBot="1" x14ac:dyDescent="0.3"/>
    <row r="20" spans="1:27" ht="30.75" thickBot="1" x14ac:dyDescent="0.3">
      <c r="A20" s="159" t="s">
        <v>46</v>
      </c>
      <c r="B20" s="160">
        <v>2010</v>
      </c>
      <c r="C20" s="160">
        <v>2011</v>
      </c>
      <c r="D20" s="160">
        <v>2012</v>
      </c>
      <c r="E20" s="160">
        <v>2013</v>
      </c>
      <c r="F20" s="160">
        <v>2014</v>
      </c>
      <c r="G20" s="160">
        <v>2015</v>
      </c>
      <c r="H20" s="160">
        <v>2016</v>
      </c>
      <c r="I20" s="160">
        <v>2017</v>
      </c>
      <c r="J20" s="160">
        <v>2018</v>
      </c>
      <c r="K20" s="160">
        <v>2019</v>
      </c>
      <c r="L20" s="160">
        <v>2020</v>
      </c>
      <c r="M20" s="160">
        <v>2021</v>
      </c>
      <c r="N20" s="160">
        <v>2022</v>
      </c>
      <c r="O20" s="160">
        <v>2023</v>
      </c>
      <c r="P20" s="160">
        <v>2024</v>
      </c>
      <c r="Q20" s="160">
        <v>2025</v>
      </c>
      <c r="R20" s="160">
        <v>2026</v>
      </c>
      <c r="S20" s="160">
        <v>2027</v>
      </c>
      <c r="T20" s="160">
        <v>2028</v>
      </c>
      <c r="U20" s="160">
        <v>2029</v>
      </c>
      <c r="V20" s="160">
        <v>2030</v>
      </c>
      <c r="W20" s="160">
        <v>2031</v>
      </c>
      <c r="X20" s="160">
        <v>2032</v>
      </c>
      <c r="Y20" s="160">
        <v>2033</v>
      </c>
      <c r="Z20" s="160">
        <v>2034</v>
      </c>
      <c r="AA20" s="160">
        <v>2035</v>
      </c>
    </row>
    <row r="21" spans="1:27" x14ac:dyDescent="0.25">
      <c r="A21" s="162" t="s">
        <v>35</v>
      </c>
      <c r="B21" s="163">
        <f t="shared" ref="B21:AA21" si="13">+B2</f>
        <v>12.348319999999999</v>
      </c>
      <c r="C21" s="163">
        <f t="shared" si="13"/>
        <v>13.402625</v>
      </c>
      <c r="D21" s="163">
        <f t="shared" si="13"/>
        <v>14.45693</v>
      </c>
      <c r="E21" s="163">
        <f t="shared" si="13"/>
        <v>14.584459999999998</v>
      </c>
      <c r="F21" s="163">
        <f t="shared" si="13"/>
        <v>14.71199</v>
      </c>
      <c r="G21" s="163">
        <f t="shared" si="13"/>
        <v>14.755529999999998</v>
      </c>
      <c r="H21" s="163">
        <f t="shared" si="13"/>
        <v>14.799069999999999</v>
      </c>
      <c r="I21" s="163">
        <f t="shared" si="13"/>
        <v>14.779864999999999</v>
      </c>
      <c r="J21" s="163">
        <f t="shared" si="13"/>
        <v>14.76066</v>
      </c>
      <c r="K21" s="163">
        <f t="shared" si="13"/>
        <v>14.76066</v>
      </c>
      <c r="L21" s="163">
        <f t="shared" si="13"/>
        <v>14.76066</v>
      </c>
      <c r="M21" s="163">
        <f t="shared" si="13"/>
        <v>13.635</v>
      </c>
      <c r="N21" s="163">
        <f t="shared" si="13"/>
        <v>13.635</v>
      </c>
      <c r="O21" s="163">
        <f t="shared" si="13"/>
        <v>14.310128964267692</v>
      </c>
      <c r="P21" s="163">
        <f t="shared" si="13"/>
        <v>14.303117001075201</v>
      </c>
      <c r="Q21" s="163">
        <f t="shared" si="13"/>
        <v>14.296108473744676</v>
      </c>
      <c r="R21" s="163">
        <f t="shared" si="13"/>
        <v>14.289103380592541</v>
      </c>
      <c r="S21" s="163">
        <f t="shared" si="13"/>
        <v>14.282101719936051</v>
      </c>
      <c r="T21" s="163">
        <f t="shared" si="13"/>
        <v>14.275103490093283</v>
      </c>
      <c r="U21" s="163">
        <f t="shared" si="13"/>
        <v>14.268108689383137</v>
      </c>
      <c r="V21" s="163">
        <f t="shared" si="13"/>
        <v>14.26111731612534</v>
      </c>
      <c r="W21" s="163">
        <f t="shared" si="13"/>
        <v>14.254129368640438</v>
      </c>
      <c r="X21" s="163">
        <f t="shared" si="13"/>
        <v>14.247144845249805</v>
      </c>
      <c r="Y21" s="163">
        <f t="shared" si="13"/>
        <v>14.24016374427563</v>
      </c>
      <c r="Z21" s="163">
        <f t="shared" si="13"/>
        <v>14.233186064040936</v>
      </c>
      <c r="AA21" s="163">
        <f t="shared" si="13"/>
        <v>14.226211802869555</v>
      </c>
    </row>
    <row r="22" spans="1:27" ht="30" x14ac:dyDescent="0.25">
      <c r="A22" s="162" t="s">
        <v>36</v>
      </c>
      <c r="B22" s="163">
        <f t="shared" ref="B22:AA22" si="14">+B3</f>
        <v>120.58364</v>
      </c>
      <c r="C22" s="163">
        <f t="shared" si="14"/>
        <v>126.21503000000001</v>
      </c>
      <c r="D22" s="163">
        <f t="shared" si="14"/>
        <v>131.84642000000002</v>
      </c>
      <c r="E22" s="163">
        <f t="shared" si="14"/>
        <v>136.01050000000001</v>
      </c>
      <c r="F22" s="163">
        <f t="shared" si="14"/>
        <v>140.17457999999999</v>
      </c>
      <c r="G22" s="163">
        <f t="shared" si="14"/>
        <v>140.004625</v>
      </c>
      <c r="H22" s="163">
        <f t="shared" si="14"/>
        <v>139.83467000000002</v>
      </c>
      <c r="I22" s="163">
        <f t="shared" si="14"/>
        <v>139.85384000000005</v>
      </c>
      <c r="J22" s="163">
        <f t="shared" si="14"/>
        <v>139.87301000000002</v>
      </c>
      <c r="K22" s="163">
        <f t="shared" si="14"/>
        <v>139.87301000000002</v>
      </c>
      <c r="L22" s="163">
        <f t="shared" si="14"/>
        <v>139.87301000000002</v>
      </c>
      <c r="M22" s="163">
        <f t="shared" si="14"/>
        <v>139.38600000000002</v>
      </c>
      <c r="N22" s="163">
        <f t="shared" si="14"/>
        <v>139.38600000000002</v>
      </c>
      <c r="O22" s="163">
        <f t="shared" si="14"/>
        <v>139.74106918032805</v>
      </c>
      <c r="P22" s="163">
        <f t="shared" si="14"/>
        <v>139.67259605642968</v>
      </c>
      <c r="Q22" s="163">
        <f t="shared" si="14"/>
        <v>139.60415648436205</v>
      </c>
      <c r="R22" s="163">
        <f t="shared" si="14"/>
        <v>139.53575044768471</v>
      </c>
      <c r="S22" s="163">
        <f t="shared" si="14"/>
        <v>139.46737792996535</v>
      </c>
      <c r="T22" s="163">
        <f t="shared" si="14"/>
        <v>139.39903891477968</v>
      </c>
      <c r="U22" s="163">
        <f t="shared" si="14"/>
        <v>139.33073338571143</v>
      </c>
      <c r="V22" s="163">
        <f t="shared" si="14"/>
        <v>139.26246132635245</v>
      </c>
      <c r="W22" s="163">
        <f t="shared" si="14"/>
        <v>139.19422272030252</v>
      </c>
      <c r="X22" s="163">
        <f t="shared" si="14"/>
        <v>139.12601755116958</v>
      </c>
      <c r="Y22" s="163">
        <f t="shared" si="14"/>
        <v>139.05784580256949</v>
      </c>
      <c r="Z22" s="163">
        <f t="shared" si="14"/>
        <v>138.98970745812622</v>
      </c>
      <c r="AA22" s="163">
        <f t="shared" si="14"/>
        <v>138.92160250147174</v>
      </c>
    </row>
    <row r="23" spans="1:27" ht="30" x14ac:dyDescent="0.25">
      <c r="A23" s="162" t="s">
        <v>37</v>
      </c>
      <c r="B23" s="163">
        <f t="shared" ref="B23:M23" si="15">+B4</f>
        <v>1153.0325599999999</v>
      </c>
      <c r="C23" s="163">
        <f t="shared" si="15"/>
        <v>1158.7425649999998</v>
      </c>
      <c r="D23" s="163">
        <f t="shared" si="15"/>
        <v>1164.4525700000002</v>
      </c>
      <c r="E23" s="163">
        <f t="shared" si="15"/>
        <v>1198.650245</v>
      </c>
      <c r="F23" s="163">
        <f t="shared" si="15"/>
        <v>1232.8479199999999</v>
      </c>
      <c r="G23" s="163">
        <f t="shared" si="15"/>
        <v>1233.796515</v>
      </c>
      <c r="H23" s="163">
        <f t="shared" si="15"/>
        <v>1234.7451100000003</v>
      </c>
      <c r="I23" s="163">
        <f t="shared" si="15"/>
        <v>1245.5305000000001</v>
      </c>
      <c r="J23" s="163">
        <f t="shared" si="15"/>
        <v>1256.3158900000001</v>
      </c>
      <c r="K23" s="163">
        <f t="shared" si="15"/>
        <v>1256.3158900000001</v>
      </c>
      <c r="L23" s="163">
        <f t="shared" si="15"/>
        <v>1256.3158900000001</v>
      </c>
      <c r="M23" s="163">
        <f t="shared" si="15"/>
        <v>1257.5179999999998</v>
      </c>
      <c r="N23" s="163">
        <f>+N4</f>
        <v>1257.5179999999998</v>
      </c>
      <c r="O23" s="163">
        <f>+O4</f>
        <v>1336.217771615874</v>
      </c>
      <c r="P23" s="163">
        <f>+P4</f>
        <v>1335.5630249077822</v>
      </c>
      <c r="Q23" s="163">
        <f>+Q4</f>
        <v>1334.9085990255774</v>
      </c>
      <c r="R23" s="163">
        <f>+R4+Medidas!C5/1000</f>
        <v>1334.3344938120549</v>
      </c>
      <c r="S23" s="163">
        <f t="shared" ref="S23:Z23" si="16">+R23</f>
        <v>1334.3344938120549</v>
      </c>
      <c r="T23" s="163">
        <f t="shared" si="16"/>
        <v>1334.3344938120549</v>
      </c>
      <c r="U23" s="163">
        <f>+T23</f>
        <v>1334.3344938120549</v>
      </c>
      <c r="V23" s="163">
        <f t="shared" si="16"/>
        <v>1334.3344938120549</v>
      </c>
      <c r="W23" s="163">
        <f t="shared" si="16"/>
        <v>1334.3344938120549</v>
      </c>
      <c r="X23" s="163">
        <f t="shared" si="16"/>
        <v>1334.3344938120549</v>
      </c>
      <c r="Y23" s="163">
        <f t="shared" si="16"/>
        <v>1334.3344938120549</v>
      </c>
      <c r="Z23" s="163">
        <f t="shared" si="16"/>
        <v>1334.3344938120549</v>
      </c>
      <c r="AA23" s="163">
        <f>+Z23</f>
        <v>1334.3344938120549</v>
      </c>
    </row>
    <row r="24" spans="1:27" ht="30" x14ac:dyDescent="0.25">
      <c r="A24" s="162" t="s">
        <v>38</v>
      </c>
      <c r="B24" s="163">
        <f t="shared" ref="B24:Q24" si="17">+B5</f>
        <v>468.70030000000003</v>
      </c>
      <c r="C24" s="163">
        <f t="shared" si="17"/>
        <v>469.70792499999999</v>
      </c>
      <c r="D24" s="163">
        <f t="shared" si="17"/>
        <v>470.71555000000001</v>
      </c>
      <c r="E24" s="163">
        <f t="shared" si="17"/>
        <v>488.97562999999997</v>
      </c>
      <c r="F24" s="163">
        <f t="shared" si="17"/>
        <v>507.23570999999998</v>
      </c>
      <c r="G24" s="163">
        <f t="shared" si="17"/>
        <v>506.69036499999999</v>
      </c>
      <c r="H24" s="163">
        <f t="shared" si="17"/>
        <v>506.14502000000005</v>
      </c>
      <c r="I24" s="163">
        <f t="shared" si="17"/>
        <v>514.642335</v>
      </c>
      <c r="J24" s="163">
        <f t="shared" si="17"/>
        <v>523.13965000000007</v>
      </c>
      <c r="K24" s="163">
        <f t="shared" si="17"/>
        <v>523.13965000000007</v>
      </c>
      <c r="L24" s="163">
        <f t="shared" si="17"/>
        <v>523.13965000000007</v>
      </c>
      <c r="M24" s="163">
        <f t="shared" si="17"/>
        <v>515.14400000000001</v>
      </c>
      <c r="N24" s="163">
        <f t="shared" si="17"/>
        <v>515.14400000000001</v>
      </c>
      <c r="O24" s="163">
        <f t="shared" si="17"/>
        <v>543.16390720283869</v>
      </c>
      <c r="P24" s="163">
        <f t="shared" si="17"/>
        <v>542.89775688830935</v>
      </c>
      <c r="Q24" s="163">
        <f t="shared" si="17"/>
        <v>542.63173698743412</v>
      </c>
      <c r="R24" s="163">
        <f t="shared" ref="R24:AA24" si="18">+R5</f>
        <v>542.36584743631033</v>
      </c>
      <c r="S24" s="163">
        <f t="shared" si="18"/>
        <v>542.10008817106655</v>
      </c>
      <c r="T24" s="163">
        <f t="shared" si="18"/>
        <v>541.83445912786271</v>
      </c>
      <c r="U24" s="163">
        <f t="shared" si="18"/>
        <v>541.56896024289006</v>
      </c>
      <c r="V24" s="163">
        <f t="shared" si="18"/>
        <v>541.30359145237105</v>
      </c>
      <c r="W24" s="163">
        <f t="shared" si="18"/>
        <v>541.03835269255944</v>
      </c>
      <c r="X24" s="163">
        <f t="shared" si="18"/>
        <v>540.77324389974001</v>
      </c>
      <c r="Y24" s="163">
        <f t="shared" si="18"/>
        <v>540.50826501022914</v>
      </c>
      <c r="Z24" s="163">
        <f t="shared" si="18"/>
        <v>540.24341596037414</v>
      </c>
      <c r="AA24" s="163">
        <f t="shared" si="18"/>
        <v>539.97869668655346</v>
      </c>
    </row>
    <row r="25" spans="1:27" ht="45" x14ac:dyDescent="0.25">
      <c r="A25" s="162" t="s">
        <v>39</v>
      </c>
      <c r="B25" s="163">
        <f t="shared" ref="B25:Q25" si="19">+B6</f>
        <v>322.78176000000002</v>
      </c>
      <c r="C25" s="163">
        <f t="shared" si="19"/>
        <v>325.37089000000003</v>
      </c>
      <c r="D25" s="163">
        <f t="shared" si="19"/>
        <v>327.96002000000004</v>
      </c>
      <c r="E25" s="163">
        <f t="shared" si="19"/>
        <v>333.55776000000003</v>
      </c>
      <c r="F25" s="163">
        <f t="shared" si="19"/>
        <v>339.15550000000002</v>
      </c>
      <c r="G25" s="163">
        <f t="shared" si="19"/>
        <v>340.20731000000001</v>
      </c>
      <c r="H25" s="163">
        <f t="shared" si="19"/>
        <v>341.25912</v>
      </c>
      <c r="I25" s="163">
        <f t="shared" si="19"/>
        <v>357.94489000000004</v>
      </c>
      <c r="J25" s="163">
        <f t="shared" si="19"/>
        <v>374.63065999999992</v>
      </c>
      <c r="K25" s="163">
        <f t="shared" si="19"/>
        <v>374.63065999999992</v>
      </c>
      <c r="L25" s="163">
        <f t="shared" si="19"/>
        <v>374.63065999999992</v>
      </c>
      <c r="M25" s="163">
        <f t="shared" si="19"/>
        <v>375.10900000000004</v>
      </c>
      <c r="N25" s="163">
        <f t="shared" si="19"/>
        <v>375.10900000000004</v>
      </c>
      <c r="O25" s="163">
        <f t="shared" si="19"/>
        <v>374.06291810653624</v>
      </c>
      <c r="P25" s="163">
        <f t="shared" si="19"/>
        <v>373.87962727666405</v>
      </c>
      <c r="Q25" s="163">
        <f t="shared" si="19"/>
        <v>373.69642625929851</v>
      </c>
      <c r="R25" s="163">
        <f>+R6+(Medidas!C4+Medidas!C6)/1000</f>
        <v>373.78831501043146</v>
      </c>
      <c r="S25" s="163">
        <f t="shared" ref="S25:AA26" si="20">+R25</f>
        <v>373.78831501043146</v>
      </c>
      <c r="T25" s="163">
        <f t="shared" si="20"/>
        <v>373.78831501043146</v>
      </c>
      <c r="U25" s="163">
        <f t="shared" si="20"/>
        <v>373.78831501043146</v>
      </c>
      <c r="V25" s="163">
        <f t="shared" si="20"/>
        <v>373.78831501043146</v>
      </c>
      <c r="W25" s="163">
        <f t="shared" si="20"/>
        <v>373.78831501043146</v>
      </c>
      <c r="X25" s="163">
        <f t="shared" si="20"/>
        <v>373.78831501043146</v>
      </c>
      <c r="Y25" s="163">
        <f t="shared" si="20"/>
        <v>373.78831501043146</v>
      </c>
      <c r="Z25" s="163">
        <f t="shared" si="20"/>
        <v>373.78831501043146</v>
      </c>
      <c r="AA25" s="163">
        <f t="shared" si="20"/>
        <v>373.78831501043146</v>
      </c>
    </row>
    <row r="26" spans="1:27" ht="45" x14ac:dyDescent="0.25">
      <c r="A26" s="162" t="s">
        <v>40</v>
      </c>
      <c r="B26" s="163">
        <f t="shared" ref="B26:Q26" si="21">+B7</f>
        <v>2361.9546099999998</v>
      </c>
      <c r="C26" s="163">
        <f t="shared" si="21"/>
        <v>2536.3037899999999</v>
      </c>
      <c r="D26" s="163">
        <f t="shared" si="21"/>
        <v>2710.6529700000006</v>
      </c>
      <c r="E26" s="163">
        <f t="shared" si="21"/>
        <v>2768.5833699999998</v>
      </c>
      <c r="F26" s="163">
        <f t="shared" si="21"/>
        <v>2826.51377</v>
      </c>
      <c r="G26" s="163">
        <f t="shared" si="21"/>
        <v>2858.75821</v>
      </c>
      <c r="H26" s="163">
        <f t="shared" si="21"/>
        <v>2891.0026499999999</v>
      </c>
      <c r="I26" s="163">
        <f t="shared" si="21"/>
        <v>2955.7263049999997</v>
      </c>
      <c r="J26" s="163">
        <f t="shared" si="21"/>
        <v>3020.4499599999999</v>
      </c>
      <c r="K26" s="163">
        <f t="shared" si="21"/>
        <v>3020.4499599999999</v>
      </c>
      <c r="L26" s="163">
        <f t="shared" si="21"/>
        <v>3020.4499599999999</v>
      </c>
      <c r="M26" s="163">
        <f t="shared" si="21"/>
        <v>2928.8820000000001</v>
      </c>
      <c r="N26" s="163">
        <f t="shared" si="21"/>
        <v>2928.8820000000001</v>
      </c>
      <c r="O26" s="163">
        <f t="shared" si="21"/>
        <v>2737.2043384724884</v>
      </c>
      <c r="P26" s="163">
        <f t="shared" si="21"/>
        <v>2735.8631083466371</v>
      </c>
      <c r="Q26" s="163">
        <f t="shared" si="21"/>
        <v>2734.5225354235472</v>
      </c>
      <c r="R26" s="163">
        <f>+R7+17</f>
        <v>2750.1826193811899</v>
      </c>
      <c r="S26" s="163">
        <f>+R26</f>
        <v>2750.1826193811899</v>
      </c>
      <c r="T26" s="163">
        <f>+S26</f>
        <v>2750.1826193811899</v>
      </c>
      <c r="U26" s="163">
        <f>+T26-17</f>
        <v>2733.1826193811899</v>
      </c>
      <c r="V26" s="163">
        <f>+U26</f>
        <v>2733.1826193811899</v>
      </c>
      <c r="W26" s="163">
        <f t="shared" si="20"/>
        <v>2733.1826193811899</v>
      </c>
      <c r="X26" s="163">
        <f t="shared" si="20"/>
        <v>2733.1826193811899</v>
      </c>
      <c r="Y26" s="163">
        <f t="shared" si="20"/>
        <v>2733.1826193811899</v>
      </c>
      <c r="Z26" s="163">
        <f t="shared" si="20"/>
        <v>2733.1826193811899</v>
      </c>
      <c r="AA26" s="163">
        <f t="shared" si="20"/>
        <v>2733.1826193811899</v>
      </c>
    </row>
    <row r="27" spans="1:27" ht="45" x14ac:dyDescent="0.25">
      <c r="A27" s="162" t="s">
        <v>41</v>
      </c>
      <c r="B27" s="163">
        <f t="shared" ref="B27:Q27" si="22">+B8</f>
        <v>261.68610000000001</v>
      </c>
      <c r="C27" s="163">
        <f t="shared" si="22"/>
        <v>263.62240000000003</v>
      </c>
      <c r="D27" s="163">
        <f t="shared" si="22"/>
        <v>265.55870000000004</v>
      </c>
      <c r="E27" s="163">
        <f t="shared" si="22"/>
        <v>269.70002000000005</v>
      </c>
      <c r="F27" s="163">
        <f t="shared" si="22"/>
        <v>273.84134000000006</v>
      </c>
      <c r="G27" s="163">
        <f t="shared" si="22"/>
        <v>268.73807500000004</v>
      </c>
      <c r="H27" s="163">
        <f t="shared" si="22"/>
        <v>263.63481000000002</v>
      </c>
      <c r="I27" s="163">
        <f t="shared" si="22"/>
        <v>262.90870499999994</v>
      </c>
      <c r="J27" s="163">
        <f t="shared" si="22"/>
        <v>262.18259999999998</v>
      </c>
      <c r="K27" s="163">
        <f t="shared" si="22"/>
        <v>262.18259999999998</v>
      </c>
      <c r="L27" s="163">
        <f t="shared" si="22"/>
        <v>262.18259999999998</v>
      </c>
      <c r="M27" s="163">
        <f t="shared" si="22"/>
        <v>240.48699999999999</v>
      </c>
      <c r="N27" s="163">
        <f t="shared" si="22"/>
        <v>240.48699999999999</v>
      </c>
      <c r="O27" s="163">
        <f t="shared" si="22"/>
        <v>303.2608354137447</v>
      </c>
      <c r="P27" s="163">
        <f t="shared" si="22"/>
        <v>303.11223760439202</v>
      </c>
      <c r="Q27" s="163">
        <f t="shared" si="22"/>
        <v>302.96371260796587</v>
      </c>
      <c r="R27" s="163">
        <f t="shared" ref="R27:AA27" si="23">+R8</f>
        <v>302.81526038878798</v>
      </c>
      <c r="S27" s="163">
        <f t="shared" si="23"/>
        <v>302.6668809111975</v>
      </c>
      <c r="T27" s="163">
        <f t="shared" si="23"/>
        <v>302.51857413955099</v>
      </c>
      <c r="U27" s="163">
        <f t="shared" si="23"/>
        <v>302.37034003822265</v>
      </c>
      <c r="V27" s="163">
        <f t="shared" si="23"/>
        <v>302.22217857160393</v>
      </c>
      <c r="W27" s="163">
        <f t="shared" si="23"/>
        <v>302.07408970410381</v>
      </c>
      <c r="X27" s="163">
        <f t="shared" si="23"/>
        <v>301.92607340014882</v>
      </c>
      <c r="Y27" s="163">
        <f t="shared" si="23"/>
        <v>301.77812962418272</v>
      </c>
      <c r="Z27" s="163">
        <f t="shared" si="23"/>
        <v>301.63025834066684</v>
      </c>
      <c r="AA27" s="163">
        <f t="shared" si="23"/>
        <v>301.48245951407989</v>
      </c>
    </row>
    <row r="28" spans="1:27" x14ac:dyDescent="0.25">
      <c r="A28" s="162" t="s">
        <v>42</v>
      </c>
      <c r="B28" s="163">
        <f t="shared" ref="B28:Q28" si="24">+B9</f>
        <v>64.990300000000005</v>
      </c>
      <c r="C28" s="163">
        <f t="shared" si="24"/>
        <v>65.33518500000001</v>
      </c>
      <c r="D28" s="163">
        <f t="shared" si="24"/>
        <v>65.680070000000001</v>
      </c>
      <c r="E28" s="163">
        <f t="shared" si="24"/>
        <v>64.106674999999996</v>
      </c>
      <c r="F28" s="163">
        <f t="shared" si="24"/>
        <v>62.533279999999998</v>
      </c>
      <c r="G28" s="163">
        <f t="shared" si="24"/>
        <v>65.738849999999999</v>
      </c>
      <c r="H28" s="163">
        <f t="shared" si="24"/>
        <v>68.944419999999994</v>
      </c>
      <c r="I28" s="163">
        <f t="shared" si="24"/>
        <v>68.62894</v>
      </c>
      <c r="J28" s="163">
        <f t="shared" si="24"/>
        <v>68.313460000000006</v>
      </c>
      <c r="K28" s="163">
        <f t="shared" si="24"/>
        <v>68.313460000000006</v>
      </c>
      <c r="L28" s="163">
        <f t="shared" si="24"/>
        <v>68.313460000000006</v>
      </c>
      <c r="M28" s="163">
        <f t="shared" si="24"/>
        <v>98.086999999999989</v>
      </c>
      <c r="N28" s="163">
        <f t="shared" si="24"/>
        <v>98.086999999999989</v>
      </c>
      <c r="O28" s="163">
        <f t="shared" si="24"/>
        <v>75.31547404233504</v>
      </c>
      <c r="P28" s="163">
        <f t="shared" si="24"/>
        <v>75.278569460054314</v>
      </c>
      <c r="Q28" s="163">
        <f t="shared" si="24"/>
        <v>75.241682961018881</v>
      </c>
      <c r="R28" s="163">
        <f t="shared" ref="R28:AA28" si="25">+R9</f>
        <v>75.204814536367991</v>
      </c>
      <c r="S28" s="163">
        <f t="shared" si="25"/>
        <v>75.167964177245167</v>
      </c>
      <c r="T28" s="163">
        <f t="shared" si="25"/>
        <v>75.131131874798328</v>
      </c>
      <c r="U28" s="163">
        <f t="shared" si="25"/>
        <v>75.094317620179666</v>
      </c>
      <c r="V28" s="163">
        <f t="shared" si="25"/>
        <v>75.057521404545781</v>
      </c>
      <c r="W28" s="163">
        <f t="shared" si="25"/>
        <v>75.020743219057564</v>
      </c>
      <c r="X28" s="163">
        <f t="shared" si="25"/>
        <v>74.983983054880213</v>
      </c>
      <c r="Y28" s="163">
        <f t="shared" si="25"/>
        <v>74.947240903183314</v>
      </c>
      <c r="Z28" s="163">
        <f t="shared" si="25"/>
        <v>74.910516755140762</v>
      </c>
      <c r="AA28" s="163">
        <f t="shared" si="25"/>
        <v>74.873810601930742</v>
      </c>
    </row>
    <row r="29" spans="1:27" x14ac:dyDescent="0.25">
      <c r="A29" s="162" t="s">
        <v>43</v>
      </c>
      <c r="B29" s="198">
        <f t="shared" ref="B29:Q29" si="26">+B10</f>
        <v>271.77831000000003</v>
      </c>
      <c r="C29" s="198">
        <f t="shared" si="26"/>
        <v>272.68513999999999</v>
      </c>
      <c r="D29" s="198">
        <f t="shared" si="26"/>
        <v>273.59196999999995</v>
      </c>
      <c r="E29" s="198">
        <f t="shared" si="26"/>
        <v>278.16317499999997</v>
      </c>
      <c r="F29" s="198">
        <f t="shared" si="26"/>
        <v>282.73437999999999</v>
      </c>
      <c r="G29" s="198">
        <f t="shared" si="26"/>
        <v>289.39154000000008</v>
      </c>
      <c r="H29" s="198">
        <f t="shared" si="26"/>
        <v>296.0487</v>
      </c>
      <c r="I29" s="198">
        <f t="shared" si="26"/>
        <v>298.13771499999996</v>
      </c>
      <c r="J29" s="198">
        <f t="shared" si="26"/>
        <v>300.22672999999998</v>
      </c>
      <c r="K29" s="198">
        <f t="shared" si="26"/>
        <v>300.22672999999998</v>
      </c>
      <c r="L29" s="198">
        <f t="shared" si="26"/>
        <v>300.22672999999998</v>
      </c>
      <c r="M29" s="198">
        <f t="shared" si="26"/>
        <v>272.84699999999998</v>
      </c>
      <c r="N29" s="198">
        <f t="shared" si="26"/>
        <v>272.84699999999998</v>
      </c>
      <c r="O29" s="198">
        <f t="shared" si="26"/>
        <v>314.9564204515857</v>
      </c>
      <c r="P29" s="198">
        <f t="shared" si="26"/>
        <v>314.80209180556443</v>
      </c>
      <c r="Q29" s="198">
        <f t="shared" si="26"/>
        <v>314.64783878057972</v>
      </c>
      <c r="R29" s="198">
        <f t="shared" ref="R29:AA29" si="27">+R10</f>
        <v>314.49366133957722</v>
      </c>
      <c r="S29" s="198">
        <f t="shared" si="27"/>
        <v>314.33955944552088</v>
      </c>
      <c r="T29" s="198">
        <f t="shared" si="27"/>
        <v>314.18553306139256</v>
      </c>
      <c r="U29" s="198">
        <f t="shared" si="27"/>
        <v>314.03158215019249</v>
      </c>
      <c r="V29" s="198">
        <f t="shared" si="27"/>
        <v>313.87770667493891</v>
      </c>
      <c r="W29" s="198">
        <f t="shared" si="27"/>
        <v>313.72390659866818</v>
      </c>
      <c r="X29" s="198">
        <f t="shared" si="27"/>
        <v>313.57018188443482</v>
      </c>
      <c r="Y29" s="198">
        <f t="shared" si="27"/>
        <v>313.4165324953114</v>
      </c>
      <c r="Z29" s="198">
        <f t="shared" si="27"/>
        <v>313.2629583943887</v>
      </c>
      <c r="AA29" s="198">
        <f t="shared" si="27"/>
        <v>313.10945954477546</v>
      </c>
    </row>
    <row r="30" spans="1:27" x14ac:dyDescent="0.25">
      <c r="A30" s="197" t="s">
        <v>224</v>
      </c>
      <c r="B30" s="165">
        <f>+SUM(B21:B29)</f>
        <v>5037.8558999999996</v>
      </c>
      <c r="C30" s="165">
        <f t="shared" ref="C30:AA30" si="28">+SUM(C21:C29)</f>
        <v>5231.3855499999991</v>
      </c>
      <c r="D30" s="165">
        <f t="shared" si="28"/>
        <v>5424.9151999999995</v>
      </c>
      <c r="E30" s="165">
        <f t="shared" si="28"/>
        <v>5552.331835</v>
      </c>
      <c r="F30" s="165">
        <f t="shared" si="28"/>
        <v>5679.7484699999995</v>
      </c>
      <c r="G30" s="165">
        <f t="shared" si="28"/>
        <v>5718.0810199999996</v>
      </c>
      <c r="H30" s="165">
        <f t="shared" si="28"/>
        <v>5756.4135699999997</v>
      </c>
      <c r="I30" s="165">
        <f t="shared" si="28"/>
        <v>5858.1530949999997</v>
      </c>
      <c r="J30" s="165">
        <f t="shared" si="28"/>
        <v>5959.8926200000005</v>
      </c>
      <c r="K30" s="165">
        <f t="shared" si="28"/>
        <v>5959.8926200000005</v>
      </c>
      <c r="L30" s="165">
        <f t="shared" si="28"/>
        <v>5959.8926200000005</v>
      </c>
      <c r="M30" s="165">
        <f t="shared" si="28"/>
        <v>5841.0949999999993</v>
      </c>
      <c r="N30" s="165">
        <f>+SUM(N21:N29)</f>
        <v>5841.0949999999993</v>
      </c>
      <c r="O30" s="165">
        <f>+SUM(O21:O29)</f>
        <v>5838.2328634499981</v>
      </c>
      <c r="P30" s="165">
        <f t="shared" si="28"/>
        <v>5835.372129346908</v>
      </c>
      <c r="Q30" s="165">
        <f t="shared" si="28"/>
        <v>5832.5127970035292</v>
      </c>
      <c r="R30" s="165">
        <f>+SUM(R21:R29)</f>
        <v>5847.0098657329972</v>
      </c>
      <c r="S30" s="165">
        <f t="shared" si="28"/>
        <v>5846.3294005586085</v>
      </c>
      <c r="T30" s="165">
        <f t="shared" si="28"/>
        <v>5845.6492688121534</v>
      </c>
      <c r="U30" s="165">
        <f t="shared" si="28"/>
        <v>5827.9694703302557</v>
      </c>
      <c r="V30" s="165">
        <f t="shared" si="28"/>
        <v>5827.2900049496138</v>
      </c>
      <c r="W30" s="165">
        <f t="shared" si="28"/>
        <v>5826.6108725070071</v>
      </c>
      <c r="X30" s="165">
        <f t="shared" si="28"/>
        <v>5825.9320728392995</v>
      </c>
      <c r="Y30" s="165">
        <f t="shared" si="28"/>
        <v>5825.2536057834277</v>
      </c>
      <c r="Z30" s="165">
        <f t="shared" si="28"/>
        <v>5824.5754711764148</v>
      </c>
      <c r="AA30" s="165">
        <f t="shared" si="28"/>
        <v>5823.8976688553585</v>
      </c>
    </row>
    <row r="31" spans="1:27" x14ac:dyDescent="0.25">
      <c r="A31" s="164" t="s">
        <v>225</v>
      </c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200">
        <v>6.4022100000000002</v>
      </c>
      <c r="M31" s="201">
        <v>6.3082599999999998</v>
      </c>
      <c r="N31" s="201">
        <v>6.21502</v>
      </c>
      <c r="O31" s="201">
        <v>6.12249</v>
      </c>
      <c r="P31" s="201">
        <v>6.0306600000000001</v>
      </c>
      <c r="Q31" s="201">
        <v>5.93954</v>
      </c>
      <c r="R31" s="202">
        <v>5.8491</v>
      </c>
      <c r="S31" s="202">
        <v>5.7593500000000004</v>
      </c>
      <c r="T31" s="202">
        <v>5.6702899999999996</v>
      </c>
      <c r="U31" s="202">
        <v>5.5819000000000001</v>
      </c>
      <c r="V31" s="202">
        <v>5.4941800000000001</v>
      </c>
      <c r="W31" s="202">
        <v>5.4071300000000004</v>
      </c>
      <c r="X31" s="202">
        <v>5.3207399999999998</v>
      </c>
      <c r="Y31" s="202">
        <v>5.2350099999999999</v>
      </c>
      <c r="Z31" s="202">
        <v>5.1499199999999998</v>
      </c>
      <c r="AA31" s="202">
        <v>5.0654899999999996</v>
      </c>
    </row>
    <row r="32" spans="1:27" x14ac:dyDescent="0.25">
      <c r="A32" s="164" t="s">
        <v>14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>
        <f t="shared" ref="L32:AA32" si="29">+L14+L30-L11</f>
        <v>12362.102620000003</v>
      </c>
      <c r="M32" s="166">
        <f t="shared" si="29"/>
        <v>12149.354999999998</v>
      </c>
      <c r="N32" s="166">
        <f t="shared" si="29"/>
        <v>12056.115</v>
      </c>
      <c r="O32" s="166">
        <f t="shared" si="29"/>
        <v>11960.722863449997</v>
      </c>
      <c r="P32" s="166">
        <f t="shared" si="29"/>
        <v>11866.032129346906</v>
      </c>
      <c r="Q32" s="166">
        <f t="shared" si="29"/>
        <v>11772.052797003529</v>
      </c>
      <c r="R32" s="166">
        <f t="shared" si="29"/>
        <v>11696.109865732997</v>
      </c>
      <c r="S32" s="166">
        <f t="shared" si="29"/>
        <v>11605.679400558607</v>
      </c>
      <c r="T32" s="166">
        <f t="shared" si="29"/>
        <v>11515.939268812155</v>
      </c>
      <c r="U32" s="166">
        <f t="shared" si="29"/>
        <v>11409.869470330254</v>
      </c>
      <c r="V32" s="166">
        <f t="shared" si="29"/>
        <v>11321.470004949615</v>
      </c>
      <c r="W32" s="166">
        <f t="shared" si="29"/>
        <v>11233.740872507007</v>
      </c>
      <c r="X32" s="166">
        <f t="shared" si="29"/>
        <v>11146.672072839301</v>
      </c>
      <c r="Y32" s="166">
        <f t="shared" si="29"/>
        <v>11060.263605783426</v>
      </c>
      <c r="Z32" s="166">
        <f t="shared" si="29"/>
        <v>10974.495471176411</v>
      </c>
      <c r="AA32" s="166">
        <f t="shared" si="29"/>
        <v>10889.387668855361</v>
      </c>
    </row>
    <row r="33" spans="1:27" x14ac:dyDescent="0.25">
      <c r="A33" s="196" t="s">
        <v>226</v>
      </c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72">
        <f t="shared" ref="M33:N33" si="30">+M32-L32</f>
        <v>-212.74762000000555</v>
      </c>
      <c r="N33" s="169">
        <f t="shared" si="30"/>
        <v>-93.239999999997963</v>
      </c>
      <c r="O33" s="169">
        <f>+(O32-N32)/1000</f>
        <v>-9.5392136550002754E-2</v>
      </c>
      <c r="P33" s="169">
        <f t="shared" ref="P33:AA33" si="31">+(P32-O32)/1000</f>
        <v>-9.469073410309102E-2</v>
      </c>
      <c r="Q33" s="169">
        <f t="shared" si="31"/>
        <v>-9.3979332343376881E-2</v>
      </c>
      <c r="R33" s="169">
        <f t="shared" si="31"/>
        <v>-7.5942931270532421E-2</v>
      </c>
      <c r="S33" s="169">
        <f t="shared" si="31"/>
        <v>-9.0430465174389615E-2</v>
      </c>
      <c r="T33" s="169">
        <f t="shared" si="31"/>
        <v>-8.9740131746451873E-2</v>
      </c>
      <c r="U33" s="169">
        <f t="shared" si="31"/>
        <v>-0.10606979848190166</v>
      </c>
      <c r="V33" s="169">
        <f t="shared" si="31"/>
        <v>-8.8399465380638503E-2</v>
      </c>
      <c r="W33" s="169">
        <f t="shared" si="31"/>
        <v>-8.7729132442607813E-2</v>
      </c>
      <c r="X33" s="169">
        <f t="shared" si="31"/>
        <v>-8.7068799667706115E-2</v>
      </c>
      <c r="Y33" s="169">
        <f t="shared" si="31"/>
        <v>-8.6408467055875002E-2</v>
      </c>
      <c r="Z33" s="169">
        <f t="shared" si="31"/>
        <v>-8.5768134607014879E-2</v>
      </c>
      <c r="AA33" s="169">
        <f t="shared" si="31"/>
        <v>-8.5107802321050252E-2</v>
      </c>
    </row>
    <row r="34" spans="1:27" x14ac:dyDescent="0.25"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6" spans="1:27" ht="15.75" thickBot="1" x14ac:dyDescent="0.3"/>
    <row r="37" spans="1:27" ht="30.75" thickBot="1" x14ac:dyDescent="0.3">
      <c r="A37" s="159" t="s">
        <v>45</v>
      </c>
      <c r="B37" s="160">
        <v>2010</v>
      </c>
      <c r="C37" s="160">
        <v>2011</v>
      </c>
      <c r="D37" s="160">
        <v>2012</v>
      </c>
      <c r="E37" s="160">
        <v>2013</v>
      </c>
      <c r="F37" s="160">
        <v>2014</v>
      </c>
      <c r="G37" s="160">
        <v>2015</v>
      </c>
      <c r="H37" s="160">
        <v>2016</v>
      </c>
      <c r="I37" s="160">
        <v>2017</v>
      </c>
      <c r="J37" s="160">
        <v>2018</v>
      </c>
      <c r="K37" s="160">
        <v>2019</v>
      </c>
      <c r="L37" s="160">
        <v>2020</v>
      </c>
      <c r="M37" s="160">
        <v>2021</v>
      </c>
      <c r="N37" s="160">
        <v>2022</v>
      </c>
      <c r="O37" s="160">
        <v>2023</v>
      </c>
      <c r="P37" s="160">
        <v>2024</v>
      </c>
      <c r="Q37" s="160">
        <v>2025</v>
      </c>
      <c r="R37" s="160">
        <v>2026</v>
      </c>
      <c r="S37" s="160">
        <v>2027</v>
      </c>
      <c r="T37" s="160">
        <v>2028</v>
      </c>
      <c r="U37" s="160">
        <v>2029</v>
      </c>
      <c r="V37" s="160">
        <v>2030</v>
      </c>
      <c r="W37" s="160">
        <v>2031</v>
      </c>
      <c r="X37" s="160">
        <v>2032</v>
      </c>
      <c r="Y37" s="160">
        <v>2033</v>
      </c>
      <c r="Z37" s="160">
        <v>2034</v>
      </c>
      <c r="AA37" s="160">
        <v>2035</v>
      </c>
    </row>
    <row r="38" spans="1:27" x14ac:dyDescent="0.25">
      <c r="A38" s="162" t="s">
        <v>35</v>
      </c>
      <c r="B38" s="163">
        <f t="shared" ref="B38:Q38" si="32">+B2</f>
        <v>12.348319999999999</v>
      </c>
      <c r="C38" s="163">
        <f t="shared" si="32"/>
        <v>13.402625</v>
      </c>
      <c r="D38" s="163">
        <f t="shared" si="32"/>
        <v>14.45693</v>
      </c>
      <c r="E38" s="163">
        <f t="shared" si="32"/>
        <v>14.584459999999998</v>
      </c>
      <c r="F38" s="163">
        <f t="shared" si="32"/>
        <v>14.71199</v>
      </c>
      <c r="G38" s="163">
        <f t="shared" si="32"/>
        <v>14.755529999999998</v>
      </c>
      <c r="H38" s="163">
        <f t="shared" si="32"/>
        <v>14.799069999999999</v>
      </c>
      <c r="I38" s="163">
        <f t="shared" si="32"/>
        <v>14.779864999999999</v>
      </c>
      <c r="J38" s="163">
        <f t="shared" si="32"/>
        <v>14.76066</v>
      </c>
      <c r="K38" s="163">
        <f t="shared" si="32"/>
        <v>14.76066</v>
      </c>
      <c r="L38" s="163">
        <f t="shared" si="32"/>
        <v>14.76066</v>
      </c>
      <c r="M38" s="163">
        <f t="shared" si="32"/>
        <v>13.635</v>
      </c>
      <c r="N38" s="163">
        <f t="shared" si="32"/>
        <v>13.635</v>
      </c>
      <c r="O38" s="163">
        <f t="shared" si="32"/>
        <v>14.310128964267692</v>
      </c>
      <c r="P38" s="163">
        <f t="shared" si="32"/>
        <v>14.303117001075201</v>
      </c>
      <c r="Q38" s="163">
        <f t="shared" si="32"/>
        <v>14.296108473744676</v>
      </c>
      <c r="R38" s="419">
        <f>+R2+(Medidas!B105/1000)</f>
        <v>14.400063380592542</v>
      </c>
      <c r="S38" s="419">
        <f>+S2+(Medidas!C105/1000)</f>
        <v>14.504011719936051</v>
      </c>
      <c r="T38" s="419">
        <f>+T2+(Medidas!D105/1000)</f>
        <v>14.607973490093283</v>
      </c>
      <c r="U38" s="419">
        <f>+U2+(Medidas!E105/1000)</f>
        <v>14.711938689383137</v>
      </c>
      <c r="V38" s="419">
        <f>+V2+(Medidas!F105/1000)</f>
        <v>14.81590731612534</v>
      </c>
      <c r="W38" s="419">
        <f>+W2+(Medidas!G105/1000)</f>
        <v>14.919869368640438</v>
      </c>
      <c r="X38" s="419">
        <f>+X2+(Medidas!H105/1000)</f>
        <v>15.023844845249805</v>
      </c>
      <c r="Y38" s="419">
        <f>+Y2+(Medidas!I105/1000)</f>
        <v>15.127823744275631</v>
      </c>
      <c r="Z38" s="419">
        <f>+Z2+(Medidas!J105/1000)</f>
        <v>15.231806064040937</v>
      </c>
      <c r="AA38" s="419">
        <f>+AA2+(Medidas!K105/1000)</f>
        <v>15.335781802869555</v>
      </c>
    </row>
    <row r="39" spans="1:27" ht="30" x14ac:dyDescent="0.25">
      <c r="A39" s="162" t="s">
        <v>36</v>
      </c>
      <c r="B39" s="163">
        <f t="shared" ref="B39:Q39" si="33">+B3</f>
        <v>120.58364</v>
      </c>
      <c r="C39" s="163">
        <f t="shared" si="33"/>
        <v>126.21503000000001</v>
      </c>
      <c r="D39" s="163">
        <f t="shared" si="33"/>
        <v>131.84642000000002</v>
      </c>
      <c r="E39" s="163">
        <f t="shared" si="33"/>
        <v>136.01050000000001</v>
      </c>
      <c r="F39" s="163">
        <f t="shared" si="33"/>
        <v>140.17457999999999</v>
      </c>
      <c r="G39" s="163">
        <f t="shared" si="33"/>
        <v>140.004625</v>
      </c>
      <c r="H39" s="163">
        <f t="shared" si="33"/>
        <v>139.83467000000002</v>
      </c>
      <c r="I39" s="163">
        <f t="shared" si="33"/>
        <v>139.85384000000005</v>
      </c>
      <c r="J39" s="163">
        <f t="shared" si="33"/>
        <v>139.87301000000002</v>
      </c>
      <c r="K39" s="163">
        <f t="shared" si="33"/>
        <v>139.87301000000002</v>
      </c>
      <c r="L39" s="163">
        <f t="shared" si="33"/>
        <v>139.87301000000002</v>
      </c>
      <c r="M39" s="163">
        <f t="shared" si="33"/>
        <v>139.38600000000002</v>
      </c>
      <c r="N39" s="163">
        <f t="shared" si="33"/>
        <v>139.38600000000002</v>
      </c>
      <c r="O39" s="163">
        <f t="shared" si="33"/>
        <v>139.74106918032805</v>
      </c>
      <c r="P39" s="163">
        <f t="shared" si="33"/>
        <v>139.67259605642968</v>
      </c>
      <c r="Q39" s="163">
        <f t="shared" si="33"/>
        <v>139.60415648436205</v>
      </c>
      <c r="R39" s="419">
        <f>+R3+(Medidas!B106/1000)</f>
        <v>141.22454044768472</v>
      </c>
      <c r="S39" s="419">
        <f>+S3+(Medidas!C106/1000)</f>
        <v>142.84494792996534</v>
      </c>
      <c r="T39" s="419">
        <f>+T3+(Medidas!D106/1000)</f>
        <v>144.46539891477968</v>
      </c>
      <c r="U39" s="419">
        <f>+U3+(Medidas!E106/1000)</f>
        <v>146.08588338571141</v>
      </c>
      <c r="V39" s="419">
        <f>+V3+(Medidas!F106/1000)</f>
        <v>147.70639132635245</v>
      </c>
      <c r="W39" s="419">
        <f>+W3+(Medidas!G106/1000)</f>
        <v>149.32694272030253</v>
      </c>
      <c r="X39" s="419">
        <f>+X3+(Medidas!H106/1000)</f>
        <v>150.9475175511696</v>
      </c>
      <c r="Y39" s="419">
        <f>+Y3+(Medidas!I106/1000)</f>
        <v>152.56813580256949</v>
      </c>
      <c r="Z39" s="419">
        <f>+Z3+(Medidas!J106/1000)</f>
        <v>154.18878745812623</v>
      </c>
      <c r="AA39" s="419">
        <f>+AA3+(Medidas!K106/1000)</f>
        <v>155.80946250147173</v>
      </c>
    </row>
    <row r="40" spans="1:27" ht="30" x14ac:dyDescent="0.25">
      <c r="A40" s="162" t="s">
        <v>37</v>
      </c>
      <c r="B40" s="163">
        <f t="shared" ref="B40:Q40" si="34">+B4</f>
        <v>1153.0325599999999</v>
      </c>
      <c r="C40" s="163">
        <f t="shared" si="34"/>
        <v>1158.7425649999998</v>
      </c>
      <c r="D40" s="163">
        <f t="shared" si="34"/>
        <v>1164.4525700000002</v>
      </c>
      <c r="E40" s="163">
        <f t="shared" si="34"/>
        <v>1198.650245</v>
      </c>
      <c r="F40" s="163">
        <f t="shared" si="34"/>
        <v>1232.8479199999999</v>
      </c>
      <c r="G40" s="163">
        <f t="shared" si="34"/>
        <v>1233.796515</v>
      </c>
      <c r="H40" s="163">
        <f t="shared" si="34"/>
        <v>1234.7451100000003</v>
      </c>
      <c r="I40" s="163">
        <f t="shared" si="34"/>
        <v>1245.5305000000001</v>
      </c>
      <c r="J40" s="163">
        <f t="shared" si="34"/>
        <v>1256.3158900000001</v>
      </c>
      <c r="K40" s="163">
        <f t="shared" si="34"/>
        <v>1256.3158900000001</v>
      </c>
      <c r="L40" s="163">
        <f t="shared" si="34"/>
        <v>1256.3158900000001</v>
      </c>
      <c r="M40" s="163">
        <f t="shared" si="34"/>
        <v>1257.5179999999998</v>
      </c>
      <c r="N40" s="163">
        <f t="shared" si="34"/>
        <v>1257.5179999999998</v>
      </c>
      <c r="O40" s="163">
        <f t="shared" si="34"/>
        <v>1336.217771615874</v>
      </c>
      <c r="P40" s="163">
        <f t="shared" si="34"/>
        <v>1335.5630249077822</v>
      </c>
      <c r="Q40" s="163">
        <f t="shared" si="34"/>
        <v>1334.9085990255774</v>
      </c>
      <c r="R40" s="419">
        <f>+R4+(Medidas!B107/1000)</f>
        <v>1336.972803812055</v>
      </c>
      <c r="S40" s="419">
        <f>+S4+(Medidas!C107/1000)</f>
        <v>1339.0373291100871</v>
      </c>
      <c r="T40" s="419">
        <f>+T4+(Medidas!D107/1000)</f>
        <v>1341.102174762623</v>
      </c>
      <c r="U40" s="419">
        <f>+U4+(Medidas!E107/1000)</f>
        <v>1343.1673406126893</v>
      </c>
      <c r="V40" s="419">
        <f>+V4+(Medidas!F107/1000)</f>
        <v>1345.2328365033893</v>
      </c>
      <c r="W40" s="419">
        <f>+W4+(Medidas!G107/1000)</f>
        <v>1347.2986422779027</v>
      </c>
      <c r="X40" s="419">
        <f>+X4+(Medidas!H107/1000)</f>
        <v>1349.3647677794866</v>
      </c>
      <c r="Y40" s="419">
        <f>+Y4+(Medidas!I107/1000)</f>
        <v>1351.4312128514744</v>
      </c>
      <c r="Z40" s="419">
        <f>+Z4+(Medidas!J107/1000)</f>
        <v>1353.4979773372772</v>
      </c>
      <c r="AA40" s="419">
        <f>+AA4+(Medidas!K107/1000)</f>
        <v>1355.5650610803818</v>
      </c>
    </row>
    <row r="41" spans="1:27" ht="30" x14ac:dyDescent="0.25">
      <c r="A41" s="162" t="s">
        <v>38</v>
      </c>
      <c r="B41" s="163">
        <f t="shared" ref="B41:Q41" si="35">+B5</f>
        <v>468.70030000000003</v>
      </c>
      <c r="C41" s="163">
        <f t="shared" si="35"/>
        <v>469.70792499999999</v>
      </c>
      <c r="D41" s="163">
        <f t="shared" si="35"/>
        <v>470.71555000000001</v>
      </c>
      <c r="E41" s="163">
        <f t="shared" si="35"/>
        <v>488.97562999999997</v>
      </c>
      <c r="F41" s="163">
        <f t="shared" si="35"/>
        <v>507.23570999999998</v>
      </c>
      <c r="G41" s="163">
        <f t="shared" si="35"/>
        <v>506.69036499999999</v>
      </c>
      <c r="H41" s="163">
        <f t="shared" si="35"/>
        <v>506.14502000000005</v>
      </c>
      <c r="I41" s="163">
        <f t="shared" si="35"/>
        <v>514.642335</v>
      </c>
      <c r="J41" s="163">
        <f t="shared" si="35"/>
        <v>523.13965000000007</v>
      </c>
      <c r="K41" s="163">
        <f t="shared" si="35"/>
        <v>523.13965000000007</v>
      </c>
      <c r="L41" s="163">
        <f t="shared" si="35"/>
        <v>523.13965000000007</v>
      </c>
      <c r="M41" s="163">
        <f t="shared" si="35"/>
        <v>515.14400000000001</v>
      </c>
      <c r="N41" s="163">
        <f t="shared" si="35"/>
        <v>515.14400000000001</v>
      </c>
      <c r="O41" s="163">
        <f t="shared" si="35"/>
        <v>543.16390720283869</v>
      </c>
      <c r="P41" s="163">
        <f t="shared" si="35"/>
        <v>542.89775688830935</v>
      </c>
      <c r="Q41" s="163">
        <f t="shared" si="35"/>
        <v>542.63173698743412</v>
      </c>
      <c r="R41" s="163">
        <f>+R5+(Medidas!$C9+Medidas!B108)/1000</f>
        <v>546.6164126082233</v>
      </c>
      <c r="S41" s="163">
        <f>+S5+(Medidas!$C9+Medidas!C108)/1000</f>
        <v>550.0331133429795</v>
      </c>
      <c r="T41" s="163">
        <f>+T5+(Medidas!$C9+Medidas!D108)/1000</f>
        <v>553.44993429977569</v>
      </c>
      <c r="U41" s="163">
        <f>+U5+(Medidas!$C9+Medidas!E108)/1000</f>
        <v>556.86688541480305</v>
      </c>
      <c r="V41" s="163">
        <f>+V5+(Medidas!$C9+Medidas!F108)/1000</f>
        <v>560.28397662428404</v>
      </c>
      <c r="W41" s="163">
        <f>+W5+(Medidas!$C9+Medidas!G108)/1000</f>
        <v>563.70118786447244</v>
      </c>
      <c r="X41" s="163">
        <f>+X5+(Medidas!$C9+Medidas!H108)/1000</f>
        <v>567.11852907165303</v>
      </c>
      <c r="Y41" s="163">
        <f>+Y5+(Medidas!$C9+Medidas!I108)/1000</f>
        <v>570.53600018214217</v>
      </c>
      <c r="Z41" s="163">
        <f>+Z5+(Medidas!$C9+Medidas!J108)/1000</f>
        <v>573.95361113228716</v>
      </c>
      <c r="AA41" s="163">
        <f>+AA5+(Medidas!$C9+Medidas!K108)/1000</f>
        <v>577.37134185846651</v>
      </c>
    </row>
    <row r="42" spans="1:27" ht="45" x14ac:dyDescent="0.25">
      <c r="A42" s="162" t="s">
        <v>39</v>
      </c>
      <c r="B42" s="163">
        <f t="shared" ref="B42:Q42" si="36">+B6</f>
        <v>322.78176000000002</v>
      </c>
      <c r="C42" s="163">
        <f t="shared" si="36"/>
        <v>325.37089000000003</v>
      </c>
      <c r="D42" s="163">
        <f t="shared" si="36"/>
        <v>327.96002000000004</v>
      </c>
      <c r="E42" s="163">
        <f t="shared" si="36"/>
        <v>333.55776000000003</v>
      </c>
      <c r="F42" s="163">
        <f t="shared" si="36"/>
        <v>339.15550000000002</v>
      </c>
      <c r="G42" s="163">
        <f t="shared" si="36"/>
        <v>340.20731000000001</v>
      </c>
      <c r="H42" s="163">
        <f t="shared" si="36"/>
        <v>341.25912</v>
      </c>
      <c r="I42" s="163">
        <f t="shared" si="36"/>
        <v>357.94489000000004</v>
      </c>
      <c r="J42" s="163">
        <f t="shared" si="36"/>
        <v>374.63065999999992</v>
      </c>
      <c r="K42" s="163">
        <f t="shared" si="36"/>
        <v>374.63065999999992</v>
      </c>
      <c r="L42" s="163">
        <f t="shared" si="36"/>
        <v>374.63065999999992</v>
      </c>
      <c r="M42" s="163">
        <f t="shared" si="36"/>
        <v>375.10900000000004</v>
      </c>
      <c r="N42" s="163">
        <f t="shared" si="36"/>
        <v>375.10900000000004</v>
      </c>
      <c r="O42" s="163">
        <f t="shared" si="36"/>
        <v>374.06291810653624</v>
      </c>
      <c r="P42" s="163">
        <f t="shared" si="36"/>
        <v>373.87962727666405</v>
      </c>
      <c r="Q42" s="163">
        <f t="shared" si="36"/>
        <v>373.69642625929851</v>
      </c>
      <c r="R42" s="419">
        <f>+R6+(Medidas!B109/1000)</f>
        <v>373.87949501043147</v>
      </c>
      <c r="S42" s="419">
        <f>+S6+(Medidas!C109/1000)</f>
        <v>374.06265348607644</v>
      </c>
      <c r="T42" s="419">
        <f>+T6+(Medidas!D109/1000)</f>
        <v>374.24590164226822</v>
      </c>
      <c r="U42" s="419">
        <f>+U6+(Medidas!E109/1000)</f>
        <v>374.42923943506349</v>
      </c>
      <c r="V42" s="419">
        <f>+V6+(Medidas!F109/1000)</f>
        <v>374.61266682054031</v>
      </c>
      <c r="W42" s="419">
        <f>+W6+(Medidas!G109/1000)</f>
        <v>374.7961737547983</v>
      </c>
      <c r="X42" s="419">
        <f>+X6+(Medidas!H109/1000)</f>
        <v>374.97978019395839</v>
      </c>
      <c r="Y42" s="419">
        <f>+Y6+(Medidas!I109/1000)</f>
        <v>375.16347609416334</v>
      </c>
      <c r="Z42" s="419">
        <f>+Z6+(Medidas!J109/1000)</f>
        <v>375.34726141157722</v>
      </c>
      <c r="AA42" s="419">
        <f>+AA6+(Medidas!K109/1000)</f>
        <v>375.53113610238552</v>
      </c>
    </row>
    <row r="43" spans="1:27" ht="45" x14ac:dyDescent="0.25">
      <c r="A43" s="162" t="s">
        <v>40</v>
      </c>
      <c r="B43" s="163">
        <f t="shared" ref="B43:Q43" si="37">+B7</f>
        <v>2361.9546099999998</v>
      </c>
      <c r="C43" s="163">
        <f t="shared" si="37"/>
        <v>2536.3037899999999</v>
      </c>
      <c r="D43" s="163">
        <f t="shared" si="37"/>
        <v>2710.6529700000006</v>
      </c>
      <c r="E43" s="163">
        <f t="shared" si="37"/>
        <v>2768.5833699999998</v>
      </c>
      <c r="F43" s="163">
        <f t="shared" si="37"/>
        <v>2826.51377</v>
      </c>
      <c r="G43" s="163">
        <f t="shared" si="37"/>
        <v>2858.75821</v>
      </c>
      <c r="H43" s="163">
        <f t="shared" si="37"/>
        <v>2891.0026499999999</v>
      </c>
      <c r="I43" s="163">
        <f t="shared" si="37"/>
        <v>2955.7263049999997</v>
      </c>
      <c r="J43" s="163">
        <f t="shared" si="37"/>
        <v>3020.4499599999999</v>
      </c>
      <c r="K43" s="163">
        <f t="shared" si="37"/>
        <v>3020.4499599999999</v>
      </c>
      <c r="L43" s="163">
        <f t="shared" si="37"/>
        <v>3020.4499599999999</v>
      </c>
      <c r="M43" s="163">
        <f t="shared" si="37"/>
        <v>2928.8820000000001</v>
      </c>
      <c r="N43" s="163">
        <f t="shared" si="37"/>
        <v>2928.8820000000001</v>
      </c>
      <c r="O43" s="163">
        <f t="shared" si="37"/>
        <v>2737.2043384724884</v>
      </c>
      <c r="P43" s="163">
        <f t="shared" si="37"/>
        <v>2735.8631083466371</v>
      </c>
      <c r="Q43" s="163">
        <f t="shared" si="37"/>
        <v>2734.5225354235472</v>
      </c>
      <c r="R43" s="163">
        <f>+R7+(Medidas!$C7+Medidas!B110)/1000</f>
        <v>2824.55281832419</v>
      </c>
      <c r="S43" s="163">
        <f>+S7+(Medidas!$C7+Medidas!C110)/1000</f>
        <v>2859.954548840693</v>
      </c>
      <c r="T43" s="163">
        <f>+T7+(Medidas!$C7+Medidas!D110)/1000</f>
        <v>2895.3569355943437</v>
      </c>
      <c r="U43" s="163">
        <f>+U7+(Medidas!$C7+Medidas!E110)/1000</f>
        <v>2930.7599782635843</v>
      </c>
      <c r="V43" s="163">
        <f>+V7+(Medidas!$C7+Medidas!F110)/1000</f>
        <v>2966.163686527017</v>
      </c>
      <c r="W43" s="163">
        <f>+W7+(Medidas!$C7+Medidas!G110)/1000</f>
        <v>3001.5680400634014</v>
      </c>
      <c r="X43" s="163">
        <f>+X7+(Medidas!$C7+Medidas!H110)/1000</f>
        <v>3036.973048551652</v>
      </c>
      <c r="Y43" s="163">
        <f>+Y7+(Medidas!$C7+Medidas!I110)/1000</f>
        <v>3072.3787116708436</v>
      </c>
      <c r="Z43" s="163">
        <f>+Z7+(Medidas!$C7+Medidas!J110)/1000</f>
        <v>3107.7850291002069</v>
      </c>
      <c r="AA43" s="163">
        <f>+AA7+(Medidas!$C7+Medidas!K110)/1000</f>
        <v>3143.19200051913</v>
      </c>
    </row>
    <row r="44" spans="1:27" ht="45" x14ac:dyDescent="0.25">
      <c r="A44" s="162" t="s">
        <v>41</v>
      </c>
      <c r="B44" s="163">
        <f t="shared" ref="B44:Q44" si="38">+B8</f>
        <v>261.68610000000001</v>
      </c>
      <c r="C44" s="163">
        <f t="shared" si="38"/>
        <v>263.62240000000003</v>
      </c>
      <c r="D44" s="163">
        <f t="shared" si="38"/>
        <v>265.55870000000004</v>
      </c>
      <c r="E44" s="163">
        <f t="shared" si="38"/>
        <v>269.70002000000005</v>
      </c>
      <c r="F44" s="163">
        <f t="shared" si="38"/>
        <v>273.84134000000006</v>
      </c>
      <c r="G44" s="163">
        <f t="shared" si="38"/>
        <v>268.73807500000004</v>
      </c>
      <c r="H44" s="163">
        <f t="shared" si="38"/>
        <v>263.63481000000002</v>
      </c>
      <c r="I44" s="163">
        <f t="shared" si="38"/>
        <v>262.90870499999994</v>
      </c>
      <c r="J44" s="163">
        <f t="shared" si="38"/>
        <v>262.18259999999998</v>
      </c>
      <c r="K44" s="163">
        <f t="shared" si="38"/>
        <v>262.18259999999998</v>
      </c>
      <c r="L44" s="163">
        <f t="shared" si="38"/>
        <v>262.18259999999998</v>
      </c>
      <c r="M44" s="163">
        <f t="shared" si="38"/>
        <v>240.48699999999999</v>
      </c>
      <c r="N44" s="163">
        <f t="shared" si="38"/>
        <v>240.48699999999999</v>
      </c>
      <c r="O44" s="163">
        <f t="shared" si="38"/>
        <v>303.2608354137447</v>
      </c>
      <c r="P44" s="163">
        <f t="shared" si="38"/>
        <v>303.11223760439202</v>
      </c>
      <c r="Q44" s="163">
        <f t="shared" si="38"/>
        <v>302.96371260796587</v>
      </c>
      <c r="R44" s="163">
        <f>+R8+(Medidas!$C8+Medidas!B111)/1000</f>
        <v>343.19613136318799</v>
      </c>
      <c r="S44" s="163">
        <f>+S8+(Medidas!$C8+Medidas!C111)/1000</f>
        <v>343.7638918855975</v>
      </c>
      <c r="T44" s="163">
        <f>+T8+(Medidas!$C8+Medidas!D111)/1000</f>
        <v>344.33173511395097</v>
      </c>
      <c r="U44" s="163">
        <f>+U8+(Medidas!$C8+Medidas!E111)/1000</f>
        <v>344.89965101262266</v>
      </c>
      <c r="V44" s="163">
        <f>+V8+(Medidas!$C8+Medidas!F111)/1000</f>
        <v>345.46763954600391</v>
      </c>
      <c r="W44" s="163">
        <f>+W8+(Medidas!$C8+Medidas!G111)/1000</f>
        <v>346.03569067850378</v>
      </c>
      <c r="X44" s="163">
        <f>+X8+(Medidas!$C8+Medidas!H111)/1000</f>
        <v>346.60382437454882</v>
      </c>
      <c r="Y44" s="163">
        <f>+Y8+(Medidas!$C8+Medidas!I111)/1000</f>
        <v>347.17203059858275</v>
      </c>
      <c r="Z44" s="163">
        <f>+Z8+(Medidas!$C8+Medidas!J111)/1000</f>
        <v>347.74030931506684</v>
      </c>
      <c r="AA44" s="163">
        <f>+AA8+(Medidas!$C8+Medidas!K111)/1000</f>
        <v>348.30865048847988</v>
      </c>
    </row>
    <row r="45" spans="1:27" x14ac:dyDescent="0.25">
      <c r="A45" s="162" t="s">
        <v>42</v>
      </c>
      <c r="B45" s="198">
        <f t="shared" ref="B45:Q45" si="39">+B9</f>
        <v>64.990300000000005</v>
      </c>
      <c r="C45" s="198">
        <f t="shared" si="39"/>
        <v>65.33518500000001</v>
      </c>
      <c r="D45" s="198">
        <f t="shared" si="39"/>
        <v>65.680070000000001</v>
      </c>
      <c r="E45" s="198">
        <f t="shared" si="39"/>
        <v>64.106674999999996</v>
      </c>
      <c r="F45" s="198">
        <f t="shared" si="39"/>
        <v>62.533279999999998</v>
      </c>
      <c r="G45" s="198">
        <f t="shared" si="39"/>
        <v>65.738849999999999</v>
      </c>
      <c r="H45" s="198">
        <f t="shared" si="39"/>
        <v>68.944419999999994</v>
      </c>
      <c r="I45" s="198">
        <f t="shared" si="39"/>
        <v>68.62894</v>
      </c>
      <c r="J45" s="198">
        <f t="shared" si="39"/>
        <v>68.313460000000006</v>
      </c>
      <c r="K45" s="198">
        <f t="shared" si="39"/>
        <v>68.313460000000006</v>
      </c>
      <c r="L45" s="198">
        <f t="shared" si="39"/>
        <v>68.313460000000006</v>
      </c>
      <c r="M45" s="198">
        <f t="shared" si="39"/>
        <v>98.086999999999989</v>
      </c>
      <c r="N45" s="198">
        <f t="shared" si="39"/>
        <v>98.086999999999989</v>
      </c>
      <c r="O45" s="198">
        <f t="shared" si="39"/>
        <v>75.31547404233504</v>
      </c>
      <c r="P45" s="198">
        <f t="shared" si="39"/>
        <v>75.278569460054314</v>
      </c>
      <c r="Q45" s="198">
        <f t="shared" si="39"/>
        <v>75.241682961018881</v>
      </c>
      <c r="R45" s="198">
        <f>+R9+Medidas!B112/1000</f>
        <v>76.568314536367993</v>
      </c>
      <c r="S45" s="198">
        <f>+S9+Medidas!C112/1000</f>
        <v>77.894974177245174</v>
      </c>
      <c r="T45" s="198">
        <f>+T9+Medidas!D112/1000</f>
        <v>79.221641874798323</v>
      </c>
      <c r="U45" s="198">
        <f>+U9+Medidas!E112/1000</f>
        <v>80.548337620179666</v>
      </c>
      <c r="V45" s="198">
        <f>+V9+Medidas!F112/1000</f>
        <v>81.875041404545783</v>
      </c>
      <c r="W45" s="198">
        <f>+W9+Medidas!G112/1000</f>
        <v>83.201773219057571</v>
      </c>
      <c r="X45" s="198">
        <f>+X9+Medidas!H112/1000</f>
        <v>84.528513054880207</v>
      </c>
      <c r="Y45" s="198">
        <f>+Y9+Medidas!I112/1000</f>
        <v>85.855280903183314</v>
      </c>
      <c r="Z45" s="198">
        <f>+Z9+Medidas!J112/1000</f>
        <v>87.182056755140763</v>
      </c>
      <c r="AA45" s="198">
        <f>+AA9+Medidas!K112/1000</f>
        <v>88.508860601930735</v>
      </c>
    </row>
    <row r="46" spans="1:27" x14ac:dyDescent="0.25">
      <c r="A46" s="203" t="s">
        <v>43</v>
      </c>
      <c r="B46" s="163">
        <f t="shared" ref="B46:Q46" si="40">+B10</f>
        <v>271.77831000000003</v>
      </c>
      <c r="C46" s="163">
        <f t="shared" si="40"/>
        <v>272.68513999999999</v>
      </c>
      <c r="D46" s="163">
        <f t="shared" si="40"/>
        <v>273.59196999999995</v>
      </c>
      <c r="E46" s="163">
        <f t="shared" si="40"/>
        <v>278.16317499999997</v>
      </c>
      <c r="F46" s="163">
        <f t="shared" si="40"/>
        <v>282.73437999999999</v>
      </c>
      <c r="G46" s="163">
        <f t="shared" si="40"/>
        <v>289.39154000000008</v>
      </c>
      <c r="H46" s="163">
        <f t="shared" si="40"/>
        <v>296.0487</v>
      </c>
      <c r="I46" s="163">
        <f t="shared" si="40"/>
        <v>298.13771499999996</v>
      </c>
      <c r="J46" s="163">
        <f t="shared" si="40"/>
        <v>300.22672999999998</v>
      </c>
      <c r="K46" s="163">
        <f t="shared" si="40"/>
        <v>300.22672999999998</v>
      </c>
      <c r="L46" s="163">
        <f t="shared" si="40"/>
        <v>300.22672999999998</v>
      </c>
      <c r="M46" s="163">
        <f t="shared" si="40"/>
        <v>272.84699999999998</v>
      </c>
      <c r="N46" s="163">
        <f t="shared" si="40"/>
        <v>272.84699999999998</v>
      </c>
      <c r="O46" s="163">
        <f t="shared" si="40"/>
        <v>314.9564204515857</v>
      </c>
      <c r="P46" s="163">
        <f t="shared" si="40"/>
        <v>314.80209180556443</v>
      </c>
      <c r="Q46" s="163">
        <f t="shared" si="40"/>
        <v>314.64783878057972</v>
      </c>
      <c r="R46" s="163">
        <f>+R10+Medidas!C8/1000</f>
        <v>354.1583823139772</v>
      </c>
      <c r="S46" s="163">
        <f t="shared" ref="S46:AA46" si="41">+R46</f>
        <v>354.1583823139772</v>
      </c>
      <c r="T46" s="163">
        <f t="shared" si="41"/>
        <v>354.1583823139772</v>
      </c>
      <c r="U46" s="163">
        <f t="shared" si="41"/>
        <v>354.1583823139772</v>
      </c>
      <c r="V46" s="163">
        <f t="shared" si="41"/>
        <v>354.1583823139772</v>
      </c>
      <c r="W46" s="163">
        <f t="shared" si="41"/>
        <v>354.1583823139772</v>
      </c>
      <c r="X46" s="163">
        <f t="shared" si="41"/>
        <v>354.1583823139772</v>
      </c>
      <c r="Y46" s="163">
        <f t="shared" si="41"/>
        <v>354.1583823139772</v>
      </c>
      <c r="Z46" s="163">
        <f t="shared" si="41"/>
        <v>354.1583823139772</v>
      </c>
      <c r="AA46" s="163">
        <f t="shared" si="41"/>
        <v>354.1583823139772</v>
      </c>
    </row>
    <row r="47" spans="1:27" x14ac:dyDescent="0.25">
      <c r="A47" s="197" t="s">
        <v>224</v>
      </c>
      <c r="B47" s="165">
        <f>+SUM(B38:B46)</f>
        <v>5037.8558999999996</v>
      </c>
      <c r="C47" s="165">
        <f t="shared" ref="C47:Z47" si="42">+SUM(C38:C46)</f>
        <v>5231.3855499999991</v>
      </c>
      <c r="D47" s="165">
        <f t="shared" si="42"/>
        <v>5424.9151999999995</v>
      </c>
      <c r="E47" s="165">
        <f t="shared" si="42"/>
        <v>5552.331835</v>
      </c>
      <c r="F47" s="165">
        <f t="shared" si="42"/>
        <v>5679.7484699999995</v>
      </c>
      <c r="G47" s="165">
        <f t="shared" si="42"/>
        <v>5718.0810199999996</v>
      </c>
      <c r="H47" s="165">
        <f t="shared" si="42"/>
        <v>5756.4135699999997</v>
      </c>
      <c r="I47" s="165">
        <f t="shared" si="42"/>
        <v>5858.1530949999997</v>
      </c>
      <c r="J47" s="165">
        <f t="shared" si="42"/>
        <v>5959.8926200000005</v>
      </c>
      <c r="K47" s="165">
        <f t="shared" si="42"/>
        <v>5959.8926200000005</v>
      </c>
      <c r="L47" s="165">
        <f t="shared" si="42"/>
        <v>5959.8926200000005</v>
      </c>
      <c r="M47" s="165">
        <f t="shared" si="42"/>
        <v>5841.0949999999993</v>
      </c>
      <c r="N47" s="165">
        <f t="shared" si="42"/>
        <v>5841.0949999999993</v>
      </c>
      <c r="O47" s="165">
        <f t="shared" si="42"/>
        <v>5838.2328634499981</v>
      </c>
      <c r="P47" s="165">
        <f t="shared" si="42"/>
        <v>5835.372129346908</v>
      </c>
      <c r="Q47" s="165">
        <f t="shared" si="42"/>
        <v>5832.5127970035292</v>
      </c>
      <c r="R47" s="165">
        <f t="shared" si="42"/>
        <v>6011.5689617967109</v>
      </c>
      <c r="S47" s="165">
        <f t="shared" si="42"/>
        <v>6056.253852806557</v>
      </c>
      <c r="T47" s="165">
        <f t="shared" si="42"/>
        <v>6100.9400780066098</v>
      </c>
      <c r="U47" s="165">
        <f t="shared" si="42"/>
        <v>6145.627636748015</v>
      </c>
      <c r="V47" s="165">
        <f t="shared" si="42"/>
        <v>6190.3165283822354</v>
      </c>
      <c r="W47" s="165">
        <f t="shared" si="42"/>
        <v>6235.0067022610565</v>
      </c>
      <c r="X47" s="165">
        <f t="shared" si="42"/>
        <v>6279.6982077365756</v>
      </c>
      <c r="Y47" s="165">
        <f t="shared" si="42"/>
        <v>6324.3910541612122</v>
      </c>
      <c r="Z47" s="165">
        <f t="shared" si="42"/>
        <v>6369.0852208876995</v>
      </c>
      <c r="AA47" s="165">
        <f>+SUM(AA38:AA46)</f>
        <v>6413.7806772690928</v>
      </c>
    </row>
    <row r="48" spans="1:27" x14ac:dyDescent="0.25">
      <c r="A48" s="164" t="s">
        <v>225</v>
      </c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200">
        <v>6.4022100000000002</v>
      </c>
      <c r="M48" s="201">
        <v>6.3082599999999998</v>
      </c>
      <c r="N48" s="201">
        <v>6.21502</v>
      </c>
      <c r="O48" s="201">
        <v>6.12249</v>
      </c>
      <c r="P48" s="201">
        <v>6.0306600000000001</v>
      </c>
      <c r="Q48" s="201">
        <v>5.93954</v>
      </c>
      <c r="R48" s="202">
        <v>5.8491</v>
      </c>
      <c r="S48" s="202">
        <v>5.7593500000000004</v>
      </c>
      <c r="T48" s="202">
        <v>5.6702899999999996</v>
      </c>
      <c r="U48" s="202">
        <v>5.5819000000000001</v>
      </c>
      <c r="V48" s="202">
        <v>5.4941800000000001</v>
      </c>
      <c r="W48" s="202">
        <v>5.4071300000000004</v>
      </c>
      <c r="X48" s="202">
        <v>5.3207399999999998</v>
      </c>
      <c r="Y48" s="202">
        <v>5.2350099999999999</v>
      </c>
      <c r="Z48" s="202">
        <v>5.1499199999999998</v>
      </c>
      <c r="AA48" s="202">
        <v>5.0654899999999996</v>
      </c>
    </row>
    <row r="49" spans="1:27" x14ac:dyDescent="0.25">
      <c r="A49" s="164" t="s">
        <v>14</v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>
        <f t="shared" ref="L49:AA49" si="43">+L14+L47-L11</f>
        <v>12362.102620000003</v>
      </c>
      <c r="M49" s="166">
        <f t="shared" si="43"/>
        <v>12149.354999999998</v>
      </c>
      <c r="N49" s="166">
        <f t="shared" si="43"/>
        <v>12056.115</v>
      </c>
      <c r="O49" s="166">
        <f t="shared" si="43"/>
        <v>11960.722863449997</v>
      </c>
      <c r="P49" s="166">
        <f t="shared" si="43"/>
        <v>11866.032129346906</v>
      </c>
      <c r="Q49" s="166">
        <f t="shared" si="43"/>
        <v>11772.052797003529</v>
      </c>
      <c r="R49" s="166">
        <f t="shared" si="43"/>
        <v>11860.668961796709</v>
      </c>
      <c r="S49" s="166">
        <f t="shared" si="43"/>
        <v>11815.603852806556</v>
      </c>
      <c r="T49" s="166">
        <f t="shared" si="43"/>
        <v>11771.230078006611</v>
      </c>
      <c r="U49" s="166">
        <f t="shared" si="43"/>
        <v>11727.527636748015</v>
      </c>
      <c r="V49" s="166">
        <f t="shared" si="43"/>
        <v>11684.496528382237</v>
      </c>
      <c r="W49" s="166">
        <f t="shared" si="43"/>
        <v>11642.136702261056</v>
      </c>
      <c r="X49" s="166">
        <f t="shared" si="43"/>
        <v>11600.438207736577</v>
      </c>
      <c r="Y49" s="166">
        <f t="shared" si="43"/>
        <v>11559.401054161213</v>
      </c>
      <c r="Z49" s="166">
        <f t="shared" si="43"/>
        <v>11519.005220887699</v>
      </c>
      <c r="AA49" s="166">
        <f t="shared" si="43"/>
        <v>11479.270677269094</v>
      </c>
    </row>
    <row r="50" spans="1:27" x14ac:dyDescent="0.25">
      <c r="A50" s="196" t="s">
        <v>226</v>
      </c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69">
        <f>(+M49-L49)/1000</f>
        <v>-0.21274762000000555</v>
      </c>
      <c r="N50" s="169">
        <f t="shared" ref="N50:AA50" si="44">(+N49-M49)/1000</f>
        <v>-9.3239999999997963E-2</v>
      </c>
      <c r="O50" s="169">
        <f t="shared" si="44"/>
        <v>-9.5392136550002754E-2</v>
      </c>
      <c r="P50" s="169">
        <f t="shared" si="44"/>
        <v>-9.469073410309102E-2</v>
      </c>
      <c r="Q50" s="169">
        <f t="shared" si="44"/>
        <v>-9.3979332343376881E-2</v>
      </c>
      <c r="R50" s="169">
        <f t="shared" si="44"/>
        <v>8.8616164793180366E-2</v>
      </c>
      <c r="S50" s="169">
        <f t="shared" si="44"/>
        <v>-4.5065108990153022E-2</v>
      </c>
      <c r="T50" s="169">
        <f t="shared" si="44"/>
        <v>-4.4373774799945746E-2</v>
      </c>
      <c r="U50" s="169">
        <f t="shared" si="44"/>
        <v>-4.3702441258596084E-2</v>
      </c>
      <c r="V50" s="169">
        <f t="shared" si="44"/>
        <v>-4.3031108365777983E-2</v>
      </c>
      <c r="W50" s="169">
        <f t="shared" si="44"/>
        <v>-4.2359826121180957E-2</v>
      </c>
      <c r="X50" s="169">
        <f t="shared" si="44"/>
        <v>-4.1698494524478519E-2</v>
      </c>
      <c r="Y50" s="169">
        <f t="shared" si="44"/>
        <v>-4.1037153575363847E-2</v>
      </c>
      <c r="Z50" s="169">
        <f t="shared" si="44"/>
        <v>-4.0395833273514654E-2</v>
      </c>
      <c r="AA50" s="169">
        <f t="shared" si="44"/>
        <v>-3.9734543618604221E-2</v>
      </c>
    </row>
    <row r="51" spans="1:27" x14ac:dyDescent="0.25">
      <c r="S51" s="161">
        <f>+S50-1000</f>
        <v>-1000.0450651089901</v>
      </c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CFB0-9DBE-49E9-8DD0-E8DBC055560D}">
  <sheetPr>
    <tabColor rgb="FF00B050"/>
  </sheetPr>
  <dimension ref="A1:AN148"/>
  <sheetViews>
    <sheetView tabSelected="1" zoomScaleNormal="100" workbookViewId="0">
      <selection activeCell="H23" sqref="A20:H23"/>
    </sheetView>
  </sheetViews>
  <sheetFormatPr defaultColWidth="8.85546875" defaultRowHeight="15" x14ac:dyDescent="0.25"/>
  <cols>
    <col min="1" max="1" width="32.5703125" customWidth="1"/>
    <col min="2" max="3" width="42.42578125" style="64" customWidth="1"/>
    <col min="17" max="17" width="10.42578125" customWidth="1"/>
    <col min="18" max="18" width="12.140625" customWidth="1"/>
    <col min="19" max="19" width="10.7109375" customWidth="1"/>
    <col min="20" max="20" width="11.140625" customWidth="1"/>
    <col min="21" max="22" width="10.7109375" customWidth="1"/>
    <col min="23" max="24" width="10.42578125" customWidth="1"/>
    <col min="25" max="25" width="10.28515625" customWidth="1"/>
    <col min="26" max="26" width="10.42578125" customWidth="1"/>
    <col min="27" max="29" width="10.28515625" customWidth="1"/>
  </cols>
  <sheetData>
    <row r="1" spans="1:40" s="72" customFormat="1" x14ac:dyDescent="0.25">
      <c r="A1" s="154" t="s">
        <v>101</v>
      </c>
      <c r="B1" s="155" t="s">
        <v>86</v>
      </c>
      <c r="C1" s="155"/>
      <c r="D1" s="155">
        <v>2010</v>
      </c>
      <c r="E1" s="155">
        <v>2011</v>
      </c>
      <c r="F1" s="155">
        <v>2012</v>
      </c>
      <c r="G1" s="155">
        <v>2013</v>
      </c>
      <c r="H1" s="155">
        <v>2014</v>
      </c>
      <c r="I1" s="155">
        <v>2015</v>
      </c>
      <c r="J1" s="155">
        <v>2016</v>
      </c>
      <c r="K1" s="155">
        <v>2017</v>
      </c>
      <c r="L1" s="155">
        <v>2018</v>
      </c>
      <c r="M1" s="155">
        <v>2019</v>
      </c>
      <c r="N1" s="155">
        <v>2020</v>
      </c>
      <c r="O1" s="155">
        <v>2021</v>
      </c>
      <c r="P1" s="155">
        <v>2022</v>
      </c>
      <c r="Q1" s="155">
        <v>2023</v>
      </c>
      <c r="R1" s="155">
        <v>2024</v>
      </c>
      <c r="S1" s="155">
        <v>2025</v>
      </c>
      <c r="T1" s="155">
        <v>2026</v>
      </c>
      <c r="U1" s="155">
        <v>2027</v>
      </c>
      <c r="V1" s="155">
        <v>2028</v>
      </c>
      <c r="W1" s="155">
        <v>2029</v>
      </c>
      <c r="X1" s="155">
        <v>2030</v>
      </c>
      <c r="Y1" s="155">
        <v>2031</v>
      </c>
      <c r="Z1" s="155">
        <v>2032</v>
      </c>
      <c r="AA1" s="155">
        <v>2033</v>
      </c>
      <c r="AB1" s="155">
        <v>2034</v>
      </c>
      <c r="AC1" s="156">
        <v>2035</v>
      </c>
    </row>
    <row r="2" spans="1:40" s="70" customFormat="1" x14ac:dyDescent="0.25">
      <c r="A2" s="145" t="s">
        <v>102</v>
      </c>
      <c r="B2" s="71" t="s">
        <v>104</v>
      </c>
      <c r="C2" s="71"/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157">
        <f>+(Medidas!B22+Medidas!B32)/1000</f>
        <v>0.27500000000000002</v>
      </c>
      <c r="U2" s="157">
        <f>+(Medidas!C22+Medidas!C32)/1000</f>
        <v>0.27368000000000003</v>
      </c>
      <c r="V2" s="157">
        <f>+(Medidas!D22+Medidas!D32)/1000</f>
        <v>0.27236633599999999</v>
      </c>
      <c r="W2" s="157">
        <f>+(Medidas!E22+Medidas!E32)/1000</f>
        <v>0.27105897758719999</v>
      </c>
      <c r="X2" s="157">
        <f>+(Medidas!F22+Medidas!F32)/1000</f>
        <v>0.26975789449478144</v>
      </c>
      <c r="Y2" s="157">
        <f>+(Medidas!G22+Medidas!G32)/1000</f>
        <v>0.26846305660120651</v>
      </c>
      <c r="Z2" s="157">
        <f>+(Medidas!H22+Medidas!H32)/1000</f>
        <v>0.26717443392952073</v>
      </c>
      <c r="AA2" s="157">
        <f>+(Medidas!I22+Medidas!I32)/1000</f>
        <v>0.26589199664665897</v>
      </c>
      <c r="AB2" s="157">
        <f>+(Medidas!J22+Medidas!J32)/1000</f>
        <v>0.26461571506275505</v>
      </c>
      <c r="AC2" s="158">
        <f>+(Medidas!K22+Medidas!K32)/1000</f>
        <v>0.26334555963045381</v>
      </c>
    </row>
    <row r="3" spans="1:40" s="70" customFormat="1" ht="15.75" thickBot="1" x14ac:dyDescent="0.3">
      <c r="A3" s="147" t="s">
        <v>103</v>
      </c>
      <c r="B3" s="148" t="s">
        <v>92</v>
      </c>
      <c r="C3" s="148"/>
      <c r="D3" s="149">
        <v>0</v>
      </c>
      <c r="E3" s="149">
        <v>0</v>
      </c>
      <c r="F3" s="149">
        <v>0</v>
      </c>
      <c r="G3" s="149">
        <v>0</v>
      </c>
      <c r="H3" s="149">
        <v>0</v>
      </c>
      <c r="I3" s="149">
        <v>0</v>
      </c>
      <c r="J3" s="149">
        <v>0</v>
      </c>
      <c r="K3" s="149">
        <v>0</v>
      </c>
      <c r="L3" s="149">
        <v>0</v>
      </c>
      <c r="M3" s="149">
        <v>0</v>
      </c>
      <c r="N3" s="149">
        <v>0</v>
      </c>
      <c r="O3" s="149">
        <v>0</v>
      </c>
      <c r="P3" s="149">
        <v>0</v>
      </c>
      <c r="Q3" s="149">
        <v>0</v>
      </c>
      <c r="R3" s="149">
        <v>0</v>
      </c>
      <c r="S3" s="149">
        <v>0</v>
      </c>
      <c r="T3" s="149">
        <f>+Medidas!B27/1000</f>
        <v>0.08</v>
      </c>
      <c r="U3" s="149">
        <f>+Medidas!C27/1000</f>
        <v>7.9616000000000006E-2</v>
      </c>
      <c r="V3" s="149">
        <f>+Medidas!D27/1000</f>
        <v>7.9233843200000001E-2</v>
      </c>
      <c r="W3" s="149">
        <f>+Medidas!E27/1000</f>
        <v>7.8853520752639988E-2</v>
      </c>
      <c r="X3" s="149">
        <f>+Medidas!F27/1000</f>
        <v>7.847502385302732E-2</v>
      </c>
      <c r="Y3" s="149">
        <f>+Medidas!G27/1000</f>
        <v>7.8098343738532791E-2</v>
      </c>
      <c r="Z3" s="149">
        <f>+Medidas!H27/1000</f>
        <v>7.7723471688587842E-2</v>
      </c>
      <c r="AA3" s="149">
        <f>+Medidas!I27/1000</f>
        <v>7.7350399024482611E-2</v>
      </c>
      <c r="AB3" s="149">
        <f>+Medidas!J27/1000</f>
        <v>7.6979117109165107E-2</v>
      </c>
      <c r="AC3" s="150">
        <f>+Medidas!K27/1000</f>
        <v>7.6609617347041109E-2</v>
      </c>
    </row>
    <row r="5" spans="1:40" ht="15.75" thickBot="1" x14ac:dyDescent="0.3"/>
    <row r="6" spans="1:40" s="72" customFormat="1" ht="15.75" thickBot="1" x14ac:dyDescent="0.3">
      <c r="A6" s="151" t="s">
        <v>97</v>
      </c>
      <c r="B6" s="152" t="s">
        <v>86</v>
      </c>
      <c r="C6" s="152"/>
      <c r="D6" s="152">
        <v>2010</v>
      </c>
      <c r="E6" s="152">
        <v>2011</v>
      </c>
      <c r="F6" s="152">
        <v>2012</v>
      </c>
      <c r="G6" s="152">
        <v>2013</v>
      </c>
      <c r="H6" s="152">
        <v>2014</v>
      </c>
      <c r="I6" s="152">
        <v>2015</v>
      </c>
      <c r="J6" s="152">
        <v>2016</v>
      </c>
      <c r="K6" s="152">
        <v>2017</v>
      </c>
      <c r="L6" s="152">
        <v>2018</v>
      </c>
      <c r="M6" s="152">
        <v>2019</v>
      </c>
      <c r="N6" s="152">
        <v>2020</v>
      </c>
      <c r="O6" s="152">
        <v>2021</v>
      </c>
      <c r="P6" s="152">
        <v>2022</v>
      </c>
      <c r="Q6" s="152">
        <v>2023</v>
      </c>
      <c r="R6" s="152">
        <v>2024</v>
      </c>
      <c r="S6" s="152">
        <v>2025</v>
      </c>
      <c r="T6" s="152">
        <v>2026</v>
      </c>
      <c r="U6" s="152">
        <v>2027</v>
      </c>
      <c r="V6" s="152">
        <v>2028</v>
      </c>
      <c r="W6" s="152">
        <v>2029</v>
      </c>
      <c r="X6" s="152">
        <v>2030</v>
      </c>
      <c r="Y6" s="152">
        <v>2031</v>
      </c>
      <c r="Z6" s="152">
        <v>2032</v>
      </c>
      <c r="AA6" s="152">
        <v>2033</v>
      </c>
      <c r="AB6" s="152">
        <v>2034</v>
      </c>
      <c r="AC6" s="153">
        <v>2035</v>
      </c>
    </row>
    <row r="7" spans="1:40" s="70" customFormat="1" x14ac:dyDescent="0.25">
      <c r="A7" s="141" t="s">
        <v>76</v>
      </c>
      <c r="B7" s="142" t="s">
        <v>87</v>
      </c>
      <c r="C7" s="142"/>
      <c r="D7" s="143">
        <v>0</v>
      </c>
      <c r="E7" s="143">
        <v>0</v>
      </c>
      <c r="F7" s="143">
        <v>0</v>
      </c>
      <c r="G7" s="143">
        <v>0</v>
      </c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f>+Medidas!B37/1000</f>
        <v>54.629208942999995</v>
      </c>
      <c r="U7" s="143">
        <f>+Medidas!C37/1000</f>
        <v>54.514487604219703</v>
      </c>
      <c r="V7" s="143">
        <f>+Medidas!D37/1000</f>
        <v>54.400007180250839</v>
      </c>
      <c r="W7" s="143">
        <f>+Medidas!E37/1000</f>
        <v>54.285767165172317</v>
      </c>
      <c r="X7" s="143">
        <f>+Medidas!F37/1000</f>
        <v>54.171767054125453</v>
      </c>
      <c r="Y7" s="143">
        <f>+Medidas!G37/1000</f>
        <v>54.058006343311789</v>
      </c>
      <c r="Z7" s="143">
        <f>+Medidas!H37/1000</f>
        <v>53.944484529990831</v>
      </c>
      <c r="AA7" s="143">
        <f>+Medidas!I37/1000</f>
        <v>53.831201112477849</v>
      </c>
      <c r="AB7" s="143">
        <f>+Medidas!J37/1000</f>
        <v>53.718155590141649</v>
      </c>
      <c r="AC7" s="143">
        <f>+Medidas!K37/1000</f>
        <v>53.605347463402353</v>
      </c>
      <c r="AE7" s="70">
        <f>+T7/10</f>
        <v>5.4629208942999998</v>
      </c>
      <c r="AF7" s="70">
        <f t="shared" ref="AF7:AK7" si="0">+U7/10</f>
        <v>5.4514487604219699</v>
      </c>
      <c r="AG7" s="70">
        <f t="shared" si="0"/>
        <v>5.4400007180250842</v>
      </c>
      <c r="AH7" s="70">
        <f t="shared" si="0"/>
        <v>5.4285767165172318</v>
      </c>
      <c r="AI7" s="70">
        <f t="shared" si="0"/>
        <v>5.4171767054125457</v>
      </c>
      <c r="AJ7" s="70">
        <f t="shared" si="0"/>
        <v>5.4058006343311789</v>
      </c>
      <c r="AK7" s="70">
        <f t="shared" si="0"/>
        <v>5.3944484529990833</v>
      </c>
      <c r="AL7" s="70">
        <f>+AA7/10</f>
        <v>5.3831201112477851</v>
      </c>
      <c r="AM7" s="70">
        <f t="shared" ref="AM7" si="1">+AB7/10</f>
        <v>5.3718155590141645</v>
      </c>
      <c r="AN7" s="70">
        <f>+AC7/10</f>
        <v>5.3605347463402353</v>
      </c>
    </row>
    <row r="8" spans="1:40" s="70" customFormat="1" x14ac:dyDescent="0.25">
      <c r="A8" s="145" t="s">
        <v>77</v>
      </c>
      <c r="B8" s="71" t="s">
        <v>88</v>
      </c>
      <c r="C8" s="71"/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f>+(Medidas!B49+Medidas!B72)/1000</f>
        <v>3.684441500923926</v>
      </c>
      <c r="U8" s="75">
        <f>+(Medidas!C49+Medidas!C72)/1000</f>
        <v>3.6840368365785054</v>
      </c>
      <c r="V8" s="75">
        <f>+(Medidas!D49+Medidas!D72)/1000</f>
        <v>3.6836322395431553</v>
      </c>
      <c r="W8" s="75">
        <f>+(Medidas!E49+Medidas!E72)/1000</f>
        <v>3.6832277097279849</v>
      </c>
      <c r="X8" s="75">
        <f>+(Medidas!F49+Medidas!F72)/1000</f>
        <v>3.6828232470434008</v>
      </c>
      <c r="Y8" s="75">
        <f>+(Medidas!G49+Medidas!G72)/1000</f>
        <v>3.6824188514001084</v>
      </c>
      <c r="Z8" s="75">
        <f>+(Medidas!H49+Medidas!H72)/1000</f>
        <v>3.6820145227091099</v>
      </c>
      <c r="AA8" s="75">
        <f>+(Medidas!I49+Medidas!I72)/1000</f>
        <v>3.681610260881703</v>
      </c>
      <c r="AB8" s="75">
        <f>+(Medidas!J49+Medidas!J72)/1000</f>
        <v>3.6812060658294792</v>
      </c>
      <c r="AC8" s="146">
        <f>+(Medidas!K49+Medidas!K72)/1000</f>
        <v>3.680801937464325</v>
      </c>
      <c r="AE8" s="70">
        <f t="shared" ref="AE8:AE16" si="2">+T8/10</f>
        <v>0.36844415009239262</v>
      </c>
      <c r="AF8" s="70">
        <f t="shared" ref="AF8:AF16" si="3">+U8/10</f>
        <v>0.36840368365785053</v>
      </c>
      <c r="AG8" s="70">
        <f t="shared" ref="AG8:AG16" si="4">+V8/10</f>
        <v>0.36836322395431553</v>
      </c>
      <c r="AH8" s="70">
        <f t="shared" ref="AH8:AH16" si="5">+W8/10</f>
        <v>0.36832277097279847</v>
      </c>
      <c r="AI8" s="70">
        <f t="shared" ref="AI8:AI16" si="6">+X8/10</f>
        <v>0.36828232470434008</v>
      </c>
      <c r="AJ8" s="70">
        <f t="shared" ref="AJ8:AJ16" si="7">+Y8/10</f>
        <v>0.36824188514001083</v>
      </c>
      <c r="AK8" s="70">
        <f t="shared" ref="AK8:AK16" si="8">+Z8/10</f>
        <v>0.368201452270911</v>
      </c>
      <c r="AL8" s="70">
        <f t="shared" ref="AL8:AL16" si="9">+AA8/10</f>
        <v>0.36816102608817031</v>
      </c>
      <c r="AM8" s="70">
        <f t="shared" ref="AM8:AM16" si="10">+AB8/10</f>
        <v>0.36812060658294793</v>
      </c>
      <c r="AN8" s="70">
        <f t="shared" ref="AN8:AN16" si="11">+AC8/10</f>
        <v>0.36808019374643253</v>
      </c>
    </row>
    <row r="9" spans="1:40" s="70" customFormat="1" x14ac:dyDescent="0.25">
      <c r="A9" s="145" t="s">
        <v>78</v>
      </c>
      <c r="B9" s="71" t="s">
        <v>89</v>
      </c>
      <c r="C9" s="71"/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f>+(Medidas!B52+Medidas!B87)/1000</f>
        <v>21.778430961543133</v>
      </c>
      <c r="U9" s="75">
        <f>+(Medidas!C52+Medidas!C87)/1000</f>
        <v>21.704635624911063</v>
      </c>
      <c r="V9" s="75">
        <f>+(Medidas!D52+Medidas!D87)/1000</f>
        <v>21.631098309606656</v>
      </c>
      <c r="W9" s="75">
        <f>+(Medidas!E52+Medidas!E87)/1000</f>
        <v>21.5578181125836</v>
      </c>
      <c r="X9" s="75">
        <f>+(Medidas!F52+Medidas!F87)/1000</f>
        <v>21.484794133956246</v>
      </c>
      <c r="Y9" s="75">
        <f>+(Medidas!G52+Medidas!G87)/1000</f>
        <v>21.412025476988532</v>
      </c>
      <c r="Z9" s="75">
        <f>+(Medidas!H52+Medidas!H87)/1000</f>
        <v>21.339511248082975</v>
      </c>
      <c r="AA9" s="75">
        <f>+(Medidas!I52+Medidas!I87)/1000</f>
        <v>21.267250556769678</v>
      </c>
      <c r="AB9" s="75">
        <f>+(Medidas!J52+Medidas!J87)/1000</f>
        <v>21.195242515695391</v>
      </c>
      <c r="AC9" s="146">
        <f>+(Medidas!K52+Medidas!K87)/1000</f>
        <v>21.123486240612586</v>
      </c>
      <c r="AE9" s="70">
        <f t="shared" si="2"/>
        <v>2.1778430961543132</v>
      </c>
      <c r="AF9" s="70">
        <f t="shared" si="3"/>
        <v>2.1704635624911064</v>
      </c>
      <c r="AG9" s="70">
        <f t="shared" si="4"/>
        <v>2.1631098309606656</v>
      </c>
      <c r="AH9" s="70">
        <f t="shared" si="5"/>
        <v>2.1557818112583602</v>
      </c>
      <c r="AI9" s="70">
        <f t="shared" si="6"/>
        <v>2.1484794133956244</v>
      </c>
      <c r="AJ9" s="70">
        <f t="shared" si="7"/>
        <v>2.1412025476988532</v>
      </c>
      <c r="AK9" s="70">
        <f t="shared" si="8"/>
        <v>2.1339511248082976</v>
      </c>
      <c r="AL9" s="70">
        <f t="shared" si="9"/>
        <v>2.1267250556769679</v>
      </c>
      <c r="AM9" s="70">
        <f t="shared" si="10"/>
        <v>2.1195242515695392</v>
      </c>
      <c r="AN9" s="70">
        <f t="shared" si="11"/>
        <v>2.1123486240612586</v>
      </c>
    </row>
    <row r="10" spans="1:40" s="70" customFormat="1" x14ac:dyDescent="0.25">
      <c r="A10" s="145" t="s">
        <v>79</v>
      </c>
      <c r="B10" s="71" t="s">
        <v>90</v>
      </c>
      <c r="C10" s="71"/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f>+Medidas!B57/1000</f>
        <v>0.11095741391407672</v>
      </c>
      <c r="U10" s="75">
        <f>+Medidas!C57/1000</f>
        <v>0.11094543051337401</v>
      </c>
      <c r="V10" s="75">
        <f>+Medidas!D57/1000</f>
        <v>0.11093344840687856</v>
      </c>
      <c r="W10" s="75">
        <f>+Medidas!E57/1000</f>
        <v>0.11092146759445064</v>
      </c>
      <c r="X10" s="75">
        <f>+Medidas!F57/1000</f>
        <v>0.11090948807595044</v>
      </c>
      <c r="Y10" s="75">
        <f>+Medidas!G57/1000</f>
        <v>0.11089750985123822</v>
      </c>
      <c r="Z10" s="75">
        <f>+Medidas!H57/1000</f>
        <v>0.11088553292017429</v>
      </c>
      <c r="AA10" s="75">
        <f>+Medidas!I57/1000</f>
        <v>0.11087355728261891</v>
      </c>
      <c r="AB10" s="75">
        <f>+Medidas!J57/1000</f>
        <v>0.11086158293843239</v>
      </c>
      <c r="AC10" s="146">
        <f>+Medidas!K57/1000</f>
        <v>0.11084960988747504</v>
      </c>
      <c r="AE10" s="70">
        <f t="shared" si="2"/>
        <v>1.1095741391407673E-2</v>
      </c>
      <c r="AF10" s="70">
        <f t="shared" si="3"/>
        <v>1.1094543051337401E-2</v>
      </c>
      <c r="AG10" s="70">
        <f t="shared" si="4"/>
        <v>1.1093344840687856E-2</v>
      </c>
      <c r="AH10" s="70">
        <f t="shared" si="5"/>
        <v>1.1092146759445063E-2</v>
      </c>
      <c r="AI10" s="70">
        <f t="shared" si="6"/>
        <v>1.1090948807595044E-2</v>
      </c>
      <c r="AJ10" s="70">
        <f t="shared" si="7"/>
        <v>1.1089750985123822E-2</v>
      </c>
      <c r="AK10" s="70">
        <f t="shared" si="8"/>
        <v>1.1088553292017429E-2</v>
      </c>
      <c r="AL10" s="70">
        <f t="shared" si="9"/>
        <v>1.1087355728261892E-2</v>
      </c>
      <c r="AM10" s="70">
        <f t="shared" si="10"/>
        <v>1.1086158293843238E-2</v>
      </c>
      <c r="AN10" s="70">
        <f t="shared" si="11"/>
        <v>1.1084960988747504E-2</v>
      </c>
    </row>
    <row r="11" spans="1:40" s="70" customFormat="1" x14ac:dyDescent="0.25">
      <c r="A11" s="145" t="s">
        <v>80</v>
      </c>
      <c r="B11" s="71" t="s">
        <v>91</v>
      </c>
      <c r="C11" s="71"/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f>+Medidas!B62/1000</f>
        <v>1.6887862513844032</v>
      </c>
      <c r="U11" s="75">
        <f>+Medidas!C62/1000</f>
        <v>1.6886038624692536</v>
      </c>
      <c r="V11" s="75">
        <f>+Medidas!D62/1000</f>
        <v>1.6884214932521069</v>
      </c>
      <c r="W11" s="75">
        <f>+Medidas!E62/1000</f>
        <v>1.6882391437308359</v>
      </c>
      <c r="X11" s="75">
        <f>+Medidas!F62/1000</f>
        <v>1.688056813903313</v>
      </c>
      <c r="Y11" s="75">
        <f>+Medidas!G62/1000</f>
        <v>1.6878745037674114</v>
      </c>
      <c r="Z11" s="75">
        <f>+Medidas!H62/1000</f>
        <v>1.6876922133210046</v>
      </c>
      <c r="AA11" s="75">
        <f>+Medidas!I62/1000</f>
        <v>1.687509942561966</v>
      </c>
      <c r="AB11" s="75">
        <f>+Medidas!J62/1000</f>
        <v>1.6873276914881692</v>
      </c>
      <c r="AC11" s="146">
        <f>+Medidas!K62/1000</f>
        <v>1.6871454600974884</v>
      </c>
      <c r="AE11" s="70">
        <f t="shared" si="2"/>
        <v>0.16887862513844032</v>
      </c>
      <c r="AF11" s="70">
        <f t="shared" si="3"/>
        <v>0.16886038624692537</v>
      </c>
      <c r="AG11" s="70">
        <f t="shared" si="4"/>
        <v>0.16884214932521069</v>
      </c>
      <c r="AH11" s="70">
        <f t="shared" si="5"/>
        <v>0.16882391437308358</v>
      </c>
      <c r="AI11" s="70">
        <f t="shared" si="6"/>
        <v>0.16880568139033131</v>
      </c>
      <c r="AJ11" s="70">
        <f t="shared" si="7"/>
        <v>0.16878745037674114</v>
      </c>
      <c r="AK11" s="70">
        <f t="shared" si="8"/>
        <v>0.16876922133210046</v>
      </c>
      <c r="AL11" s="70">
        <f t="shared" si="9"/>
        <v>0.16875099425619661</v>
      </c>
      <c r="AM11" s="70">
        <f t="shared" si="10"/>
        <v>0.16873276914881691</v>
      </c>
      <c r="AN11" s="70">
        <f t="shared" si="11"/>
        <v>0.16871454600974883</v>
      </c>
    </row>
    <row r="12" spans="1:40" s="70" customFormat="1" x14ac:dyDescent="0.25">
      <c r="A12" s="145" t="s">
        <v>81</v>
      </c>
      <c r="B12" s="71" t="s">
        <v>92</v>
      </c>
      <c r="C12" s="71"/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f>+Medidas!B67/1000</f>
        <v>2.7183111448104702</v>
      </c>
      <c r="U12" s="75">
        <f>+Medidas!C67/1000</f>
        <v>2.7180175672068305</v>
      </c>
      <c r="V12" s="75">
        <f>+Medidas!D67/1000</f>
        <v>2.7177240213095719</v>
      </c>
      <c r="W12" s="75">
        <f>+Medidas!E67/1000</f>
        <v>2.7174305071152709</v>
      </c>
      <c r="X12" s="75">
        <f>+Medidas!F67/1000</f>
        <v>2.7171370246205022</v>
      </c>
      <c r="Y12" s="75">
        <f>+Medidas!G67/1000</f>
        <v>2.7168435738218437</v>
      </c>
      <c r="Z12" s="75">
        <f>+Medidas!H67/1000</f>
        <v>2.716550154715871</v>
      </c>
      <c r="AA12" s="75">
        <f>+Medidas!I67/1000</f>
        <v>2.7162567672991615</v>
      </c>
      <c r="AB12" s="75">
        <f>+Medidas!J67/1000</f>
        <v>2.7159634115682936</v>
      </c>
      <c r="AC12" s="146">
        <f>+Medidas!K67/1000</f>
        <v>2.7156700875198441</v>
      </c>
      <c r="AE12" s="70">
        <f t="shared" si="2"/>
        <v>0.27183111448104702</v>
      </c>
      <c r="AF12" s="70">
        <f t="shared" si="3"/>
        <v>0.27180175672068307</v>
      </c>
      <c r="AG12" s="70">
        <f t="shared" si="4"/>
        <v>0.27177240213095721</v>
      </c>
      <c r="AH12" s="70">
        <f t="shared" si="5"/>
        <v>0.2717430507115271</v>
      </c>
      <c r="AI12" s="70">
        <f t="shared" si="6"/>
        <v>0.27171370246205023</v>
      </c>
      <c r="AJ12" s="70">
        <f t="shared" si="7"/>
        <v>0.27168435738218438</v>
      </c>
      <c r="AK12" s="70">
        <f t="shared" si="8"/>
        <v>0.2716550154715871</v>
      </c>
      <c r="AL12" s="70">
        <f t="shared" si="9"/>
        <v>0.27162567672991617</v>
      </c>
      <c r="AM12" s="70">
        <f t="shared" si="10"/>
        <v>0.27159634115682935</v>
      </c>
      <c r="AN12" s="70">
        <f t="shared" si="11"/>
        <v>0.27156700875198442</v>
      </c>
    </row>
    <row r="13" spans="1:40" s="70" customFormat="1" x14ac:dyDescent="0.25">
      <c r="A13" s="145" t="s">
        <v>82</v>
      </c>
      <c r="B13" s="71" t="s">
        <v>93</v>
      </c>
      <c r="C13" s="71"/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f>+Medidas!B77/1000</f>
        <v>0.36617914538683949</v>
      </c>
      <c r="U13" s="75">
        <f>+Medidas!C77/1000</f>
        <v>0.3661395980391377</v>
      </c>
      <c r="V13" s="75">
        <f>+Medidas!D77/1000</f>
        <v>0.36610005496254944</v>
      </c>
      <c r="W13" s="75">
        <f>+Medidas!E77/1000</f>
        <v>0.3660605161566135</v>
      </c>
      <c r="X13" s="75">
        <f>+Medidas!F77/1000</f>
        <v>0.3660209816208686</v>
      </c>
      <c r="Y13" s="75">
        <f>+Medidas!G77/1000</f>
        <v>0.36598145135485355</v>
      </c>
      <c r="Z13" s="75">
        <f>+Medidas!H77/1000</f>
        <v>0.36594192535810727</v>
      </c>
      <c r="AA13" s="75">
        <f>+Medidas!I77/1000</f>
        <v>0.36590240363016857</v>
      </c>
      <c r="AB13" s="75">
        <f>+Medidas!J77/1000</f>
        <v>0.36586288617057655</v>
      </c>
      <c r="AC13" s="146">
        <f>+Medidas!K77/1000</f>
        <v>0.36582337297887013</v>
      </c>
      <c r="AE13" s="70">
        <f t="shared" si="2"/>
        <v>3.6617914538683946E-2</v>
      </c>
      <c r="AF13" s="70">
        <f t="shared" si="3"/>
        <v>3.661395980391377E-2</v>
      </c>
      <c r="AG13" s="70">
        <f t="shared" si="4"/>
        <v>3.6610005496254941E-2</v>
      </c>
      <c r="AH13" s="70">
        <f t="shared" si="5"/>
        <v>3.6606051615661349E-2</v>
      </c>
      <c r="AI13" s="70">
        <f t="shared" si="6"/>
        <v>3.6602098162086857E-2</v>
      </c>
      <c r="AJ13" s="70">
        <f t="shared" si="7"/>
        <v>3.6598145135485358E-2</v>
      </c>
      <c r="AK13" s="70">
        <f t="shared" si="8"/>
        <v>3.6594192535810727E-2</v>
      </c>
      <c r="AL13" s="70">
        <f t="shared" si="9"/>
        <v>3.6590240363016856E-2</v>
      </c>
      <c r="AM13" s="70">
        <f t="shared" si="10"/>
        <v>3.6586288617057657E-2</v>
      </c>
      <c r="AN13" s="70">
        <f t="shared" si="11"/>
        <v>3.6582337297887013E-2</v>
      </c>
    </row>
    <row r="14" spans="1:40" s="70" customFormat="1" x14ac:dyDescent="0.25">
      <c r="A14" s="145" t="s">
        <v>83</v>
      </c>
      <c r="B14" s="71" t="s">
        <v>94</v>
      </c>
      <c r="C14" s="71"/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f>+Medidas!B92/1000</f>
        <v>1.3635047053613696</v>
      </c>
      <c r="U14" s="75">
        <f>+Medidas!C92/1000</f>
        <v>1.3633574468531906</v>
      </c>
      <c r="V14" s="75">
        <f>+Medidas!D92/1000</f>
        <v>1.3632102042489305</v>
      </c>
      <c r="W14" s="75">
        <f>+Medidas!E92/1000</f>
        <v>1.3630629775468717</v>
      </c>
      <c r="X14" s="75">
        <f>+Medidas!F92/1000</f>
        <v>1.3629157667452967</v>
      </c>
      <c r="Y14" s="75">
        <f>+Medidas!G92/1000</f>
        <v>1.3627685718424882</v>
      </c>
      <c r="Z14" s="75">
        <f>+Medidas!H92/1000</f>
        <v>1.3626213928367292</v>
      </c>
      <c r="AA14" s="75">
        <f>+Medidas!I92/1000</f>
        <v>1.3624742297263028</v>
      </c>
      <c r="AB14" s="75">
        <f>+Medidas!J92/1000</f>
        <v>1.3623270825094924</v>
      </c>
      <c r="AC14" s="146">
        <f>+Medidas!K92/1000</f>
        <v>1.3621799511845814</v>
      </c>
      <c r="AE14" s="70">
        <f t="shared" si="2"/>
        <v>0.13635047053613697</v>
      </c>
      <c r="AF14" s="70">
        <f t="shared" si="3"/>
        <v>0.13633574468531906</v>
      </c>
      <c r="AG14" s="70">
        <f t="shared" si="4"/>
        <v>0.13632102042489305</v>
      </c>
      <c r="AH14" s="70">
        <f t="shared" si="5"/>
        <v>0.13630629775468717</v>
      </c>
      <c r="AI14" s="70">
        <f t="shared" si="6"/>
        <v>0.13629157667452968</v>
      </c>
      <c r="AJ14" s="70">
        <f t="shared" si="7"/>
        <v>0.13627685718424881</v>
      </c>
      <c r="AK14" s="70">
        <f t="shared" si="8"/>
        <v>0.13626213928367292</v>
      </c>
      <c r="AL14" s="70">
        <f t="shared" si="9"/>
        <v>0.13624742297263029</v>
      </c>
      <c r="AM14" s="70">
        <f t="shared" si="10"/>
        <v>0.13623270825094924</v>
      </c>
      <c r="AN14" s="70">
        <f t="shared" si="11"/>
        <v>0.13621799511845814</v>
      </c>
    </row>
    <row r="15" spans="1:40" s="70" customFormat="1" x14ac:dyDescent="0.25">
      <c r="A15" s="145" t="s">
        <v>84</v>
      </c>
      <c r="B15" s="71" t="s">
        <v>95</v>
      </c>
      <c r="C15" s="71"/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f>+Medidas!B42/1000</f>
        <v>39.664720974399998</v>
      </c>
      <c r="U15" s="75">
        <f>+Medidas!C42/1000</f>
        <v>39.581425060353759</v>
      </c>
      <c r="V15" s="75">
        <f>+Medidas!D42/1000</f>
        <v>39.49830406772702</v>
      </c>
      <c r="W15" s="75">
        <f>+Medidas!E42/1000</f>
        <v>39.41535762918479</v>
      </c>
      <c r="X15" s="75">
        <f>+Medidas!F42/1000</f>
        <v>39.3325853781635</v>
      </c>
      <c r="Y15" s="75">
        <f>+Medidas!G42/1000</f>
        <v>39.249986948869356</v>
      </c>
      <c r="Z15" s="75">
        <f>+Medidas!H42/1000</f>
        <v>39.16756197627673</v>
      </c>
      <c r="AA15" s="75">
        <f>+Medidas!I42/1000</f>
        <v>39.085310096126548</v>
      </c>
      <c r="AB15" s="75">
        <f>+Medidas!J42/1000</f>
        <v>39.003230944924688</v>
      </c>
      <c r="AC15" s="146">
        <f>+Medidas!K42/1000</f>
        <v>38.921324159940347</v>
      </c>
      <c r="AE15" s="70">
        <f t="shared" si="2"/>
        <v>3.9664720974399996</v>
      </c>
      <c r="AF15" s="70">
        <f t="shared" si="3"/>
        <v>3.9581425060353759</v>
      </c>
      <c r="AG15" s="70">
        <f t="shared" si="4"/>
        <v>3.9498304067727021</v>
      </c>
      <c r="AH15" s="70">
        <f t="shared" si="5"/>
        <v>3.9415357629184791</v>
      </c>
      <c r="AI15" s="70">
        <f t="shared" si="6"/>
        <v>3.93325853781635</v>
      </c>
      <c r="AJ15" s="70">
        <f t="shared" si="7"/>
        <v>3.9249986948869355</v>
      </c>
      <c r="AK15" s="70">
        <f t="shared" si="8"/>
        <v>3.9167561976276728</v>
      </c>
      <c r="AL15" s="70">
        <f t="shared" si="9"/>
        <v>3.9085310096126546</v>
      </c>
      <c r="AM15" s="70">
        <f t="shared" si="10"/>
        <v>3.9003230944924687</v>
      </c>
      <c r="AN15" s="70">
        <f t="shared" si="11"/>
        <v>3.8921324159940349</v>
      </c>
    </row>
    <row r="16" spans="1:40" s="70" customFormat="1" ht="15.75" thickBot="1" x14ac:dyDescent="0.3">
      <c r="A16" s="147" t="s">
        <v>85</v>
      </c>
      <c r="B16" s="148" t="s">
        <v>96</v>
      </c>
      <c r="C16" s="148"/>
      <c r="D16" s="149">
        <v>0</v>
      </c>
      <c r="E16" s="149">
        <v>0</v>
      </c>
      <c r="F16" s="149">
        <v>0</v>
      </c>
      <c r="G16" s="149">
        <v>0</v>
      </c>
      <c r="H16" s="149">
        <v>0</v>
      </c>
      <c r="I16" s="149">
        <v>0</v>
      </c>
      <c r="J16" s="149">
        <v>0</v>
      </c>
      <c r="K16" s="149">
        <v>0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0</v>
      </c>
      <c r="R16" s="149">
        <v>0</v>
      </c>
      <c r="S16" s="149">
        <v>0</v>
      </c>
      <c r="T16" s="149">
        <v>3</v>
      </c>
      <c r="U16" s="149">
        <v>3</v>
      </c>
      <c r="V16" s="149">
        <v>3</v>
      </c>
      <c r="W16" s="149">
        <v>3</v>
      </c>
      <c r="X16" s="149">
        <v>0</v>
      </c>
      <c r="Y16" s="149">
        <v>0</v>
      </c>
      <c r="Z16" s="149">
        <v>0</v>
      </c>
      <c r="AA16" s="149">
        <v>0</v>
      </c>
      <c r="AB16" s="149">
        <v>0</v>
      </c>
      <c r="AC16" s="150">
        <v>0</v>
      </c>
      <c r="AE16" s="70">
        <f t="shared" si="2"/>
        <v>0.3</v>
      </c>
      <c r="AF16" s="70">
        <f t="shared" si="3"/>
        <v>0.3</v>
      </c>
      <c r="AG16" s="70">
        <f t="shared" si="4"/>
        <v>0.3</v>
      </c>
      <c r="AH16" s="70">
        <f t="shared" si="5"/>
        <v>0.3</v>
      </c>
      <c r="AI16" s="70">
        <f t="shared" si="6"/>
        <v>0</v>
      </c>
      <c r="AJ16" s="70">
        <f t="shared" si="7"/>
        <v>0</v>
      </c>
      <c r="AK16" s="70">
        <f t="shared" si="8"/>
        <v>0</v>
      </c>
      <c r="AL16" s="70">
        <f t="shared" si="9"/>
        <v>0</v>
      </c>
      <c r="AM16" s="70">
        <f t="shared" si="10"/>
        <v>0</v>
      </c>
      <c r="AN16" s="70">
        <f t="shared" si="11"/>
        <v>0</v>
      </c>
    </row>
    <row r="17" spans="1:29" s="70" customFormat="1" x14ac:dyDescent="0.25">
      <c r="A17" s="71"/>
      <c r="B17" s="71"/>
      <c r="C17" s="71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9" spans="1:29" x14ac:dyDescent="0.25">
      <c r="A19" s="81" t="s">
        <v>114</v>
      </c>
      <c r="C19" s="369"/>
    </row>
    <row r="20" spans="1:29" x14ac:dyDescent="0.25">
      <c r="A20" s="1" t="s">
        <v>105</v>
      </c>
      <c r="B20" s="65" t="s">
        <v>106</v>
      </c>
      <c r="C20" s="1" t="s">
        <v>223</v>
      </c>
      <c r="D20" s="1">
        <v>2010</v>
      </c>
      <c r="E20" s="1">
        <v>2011</v>
      </c>
      <c r="F20" s="1">
        <v>2012</v>
      </c>
      <c r="G20" s="1">
        <v>2013</v>
      </c>
      <c r="H20" s="1">
        <v>2014</v>
      </c>
      <c r="I20" s="1">
        <v>2015</v>
      </c>
      <c r="J20" s="1">
        <v>2016</v>
      </c>
      <c r="K20" s="1">
        <v>2017</v>
      </c>
      <c r="L20" s="1">
        <v>2018</v>
      </c>
      <c r="M20" s="1">
        <v>2019</v>
      </c>
      <c r="N20" s="1">
        <v>2020</v>
      </c>
      <c r="O20" s="1">
        <v>2021</v>
      </c>
      <c r="P20" s="1">
        <v>2022</v>
      </c>
      <c r="Q20" s="1">
        <v>2023</v>
      </c>
      <c r="R20" s="1">
        <v>2024</v>
      </c>
      <c r="S20" s="1">
        <v>2025</v>
      </c>
      <c r="T20" s="1">
        <v>2026</v>
      </c>
      <c r="U20" s="1">
        <v>2027</v>
      </c>
      <c r="V20" s="1">
        <v>2028</v>
      </c>
      <c r="W20" s="1">
        <v>2029</v>
      </c>
      <c r="X20" s="1">
        <v>2030</v>
      </c>
      <c r="Y20" s="1">
        <v>2031</v>
      </c>
      <c r="Z20" s="1">
        <v>2032</v>
      </c>
      <c r="AA20" s="1">
        <v>2033</v>
      </c>
      <c r="AB20" s="1">
        <v>2034</v>
      </c>
      <c r="AC20" s="1">
        <v>2035</v>
      </c>
    </row>
    <row r="21" spans="1:29" ht="15.75" thickBot="1" x14ac:dyDescent="0.3">
      <c r="A21" s="173" t="s">
        <v>227</v>
      </c>
      <c r="B21" s="173" t="s">
        <v>228</v>
      </c>
      <c r="C21" s="175">
        <f>+SUM(P22:P30)/(SUM(P22:P30)+SUM(P37:P45)+SUM(P51:P59)+SUM(P65:P73)+SUM(P80:P88))</f>
        <v>0.89825376915175026</v>
      </c>
      <c r="D21" s="177">
        <f>+SUM(D22:D30)</f>
        <v>94.733999999999995</v>
      </c>
      <c r="E21" s="177">
        <f t="shared" ref="E21:O21" si="12">+SUM(E22:E30)</f>
        <v>94.733999999999995</v>
      </c>
      <c r="F21" s="177">
        <f t="shared" si="12"/>
        <v>94.733999999999995</v>
      </c>
      <c r="G21" s="177">
        <f t="shared" si="12"/>
        <v>94.733999999999995</v>
      </c>
      <c r="H21" s="177">
        <f t="shared" si="12"/>
        <v>94.733999999999995</v>
      </c>
      <c r="I21" s="177">
        <f t="shared" si="12"/>
        <v>92.75350499999999</v>
      </c>
      <c r="J21" s="177">
        <f t="shared" si="12"/>
        <v>90.773009999999999</v>
      </c>
      <c r="K21" s="177">
        <f t="shared" si="12"/>
        <v>84.104577500000005</v>
      </c>
      <c r="L21" s="177">
        <f t="shared" si="12"/>
        <v>77.43614500000001</v>
      </c>
      <c r="M21" s="177">
        <f t="shared" si="12"/>
        <v>82.067594999999997</v>
      </c>
      <c r="N21" s="177">
        <f t="shared" si="12"/>
        <v>82.067594999999997</v>
      </c>
      <c r="O21" s="177">
        <f t="shared" si="12"/>
        <v>91.369034999999997</v>
      </c>
      <c r="P21" s="177">
        <f>+SUM(P22:P30)</f>
        <v>91.369034999999997</v>
      </c>
      <c r="Q21" s="177">
        <f>Coberturas!O15*-1*1000</f>
        <v>95.392136550000941</v>
      </c>
      <c r="R21" s="177">
        <f>Coberturas!P15*-1*1000</f>
        <v>94.690734103089198</v>
      </c>
      <c r="S21" s="177">
        <f>Coberturas!Q15*-1*1000</f>
        <v>93.97933234338052</v>
      </c>
      <c r="T21" s="177">
        <f>Coberturas!R15*-1*1000</f>
        <v>93.29793127053199</v>
      </c>
      <c r="U21" s="177">
        <f>Coberturas!S15*-1*1000</f>
        <v>92.606530884208041</v>
      </c>
      <c r="V21" s="177">
        <f>Coberturas!T15*-1*1000</f>
        <v>91.915131184076017</v>
      </c>
      <c r="W21" s="177">
        <f>Coberturas!U15*-1*1000</f>
        <v>91.243732169796203</v>
      </c>
      <c r="X21" s="177">
        <f>Coberturas!V15*-1*1000</f>
        <v>90.57233384103165</v>
      </c>
      <c r="Y21" s="177">
        <f>Coberturas!W15*-1*1000</f>
        <v>89.900936197451301</v>
      </c>
      <c r="Z21" s="177">
        <f>Coberturas!X15*-1*1000</f>
        <v>89.239539238713405</v>
      </c>
      <c r="AA21" s="177">
        <f>Coberturas!Y15*-1*1000</f>
        <v>88.578142964486688</v>
      </c>
      <c r="AB21" s="177">
        <f>Coberturas!Z15*-1*1000</f>
        <v>87.936747374435072</v>
      </c>
      <c r="AC21" s="177">
        <f>Coberturas!AA15*-1*1000</f>
        <v>87.275352468219353</v>
      </c>
    </row>
    <row r="22" spans="1:29" x14ac:dyDescent="0.25">
      <c r="A22" s="189" t="s">
        <v>18</v>
      </c>
      <c r="B22" s="54" t="s">
        <v>19</v>
      </c>
      <c r="C22" s="176">
        <f t="shared" ref="C22:C30" si="13">+P22/SUM(P$22:P$30)</f>
        <v>2.6189616646383539E-2</v>
      </c>
      <c r="D22" s="84">
        <f>+'5ta'!F3/1000</f>
        <v>2.9216550000000003</v>
      </c>
      <c r="E22" s="84">
        <f>+(D22+F22)/2</f>
        <v>2.9216550000000003</v>
      </c>
      <c r="F22" s="84">
        <f>+'5ta'!G3/1000</f>
        <v>2.9216550000000003</v>
      </c>
      <c r="G22" s="84">
        <f>+(F22+H22)/2</f>
        <v>2.9216550000000003</v>
      </c>
      <c r="H22" s="84">
        <f>+'5ta'!H3/1000</f>
        <v>2.9216550000000003</v>
      </c>
      <c r="I22" s="84">
        <f>+(H22+J22)/2</f>
        <v>2.0444325000000001</v>
      </c>
      <c r="J22" s="84">
        <f>+'5ta'!I3/1000</f>
        <v>1.1672100000000001</v>
      </c>
      <c r="K22" s="84">
        <f>+(J22+L22)/2</f>
        <v>1.0525500000000001</v>
      </c>
      <c r="L22" s="84">
        <f>+'5ta'!J3/1000</f>
        <v>0.93789</v>
      </c>
      <c r="M22" s="84">
        <f>+'5ta'!K3/1000</f>
        <v>3.3829199999999999</v>
      </c>
      <c r="N22" s="84">
        <f>+'5ta'!L3/1000</f>
        <v>3.3829199999999999</v>
      </c>
      <c r="O22" s="433">
        <f>+'5ta'!M3/1000</f>
        <v>2.3929200000000002</v>
      </c>
      <c r="P22" s="442">
        <f>+'5ta'!N3/1000</f>
        <v>2.3929200000000002</v>
      </c>
      <c r="Q22" s="437">
        <f>+Q$21*$C$21*$C22</f>
        <v>2.2440925588983585</v>
      </c>
      <c r="R22" s="178">
        <f t="shared" ref="Q22:AC30" si="14">+R$21*$C$21*$C22</f>
        <v>2.2275921211386622</v>
      </c>
      <c r="S22" s="178">
        <f t="shared" si="14"/>
        <v>2.2108564503267116</v>
      </c>
      <c r="T22" s="178">
        <f t="shared" si="14"/>
        <v>2.1948265433290501</v>
      </c>
      <c r="U22" s="178">
        <f t="shared" si="14"/>
        <v>2.1785614032631733</v>
      </c>
      <c r="V22" s="178">
        <f t="shared" si="14"/>
        <v>2.1622962793399076</v>
      </c>
      <c r="W22" s="178">
        <f t="shared" si="14"/>
        <v>2.1465016699885671</v>
      </c>
      <c r="X22" s="178">
        <f t="shared" si="14"/>
        <v>2.1307070767639193</v>
      </c>
      <c r="Y22" s="178">
        <f t="shared" si="14"/>
        <v>2.1149124996581761</v>
      </c>
      <c r="Z22" s="178">
        <f t="shared" si="14"/>
        <v>2.0993531878819507</v>
      </c>
      <c r="AA22" s="178">
        <f t="shared" si="14"/>
        <v>2.0837938922087975</v>
      </c>
      <c r="AB22" s="178">
        <f t="shared" si="14"/>
        <v>2.0687051110681152</v>
      </c>
      <c r="AC22" s="178">
        <f t="shared" si="14"/>
        <v>2.0531458475773139</v>
      </c>
    </row>
    <row r="23" spans="1:29" x14ac:dyDescent="0.25">
      <c r="A23" s="189" t="s">
        <v>20</v>
      </c>
      <c r="B23" s="54" t="s">
        <v>19</v>
      </c>
      <c r="C23" s="176">
        <f t="shared" si="13"/>
        <v>0.15805573518424487</v>
      </c>
      <c r="D23" s="84">
        <f>+'5ta'!F4/1000</f>
        <v>14.129010000000008</v>
      </c>
      <c r="E23" s="84">
        <f t="shared" ref="E23:G35" si="15">+(D23+F23)/2</f>
        <v>14.129010000000008</v>
      </c>
      <c r="F23" s="84">
        <f>+'5ta'!G4/1000</f>
        <v>14.129010000000008</v>
      </c>
      <c r="G23" s="84">
        <f t="shared" si="15"/>
        <v>14.129010000000008</v>
      </c>
      <c r="H23" s="84">
        <f>+'5ta'!H4/1000</f>
        <v>14.129010000000008</v>
      </c>
      <c r="I23" s="84">
        <f t="shared" ref="I23:I35" si="16">+(H23+J23)/2</f>
        <v>13.915642500000004</v>
      </c>
      <c r="J23" s="84">
        <f>+'5ta'!I4/1000</f>
        <v>13.702274999999998</v>
      </c>
      <c r="K23" s="84">
        <f t="shared" ref="K23:K35" si="17">+(J23+L23)/2</f>
        <v>11.8719675</v>
      </c>
      <c r="L23" s="84">
        <f>+'5ta'!J4/1000</f>
        <v>10.04166</v>
      </c>
      <c r="M23" s="84">
        <f>+'5ta'!K4/1000</f>
        <v>11.193209999999999</v>
      </c>
      <c r="N23" s="84">
        <f>+'5ta'!L4/1000</f>
        <v>11.193209999999999</v>
      </c>
      <c r="O23" s="433">
        <f>+'5ta'!M4/1000</f>
        <v>14.441400000000002</v>
      </c>
      <c r="P23" s="443">
        <f>+'5ta'!N4/1000</f>
        <v>14.441400000000002</v>
      </c>
      <c r="Q23" s="437">
        <f t="shared" si="14"/>
        <v>13.543218444442253</v>
      </c>
      <c r="R23" s="178">
        <f t="shared" si="14"/>
        <v>13.443637421314493</v>
      </c>
      <c r="S23" s="178">
        <f t="shared" si="14"/>
        <v>13.342636754153158</v>
      </c>
      <c r="T23" s="178">
        <f t="shared" si="14"/>
        <v>13.245895409304175</v>
      </c>
      <c r="U23" s="178">
        <f t="shared" si="14"/>
        <v>13.147734420325289</v>
      </c>
      <c r="V23" s="178">
        <f t="shared" si="14"/>
        <v>13.049573528767926</v>
      </c>
      <c r="W23" s="178">
        <f t="shared" si="14"/>
        <v>12.954252217781159</v>
      </c>
      <c r="X23" s="178">
        <f t="shared" si="14"/>
        <v>12.858931004119846</v>
      </c>
      <c r="Y23" s="178">
        <f t="shared" si="14"/>
        <v>12.763609887736983</v>
      </c>
      <c r="Z23" s="178">
        <f t="shared" si="14"/>
        <v>12.669708610182708</v>
      </c>
      <c r="AA23" s="178">
        <f t="shared" si="14"/>
        <v>12.575807429811331</v>
      </c>
      <c r="AB23" s="178">
        <f t="shared" si="14"/>
        <v>12.484745829772445</v>
      </c>
      <c r="AC23" s="178">
        <f t="shared" si="14"/>
        <v>12.390844843623281</v>
      </c>
    </row>
    <row r="24" spans="1:29" x14ac:dyDescent="0.25">
      <c r="A24" s="189" t="s">
        <v>21</v>
      </c>
      <c r="B24" s="54" t="s">
        <v>19</v>
      </c>
      <c r="C24" s="176">
        <f t="shared" si="13"/>
        <v>9.5808607369006357E-2</v>
      </c>
      <c r="D24" s="84">
        <f>+'5ta'!F5/1000</f>
        <v>13.631910000000001</v>
      </c>
      <c r="E24" s="84">
        <f t="shared" si="15"/>
        <v>13.631910000000001</v>
      </c>
      <c r="F24" s="84">
        <f>+'5ta'!G5/1000</f>
        <v>13.631910000000001</v>
      </c>
      <c r="G24" s="84">
        <f t="shared" si="15"/>
        <v>13.631910000000001</v>
      </c>
      <c r="H24" s="84">
        <f>+'5ta'!H5/1000</f>
        <v>13.631910000000001</v>
      </c>
      <c r="I24" s="84">
        <f t="shared" si="16"/>
        <v>13.444094999999999</v>
      </c>
      <c r="J24" s="84">
        <f>+'5ta'!I5/1000</f>
        <v>13.256279999999997</v>
      </c>
      <c r="K24" s="84">
        <f t="shared" si="17"/>
        <v>12.232394999999999</v>
      </c>
      <c r="L24" s="84">
        <f>+'5ta'!J5/1000</f>
        <v>11.20851</v>
      </c>
      <c r="M24" s="84">
        <f>+'5ta'!K5/1000</f>
        <v>11.09066</v>
      </c>
      <c r="N24" s="84">
        <f>+'5ta'!L5/1000</f>
        <v>11.09066</v>
      </c>
      <c r="O24" s="433">
        <f>+'5ta'!M5/1000</f>
        <v>8.7539400000000001</v>
      </c>
      <c r="P24" s="443">
        <f>+'5ta'!N5/1000</f>
        <v>8.7539400000000001</v>
      </c>
      <c r="Q24" s="437">
        <f t="shared" si="14"/>
        <v>8.2094895002936568</v>
      </c>
      <c r="R24" s="178">
        <f t="shared" si="14"/>
        <v>8.1491264952111138</v>
      </c>
      <c r="S24" s="178">
        <f t="shared" si="14"/>
        <v>8.0879029448427087</v>
      </c>
      <c r="T24" s="178">
        <f t="shared" si="14"/>
        <v>8.0292612668663832</v>
      </c>
      <c r="U24" s="178">
        <f t="shared" si="14"/>
        <v>7.9697590435458014</v>
      </c>
      <c r="V24" s="178">
        <f t="shared" si="14"/>
        <v>7.9102568792792027</v>
      </c>
      <c r="W24" s="178">
        <f t="shared" si="14"/>
        <v>7.8524759828910753</v>
      </c>
      <c r="X24" s="178">
        <f t="shared" si="14"/>
        <v>7.7946951454986966</v>
      </c>
      <c r="Y24" s="178">
        <f t="shared" si="14"/>
        <v>7.7369143670735721</v>
      </c>
      <c r="Z24" s="178">
        <f t="shared" si="14"/>
        <v>7.6799942520131568</v>
      </c>
      <c r="AA24" s="178">
        <f t="shared" si="14"/>
        <v>7.6230741958620767</v>
      </c>
      <c r="AB24" s="178">
        <f t="shared" si="14"/>
        <v>7.5678754074451362</v>
      </c>
      <c r="AC24" s="178">
        <f t="shared" si="14"/>
        <v>7.5109554690256877</v>
      </c>
    </row>
    <row r="25" spans="1:29" x14ac:dyDescent="0.25">
      <c r="A25" s="189" t="s">
        <v>22</v>
      </c>
      <c r="B25" s="54" t="s">
        <v>19</v>
      </c>
      <c r="C25" s="176">
        <f t="shared" si="13"/>
        <v>0.12208342793595227</v>
      </c>
      <c r="D25" s="84">
        <f>+'5ta'!F6/1000</f>
        <v>19.148415</v>
      </c>
      <c r="E25" s="84">
        <f t="shared" si="15"/>
        <v>19.148415</v>
      </c>
      <c r="F25" s="84">
        <f>+'5ta'!G6/1000</f>
        <v>19.148415</v>
      </c>
      <c r="G25" s="84">
        <f t="shared" si="15"/>
        <v>19.148415</v>
      </c>
      <c r="H25" s="84">
        <f>+'5ta'!H6/1000</f>
        <v>19.148415</v>
      </c>
      <c r="I25" s="84">
        <f t="shared" si="16"/>
        <v>15.017677500000001</v>
      </c>
      <c r="J25" s="84">
        <f>+'5ta'!I6/1000</f>
        <v>10.886940000000001</v>
      </c>
      <c r="K25" s="84">
        <f t="shared" si="17"/>
        <v>10.514340000000001</v>
      </c>
      <c r="L25" s="84">
        <f>+'5ta'!J6/1000</f>
        <v>10.14174</v>
      </c>
      <c r="M25" s="84">
        <f>+'5ta'!K6/1000</f>
        <v>8.8615349999999999</v>
      </c>
      <c r="N25" s="84">
        <f>+'5ta'!L6/1000</f>
        <v>8.8615349999999999</v>
      </c>
      <c r="O25" s="433">
        <f>+'5ta'!M6/1000</f>
        <v>11.154645</v>
      </c>
      <c r="P25" s="443">
        <f>+'5ta'!N6/1000</f>
        <v>11.154645</v>
      </c>
      <c r="Q25" s="437">
        <f t="shared" si="14"/>
        <v>10.460882871827216</v>
      </c>
      <c r="R25" s="178">
        <f t="shared" si="14"/>
        <v>10.383965747329109</v>
      </c>
      <c r="S25" s="178">
        <f t="shared" si="14"/>
        <v>10.305952079198052</v>
      </c>
      <c r="T25" s="178">
        <f t="shared" si="14"/>
        <v>10.231228343368217</v>
      </c>
      <c r="U25" s="178">
        <f t="shared" si="14"/>
        <v>10.155408063831025</v>
      </c>
      <c r="V25" s="178">
        <f t="shared" si="14"/>
        <v>10.079587859542945</v>
      </c>
      <c r="W25" s="178">
        <f t="shared" si="14"/>
        <v>10.005960968452609</v>
      </c>
      <c r="X25" s="178">
        <f t="shared" si="14"/>
        <v>9.9323341525371802</v>
      </c>
      <c r="Y25" s="178">
        <f t="shared" si="14"/>
        <v>9.8587074117603493</v>
      </c>
      <c r="Z25" s="178">
        <f t="shared" si="14"/>
        <v>9.7861773650775881</v>
      </c>
      <c r="AA25" s="178">
        <f t="shared" si="14"/>
        <v>9.7136473934596239</v>
      </c>
      <c r="AB25" s="178">
        <f t="shared" si="14"/>
        <v>9.6433107348554881</v>
      </c>
      <c r="AC25" s="178">
        <f t="shared" si="14"/>
        <v>9.5707809132562076</v>
      </c>
    </row>
    <row r="26" spans="1:29" x14ac:dyDescent="0.25">
      <c r="A26" s="189" t="s">
        <v>23</v>
      </c>
      <c r="B26" s="54" t="s">
        <v>19</v>
      </c>
      <c r="C26" s="176">
        <f t="shared" si="13"/>
        <v>1.4855032670532198E-2</v>
      </c>
      <c r="D26" s="84">
        <f>+'5ta'!F7/1000</f>
        <v>2.5439550000000004</v>
      </c>
      <c r="E26" s="84">
        <f t="shared" si="15"/>
        <v>2.5439550000000004</v>
      </c>
      <c r="F26" s="84">
        <f>+'5ta'!G7/1000</f>
        <v>2.5439550000000004</v>
      </c>
      <c r="G26" s="84">
        <f>+(F26+H26)/2</f>
        <v>2.5439550000000004</v>
      </c>
      <c r="H26" s="84">
        <f>+'5ta'!H7/1000</f>
        <v>2.5439550000000004</v>
      </c>
      <c r="I26" s="84">
        <f t="shared" si="16"/>
        <v>2.7403950000000004</v>
      </c>
      <c r="J26" s="84">
        <f>+'5ta'!I7/1000</f>
        <v>2.9368349999999999</v>
      </c>
      <c r="K26" s="84">
        <f t="shared" si="17"/>
        <v>2.6194974999999996</v>
      </c>
      <c r="L26" s="84">
        <f>+'5ta'!J7/1000</f>
        <v>2.3021599999999998</v>
      </c>
      <c r="M26" s="84">
        <f>+'5ta'!K7/1000</f>
        <v>3.16913</v>
      </c>
      <c r="N26" s="84">
        <f>+'5ta'!L7/1000</f>
        <v>3.16913</v>
      </c>
      <c r="O26" s="433">
        <f>+'5ta'!M7/1000</f>
        <v>1.3572899999999999</v>
      </c>
      <c r="P26" s="443">
        <f>+'5ta'!N7/1000</f>
        <v>1.3572899999999999</v>
      </c>
      <c r="Q26" s="437">
        <f t="shared" si="14"/>
        <v>1.2728734722711803</v>
      </c>
      <c r="R26" s="178">
        <f t="shared" si="14"/>
        <v>1.2635142462348488</v>
      </c>
      <c r="S26" s="178">
        <f t="shared" si="14"/>
        <v>1.2540215934774008</v>
      </c>
      <c r="T26" s="178">
        <f t="shared" si="14"/>
        <v>1.244929257557748</v>
      </c>
      <c r="U26" s="178">
        <f t="shared" si="14"/>
        <v>1.2357034949079249</v>
      </c>
      <c r="V26" s="178">
        <f t="shared" si="14"/>
        <v>1.2264777414143653</v>
      </c>
      <c r="W26" s="178">
        <f t="shared" si="14"/>
        <v>1.2175188688542791</v>
      </c>
      <c r="X26" s="178">
        <f t="shared" si="14"/>
        <v>1.2085600054414269</v>
      </c>
      <c r="Y26" s="178">
        <f t="shared" si="14"/>
        <v>1.1996011511713911</v>
      </c>
      <c r="Z26" s="178">
        <f t="shared" si="14"/>
        <v>1.1907757419304834</v>
      </c>
      <c r="AA26" s="178">
        <f t="shared" si="14"/>
        <v>1.1819503418234119</v>
      </c>
      <c r="AB26" s="178">
        <f t="shared" si="14"/>
        <v>1.1733918226274349</v>
      </c>
      <c r="AC26" s="178">
        <f t="shared" si="14"/>
        <v>1.1645664407745397</v>
      </c>
    </row>
    <row r="27" spans="1:29" ht="22.5" x14ac:dyDescent="0.25">
      <c r="A27" s="189" t="s">
        <v>24</v>
      </c>
      <c r="B27" s="54" t="s">
        <v>19</v>
      </c>
      <c r="C27" s="176">
        <f t="shared" si="13"/>
        <v>0.31681821965176715</v>
      </c>
      <c r="D27" s="84">
        <f>+'5ta'!F8/1000</f>
        <v>22.227494999999998</v>
      </c>
      <c r="E27" s="84">
        <f t="shared" si="15"/>
        <v>22.227494999999998</v>
      </c>
      <c r="F27" s="84">
        <f>+'5ta'!G8/1000</f>
        <v>22.227494999999998</v>
      </c>
      <c r="G27" s="84">
        <f t="shared" si="15"/>
        <v>22.227494999999998</v>
      </c>
      <c r="H27" s="84">
        <f>+'5ta'!H8/1000</f>
        <v>22.227494999999998</v>
      </c>
      <c r="I27" s="84">
        <f t="shared" si="16"/>
        <v>24.651502499999999</v>
      </c>
      <c r="J27" s="84">
        <f>+'5ta'!I8/1000</f>
        <v>27.075510000000001</v>
      </c>
      <c r="K27" s="84">
        <f t="shared" si="17"/>
        <v>25.636365000000001</v>
      </c>
      <c r="L27" s="84">
        <f>+'5ta'!J8/1000</f>
        <v>24.197220000000002</v>
      </c>
      <c r="M27" s="84">
        <f>+'5ta'!K8/1000</f>
        <v>26.998740000000002</v>
      </c>
      <c r="N27" s="84">
        <f>+'5ta'!L8/1000</f>
        <v>26.998740000000002</v>
      </c>
      <c r="O27" s="433">
        <f>+'5ta'!M8/1000</f>
        <v>28.947375000000001</v>
      </c>
      <c r="P27" s="443">
        <f>+'5ta'!N8/1000</f>
        <v>28.947375000000001</v>
      </c>
      <c r="Q27" s="437">
        <f t="shared" si="14"/>
        <v>27.146995652650475</v>
      </c>
      <c r="R27" s="178">
        <f t="shared" si="14"/>
        <v>26.947388327919981</v>
      </c>
      <c r="S27" s="178">
        <f t="shared" si="14"/>
        <v>26.744935367156526</v>
      </c>
      <c r="T27" s="178">
        <f t="shared" si="14"/>
        <v>26.55102009666005</v>
      </c>
      <c r="U27" s="178">
        <f t="shared" si="14"/>
        <v>26.354259189937522</v>
      </c>
      <c r="V27" s="178">
        <f t="shared" si="14"/>
        <v>26.157498478493665</v>
      </c>
      <c r="W27" s="178">
        <f t="shared" si="14"/>
        <v>25.966429625430557</v>
      </c>
      <c r="X27" s="178">
        <f t="shared" si="14"/>
        <v>25.775360967453551</v>
      </c>
      <c r="Y27" s="178">
        <f t="shared" si="14"/>
        <v>25.584292504468429</v>
      </c>
      <c r="Z27" s="178">
        <f t="shared" si="14"/>
        <v>25.39607006797732</v>
      </c>
      <c r="AA27" s="178">
        <f t="shared" si="14"/>
        <v>25.207847826286564</v>
      </c>
      <c r="AB27" s="178">
        <f t="shared" si="14"/>
        <v>25.025317442499283</v>
      </c>
      <c r="AC27" s="178">
        <f t="shared" si="14"/>
        <v>24.837095590121418</v>
      </c>
    </row>
    <row r="28" spans="1:29" x14ac:dyDescent="0.25">
      <c r="A28" s="189" t="s">
        <v>25</v>
      </c>
      <c r="B28" s="54" t="s">
        <v>19</v>
      </c>
      <c r="C28" s="176">
        <f t="shared" si="13"/>
        <v>0.25527242352948132</v>
      </c>
      <c r="D28" s="84">
        <f>+'5ta'!F9/1000</f>
        <v>19.344360000000002</v>
      </c>
      <c r="E28" s="84">
        <f t="shared" si="15"/>
        <v>19.344360000000002</v>
      </c>
      <c r="F28" s="84">
        <f>+'5ta'!G9/1000</f>
        <v>19.344360000000002</v>
      </c>
      <c r="G28" s="84">
        <f t="shared" si="15"/>
        <v>19.344360000000002</v>
      </c>
      <c r="H28" s="84">
        <f>+'5ta'!H9/1000</f>
        <v>19.344360000000002</v>
      </c>
      <c r="I28" s="84">
        <f t="shared" si="16"/>
        <v>19.871790000000004</v>
      </c>
      <c r="J28" s="84">
        <f>+'5ta'!I9/1000</f>
        <v>20.399220000000003</v>
      </c>
      <c r="K28" s="84">
        <f t="shared" si="17"/>
        <v>19.175940000000004</v>
      </c>
      <c r="L28" s="84">
        <f>+'5ta'!J9/1000</f>
        <v>17.952660000000002</v>
      </c>
      <c r="M28" s="84">
        <f>+'5ta'!K9/1000</f>
        <v>16.612380000000002</v>
      </c>
      <c r="N28" s="84">
        <f>+'5ta'!L9/1000</f>
        <v>16.612380000000002</v>
      </c>
      <c r="O28" s="433">
        <f>+'5ta'!M9/1000</f>
        <v>23.323995000000004</v>
      </c>
      <c r="P28" s="443">
        <f>+'5ta'!N9/1000</f>
        <v>23.323995000000004</v>
      </c>
      <c r="Q28" s="437">
        <f t="shared" si="14"/>
        <v>21.873361258747689</v>
      </c>
      <c r="R28" s="178">
        <f t="shared" si="14"/>
        <v>21.712530086871919</v>
      </c>
      <c r="S28" s="178">
        <f t="shared" si="14"/>
        <v>21.54940607840545</v>
      </c>
      <c r="T28" s="178">
        <f t="shared" si="14"/>
        <v>21.393161209933492</v>
      </c>
      <c r="U28" s="178">
        <f t="shared" si="14"/>
        <v>21.234623504715259</v>
      </c>
      <c r="V28" s="178">
        <f t="shared" si="14"/>
        <v>21.076085956840434</v>
      </c>
      <c r="W28" s="178">
        <f t="shared" si="14"/>
        <v>20.922134554563037</v>
      </c>
      <c r="X28" s="178">
        <f t="shared" si="14"/>
        <v>20.768183309473894</v>
      </c>
      <c r="Y28" s="178">
        <f t="shared" si="14"/>
        <v>20.614232221497083</v>
      </c>
      <c r="Z28" s="178">
        <f t="shared" si="14"/>
        <v>20.462574284720208</v>
      </c>
      <c r="AA28" s="178">
        <f t="shared" si="14"/>
        <v>20.31091650490135</v>
      </c>
      <c r="AB28" s="178">
        <f t="shared" si="14"/>
        <v>20.163844870295357</v>
      </c>
      <c r="AC28" s="178">
        <f t="shared" si="14"/>
        <v>20.01218740416062</v>
      </c>
    </row>
    <row r="29" spans="1:29" x14ac:dyDescent="0.25">
      <c r="A29" s="189" t="s">
        <v>26</v>
      </c>
      <c r="B29" s="54" t="s">
        <v>19</v>
      </c>
      <c r="C29" s="176">
        <f t="shared" si="13"/>
        <v>3.607130139877257E-3</v>
      </c>
      <c r="D29" s="84">
        <f>+'5ta'!F10/1000</f>
        <v>0.3635250000000001</v>
      </c>
      <c r="E29" s="84">
        <f t="shared" si="15"/>
        <v>0.3635250000000001</v>
      </c>
      <c r="F29" s="84">
        <f>+'5ta'!G10/1000</f>
        <v>0.3635250000000001</v>
      </c>
      <c r="G29" s="84">
        <f t="shared" si="15"/>
        <v>0.3635250000000001</v>
      </c>
      <c r="H29" s="84">
        <f>+'5ta'!H10/1000</f>
        <v>0.3635250000000001</v>
      </c>
      <c r="I29" s="84">
        <f t="shared" si="16"/>
        <v>0.56131500000000034</v>
      </c>
      <c r="J29" s="84">
        <f>+'5ta'!I10/1000</f>
        <v>0.75910500000000058</v>
      </c>
      <c r="K29" s="84">
        <f t="shared" si="17"/>
        <v>0.53824750000000032</v>
      </c>
      <c r="L29" s="84">
        <f>+'5ta'!J10/1000</f>
        <v>0.31739000000000001</v>
      </c>
      <c r="M29" s="84">
        <f>+'5ta'!K10/1000</f>
        <v>0.13797000000000001</v>
      </c>
      <c r="N29" s="84">
        <f>+'5ta'!L10/1000</f>
        <v>0.13797000000000001</v>
      </c>
      <c r="O29" s="433">
        <f>+'5ta'!M10/1000</f>
        <v>0.32957999999999998</v>
      </c>
      <c r="P29" s="443">
        <f>+'5ta'!N10/1000</f>
        <v>0.32957999999999998</v>
      </c>
      <c r="Q29" s="437">
        <f t="shared" si="14"/>
        <v>0.3090818019665183</v>
      </c>
      <c r="R29" s="178">
        <f t="shared" si="14"/>
        <v>0.30680917510191741</v>
      </c>
      <c r="S29" s="178">
        <f t="shared" si="14"/>
        <v>0.30450414928149605</v>
      </c>
      <c r="T29" s="178">
        <f t="shared" si="14"/>
        <v>0.30229632923390182</v>
      </c>
      <c r="U29" s="178">
        <f t="shared" si="14"/>
        <v>0.30005611022828865</v>
      </c>
      <c r="V29" s="178">
        <f t="shared" si="14"/>
        <v>0.29781589344601855</v>
      </c>
      <c r="W29" s="178">
        <f t="shared" si="14"/>
        <v>0.29564048125086995</v>
      </c>
      <c r="X29" s="178">
        <f t="shared" si="14"/>
        <v>0.29346507127687194</v>
      </c>
      <c r="Y29" s="178">
        <f t="shared" si="14"/>
        <v>0.29128966352295171</v>
      </c>
      <c r="Z29" s="178">
        <f t="shared" si="14"/>
        <v>0.28914665917044169</v>
      </c>
      <c r="AA29" s="178">
        <f t="shared" si="14"/>
        <v>0.28700365703582881</v>
      </c>
      <c r="AB29" s="178">
        <f t="shared" si="14"/>
        <v>0.28492545948290349</v>
      </c>
      <c r="AC29" s="178">
        <f t="shared" si="14"/>
        <v>0.28278246178080796</v>
      </c>
    </row>
    <row r="30" spans="1:29" ht="15.75" thickBot="1" x14ac:dyDescent="0.3">
      <c r="A30" s="189" t="s">
        <v>27</v>
      </c>
      <c r="B30" s="54" t="s">
        <v>19</v>
      </c>
      <c r="C30" s="176">
        <f t="shared" si="13"/>
        <v>7.3098068727550872E-3</v>
      </c>
      <c r="D30" s="84">
        <f>+'5ta'!F11/1000</f>
        <v>0.42367500000000002</v>
      </c>
      <c r="E30" s="84">
        <f t="shared" si="15"/>
        <v>0.42367500000000002</v>
      </c>
      <c r="F30" s="84">
        <f>+'5ta'!G11/1000</f>
        <v>0.42367500000000002</v>
      </c>
      <c r="G30" s="84">
        <f t="shared" si="15"/>
        <v>0.42367500000000002</v>
      </c>
      <c r="H30" s="84">
        <f>+'5ta'!H11/1000</f>
        <v>0.42367500000000002</v>
      </c>
      <c r="I30" s="84">
        <f t="shared" si="16"/>
        <v>0.50665500000000008</v>
      </c>
      <c r="J30" s="84">
        <f>+'5ta'!I11/1000</f>
        <v>0.58963500000000002</v>
      </c>
      <c r="K30" s="84">
        <f t="shared" si="17"/>
        <v>0.46327499999999999</v>
      </c>
      <c r="L30" s="84">
        <f>+'5ta'!J11/1000</f>
        <v>0.33691500000000002</v>
      </c>
      <c r="M30" s="84">
        <f>+'5ta'!K11/1000</f>
        <v>0.62104999999999999</v>
      </c>
      <c r="N30" s="84">
        <f>+'5ta'!L11/1000</f>
        <v>0.62104999999999999</v>
      </c>
      <c r="O30" s="433">
        <f>+'5ta'!M11/1000</f>
        <v>0.66789000000000009</v>
      </c>
      <c r="P30" s="444">
        <f>+'5ta'!N11/1000</f>
        <v>0.66789000000000009</v>
      </c>
      <c r="Q30" s="437">
        <f t="shared" si="14"/>
        <v>0.62635064237944638</v>
      </c>
      <c r="R30" s="178">
        <f t="shared" si="14"/>
        <v>0.62174519072401135</v>
      </c>
      <c r="S30" s="178">
        <f t="shared" si="14"/>
        <v>0.61707408296504174</v>
      </c>
      <c r="T30" s="178">
        <f t="shared" si="14"/>
        <v>0.61259996156329488</v>
      </c>
      <c r="U30" s="178">
        <f t="shared" si="14"/>
        <v>0.60806018405355833</v>
      </c>
      <c r="V30" s="178">
        <f t="shared" si="14"/>
        <v>0.60352041104940035</v>
      </c>
      <c r="W30" s="178">
        <f t="shared" si="14"/>
        <v>0.59911196378009468</v>
      </c>
      <c r="X30" s="178">
        <f t="shared" si="14"/>
        <v>0.59470352101192436</v>
      </c>
      <c r="Y30" s="178">
        <f t="shared" si="14"/>
        <v>0.59029508274271569</v>
      </c>
      <c r="Z30" s="178">
        <f t="shared" si="14"/>
        <v>0.5859523095859771</v>
      </c>
      <c r="AA30" s="178">
        <f t="shared" si="14"/>
        <v>0.58160954092378103</v>
      </c>
      <c r="AB30" s="178">
        <f t="shared" si="14"/>
        <v>0.57739809798542518</v>
      </c>
      <c r="AC30" s="178">
        <f t="shared" si="14"/>
        <v>0.57305533830567357</v>
      </c>
    </row>
    <row r="31" spans="1:29" x14ac:dyDescent="0.25">
      <c r="A31" s="179" t="s">
        <v>28</v>
      </c>
      <c r="B31" s="180" t="s">
        <v>19</v>
      </c>
      <c r="C31" s="180"/>
      <c r="D31" s="84">
        <f>+'5ta'!F12/1000</f>
        <v>2.3009850000000003</v>
      </c>
      <c r="E31" s="181">
        <f t="shared" si="15"/>
        <v>2.3009850000000003</v>
      </c>
      <c r="F31" s="84">
        <f>+'5ta'!G12/1000</f>
        <v>2.3009850000000003</v>
      </c>
      <c r="G31" s="181">
        <f t="shared" si="15"/>
        <v>2.3009850000000003</v>
      </c>
      <c r="H31" s="84">
        <f>+'5ta'!H12/1000</f>
        <v>2.3009850000000003</v>
      </c>
      <c r="I31" s="181">
        <f t="shared" si="16"/>
        <v>6.7188375000000002</v>
      </c>
      <c r="J31" s="84">
        <f>+'5ta'!I12/1000</f>
        <v>11.13669</v>
      </c>
      <c r="K31" s="181">
        <f t="shared" si="17"/>
        <v>9.8690624999999983</v>
      </c>
      <c r="L31" s="84">
        <f>+'5ta'!J12/1000</f>
        <v>8.6014349999999986</v>
      </c>
      <c r="M31" s="84">
        <f>+'5ta'!K12/1000</f>
        <v>1.9037299999999999</v>
      </c>
      <c r="N31" s="84">
        <f>+'5ta'!L12/1000</f>
        <v>1.9037299999999999</v>
      </c>
      <c r="O31" s="84">
        <f>+'5ta'!M12/1000</f>
        <v>5.1551099999999996</v>
      </c>
      <c r="P31" s="438">
        <f>+'5ta'!N12/1000</f>
        <v>5.1551099999999996</v>
      </c>
      <c r="Q31" s="181">
        <f t="shared" ref="Q31:AC31" si="18">+P31</f>
        <v>5.1551099999999996</v>
      </c>
      <c r="R31" s="181">
        <f t="shared" si="18"/>
        <v>5.1551099999999996</v>
      </c>
      <c r="S31" s="181">
        <f t="shared" si="18"/>
        <v>5.1551099999999996</v>
      </c>
      <c r="T31" s="181">
        <f t="shared" si="18"/>
        <v>5.1551099999999996</v>
      </c>
      <c r="U31" s="181">
        <f t="shared" si="18"/>
        <v>5.1551099999999996</v>
      </c>
      <c r="V31" s="181">
        <f t="shared" si="18"/>
        <v>5.1551099999999996</v>
      </c>
      <c r="W31" s="181">
        <f t="shared" si="18"/>
        <v>5.1551099999999996</v>
      </c>
      <c r="X31" s="181">
        <f t="shared" si="18"/>
        <v>5.1551099999999996</v>
      </c>
      <c r="Y31" s="181">
        <f t="shared" si="18"/>
        <v>5.1551099999999996</v>
      </c>
      <c r="Z31" s="181">
        <f t="shared" si="18"/>
        <v>5.1551099999999996</v>
      </c>
      <c r="AA31" s="181">
        <f t="shared" si="18"/>
        <v>5.1551099999999996</v>
      </c>
      <c r="AB31" s="181">
        <f t="shared" si="18"/>
        <v>5.1551099999999996</v>
      </c>
      <c r="AC31" s="181">
        <f t="shared" si="18"/>
        <v>5.1551099999999996</v>
      </c>
    </row>
    <row r="32" spans="1:29" x14ac:dyDescent="0.25">
      <c r="A32" s="182" t="s">
        <v>4</v>
      </c>
      <c r="B32" s="183" t="s">
        <v>19</v>
      </c>
      <c r="C32" s="183"/>
      <c r="D32" s="84">
        <f>+'5ta'!F13/1000</f>
        <v>24.385990000000003</v>
      </c>
      <c r="E32" s="190">
        <f t="shared" si="15"/>
        <v>24.385990000000003</v>
      </c>
      <c r="F32" s="84">
        <f>+'5ta'!G13/1000</f>
        <v>24.385990000000003</v>
      </c>
      <c r="G32" s="190">
        <f t="shared" si="15"/>
        <v>24.385990000000003</v>
      </c>
      <c r="H32" s="84">
        <f>+'5ta'!H13/1000</f>
        <v>24.385990000000003</v>
      </c>
      <c r="I32" s="190">
        <f t="shared" si="16"/>
        <v>38.966805000000001</v>
      </c>
      <c r="J32" s="84">
        <f>+'5ta'!I13/1000</f>
        <v>53.547620000000002</v>
      </c>
      <c r="K32" s="190">
        <f t="shared" si="17"/>
        <v>34.203535000000002</v>
      </c>
      <c r="L32" s="84">
        <f>+'5ta'!J13/1000</f>
        <v>14.859450000000001</v>
      </c>
      <c r="M32" s="84">
        <f>+'5ta'!K13/1000</f>
        <v>32.440310000000004</v>
      </c>
      <c r="N32" s="84">
        <f>+'5ta'!L13/1000</f>
        <v>32.440310000000004</v>
      </c>
      <c r="O32" s="84">
        <f>+'5ta'!M13/1000</f>
        <v>23.21604</v>
      </c>
      <c r="P32" s="84">
        <f>+'5ta'!N13/1000</f>
        <v>23.21604</v>
      </c>
      <c r="Q32" s="185">
        <f t="shared" ref="Q32:AC32" si="19">+P32</f>
        <v>23.21604</v>
      </c>
      <c r="R32" s="185">
        <f t="shared" si="19"/>
        <v>23.21604</v>
      </c>
      <c r="S32" s="185">
        <f t="shared" si="19"/>
        <v>23.21604</v>
      </c>
      <c r="T32" s="185">
        <f t="shared" si="19"/>
        <v>23.21604</v>
      </c>
      <c r="U32" s="185">
        <f t="shared" si="19"/>
        <v>23.21604</v>
      </c>
      <c r="V32" s="185">
        <f t="shared" si="19"/>
        <v>23.21604</v>
      </c>
      <c r="W32" s="185">
        <f t="shared" si="19"/>
        <v>23.21604</v>
      </c>
      <c r="X32" s="185">
        <f t="shared" si="19"/>
        <v>23.21604</v>
      </c>
      <c r="Y32" s="185">
        <f t="shared" si="19"/>
        <v>23.21604</v>
      </c>
      <c r="Z32" s="185">
        <f t="shared" si="19"/>
        <v>23.21604</v>
      </c>
      <c r="AA32" s="185">
        <f t="shared" si="19"/>
        <v>23.21604</v>
      </c>
      <c r="AB32" s="185">
        <f t="shared" si="19"/>
        <v>23.21604</v>
      </c>
      <c r="AC32" s="185">
        <f t="shared" si="19"/>
        <v>23.21604</v>
      </c>
    </row>
    <row r="33" spans="1:29" x14ac:dyDescent="0.25">
      <c r="A33" s="182" t="s">
        <v>5</v>
      </c>
      <c r="B33" s="183" t="s">
        <v>19</v>
      </c>
      <c r="C33" s="183"/>
      <c r="D33" s="84">
        <f>+'5ta'!F14/1000</f>
        <v>8.3199900000000007</v>
      </c>
      <c r="E33" s="191">
        <f t="shared" si="15"/>
        <v>8.3199900000000007</v>
      </c>
      <c r="F33" s="84">
        <f>+'5ta'!G14/1000</f>
        <v>8.3199900000000007</v>
      </c>
      <c r="G33" s="191">
        <f t="shared" si="15"/>
        <v>8.3199900000000007</v>
      </c>
      <c r="H33" s="84">
        <f>+'5ta'!H14/1000</f>
        <v>8.3199900000000007</v>
      </c>
      <c r="I33" s="191">
        <f t="shared" si="16"/>
        <v>9.2682150000000014</v>
      </c>
      <c r="J33" s="84">
        <f>+'5ta'!I14/1000</f>
        <v>10.21644</v>
      </c>
      <c r="K33" s="191">
        <f t="shared" si="17"/>
        <v>8.4736150000000006</v>
      </c>
      <c r="L33" s="84">
        <f>+'5ta'!J14/1000</f>
        <v>6.7307899999999998</v>
      </c>
      <c r="M33" s="84">
        <f>+'5ta'!K14/1000</f>
        <v>0.79537999999999998</v>
      </c>
      <c r="N33" s="84">
        <f>+'5ta'!L14/1000</f>
        <v>0.79537999999999998</v>
      </c>
      <c r="O33" s="84">
        <f>+'5ta'!M14/1000</f>
        <v>2.56298</v>
      </c>
      <c r="P33" s="84">
        <f>+'5ta'!N14/1000</f>
        <v>2.56298</v>
      </c>
      <c r="Q33" s="184">
        <f t="shared" ref="Q33:AC33" si="20">+P33</f>
        <v>2.56298</v>
      </c>
      <c r="R33" s="184">
        <f t="shared" si="20"/>
        <v>2.56298</v>
      </c>
      <c r="S33" s="184">
        <f t="shared" si="20"/>
        <v>2.56298</v>
      </c>
      <c r="T33" s="184">
        <f t="shared" si="20"/>
        <v>2.56298</v>
      </c>
      <c r="U33" s="184">
        <f t="shared" si="20"/>
        <v>2.56298</v>
      </c>
      <c r="V33" s="184">
        <f t="shared" si="20"/>
        <v>2.56298</v>
      </c>
      <c r="W33" s="184">
        <f t="shared" si="20"/>
        <v>2.56298</v>
      </c>
      <c r="X33" s="184">
        <f t="shared" si="20"/>
        <v>2.56298</v>
      </c>
      <c r="Y33" s="184">
        <f t="shared" si="20"/>
        <v>2.56298</v>
      </c>
      <c r="Z33" s="184">
        <f t="shared" si="20"/>
        <v>2.56298</v>
      </c>
      <c r="AA33" s="184">
        <f t="shared" si="20"/>
        <v>2.56298</v>
      </c>
      <c r="AB33" s="184">
        <f t="shared" si="20"/>
        <v>2.56298</v>
      </c>
      <c r="AC33" s="184">
        <f t="shared" si="20"/>
        <v>2.56298</v>
      </c>
    </row>
    <row r="34" spans="1:29" x14ac:dyDescent="0.25">
      <c r="A34" s="182" t="s">
        <v>6</v>
      </c>
      <c r="B34" s="183" t="s">
        <v>19</v>
      </c>
      <c r="C34" s="183"/>
      <c r="D34" s="84">
        <f>+'5ta'!F15/1000</f>
        <v>0</v>
      </c>
      <c r="E34" s="191">
        <f t="shared" si="15"/>
        <v>0</v>
      </c>
      <c r="F34" s="84">
        <f>+'5ta'!G15/1000</f>
        <v>0</v>
      </c>
      <c r="G34" s="191">
        <f t="shared" si="15"/>
        <v>0</v>
      </c>
      <c r="H34" s="84">
        <f>+'5ta'!H15/1000</f>
        <v>0</v>
      </c>
      <c r="I34" s="191">
        <f t="shared" si="16"/>
        <v>0</v>
      </c>
      <c r="J34" s="84">
        <f>+'5ta'!I15/1000</f>
        <v>0</v>
      </c>
      <c r="K34" s="191">
        <f t="shared" si="17"/>
        <v>0</v>
      </c>
      <c r="L34" s="84">
        <f>+'5ta'!J15/1000</f>
        <v>0</v>
      </c>
      <c r="M34" s="84">
        <f>+'5ta'!K15/1000</f>
        <v>0</v>
      </c>
      <c r="N34" s="84">
        <f>+'5ta'!L15/1000</f>
        <v>0</v>
      </c>
      <c r="O34" s="84">
        <f>+'5ta'!M15/1000</f>
        <v>0.26235000000000003</v>
      </c>
      <c r="P34" s="84">
        <f>+'5ta'!N15/1000</f>
        <v>0.26235000000000003</v>
      </c>
      <c r="Q34" s="184">
        <f t="shared" ref="Q34:AC34" si="21">+P34</f>
        <v>0.26235000000000003</v>
      </c>
      <c r="R34" s="184">
        <f t="shared" si="21"/>
        <v>0.26235000000000003</v>
      </c>
      <c r="S34" s="184">
        <f t="shared" si="21"/>
        <v>0.26235000000000003</v>
      </c>
      <c r="T34" s="184">
        <f t="shared" si="21"/>
        <v>0.26235000000000003</v>
      </c>
      <c r="U34" s="184">
        <f t="shared" si="21"/>
        <v>0.26235000000000003</v>
      </c>
      <c r="V34" s="184">
        <f t="shared" si="21"/>
        <v>0.26235000000000003</v>
      </c>
      <c r="W34" s="184">
        <f t="shared" si="21"/>
        <v>0.26235000000000003</v>
      </c>
      <c r="X34" s="184">
        <f t="shared" si="21"/>
        <v>0.26235000000000003</v>
      </c>
      <c r="Y34" s="184">
        <f t="shared" si="21"/>
        <v>0.26235000000000003</v>
      </c>
      <c r="Z34" s="184">
        <f t="shared" si="21"/>
        <v>0.26235000000000003</v>
      </c>
      <c r="AA34" s="184">
        <f t="shared" si="21"/>
        <v>0.26235000000000003</v>
      </c>
      <c r="AB34" s="184">
        <f t="shared" si="21"/>
        <v>0.26235000000000003</v>
      </c>
      <c r="AC34" s="184">
        <f t="shared" si="21"/>
        <v>0.26235000000000003</v>
      </c>
    </row>
    <row r="35" spans="1:29" x14ac:dyDescent="0.25">
      <c r="A35" s="182" t="s">
        <v>29</v>
      </c>
      <c r="B35" s="183" t="s">
        <v>19</v>
      </c>
      <c r="C35" s="183"/>
      <c r="D35" s="84">
        <f>+'5ta'!F16/1000</f>
        <v>1.2805199999999999</v>
      </c>
      <c r="E35" s="191">
        <f t="shared" si="15"/>
        <v>1.2805199999999999</v>
      </c>
      <c r="F35" s="84">
        <f>+'5ta'!G16/1000</f>
        <v>1.2805199999999999</v>
      </c>
      <c r="G35" s="191">
        <f t="shared" si="15"/>
        <v>1.2805199999999999</v>
      </c>
      <c r="H35" s="84">
        <f>+'5ta'!H16/1000</f>
        <v>1.2805199999999999</v>
      </c>
      <c r="I35" s="191">
        <f t="shared" si="16"/>
        <v>5.2548524999999993</v>
      </c>
      <c r="J35" s="84">
        <f>+'5ta'!I16/1000</f>
        <v>9.2291849999999993</v>
      </c>
      <c r="K35" s="191">
        <f t="shared" si="17"/>
        <v>5.3897874999999997</v>
      </c>
      <c r="L35" s="84">
        <f>+'5ta'!J16/1000</f>
        <v>1.5503900000000002</v>
      </c>
      <c r="M35" s="84">
        <f>+'5ta'!K16/1000</f>
        <v>0.60872000000000004</v>
      </c>
      <c r="N35" s="84">
        <f>+'5ta'!L16/1000</f>
        <v>0.60872000000000004</v>
      </c>
      <c r="O35" s="84">
        <f>+'5ta'!M16/1000</f>
        <v>3.3631599999999997</v>
      </c>
      <c r="P35" s="84">
        <f>+'5ta'!N16/1000</f>
        <v>3.3631599999999997</v>
      </c>
      <c r="Q35" s="184">
        <f t="shared" ref="Q35:AC35" si="22">+P35</f>
        <v>3.3631599999999997</v>
      </c>
      <c r="R35" s="184">
        <f t="shared" si="22"/>
        <v>3.3631599999999997</v>
      </c>
      <c r="S35" s="184">
        <f t="shared" si="22"/>
        <v>3.3631599999999997</v>
      </c>
      <c r="T35" s="184">
        <f t="shared" si="22"/>
        <v>3.3631599999999997</v>
      </c>
      <c r="U35" s="184">
        <f t="shared" si="22"/>
        <v>3.3631599999999997</v>
      </c>
      <c r="V35" s="184">
        <f t="shared" si="22"/>
        <v>3.3631599999999997</v>
      </c>
      <c r="W35" s="184">
        <f t="shared" si="22"/>
        <v>3.3631599999999997</v>
      </c>
      <c r="X35" s="184">
        <f t="shared" si="22"/>
        <v>3.3631599999999997</v>
      </c>
      <c r="Y35" s="184">
        <f t="shared" si="22"/>
        <v>3.3631599999999997</v>
      </c>
      <c r="Z35" s="184">
        <f t="shared" si="22"/>
        <v>3.3631599999999997</v>
      </c>
      <c r="AA35" s="184">
        <f t="shared" si="22"/>
        <v>3.3631599999999997</v>
      </c>
      <c r="AB35" s="184">
        <f t="shared" si="22"/>
        <v>3.3631599999999997</v>
      </c>
      <c r="AC35" s="184">
        <f t="shared" si="22"/>
        <v>3.3631599999999997</v>
      </c>
    </row>
    <row r="36" spans="1:29" ht="15.75" thickBot="1" x14ac:dyDescent="0.3">
      <c r="A36" s="187"/>
      <c r="B36" s="188"/>
      <c r="C36" s="174">
        <f>+SUM(P$37:P$45)/(SUM(P$22:P$30)+SUM(P$37:P$45)+SUM(P$51:P$59)+SUM(P$65:P$73)+SUM(P$80:P$88))</f>
        <v>7.9264826038053446E-3</v>
      </c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</row>
    <row r="37" spans="1:29" x14ac:dyDescent="0.25">
      <c r="A37" s="53" t="s">
        <v>18</v>
      </c>
      <c r="B37" s="54" t="s">
        <v>4</v>
      </c>
      <c r="C37" s="176">
        <f t="shared" ref="C37:C45" si="23">+P37/SUM(P$37:P$45)</f>
        <v>2.0092524836593205E-3</v>
      </c>
      <c r="D37" s="60">
        <f>+'5ta'!F20/1000</f>
        <v>0</v>
      </c>
      <c r="E37" s="84">
        <f>+(D37+F37)/2</f>
        <v>0</v>
      </c>
      <c r="F37" s="60">
        <f>+'5ta'!G20/1000</f>
        <v>0</v>
      </c>
      <c r="G37" s="84">
        <f>+(F37+H37)/2</f>
        <v>0</v>
      </c>
      <c r="H37" s="394">
        <f>+'5ta'!H20/1000</f>
        <v>0</v>
      </c>
      <c r="I37" s="395">
        <f>+(H37+J37)/2</f>
        <v>0</v>
      </c>
      <c r="J37" s="394">
        <f>+'5ta'!I20/1000</f>
        <v>0</v>
      </c>
      <c r="K37" s="394">
        <f>+'5ta'!J20/1000</f>
        <v>0.161775</v>
      </c>
      <c r="L37" s="394">
        <f>+'5ta'!J20/1000</f>
        <v>0.161775</v>
      </c>
      <c r="M37" s="394">
        <f>+'5ta'!K20/1000</f>
        <v>2.3940000000000003E-2</v>
      </c>
      <c r="N37" s="394">
        <f>+'5ta'!L20/1000</f>
        <v>2.3940000000000003E-2</v>
      </c>
      <c r="O37" s="434">
        <f>+'5ta'!M20/1000</f>
        <v>1.6200000000000001E-3</v>
      </c>
      <c r="P37" s="445">
        <f>+'5ta'!N20/1000</f>
        <v>1.6200000000000001E-3</v>
      </c>
      <c r="Q37" s="437">
        <f t="shared" ref="Q37:AC45" si="24">+Q$21*$C$36*$C37</f>
        <v>1.519244247787365E-3</v>
      </c>
      <c r="R37" s="178">
        <f t="shared" si="24"/>
        <v>1.508073498589436E-3</v>
      </c>
      <c r="S37" s="178">
        <f t="shared" si="24"/>
        <v>1.4967434972875289E-3</v>
      </c>
      <c r="T37" s="178">
        <f t="shared" si="24"/>
        <v>1.4858912960705171E-3</v>
      </c>
      <c r="U37" s="178">
        <f t="shared" si="24"/>
        <v>1.4748798427387214E-3</v>
      </c>
      <c r="V37" s="178">
        <f t="shared" si="24"/>
        <v>1.4638684003354272E-3</v>
      </c>
      <c r="W37" s="178">
        <f t="shared" si="24"/>
        <v>1.4531754949523923E-3</v>
      </c>
      <c r="X37" s="178">
        <f t="shared" si="24"/>
        <v>1.4424826004870823E-3</v>
      </c>
      <c r="Y37" s="178">
        <f t="shared" si="24"/>
        <v>1.431789716934225E-3</v>
      </c>
      <c r="Z37" s="178">
        <f t="shared" si="24"/>
        <v>1.421256107336961E-3</v>
      </c>
      <c r="AA37" s="178">
        <f t="shared" si="24"/>
        <v>1.4107225086414307E-3</v>
      </c>
      <c r="AB37" s="178">
        <f t="shared" si="24"/>
        <v>1.4005074469394493E-3</v>
      </c>
      <c r="AC37" s="178">
        <f t="shared" si="24"/>
        <v>1.3899738700312791E-3</v>
      </c>
    </row>
    <row r="38" spans="1:29" x14ac:dyDescent="0.25">
      <c r="A38" s="53" t="s">
        <v>20</v>
      </c>
      <c r="B38" s="54" t="s">
        <v>4</v>
      </c>
      <c r="C38" s="176">
        <f t="shared" si="23"/>
        <v>0.57782752675902616</v>
      </c>
      <c r="D38" s="60">
        <f>+'5ta'!F21/1000</f>
        <v>0</v>
      </c>
      <c r="E38" s="84">
        <f t="shared" ref="E38:K49" si="25">+(D38+F38)/2</f>
        <v>0</v>
      </c>
      <c r="F38" s="60">
        <f>+'5ta'!G21/1000</f>
        <v>0</v>
      </c>
      <c r="G38" s="84">
        <f t="shared" ref="G38:G45" si="26">+(F38+H38)/2</f>
        <v>0</v>
      </c>
      <c r="H38" s="394">
        <f>+'5ta'!H21/1000</f>
        <v>0</v>
      </c>
      <c r="I38" s="395">
        <f t="shared" ref="I38:I45" si="27">+(H38+J38)/2</f>
        <v>0</v>
      </c>
      <c r="J38" s="394">
        <f>+'5ta'!I21/1000</f>
        <v>0</v>
      </c>
      <c r="K38" s="394">
        <f>+'5ta'!J21/1000</f>
        <v>0.60619500000000004</v>
      </c>
      <c r="L38" s="394">
        <f>+'5ta'!J21/1000</f>
        <v>0.60619500000000004</v>
      </c>
      <c r="M38" s="394">
        <f>+'5ta'!K21/1000</f>
        <v>0.19453499999999999</v>
      </c>
      <c r="N38" s="394">
        <f>+'5ta'!L21/1000</f>
        <v>0.19453499999999999</v>
      </c>
      <c r="O38" s="434">
        <f>+'5ta'!M21/1000</f>
        <v>0.46588499999999999</v>
      </c>
      <c r="P38" s="446">
        <f>+'5ta'!N21/1000</f>
        <v>0.46588499999999999</v>
      </c>
      <c r="Q38" s="437">
        <f t="shared" si="24"/>
        <v>0.43690932492618295</v>
      </c>
      <c r="R38" s="178">
        <f t="shared" si="24"/>
        <v>0.43369680363601193</v>
      </c>
      <c r="S38" s="178">
        <f t="shared" si="24"/>
        <v>0.43043848409493846</v>
      </c>
      <c r="T38" s="178">
        <f t="shared" si="24"/>
        <v>0.42731757189494618</v>
      </c>
      <c r="U38" s="178">
        <f t="shared" si="24"/>
        <v>0.42415086144094388</v>
      </c>
      <c r="V38" s="178">
        <f t="shared" si="24"/>
        <v>0.42098415412979656</v>
      </c>
      <c r="W38" s="178">
        <f t="shared" si="24"/>
        <v>0.41790905275672541</v>
      </c>
      <c r="X38" s="178">
        <f t="shared" si="24"/>
        <v>0.41483395452341004</v>
      </c>
      <c r="Y38" s="178">
        <f t="shared" si="24"/>
        <v>0.41175885942833412</v>
      </c>
      <c r="Z38" s="178">
        <f t="shared" si="24"/>
        <v>0.40872956886832101</v>
      </c>
      <c r="AA38" s="178">
        <f t="shared" si="24"/>
        <v>0.40570028144346471</v>
      </c>
      <c r="AB38" s="178">
        <f t="shared" si="24"/>
        <v>0.40276259994900321</v>
      </c>
      <c r="AC38" s="178">
        <f t="shared" si="24"/>
        <v>0.39973331878982865</v>
      </c>
    </row>
    <row r="39" spans="1:29" x14ac:dyDescent="0.25">
      <c r="A39" s="53" t="s">
        <v>21</v>
      </c>
      <c r="B39" s="54" t="s">
        <v>4</v>
      </c>
      <c r="C39" s="176">
        <f t="shared" si="23"/>
        <v>9.8118496285363468E-2</v>
      </c>
      <c r="D39" s="60">
        <f>+'5ta'!F22/1000</f>
        <v>0</v>
      </c>
      <c r="E39" s="84">
        <f t="shared" si="25"/>
        <v>0</v>
      </c>
      <c r="F39" s="60">
        <f>+'5ta'!G22/1000</f>
        <v>0</v>
      </c>
      <c r="G39" s="84">
        <f t="shared" si="26"/>
        <v>0</v>
      </c>
      <c r="H39" s="394">
        <f>+'5ta'!H22/1000</f>
        <v>0</v>
      </c>
      <c r="I39" s="395">
        <f t="shared" si="27"/>
        <v>0</v>
      </c>
      <c r="J39" s="394">
        <f>+'5ta'!I22/1000</f>
        <v>0</v>
      </c>
      <c r="K39" s="394">
        <f>+'5ta'!J22/1000</f>
        <v>0.39177000000000001</v>
      </c>
      <c r="L39" s="394">
        <f>+'5ta'!J22/1000</f>
        <v>0.39177000000000001</v>
      </c>
      <c r="M39" s="394">
        <f>+'5ta'!K22/1000</f>
        <v>0.84623000000000004</v>
      </c>
      <c r="N39" s="394">
        <f>+'5ta'!L22/1000</f>
        <v>0.84623000000000004</v>
      </c>
      <c r="O39" s="434">
        <f>+'5ta'!M22/1000</f>
        <v>7.911E-2</v>
      </c>
      <c r="P39" s="446">
        <f>+'5ta'!N22/1000</f>
        <v>7.911E-2</v>
      </c>
      <c r="Q39" s="437">
        <f t="shared" si="24"/>
        <v>7.418976076694965E-2</v>
      </c>
      <c r="R39" s="178">
        <f t="shared" si="24"/>
        <v>7.3644255847784112E-2</v>
      </c>
      <c r="S39" s="178">
        <f t="shared" si="24"/>
        <v>7.309097411754098E-2</v>
      </c>
      <c r="T39" s="178">
        <f t="shared" si="24"/>
        <v>7.2561024958110246E-2</v>
      </c>
      <c r="U39" s="178">
        <f t="shared" si="24"/>
        <v>7.2023298987074214E-2</v>
      </c>
      <c r="V39" s="178">
        <f t="shared" si="24"/>
        <v>7.1485573549713355E-2</v>
      </c>
      <c r="W39" s="178">
        <f t="shared" si="24"/>
        <v>7.0963403336841813E-2</v>
      </c>
      <c r="X39" s="178">
        <f t="shared" si="24"/>
        <v>7.0441233657119184E-2</v>
      </c>
      <c r="Y39" s="178">
        <f t="shared" si="24"/>
        <v>6.9919064510287982E-2</v>
      </c>
      <c r="Z39" s="178">
        <f t="shared" si="24"/>
        <v>6.9404673241621584E-2</v>
      </c>
      <c r="AA39" s="178">
        <f t="shared" si="24"/>
        <v>6.8890282505323197E-2</v>
      </c>
      <c r="AB39" s="178">
        <f t="shared" si="24"/>
        <v>6.8391446992209753E-2</v>
      </c>
      <c r="AC39" s="178">
        <f t="shared" si="24"/>
        <v>6.7877057319860781E-2</v>
      </c>
    </row>
    <row r="40" spans="1:29" x14ac:dyDescent="0.25">
      <c r="A40" s="53" t="s">
        <v>22</v>
      </c>
      <c r="B40" s="54" t="s">
        <v>4</v>
      </c>
      <c r="C40" s="176">
        <f t="shared" si="23"/>
        <v>2.5952844580599554E-2</v>
      </c>
      <c r="D40" s="60">
        <f>+'5ta'!F23/1000</f>
        <v>0</v>
      </c>
      <c r="E40" s="84">
        <f t="shared" si="25"/>
        <v>0</v>
      </c>
      <c r="F40" s="60">
        <f>+'5ta'!G23/1000</f>
        <v>0</v>
      </c>
      <c r="G40" s="84">
        <f t="shared" si="26"/>
        <v>0</v>
      </c>
      <c r="H40" s="394">
        <f>+'5ta'!H23/1000</f>
        <v>0</v>
      </c>
      <c r="I40" s="395">
        <f t="shared" si="27"/>
        <v>0</v>
      </c>
      <c r="J40" s="394">
        <f>+'5ta'!I23/1000</f>
        <v>0</v>
      </c>
      <c r="K40" s="394">
        <f>+'5ta'!J23/1000</f>
        <v>6.8084999999999993E-2</v>
      </c>
      <c r="L40" s="394">
        <f>+'5ta'!J23/1000</f>
        <v>6.8084999999999993E-2</v>
      </c>
      <c r="M40" s="394">
        <f>+'5ta'!K23/1000</f>
        <v>0.14993999999999999</v>
      </c>
      <c r="N40" s="394">
        <f>+'5ta'!L23/1000</f>
        <v>0.14993999999999999</v>
      </c>
      <c r="O40" s="434">
        <f>+'5ta'!M23/1000</f>
        <v>2.0924999999999999E-2</v>
      </c>
      <c r="P40" s="446">
        <f>+'5ta'!N23/1000</f>
        <v>2.0924999999999999E-2</v>
      </c>
      <c r="Q40" s="437">
        <f t="shared" si="24"/>
        <v>1.962357153392013E-2</v>
      </c>
      <c r="R40" s="178">
        <f t="shared" si="24"/>
        <v>1.9479282690113547E-2</v>
      </c>
      <c r="S40" s="178">
        <f t="shared" si="24"/>
        <v>1.9332936839963913E-2</v>
      </c>
      <c r="T40" s="178">
        <f t="shared" si="24"/>
        <v>1.9192762574244179E-2</v>
      </c>
      <c r="U40" s="178">
        <f t="shared" si="24"/>
        <v>1.9050531302041814E-2</v>
      </c>
      <c r="V40" s="178">
        <f t="shared" si="24"/>
        <v>1.8908300170999266E-2</v>
      </c>
      <c r="W40" s="178">
        <f t="shared" si="24"/>
        <v>1.8770183476468399E-2</v>
      </c>
      <c r="X40" s="178">
        <f t="shared" si="24"/>
        <v>1.8632066922958147E-2</v>
      </c>
      <c r="Y40" s="178">
        <f t="shared" si="24"/>
        <v>1.8493950510400405E-2</v>
      </c>
      <c r="Z40" s="178">
        <f t="shared" si="24"/>
        <v>1.8357891386435746E-2</v>
      </c>
      <c r="AA40" s="178">
        <f t="shared" si="24"/>
        <v>1.8221832403285145E-2</v>
      </c>
      <c r="AB40" s="178">
        <f t="shared" si="24"/>
        <v>1.8089887856301216E-2</v>
      </c>
      <c r="AC40" s="178">
        <f t="shared" si="24"/>
        <v>1.7953829154570687E-2</v>
      </c>
    </row>
    <row r="41" spans="1:29" x14ac:dyDescent="0.25">
      <c r="A41" s="53" t="s">
        <v>23</v>
      </c>
      <c r="B41" s="54" t="s">
        <v>4</v>
      </c>
      <c r="C41" s="176">
        <f t="shared" si="23"/>
        <v>5.018170091904698E-2</v>
      </c>
      <c r="D41" s="60">
        <f>+'5ta'!F24/1000</f>
        <v>0</v>
      </c>
      <c r="E41" s="84">
        <f t="shared" si="25"/>
        <v>0</v>
      </c>
      <c r="F41" s="60">
        <f>+'5ta'!G24/1000</f>
        <v>0</v>
      </c>
      <c r="G41" s="84">
        <f t="shared" si="26"/>
        <v>0</v>
      </c>
      <c r="H41" s="394">
        <f>+'5ta'!H24/1000</f>
        <v>0</v>
      </c>
      <c r="I41" s="395">
        <f t="shared" si="27"/>
        <v>0</v>
      </c>
      <c r="J41" s="394">
        <f>+'5ta'!I24/1000</f>
        <v>0</v>
      </c>
      <c r="K41" s="394">
        <f>+'5ta'!J24/1000</f>
        <v>0.38241000000000003</v>
      </c>
      <c r="L41" s="394">
        <f>+'5ta'!J24/1000</f>
        <v>0.38241000000000003</v>
      </c>
      <c r="M41" s="394">
        <f>+'5ta'!K24/1000</f>
        <v>1.3352899999999999</v>
      </c>
      <c r="N41" s="394">
        <f>+'5ta'!L24/1000</f>
        <v>1.3352899999999999</v>
      </c>
      <c r="O41" s="434">
        <f>+'5ta'!M24/1000</f>
        <v>4.0460000000000003E-2</v>
      </c>
      <c r="P41" s="446">
        <f>+'5ta'!N24/1000</f>
        <v>4.0460000000000003E-2</v>
      </c>
      <c r="Q41" s="437">
        <f t="shared" si="24"/>
        <v>3.794359399103505E-2</v>
      </c>
      <c r="R41" s="178">
        <f t="shared" si="24"/>
        <v>3.7664601082054681E-2</v>
      </c>
      <c r="S41" s="178">
        <f t="shared" si="24"/>
        <v>3.7381630802625569E-2</v>
      </c>
      <c r="T41" s="178">
        <f t="shared" si="24"/>
        <v>3.7110593727785877E-2</v>
      </c>
      <c r="U41" s="178">
        <f t="shared" si="24"/>
        <v>3.6835579282227568E-2</v>
      </c>
      <c r="V41" s="178">
        <f t="shared" si="24"/>
        <v>3.6560565109611969E-2</v>
      </c>
      <c r="W41" s="178">
        <f t="shared" si="24"/>
        <v>3.6293506497391229E-2</v>
      </c>
      <c r="X41" s="178">
        <f t="shared" si="24"/>
        <v>3.6026448157844046E-2</v>
      </c>
      <c r="Y41" s="178">
        <f t="shared" si="24"/>
        <v>3.5759390090838727E-2</v>
      </c>
      <c r="Z41" s="178">
        <f t="shared" si="24"/>
        <v>3.5496309940032993E-2</v>
      </c>
      <c r="AA41" s="178">
        <f t="shared" si="24"/>
        <v>3.5233230061501412E-2</v>
      </c>
      <c r="AB41" s="178">
        <f t="shared" si="24"/>
        <v>3.49781057426976E-2</v>
      </c>
      <c r="AC41" s="178">
        <f t="shared" si="24"/>
        <v>3.4715026408312068E-2</v>
      </c>
    </row>
    <row r="42" spans="1:29" ht="22.5" x14ac:dyDescent="0.25">
      <c r="A42" s="53" t="s">
        <v>24</v>
      </c>
      <c r="B42" s="54" t="s">
        <v>4</v>
      </c>
      <c r="C42" s="176">
        <f t="shared" si="23"/>
        <v>2.4501717786845598E-2</v>
      </c>
      <c r="D42" s="60">
        <f>+'5ta'!F25/1000</f>
        <v>0</v>
      </c>
      <c r="E42" s="84">
        <f t="shared" si="25"/>
        <v>0</v>
      </c>
      <c r="F42" s="60">
        <f>+'5ta'!G25/1000</f>
        <v>0</v>
      </c>
      <c r="G42" s="84">
        <f t="shared" si="26"/>
        <v>0</v>
      </c>
      <c r="H42" s="394">
        <f>+'5ta'!H25/1000</f>
        <v>0</v>
      </c>
      <c r="I42" s="395">
        <f t="shared" si="27"/>
        <v>0</v>
      </c>
      <c r="J42" s="394">
        <f>+'5ta'!I25/1000</f>
        <v>0</v>
      </c>
      <c r="K42" s="394">
        <f>+'5ta'!J25/1000</f>
        <v>4.0634999999999998E-2</v>
      </c>
      <c r="L42" s="394">
        <f>+'5ta'!J25/1000</f>
        <v>4.0634999999999998E-2</v>
      </c>
      <c r="M42" s="394">
        <f>+'5ta'!K25/1000</f>
        <v>0.34285500000000002</v>
      </c>
      <c r="N42" s="394">
        <f>+'5ta'!L25/1000</f>
        <v>0.34285500000000002</v>
      </c>
      <c r="O42" s="434">
        <f>+'5ta'!M25/1000</f>
        <v>1.9754999999999998E-2</v>
      </c>
      <c r="P42" s="446">
        <f>+'5ta'!N25/1000</f>
        <v>1.9754999999999998E-2</v>
      </c>
      <c r="Q42" s="437">
        <f t="shared" si="24"/>
        <v>1.852633957718481E-2</v>
      </c>
      <c r="R42" s="178">
        <f t="shared" si="24"/>
        <v>1.8390118496687844E-2</v>
      </c>
      <c r="S42" s="178">
        <f t="shared" si="24"/>
        <v>1.8251955425256251E-2</v>
      </c>
      <c r="T42" s="178">
        <f t="shared" si="24"/>
        <v>1.8119618860415469E-2</v>
      </c>
      <c r="U42" s="178">
        <f t="shared" si="24"/>
        <v>1.7985340304508293E-2</v>
      </c>
      <c r="V42" s="178">
        <f t="shared" si="24"/>
        <v>1.7851061881868125E-2</v>
      </c>
      <c r="W42" s="178">
        <f t="shared" si="24"/>
        <v>1.7720667841225002E-2</v>
      </c>
      <c r="X42" s="178">
        <f t="shared" si="24"/>
        <v>1.7590273933717475E-2</v>
      </c>
      <c r="Y42" s="178">
        <f t="shared" si="24"/>
        <v>1.7459880159281242E-2</v>
      </c>
      <c r="Z42" s="178">
        <f t="shared" si="24"/>
        <v>1.7331428642247938E-2</v>
      </c>
      <c r="AA42" s="178">
        <f t="shared" si="24"/>
        <v>1.7202977258155221E-2</v>
      </c>
      <c r="AB42" s="178">
        <f t="shared" si="24"/>
        <v>1.7078410255733836E-2</v>
      </c>
      <c r="AC42" s="178">
        <f t="shared" si="24"/>
        <v>1.6949959137325873E-2</v>
      </c>
    </row>
    <row r="43" spans="1:29" x14ac:dyDescent="0.25">
      <c r="A43" s="53" t="s">
        <v>25</v>
      </c>
      <c r="B43" s="54" t="s">
        <v>4</v>
      </c>
      <c r="C43" s="176">
        <f t="shared" si="23"/>
        <v>4.6380244831135981E-2</v>
      </c>
      <c r="D43" s="60">
        <f>+'5ta'!F26/1000</f>
        <v>0</v>
      </c>
      <c r="E43" s="84">
        <f t="shared" si="25"/>
        <v>0</v>
      </c>
      <c r="F43" s="60">
        <f>+'5ta'!G26/1000</f>
        <v>0</v>
      </c>
      <c r="G43" s="84">
        <f t="shared" si="26"/>
        <v>0</v>
      </c>
      <c r="H43" s="394">
        <f>+'5ta'!H26/1000</f>
        <v>0</v>
      </c>
      <c r="I43" s="395">
        <f t="shared" si="27"/>
        <v>0</v>
      </c>
      <c r="J43" s="394">
        <f>+'5ta'!I26/1000</f>
        <v>0</v>
      </c>
      <c r="K43" s="394">
        <f>+'5ta'!J26/1000</f>
        <v>0.13045500000000002</v>
      </c>
      <c r="L43" s="394">
        <f>+'5ta'!J26/1000</f>
        <v>0.13045500000000002</v>
      </c>
      <c r="M43" s="394">
        <f>+'5ta'!K26/1000</f>
        <v>0.58211999999999997</v>
      </c>
      <c r="N43" s="394">
        <f>+'5ta'!L26/1000</f>
        <v>0.58211999999999997</v>
      </c>
      <c r="O43" s="434">
        <f>+'5ta'!M26/1000</f>
        <v>3.7395000000000005E-2</v>
      </c>
      <c r="P43" s="446">
        <f>+'5ta'!N26/1000</f>
        <v>3.7395000000000005E-2</v>
      </c>
      <c r="Q43" s="437">
        <f t="shared" si="24"/>
        <v>3.5069221386425008E-2</v>
      </c>
      <c r="R43" s="178">
        <f t="shared" si="24"/>
        <v>3.4811363259106151E-2</v>
      </c>
      <c r="S43" s="178">
        <f t="shared" si="24"/>
        <v>3.4549829062387127E-2</v>
      </c>
      <c r="T43" s="178">
        <f t="shared" si="24"/>
        <v>3.4299324084294439E-2</v>
      </c>
      <c r="U43" s="178">
        <f t="shared" si="24"/>
        <v>3.404514303655215E-2</v>
      </c>
      <c r="V43" s="178">
        <f t="shared" si="24"/>
        <v>3.3790962241076111E-2</v>
      </c>
      <c r="W43" s="178">
        <f t="shared" si="24"/>
        <v>3.3544134341817723E-2</v>
      </c>
      <c r="X43" s="178">
        <f t="shared" si="24"/>
        <v>3.3297306694576818E-2</v>
      </c>
      <c r="Y43" s="178">
        <f t="shared" si="24"/>
        <v>3.3050479299231696E-2</v>
      </c>
      <c r="Z43" s="178">
        <f t="shared" si="24"/>
        <v>3.2807328477694853E-2</v>
      </c>
      <c r="AA43" s="178">
        <f t="shared" si="24"/>
        <v>3.2564177907806358E-2</v>
      </c>
      <c r="AB43" s="178">
        <f t="shared" si="24"/>
        <v>3.2328380233518951E-2</v>
      </c>
      <c r="AC43" s="178">
        <f t="shared" si="24"/>
        <v>3.2085230166555359E-2</v>
      </c>
    </row>
    <row r="44" spans="1:29" x14ac:dyDescent="0.25">
      <c r="A44" s="53" t="s">
        <v>26</v>
      </c>
      <c r="B44" s="54" t="s">
        <v>4</v>
      </c>
      <c r="C44" s="176">
        <f t="shared" si="23"/>
        <v>0.1745817158023987</v>
      </c>
      <c r="D44" s="60">
        <f>+'5ta'!F27/1000</f>
        <v>0</v>
      </c>
      <c r="E44" s="84">
        <f t="shared" si="25"/>
        <v>0</v>
      </c>
      <c r="F44" s="60">
        <f>+'5ta'!G27/1000</f>
        <v>0</v>
      </c>
      <c r="G44" s="84">
        <f t="shared" si="26"/>
        <v>0</v>
      </c>
      <c r="H44" s="394">
        <f>+'5ta'!H27/1000</f>
        <v>0</v>
      </c>
      <c r="I44" s="395">
        <f t="shared" si="27"/>
        <v>0</v>
      </c>
      <c r="J44" s="394">
        <f>+'5ta'!I27/1000</f>
        <v>0</v>
      </c>
      <c r="K44" s="394">
        <f>+'5ta'!J27/1000</f>
        <v>1.7505E-2</v>
      </c>
      <c r="L44" s="394">
        <f>+'5ta'!J27/1000</f>
        <v>1.7505E-2</v>
      </c>
      <c r="M44" s="394">
        <f>+'5ta'!K27/1000</f>
        <v>0.10269</v>
      </c>
      <c r="N44" s="394">
        <f>+'5ta'!L27/1000</f>
        <v>0.10269</v>
      </c>
      <c r="O44" s="434">
        <f>+'5ta'!M27/1000</f>
        <v>0.14076</v>
      </c>
      <c r="P44" s="446">
        <f>+'5ta'!N27/1000</f>
        <v>0.14076</v>
      </c>
      <c r="Q44" s="437">
        <f t="shared" si="24"/>
        <v>0.13200544464107991</v>
      </c>
      <c r="R44" s="178">
        <f t="shared" si="24"/>
        <v>0.13103483065521543</v>
      </c>
      <c r="S44" s="178">
        <f t="shared" si="24"/>
        <v>0.13005037943098305</v>
      </c>
      <c r="T44" s="178">
        <f t="shared" si="24"/>
        <v>0.12910744372523825</v>
      </c>
      <c r="U44" s="178">
        <f t="shared" si="24"/>
        <v>0.12815067078018666</v>
      </c>
      <c r="V44" s="178">
        <f t="shared" si="24"/>
        <v>0.12719389878470044</v>
      </c>
      <c r="W44" s="178">
        <f t="shared" si="24"/>
        <v>0.12626480411697449</v>
      </c>
      <c r="X44" s="178">
        <f t="shared" si="24"/>
        <v>0.12533571039787758</v>
      </c>
      <c r="Y44" s="178">
        <f t="shared" si="24"/>
        <v>0.12440661762695152</v>
      </c>
      <c r="Z44" s="178">
        <f t="shared" si="24"/>
        <v>0.12349136399305594</v>
      </c>
      <c r="AA44" s="178">
        <f t="shared" si="24"/>
        <v>0.12257611130639985</v>
      </c>
      <c r="AB44" s="178">
        <f t="shared" si="24"/>
        <v>0.12168853594518322</v>
      </c>
      <c r="AC44" s="178">
        <f t="shared" si="24"/>
        <v>0.12077328515160668</v>
      </c>
    </row>
    <row r="45" spans="1:29" ht="15.75" thickBot="1" x14ac:dyDescent="0.3">
      <c r="A45" s="53" t="s">
        <v>27</v>
      </c>
      <c r="B45" s="54" t="s">
        <v>4</v>
      </c>
      <c r="C45" s="176">
        <f t="shared" si="23"/>
        <v>4.4650055192429333E-4</v>
      </c>
      <c r="D45" s="60">
        <f>+'5ta'!F28/1000</f>
        <v>0</v>
      </c>
      <c r="E45" s="84">
        <f t="shared" si="25"/>
        <v>0</v>
      </c>
      <c r="F45" s="60">
        <f>+'5ta'!G28/1000</f>
        <v>0</v>
      </c>
      <c r="G45" s="84">
        <f t="shared" si="26"/>
        <v>0</v>
      </c>
      <c r="H45" s="394">
        <f>+'5ta'!H28/1000</f>
        <v>0</v>
      </c>
      <c r="I45" s="395">
        <f t="shared" si="27"/>
        <v>0</v>
      </c>
      <c r="J45" s="394">
        <f>+'5ta'!I28/1000</f>
        <v>0</v>
      </c>
      <c r="K45" s="394">
        <f>+'5ta'!J28/1000</f>
        <v>1.7549999999999998E-3</v>
      </c>
      <c r="L45" s="394">
        <f>+'5ta'!J28/1000</f>
        <v>1.7549999999999998E-3</v>
      </c>
      <c r="M45" s="394">
        <f>+'5ta'!K28/1000</f>
        <v>2.3535E-2</v>
      </c>
      <c r="N45" s="394">
        <f>+'5ta'!L28/1000</f>
        <v>2.3535E-2</v>
      </c>
      <c r="O45" s="434">
        <f>+'5ta'!M28/1000</f>
        <v>3.5999999999999997E-4</v>
      </c>
      <c r="P45" s="447">
        <f>+'5ta'!N28/1000</f>
        <v>3.5999999999999997E-4</v>
      </c>
      <c r="Q45" s="437">
        <f t="shared" si="24"/>
        <v>3.3760983284163658E-4</v>
      </c>
      <c r="R45" s="178">
        <f t="shared" si="24"/>
        <v>3.3512744413098574E-4</v>
      </c>
      <c r="S45" s="178">
        <f t="shared" si="24"/>
        <v>3.3260966606389521E-4</v>
      </c>
      <c r="T45" s="178">
        <f t="shared" si="24"/>
        <v>3.3019806579344819E-4</v>
      </c>
      <c r="U45" s="178">
        <f t="shared" si="24"/>
        <v>3.277510761641602E-4</v>
      </c>
      <c r="V45" s="178">
        <f t="shared" si="24"/>
        <v>3.2530408896342821E-4</v>
      </c>
      <c r="W45" s="178">
        <f t="shared" si="24"/>
        <v>3.2292788776719822E-4</v>
      </c>
      <c r="X45" s="178">
        <f t="shared" si="24"/>
        <v>3.2055168899712934E-4</v>
      </c>
      <c r="Y45" s="178">
        <f t="shared" si="24"/>
        <v>3.1817549265204993E-4</v>
      </c>
      <c r="Z45" s="178">
        <f t="shared" si="24"/>
        <v>3.1583469051932463E-4</v>
      </c>
      <c r="AA45" s="178">
        <f t="shared" si="24"/>
        <v>3.1349389080920676E-4</v>
      </c>
      <c r="AB45" s="178">
        <f t="shared" si="24"/>
        <v>3.1122387709765531E-4</v>
      </c>
      <c r="AC45" s="178">
        <f t="shared" si="24"/>
        <v>3.0888308222917305E-4</v>
      </c>
    </row>
    <row r="46" spans="1:29" x14ac:dyDescent="0.25">
      <c r="A46" s="186" t="s">
        <v>28</v>
      </c>
      <c r="B46" s="180" t="s">
        <v>4</v>
      </c>
      <c r="C46" s="180"/>
      <c r="D46" s="181">
        <f>+'5ta'!F29/1000</f>
        <v>1.62999</v>
      </c>
      <c r="E46" s="84">
        <f t="shared" si="25"/>
        <v>1.62999</v>
      </c>
      <c r="F46" s="181">
        <f>+'5ta'!G29/1000</f>
        <v>1.62999</v>
      </c>
      <c r="G46" s="84">
        <f t="shared" si="25"/>
        <v>1.62999</v>
      </c>
      <c r="H46" s="181">
        <f>+'5ta'!H29/1000</f>
        <v>1.62999</v>
      </c>
      <c r="I46" s="84">
        <f t="shared" si="25"/>
        <v>0.86975999999999998</v>
      </c>
      <c r="J46" s="181">
        <f>+'5ta'!I29/1000</f>
        <v>0.10953</v>
      </c>
      <c r="K46" s="84">
        <f t="shared" si="25"/>
        <v>2.2405724999999999</v>
      </c>
      <c r="L46" s="181">
        <f>+'5ta'!J29/1000</f>
        <v>4.3716149999999994</v>
      </c>
      <c r="M46" s="181">
        <f>+'5ta'!K29/1000</f>
        <v>0.23674999999999999</v>
      </c>
      <c r="N46" s="181">
        <f>+'5ta'!L29/1000</f>
        <v>0.23674999999999999</v>
      </c>
      <c r="O46" s="181">
        <f>+'5ta'!M29/1000</f>
        <v>0.43110000000000004</v>
      </c>
      <c r="P46" s="439">
        <f>+'5ta'!N29/1000</f>
        <v>0.43110000000000004</v>
      </c>
      <c r="Q46" s="181">
        <f>+P46</f>
        <v>0.43110000000000004</v>
      </c>
      <c r="R46" s="181">
        <f t="shared" ref="R46:AC46" si="28">+Q46</f>
        <v>0.43110000000000004</v>
      </c>
      <c r="S46" s="181">
        <f t="shared" si="28"/>
        <v>0.43110000000000004</v>
      </c>
      <c r="T46" s="181">
        <f t="shared" si="28"/>
        <v>0.43110000000000004</v>
      </c>
      <c r="U46" s="181">
        <f t="shared" si="28"/>
        <v>0.43110000000000004</v>
      </c>
      <c r="V46" s="181">
        <f t="shared" si="28"/>
        <v>0.43110000000000004</v>
      </c>
      <c r="W46" s="181">
        <f t="shared" si="28"/>
        <v>0.43110000000000004</v>
      </c>
      <c r="X46" s="181">
        <f t="shared" si="28"/>
        <v>0.43110000000000004</v>
      </c>
      <c r="Y46" s="181">
        <f t="shared" si="28"/>
        <v>0.43110000000000004</v>
      </c>
      <c r="Z46" s="181">
        <f t="shared" si="28"/>
        <v>0.43110000000000004</v>
      </c>
      <c r="AA46" s="181">
        <f t="shared" si="28"/>
        <v>0.43110000000000004</v>
      </c>
      <c r="AB46" s="181">
        <f t="shared" si="28"/>
        <v>0.43110000000000004</v>
      </c>
      <c r="AC46" s="181">
        <f t="shared" si="28"/>
        <v>0.43110000000000004</v>
      </c>
    </row>
    <row r="47" spans="1:29" x14ac:dyDescent="0.25">
      <c r="A47" s="182" t="s">
        <v>19</v>
      </c>
      <c r="B47" s="183" t="s">
        <v>4</v>
      </c>
      <c r="C47" s="183"/>
      <c r="D47" s="181">
        <f>+'5ta'!F30/1000</f>
        <v>66.52946</v>
      </c>
      <c r="E47" s="84">
        <f t="shared" si="25"/>
        <v>66.52946</v>
      </c>
      <c r="F47" s="181">
        <f>+'5ta'!G30/1000</f>
        <v>66.52946</v>
      </c>
      <c r="G47" s="84">
        <f t="shared" si="25"/>
        <v>66.52946</v>
      </c>
      <c r="H47" s="181">
        <f>+'5ta'!H30/1000</f>
        <v>66.52946</v>
      </c>
      <c r="I47" s="84">
        <f t="shared" si="25"/>
        <v>44.24183</v>
      </c>
      <c r="J47" s="181">
        <f>+'5ta'!I30/1000</f>
        <v>21.9542</v>
      </c>
      <c r="K47" s="84">
        <f t="shared" si="25"/>
        <v>12.5998</v>
      </c>
      <c r="L47" s="181">
        <f>+'5ta'!K30/1000</f>
        <v>3.2454000000000001</v>
      </c>
      <c r="M47" s="181">
        <f>+'5ta'!K30/1000</f>
        <v>3.2454000000000001</v>
      </c>
      <c r="N47" s="181">
        <f>+'5ta'!L30/1000</f>
        <v>3.2454000000000001</v>
      </c>
      <c r="O47" s="181">
        <f>+'5ta'!M30/1000</f>
        <v>10.864709999999999</v>
      </c>
      <c r="P47" s="181">
        <f>+'5ta'!N30/1000</f>
        <v>10.864709999999999</v>
      </c>
      <c r="Q47" s="184">
        <f t="shared" ref="Q47:AC47" si="29">+P47</f>
        <v>10.864709999999999</v>
      </c>
      <c r="R47" s="184">
        <f t="shared" si="29"/>
        <v>10.864709999999999</v>
      </c>
      <c r="S47" s="184">
        <f t="shared" si="29"/>
        <v>10.864709999999999</v>
      </c>
      <c r="T47" s="184">
        <f t="shared" si="29"/>
        <v>10.864709999999999</v>
      </c>
      <c r="U47" s="184">
        <f t="shared" si="29"/>
        <v>10.864709999999999</v>
      </c>
      <c r="V47" s="184">
        <f t="shared" si="29"/>
        <v>10.864709999999999</v>
      </c>
      <c r="W47" s="184">
        <f t="shared" si="29"/>
        <v>10.864709999999999</v>
      </c>
      <c r="X47" s="184">
        <f t="shared" si="29"/>
        <v>10.864709999999999</v>
      </c>
      <c r="Y47" s="184">
        <f t="shared" si="29"/>
        <v>10.864709999999999</v>
      </c>
      <c r="Z47" s="184">
        <f t="shared" si="29"/>
        <v>10.864709999999999</v>
      </c>
      <c r="AA47" s="184">
        <f t="shared" si="29"/>
        <v>10.864709999999999</v>
      </c>
      <c r="AB47" s="184">
        <f t="shared" si="29"/>
        <v>10.864709999999999</v>
      </c>
      <c r="AC47" s="184">
        <f t="shared" si="29"/>
        <v>10.864709999999999</v>
      </c>
    </row>
    <row r="48" spans="1:29" x14ac:dyDescent="0.25">
      <c r="A48" s="182" t="s">
        <v>5</v>
      </c>
      <c r="B48" s="183" t="s">
        <v>4</v>
      </c>
      <c r="C48" s="183"/>
      <c r="D48" s="181">
        <f>+'5ta'!F31/1000</f>
        <v>1.248E-2</v>
      </c>
      <c r="E48" s="84">
        <f t="shared" si="25"/>
        <v>1.248E-2</v>
      </c>
      <c r="F48" s="181">
        <f>+'5ta'!G31/1000</f>
        <v>1.248E-2</v>
      </c>
      <c r="G48" s="84">
        <f t="shared" si="25"/>
        <v>1.248E-2</v>
      </c>
      <c r="H48" s="181">
        <f>+'5ta'!H31/1000</f>
        <v>1.248E-2</v>
      </c>
      <c r="I48" s="84">
        <f t="shared" si="25"/>
        <v>1.3754549999999999</v>
      </c>
      <c r="J48" s="181">
        <f>+'5ta'!I31/1000</f>
        <v>2.7384299999999997</v>
      </c>
      <c r="K48" s="84">
        <f t="shared" si="25"/>
        <v>1.4212799999999999</v>
      </c>
      <c r="L48" s="181">
        <f>+'5ta'!K31/1000</f>
        <v>0.10413</v>
      </c>
      <c r="M48" s="181">
        <f>+'5ta'!K31/1000</f>
        <v>0.10413</v>
      </c>
      <c r="N48" s="181">
        <f>+'5ta'!L31/1000</f>
        <v>0.10413</v>
      </c>
      <c r="O48" s="181">
        <f>+'5ta'!M31/1000</f>
        <v>2.1370100000000001</v>
      </c>
      <c r="P48" s="181">
        <f>+'5ta'!N31/1000</f>
        <v>2.1370100000000001</v>
      </c>
      <c r="Q48" s="184">
        <f t="shared" ref="Q48:AC48" si="30">+P48</f>
        <v>2.1370100000000001</v>
      </c>
      <c r="R48" s="184">
        <f t="shared" si="30"/>
        <v>2.1370100000000001</v>
      </c>
      <c r="S48" s="184">
        <f t="shared" si="30"/>
        <v>2.1370100000000001</v>
      </c>
      <c r="T48" s="184">
        <f t="shared" si="30"/>
        <v>2.1370100000000001</v>
      </c>
      <c r="U48" s="184">
        <f t="shared" si="30"/>
        <v>2.1370100000000001</v>
      </c>
      <c r="V48" s="184">
        <f t="shared" si="30"/>
        <v>2.1370100000000001</v>
      </c>
      <c r="W48" s="184">
        <f t="shared" si="30"/>
        <v>2.1370100000000001</v>
      </c>
      <c r="X48" s="184">
        <f t="shared" si="30"/>
        <v>2.1370100000000001</v>
      </c>
      <c r="Y48" s="184">
        <f t="shared" si="30"/>
        <v>2.1370100000000001</v>
      </c>
      <c r="Z48" s="184">
        <f t="shared" si="30"/>
        <v>2.1370100000000001</v>
      </c>
      <c r="AA48" s="184">
        <f t="shared" si="30"/>
        <v>2.1370100000000001</v>
      </c>
      <c r="AB48" s="184">
        <f t="shared" si="30"/>
        <v>2.1370100000000001</v>
      </c>
      <c r="AC48" s="184">
        <f t="shared" si="30"/>
        <v>2.1370100000000001</v>
      </c>
    </row>
    <row r="49" spans="1:29" x14ac:dyDescent="0.25">
      <c r="A49" s="182" t="s">
        <v>29</v>
      </c>
      <c r="B49" s="183" t="s">
        <v>4</v>
      </c>
      <c r="C49" s="183"/>
      <c r="D49" s="181">
        <f>+'5ta'!F32/1000</f>
        <v>3.6872099999999999</v>
      </c>
      <c r="E49" s="84">
        <f t="shared" si="25"/>
        <v>3.6872099999999999</v>
      </c>
      <c r="F49" s="181">
        <f>+'5ta'!G32/1000</f>
        <v>3.6872099999999999</v>
      </c>
      <c r="G49" s="84">
        <f t="shared" si="25"/>
        <v>3.6872099999999999</v>
      </c>
      <c r="H49" s="181">
        <f>+'5ta'!H32/1000</f>
        <v>3.6872099999999999</v>
      </c>
      <c r="I49" s="84">
        <f t="shared" si="25"/>
        <v>4.063345</v>
      </c>
      <c r="J49" s="181">
        <f>+'5ta'!I32/1000</f>
        <v>4.4394799999999996</v>
      </c>
      <c r="K49" s="84">
        <f t="shared" si="25"/>
        <v>2.4052099999999998</v>
      </c>
      <c r="L49" s="181">
        <f>+'5ta'!K32/1000</f>
        <v>0.37093999999999999</v>
      </c>
      <c r="M49" s="181">
        <f>+'5ta'!K32/1000</f>
        <v>0.37093999999999999</v>
      </c>
      <c r="N49" s="181">
        <f>+'5ta'!L32/1000</f>
        <v>0.37093999999999999</v>
      </c>
      <c r="O49" s="181">
        <f>+'5ta'!M32/1000</f>
        <v>2.5905200000000002</v>
      </c>
      <c r="P49" s="181">
        <f>+'5ta'!N32/1000</f>
        <v>2.5905200000000002</v>
      </c>
      <c r="Q49" s="184">
        <f t="shared" ref="Q49:AC49" si="31">+P49</f>
        <v>2.5905200000000002</v>
      </c>
      <c r="R49" s="184">
        <f t="shared" si="31"/>
        <v>2.5905200000000002</v>
      </c>
      <c r="S49" s="184">
        <f t="shared" si="31"/>
        <v>2.5905200000000002</v>
      </c>
      <c r="T49" s="184">
        <f t="shared" si="31"/>
        <v>2.5905200000000002</v>
      </c>
      <c r="U49" s="184">
        <f t="shared" si="31"/>
        <v>2.5905200000000002</v>
      </c>
      <c r="V49" s="184">
        <f t="shared" si="31"/>
        <v>2.5905200000000002</v>
      </c>
      <c r="W49" s="184">
        <f t="shared" si="31"/>
        <v>2.5905200000000002</v>
      </c>
      <c r="X49" s="184">
        <f t="shared" si="31"/>
        <v>2.5905200000000002</v>
      </c>
      <c r="Y49" s="184">
        <f t="shared" si="31"/>
        <v>2.5905200000000002</v>
      </c>
      <c r="Z49" s="184">
        <f t="shared" si="31"/>
        <v>2.5905200000000002</v>
      </c>
      <c r="AA49" s="184">
        <f t="shared" si="31"/>
        <v>2.5905200000000002</v>
      </c>
      <c r="AB49" s="184">
        <f t="shared" si="31"/>
        <v>2.5905200000000002</v>
      </c>
      <c r="AC49" s="184">
        <f t="shared" si="31"/>
        <v>2.5905200000000002</v>
      </c>
    </row>
    <row r="50" spans="1:29" ht="15.75" thickBot="1" x14ac:dyDescent="0.3">
      <c r="A50" s="187"/>
      <c r="B50" s="188"/>
      <c r="C50" s="174">
        <f>+SUM(P$51:P$59)/(SUM(P$22:P$30)+SUM(P$37:P$45)+SUM(P$51:P$59)+SUM(P$65:P$73)+SUM(P$80:P$88))</f>
        <v>6.8794116233122177E-2</v>
      </c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84"/>
    </row>
    <row r="51" spans="1:29" x14ac:dyDescent="0.25">
      <c r="A51" s="192" t="s">
        <v>18</v>
      </c>
      <c r="B51" s="54" t="s">
        <v>5</v>
      </c>
      <c r="C51" s="176">
        <f t="shared" ref="C51:C59" si="32">+P51/SUM(P$51:P$59)</f>
        <v>1.3054410525841944E-3</v>
      </c>
      <c r="D51" s="84">
        <f>+'5ta'!F36/1000</f>
        <v>0</v>
      </c>
      <c r="E51" s="84">
        <f>+(D51+F51)/2</f>
        <v>0</v>
      </c>
      <c r="F51" s="84">
        <f>+'5ta'!G36/1000</f>
        <v>0</v>
      </c>
      <c r="G51" s="84">
        <f>+(F51+H51)/2</f>
        <v>0</v>
      </c>
      <c r="H51" s="84">
        <f>+'5ta'!H36/1000</f>
        <v>0</v>
      </c>
      <c r="I51" s="84">
        <f>+(H51+J51)/2</f>
        <v>0</v>
      </c>
      <c r="J51" s="84">
        <f>+'5ta'!I36/1000</f>
        <v>0</v>
      </c>
      <c r="K51" s="84">
        <f>+(J51+L51)/2</f>
        <v>0</v>
      </c>
      <c r="L51" s="84">
        <f>+'5ta'!J36/1000</f>
        <v>0</v>
      </c>
      <c r="M51" s="84">
        <f>+'5ta'!K36/1000</f>
        <v>5.706E-2</v>
      </c>
      <c r="N51" s="84">
        <f>+'5ta'!L36/1000</f>
        <v>5.706E-2</v>
      </c>
      <c r="O51" s="433">
        <f>+'5ta'!M36/1000</f>
        <v>9.134999999999999E-3</v>
      </c>
      <c r="P51" s="442">
        <f>+'5ta'!N36/1000</f>
        <v>9.134999999999999E-3</v>
      </c>
      <c r="Q51" s="437">
        <f t="shared" ref="Q51:AC59" si="33">+Q$21*$C$50*$C51</f>
        <v>8.5668495083565284E-3</v>
      </c>
      <c r="R51" s="178">
        <f t="shared" si="33"/>
        <v>8.5038588948237633E-3</v>
      </c>
      <c r="S51" s="178">
        <f t="shared" si="33"/>
        <v>8.4399702763713422E-3</v>
      </c>
      <c r="T51" s="178">
        <f t="shared" si="33"/>
        <v>8.3787759195087467E-3</v>
      </c>
      <c r="U51" s="178">
        <f t="shared" si="33"/>
        <v>8.3166835576655666E-3</v>
      </c>
      <c r="V51" s="178">
        <f t="shared" si="33"/>
        <v>8.2545912574469929E-3</v>
      </c>
      <c r="W51" s="178">
        <f t="shared" si="33"/>
        <v>8.1942951520926552E-3</v>
      </c>
      <c r="X51" s="178">
        <f t="shared" si="33"/>
        <v>8.1339991083021583E-3</v>
      </c>
      <c r="Y51" s="178">
        <f t="shared" si="33"/>
        <v>8.0737031260457674E-3</v>
      </c>
      <c r="Z51" s="178">
        <f t="shared" si="33"/>
        <v>8.0143052719278615E-3</v>
      </c>
      <c r="AA51" s="178">
        <f t="shared" si="33"/>
        <v>7.9549074792836221E-3</v>
      </c>
      <c r="AB51" s="178">
        <f t="shared" si="33"/>
        <v>7.8973058813530048E-3</v>
      </c>
      <c r="AC51" s="178">
        <f t="shared" si="33"/>
        <v>7.8379082115652681E-3</v>
      </c>
    </row>
    <row r="52" spans="1:29" x14ac:dyDescent="0.25">
      <c r="A52" s="192" t="s">
        <v>20</v>
      </c>
      <c r="B52" s="54" t="s">
        <v>5</v>
      </c>
      <c r="C52" s="176">
        <f t="shared" si="32"/>
        <v>2.9066963338327881E-3</v>
      </c>
      <c r="D52" s="84">
        <f>+'5ta'!F37/1000</f>
        <v>0.18540000000000001</v>
      </c>
      <c r="E52" s="84">
        <f t="shared" ref="E52:E63" si="34">+(D52+F52)/2</f>
        <v>0.18540000000000001</v>
      </c>
      <c r="F52" s="84">
        <f>+'5ta'!G37/1000</f>
        <v>0.18540000000000001</v>
      </c>
      <c r="G52" s="84">
        <f t="shared" ref="G52:G63" si="35">+(F52+H52)/2</f>
        <v>0.18540000000000001</v>
      </c>
      <c r="H52" s="84">
        <f>+'5ta'!H37/1000</f>
        <v>0.18540000000000001</v>
      </c>
      <c r="I52" s="84">
        <f t="shared" ref="I52:I63" si="36">+(H52+J52)/2</f>
        <v>0.1905075</v>
      </c>
      <c r="J52" s="84">
        <f>+'5ta'!I37/1000</f>
        <v>0.19561499999999998</v>
      </c>
      <c r="K52" s="84">
        <f t="shared" ref="K52:K63" si="37">+(J52+L52)/2</f>
        <v>0.13349249999999999</v>
      </c>
      <c r="L52" s="84">
        <f>+'5ta'!J37/1000</f>
        <v>7.1370000000000003E-2</v>
      </c>
      <c r="M52" s="84">
        <f>+'5ta'!K37/1000</f>
        <v>9.7200000000000009E-2</v>
      </c>
      <c r="N52" s="84">
        <f>+'5ta'!L37/1000</f>
        <v>9.7200000000000009E-2</v>
      </c>
      <c r="O52" s="433">
        <f>+'5ta'!M37/1000</f>
        <v>2.034E-2</v>
      </c>
      <c r="P52" s="443">
        <f>+'5ta'!N37/1000</f>
        <v>2.034E-2</v>
      </c>
      <c r="Q52" s="437">
        <f t="shared" si="33"/>
        <v>1.907495555555247E-2</v>
      </c>
      <c r="R52" s="178">
        <f t="shared" si="33"/>
        <v>1.8934700593400695E-2</v>
      </c>
      <c r="S52" s="178">
        <f t="shared" si="33"/>
        <v>1.8792446132610083E-2</v>
      </c>
      <c r="T52" s="178">
        <f t="shared" si="33"/>
        <v>1.8656190717329824E-2</v>
      </c>
      <c r="U52" s="178">
        <f t="shared" si="33"/>
        <v>1.8517935803275057E-2</v>
      </c>
      <c r="V52" s="178">
        <f t="shared" si="33"/>
        <v>1.8379681026433701E-2</v>
      </c>
      <c r="W52" s="178">
        <f t="shared" si="33"/>
        <v>1.8245425658846706E-2</v>
      </c>
      <c r="X52" s="178">
        <f t="shared" si="33"/>
        <v>1.8111170428337812E-2</v>
      </c>
      <c r="Y52" s="178">
        <f t="shared" si="33"/>
        <v>1.7976915334840825E-2</v>
      </c>
      <c r="Z52" s="178">
        <f t="shared" si="33"/>
        <v>1.7844660014341845E-2</v>
      </c>
      <c r="AA52" s="178">
        <f t="shared" si="33"/>
        <v>1.7712404830720188E-2</v>
      </c>
      <c r="AB52" s="178">
        <f t="shared" si="33"/>
        <v>1.7584149056017531E-2</v>
      </c>
      <c r="AC52" s="178">
        <f t="shared" si="33"/>
        <v>1.7451894145948284E-2</v>
      </c>
    </row>
    <row r="53" spans="1:29" x14ac:dyDescent="0.25">
      <c r="A53" s="192" t="s">
        <v>21</v>
      </c>
      <c r="B53" s="54" t="s">
        <v>5</v>
      </c>
      <c r="C53" s="176">
        <f t="shared" si="32"/>
        <v>6.5754358436814722E-2</v>
      </c>
      <c r="D53" s="84">
        <f>+'5ta'!F38/1000</f>
        <v>0</v>
      </c>
      <c r="E53" s="84">
        <f t="shared" si="34"/>
        <v>0</v>
      </c>
      <c r="F53" s="84">
        <f>+'5ta'!G38/1000</f>
        <v>0</v>
      </c>
      <c r="G53" s="84">
        <f t="shared" si="35"/>
        <v>0</v>
      </c>
      <c r="H53" s="84">
        <f>+'5ta'!H38/1000</f>
        <v>0</v>
      </c>
      <c r="I53" s="84">
        <f t="shared" si="36"/>
        <v>0</v>
      </c>
      <c r="J53" s="84">
        <f>+'5ta'!I38/1000</f>
        <v>0</v>
      </c>
      <c r="K53" s="84">
        <f t="shared" si="37"/>
        <v>5.6249999999999996E-4</v>
      </c>
      <c r="L53" s="84">
        <f>+'5ta'!J38/1000</f>
        <v>1.1249999999999999E-3</v>
      </c>
      <c r="M53" s="84">
        <f>+'5ta'!K38/1000</f>
        <v>0.73129999999999995</v>
      </c>
      <c r="N53" s="84">
        <f>+'5ta'!L38/1000</f>
        <v>0.73129999999999995</v>
      </c>
      <c r="O53" s="433">
        <f>+'5ta'!M38/1000</f>
        <v>0.46012500000000001</v>
      </c>
      <c r="P53" s="443">
        <f>+'5ta'!N38/1000</f>
        <v>0.46012500000000001</v>
      </c>
      <c r="Q53" s="437">
        <f t="shared" si="33"/>
        <v>0.43150756760071679</v>
      </c>
      <c r="R53" s="178">
        <f t="shared" si="33"/>
        <v>0.42833476452991615</v>
      </c>
      <c r="S53" s="178">
        <f t="shared" si="33"/>
        <v>0.42511672943791612</v>
      </c>
      <c r="T53" s="178">
        <f t="shared" si="33"/>
        <v>0.42203440284225097</v>
      </c>
      <c r="U53" s="178">
        <f t="shared" si="33"/>
        <v>0.41890684422231733</v>
      </c>
      <c r="V53" s="178">
        <f t="shared" si="33"/>
        <v>0.41577928870638176</v>
      </c>
      <c r="W53" s="178">
        <f t="shared" si="33"/>
        <v>0.41274220655245031</v>
      </c>
      <c r="X53" s="178">
        <f t="shared" si="33"/>
        <v>0.40970512749945598</v>
      </c>
      <c r="Y53" s="178">
        <f t="shared" si="33"/>
        <v>0.40666805154590135</v>
      </c>
      <c r="Z53" s="178">
        <f t="shared" si="33"/>
        <v>0.40367621382001179</v>
      </c>
      <c r="AA53" s="178">
        <f t="shared" si="33"/>
        <v>0.40068437919051747</v>
      </c>
      <c r="AB53" s="178">
        <f t="shared" si="33"/>
        <v>0.3977830179154408</v>
      </c>
      <c r="AC53" s="178">
        <f t="shared" si="33"/>
        <v>0.39479118947416192</v>
      </c>
    </row>
    <row r="54" spans="1:29" x14ac:dyDescent="0.25">
      <c r="A54" s="192" t="s">
        <v>22</v>
      </c>
      <c r="B54" s="54" t="s">
        <v>5</v>
      </c>
      <c r="C54" s="176">
        <f t="shared" si="32"/>
        <v>0.13582374616566883</v>
      </c>
      <c r="D54" s="84">
        <f>+'5ta'!F39/1000</f>
        <v>0</v>
      </c>
      <c r="E54" s="84">
        <f t="shared" si="34"/>
        <v>0</v>
      </c>
      <c r="F54" s="84">
        <f>+'5ta'!G39/1000</f>
        <v>0</v>
      </c>
      <c r="G54" s="84">
        <f t="shared" si="35"/>
        <v>0</v>
      </c>
      <c r="H54" s="84">
        <f>+'5ta'!H39/1000</f>
        <v>0</v>
      </c>
      <c r="I54" s="84">
        <f t="shared" si="36"/>
        <v>0</v>
      </c>
      <c r="J54" s="84">
        <f>+'5ta'!I39/1000</f>
        <v>0</v>
      </c>
      <c r="K54" s="84">
        <f t="shared" si="37"/>
        <v>2.2949999999999997E-3</v>
      </c>
      <c r="L54" s="84">
        <f>+'5ta'!J39/1000</f>
        <v>4.5899999999999995E-3</v>
      </c>
      <c r="M54" s="84">
        <f>+'5ta'!K39/1000</f>
        <v>0.23719999999999999</v>
      </c>
      <c r="N54" s="84">
        <f>+'5ta'!L39/1000</f>
        <v>0.23719999999999999</v>
      </c>
      <c r="O54" s="433">
        <f>+'5ta'!M39/1000</f>
        <v>0.9504450000000001</v>
      </c>
      <c r="P54" s="443">
        <f>+'5ta'!N39/1000</f>
        <v>0.9504450000000001</v>
      </c>
      <c r="Q54" s="437">
        <f t="shared" si="33"/>
        <v>0.89133215993102588</v>
      </c>
      <c r="R54" s="178">
        <f t="shared" si="33"/>
        <v>0.88477834343631878</v>
      </c>
      <c r="S54" s="178">
        <f t="shared" si="33"/>
        <v>0.8781310946169415</v>
      </c>
      <c r="T54" s="178">
        <f t="shared" si="33"/>
        <v>0.87176416845292748</v>
      </c>
      <c r="U54" s="178">
        <f t="shared" si="33"/>
        <v>0.86530380995790368</v>
      </c>
      <c r="V54" s="178">
        <f t="shared" si="33"/>
        <v>0.85884345787457117</v>
      </c>
      <c r="W54" s="178">
        <f t="shared" si="33"/>
        <v>0.85256998969137443</v>
      </c>
      <c r="X54" s="178">
        <f t="shared" si="33"/>
        <v>0.84629652791354626</v>
      </c>
      <c r="Y54" s="178">
        <f t="shared" si="33"/>
        <v>0.84002307253799335</v>
      </c>
      <c r="Z54" s="178">
        <f t="shared" si="33"/>
        <v>0.83384306230733196</v>
      </c>
      <c r="AA54" s="178">
        <f t="shared" si="33"/>
        <v>0.8276630584726572</v>
      </c>
      <c r="AB54" s="178">
        <f t="shared" si="33"/>
        <v>0.82166993852244741</v>
      </c>
      <c r="AC54" s="178">
        <f t="shared" si="33"/>
        <v>0.8154899474702958</v>
      </c>
    </row>
    <row r="55" spans="1:29" x14ac:dyDescent="0.25">
      <c r="A55" s="192" t="s">
        <v>23</v>
      </c>
      <c r="B55" s="54" t="s">
        <v>5</v>
      </c>
      <c r="C55" s="176">
        <f t="shared" si="32"/>
        <v>3.6526626495951846E-3</v>
      </c>
      <c r="D55" s="84">
        <f>+'5ta'!F40/1000</f>
        <v>0</v>
      </c>
      <c r="E55" s="84">
        <f t="shared" si="34"/>
        <v>0</v>
      </c>
      <c r="F55" s="84">
        <f>+'5ta'!G40/1000</f>
        <v>0</v>
      </c>
      <c r="G55" s="84">
        <f t="shared" si="35"/>
        <v>0</v>
      </c>
      <c r="H55" s="84">
        <f>+'5ta'!H40/1000</f>
        <v>0</v>
      </c>
      <c r="I55" s="84">
        <f t="shared" si="36"/>
        <v>0</v>
      </c>
      <c r="J55" s="84">
        <f>+'5ta'!I40/1000</f>
        <v>0</v>
      </c>
      <c r="K55" s="84">
        <f t="shared" si="37"/>
        <v>0</v>
      </c>
      <c r="L55" s="84">
        <f>+'5ta'!J40/1000</f>
        <v>0</v>
      </c>
      <c r="M55" s="84">
        <f>+'5ta'!K40/1000</f>
        <v>5.4770000000000006E-2</v>
      </c>
      <c r="N55" s="84">
        <f>+'5ta'!L40/1000</f>
        <v>5.4770000000000006E-2</v>
      </c>
      <c r="O55" s="433">
        <f>+'5ta'!M40/1000</f>
        <v>2.5559999999999999E-2</v>
      </c>
      <c r="P55" s="443">
        <f>+'5ta'!N40/1000</f>
        <v>2.5559999999999999E-2</v>
      </c>
      <c r="Q55" s="437">
        <f t="shared" si="33"/>
        <v>2.3970298131756201E-2</v>
      </c>
      <c r="R55" s="178">
        <f t="shared" si="33"/>
        <v>2.3794048533299989E-2</v>
      </c>
      <c r="S55" s="178">
        <f t="shared" si="33"/>
        <v>2.3615286290536563E-2</v>
      </c>
      <c r="T55" s="178">
        <f t="shared" si="33"/>
        <v>2.3444062671334823E-2</v>
      </c>
      <c r="U55" s="178">
        <f t="shared" si="33"/>
        <v>2.3270326407655379E-2</v>
      </c>
      <c r="V55" s="178">
        <f t="shared" si="33"/>
        <v>2.3096590316403407E-2</v>
      </c>
      <c r="W55" s="178">
        <f t="shared" si="33"/>
        <v>2.2927880031471077E-2</v>
      </c>
      <c r="X55" s="178">
        <f t="shared" si="33"/>
        <v>2.2759169918796188E-2</v>
      </c>
      <c r="Y55" s="178">
        <f t="shared" si="33"/>
        <v>2.2590459978295546E-2</v>
      </c>
      <c r="Z55" s="178">
        <f t="shared" si="33"/>
        <v>2.242426302687205E-2</v>
      </c>
      <c r="AA55" s="178">
        <f t="shared" si="33"/>
        <v>2.2258066247453683E-2</v>
      </c>
      <c r="AB55" s="178">
        <f t="shared" si="33"/>
        <v>2.209689527393353E-2</v>
      </c>
      <c r="AC55" s="178">
        <f t="shared" si="33"/>
        <v>2.1930698838271291E-2</v>
      </c>
    </row>
    <row r="56" spans="1:29" ht="22.5" x14ac:dyDescent="0.25">
      <c r="A56" s="192" t="s">
        <v>24</v>
      </c>
      <c r="B56" s="54" t="s">
        <v>5</v>
      </c>
      <c r="C56" s="176">
        <f t="shared" si="32"/>
        <v>0.74024295351215086</v>
      </c>
      <c r="D56" s="84">
        <f>+'5ta'!F41/1000</f>
        <v>0</v>
      </c>
      <c r="E56" s="84">
        <f t="shared" si="34"/>
        <v>0</v>
      </c>
      <c r="F56" s="84">
        <f>+'5ta'!G41/1000</f>
        <v>0</v>
      </c>
      <c r="G56" s="84">
        <f t="shared" si="35"/>
        <v>0</v>
      </c>
      <c r="H56" s="84">
        <f>+'5ta'!H41/1000</f>
        <v>0</v>
      </c>
      <c r="I56" s="84">
        <f t="shared" si="36"/>
        <v>0</v>
      </c>
      <c r="J56" s="84">
        <f>+'5ta'!I41/1000</f>
        <v>0</v>
      </c>
      <c r="K56" s="84">
        <f t="shared" si="37"/>
        <v>0</v>
      </c>
      <c r="L56" s="84">
        <f>+'5ta'!J41/1000</f>
        <v>0</v>
      </c>
      <c r="M56" s="84">
        <f>+'5ta'!K41/1000</f>
        <v>3.0419099999999997</v>
      </c>
      <c r="N56" s="84">
        <f>+'5ta'!L41/1000</f>
        <v>3.0419099999999997</v>
      </c>
      <c r="O56" s="433">
        <f>+'5ta'!M41/1000</f>
        <v>5.1799499999999998</v>
      </c>
      <c r="P56" s="443">
        <f>+'5ta'!N41/1000</f>
        <v>5.1799499999999998</v>
      </c>
      <c r="Q56" s="437">
        <f t="shared" si="33"/>
        <v>4.8577834823000989</v>
      </c>
      <c r="R56" s="178">
        <f t="shared" si="33"/>
        <v>4.8220650117397206</v>
      </c>
      <c r="S56" s="178">
        <f t="shared" si="33"/>
        <v>4.7858373325768726</v>
      </c>
      <c r="T56" s="178">
        <f t="shared" si="33"/>
        <v>4.7511374191854774</v>
      </c>
      <c r="U56" s="178">
        <f t="shared" si="33"/>
        <v>4.7159282971570606</v>
      </c>
      <c r="V56" s="178">
        <f t="shared" si="33"/>
        <v>4.6807192100725281</v>
      </c>
      <c r="W56" s="178">
        <f t="shared" si="33"/>
        <v>4.6465286451102736</v>
      </c>
      <c r="X56" s="178">
        <f t="shared" si="33"/>
        <v>4.6123381150574456</v>
      </c>
      <c r="Y56" s="178">
        <f t="shared" si="33"/>
        <v>4.5781476198971838</v>
      </c>
      <c r="Z56" s="178">
        <f t="shared" si="33"/>
        <v>4.544466403209932</v>
      </c>
      <c r="AA56" s="178">
        <f t="shared" si="33"/>
        <v>4.5107852213809743</v>
      </c>
      <c r="AB56" s="178">
        <f t="shared" si="33"/>
        <v>4.4781225615888891</v>
      </c>
      <c r="AC56" s="178">
        <f t="shared" si="33"/>
        <v>4.4444414494250148</v>
      </c>
    </row>
    <row r="57" spans="1:29" x14ac:dyDescent="0.25">
      <c r="A57" s="192" t="s">
        <v>25</v>
      </c>
      <c r="B57" s="54" t="s">
        <v>5</v>
      </c>
      <c r="C57" s="176">
        <f t="shared" si="32"/>
        <v>9.9033459161559593E-3</v>
      </c>
      <c r="D57" s="84">
        <f>+'5ta'!F42/1000</f>
        <v>2.3205E-2</v>
      </c>
      <c r="E57" s="84">
        <f t="shared" si="34"/>
        <v>2.3205E-2</v>
      </c>
      <c r="F57" s="84">
        <f>+'5ta'!G42/1000</f>
        <v>2.3205E-2</v>
      </c>
      <c r="G57" s="84">
        <f t="shared" si="35"/>
        <v>2.3205E-2</v>
      </c>
      <c r="H57" s="84">
        <f>+'5ta'!H42/1000</f>
        <v>2.3205E-2</v>
      </c>
      <c r="I57" s="84">
        <f t="shared" si="36"/>
        <v>5.3520000000000012E-2</v>
      </c>
      <c r="J57" s="84">
        <f>+'5ta'!I42/1000</f>
        <v>8.3835000000000021E-2</v>
      </c>
      <c r="K57" s="84">
        <f t="shared" si="37"/>
        <v>6.1627500000000016E-2</v>
      </c>
      <c r="L57" s="84">
        <f>+'5ta'!J42/1000</f>
        <v>3.9420000000000004E-2</v>
      </c>
      <c r="M57" s="84">
        <f>+'5ta'!K42/1000</f>
        <v>1.7149999999999999E-2</v>
      </c>
      <c r="N57" s="84">
        <f>+'5ta'!L42/1000</f>
        <v>1.7149999999999999E-2</v>
      </c>
      <c r="O57" s="433">
        <f>+'5ta'!M42/1000</f>
        <v>6.93E-2</v>
      </c>
      <c r="P57" s="443">
        <f>+'5ta'!N42/1000</f>
        <v>6.93E-2</v>
      </c>
      <c r="Q57" s="437">
        <f t="shared" si="33"/>
        <v>6.4989892822015061E-2</v>
      </c>
      <c r="R57" s="178">
        <f t="shared" si="33"/>
        <v>6.4512032995214769E-2</v>
      </c>
      <c r="S57" s="178">
        <f t="shared" si="33"/>
        <v>6.4027360717299836E-2</v>
      </c>
      <c r="T57" s="178">
        <f t="shared" si="33"/>
        <v>6.3563127665238778E-2</v>
      </c>
      <c r="U57" s="178">
        <f t="shared" si="33"/>
        <v>6.3092082161600865E-2</v>
      </c>
      <c r="V57" s="178">
        <f t="shared" si="33"/>
        <v>6.2621037125459952E-2</v>
      </c>
      <c r="W57" s="178">
        <f t="shared" si="33"/>
        <v>6.2163618395185673E-2</v>
      </c>
      <c r="X57" s="178">
        <f t="shared" si="33"/>
        <v>6.1706200131947414E-2</v>
      </c>
      <c r="Y57" s="178">
        <f t="shared" si="33"/>
        <v>6.1248782335519621E-2</v>
      </c>
      <c r="Z57" s="178">
        <f t="shared" si="33"/>
        <v>6.0798177924969998E-2</v>
      </c>
      <c r="AA57" s="178">
        <f t="shared" si="33"/>
        <v>6.0347573980772319E-2</v>
      </c>
      <c r="AB57" s="178">
        <f t="shared" si="33"/>
        <v>5.9910596341298666E-2</v>
      </c>
      <c r="AC57" s="178">
        <f t="shared" si="33"/>
        <v>5.9459993329115834E-2</v>
      </c>
    </row>
    <row r="58" spans="1:29" x14ac:dyDescent="0.25">
      <c r="A58" s="192" t="s">
        <v>26</v>
      </c>
      <c r="B58" s="54" t="s">
        <v>5</v>
      </c>
      <c r="C58" s="176">
        <f t="shared" si="32"/>
        <v>6.8808961884979708E-3</v>
      </c>
      <c r="D58" s="84">
        <f>+'5ta'!F43/1000</f>
        <v>0.70913999999999999</v>
      </c>
      <c r="E58" s="84">
        <f t="shared" si="34"/>
        <v>0.70913999999999999</v>
      </c>
      <c r="F58" s="84">
        <f>+'5ta'!G43/1000</f>
        <v>0.70913999999999999</v>
      </c>
      <c r="G58" s="84">
        <f t="shared" si="35"/>
        <v>0.70913999999999999</v>
      </c>
      <c r="H58" s="84">
        <f>+'5ta'!H43/1000</f>
        <v>0.70913999999999999</v>
      </c>
      <c r="I58" s="84">
        <f t="shared" si="36"/>
        <v>0.80933999999999995</v>
      </c>
      <c r="J58" s="84">
        <f>+'5ta'!I43/1000</f>
        <v>0.90954000000000002</v>
      </c>
      <c r="K58" s="84">
        <f t="shared" si="37"/>
        <v>0.94742999999999999</v>
      </c>
      <c r="L58" s="84">
        <f>+'5ta'!J43/1000</f>
        <v>0.98532000000000008</v>
      </c>
      <c r="M58" s="84">
        <f>+'5ta'!K43/1000</f>
        <v>0.71914999999999996</v>
      </c>
      <c r="N58" s="84">
        <f>+'5ta'!L43/1000</f>
        <v>0.71914999999999996</v>
      </c>
      <c r="O58" s="433">
        <f>+'5ta'!M43/1000</f>
        <v>4.8149999999999998E-2</v>
      </c>
      <c r="P58" s="443">
        <f>+'5ta'!N43/1000</f>
        <v>4.8149999999999998E-2</v>
      </c>
      <c r="Q58" s="437">
        <f t="shared" si="33"/>
        <v>4.5155315142568896E-2</v>
      </c>
      <c r="R58" s="178">
        <f t="shared" si="33"/>
        <v>4.4823295652519343E-2</v>
      </c>
      <c r="S58" s="178">
        <f t="shared" si="33"/>
        <v>4.4486542836045986E-2</v>
      </c>
      <c r="T58" s="178">
        <f t="shared" si="33"/>
        <v>4.4163991299873695E-2</v>
      </c>
      <c r="U58" s="178">
        <f t="shared" si="33"/>
        <v>4.3836706436956432E-2</v>
      </c>
      <c r="V58" s="178">
        <f t="shared" si="33"/>
        <v>4.3509421898858529E-2</v>
      </c>
      <c r="W58" s="178">
        <f t="shared" si="33"/>
        <v>4.3191604988862764E-2</v>
      </c>
      <c r="X58" s="178">
        <f t="shared" si="33"/>
        <v>4.2873788403366052E-2</v>
      </c>
      <c r="Y58" s="178">
        <f t="shared" si="33"/>
        <v>4.2555972142211677E-2</v>
      </c>
      <c r="Z58" s="178">
        <f t="shared" si="33"/>
        <v>4.2242889856959669E-2</v>
      </c>
      <c r="AA58" s="178">
        <f t="shared" si="33"/>
        <v>4.1929807895731412E-2</v>
      </c>
      <c r="AB58" s="178">
        <f t="shared" si="33"/>
        <v>4.1626193561811402E-2</v>
      </c>
      <c r="AC58" s="178">
        <f t="shared" si="33"/>
        <v>4.1313112248151908E-2</v>
      </c>
    </row>
    <row r="59" spans="1:29" ht="15.75" thickBot="1" x14ac:dyDescent="0.3">
      <c r="A59" s="192" t="s">
        <v>27</v>
      </c>
      <c r="B59" s="54" t="s">
        <v>5</v>
      </c>
      <c r="C59" s="176">
        <f t="shared" si="32"/>
        <v>3.3529899744699464E-2</v>
      </c>
      <c r="D59" s="84">
        <f>+'5ta'!F44/1000</f>
        <v>0</v>
      </c>
      <c r="E59" s="84">
        <f t="shared" si="34"/>
        <v>0</v>
      </c>
      <c r="F59" s="84">
        <f>+'5ta'!G44/1000</f>
        <v>0</v>
      </c>
      <c r="G59" s="84">
        <f t="shared" si="35"/>
        <v>0</v>
      </c>
      <c r="H59" s="84">
        <f>+'5ta'!H44/1000</f>
        <v>0</v>
      </c>
      <c r="I59" s="84">
        <f t="shared" si="36"/>
        <v>0</v>
      </c>
      <c r="J59" s="84">
        <f>+'5ta'!I44/1000</f>
        <v>0</v>
      </c>
      <c r="K59" s="84">
        <f t="shared" si="37"/>
        <v>0</v>
      </c>
      <c r="L59" s="84">
        <f>+'5ta'!J44/1000</f>
        <v>0</v>
      </c>
      <c r="M59" s="84">
        <f>+'5ta'!K44/1000</f>
        <v>0.55277999999999994</v>
      </c>
      <c r="N59" s="84">
        <f>+'5ta'!L44/1000</f>
        <v>0.55277999999999994</v>
      </c>
      <c r="O59" s="433">
        <f>+'5ta'!M44/1000</f>
        <v>0.23463000000000001</v>
      </c>
      <c r="P59" s="444">
        <f>+'5ta'!N44/1000</f>
        <v>0.23463000000000001</v>
      </c>
      <c r="Q59" s="437">
        <f t="shared" si="33"/>
        <v>0.22003720855453671</v>
      </c>
      <c r="R59" s="178">
        <f t="shared" si="33"/>
        <v>0.21841931171237</v>
      </c>
      <c r="S59" s="178">
        <f t="shared" si="33"/>
        <v>0.21677834985714375</v>
      </c>
      <c r="T59" s="178">
        <f t="shared" si="33"/>
        <v>0.21520658938087989</v>
      </c>
      <c r="U59" s="178">
        <f t="shared" si="33"/>
        <v>0.21361176388999148</v>
      </c>
      <c r="V59" s="178">
        <f t="shared" si="33"/>
        <v>0.21201693998191443</v>
      </c>
      <c r="W59" s="178">
        <f t="shared" si="33"/>
        <v>0.2104682508522715</v>
      </c>
      <c r="X59" s="178">
        <f t="shared" si="33"/>
        <v>0.20891956330387912</v>
      </c>
      <c r="Y59" s="178">
        <f t="shared" si="33"/>
        <v>0.20737087733597359</v>
      </c>
      <c r="Z59" s="178">
        <f t="shared" si="33"/>
        <v>0.20584525954596986</v>
      </c>
      <c r="AA59" s="178">
        <f t="shared" si="33"/>
        <v>0.20431964333490057</v>
      </c>
      <c r="AB59" s="178">
        <f t="shared" si="33"/>
        <v>0.20284016189839693</v>
      </c>
      <c r="AC59" s="178">
        <f t="shared" si="33"/>
        <v>0.20131454884286362</v>
      </c>
    </row>
    <row r="60" spans="1:29" x14ac:dyDescent="0.25">
      <c r="A60" s="186" t="s">
        <v>28</v>
      </c>
      <c r="B60" s="180" t="s">
        <v>5</v>
      </c>
      <c r="C60" s="180"/>
      <c r="D60" s="84">
        <f>+'5ta'!F45/1000</f>
        <v>0</v>
      </c>
      <c r="E60" s="181">
        <f t="shared" si="34"/>
        <v>0</v>
      </c>
      <c r="F60" s="84">
        <f>+'5ta'!G45/1000</f>
        <v>0</v>
      </c>
      <c r="G60" s="181">
        <f t="shared" si="35"/>
        <v>0</v>
      </c>
      <c r="H60" s="84">
        <f>+'5ta'!H45/1000</f>
        <v>0</v>
      </c>
      <c r="I60" s="181">
        <f t="shared" si="36"/>
        <v>5.4810000000000005E-2</v>
      </c>
      <c r="J60" s="84">
        <f>+'5ta'!I45/1000</f>
        <v>0.10962000000000001</v>
      </c>
      <c r="K60" s="181">
        <f t="shared" si="37"/>
        <v>6.3765000000000002E-2</v>
      </c>
      <c r="L60" s="84">
        <f>+'5ta'!J45/1000</f>
        <v>1.7909999999999999E-2</v>
      </c>
      <c r="M60" s="84">
        <f>+'5ta'!K45/1000</f>
        <v>1.899E-2</v>
      </c>
      <c r="N60" s="84">
        <f>+'5ta'!L45/1000</f>
        <v>1.899E-2</v>
      </c>
      <c r="O60" s="84">
        <f>+'5ta'!M45/1000</f>
        <v>7.1999999999999998E-3</v>
      </c>
      <c r="P60" s="438">
        <f>+'5ta'!N45/1000</f>
        <v>7.1999999999999998E-3</v>
      </c>
      <c r="Q60" s="181">
        <f t="shared" ref="Q60:AC60" si="38">+P60</f>
        <v>7.1999999999999998E-3</v>
      </c>
      <c r="R60" s="181">
        <f t="shared" si="38"/>
        <v>7.1999999999999998E-3</v>
      </c>
      <c r="S60" s="181">
        <f t="shared" si="38"/>
        <v>7.1999999999999998E-3</v>
      </c>
      <c r="T60" s="181">
        <f t="shared" si="38"/>
        <v>7.1999999999999998E-3</v>
      </c>
      <c r="U60" s="181">
        <f t="shared" si="38"/>
        <v>7.1999999999999998E-3</v>
      </c>
      <c r="V60" s="181">
        <f t="shared" si="38"/>
        <v>7.1999999999999998E-3</v>
      </c>
      <c r="W60" s="181">
        <f t="shared" si="38"/>
        <v>7.1999999999999998E-3</v>
      </c>
      <c r="X60" s="181">
        <f t="shared" si="38"/>
        <v>7.1999999999999998E-3</v>
      </c>
      <c r="Y60" s="181">
        <f t="shared" si="38"/>
        <v>7.1999999999999998E-3</v>
      </c>
      <c r="Z60" s="181">
        <f t="shared" si="38"/>
        <v>7.1999999999999998E-3</v>
      </c>
      <c r="AA60" s="181">
        <f t="shared" si="38"/>
        <v>7.1999999999999998E-3</v>
      </c>
      <c r="AB60" s="181">
        <f t="shared" si="38"/>
        <v>7.1999999999999998E-3</v>
      </c>
      <c r="AC60" s="181">
        <f t="shared" si="38"/>
        <v>7.1999999999999998E-3</v>
      </c>
    </row>
    <row r="61" spans="1:29" x14ac:dyDescent="0.25">
      <c r="A61" s="182" t="s">
        <v>19</v>
      </c>
      <c r="B61" s="183" t="s">
        <v>5</v>
      </c>
      <c r="C61" s="183"/>
      <c r="D61" s="84">
        <f>+'5ta'!F46/1000</f>
        <v>7.7390400000000001</v>
      </c>
      <c r="E61" s="184">
        <f t="shared" si="34"/>
        <v>7.7390400000000001</v>
      </c>
      <c r="F61" s="84">
        <f>+'5ta'!G46/1000</f>
        <v>7.7390400000000001</v>
      </c>
      <c r="G61" s="184">
        <f t="shared" si="35"/>
        <v>7.7390400000000001</v>
      </c>
      <c r="H61" s="84">
        <f>+'5ta'!H46/1000</f>
        <v>7.7390400000000001</v>
      </c>
      <c r="I61" s="184">
        <f t="shared" si="36"/>
        <v>7.6357499999999998</v>
      </c>
      <c r="J61" s="84">
        <f>+'5ta'!I46/1000</f>
        <v>7.5324600000000004</v>
      </c>
      <c r="K61" s="184">
        <f t="shared" si="37"/>
        <v>7.93438</v>
      </c>
      <c r="L61" s="84">
        <f>+'5ta'!J46/1000</f>
        <v>8.3362999999999996</v>
      </c>
      <c r="M61" s="84">
        <f>+'5ta'!K46/1000</f>
        <v>7.0826899999999995</v>
      </c>
      <c r="N61" s="84">
        <f>+'5ta'!L46/1000</f>
        <v>7.0826899999999995</v>
      </c>
      <c r="O61" s="84">
        <f>+'5ta'!M46/1000</f>
        <v>1.51169</v>
      </c>
      <c r="P61" s="84">
        <f>+'5ta'!N46/1000</f>
        <v>1.51169</v>
      </c>
      <c r="Q61" s="184">
        <f t="shared" ref="Q61:AC61" si="39">+P61</f>
        <v>1.51169</v>
      </c>
      <c r="R61" s="184">
        <f t="shared" si="39"/>
        <v>1.51169</v>
      </c>
      <c r="S61" s="184">
        <f t="shared" si="39"/>
        <v>1.51169</v>
      </c>
      <c r="T61" s="184">
        <f t="shared" si="39"/>
        <v>1.51169</v>
      </c>
      <c r="U61" s="184">
        <f t="shared" si="39"/>
        <v>1.51169</v>
      </c>
      <c r="V61" s="184">
        <f t="shared" si="39"/>
        <v>1.51169</v>
      </c>
      <c r="W61" s="184">
        <f t="shared" si="39"/>
        <v>1.51169</v>
      </c>
      <c r="X61" s="184">
        <f t="shared" si="39"/>
        <v>1.51169</v>
      </c>
      <c r="Y61" s="184">
        <f t="shared" si="39"/>
        <v>1.51169</v>
      </c>
      <c r="Z61" s="184">
        <f t="shared" si="39"/>
        <v>1.51169</v>
      </c>
      <c r="AA61" s="184">
        <f t="shared" si="39"/>
        <v>1.51169</v>
      </c>
      <c r="AB61" s="184">
        <f t="shared" si="39"/>
        <v>1.51169</v>
      </c>
      <c r="AC61" s="184">
        <f t="shared" si="39"/>
        <v>1.51169</v>
      </c>
    </row>
    <row r="62" spans="1:29" x14ac:dyDescent="0.25">
      <c r="A62" s="182" t="s">
        <v>4</v>
      </c>
      <c r="B62" s="183" t="s">
        <v>5</v>
      </c>
      <c r="C62" s="183"/>
      <c r="D62" s="84">
        <f>+'5ta'!F47/1000</f>
        <v>0.42025499999999999</v>
      </c>
      <c r="E62" s="184">
        <f t="shared" si="34"/>
        <v>0.42025499999999999</v>
      </c>
      <c r="F62" s="84">
        <f>+'5ta'!G47/1000</f>
        <v>0.42025499999999999</v>
      </c>
      <c r="G62" s="184">
        <f t="shared" si="35"/>
        <v>0.42025499999999999</v>
      </c>
      <c r="H62" s="84">
        <f>+'5ta'!H47/1000</f>
        <v>0.42025499999999999</v>
      </c>
      <c r="I62" s="184">
        <f t="shared" si="36"/>
        <v>0.65466250000000004</v>
      </c>
      <c r="J62" s="84">
        <f>+'5ta'!I47/1000</f>
        <v>0.88907000000000003</v>
      </c>
      <c r="K62" s="184">
        <f t="shared" si="37"/>
        <v>0.53034999999999999</v>
      </c>
      <c r="L62" s="84">
        <f>+'5ta'!J47/1000</f>
        <v>0.17163</v>
      </c>
      <c r="M62" s="84">
        <f>+'5ta'!K47/1000</f>
        <v>1.0575899999999998</v>
      </c>
      <c r="N62" s="84">
        <f>+'5ta'!L47/1000</f>
        <v>1.0575899999999998</v>
      </c>
      <c r="O62" s="84">
        <f>+'5ta'!M47/1000</f>
        <v>0.13747999999999999</v>
      </c>
      <c r="P62" s="84">
        <f>+'5ta'!N47/1000</f>
        <v>0.13747999999999999</v>
      </c>
      <c r="Q62" s="184">
        <f t="shared" ref="Q62:AC62" si="40">+P62</f>
        <v>0.13747999999999999</v>
      </c>
      <c r="R62" s="184">
        <f t="shared" si="40"/>
        <v>0.13747999999999999</v>
      </c>
      <c r="S62" s="184">
        <f t="shared" si="40"/>
        <v>0.13747999999999999</v>
      </c>
      <c r="T62" s="184">
        <f t="shared" si="40"/>
        <v>0.13747999999999999</v>
      </c>
      <c r="U62" s="184">
        <f t="shared" si="40"/>
        <v>0.13747999999999999</v>
      </c>
      <c r="V62" s="184">
        <f t="shared" si="40"/>
        <v>0.13747999999999999</v>
      </c>
      <c r="W62" s="184">
        <f t="shared" si="40"/>
        <v>0.13747999999999999</v>
      </c>
      <c r="X62" s="184">
        <f t="shared" si="40"/>
        <v>0.13747999999999999</v>
      </c>
      <c r="Y62" s="184">
        <f t="shared" si="40"/>
        <v>0.13747999999999999</v>
      </c>
      <c r="Z62" s="184">
        <f t="shared" si="40"/>
        <v>0.13747999999999999</v>
      </c>
      <c r="AA62" s="184">
        <f t="shared" si="40"/>
        <v>0.13747999999999999</v>
      </c>
      <c r="AB62" s="184">
        <f t="shared" si="40"/>
        <v>0.13747999999999999</v>
      </c>
      <c r="AC62" s="184">
        <f t="shared" si="40"/>
        <v>0.13747999999999999</v>
      </c>
    </row>
    <row r="63" spans="1:29" x14ac:dyDescent="0.25">
      <c r="A63" s="182" t="s">
        <v>29</v>
      </c>
      <c r="B63" s="183" t="s">
        <v>5</v>
      </c>
      <c r="C63" s="183"/>
      <c r="D63" s="84">
        <f>+'5ta'!F48/1000</f>
        <v>1.8467899999999999</v>
      </c>
      <c r="E63" s="184">
        <f t="shared" si="34"/>
        <v>1.8467899999999999</v>
      </c>
      <c r="F63" s="84">
        <f>+'5ta'!G48/1000</f>
        <v>1.8467899999999999</v>
      </c>
      <c r="G63" s="184">
        <f t="shared" si="35"/>
        <v>1.8467899999999999</v>
      </c>
      <c r="H63" s="84">
        <f>+'5ta'!H48/1000</f>
        <v>1.8467899999999999</v>
      </c>
      <c r="I63" s="184">
        <f t="shared" si="36"/>
        <v>2.7446799999999998</v>
      </c>
      <c r="J63" s="84">
        <f>+'5ta'!I48/1000</f>
        <v>3.6425700000000001</v>
      </c>
      <c r="K63" s="184">
        <f t="shared" si="37"/>
        <v>2.6642049999999999</v>
      </c>
      <c r="L63" s="84">
        <f>+'5ta'!J48/1000</f>
        <v>1.68584</v>
      </c>
      <c r="M63" s="84">
        <f>+'5ta'!K48/1000</f>
        <v>3.3127199999999997</v>
      </c>
      <c r="N63" s="84">
        <f>+'5ta'!L48/1000</f>
        <v>3.3127199999999997</v>
      </c>
      <c r="O63" s="84">
        <f>+'5ta'!M48/1000</f>
        <v>0.21803</v>
      </c>
      <c r="P63" s="84">
        <f>+'5ta'!N48/1000</f>
        <v>0.21803</v>
      </c>
      <c r="Q63" s="184">
        <f t="shared" ref="Q63:AC63" si="41">+P63</f>
        <v>0.21803</v>
      </c>
      <c r="R63" s="184">
        <f t="shared" si="41"/>
        <v>0.21803</v>
      </c>
      <c r="S63" s="184">
        <f t="shared" si="41"/>
        <v>0.21803</v>
      </c>
      <c r="T63" s="184">
        <f t="shared" si="41"/>
        <v>0.21803</v>
      </c>
      <c r="U63" s="184">
        <f t="shared" si="41"/>
        <v>0.21803</v>
      </c>
      <c r="V63" s="184">
        <f t="shared" si="41"/>
        <v>0.21803</v>
      </c>
      <c r="W63" s="184">
        <f t="shared" si="41"/>
        <v>0.21803</v>
      </c>
      <c r="X63" s="184">
        <f t="shared" si="41"/>
        <v>0.21803</v>
      </c>
      <c r="Y63" s="184">
        <f t="shared" si="41"/>
        <v>0.21803</v>
      </c>
      <c r="Z63" s="184">
        <f t="shared" si="41"/>
        <v>0.21803</v>
      </c>
      <c r="AA63" s="184">
        <f t="shared" si="41"/>
        <v>0.21803</v>
      </c>
      <c r="AB63" s="184">
        <f t="shared" si="41"/>
        <v>0.21803</v>
      </c>
      <c r="AC63" s="184">
        <f t="shared" si="41"/>
        <v>0.21803</v>
      </c>
    </row>
    <row r="64" spans="1:29" ht="15.75" thickBot="1" x14ac:dyDescent="0.3">
      <c r="A64" s="187"/>
      <c r="B64" s="188"/>
      <c r="C64" s="174">
        <f>+SUM(P$65:P$73)/(SUM(P$22:P$30)+SUM(P$37:P$45)+SUM(P$51:P$59)+SUM(P$65:P$73)+SUM(P$80:P$88))</f>
        <v>2.1829950124121953E-2</v>
      </c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</row>
    <row r="65" spans="1:30" x14ac:dyDescent="0.25">
      <c r="A65" s="53" t="s">
        <v>18</v>
      </c>
      <c r="B65" s="54" t="s">
        <v>6</v>
      </c>
      <c r="C65" s="176">
        <f t="shared" ref="C65:C73" si="42">+P65/SUM(P$65:P$73)</f>
        <v>0</v>
      </c>
      <c r="D65" s="60">
        <f>+'5ta'!F51/1000</f>
        <v>0</v>
      </c>
      <c r="E65" s="84">
        <f>+(D65+F65)/2</f>
        <v>0</v>
      </c>
      <c r="F65" s="60">
        <f>+'5ta'!G51/1000</f>
        <v>0</v>
      </c>
      <c r="G65" s="84">
        <f>+(F65+H65)/2</f>
        <v>0</v>
      </c>
      <c r="H65" s="60">
        <f>+'5ta'!H51/1000</f>
        <v>0</v>
      </c>
      <c r="I65" s="84">
        <f>+(H65+J65)/2</f>
        <v>0</v>
      </c>
      <c r="J65" s="60">
        <f>+'5ta'!I51/1000</f>
        <v>0</v>
      </c>
      <c r="K65" s="84">
        <f>+(J65+L65)/2</f>
        <v>5.1974999999999999E-3</v>
      </c>
      <c r="L65" s="60">
        <f>+'5ta'!J51/1000</f>
        <v>1.0395E-2</v>
      </c>
      <c r="M65" s="60">
        <f>+'5ta'!K51/1000</f>
        <v>7.5199999999999998E-3</v>
      </c>
      <c r="N65" s="60">
        <f>+'5ta'!L51/1000</f>
        <v>7.5199999999999998E-3</v>
      </c>
      <c r="O65" s="435">
        <f>+'5ta'!M51/1000</f>
        <v>0</v>
      </c>
      <c r="P65" s="448">
        <f>+'5ta'!N51/1000</f>
        <v>0</v>
      </c>
      <c r="Q65" s="437">
        <f t="shared" ref="Q65:AC73" si="43">+Q$21*$C$64*$C65</f>
        <v>0</v>
      </c>
      <c r="R65" s="178">
        <f t="shared" si="43"/>
        <v>0</v>
      </c>
      <c r="S65" s="178">
        <f t="shared" si="43"/>
        <v>0</v>
      </c>
      <c r="T65" s="178">
        <f t="shared" si="43"/>
        <v>0</v>
      </c>
      <c r="U65" s="178">
        <f t="shared" si="43"/>
        <v>0</v>
      </c>
      <c r="V65" s="178">
        <f t="shared" si="43"/>
        <v>0</v>
      </c>
      <c r="W65" s="178">
        <f t="shared" si="43"/>
        <v>0</v>
      </c>
      <c r="X65" s="178">
        <f t="shared" si="43"/>
        <v>0</v>
      </c>
      <c r="Y65" s="178">
        <f t="shared" si="43"/>
        <v>0</v>
      </c>
      <c r="Z65" s="178">
        <f t="shared" si="43"/>
        <v>0</v>
      </c>
      <c r="AA65" s="178">
        <f t="shared" si="43"/>
        <v>0</v>
      </c>
      <c r="AB65" s="178">
        <f t="shared" si="43"/>
        <v>0</v>
      </c>
      <c r="AC65" s="178">
        <f t="shared" si="43"/>
        <v>0</v>
      </c>
    </row>
    <row r="66" spans="1:30" x14ac:dyDescent="0.25">
      <c r="A66" s="53" t="s">
        <v>20</v>
      </c>
      <c r="B66" s="54" t="s">
        <v>6</v>
      </c>
      <c r="C66" s="176">
        <f t="shared" si="42"/>
        <v>0.36139895789705972</v>
      </c>
      <c r="D66" s="60">
        <f>+'5ta'!F52/1000</f>
        <v>0.39</v>
      </c>
      <c r="E66" s="84">
        <f t="shared" ref="E66:E78" si="44">+(D66+F66)/2</f>
        <v>0.39</v>
      </c>
      <c r="F66" s="60">
        <f>+'5ta'!G52/1000</f>
        <v>0.39</v>
      </c>
      <c r="G66" s="84">
        <f t="shared" ref="G66:G78" si="45">+(F66+H66)/2</f>
        <v>0.39</v>
      </c>
      <c r="H66" s="60">
        <f>+'5ta'!H52/1000</f>
        <v>0.39</v>
      </c>
      <c r="I66" s="84">
        <f t="shared" ref="I66:I78" si="46">+(H66+J66)/2</f>
        <v>0.23250750000000001</v>
      </c>
      <c r="J66" s="60">
        <f>+'5ta'!I52/1000</f>
        <v>7.5014999999999998E-2</v>
      </c>
      <c r="K66" s="84">
        <f t="shared" ref="K66:K78" si="47">+(J66+L66)/2</f>
        <v>7.5240000000000001E-2</v>
      </c>
      <c r="L66" s="60">
        <f>+'5ta'!J52/1000</f>
        <v>7.5465000000000004E-2</v>
      </c>
      <c r="M66" s="60">
        <f>+'5ta'!K52/1000</f>
        <v>0.52766999999999997</v>
      </c>
      <c r="N66" s="60">
        <f>+'5ta'!L52/1000</f>
        <v>0.52766999999999997</v>
      </c>
      <c r="O66" s="435">
        <f>+'5ta'!M52/1000</f>
        <v>0.80249000000000004</v>
      </c>
      <c r="P66" s="449">
        <f>+'5ta'!N52/1000</f>
        <v>0.80249000000000004</v>
      </c>
      <c r="Q66" s="437">
        <f t="shared" si="43"/>
        <v>0.75257920765856945</v>
      </c>
      <c r="R66" s="178">
        <f t="shared" si="43"/>
        <v>0.74704561844631889</v>
      </c>
      <c r="S66" s="178">
        <f t="shared" si="43"/>
        <v>0.7414331414433758</v>
      </c>
      <c r="T66" s="178">
        <f t="shared" si="43"/>
        <v>0.73605734949606749</v>
      </c>
      <c r="U66" s="178">
        <f t="shared" si="43"/>
        <v>0.73060266975271382</v>
      </c>
      <c r="V66" s="178">
        <f t="shared" si="43"/>
        <v>0.72514799542294894</v>
      </c>
      <c r="W66" s="178">
        <f t="shared" si="43"/>
        <v>0.71985111292860826</v>
      </c>
      <c r="X66" s="178">
        <f t="shared" si="43"/>
        <v>0.71455423584251776</v>
      </c>
      <c r="Y66" s="178">
        <f t="shared" si="43"/>
        <v>0.70925736416206553</v>
      </c>
      <c r="Z66" s="178">
        <f t="shared" si="43"/>
        <v>0.70403939109681346</v>
      </c>
      <c r="AA66" s="178">
        <f t="shared" si="43"/>
        <v>0.69882142343188991</v>
      </c>
      <c r="AB66" s="178">
        <f t="shared" si="43"/>
        <v>0.69376124758915958</v>
      </c>
      <c r="AC66" s="178">
        <f t="shared" si="43"/>
        <v>0.68854329071691434</v>
      </c>
    </row>
    <row r="67" spans="1:30" x14ac:dyDescent="0.25">
      <c r="A67" s="53" t="s">
        <v>21</v>
      </c>
      <c r="B67" s="54" t="s">
        <v>6</v>
      </c>
      <c r="C67" s="176">
        <f t="shared" si="42"/>
        <v>5.5590832736623567E-2</v>
      </c>
      <c r="D67" s="60">
        <f>+'5ta'!F53/1000</f>
        <v>4.2464999999999996E-2</v>
      </c>
      <c r="E67" s="84">
        <f t="shared" si="44"/>
        <v>4.2464999999999996E-2</v>
      </c>
      <c r="F67" s="60">
        <f>+'5ta'!G53/1000</f>
        <v>4.2464999999999996E-2</v>
      </c>
      <c r="G67" s="84">
        <f t="shared" si="45"/>
        <v>4.2464999999999996E-2</v>
      </c>
      <c r="H67" s="60">
        <f>+'5ta'!H53/1000</f>
        <v>4.2464999999999996E-2</v>
      </c>
      <c r="I67" s="84">
        <f t="shared" si="46"/>
        <v>5.4824999999999999E-2</v>
      </c>
      <c r="J67" s="60">
        <f>+'5ta'!I53/1000</f>
        <v>6.7185000000000009E-2</v>
      </c>
      <c r="K67" s="84">
        <f t="shared" si="47"/>
        <v>8.9032500000000001E-2</v>
      </c>
      <c r="L67" s="60">
        <f>+'5ta'!J53/1000</f>
        <v>0.11087999999999999</v>
      </c>
      <c r="M67" s="60">
        <f>+'5ta'!K53/1000</f>
        <v>5.9400000000000001E-2</v>
      </c>
      <c r="N67" s="60">
        <f>+'5ta'!L53/1000</f>
        <v>5.9400000000000001E-2</v>
      </c>
      <c r="O67" s="435">
        <f>+'5ta'!M53/1000</f>
        <v>0.12343999999999999</v>
      </c>
      <c r="P67" s="449">
        <f>+'5ta'!N53/1000</f>
        <v>0.12343999999999999</v>
      </c>
      <c r="Q67" s="437">
        <f t="shared" si="43"/>
        <v>0.11576266046103229</v>
      </c>
      <c r="R67" s="178">
        <f t="shared" si="43"/>
        <v>0.11491147695424689</v>
      </c>
      <c r="S67" s="178">
        <f t="shared" si="43"/>
        <v>0.11404815883035341</v>
      </c>
      <c r="T67" s="178">
        <f t="shared" si="43"/>
        <v>0.11322124789317568</v>
      </c>
      <c r="U67" s="178">
        <f t="shared" si="43"/>
        <v>0.11238220233806651</v>
      </c>
      <c r="V67" s="178">
        <f t="shared" si="43"/>
        <v>0.11154315761568219</v>
      </c>
      <c r="W67" s="178">
        <f t="shared" si="43"/>
        <v>0.11072838462773044</v>
      </c>
      <c r="X67" s="178">
        <f t="shared" si="43"/>
        <v>0.10991361247168235</v>
      </c>
      <c r="Y67" s="178">
        <f t="shared" si="43"/>
        <v>0.10909884114713624</v>
      </c>
      <c r="Z67" s="178">
        <f t="shared" si="43"/>
        <v>0.10829620610473732</v>
      </c>
      <c r="AA67" s="178">
        <f t="shared" si="43"/>
        <v>0.10749357189302357</v>
      </c>
      <c r="AB67" s="178">
        <f t="shared" si="43"/>
        <v>0.10671520941370716</v>
      </c>
      <c r="AC67" s="178">
        <f t="shared" si="43"/>
        <v>0.10591257686213648</v>
      </c>
    </row>
    <row r="68" spans="1:30" x14ac:dyDescent="0.25">
      <c r="A68" s="53" t="s">
        <v>22</v>
      </c>
      <c r="B68" s="54" t="s">
        <v>6</v>
      </c>
      <c r="C68" s="176">
        <f t="shared" si="42"/>
        <v>6.2400079261070648E-2</v>
      </c>
      <c r="D68" s="60">
        <f>+'5ta'!F54/1000</f>
        <v>5.1254999999999995E-2</v>
      </c>
      <c r="E68" s="84">
        <f t="shared" si="44"/>
        <v>5.1254999999999995E-2</v>
      </c>
      <c r="F68" s="60">
        <f>+'5ta'!G54/1000</f>
        <v>5.1254999999999995E-2</v>
      </c>
      <c r="G68" s="84">
        <f t="shared" si="45"/>
        <v>5.1254999999999995E-2</v>
      </c>
      <c r="H68" s="60">
        <f>+'5ta'!H54/1000</f>
        <v>5.1254999999999995E-2</v>
      </c>
      <c r="I68" s="84">
        <f t="shared" si="46"/>
        <v>4.895999999999999E-2</v>
      </c>
      <c r="J68" s="60">
        <f>+'5ta'!I54/1000</f>
        <v>4.6664999999999991E-2</v>
      </c>
      <c r="K68" s="84">
        <f t="shared" si="47"/>
        <v>6.1717499999999995E-2</v>
      </c>
      <c r="L68" s="60">
        <f>+'5ta'!J54/1000</f>
        <v>7.6769999999999991E-2</v>
      </c>
      <c r="M68" s="60">
        <f>+'5ta'!K54/1000</f>
        <v>9.9449999999999997E-2</v>
      </c>
      <c r="N68" s="60">
        <f>+'5ta'!L54/1000</f>
        <v>9.9449999999999997E-2</v>
      </c>
      <c r="O68" s="435">
        <f>+'5ta'!M54/1000</f>
        <v>0.13855999999999999</v>
      </c>
      <c r="P68" s="449">
        <f>+'5ta'!N54/1000</f>
        <v>0.13855999999999999</v>
      </c>
      <c r="Q68" s="437">
        <f t="shared" si="43"/>
        <v>0.12994227344038101</v>
      </c>
      <c r="R68" s="178">
        <f t="shared" si="43"/>
        <v>0.12898682960774829</v>
      </c>
      <c r="S68" s="178">
        <f t="shared" si="43"/>
        <v>0.12801776480503699</v>
      </c>
      <c r="T68" s="178">
        <f t="shared" si="43"/>
        <v>0.12708956665650051</v>
      </c>
      <c r="U68" s="178">
        <f t="shared" si="43"/>
        <v>0.12614774753696123</v>
      </c>
      <c r="V68" s="178">
        <f t="shared" si="43"/>
        <v>0.12520592935214617</v>
      </c>
      <c r="W68" s="178">
        <f t="shared" si="43"/>
        <v>0.12429135591395275</v>
      </c>
      <c r="X68" s="178">
        <f t="shared" si="43"/>
        <v>0.12337678340956178</v>
      </c>
      <c r="Y68" s="178">
        <f t="shared" si="43"/>
        <v>0.12246221183852232</v>
      </c>
      <c r="Z68" s="178">
        <f t="shared" si="43"/>
        <v>0.12156126310654894</v>
      </c>
      <c r="AA68" s="178">
        <f t="shared" si="43"/>
        <v>0.12066031530701024</v>
      </c>
      <c r="AB68" s="178">
        <f t="shared" si="43"/>
        <v>0.11978661225180867</v>
      </c>
      <c r="AC68" s="178">
        <f t="shared" si="43"/>
        <v>0.11888566631576174</v>
      </c>
    </row>
    <row r="69" spans="1:30" x14ac:dyDescent="0.25">
      <c r="A69" s="53" t="s">
        <v>23</v>
      </c>
      <c r="B69" s="54" t="s">
        <v>6</v>
      </c>
      <c r="C69" s="176">
        <f t="shared" si="42"/>
        <v>2.4318737587311024E-4</v>
      </c>
      <c r="D69" s="60">
        <f>+'5ta'!F55/1000</f>
        <v>1.806E-2</v>
      </c>
      <c r="E69" s="84">
        <f t="shared" si="44"/>
        <v>1.806E-2</v>
      </c>
      <c r="F69" s="60">
        <f>+'5ta'!G55/1000</f>
        <v>1.806E-2</v>
      </c>
      <c r="G69" s="84">
        <f t="shared" si="45"/>
        <v>1.806E-2</v>
      </c>
      <c r="H69" s="60">
        <f>+'5ta'!H55/1000</f>
        <v>1.806E-2</v>
      </c>
      <c r="I69" s="84">
        <f t="shared" si="46"/>
        <v>2.1292499999999999E-2</v>
      </c>
      <c r="J69" s="60">
        <f>+'5ta'!I55/1000</f>
        <v>2.4525000000000002E-2</v>
      </c>
      <c r="K69" s="84">
        <f t="shared" si="47"/>
        <v>2.8170000000000001E-2</v>
      </c>
      <c r="L69" s="60">
        <f>+'5ta'!J55/1000</f>
        <v>3.1814999999999996E-2</v>
      </c>
      <c r="M69" s="60">
        <f>+'5ta'!K55/1000</f>
        <v>3.9649999999999998E-2</v>
      </c>
      <c r="N69" s="60">
        <f>+'5ta'!L55/1000</f>
        <v>3.9649999999999998E-2</v>
      </c>
      <c r="O69" s="435">
        <f>+'5ta'!M55/1000</f>
        <v>5.4000000000000001E-4</v>
      </c>
      <c r="P69" s="449">
        <f>+'5ta'!N55/1000</f>
        <v>5.4000000000000001E-4</v>
      </c>
      <c r="Q69" s="437">
        <f t="shared" si="43"/>
        <v>5.0641474926245498E-4</v>
      </c>
      <c r="R69" s="178">
        <f t="shared" si="43"/>
        <v>5.0269116619647866E-4</v>
      </c>
      <c r="S69" s="178">
        <f t="shared" si="43"/>
        <v>4.9891449909584282E-4</v>
      </c>
      <c r="T69" s="178">
        <f t="shared" si="43"/>
        <v>4.9529709869017237E-4</v>
      </c>
      <c r="U69" s="178">
        <f t="shared" si="43"/>
        <v>4.9162661424624035E-4</v>
      </c>
      <c r="V69" s="178">
        <f t="shared" si="43"/>
        <v>4.8795613344514247E-4</v>
      </c>
      <c r="W69" s="178">
        <f t="shared" si="43"/>
        <v>4.8439183165079741E-4</v>
      </c>
      <c r="X69" s="178">
        <f t="shared" si="43"/>
        <v>4.808275334956941E-4</v>
      </c>
      <c r="Y69" s="178">
        <f t="shared" si="43"/>
        <v>4.7726323897807492E-4</v>
      </c>
      <c r="Z69" s="178">
        <f t="shared" si="43"/>
        <v>4.7375203577898701E-4</v>
      </c>
      <c r="AA69" s="178">
        <f t="shared" si="43"/>
        <v>4.7024083621381019E-4</v>
      </c>
      <c r="AB69" s="178">
        <f t="shared" si="43"/>
        <v>4.6683581564648305E-4</v>
      </c>
      <c r="AC69" s="178">
        <f t="shared" si="43"/>
        <v>4.6332462334375973E-4</v>
      </c>
    </row>
    <row r="70" spans="1:30" ht="22.35" customHeight="1" x14ac:dyDescent="0.25">
      <c r="A70" s="53" t="s">
        <v>24</v>
      </c>
      <c r="B70" s="54" t="s">
        <v>6</v>
      </c>
      <c r="C70" s="176">
        <f t="shared" si="42"/>
        <v>0.38819010047241398</v>
      </c>
      <c r="D70" s="60">
        <f>+'5ta'!F56/1000</f>
        <v>0.10255500000000001</v>
      </c>
      <c r="E70" s="84">
        <f t="shared" si="44"/>
        <v>0.10255500000000001</v>
      </c>
      <c r="F70" s="60">
        <f>+'5ta'!G56/1000</f>
        <v>0.10255500000000001</v>
      </c>
      <c r="G70" s="84">
        <f t="shared" si="45"/>
        <v>0.10255500000000001</v>
      </c>
      <c r="H70" s="60">
        <f>+'5ta'!H56/1000</f>
        <v>0.10255500000000001</v>
      </c>
      <c r="I70" s="84">
        <f t="shared" si="46"/>
        <v>0.107235</v>
      </c>
      <c r="J70" s="60">
        <f>+'5ta'!I56/1000</f>
        <v>0.111915</v>
      </c>
      <c r="K70" s="84">
        <f t="shared" si="47"/>
        <v>0.15797249999999999</v>
      </c>
      <c r="L70" s="60">
        <f>+'5ta'!J56/1000</f>
        <v>0.20402999999999999</v>
      </c>
      <c r="M70" s="60">
        <f>+'5ta'!K56/1000</f>
        <v>0.30074000000000001</v>
      </c>
      <c r="N70" s="60">
        <f>+'5ta'!L56/1000</f>
        <v>0.30074000000000001</v>
      </c>
      <c r="O70" s="435">
        <f>+'5ta'!M56/1000</f>
        <v>0.86197999999999997</v>
      </c>
      <c r="P70" s="449">
        <f>+'5ta'!N56/1000</f>
        <v>0.86197999999999997</v>
      </c>
      <c r="Q70" s="437">
        <f t="shared" si="43"/>
        <v>0.80836923253564974</v>
      </c>
      <c r="R70" s="178">
        <f t="shared" si="43"/>
        <v>0.80242542858896415</v>
      </c>
      <c r="S70" s="178">
        <f t="shared" si="43"/>
        <v>0.79639688876043446</v>
      </c>
      <c r="T70" s="178">
        <f t="shared" si="43"/>
        <v>0.79062257986843465</v>
      </c>
      <c r="U70" s="178">
        <f t="shared" si="43"/>
        <v>0.78476353508884122</v>
      </c>
      <c r="V70" s="178">
        <f t="shared" si="43"/>
        <v>0.77890449612415535</v>
      </c>
      <c r="W70" s="178">
        <f t="shared" si="43"/>
        <v>0.77321494638213772</v>
      </c>
      <c r="X70" s="178">
        <f t="shared" si="43"/>
        <v>0.76752540244929324</v>
      </c>
      <c r="Y70" s="178">
        <f t="shared" si="43"/>
        <v>0.76183586432281669</v>
      </c>
      <c r="Z70" s="178">
        <f t="shared" si="43"/>
        <v>0.75623107370513176</v>
      </c>
      <c r="AA70" s="178">
        <f t="shared" si="43"/>
        <v>0.75062628888811123</v>
      </c>
      <c r="AB70" s="178">
        <f t="shared" si="43"/>
        <v>0.74519099327954708</v>
      </c>
      <c r="AC70" s="178">
        <f t="shared" si="43"/>
        <v>0.73958622005528518</v>
      </c>
    </row>
    <row r="71" spans="1:30" x14ac:dyDescent="0.25">
      <c r="A71" s="53" t="s">
        <v>25</v>
      </c>
      <c r="B71" s="54" t="s">
        <v>6</v>
      </c>
      <c r="C71" s="176">
        <f t="shared" si="42"/>
        <v>9.0771939779600172E-2</v>
      </c>
      <c r="D71" s="60">
        <f>+'5ta'!F57/1000</f>
        <v>3.0825000000000002E-2</v>
      </c>
      <c r="E71" s="84">
        <f t="shared" si="44"/>
        <v>3.0825000000000002E-2</v>
      </c>
      <c r="F71" s="60">
        <f>+'5ta'!G57/1000</f>
        <v>3.0825000000000002E-2</v>
      </c>
      <c r="G71" s="84">
        <f t="shared" si="45"/>
        <v>3.0825000000000002E-2</v>
      </c>
      <c r="H71" s="60">
        <f>+'5ta'!H57/1000</f>
        <v>3.0825000000000002E-2</v>
      </c>
      <c r="I71" s="84">
        <f t="shared" si="46"/>
        <v>2.2770000000000002E-2</v>
      </c>
      <c r="J71" s="60">
        <f>+'5ta'!I57/1000</f>
        <v>1.4715000000000001E-2</v>
      </c>
      <c r="K71" s="84">
        <f t="shared" si="47"/>
        <v>1.8090000000000002E-2</v>
      </c>
      <c r="L71" s="60">
        <f>+'5ta'!J57/1000</f>
        <v>2.1465000000000001E-2</v>
      </c>
      <c r="M71" s="60">
        <f>+'5ta'!K57/1000</f>
        <v>3.3979999999999996E-2</v>
      </c>
      <c r="N71" s="60">
        <f>+'5ta'!L57/1000</f>
        <v>3.3979999999999996E-2</v>
      </c>
      <c r="O71" s="435">
        <f>+'5ta'!M57/1000</f>
        <v>0.20155999999999999</v>
      </c>
      <c r="P71" s="449">
        <f>+'5ta'!N57/1000</f>
        <v>0.20155999999999999</v>
      </c>
      <c r="Q71" s="437">
        <f t="shared" si="43"/>
        <v>0.18902399418766741</v>
      </c>
      <c r="R71" s="178">
        <f t="shared" si="43"/>
        <v>0.18763413233067078</v>
      </c>
      <c r="S71" s="178">
        <f t="shared" si="43"/>
        <v>0.18622445636621865</v>
      </c>
      <c r="T71" s="178">
        <f t="shared" si="43"/>
        <v>0.18487422817035393</v>
      </c>
      <c r="U71" s="178">
        <f t="shared" si="43"/>
        <v>0.18350418586568926</v>
      </c>
      <c r="V71" s="178">
        <f t="shared" si="43"/>
        <v>0.18213414492074612</v>
      </c>
      <c r="W71" s="178">
        <f t="shared" si="43"/>
        <v>0.18080373627321245</v>
      </c>
      <c r="X71" s="178">
        <f t="shared" si="43"/>
        <v>0.1794733289840594</v>
      </c>
      <c r="Y71" s="178">
        <f t="shared" si="43"/>
        <v>0.17814292305263105</v>
      </c>
      <c r="Z71" s="178">
        <f t="shared" si="43"/>
        <v>0.17683233394743075</v>
      </c>
      <c r="AA71" s="178">
        <f t="shared" si="43"/>
        <v>0.17552174619862143</v>
      </c>
      <c r="AB71" s="178">
        <f t="shared" si="43"/>
        <v>0.17425079074389835</v>
      </c>
      <c r="AC71" s="178">
        <f t="shared" si="43"/>
        <v>0.17294020570586702</v>
      </c>
    </row>
    <row r="72" spans="1:30" x14ac:dyDescent="0.25">
      <c r="A72" s="53" t="s">
        <v>26</v>
      </c>
      <c r="B72" s="54" t="s">
        <v>6</v>
      </c>
      <c r="C72" s="176">
        <f t="shared" si="42"/>
        <v>3.5446811768467597E-2</v>
      </c>
      <c r="D72" s="60">
        <f>+'5ta'!F58/1000</f>
        <v>3.363E-2</v>
      </c>
      <c r="E72" s="84">
        <f t="shared" si="44"/>
        <v>3.363E-2</v>
      </c>
      <c r="F72" s="60">
        <f>+'5ta'!G58/1000</f>
        <v>3.363E-2</v>
      </c>
      <c r="G72" s="84">
        <f t="shared" si="45"/>
        <v>3.363E-2</v>
      </c>
      <c r="H72" s="60">
        <f>+'5ta'!H58/1000</f>
        <v>3.363E-2</v>
      </c>
      <c r="I72" s="84">
        <f t="shared" si="46"/>
        <v>2.08425E-2</v>
      </c>
      <c r="J72" s="60">
        <f>+'5ta'!I58/1000</f>
        <v>8.0549999999999997E-3</v>
      </c>
      <c r="K72" s="84">
        <f t="shared" si="47"/>
        <v>1.16775E-2</v>
      </c>
      <c r="L72" s="60">
        <f>+'5ta'!J58/1000</f>
        <v>1.5300000000000001E-2</v>
      </c>
      <c r="M72" s="60">
        <f>+'5ta'!K58/1000</f>
        <v>2.2107199999999998</v>
      </c>
      <c r="N72" s="60">
        <f>+'5ta'!L58/1000</f>
        <v>2.2107199999999998</v>
      </c>
      <c r="O72" s="435">
        <f>+'5ta'!M58/1000</f>
        <v>7.8709999999999988E-2</v>
      </c>
      <c r="P72" s="449">
        <f>+'5ta'!N58/1000</f>
        <v>7.8709999999999988E-2</v>
      </c>
      <c r="Q72" s="437">
        <f t="shared" si="43"/>
        <v>7.3814638730458931E-2</v>
      </c>
      <c r="R72" s="178">
        <f t="shared" si="43"/>
        <v>7.3271892020971896E-2</v>
      </c>
      <c r="S72" s="178">
        <f t="shared" si="43"/>
        <v>7.2721407821914413E-2</v>
      </c>
      <c r="T72" s="178">
        <f t="shared" si="43"/>
        <v>7.2194138218339726E-2</v>
      </c>
      <c r="U72" s="178">
        <f t="shared" si="43"/>
        <v>7.1659131124669581E-2</v>
      </c>
      <c r="V72" s="178">
        <f t="shared" si="43"/>
        <v>7.1124124561976212E-2</v>
      </c>
      <c r="W72" s="178">
        <f t="shared" si="43"/>
        <v>7.0604594572656026E-2</v>
      </c>
      <c r="X72" s="178">
        <f t="shared" si="43"/>
        <v>7.0085065113789022E-2</v>
      </c>
      <c r="Y72" s="178">
        <f t="shared" si="43"/>
        <v>6.9565536185119015E-2</v>
      </c>
      <c r="Z72" s="178">
        <f t="shared" si="43"/>
        <v>6.9053745807711217E-2</v>
      </c>
      <c r="AA72" s="178">
        <f t="shared" si="43"/>
        <v>6.8541955959979611E-2</v>
      </c>
      <c r="AB72" s="178">
        <f t="shared" si="43"/>
        <v>6.8045642684323462E-2</v>
      </c>
      <c r="AC72" s="178">
        <f t="shared" si="43"/>
        <v>6.75338538951617E-2</v>
      </c>
    </row>
    <row r="73" spans="1:30" ht="15.75" thickBot="1" x14ac:dyDescent="0.3">
      <c r="A73" s="53" t="s">
        <v>27</v>
      </c>
      <c r="B73" s="54" t="s">
        <v>6</v>
      </c>
      <c r="C73" s="176">
        <f t="shared" si="42"/>
        <v>5.958090708891201E-3</v>
      </c>
      <c r="D73" s="60">
        <f>+'5ta'!F59/1000</f>
        <v>1.83E-3</v>
      </c>
      <c r="E73" s="84">
        <f t="shared" si="44"/>
        <v>1.83E-3</v>
      </c>
      <c r="F73" s="60">
        <f>+'5ta'!G59/1000</f>
        <v>1.83E-3</v>
      </c>
      <c r="G73" s="84">
        <f t="shared" si="45"/>
        <v>1.83E-3</v>
      </c>
      <c r="H73" s="60">
        <f>+'5ta'!H59/1000</f>
        <v>1.83E-3</v>
      </c>
      <c r="I73" s="84">
        <f t="shared" si="46"/>
        <v>2.5799999999999998E-3</v>
      </c>
      <c r="J73" s="60">
        <f>+'5ta'!I59/1000</f>
        <v>3.3300000000000001E-3</v>
      </c>
      <c r="K73" s="84">
        <f t="shared" si="47"/>
        <v>4.6575000000000002E-3</v>
      </c>
      <c r="L73" s="60">
        <f>+'5ta'!J59/1000</f>
        <v>5.9850000000000007E-3</v>
      </c>
      <c r="M73" s="60">
        <f>+'5ta'!K59/1000</f>
        <v>6.5300000000000002E-3</v>
      </c>
      <c r="N73" s="60">
        <f>+'5ta'!L59/1000</f>
        <v>6.5300000000000002E-3</v>
      </c>
      <c r="O73" s="435">
        <f>+'5ta'!M59/1000</f>
        <v>1.323E-2</v>
      </c>
      <c r="P73" s="450">
        <f>+'5ta'!N59/1000</f>
        <v>1.323E-2</v>
      </c>
      <c r="Q73" s="437">
        <f t="shared" si="43"/>
        <v>1.2407161356930147E-2</v>
      </c>
      <c r="R73" s="178">
        <f t="shared" si="43"/>
        <v>1.2315933571813728E-2</v>
      </c>
      <c r="S73" s="178">
        <f t="shared" si="43"/>
        <v>1.222340522784815E-2</v>
      </c>
      <c r="T73" s="178">
        <f t="shared" si="43"/>
        <v>1.2134778917909223E-2</v>
      </c>
      <c r="U73" s="178">
        <f t="shared" si="43"/>
        <v>1.2044852049032891E-2</v>
      </c>
      <c r="V73" s="178">
        <f t="shared" si="43"/>
        <v>1.195492526940599E-2</v>
      </c>
      <c r="W73" s="178">
        <f t="shared" si="43"/>
        <v>1.1867599875444538E-2</v>
      </c>
      <c r="X73" s="178">
        <f t="shared" si="43"/>
        <v>1.1780274570644506E-2</v>
      </c>
      <c r="Y73" s="178">
        <f t="shared" si="43"/>
        <v>1.1692949354962836E-2</v>
      </c>
      <c r="Z73" s="178">
        <f t="shared" si="43"/>
        <v>1.1606924876585182E-2</v>
      </c>
      <c r="AA73" s="178">
        <f t="shared" si="43"/>
        <v>1.1520900487238349E-2</v>
      </c>
      <c r="AB73" s="178">
        <f t="shared" si="43"/>
        <v>1.1437477483338834E-2</v>
      </c>
      <c r="AC73" s="178">
        <f t="shared" si="43"/>
        <v>1.1351453271922114E-2</v>
      </c>
    </row>
    <row r="74" spans="1:30" x14ac:dyDescent="0.25">
      <c r="A74" s="186" t="s">
        <v>28</v>
      </c>
      <c r="B74" s="180" t="s">
        <v>6</v>
      </c>
      <c r="C74" s="180"/>
      <c r="D74" s="60">
        <f>+'5ta'!F60/1000</f>
        <v>2.0579999999999998E-2</v>
      </c>
      <c r="E74" s="181">
        <f t="shared" si="44"/>
        <v>2.0579999999999998E-2</v>
      </c>
      <c r="F74" s="60">
        <f>+'5ta'!G60/1000</f>
        <v>2.0579999999999998E-2</v>
      </c>
      <c r="G74" s="181">
        <f t="shared" si="45"/>
        <v>2.0579999999999998E-2</v>
      </c>
      <c r="H74" s="60">
        <f>+'5ta'!H60/1000</f>
        <v>2.0579999999999998E-2</v>
      </c>
      <c r="I74" s="181">
        <f t="shared" si="46"/>
        <v>4.4920000000000002E-2</v>
      </c>
      <c r="J74" s="60">
        <f>+'5ta'!I60/1000</f>
        <v>6.9260000000000002E-2</v>
      </c>
      <c r="K74" s="181">
        <f t="shared" si="47"/>
        <v>0.12287500000000001</v>
      </c>
      <c r="L74" s="60">
        <f>+'5ta'!J60/1000</f>
        <v>0.17649000000000001</v>
      </c>
      <c r="M74" s="60">
        <f>+'5ta'!K60/1000</f>
        <v>5.3460000000000001E-2</v>
      </c>
      <c r="N74" s="60">
        <f>+'5ta'!L60/1000</f>
        <v>5.3460000000000001E-2</v>
      </c>
      <c r="O74" s="60">
        <f>+'5ta'!M60/1000</f>
        <v>1.098E-2</v>
      </c>
      <c r="P74" s="440">
        <f>+'5ta'!N60/1000</f>
        <v>1.098E-2</v>
      </c>
      <c r="Q74" s="181">
        <f t="shared" ref="Q74:AC74" si="48">+P74</f>
        <v>1.098E-2</v>
      </c>
      <c r="R74" s="181">
        <f t="shared" si="48"/>
        <v>1.098E-2</v>
      </c>
      <c r="S74" s="181">
        <f t="shared" si="48"/>
        <v>1.098E-2</v>
      </c>
      <c r="T74" s="181">
        <f t="shared" si="48"/>
        <v>1.098E-2</v>
      </c>
      <c r="U74" s="181">
        <f t="shared" si="48"/>
        <v>1.098E-2</v>
      </c>
      <c r="V74" s="181">
        <f t="shared" si="48"/>
        <v>1.098E-2</v>
      </c>
      <c r="W74" s="181">
        <f t="shared" si="48"/>
        <v>1.098E-2</v>
      </c>
      <c r="X74" s="181">
        <f t="shared" si="48"/>
        <v>1.098E-2</v>
      </c>
      <c r="Y74" s="181">
        <f t="shared" si="48"/>
        <v>1.098E-2</v>
      </c>
      <c r="Z74" s="181">
        <f t="shared" si="48"/>
        <v>1.098E-2</v>
      </c>
      <c r="AA74" s="181">
        <f t="shared" si="48"/>
        <v>1.098E-2</v>
      </c>
      <c r="AB74" s="181">
        <f t="shared" si="48"/>
        <v>1.098E-2</v>
      </c>
      <c r="AC74" s="181">
        <f t="shared" si="48"/>
        <v>1.098E-2</v>
      </c>
    </row>
    <row r="75" spans="1:30" x14ac:dyDescent="0.25">
      <c r="A75" s="182" t="s">
        <v>19</v>
      </c>
      <c r="B75" s="183" t="s">
        <v>6</v>
      </c>
      <c r="C75" s="183"/>
      <c r="D75" s="60">
        <f>+'5ta'!F61/1000</f>
        <v>9.6924200000000003</v>
      </c>
      <c r="E75" s="190">
        <f t="shared" si="44"/>
        <v>9.6924200000000003</v>
      </c>
      <c r="F75" s="60">
        <f>+'5ta'!G61/1000</f>
        <v>9.6924200000000003</v>
      </c>
      <c r="G75" s="190">
        <f t="shared" si="45"/>
        <v>9.6924200000000003</v>
      </c>
      <c r="H75" s="60">
        <f>+'5ta'!H61/1000</f>
        <v>9.6924200000000003</v>
      </c>
      <c r="I75" s="190">
        <f t="shared" si="46"/>
        <v>6.006265</v>
      </c>
      <c r="J75" s="60">
        <f>+'5ta'!I61/1000</f>
        <v>2.3201100000000001</v>
      </c>
      <c r="K75" s="190">
        <f t="shared" si="47"/>
        <v>8.2695550000000004</v>
      </c>
      <c r="L75" s="60">
        <f>+'5ta'!J61/1000</f>
        <v>14.218999999999999</v>
      </c>
      <c r="M75" s="60">
        <f>+'5ta'!K61/1000</f>
        <v>3.1740300000000001</v>
      </c>
      <c r="N75" s="60">
        <f>+'5ta'!L61/1000</f>
        <v>3.1740300000000001</v>
      </c>
      <c r="O75" s="60">
        <f>+'5ta'!M61/1000</f>
        <v>11.9975</v>
      </c>
      <c r="P75" s="60">
        <f>+'5ta'!N61/1000</f>
        <v>11.9975</v>
      </c>
      <c r="Q75" s="185">
        <f t="shared" ref="Q75:AC75" si="49">+P75</f>
        <v>11.9975</v>
      </c>
      <c r="R75" s="185">
        <f t="shared" si="49"/>
        <v>11.9975</v>
      </c>
      <c r="S75" s="185">
        <f t="shared" si="49"/>
        <v>11.9975</v>
      </c>
      <c r="T75" s="185">
        <f t="shared" si="49"/>
        <v>11.9975</v>
      </c>
      <c r="U75" s="185">
        <f t="shared" si="49"/>
        <v>11.9975</v>
      </c>
      <c r="V75" s="185">
        <f t="shared" si="49"/>
        <v>11.9975</v>
      </c>
      <c r="W75" s="185">
        <f t="shared" si="49"/>
        <v>11.9975</v>
      </c>
      <c r="X75" s="185">
        <f t="shared" si="49"/>
        <v>11.9975</v>
      </c>
      <c r="Y75" s="185">
        <f t="shared" si="49"/>
        <v>11.9975</v>
      </c>
      <c r="Z75" s="185">
        <f t="shared" si="49"/>
        <v>11.9975</v>
      </c>
      <c r="AA75" s="185">
        <f t="shared" si="49"/>
        <v>11.9975</v>
      </c>
      <c r="AB75" s="185">
        <f t="shared" si="49"/>
        <v>11.9975</v>
      </c>
      <c r="AC75" s="185">
        <f t="shared" si="49"/>
        <v>11.9975</v>
      </c>
    </row>
    <row r="76" spans="1:30" x14ac:dyDescent="0.25">
      <c r="A76" s="182" t="s">
        <v>4</v>
      </c>
      <c r="B76" s="183" t="s">
        <v>6</v>
      </c>
      <c r="C76" s="183"/>
      <c r="D76" s="60">
        <f>+'5ta'!F62/1000</f>
        <v>0.61460999999999999</v>
      </c>
      <c r="E76" s="191">
        <f t="shared" si="44"/>
        <v>0.61460999999999999</v>
      </c>
      <c r="F76" s="60">
        <f>+'5ta'!G62/1000</f>
        <v>0.61460999999999999</v>
      </c>
      <c r="G76" s="191">
        <f t="shared" si="45"/>
        <v>0.61460999999999999</v>
      </c>
      <c r="H76" s="60">
        <f>+'5ta'!H62/1000</f>
        <v>0.61460999999999999</v>
      </c>
      <c r="I76" s="191">
        <f t="shared" si="46"/>
        <v>0.48188500000000001</v>
      </c>
      <c r="J76" s="60">
        <f>+'5ta'!I62/1000</f>
        <v>0.34916000000000003</v>
      </c>
      <c r="K76" s="191">
        <f t="shared" si="47"/>
        <v>0.31482500000000002</v>
      </c>
      <c r="L76" s="60">
        <f>+'5ta'!J62/1000</f>
        <v>0.28049000000000002</v>
      </c>
      <c r="M76" s="60">
        <f>+'5ta'!K62/1000</f>
        <v>0.23099</v>
      </c>
      <c r="N76" s="60">
        <f>+'5ta'!L62/1000</f>
        <v>0.23099</v>
      </c>
      <c r="O76" s="60">
        <f>+'5ta'!M62/1000</f>
        <v>1.93581</v>
      </c>
      <c r="P76" s="60">
        <f>+'5ta'!N62/1000</f>
        <v>1.93581</v>
      </c>
      <c r="Q76" s="184">
        <f t="shared" ref="Q76:AC76" si="50">+P76</f>
        <v>1.93581</v>
      </c>
      <c r="R76" s="184">
        <f t="shared" si="50"/>
        <v>1.93581</v>
      </c>
      <c r="S76" s="184">
        <f t="shared" si="50"/>
        <v>1.93581</v>
      </c>
      <c r="T76" s="184">
        <f t="shared" si="50"/>
        <v>1.93581</v>
      </c>
      <c r="U76" s="184">
        <f t="shared" si="50"/>
        <v>1.93581</v>
      </c>
      <c r="V76" s="184">
        <f t="shared" si="50"/>
        <v>1.93581</v>
      </c>
      <c r="W76" s="184">
        <f t="shared" si="50"/>
        <v>1.93581</v>
      </c>
      <c r="X76" s="184">
        <f t="shared" si="50"/>
        <v>1.93581</v>
      </c>
      <c r="Y76" s="184">
        <f t="shared" si="50"/>
        <v>1.93581</v>
      </c>
      <c r="Z76" s="184">
        <f t="shared" si="50"/>
        <v>1.93581</v>
      </c>
      <c r="AA76" s="184">
        <f t="shared" si="50"/>
        <v>1.93581</v>
      </c>
      <c r="AB76" s="184">
        <f t="shared" si="50"/>
        <v>1.93581</v>
      </c>
      <c r="AC76" s="184">
        <f t="shared" si="50"/>
        <v>1.93581</v>
      </c>
    </row>
    <row r="77" spans="1:30" x14ac:dyDescent="0.25">
      <c r="A77" s="182" t="s">
        <v>5</v>
      </c>
      <c r="B77" s="183" t="s">
        <v>6</v>
      </c>
      <c r="C77" s="183"/>
      <c r="D77" s="60">
        <f>+'5ta'!F63/1000</f>
        <v>0.27576000000000001</v>
      </c>
      <c r="E77" s="191">
        <f t="shared" si="44"/>
        <v>0.27576000000000001</v>
      </c>
      <c r="F77" s="60">
        <f>+'5ta'!G63/1000</f>
        <v>0.27576000000000001</v>
      </c>
      <c r="G77" s="191">
        <f t="shared" si="45"/>
        <v>0.27576000000000001</v>
      </c>
      <c r="H77" s="60">
        <f>+'5ta'!H63/1000</f>
        <v>0.27576000000000001</v>
      </c>
      <c r="I77" s="191">
        <f t="shared" si="46"/>
        <v>0.26145000000000002</v>
      </c>
      <c r="J77" s="60">
        <f>+'5ta'!I63/1000</f>
        <v>0.24714</v>
      </c>
      <c r="K77" s="191">
        <f t="shared" si="47"/>
        <v>0.34535500000000002</v>
      </c>
      <c r="L77" s="60">
        <f>+'5ta'!J63/1000</f>
        <v>0.44357000000000002</v>
      </c>
      <c r="M77" s="60">
        <f>+'5ta'!K63/1000</f>
        <v>95.151110000000003</v>
      </c>
      <c r="N77" s="60">
        <f>+'5ta'!L63/1000</f>
        <v>95.151110000000003</v>
      </c>
      <c r="O77" s="60">
        <f>+'5ta'!M63/1000</f>
        <v>0.49406</v>
      </c>
      <c r="P77" s="60">
        <f>+'5ta'!N63/1000</f>
        <v>0.49406</v>
      </c>
      <c r="Q77" s="184">
        <f t="shared" ref="Q77:AC77" si="51">+P77</f>
        <v>0.49406</v>
      </c>
      <c r="R77" s="184">
        <f t="shared" si="51"/>
        <v>0.49406</v>
      </c>
      <c r="S77" s="184">
        <f t="shared" si="51"/>
        <v>0.49406</v>
      </c>
      <c r="T77" s="184">
        <f t="shared" si="51"/>
        <v>0.49406</v>
      </c>
      <c r="U77" s="184">
        <f t="shared" si="51"/>
        <v>0.49406</v>
      </c>
      <c r="V77" s="184">
        <f t="shared" si="51"/>
        <v>0.49406</v>
      </c>
      <c r="W77" s="184">
        <f t="shared" si="51"/>
        <v>0.49406</v>
      </c>
      <c r="X77" s="184">
        <f t="shared" si="51"/>
        <v>0.49406</v>
      </c>
      <c r="Y77" s="184">
        <f t="shared" si="51"/>
        <v>0.49406</v>
      </c>
      <c r="Z77" s="184">
        <f t="shared" si="51"/>
        <v>0.49406</v>
      </c>
      <c r="AA77" s="184">
        <f t="shared" si="51"/>
        <v>0.49406</v>
      </c>
      <c r="AB77" s="184">
        <f t="shared" si="51"/>
        <v>0.49406</v>
      </c>
      <c r="AC77" s="184">
        <f t="shared" si="51"/>
        <v>0.49406</v>
      </c>
      <c r="AD77" s="381">
        <f>+AC75/1000</f>
        <v>1.1997500000000001E-2</v>
      </c>
    </row>
    <row r="78" spans="1:30" x14ac:dyDescent="0.25">
      <c r="A78" s="182" t="s">
        <v>29</v>
      </c>
      <c r="B78" s="183" t="s">
        <v>6</v>
      </c>
      <c r="C78" s="183"/>
      <c r="D78" s="60">
        <f>+'5ta'!F64/1000</f>
        <v>0.223995</v>
      </c>
      <c r="E78" s="191">
        <f t="shared" si="44"/>
        <v>0.223995</v>
      </c>
      <c r="F78" s="60">
        <f>+'5ta'!G64/1000</f>
        <v>0.223995</v>
      </c>
      <c r="G78" s="191">
        <f t="shared" si="45"/>
        <v>0.223995</v>
      </c>
      <c r="H78" s="60">
        <f>+'5ta'!H64/1000</f>
        <v>0.223995</v>
      </c>
      <c r="I78" s="191">
        <f t="shared" si="46"/>
        <v>0.17442750000000001</v>
      </c>
      <c r="J78" s="60">
        <f>+'5ta'!I64/1000</f>
        <v>0.12486</v>
      </c>
      <c r="K78" s="191">
        <f t="shared" si="47"/>
        <v>0.43691999999999998</v>
      </c>
      <c r="L78" s="60">
        <f>+'5ta'!J64/1000</f>
        <v>0.74897999999999998</v>
      </c>
      <c r="M78" s="60">
        <f>+'5ta'!K64/1000</f>
        <v>0.87112000000000001</v>
      </c>
      <c r="N78" s="60">
        <f>+'5ta'!L64/1000</f>
        <v>0.87112000000000001</v>
      </c>
      <c r="O78" s="60">
        <f>+'5ta'!M64/1000</f>
        <v>2.8327499999999999</v>
      </c>
      <c r="P78" s="60">
        <f>+'5ta'!N64/1000</f>
        <v>2.8327499999999999</v>
      </c>
      <c r="Q78" s="184">
        <f t="shared" ref="Q78:AC78" si="52">+P78</f>
        <v>2.8327499999999999</v>
      </c>
      <c r="R78" s="184">
        <f t="shared" si="52"/>
        <v>2.8327499999999999</v>
      </c>
      <c r="S78" s="184">
        <f t="shared" si="52"/>
        <v>2.8327499999999999</v>
      </c>
      <c r="T78" s="184">
        <f t="shared" si="52"/>
        <v>2.8327499999999999</v>
      </c>
      <c r="U78" s="184">
        <f t="shared" si="52"/>
        <v>2.8327499999999999</v>
      </c>
      <c r="V78" s="184">
        <f t="shared" si="52"/>
        <v>2.8327499999999999</v>
      </c>
      <c r="W78" s="184">
        <f t="shared" si="52"/>
        <v>2.8327499999999999</v>
      </c>
      <c r="X78" s="184">
        <f t="shared" si="52"/>
        <v>2.8327499999999999</v>
      </c>
      <c r="Y78" s="184">
        <f t="shared" si="52"/>
        <v>2.8327499999999999</v>
      </c>
      <c r="Z78" s="184">
        <f t="shared" si="52"/>
        <v>2.8327499999999999</v>
      </c>
      <c r="AA78" s="184">
        <f t="shared" si="52"/>
        <v>2.8327499999999999</v>
      </c>
      <c r="AB78" s="184">
        <f t="shared" si="52"/>
        <v>2.8327499999999999</v>
      </c>
      <c r="AC78" s="184">
        <f t="shared" si="52"/>
        <v>2.8327499999999999</v>
      </c>
    </row>
    <row r="79" spans="1:30" ht="15.75" thickBot="1" x14ac:dyDescent="0.3">
      <c r="A79" s="187"/>
      <c r="B79" s="188"/>
      <c r="C79" s="174">
        <f>+SUM(P$80:P$88)/(SUM(P$22:P$30)+SUM(P$37:P$45)+SUM(P$51:P$59)+SUM(P$65:P$73)+SUM(P$80:P$88))</f>
        <v>3.1956818872002747E-3</v>
      </c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</row>
    <row r="80" spans="1:30" x14ac:dyDescent="0.25">
      <c r="A80" s="86" t="s">
        <v>18</v>
      </c>
      <c r="B80" s="87" t="s">
        <v>29</v>
      </c>
      <c r="C80" s="176">
        <f t="shared" ref="C80:C88" si="53">+P80/SUM(P$80:P$88)</f>
        <v>2.2149756967944378E-3</v>
      </c>
      <c r="D80" s="60">
        <f>+'5ta'!F67/1000</f>
        <v>4.1999999999999996E-4</v>
      </c>
      <c r="E80" s="90">
        <f t="shared" ref="E80:E93" si="54">+(D80+F80)/2</f>
        <v>4.1999999999999996E-4</v>
      </c>
      <c r="F80" s="89">
        <f>+'5ta'!G67/1000</f>
        <v>4.1999999999999996E-4</v>
      </c>
      <c r="G80" s="90">
        <f t="shared" ref="G80:G93" si="55">+(F80+H80)/2</f>
        <v>4.1999999999999996E-4</v>
      </c>
      <c r="H80" s="89">
        <f>+'5ta'!H67/1000</f>
        <v>4.1999999999999996E-4</v>
      </c>
      <c r="I80" s="90">
        <f t="shared" ref="I80:I93" si="56">+(H80+J80)/2</f>
        <v>1.8772499999999998E-2</v>
      </c>
      <c r="J80" s="89">
        <f>+'5ta'!I67/1000</f>
        <v>3.7124999999999998E-2</v>
      </c>
      <c r="K80" s="90">
        <f t="shared" ref="K80:K93" si="57">+(J80+L80)/2</f>
        <v>2.8372500000000002E-2</v>
      </c>
      <c r="L80" s="89">
        <f>+'5ta'!J67/1000</f>
        <v>1.9620000000000002E-2</v>
      </c>
      <c r="M80" s="89">
        <f>+'5ta'!K67/1000</f>
        <v>8.369999999999999E-3</v>
      </c>
      <c r="N80" s="89">
        <f>+'5ta'!L67/1000</f>
        <v>8.369999999999999E-3</v>
      </c>
      <c r="O80" s="436">
        <f>+'5ta'!M67/1000</f>
        <v>7.1999999999999994E-4</v>
      </c>
      <c r="P80" s="451">
        <f>+'5ta'!N67/1000</f>
        <v>7.1999999999999994E-4</v>
      </c>
      <c r="Q80" s="437">
        <f t="shared" ref="Q80:AC88" si="58">+Q$21*$C$79*$C80</f>
        <v>6.7521966568327317E-4</v>
      </c>
      <c r="R80" s="178">
        <f t="shared" si="58"/>
        <v>6.7025488826197137E-4</v>
      </c>
      <c r="S80" s="178">
        <f t="shared" si="58"/>
        <v>6.6521933212779043E-4</v>
      </c>
      <c r="T80" s="178">
        <f t="shared" si="58"/>
        <v>6.6039613158689638E-4</v>
      </c>
      <c r="U80" s="178">
        <f t="shared" si="58"/>
        <v>6.5550215232832039E-4</v>
      </c>
      <c r="V80" s="178">
        <f t="shared" si="58"/>
        <v>6.5060817792685641E-4</v>
      </c>
      <c r="W80" s="178">
        <f t="shared" si="58"/>
        <v>6.4585577553439655E-4</v>
      </c>
      <c r="X80" s="178">
        <f t="shared" si="58"/>
        <v>6.4110337799425869E-4</v>
      </c>
      <c r="Y80" s="178">
        <f t="shared" si="58"/>
        <v>6.3635098530409986E-4</v>
      </c>
      <c r="Z80" s="178">
        <f t="shared" si="58"/>
        <v>6.3166938103864916E-4</v>
      </c>
      <c r="AA80" s="178">
        <f t="shared" si="58"/>
        <v>6.2698778161841351E-4</v>
      </c>
      <c r="AB80" s="178">
        <f t="shared" si="58"/>
        <v>6.2244775419531074E-4</v>
      </c>
      <c r="AC80" s="178">
        <f t="shared" si="58"/>
        <v>6.1776616445834631E-4</v>
      </c>
    </row>
    <row r="81" spans="1:29" x14ac:dyDescent="0.25">
      <c r="A81" s="86" t="s">
        <v>20</v>
      </c>
      <c r="B81" s="87" t="s">
        <v>29</v>
      </c>
      <c r="C81" s="176">
        <f t="shared" si="53"/>
        <v>4.0977050390697101E-2</v>
      </c>
      <c r="D81" s="60">
        <f>+'5ta'!F68/1000</f>
        <v>0.49768499999999993</v>
      </c>
      <c r="E81" s="90">
        <f t="shared" si="54"/>
        <v>0.49768499999999993</v>
      </c>
      <c r="F81" s="89">
        <f>+'5ta'!G68/1000</f>
        <v>0.49768499999999993</v>
      </c>
      <c r="G81" s="90">
        <f t="shared" si="55"/>
        <v>0.49768499999999993</v>
      </c>
      <c r="H81" s="89">
        <f>+'5ta'!H68/1000</f>
        <v>0.49768499999999993</v>
      </c>
      <c r="I81" s="90">
        <f t="shared" si="56"/>
        <v>0.48675749999999995</v>
      </c>
      <c r="J81" s="89">
        <f>+'5ta'!I68/1000</f>
        <v>0.47582999999999998</v>
      </c>
      <c r="K81" s="90">
        <f t="shared" si="57"/>
        <v>0.29945250000000001</v>
      </c>
      <c r="L81" s="89">
        <f>+'5ta'!J68/1000</f>
        <v>0.123075</v>
      </c>
      <c r="M81" s="89">
        <f>+'5ta'!K68/1000</f>
        <v>8.7349999999999997E-2</v>
      </c>
      <c r="N81" s="89">
        <f>+'5ta'!L68/1000</f>
        <v>8.7349999999999997E-2</v>
      </c>
      <c r="O81" s="436">
        <f>+'5ta'!M68/1000</f>
        <v>1.332E-2</v>
      </c>
      <c r="P81" s="452">
        <f>+'5ta'!N68/1000</f>
        <v>1.332E-2</v>
      </c>
      <c r="Q81" s="437">
        <f t="shared" si="58"/>
        <v>1.2491563815140553E-2</v>
      </c>
      <c r="R81" s="178">
        <f t="shared" si="58"/>
        <v>1.2399715432846471E-2</v>
      </c>
      <c r="S81" s="178">
        <f t="shared" si="58"/>
        <v>1.2306557644364124E-2</v>
      </c>
      <c r="T81" s="178">
        <f t="shared" si="58"/>
        <v>1.2217328434357582E-2</v>
      </c>
      <c r="U81" s="178">
        <f t="shared" si="58"/>
        <v>1.2126789818073929E-2</v>
      </c>
      <c r="V81" s="178">
        <f t="shared" si="58"/>
        <v>1.2036251291646845E-2</v>
      </c>
      <c r="W81" s="178">
        <f t="shared" si="58"/>
        <v>1.1948331847386336E-2</v>
      </c>
      <c r="X81" s="178">
        <f t="shared" si="58"/>
        <v>1.1860412492893787E-2</v>
      </c>
      <c r="Y81" s="178">
        <f t="shared" si="58"/>
        <v>1.1772493228125847E-2</v>
      </c>
      <c r="Z81" s="178">
        <f t="shared" si="58"/>
        <v>1.168588354921501E-2</v>
      </c>
      <c r="AA81" s="178">
        <f t="shared" si="58"/>
        <v>1.159927395994065E-2</v>
      </c>
      <c r="AB81" s="178">
        <f t="shared" si="58"/>
        <v>1.1515283452613248E-2</v>
      </c>
      <c r="AC81" s="178">
        <f t="shared" si="58"/>
        <v>1.1428674042479407E-2</v>
      </c>
    </row>
    <row r="82" spans="1:29" x14ac:dyDescent="0.25">
      <c r="A82" s="86" t="s">
        <v>21</v>
      </c>
      <c r="B82" s="87" t="s">
        <v>29</v>
      </c>
      <c r="C82" s="176">
        <f t="shared" si="53"/>
        <v>0.11782440164892632</v>
      </c>
      <c r="D82" s="60">
        <f>+'5ta'!F69/1000</f>
        <v>5.2049999999999992E-2</v>
      </c>
      <c r="E82" s="90">
        <f t="shared" si="54"/>
        <v>5.2049999999999992E-2</v>
      </c>
      <c r="F82" s="89">
        <f>+'5ta'!G69/1000</f>
        <v>5.2049999999999992E-2</v>
      </c>
      <c r="G82" s="90">
        <f t="shared" si="55"/>
        <v>5.2049999999999992E-2</v>
      </c>
      <c r="H82" s="89">
        <f>+'5ta'!H69/1000</f>
        <v>5.2049999999999992E-2</v>
      </c>
      <c r="I82" s="90">
        <f t="shared" si="56"/>
        <v>0.24483749999999999</v>
      </c>
      <c r="J82" s="89">
        <f>+'5ta'!I69/1000</f>
        <v>0.43762499999999999</v>
      </c>
      <c r="K82" s="90">
        <f t="shared" si="57"/>
        <v>0.33203250000000001</v>
      </c>
      <c r="L82" s="89">
        <f>+'5ta'!J69/1000</f>
        <v>0.22644</v>
      </c>
      <c r="M82" s="89">
        <f>+'5ta'!K69/1000</f>
        <v>0.22040999999999999</v>
      </c>
      <c r="N82" s="89">
        <f>+'5ta'!L69/1000</f>
        <v>0.22040999999999999</v>
      </c>
      <c r="O82" s="436">
        <f>+'5ta'!M69/1000</f>
        <v>3.8299999999999994E-2</v>
      </c>
      <c r="P82" s="452">
        <f>+'5ta'!N69/1000</f>
        <v>3.8299999999999994E-2</v>
      </c>
      <c r="Q82" s="437">
        <f t="shared" si="58"/>
        <v>3.5917934993985219E-2</v>
      </c>
      <c r="R82" s="178">
        <f t="shared" si="58"/>
        <v>3.5653836417268749E-2</v>
      </c>
      <c r="S82" s="178">
        <f t="shared" si="58"/>
        <v>3.5385972806242179E-2</v>
      </c>
      <c r="T82" s="178">
        <f t="shared" si="58"/>
        <v>3.5129405333025172E-2</v>
      </c>
      <c r="U82" s="178">
        <f t="shared" si="58"/>
        <v>3.4869072825242597E-2</v>
      </c>
      <c r="V82" s="178">
        <f t="shared" si="58"/>
        <v>3.4608740575831388E-2</v>
      </c>
      <c r="W82" s="178">
        <f t="shared" si="58"/>
        <v>3.4355939170788032E-2</v>
      </c>
      <c r="X82" s="178">
        <f t="shared" si="58"/>
        <v>3.4103138023861258E-2</v>
      </c>
      <c r="Y82" s="178">
        <f t="shared" si="58"/>
        <v>3.3850337134926418E-2</v>
      </c>
      <c r="Z82" s="178">
        <f t="shared" si="58"/>
        <v>3.3601301796917026E-2</v>
      </c>
      <c r="AA82" s="178">
        <f t="shared" si="58"/>
        <v>3.3352266716646158E-2</v>
      </c>
      <c r="AB82" s="178">
        <f t="shared" si="58"/>
        <v>3.3110762480111661E-2</v>
      </c>
      <c r="AC82" s="178">
        <f t="shared" si="58"/>
        <v>3.2861727914937022E-2</v>
      </c>
    </row>
    <row r="83" spans="1:29" x14ac:dyDescent="0.25">
      <c r="A83" s="86" t="s">
        <v>22</v>
      </c>
      <c r="B83" s="87" t="s">
        <v>29</v>
      </c>
      <c r="C83" s="176">
        <f t="shared" si="53"/>
        <v>0.19091859964314281</v>
      </c>
      <c r="D83" s="60">
        <f>+'5ta'!F70/1000</f>
        <v>2.2185000000000003E-2</v>
      </c>
      <c r="E83" s="90">
        <f t="shared" si="54"/>
        <v>2.2185000000000003E-2</v>
      </c>
      <c r="F83" s="89">
        <f>+'5ta'!G70/1000</f>
        <v>2.2185000000000003E-2</v>
      </c>
      <c r="G83" s="90">
        <f t="shared" si="55"/>
        <v>2.2185000000000003E-2</v>
      </c>
      <c r="H83" s="89">
        <f>+'5ta'!H70/1000</f>
        <v>2.2185000000000003E-2</v>
      </c>
      <c r="I83" s="90">
        <f t="shared" si="56"/>
        <v>6.3247499999999998E-2</v>
      </c>
      <c r="J83" s="89">
        <f>+'5ta'!I70/1000</f>
        <v>0.10431</v>
      </c>
      <c r="K83" s="90">
        <f t="shared" si="57"/>
        <v>0.125865</v>
      </c>
      <c r="L83" s="89">
        <f>+'5ta'!J70/1000</f>
        <v>0.14742</v>
      </c>
      <c r="M83" s="89">
        <f>+'5ta'!K70/1000</f>
        <v>4.9950000000000001E-2</v>
      </c>
      <c r="N83" s="89">
        <f>+'5ta'!L70/1000</f>
        <v>4.9950000000000001E-2</v>
      </c>
      <c r="O83" s="436">
        <f>+'5ta'!M70/1000</f>
        <v>6.2060000000000004E-2</v>
      </c>
      <c r="P83" s="452">
        <f>+'5ta'!N70/1000</f>
        <v>6.2060000000000004E-2</v>
      </c>
      <c r="Q83" s="437">
        <f t="shared" si="58"/>
        <v>5.8200183961533244E-2</v>
      </c>
      <c r="R83" s="178">
        <f t="shared" si="58"/>
        <v>5.7772247729913816E-2</v>
      </c>
      <c r="S83" s="178">
        <f t="shared" si="58"/>
        <v>5.7338210766459272E-2</v>
      </c>
      <c r="T83" s="178">
        <f t="shared" si="58"/>
        <v>5.6922477675392769E-2</v>
      </c>
      <c r="U83" s="178">
        <f t="shared" si="58"/>
        <v>5.6500643852077183E-2</v>
      </c>
      <c r="V83" s="178">
        <f t="shared" si="58"/>
        <v>5.6078810447417658E-2</v>
      </c>
      <c r="W83" s="178">
        <f t="shared" si="58"/>
        <v>5.5669179763423129E-2</v>
      </c>
      <c r="X83" s="178">
        <f t="shared" si="58"/>
        <v>5.5259549497671805E-2</v>
      </c>
      <c r="Y83" s="178">
        <f t="shared" si="58"/>
        <v>5.484991964996172E-2</v>
      </c>
      <c r="Z83" s="178">
        <f t="shared" si="58"/>
        <v>5.4446391371192462E-2</v>
      </c>
      <c r="AA83" s="178">
        <f t="shared" si="58"/>
        <v>5.4042863510053815E-2</v>
      </c>
      <c r="AB83" s="178">
        <f t="shared" si="58"/>
        <v>5.3651538368556927E-2</v>
      </c>
      <c r="AC83" s="178">
        <f t="shared" si="58"/>
        <v>5.324801134206246E-2</v>
      </c>
    </row>
    <row r="84" spans="1:29" x14ac:dyDescent="0.25">
      <c r="A84" s="86" t="s">
        <v>23</v>
      </c>
      <c r="B84" s="87" t="s">
        <v>29</v>
      </c>
      <c r="C84" s="176">
        <f t="shared" si="53"/>
        <v>2.258044668676552E-2</v>
      </c>
      <c r="D84" s="60">
        <f>+'5ta'!F71/1000</f>
        <v>7.6410000000000006E-2</v>
      </c>
      <c r="E84" s="90">
        <f t="shared" si="54"/>
        <v>7.6410000000000006E-2</v>
      </c>
      <c r="F84" s="89">
        <f>+'5ta'!G71/1000</f>
        <v>7.6410000000000006E-2</v>
      </c>
      <c r="G84" s="90">
        <f t="shared" si="55"/>
        <v>7.6410000000000006E-2</v>
      </c>
      <c r="H84" s="89">
        <f>+'5ta'!H71/1000</f>
        <v>7.6410000000000006E-2</v>
      </c>
      <c r="I84" s="90">
        <f t="shared" si="56"/>
        <v>0.14791500000000002</v>
      </c>
      <c r="J84" s="89">
        <f>+'5ta'!I71/1000</f>
        <v>0.21942</v>
      </c>
      <c r="K84" s="90">
        <f t="shared" si="57"/>
        <v>0.17732249999999999</v>
      </c>
      <c r="L84" s="89">
        <f>+'5ta'!J71/1000</f>
        <v>0.13522499999999998</v>
      </c>
      <c r="M84" s="89">
        <f>+'5ta'!K71/1000</f>
        <v>0.10215</v>
      </c>
      <c r="N84" s="89">
        <f>+'5ta'!L71/1000</f>
        <v>0.10215</v>
      </c>
      <c r="O84" s="436">
        <f>+'5ta'!M71/1000</f>
        <v>7.3400000000000002E-3</v>
      </c>
      <c r="P84" s="452">
        <f>+'5ta'!N71/1000</f>
        <v>7.3400000000000002E-3</v>
      </c>
      <c r="Q84" s="437">
        <f t="shared" si="58"/>
        <v>6.8834893696044794E-3</v>
      </c>
      <c r="R84" s="178">
        <f t="shared" si="58"/>
        <v>6.8328762220039863E-3</v>
      </c>
      <c r="S84" s="178">
        <f t="shared" si="58"/>
        <v>6.7815415247471974E-3</v>
      </c>
      <c r="T84" s="178">
        <f t="shared" si="58"/>
        <v>6.7323716747886382E-3</v>
      </c>
      <c r="U84" s="178">
        <f t="shared" si="58"/>
        <v>6.6824802751248224E-3</v>
      </c>
      <c r="V84" s="178">
        <f t="shared" si="58"/>
        <v>6.632588924976565E-3</v>
      </c>
      <c r="W84" s="178">
        <f t="shared" si="58"/>
        <v>6.5841408228089872E-3</v>
      </c>
      <c r="X84" s="178">
        <f t="shared" si="58"/>
        <v>6.5356927701081379E-3</v>
      </c>
      <c r="Y84" s="178">
        <f t="shared" si="58"/>
        <v>6.4872447668501291E-3</v>
      </c>
      <c r="Z84" s="178">
        <f t="shared" si="58"/>
        <v>6.439518412255118E-3</v>
      </c>
      <c r="AA84" s="178">
        <f t="shared" si="58"/>
        <v>6.391792107054383E-3</v>
      </c>
      <c r="AB84" s="178">
        <f t="shared" si="58"/>
        <v>6.3455090497133064E-3</v>
      </c>
      <c r="AC84" s="178">
        <f t="shared" si="58"/>
        <v>6.2977828432281419E-3</v>
      </c>
    </row>
    <row r="85" spans="1:29" ht="22.5" x14ac:dyDescent="0.25">
      <c r="A85" s="86" t="s">
        <v>24</v>
      </c>
      <c r="B85" s="87" t="s">
        <v>29</v>
      </c>
      <c r="C85" s="176">
        <f t="shared" si="53"/>
        <v>0.52411862425398381</v>
      </c>
      <c r="D85" s="60">
        <f>+'5ta'!F72/1000</f>
        <v>6.4304999999999987E-2</v>
      </c>
      <c r="E85" s="90">
        <f t="shared" si="54"/>
        <v>6.4304999999999987E-2</v>
      </c>
      <c r="F85" s="89">
        <f>+'5ta'!G72/1000</f>
        <v>6.4304999999999987E-2</v>
      </c>
      <c r="G85" s="90">
        <f t="shared" si="55"/>
        <v>6.4304999999999987E-2</v>
      </c>
      <c r="H85" s="89">
        <f>+'5ta'!H72/1000</f>
        <v>6.4304999999999987E-2</v>
      </c>
      <c r="I85" s="90">
        <f t="shared" si="56"/>
        <v>0.28527749999999996</v>
      </c>
      <c r="J85" s="89">
        <f>+'5ta'!I72/1000</f>
        <v>0.50624999999999998</v>
      </c>
      <c r="K85" s="90">
        <f t="shared" si="57"/>
        <v>0.58918499999999996</v>
      </c>
      <c r="L85" s="89">
        <f>+'5ta'!J72/1000</f>
        <v>0.67211999999999994</v>
      </c>
      <c r="M85" s="89">
        <f>+'5ta'!K72/1000</f>
        <v>0.58298000000000005</v>
      </c>
      <c r="N85" s="89">
        <f>+'5ta'!L72/1000</f>
        <v>0.58298000000000005</v>
      </c>
      <c r="O85" s="436">
        <f>+'5ta'!M72/1000</f>
        <v>0.17036999999999999</v>
      </c>
      <c r="P85" s="452">
        <f>+'5ta'!N72/1000</f>
        <v>0.17036999999999999</v>
      </c>
      <c r="Q85" s="437">
        <f t="shared" si="58"/>
        <v>0.15977385339230449</v>
      </c>
      <c r="R85" s="178">
        <f t="shared" si="58"/>
        <v>0.15859906293498896</v>
      </c>
      <c r="S85" s="178">
        <f t="shared" si="58"/>
        <v>0.15740752446473841</v>
      </c>
      <c r="T85" s="178">
        <f t="shared" si="58"/>
        <v>0.15626623463674935</v>
      </c>
      <c r="U85" s="178">
        <f t="shared" si="58"/>
        <v>0.15510819679468882</v>
      </c>
      <c r="V85" s="178">
        <f t="shared" si="58"/>
        <v>0.1539501601019424</v>
      </c>
      <c r="W85" s="178">
        <f t="shared" si="58"/>
        <v>0.15282562288582657</v>
      </c>
      <c r="X85" s="178">
        <f t="shared" si="58"/>
        <v>0.15170108681789146</v>
      </c>
      <c r="Y85" s="178">
        <f t="shared" si="58"/>
        <v>0.15057655189758262</v>
      </c>
      <c r="Z85" s="178">
        <f t="shared" si="58"/>
        <v>0.14946876728827035</v>
      </c>
      <c r="AA85" s="178">
        <f t="shared" si="58"/>
        <v>0.14836098382545709</v>
      </c>
      <c r="AB85" s="178">
        <f t="shared" si="58"/>
        <v>0.14728669983646539</v>
      </c>
      <c r="AC85" s="178">
        <f t="shared" si="58"/>
        <v>0.14617891866495616</v>
      </c>
    </row>
    <row r="86" spans="1:29" x14ac:dyDescent="0.25">
      <c r="A86" s="86" t="s">
        <v>25</v>
      </c>
      <c r="B86" s="87" t="s">
        <v>29</v>
      </c>
      <c r="C86" s="176">
        <f t="shared" si="53"/>
        <v>1.039808035439611E-2</v>
      </c>
      <c r="D86" s="60">
        <f>+'5ta'!F73/1000</f>
        <v>1.7655000000000001E-2</v>
      </c>
      <c r="E86" s="90">
        <f t="shared" si="54"/>
        <v>1.7655000000000001E-2</v>
      </c>
      <c r="F86" s="89">
        <f>+'5ta'!G73/1000</f>
        <v>1.7655000000000001E-2</v>
      </c>
      <c r="G86" s="90">
        <f t="shared" si="55"/>
        <v>1.7655000000000001E-2</v>
      </c>
      <c r="H86" s="89">
        <f>+'5ta'!H73/1000</f>
        <v>1.7655000000000001E-2</v>
      </c>
      <c r="I86" s="90">
        <f t="shared" si="56"/>
        <v>3.2362500000000002E-2</v>
      </c>
      <c r="J86" s="89">
        <f>+'5ta'!I73/1000</f>
        <v>4.7070000000000001E-2</v>
      </c>
      <c r="K86" s="90">
        <f t="shared" si="57"/>
        <v>6.2617499999999993E-2</v>
      </c>
      <c r="L86" s="89">
        <f>+'5ta'!J73/1000</f>
        <v>7.8164999999999984E-2</v>
      </c>
      <c r="M86" s="89">
        <f>+'5ta'!K73/1000</f>
        <v>7.3219999999999993E-2</v>
      </c>
      <c r="N86" s="89">
        <f>+'5ta'!L73/1000</f>
        <v>7.3219999999999993E-2</v>
      </c>
      <c r="O86" s="436">
        <f>+'5ta'!M73/1000</f>
        <v>3.3799999999999998E-3</v>
      </c>
      <c r="P86" s="452">
        <f>+'5ta'!N73/1000</f>
        <v>3.3799999999999998E-3</v>
      </c>
      <c r="Q86" s="437">
        <f t="shared" si="58"/>
        <v>3.1697812083464763E-3</v>
      </c>
      <c r="R86" s="178">
        <f t="shared" si="58"/>
        <v>3.1464743365631435E-3</v>
      </c>
      <c r="S86" s="178">
        <f t="shared" si="58"/>
        <v>3.1228351980443492E-3</v>
      </c>
      <c r="T86" s="178">
        <f t="shared" si="58"/>
        <v>3.1001929510607075E-3</v>
      </c>
      <c r="U86" s="178">
        <f t="shared" si="58"/>
        <v>3.0772184373190595E-3</v>
      </c>
      <c r="V86" s="178">
        <f t="shared" si="58"/>
        <v>3.0542439463788536E-3</v>
      </c>
      <c r="W86" s="178">
        <f t="shared" si="58"/>
        <v>3.031934057369806E-3</v>
      </c>
      <c r="X86" s="178">
        <f t="shared" si="58"/>
        <v>3.0096241911397145E-3</v>
      </c>
      <c r="Y86" s="178">
        <f t="shared" si="58"/>
        <v>2.9873143476775795E-3</v>
      </c>
      <c r="Z86" s="178">
        <f t="shared" si="58"/>
        <v>2.9653368165425474E-3</v>
      </c>
      <c r="AA86" s="178">
        <f t="shared" si="58"/>
        <v>2.9433593081531076E-3</v>
      </c>
      <c r="AB86" s="178">
        <f t="shared" si="58"/>
        <v>2.9220464016390972E-3</v>
      </c>
      <c r="AC86" s="178">
        <f t="shared" si="58"/>
        <v>2.9000689387072365E-3</v>
      </c>
    </row>
    <row r="87" spans="1:29" x14ac:dyDescent="0.25">
      <c r="A87" s="86" t="s">
        <v>26</v>
      </c>
      <c r="B87" s="87" t="s">
        <v>29</v>
      </c>
      <c r="C87" s="176">
        <f t="shared" si="53"/>
        <v>6.1342521380668188E-2</v>
      </c>
      <c r="D87" s="60">
        <f>+'5ta'!F74/1000</f>
        <v>7.1250000000000008E-2</v>
      </c>
      <c r="E87" s="90">
        <f t="shared" si="54"/>
        <v>7.1250000000000008E-2</v>
      </c>
      <c r="F87" s="89">
        <f>+'5ta'!G74/1000</f>
        <v>7.1250000000000008E-2</v>
      </c>
      <c r="G87" s="90">
        <f t="shared" si="55"/>
        <v>7.1250000000000008E-2</v>
      </c>
      <c r="H87" s="89">
        <f>+'5ta'!H74/1000</f>
        <v>7.1250000000000008E-2</v>
      </c>
      <c r="I87" s="90">
        <f t="shared" si="56"/>
        <v>0.13334249999999997</v>
      </c>
      <c r="J87" s="89">
        <f>+'5ta'!I74/1000</f>
        <v>0.19543499999999994</v>
      </c>
      <c r="K87" s="90">
        <f t="shared" si="57"/>
        <v>0.19165499999999999</v>
      </c>
      <c r="L87" s="89">
        <f>+'5ta'!J74/1000</f>
        <v>0.18787500000000004</v>
      </c>
      <c r="M87" s="89">
        <f>+'5ta'!K74/1000</f>
        <v>0.1913</v>
      </c>
      <c r="N87" s="89">
        <f>+'5ta'!L74/1000</f>
        <v>0.1913</v>
      </c>
      <c r="O87" s="436">
        <f>+'5ta'!M74/1000</f>
        <v>1.9940000000000003E-2</v>
      </c>
      <c r="P87" s="452">
        <f>+'5ta'!N74/1000</f>
        <v>1.9940000000000003E-2</v>
      </c>
      <c r="Q87" s="437">
        <f t="shared" si="58"/>
        <v>1.8699833519061761E-2</v>
      </c>
      <c r="R87" s="178">
        <f t="shared" si="58"/>
        <v>1.8562336766588489E-2</v>
      </c>
      <c r="S87" s="178">
        <f t="shared" si="58"/>
        <v>1.8422879836983531E-2</v>
      </c>
      <c r="T87" s="178">
        <f t="shared" si="58"/>
        <v>1.8289303977559325E-2</v>
      </c>
      <c r="U87" s="178">
        <f t="shared" si="58"/>
        <v>1.8153767940870431E-2</v>
      </c>
      <c r="V87" s="178">
        <f t="shared" si="58"/>
        <v>1.8018232038696555E-2</v>
      </c>
      <c r="W87" s="178">
        <f t="shared" si="58"/>
        <v>1.788661689466093E-2</v>
      </c>
      <c r="X87" s="178">
        <f t="shared" si="58"/>
        <v>1.7755001885007667E-2</v>
      </c>
      <c r="Y87" s="178">
        <f t="shared" si="58"/>
        <v>1.7623387009671879E-2</v>
      </c>
      <c r="Z87" s="178">
        <f t="shared" si="58"/>
        <v>1.7493732580431482E-2</v>
      </c>
      <c r="AA87" s="178">
        <f t="shared" si="58"/>
        <v>1.736407828537662E-2</v>
      </c>
      <c r="AB87" s="178">
        <f t="shared" si="58"/>
        <v>1.7238344748131247E-2</v>
      </c>
      <c r="AC87" s="178">
        <f t="shared" si="58"/>
        <v>1.7108690721249202E-2</v>
      </c>
    </row>
    <row r="88" spans="1:29" ht="15.75" thickBot="1" x14ac:dyDescent="0.3">
      <c r="A88" s="86" t="s">
        <v>27</v>
      </c>
      <c r="B88" s="87" t="s">
        <v>29</v>
      </c>
      <c r="C88" s="176">
        <f t="shared" si="53"/>
        <v>2.9625299944625611E-2</v>
      </c>
      <c r="D88" s="60">
        <f>+'5ta'!F75/1000</f>
        <v>1.6050000000000003E-3</v>
      </c>
      <c r="E88" s="90">
        <f t="shared" si="54"/>
        <v>1.6050000000000003E-3</v>
      </c>
      <c r="F88" s="89">
        <f>+'5ta'!G75/1000</f>
        <v>1.6050000000000003E-3</v>
      </c>
      <c r="G88" s="90">
        <f t="shared" si="55"/>
        <v>1.6050000000000003E-3</v>
      </c>
      <c r="H88" s="89">
        <f>+'5ta'!H75/1000</f>
        <v>1.6050000000000003E-3</v>
      </c>
      <c r="I88" s="90">
        <f t="shared" si="56"/>
        <v>6.7424999999999994E-3</v>
      </c>
      <c r="J88" s="89">
        <f>+'5ta'!I75/1000</f>
        <v>1.1879999999999998E-2</v>
      </c>
      <c r="K88" s="90">
        <f t="shared" si="57"/>
        <v>9.3149999999999986E-3</v>
      </c>
      <c r="L88" s="89">
        <f>+'5ta'!J75/1000</f>
        <v>6.7499999999999999E-3</v>
      </c>
      <c r="M88" s="89">
        <f>+'5ta'!K75/1000</f>
        <v>8.5500000000000003E-3</v>
      </c>
      <c r="N88" s="89">
        <f>+'5ta'!L75/1000</f>
        <v>8.5500000000000003E-3</v>
      </c>
      <c r="O88" s="436">
        <f>+'5ta'!M75/1000</f>
        <v>9.6300000000000014E-3</v>
      </c>
      <c r="P88" s="453">
        <f>+'5ta'!N75/1000</f>
        <v>9.6300000000000014E-3</v>
      </c>
      <c r="Q88" s="437">
        <f t="shared" si="58"/>
        <v>9.0310630285137805E-3</v>
      </c>
      <c r="R88" s="178">
        <f t="shared" si="58"/>
        <v>8.9646591305038697E-3</v>
      </c>
      <c r="S88" s="178">
        <f t="shared" si="58"/>
        <v>8.8973085672091994E-3</v>
      </c>
      <c r="T88" s="178">
        <f t="shared" si="58"/>
        <v>8.8327982599747407E-3</v>
      </c>
      <c r="U88" s="178">
        <f t="shared" si="58"/>
        <v>8.7673412873912875E-3</v>
      </c>
      <c r="V88" s="178">
        <f t="shared" si="58"/>
        <v>8.7018843797717071E-3</v>
      </c>
      <c r="W88" s="178">
        <f t="shared" si="58"/>
        <v>8.6383209977725552E-3</v>
      </c>
      <c r="X88" s="178">
        <f t="shared" si="58"/>
        <v>8.5747576806732128E-3</v>
      </c>
      <c r="Y88" s="178">
        <f t="shared" si="58"/>
        <v>8.5111944284423369E-3</v>
      </c>
      <c r="Z88" s="178">
        <f t="shared" si="58"/>
        <v>8.4485779713919344E-3</v>
      </c>
      <c r="AA88" s="178">
        <f t="shared" si="58"/>
        <v>8.3859615791462821E-3</v>
      </c>
      <c r="AB88" s="178">
        <f t="shared" si="58"/>
        <v>8.3252387123622824E-3</v>
      </c>
      <c r="AC88" s="178">
        <f t="shared" si="58"/>
        <v>8.2626224496303823E-3</v>
      </c>
    </row>
    <row r="89" spans="1:29" x14ac:dyDescent="0.25">
      <c r="A89" s="186" t="s">
        <v>28</v>
      </c>
      <c r="B89" s="180" t="s">
        <v>29</v>
      </c>
      <c r="C89" s="180"/>
      <c r="D89" s="60">
        <f>+'5ta'!F76/1000</f>
        <v>3.4950000000000002E-2</v>
      </c>
      <c r="E89" s="181">
        <f t="shared" si="54"/>
        <v>3.4950000000000002E-2</v>
      </c>
      <c r="F89" s="89">
        <f>+'5ta'!G76/1000</f>
        <v>3.4950000000000002E-2</v>
      </c>
      <c r="G89" s="181">
        <f t="shared" si="55"/>
        <v>3.4950000000000002E-2</v>
      </c>
      <c r="H89" s="89">
        <f>+'5ta'!H76/1000</f>
        <v>3.4950000000000002E-2</v>
      </c>
      <c r="I89" s="181">
        <f t="shared" si="56"/>
        <v>0.10547250000000001</v>
      </c>
      <c r="J89" s="89">
        <f>+'5ta'!I76/1000</f>
        <v>0.17599500000000001</v>
      </c>
      <c r="K89" s="181">
        <f t="shared" si="57"/>
        <v>0.18022750000000001</v>
      </c>
      <c r="L89" s="89">
        <f>+'5ta'!J76/1000</f>
        <v>0.18446000000000001</v>
      </c>
      <c r="M89" s="89">
        <f>+'5ta'!K76/1000</f>
        <v>7.3800000000000003E-3</v>
      </c>
      <c r="N89" s="89">
        <f>+'5ta'!L76/1000</f>
        <v>7.3800000000000003E-3</v>
      </c>
      <c r="O89" s="89">
        <f>+'5ta'!M76/1000</f>
        <v>1.035E-2</v>
      </c>
      <c r="P89" s="441">
        <f>+'5ta'!N76/1000</f>
        <v>1.035E-2</v>
      </c>
      <c r="Q89" s="181">
        <f t="shared" ref="Q89:AC89" si="59">+P89</f>
        <v>1.035E-2</v>
      </c>
      <c r="R89" s="181">
        <f t="shared" si="59"/>
        <v>1.035E-2</v>
      </c>
      <c r="S89" s="181">
        <f t="shared" si="59"/>
        <v>1.035E-2</v>
      </c>
      <c r="T89" s="181">
        <f t="shared" si="59"/>
        <v>1.035E-2</v>
      </c>
      <c r="U89" s="181">
        <f t="shared" si="59"/>
        <v>1.035E-2</v>
      </c>
      <c r="V89" s="181">
        <f t="shared" si="59"/>
        <v>1.035E-2</v>
      </c>
      <c r="W89" s="181">
        <f t="shared" si="59"/>
        <v>1.035E-2</v>
      </c>
      <c r="X89" s="181">
        <f t="shared" si="59"/>
        <v>1.035E-2</v>
      </c>
      <c r="Y89" s="181">
        <f t="shared" si="59"/>
        <v>1.035E-2</v>
      </c>
      <c r="Z89" s="181">
        <f t="shared" si="59"/>
        <v>1.035E-2</v>
      </c>
      <c r="AA89" s="181">
        <f t="shared" si="59"/>
        <v>1.035E-2</v>
      </c>
      <c r="AB89" s="181">
        <f t="shared" si="59"/>
        <v>1.035E-2</v>
      </c>
      <c r="AC89" s="181">
        <f t="shared" si="59"/>
        <v>1.035E-2</v>
      </c>
    </row>
    <row r="90" spans="1:29" x14ac:dyDescent="0.25">
      <c r="A90" s="182" t="s">
        <v>19</v>
      </c>
      <c r="B90" s="183" t="s">
        <v>29</v>
      </c>
      <c r="C90" s="183"/>
      <c r="D90" s="60">
        <f>+'5ta'!F77/1000</f>
        <v>3.3818250000000001</v>
      </c>
      <c r="E90" s="190">
        <f t="shared" si="54"/>
        <v>3.3818250000000001</v>
      </c>
      <c r="F90" s="89">
        <f>+'5ta'!G77/1000</f>
        <v>3.3818250000000001</v>
      </c>
      <c r="G90" s="190">
        <f t="shared" si="55"/>
        <v>3.3818250000000001</v>
      </c>
      <c r="H90" s="89">
        <f>+'5ta'!H77/1000</f>
        <v>3.3818250000000001</v>
      </c>
      <c r="I90" s="190">
        <f t="shared" si="56"/>
        <v>2.7586950000000003</v>
      </c>
      <c r="J90" s="89">
        <f>+'5ta'!I77/1000</f>
        <v>2.1355650000000002</v>
      </c>
      <c r="K90" s="190">
        <f t="shared" si="57"/>
        <v>3.7257825000000002</v>
      </c>
      <c r="L90" s="89">
        <f>+'5ta'!J77/1000</f>
        <v>5.3159999999999998</v>
      </c>
      <c r="M90" s="89">
        <f>+'5ta'!K77/1000</f>
        <v>0.19642999999999999</v>
      </c>
      <c r="N90" s="89">
        <f>+'5ta'!L77/1000</f>
        <v>0.19642999999999999</v>
      </c>
      <c r="O90" s="89">
        <f>+'5ta'!M77/1000</f>
        <v>2.3431100000000002</v>
      </c>
      <c r="P90" s="89">
        <f>+'5ta'!N77/1000</f>
        <v>2.3431100000000002</v>
      </c>
      <c r="Q90" s="185">
        <f t="shared" ref="Q90:AC90" si="60">+P90</f>
        <v>2.3431100000000002</v>
      </c>
      <c r="R90" s="185">
        <f t="shared" si="60"/>
        <v>2.3431100000000002</v>
      </c>
      <c r="S90" s="185">
        <f t="shared" si="60"/>
        <v>2.3431100000000002</v>
      </c>
      <c r="T90" s="185">
        <f t="shared" si="60"/>
        <v>2.3431100000000002</v>
      </c>
      <c r="U90" s="185">
        <f t="shared" si="60"/>
        <v>2.3431100000000002</v>
      </c>
      <c r="V90" s="185">
        <f t="shared" si="60"/>
        <v>2.3431100000000002</v>
      </c>
      <c r="W90" s="185">
        <f t="shared" si="60"/>
        <v>2.3431100000000002</v>
      </c>
      <c r="X90" s="185">
        <f t="shared" si="60"/>
        <v>2.3431100000000002</v>
      </c>
      <c r="Y90" s="185">
        <f t="shared" si="60"/>
        <v>2.3431100000000002</v>
      </c>
      <c r="Z90" s="185">
        <f t="shared" si="60"/>
        <v>2.3431100000000002</v>
      </c>
      <c r="AA90" s="185">
        <f t="shared" si="60"/>
        <v>2.3431100000000002</v>
      </c>
      <c r="AB90" s="185">
        <f t="shared" si="60"/>
        <v>2.3431100000000002</v>
      </c>
      <c r="AC90" s="185">
        <f t="shared" si="60"/>
        <v>2.3431100000000002</v>
      </c>
    </row>
    <row r="91" spans="1:29" x14ac:dyDescent="0.25">
      <c r="A91" s="182" t="s">
        <v>4</v>
      </c>
      <c r="B91" s="183" t="s">
        <v>29</v>
      </c>
      <c r="C91" s="183"/>
      <c r="D91" s="60">
        <f>+'5ta'!F78/1000</f>
        <v>1.1598499999999998</v>
      </c>
      <c r="E91" s="191">
        <f t="shared" si="54"/>
        <v>1.1598499999999998</v>
      </c>
      <c r="F91" s="89">
        <f>+'5ta'!G78/1000</f>
        <v>1.1598499999999998</v>
      </c>
      <c r="G91" s="191">
        <f t="shared" si="55"/>
        <v>1.1598499999999998</v>
      </c>
      <c r="H91" s="89">
        <f>+'5ta'!H78/1000</f>
        <v>1.1598499999999998</v>
      </c>
      <c r="I91" s="191">
        <f t="shared" si="56"/>
        <v>1.7911899999999998</v>
      </c>
      <c r="J91" s="89">
        <f>+'5ta'!I78/1000</f>
        <v>2.4225300000000001</v>
      </c>
      <c r="K91" s="191">
        <f t="shared" si="57"/>
        <v>1.6985049999999999</v>
      </c>
      <c r="L91" s="89">
        <f>+'5ta'!J78/1000</f>
        <v>0.97448000000000001</v>
      </c>
      <c r="M91" s="89">
        <f>+'5ta'!K78/1000</f>
        <v>0.46404000000000001</v>
      </c>
      <c r="N91" s="89">
        <f>+'5ta'!L78/1000</f>
        <v>0.46404000000000001</v>
      </c>
      <c r="O91" s="89">
        <f>+'5ta'!M78/1000</f>
        <v>0.46570999999999996</v>
      </c>
      <c r="P91" s="89">
        <f>+'5ta'!N78/1000</f>
        <v>0.46570999999999996</v>
      </c>
      <c r="Q91" s="184">
        <f t="shared" ref="Q91:AC91" si="61">+P91</f>
        <v>0.46570999999999996</v>
      </c>
      <c r="R91" s="184">
        <f t="shared" si="61"/>
        <v>0.46570999999999996</v>
      </c>
      <c r="S91" s="184">
        <f t="shared" si="61"/>
        <v>0.46570999999999996</v>
      </c>
      <c r="T91" s="184">
        <f t="shared" si="61"/>
        <v>0.46570999999999996</v>
      </c>
      <c r="U91" s="184">
        <f t="shared" si="61"/>
        <v>0.46570999999999996</v>
      </c>
      <c r="V91" s="184">
        <f t="shared" si="61"/>
        <v>0.46570999999999996</v>
      </c>
      <c r="W91" s="184">
        <f t="shared" si="61"/>
        <v>0.46570999999999996</v>
      </c>
      <c r="X91" s="184">
        <f t="shared" si="61"/>
        <v>0.46570999999999996</v>
      </c>
      <c r="Y91" s="184">
        <f t="shared" si="61"/>
        <v>0.46570999999999996</v>
      </c>
      <c r="Z91" s="184">
        <f t="shared" si="61"/>
        <v>0.46570999999999996</v>
      </c>
      <c r="AA91" s="184">
        <f t="shared" si="61"/>
        <v>0.46570999999999996</v>
      </c>
      <c r="AB91" s="184">
        <f t="shared" si="61"/>
        <v>0.46570999999999996</v>
      </c>
      <c r="AC91" s="184">
        <f t="shared" si="61"/>
        <v>0.46570999999999996</v>
      </c>
    </row>
    <row r="92" spans="1:29" x14ac:dyDescent="0.25">
      <c r="A92" s="182" t="s">
        <v>5</v>
      </c>
      <c r="B92" s="183" t="s">
        <v>29</v>
      </c>
      <c r="C92" s="183"/>
      <c r="D92" s="60">
        <f>+'5ta'!F79/1000</f>
        <v>1.79599</v>
      </c>
      <c r="E92" s="191">
        <f t="shared" si="54"/>
        <v>1.79599</v>
      </c>
      <c r="F92" s="89">
        <f>+'5ta'!G79/1000</f>
        <v>1.79599</v>
      </c>
      <c r="G92" s="191">
        <f t="shared" si="55"/>
        <v>1.79599</v>
      </c>
      <c r="H92" s="89">
        <f>+'5ta'!H79/1000</f>
        <v>1.79599</v>
      </c>
      <c r="I92" s="191">
        <f t="shared" si="56"/>
        <v>1.4146399999999999</v>
      </c>
      <c r="J92" s="89">
        <f>+'5ta'!I79/1000</f>
        <v>1.03329</v>
      </c>
      <c r="K92" s="191">
        <f t="shared" si="57"/>
        <v>2.6234999999999999</v>
      </c>
      <c r="L92" s="89">
        <f>+'5ta'!J79/1000</f>
        <v>4.2137099999999998</v>
      </c>
      <c r="M92" s="89">
        <f>+'5ta'!K79/1000</f>
        <v>2.6960000000000001E-2</v>
      </c>
      <c r="N92" s="89">
        <f>+'5ta'!L79/1000</f>
        <v>2.6960000000000001E-2</v>
      </c>
      <c r="O92" s="89">
        <f>+'5ta'!M79/1000</f>
        <v>0.34155000000000002</v>
      </c>
      <c r="P92" s="89">
        <f>+'5ta'!N79/1000</f>
        <v>0.34155000000000002</v>
      </c>
      <c r="Q92" s="184">
        <f t="shared" ref="Q92:AC92" si="62">+P92</f>
        <v>0.34155000000000002</v>
      </c>
      <c r="R92" s="184">
        <f t="shared" si="62"/>
        <v>0.34155000000000002</v>
      </c>
      <c r="S92" s="184">
        <f t="shared" si="62"/>
        <v>0.34155000000000002</v>
      </c>
      <c r="T92" s="184">
        <f t="shared" si="62"/>
        <v>0.34155000000000002</v>
      </c>
      <c r="U92" s="184">
        <f t="shared" si="62"/>
        <v>0.34155000000000002</v>
      </c>
      <c r="V92" s="184">
        <f t="shared" si="62"/>
        <v>0.34155000000000002</v>
      </c>
      <c r="W92" s="184">
        <f t="shared" si="62"/>
        <v>0.34155000000000002</v>
      </c>
      <c r="X92" s="184">
        <f t="shared" si="62"/>
        <v>0.34155000000000002</v>
      </c>
      <c r="Y92" s="184">
        <f t="shared" si="62"/>
        <v>0.34155000000000002</v>
      </c>
      <c r="Z92" s="184">
        <f t="shared" si="62"/>
        <v>0.34155000000000002</v>
      </c>
      <c r="AA92" s="184">
        <f t="shared" si="62"/>
        <v>0.34155000000000002</v>
      </c>
      <c r="AB92" s="184">
        <f t="shared" si="62"/>
        <v>0.34155000000000002</v>
      </c>
      <c r="AC92" s="184">
        <f t="shared" si="62"/>
        <v>0.34155000000000002</v>
      </c>
    </row>
    <row r="93" spans="1:29" x14ac:dyDescent="0.25">
      <c r="A93" s="182" t="s">
        <v>6</v>
      </c>
      <c r="B93" s="183" t="s">
        <v>29</v>
      </c>
      <c r="C93" s="183"/>
      <c r="D93" s="191">
        <v>0</v>
      </c>
      <c r="E93" s="191">
        <f t="shared" si="54"/>
        <v>0</v>
      </c>
      <c r="F93" s="191">
        <v>0</v>
      </c>
      <c r="G93" s="191">
        <f t="shared" si="55"/>
        <v>0</v>
      </c>
      <c r="H93" s="191">
        <v>0</v>
      </c>
      <c r="I93" s="191">
        <f t="shared" si="56"/>
        <v>0</v>
      </c>
      <c r="J93" s="191">
        <v>0</v>
      </c>
      <c r="K93" s="191">
        <f t="shared" si="57"/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84">
        <f t="shared" ref="Q93:AC93" si="63">+P93</f>
        <v>0</v>
      </c>
      <c r="R93" s="184">
        <f t="shared" si="63"/>
        <v>0</v>
      </c>
      <c r="S93" s="184">
        <f t="shared" si="63"/>
        <v>0</v>
      </c>
      <c r="T93" s="184">
        <f t="shared" si="63"/>
        <v>0</v>
      </c>
      <c r="U93" s="184">
        <f t="shared" si="63"/>
        <v>0</v>
      </c>
      <c r="V93" s="184">
        <f t="shared" si="63"/>
        <v>0</v>
      </c>
      <c r="W93" s="184">
        <f t="shared" si="63"/>
        <v>0</v>
      </c>
      <c r="X93" s="184">
        <f t="shared" si="63"/>
        <v>0</v>
      </c>
      <c r="Y93" s="184">
        <f t="shared" si="63"/>
        <v>0</v>
      </c>
      <c r="Z93" s="184">
        <f t="shared" si="63"/>
        <v>0</v>
      </c>
      <c r="AA93" s="184">
        <f t="shared" si="63"/>
        <v>0</v>
      </c>
      <c r="AB93" s="184">
        <f t="shared" si="63"/>
        <v>0</v>
      </c>
      <c r="AC93" s="184">
        <f t="shared" si="63"/>
        <v>0</v>
      </c>
    </row>
    <row r="94" spans="1:29" ht="15.75" thickBot="1" x14ac:dyDescent="0.3">
      <c r="A94" s="113"/>
      <c r="B94" s="114"/>
      <c r="C94" s="114"/>
      <c r="D94" s="115"/>
      <c r="E94" s="116"/>
      <c r="F94" s="117"/>
      <c r="G94" s="116"/>
      <c r="H94" s="115"/>
      <c r="I94" s="116"/>
      <c r="J94" s="115"/>
      <c r="K94" s="116"/>
      <c r="L94" s="115"/>
      <c r="M94" s="115"/>
      <c r="N94" s="115"/>
      <c r="O94" s="115"/>
      <c r="P94" s="115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</row>
    <row r="95" spans="1:29" x14ac:dyDescent="0.25">
      <c r="A95" s="204" t="s">
        <v>105</v>
      </c>
      <c r="B95" s="205" t="s">
        <v>106</v>
      </c>
      <c r="C95" s="205"/>
      <c r="D95" s="206">
        <v>2010</v>
      </c>
      <c r="E95" s="206">
        <v>2011</v>
      </c>
      <c r="F95" s="206">
        <v>2012</v>
      </c>
      <c r="G95" s="206">
        <v>2013</v>
      </c>
      <c r="H95" s="206">
        <v>2014</v>
      </c>
      <c r="I95" s="206">
        <v>2015</v>
      </c>
      <c r="J95" s="206">
        <v>2016</v>
      </c>
      <c r="K95" s="206">
        <v>2017</v>
      </c>
      <c r="L95" s="206">
        <v>2018</v>
      </c>
      <c r="M95" s="206">
        <v>2019</v>
      </c>
      <c r="N95" s="206">
        <v>2020</v>
      </c>
      <c r="O95" s="206">
        <v>2021</v>
      </c>
      <c r="P95" s="206">
        <v>2022</v>
      </c>
      <c r="Q95" s="206">
        <v>2023</v>
      </c>
      <c r="R95" s="206">
        <v>2024</v>
      </c>
      <c r="S95" s="206">
        <v>2025</v>
      </c>
      <c r="T95" s="206">
        <v>2026</v>
      </c>
      <c r="U95" s="206">
        <v>2027</v>
      </c>
      <c r="V95" s="206">
        <v>2028</v>
      </c>
      <c r="W95" s="206">
        <v>2029</v>
      </c>
      <c r="X95" s="206">
        <v>2030</v>
      </c>
      <c r="Y95" s="206">
        <v>2031</v>
      </c>
      <c r="Z95" s="206">
        <v>2032</v>
      </c>
      <c r="AA95" s="206">
        <v>2033</v>
      </c>
      <c r="AB95" s="206">
        <v>2034</v>
      </c>
      <c r="AC95" s="207">
        <v>2035</v>
      </c>
    </row>
    <row r="96" spans="1:29" x14ac:dyDescent="0.25">
      <c r="A96" s="208" t="s">
        <v>19</v>
      </c>
      <c r="B96" s="86" t="s">
        <v>18</v>
      </c>
      <c r="C96" s="86"/>
      <c r="D96" s="90">
        <f>('5ta'!C$88)*'5ta'!$R87/1000</f>
        <v>3.1008944960097009E-2</v>
      </c>
      <c r="E96" s="90">
        <f>('5ta'!D$88)*'5ta'!$R87/1000</f>
        <v>3.1008944960097009E-2</v>
      </c>
      <c r="F96" s="90">
        <f>('5ta'!E$88)*'5ta'!$R87/1000</f>
        <v>3.1008944960097009E-2</v>
      </c>
      <c r="G96" s="90">
        <f>('5ta'!F$88)*'5ta'!$R87/1000</f>
        <v>3.1008944960097009E-2</v>
      </c>
      <c r="H96" s="90">
        <f>('5ta'!G$88)*'5ta'!$R87/1000</f>
        <v>3.1008944960097009E-2</v>
      </c>
      <c r="I96" s="90">
        <f>('5ta'!H$88)*'5ta'!$R87/1000</f>
        <v>2.1917130141336512E-2</v>
      </c>
      <c r="J96" s="90">
        <f>('5ta'!I$88)*'5ta'!$R87/1000</f>
        <v>1.2825315322576017E-2</v>
      </c>
      <c r="K96" s="90">
        <f>('5ta'!J$88)*'5ta'!$R87/1000</f>
        <v>1.6954179261856217E-2</v>
      </c>
      <c r="L96" s="90">
        <f>('5ta'!K$88)*'5ta'!$R87/1000</f>
        <v>2.1083043201136416E-2</v>
      </c>
      <c r="M96" s="90">
        <f>('5ta'!L$88)*'5ta'!$R87/1000</f>
        <v>4.6662444699142732E-3</v>
      </c>
      <c r="N96" s="90">
        <f>('5ta'!M$88)*'5ta'!$R87/1000</f>
        <v>4.6662444699142732E-3</v>
      </c>
      <c r="O96" s="90">
        <f>('5ta'!N$88)*'5ta'!$R87/1000</f>
        <v>5.6762473044931665E-3</v>
      </c>
      <c r="P96" s="90">
        <f>('5ta'!O$88)*'5ta'!$R87/1000</f>
        <v>5.6762473044931665E-3</v>
      </c>
      <c r="Q96" s="90">
        <f t="shared" ref="Q96:Q104" si="64">+P96-(0.049/100)</f>
        <v>5.1862473044931665E-3</v>
      </c>
      <c r="R96" s="90">
        <f t="shared" ref="R96:AC96" si="65">+Q96-(0.049/100)</f>
        <v>4.6962473044931665E-3</v>
      </c>
      <c r="S96" s="90">
        <f t="shared" si="65"/>
        <v>4.2062473044931666E-3</v>
      </c>
      <c r="T96" s="90">
        <f t="shared" si="65"/>
        <v>3.7162473044931666E-3</v>
      </c>
      <c r="U96" s="90">
        <f t="shared" si="65"/>
        <v>3.2262473044931666E-3</v>
      </c>
      <c r="V96" s="90">
        <f t="shared" si="65"/>
        <v>2.7362473044931666E-3</v>
      </c>
      <c r="W96" s="90">
        <f t="shared" si="65"/>
        <v>2.2462473044931666E-3</v>
      </c>
      <c r="X96" s="90">
        <f t="shared" si="65"/>
        <v>1.7562473044931666E-3</v>
      </c>
      <c r="Y96" s="90">
        <f t="shared" si="65"/>
        <v>1.2662473044931667E-3</v>
      </c>
      <c r="Z96" s="90">
        <f t="shared" si="65"/>
        <v>7.7624730449316667E-4</v>
      </c>
      <c r="AA96" s="90">
        <f t="shared" si="65"/>
        <v>2.8624730449316668E-4</v>
      </c>
      <c r="AB96" s="90">
        <f t="shared" si="65"/>
        <v>-2.037526955068333E-4</v>
      </c>
      <c r="AC96" s="209">
        <f t="shared" si="65"/>
        <v>-6.9375269550683329E-4</v>
      </c>
    </row>
    <row r="97" spans="1:29" x14ac:dyDescent="0.25">
      <c r="A97" s="208" t="s">
        <v>19</v>
      </c>
      <c r="B97" s="86" t="s">
        <v>20</v>
      </c>
      <c r="C97" s="86"/>
      <c r="D97" s="90">
        <f>('5ta'!C$88)*'5ta'!$R88/1000</f>
        <v>0.30280811121254975</v>
      </c>
      <c r="E97" s="90">
        <f>('5ta'!D$88)*'5ta'!$R88/1000</f>
        <v>0.30280811121254975</v>
      </c>
      <c r="F97" s="90">
        <f>('5ta'!E$88)*'5ta'!$R88/1000</f>
        <v>0.30280811121254975</v>
      </c>
      <c r="G97" s="90">
        <f>('5ta'!F$88)*'5ta'!$R88/1000</f>
        <v>0.30280811121254975</v>
      </c>
      <c r="H97" s="90">
        <f>('5ta'!G$88)*'5ta'!$R88/1000</f>
        <v>0.30280811121254975</v>
      </c>
      <c r="I97" s="90">
        <f>('5ta'!H$88)*'5ta'!$R88/1000</f>
        <v>0.21402484959865564</v>
      </c>
      <c r="J97" s="90">
        <f>('5ta'!I$88)*'5ta'!$R88/1000</f>
        <v>0.12524158798476151</v>
      </c>
      <c r="K97" s="90">
        <f>('5ta'!J$88)*'5ta'!$R88/1000</f>
        <v>0.16556071178971196</v>
      </c>
      <c r="L97" s="90">
        <f>('5ta'!K$88)*'5ta'!$R88/1000</f>
        <v>0.20587983559466241</v>
      </c>
      <c r="M97" s="90">
        <f>('5ta'!L$88)*'5ta'!$R88/1000</f>
        <v>4.5566744570284347E-2</v>
      </c>
      <c r="N97" s="90">
        <f>('5ta'!M$88)*'5ta'!$R88/1000</f>
        <v>4.5566744570284347E-2</v>
      </c>
      <c r="O97" s="90">
        <f>('5ta'!N$88)*'5ta'!$R88/1000</f>
        <v>5.5429609980626869E-2</v>
      </c>
      <c r="P97" s="90">
        <f>('5ta'!O$88)*'5ta'!$R88/1000</f>
        <v>5.5429609980626869E-2</v>
      </c>
      <c r="Q97" s="90">
        <f t="shared" si="64"/>
        <v>5.4939609980626872E-2</v>
      </c>
      <c r="R97" s="90">
        <f t="shared" ref="R97:AC97" si="66">+Q97-(0.049/100)</f>
        <v>5.4449609980626874E-2</v>
      </c>
      <c r="S97" s="90">
        <f t="shared" si="66"/>
        <v>5.3959609980626877E-2</v>
      </c>
      <c r="T97" s="90">
        <f t="shared" si="66"/>
        <v>5.346960998062688E-2</v>
      </c>
      <c r="U97" s="90">
        <f t="shared" si="66"/>
        <v>5.2979609980626882E-2</v>
      </c>
      <c r="V97" s="90">
        <f t="shared" si="66"/>
        <v>5.2489609980626885E-2</v>
      </c>
      <c r="W97" s="90">
        <f t="shared" si="66"/>
        <v>5.1999609980626887E-2</v>
      </c>
      <c r="X97" s="90">
        <f t="shared" si="66"/>
        <v>5.150960998062689E-2</v>
      </c>
      <c r="Y97" s="90">
        <f t="shared" si="66"/>
        <v>5.1019609980626893E-2</v>
      </c>
      <c r="Z97" s="90">
        <f t="shared" si="66"/>
        <v>5.0529609980626895E-2</v>
      </c>
      <c r="AA97" s="90">
        <f t="shared" si="66"/>
        <v>5.0039609980626898E-2</v>
      </c>
      <c r="AB97" s="90">
        <f t="shared" si="66"/>
        <v>4.9549609980626901E-2</v>
      </c>
      <c r="AC97" s="209">
        <f t="shared" si="66"/>
        <v>4.9059609980626903E-2</v>
      </c>
    </row>
    <row r="98" spans="1:29" x14ac:dyDescent="0.25">
      <c r="A98" s="208" t="s">
        <v>19</v>
      </c>
      <c r="B98" s="86" t="s">
        <v>21</v>
      </c>
      <c r="C98" s="86"/>
      <c r="D98" s="90">
        <f>('5ta'!C$88)*'5ta'!$R89/1000</f>
        <v>2.8954807771615698</v>
      </c>
      <c r="E98" s="90">
        <f>('5ta'!D$88)*'5ta'!$R89/1000</f>
        <v>2.8954807771615698</v>
      </c>
      <c r="F98" s="90">
        <f>('5ta'!E$88)*'5ta'!$R89/1000</f>
        <v>2.8954807771615698</v>
      </c>
      <c r="G98" s="90">
        <f>('5ta'!F$88)*'5ta'!$R89/1000</f>
        <v>2.8954807771615698</v>
      </c>
      <c r="H98" s="90">
        <f>('5ta'!G$88)*'5ta'!$R89/1000</f>
        <v>2.8954807771615698</v>
      </c>
      <c r="I98" s="90">
        <f>('5ta'!H$88)*'5ta'!$R89/1000</f>
        <v>2.0465265456935358</v>
      </c>
      <c r="J98" s="90">
        <f>('5ta'!I$88)*'5ta'!$R89/1000</f>
        <v>1.1975723142255021</v>
      </c>
      <c r="K98" s="90">
        <f>('5ta'!J$88)*'5ta'!$R89/1000</f>
        <v>1.5831077196733636</v>
      </c>
      <c r="L98" s="90">
        <f>('5ta'!K$88)*'5ta'!$R89/1000</f>
        <v>1.9686431251212249</v>
      </c>
      <c r="M98" s="90">
        <f>('5ta'!L$88)*'5ta'!$R89/1000</f>
        <v>0.43571366847725834</v>
      </c>
      <c r="N98" s="90">
        <f>('5ta'!M$88)*'5ta'!$R89/1000</f>
        <v>0.43571366847725834</v>
      </c>
      <c r="O98" s="90">
        <f>('5ta'!N$88)*'5ta'!$R89/1000</f>
        <v>0.53002335222061436</v>
      </c>
      <c r="P98" s="90">
        <f>('5ta'!O$88)*'5ta'!$R89/1000</f>
        <v>0.53002335222061436</v>
      </c>
      <c r="Q98" s="90">
        <f t="shared" si="64"/>
        <v>0.52953335222061437</v>
      </c>
      <c r="R98" s="90">
        <f t="shared" ref="R98:AC98" si="67">+Q98-(0.049/100)</f>
        <v>0.52904335222061438</v>
      </c>
      <c r="S98" s="90">
        <f t="shared" si="67"/>
        <v>0.52855335222061439</v>
      </c>
      <c r="T98" s="90">
        <f t="shared" si="67"/>
        <v>0.5280633522206144</v>
      </c>
      <c r="U98" s="90">
        <f t="shared" si="67"/>
        <v>0.52757335222061441</v>
      </c>
      <c r="V98" s="90">
        <f t="shared" si="67"/>
        <v>0.52708335222061442</v>
      </c>
      <c r="W98" s="90">
        <f t="shared" si="67"/>
        <v>0.52659335222061443</v>
      </c>
      <c r="X98" s="90">
        <f t="shared" si="67"/>
        <v>0.52610335222061444</v>
      </c>
      <c r="Y98" s="90">
        <f t="shared" si="67"/>
        <v>0.52561335222061445</v>
      </c>
      <c r="Z98" s="90">
        <f t="shared" si="67"/>
        <v>0.52512335222061446</v>
      </c>
      <c r="AA98" s="90">
        <f t="shared" si="67"/>
        <v>0.52463335222061447</v>
      </c>
      <c r="AB98" s="90">
        <f t="shared" si="67"/>
        <v>0.52414335222061448</v>
      </c>
      <c r="AC98" s="209">
        <f t="shared" si="67"/>
        <v>0.52365335222061449</v>
      </c>
    </row>
    <row r="99" spans="1:29" x14ac:dyDescent="0.25">
      <c r="A99" s="208" t="s">
        <v>19</v>
      </c>
      <c r="B99" s="86" t="s">
        <v>22</v>
      </c>
      <c r="C99" s="86"/>
      <c r="D99" s="90">
        <f>('5ta'!C$88)*'5ta'!$R90/1000</f>
        <v>1.1769942636310815</v>
      </c>
      <c r="E99" s="90">
        <f>('5ta'!D$88)*'5ta'!$R90/1000</f>
        <v>1.1769942636310815</v>
      </c>
      <c r="F99" s="90">
        <f>('5ta'!E$88)*'5ta'!$R90/1000</f>
        <v>1.1769942636310815</v>
      </c>
      <c r="G99" s="90">
        <f>('5ta'!F$88)*'5ta'!$R90/1000</f>
        <v>1.1769942636310815</v>
      </c>
      <c r="H99" s="90">
        <f>('5ta'!G$88)*'5ta'!$R90/1000</f>
        <v>1.1769942636310815</v>
      </c>
      <c r="I99" s="90">
        <f>('5ta'!H$88)*'5ta'!$R90/1000</f>
        <v>0.83189984324859301</v>
      </c>
      <c r="J99" s="90">
        <f>('5ta'!I$88)*'5ta'!$R90/1000</f>
        <v>0.48680542286610462</v>
      </c>
      <c r="K99" s="90">
        <f>('5ta'!J$88)*'5ta'!$R90/1000</f>
        <v>0.64352307895209948</v>
      </c>
      <c r="L99" s="90">
        <f>('5ta'!K$88)*'5ta'!$R90/1000</f>
        <v>0.80024073503809423</v>
      </c>
      <c r="M99" s="90">
        <f>('5ta'!L$88)*'5ta'!$R90/1000</f>
        <v>0.17711479641944503</v>
      </c>
      <c r="N99" s="90">
        <f>('5ta'!M$88)*'5ta'!$R90/1000</f>
        <v>0.17711479641944503</v>
      </c>
      <c r="O99" s="90">
        <f>('5ta'!N$88)*'5ta'!$R90/1000</f>
        <v>0.21545107467980573</v>
      </c>
      <c r="P99" s="90">
        <f>('5ta'!O$88)*'5ta'!$R90/1000</f>
        <v>0.21545107467980573</v>
      </c>
      <c r="Q99" s="90">
        <f t="shared" si="64"/>
        <v>0.21496107467980574</v>
      </c>
      <c r="R99" s="90">
        <f t="shared" ref="R99:AC99" si="68">+Q99-(0.049/100)</f>
        <v>0.21447107467980575</v>
      </c>
      <c r="S99" s="90">
        <f t="shared" si="68"/>
        <v>0.21398107467980576</v>
      </c>
      <c r="T99" s="90">
        <f t="shared" si="68"/>
        <v>0.21349107467980577</v>
      </c>
      <c r="U99" s="90">
        <f t="shared" si="68"/>
        <v>0.21300107467980578</v>
      </c>
      <c r="V99" s="90">
        <f t="shared" si="68"/>
        <v>0.21251107467980579</v>
      </c>
      <c r="W99" s="90">
        <f t="shared" si="68"/>
        <v>0.2120210746798058</v>
      </c>
      <c r="X99" s="90">
        <f t="shared" si="68"/>
        <v>0.21153107467980581</v>
      </c>
      <c r="Y99" s="90">
        <f t="shared" si="68"/>
        <v>0.21104107467980582</v>
      </c>
      <c r="Z99" s="90">
        <f t="shared" si="68"/>
        <v>0.21055107467980583</v>
      </c>
      <c r="AA99" s="90">
        <f t="shared" si="68"/>
        <v>0.21006107467980584</v>
      </c>
      <c r="AB99" s="90">
        <f t="shared" si="68"/>
        <v>0.20957107467980585</v>
      </c>
      <c r="AC99" s="209">
        <f t="shared" si="68"/>
        <v>0.20908107467980586</v>
      </c>
    </row>
    <row r="100" spans="1:29" x14ac:dyDescent="0.25">
      <c r="A100" s="208" t="s">
        <v>19</v>
      </c>
      <c r="B100" s="86" t="s">
        <v>23</v>
      </c>
      <c r="C100" s="86"/>
      <c r="D100" s="90">
        <f>('5ta'!C$88)*'5ta'!$R91/1000</f>
        <v>0.81056547206123941</v>
      </c>
      <c r="E100" s="90">
        <f>('5ta'!D$88)*'5ta'!$R91/1000</f>
        <v>0.81056547206123941</v>
      </c>
      <c r="F100" s="90">
        <f>('5ta'!E$88)*'5ta'!$R91/1000</f>
        <v>0.81056547206123941</v>
      </c>
      <c r="G100" s="90">
        <f>('5ta'!F$88)*'5ta'!$R91/1000</f>
        <v>0.81056547206123941</v>
      </c>
      <c r="H100" s="90">
        <f>('5ta'!G$88)*'5ta'!$R91/1000</f>
        <v>0.81056547206123941</v>
      </c>
      <c r="I100" s="90">
        <f>('5ta'!H$88)*'5ta'!$R91/1000</f>
        <v>0.57290788068090637</v>
      </c>
      <c r="J100" s="90">
        <f>('5ta'!I$88)*'5ta'!$R91/1000</f>
        <v>0.33525028930057327</v>
      </c>
      <c r="K100" s="90">
        <f>('5ta'!J$88)*'5ta'!$R91/1000</f>
        <v>0.44317768097178017</v>
      </c>
      <c r="L100" s="90">
        <f>('5ta'!K$88)*'5ta'!$R91/1000</f>
        <v>0.55110507264298692</v>
      </c>
      <c r="M100" s="90">
        <f>('5ta'!L$88)*'5ta'!$R91/1000</f>
        <v>0.12197437405162781</v>
      </c>
      <c r="N100" s="90">
        <f>('5ta'!M$88)*'5ta'!$R91/1000</f>
        <v>0.12197437405162781</v>
      </c>
      <c r="O100" s="90">
        <f>('5ta'!N$88)*'5ta'!$R91/1000</f>
        <v>0.14837557620304304</v>
      </c>
      <c r="P100" s="90">
        <f>('5ta'!O$88)*'5ta'!$R91/1000</f>
        <v>0.14837557620304304</v>
      </c>
      <c r="Q100" s="90">
        <f t="shared" si="64"/>
        <v>0.14788557620304305</v>
      </c>
      <c r="R100" s="90">
        <f t="shared" ref="R100:AC100" si="69">+Q100-(0.049/100)</f>
        <v>0.14739557620304305</v>
      </c>
      <c r="S100" s="90">
        <f t="shared" si="69"/>
        <v>0.14690557620304306</v>
      </c>
      <c r="T100" s="90">
        <f t="shared" si="69"/>
        <v>0.14641557620304307</v>
      </c>
      <c r="U100" s="90">
        <f t="shared" si="69"/>
        <v>0.14592557620304308</v>
      </c>
      <c r="V100" s="90">
        <f t="shared" si="69"/>
        <v>0.14543557620304309</v>
      </c>
      <c r="W100" s="90">
        <f t="shared" si="69"/>
        <v>0.1449455762030431</v>
      </c>
      <c r="X100" s="90">
        <f t="shared" si="69"/>
        <v>0.14445557620304311</v>
      </c>
      <c r="Y100" s="90">
        <f t="shared" si="69"/>
        <v>0.14396557620304312</v>
      </c>
      <c r="Z100" s="90">
        <f t="shared" si="69"/>
        <v>0.14347557620304313</v>
      </c>
      <c r="AA100" s="90">
        <f t="shared" si="69"/>
        <v>0.14298557620304314</v>
      </c>
      <c r="AB100" s="90">
        <f t="shared" si="69"/>
        <v>0.14249557620304315</v>
      </c>
      <c r="AC100" s="209">
        <f t="shared" si="69"/>
        <v>0.14200557620304316</v>
      </c>
    </row>
    <row r="101" spans="1:29" x14ac:dyDescent="0.25">
      <c r="A101" s="208" t="s">
        <v>19</v>
      </c>
      <c r="B101" s="86" t="s">
        <v>24</v>
      </c>
      <c r="C101" s="86"/>
      <c r="D101" s="90">
        <f>('5ta'!C$88)*'5ta'!$R92/1000</f>
        <v>5.9313105345291826</v>
      </c>
      <c r="E101" s="90">
        <f>('5ta'!D$88)*'5ta'!$R92/1000</f>
        <v>5.9313105345291826</v>
      </c>
      <c r="F101" s="90">
        <f>('5ta'!E$88)*'5ta'!$R92/1000</f>
        <v>5.9313105345291826</v>
      </c>
      <c r="G101" s="90">
        <f>('5ta'!F$88)*'5ta'!$R92/1000</f>
        <v>5.9313105345291826</v>
      </c>
      <c r="H101" s="90">
        <f>('5ta'!G$88)*'5ta'!$R92/1000</f>
        <v>5.9313105345291826</v>
      </c>
      <c r="I101" s="90">
        <f>('5ta'!H$88)*'5ta'!$R92/1000</f>
        <v>4.192251786097196</v>
      </c>
      <c r="J101" s="90">
        <f>('5ta'!I$88)*'5ta'!$R92/1000</f>
        <v>2.4531930376652094</v>
      </c>
      <c r="K101" s="90">
        <f>('5ta'!J$88)*'5ta'!$R92/1000</f>
        <v>3.2429514190033695</v>
      </c>
      <c r="L101" s="90">
        <f>('5ta'!K$88)*'5ta'!$R92/1000</f>
        <v>4.0327098003415296</v>
      </c>
      <c r="M101" s="90">
        <f>('5ta'!L$88)*'5ta'!$R92/1000</f>
        <v>0.89254713492208038</v>
      </c>
      <c r="N101" s="90">
        <f>('5ta'!M$88)*'5ta'!$R92/1000</f>
        <v>0.89254713492208038</v>
      </c>
      <c r="O101" s="90">
        <f>('5ta'!N$88)*'5ta'!$R92/1000</f>
        <v>1.0857378565138989</v>
      </c>
      <c r="P101" s="90">
        <f>('5ta'!O$88)*'5ta'!$R92/1000</f>
        <v>1.0857378565138989</v>
      </c>
      <c r="Q101" s="90">
        <f t="shared" si="64"/>
        <v>1.0852478565138988</v>
      </c>
      <c r="R101" s="90">
        <f t="shared" ref="R101:AC101" si="70">+Q101-(0.049/100)</f>
        <v>1.0847578565138987</v>
      </c>
      <c r="S101" s="90">
        <f t="shared" si="70"/>
        <v>1.0842678565138986</v>
      </c>
      <c r="T101" s="90">
        <f t="shared" si="70"/>
        <v>1.0837778565138985</v>
      </c>
      <c r="U101" s="90">
        <f t="shared" si="70"/>
        <v>1.0832878565138984</v>
      </c>
      <c r="V101" s="90">
        <f t="shared" si="70"/>
        <v>1.0827978565138983</v>
      </c>
      <c r="W101" s="90">
        <f t="shared" si="70"/>
        <v>1.0823078565138982</v>
      </c>
      <c r="X101" s="90">
        <f t="shared" si="70"/>
        <v>1.0818178565138981</v>
      </c>
      <c r="Y101" s="90">
        <f t="shared" si="70"/>
        <v>1.081327856513898</v>
      </c>
      <c r="Z101" s="90">
        <f t="shared" si="70"/>
        <v>1.0808378565138979</v>
      </c>
      <c r="AA101" s="90">
        <f t="shared" si="70"/>
        <v>1.0803478565138978</v>
      </c>
      <c r="AB101" s="90">
        <f t="shared" si="70"/>
        <v>1.0798578565138977</v>
      </c>
      <c r="AC101" s="209">
        <f t="shared" si="70"/>
        <v>1.0793678565138976</v>
      </c>
    </row>
    <row r="102" spans="1:29" x14ac:dyDescent="0.25">
      <c r="A102" s="208" t="s">
        <v>19</v>
      </c>
      <c r="B102" s="86" t="s">
        <v>25</v>
      </c>
      <c r="C102" s="86"/>
      <c r="D102" s="90">
        <f>('5ta'!C$88)*'5ta'!$R93/1000</f>
        <v>0.65714282361668985</v>
      </c>
      <c r="E102" s="90">
        <f>('5ta'!D$88)*'5ta'!$R93/1000</f>
        <v>0.65714282361668985</v>
      </c>
      <c r="F102" s="90">
        <f>('5ta'!E$88)*'5ta'!$R93/1000</f>
        <v>0.65714282361668985</v>
      </c>
      <c r="G102" s="90">
        <f>('5ta'!F$88)*'5ta'!$R93/1000</f>
        <v>0.65714282361668985</v>
      </c>
      <c r="H102" s="90">
        <f>('5ta'!G$88)*'5ta'!$R93/1000</f>
        <v>0.65714282361668985</v>
      </c>
      <c r="I102" s="90">
        <f>('5ta'!H$88)*'5ta'!$R93/1000</f>
        <v>0.46446871395289413</v>
      </c>
      <c r="J102" s="90">
        <f>('5ta'!I$88)*'5ta'!$R93/1000</f>
        <v>0.27179460428909846</v>
      </c>
      <c r="K102" s="90">
        <f>('5ta'!J$88)*'5ta'!$R93/1000</f>
        <v>0.3592936569295283</v>
      </c>
      <c r="L102" s="90">
        <f>('5ta'!K$88)*'5ta'!$R93/1000</f>
        <v>0.44679270956995815</v>
      </c>
      <c r="M102" s="90">
        <f>('5ta'!L$88)*'5ta'!$R93/1000</f>
        <v>9.8887242716291263E-2</v>
      </c>
      <c r="N102" s="90">
        <f>('5ta'!M$88)*'5ta'!$R93/1000</f>
        <v>9.8887242716291263E-2</v>
      </c>
      <c r="O102" s="90">
        <f>('5ta'!N$88)*'5ta'!$R93/1000</f>
        <v>0.12029126389244281</v>
      </c>
      <c r="P102" s="90">
        <f>('5ta'!O$88)*'5ta'!$R93/1000</f>
        <v>0.12029126389244281</v>
      </c>
      <c r="Q102" s="90">
        <f t="shared" si="64"/>
        <v>0.11980126389244281</v>
      </c>
      <c r="R102" s="90">
        <f t="shared" ref="R102:AC102" si="71">+Q102-(0.049/100)</f>
        <v>0.1193112638924428</v>
      </c>
      <c r="S102" s="90">
        <f t="shared" si="71"/>
        <v>0.1188212638924428</v>
      </c>
      <c r="T102" s="90">
        <f t="shared" si="71"/>
        <v>0.11833126389244279</v>
      </c>
      <c r="U102" s="90">
        <f t="shared" si="71"/>
        <v>0.11784126389244279</v>
      </c>
      <c r="V102" s="90">
        <f t="shared" si="71"/>
        <v>0.11735126389244278</v>
      </c>
      <c r="W102" s="90">
        <f t="shared" si="71"/>
        <v>0.11686126389244278</v>
      </c>
      <c r="X102" s="90">
        <f t="shared" si="71"/>
        <v>0.11637126389244278</v>
      </c>
      <c r="Y102" s="90">
        <f t="shared" si="71"/>
        <v>0.11588126389244277</v>
      </c>
      <c r="Z102" s="90">
        <f t="shared" si="71"/>
        <v>0.11539126389244277</v>
      </c>
      <c r="AA102" s="90">
        <f t="shared" si="71"/>
        <v>0.11490126389244276</v>
      </c>
      <c r="AB102" s="90">
        <f t="shared" si="71"/>
        <v>0.11441126389244276</v>
      </c>
      <c r="AC102" s="209">
        <f t="shared" si="71"/>
        <v>0.11392126389244275</v>
      </c>
    </row>
    <row r="103" spans="1:29" x14ac:dyDescent="0.25">
      <c r="A103" s="208" t="s">
        <v>19</v>
      </c>
      <c r="B103" s="86" t="s">
        <v>26</v>
      </c>
      <c r="C103" s="86"/>
      <c r="D103" s="90">
        <f>('5ta'!C$88)*'5ta'!$R94/1000</f>
        <v>0.16320281913978524</v>
      </c>
      <c r="E103" s="90">
        <f>('5ta'!D$88)*'5ta'!$R94/1000</f>
        <v>0.16320281913978524</v>
      </c>
      <c r="F103" s="90">
        <f>('5ta'!E$88)*'5ta'!$R94/1000</f>
        <v>0.16320281913978524</v>
      </c>
      <c r="G103" s="90">
        <f>('5ta'!F$88)*'5ta'!$R94/1000</f>
        <v>0.16320281913978524</v>
      </c>
      <c r="H103" s="90">
        <f>('5ta'!G$88)*'5ta'!$R94/1000</f>
        <v>0.16320281913978524</v>
      </c>
      <c r="I103" s="90">
        <f>('5ta'!H$88)*'5ta'!$R94/1000</f>
        <v>0.11535179384924447</v>
      </c>
      <c r="J103" s="90">
        <f>('5ta'!I$88)*'5ta'!$R94/1000</f>
        <v>6.7500768558703711E-2</v>
      </c>
      <c r="K103" s="90">
        <f>('5ta'!J$88)*'5ta'!$R94/1000</f>
        <v>8.9231344545801713E-2</v>
      </c>
      <c r="L103" s="90">
        <f>('5ta'!K$88)*'5ta'!$R94/1000</f>
        <v>0.11096192053289973</v>
      </c>
      <c r="M103" s="90">
        <f>('5ta'!L$88)*'5ta'!$R94/1000</f>
        <v>2.4558857235078915E-2</v>
      </c>
      <c r="N103" s="90">
        <f>('5ta'!M$88)*'5ta'!$R94/1000</f>
        <v>2.4558857235078915E-2</v>
      </c>
      <c r="O103" s="90">
        <f>('5ta'!N$88)*'5ta'!$R94/1000</f>
        <v>2.9874591458044681E-2</v>
      </c>
      <c r="P103" s="90">
        <f>('5ta'!O$88)*'5ta'!$R94/1000</f>
        <v>2.9874591458044681E-2</v>
      </c>
      <c r="Q103" s="90">
        <f t="shared" si="64"/>
        <v>2.938459145804468E-2</v>
      </c>
      <c r="R103" s="90">
        <f t="shared" ref="R103:AC103" si="72">+Q103-(0.049/100)</f>
        <v>2.8894591458044679E-2</v>
      </c>
      <c r="S103" s="90">
        <f t="shared" si="72"/>
        <v>2.8404591458044678E-2</v>
      </c>
      <c r="T103" s="90">
        <f t="shared" si="72"/>
        <v>2.7914591458044678E-2</v>
      </c>
      <c r="U103" s="90">
        <f t="shared" si="72"/>
        <v>2.7424591458044677E-2</v>
      </c>
      <c r="V103" s="90">
        <f t="shared" si="72"/>
        <v>2.6934591458044676E-2</v>
      </c>
      <c r="W103" s="90">
        <f t="shared" si="72"/>
        <v>2.6444591458044675E-2</v>
      </c>
      <c r="X103" s="90">
        <f t="shared" si="72"/>
        <v>2.5954591458044674E-2</v>
      </c>
      <c r="Y103" s="90">
        <f t="shared" si="72"/>
        <v>2.5464591458044673E-2</v>
      </c>
      <c r="Z103" s="90">
        <f t="shared" si="72"/>
        <v>2.4974591458044672E-2</v>
      </c>
      <c r="AA103" s="90">
        <f t="shared" si="72"/>
        <v>2.4484591458044672E-2</v>
      </c>
      <c r="AB103" s="90">
        <f t="shared" si="72"/>
        <v>2.3994591458044671E-2</v>
      </c>
      <c r="AC103" s="209">
        <f t="shared" si="72"/>
        <v>2.350459145804467E-2</v>
      </c>
    </row>
    <row r="104" spans="1:29" ht="15.75" thickBot="1" x14ac:dyDescent="0.3">
      <c r="A104" s="210" t="s">
        <v>19</v>
      </c>
      <c r="B104" s="211" t="s">
        <v>27</v>
      </c>
      <c r="C104" s="211"/>
      <c r="D104" s="90">
        <f>('5ta'!C$88)*'5ta'!$R95/1000</f>
        <v>0.68248625368780402</v>
      </c>
      <c r="E104" s="90">
        <f>('5ta'!D$88)*'5ta'!$R95/1000</f>
        <v>0.68248625368780402</v>
      </c>
      <c r="F104" s="90">
        <f>('5ta'!E$88)*'5ta'!$R95/1000</f>
        <v>0.68248625368780402</v>
      </c>
      <c r="G104" s="90">
        <f>('5ta'!F$88)*'5ta'!$R95/1000</f>
        <v>0.68248625368780402</v>
      </c>
      <c r="H104" s="90">
        <f>('5ta'!G$88)*'5ta'!$R95/1000</f>
        <v>0.68248625368780402</v>
      </c>
      <c r="I104" s="90">
        <f>('5ta'!H$88)*'5ta'!$R95/1000</f>
        <v>0.4823814567376371</v>
      </c>
      <c r="J104" s="90">
        <f>('5ta'!I$88)*'5ta'!$R95/1000</f>
        <v>0.2822766597874703</v>
      </c>
      <c r="K104" s="90">
        <f>('5ta'!J$88)*'5ta'!$R95/1000</f>
        <v>0.37315020887248884</v>
      </c>
      <c r="L104" s="90">
        <f>('5ta'!K$88)*'5ta'!$R95/1000</f>
        <v>0.46402375795750733</v>
      </c>
      <c r="M104" s="90">
        <f>('5ta'!L$88)*'5ta'!$R95/1000</f>
        <v>0.10270093713801937</v>
      </c>
      <c r="N104" s="90">
        <f>('5ta'!M$88)*'5ta'!$R95/1000</f>
        <v>0.10270093713801937</v>
      </c>
      <c r="O104" s="90">
        <f>('5ta'!N$88)*'5ta'!$R95/1000</f>
        <v>0.12493042774703024</v>
      </c>
      <c r="P104" s="90">
        <f>('5ta'!O$88)*'5ta'!$R95/1000</f>
        <v>0.12493042774703024</v>
      </c>
      <c r="Q104" s="212">
        <f t="shared" si="64"/>
        <v>0.12444042774703024</v>
      </c>
      <c r="R104" s="212">
        <f t="shared" ref="R104:AC104" si="73">+Q104-(0.049/100)</f>
        <v>0.12395042774703023</v>
      </c>
      <c r="S104" s="212">
        <f t="shared" si="73"/>
        <v>0.12346042774703023</v>
      </c>
      <c r="T104" s="212">
        <f t="shared" si="73"/>
        <v>0.12297042774703022</v>
      </c>
      <c r="U104" s="212">
        <f t="shared" si="73"/>
        <v>0.12248042774703022</v>
      </c>
      <c r="V104" s="212">
        <f t="shared" si="73"/>
        <v>0.12199042774703021</v>
      </c>
      <c r="W104" s="212">
        <f t="shared" si="73"/>
        <v>0.12150042774703021</v>
      </c>
      <c r="X104" s="212">
        <f t="shared" si="73"/>
        <v>0.12101042774703021</v>
      </c>
      <c r="Y104" s="212">
        <f t="shared" si="73"/>
        <v>0.1205204277470302</v>
      </c>
      <c r="Z104" s="212">
        <f t="shared" si="73"/>
        <v>0.1200304277470302</v>
      </c>
      <c r="AA104" s="212">
        <f t="shared" si="73"/>
        <v>0.11954042774703019</v>
      </c>
      <c r="AB104" s="212">
        <f t="shared" si="73"/>
        <v>0.11905042774703019</v>
      </c>
      <c r="AC104" s="213">
        <f t="shared" si="73"/>
        <v>0.11856042774703018</v>
      </c>
    </row>
    <row r="105" spans="1:29" ht="15.75" thickBot="1" x14ac:dyDescent="0.3">
      <c r="A105" s="527"/>
      <c r="B105" s="526"/>
      <c r="C105" s="52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528"/>
    </row>
    <row r="106" spans="1:29" x14ac:dyDescent="0.25">
      <c r="A106" s="204" t="s">
        <v>105</v>
      </c>
      <c r="B106" s="205" t="s">
        <v>106</v>
      </c>
      <c r="C106" s="205"/>
      <c r="D106" s="206">
        <v>2010</v>
      </c>
      <c r="E106" s="206">
        <v>2011</v>
      </c>
      <c r="F106" s="206">
        <v>2012</v>
      </c>
      <c r="G106" s="206">
        <v>2013</v>
      </c>
      <c r="H106" s="206">
        <v>2014</v>
      </c>
      <c r="I106" s="206">
        <v>2015</v>
      </c>
      <c r="J106" s="206">
        <v>2016</v>
      </c>
      <c r="K106" s="206">
        <v>2017</v>
      </c>
      <c r="L106" s="206">
        <v>2018</v>
      </c>
      <c r="M106" s="206">
        <v>2019</v>
      </c>
      <c r="N106" s="206">
        <v>2020</v>
      </c>
      <c r="O106" s="206">
        <v>2021</v>
      </c>
      <c r="P106" s="206">
        <v>2022</v>
      </c>
      <c r="Q106" s="206">
        <v>2023</v>
      </c>
      <c r="R106" s="206">
        <v>2024</v>
      </c>
      <c r="S106" s="206">
        <v>2025</v>
      </c>
      <c r="T106" s="206">
        <v>2026</v>
      </c>
      <c r="U106" s="206">
        <v>2027</v>
      </c>
      <c r="V106" s="206">
        <v>2028</v>
      </c>
      <c r="W106" s="206">
        <v>2029</v>
      </c>
      <c r="X106" s="206">
        <v>2030</v>
      </c>
      <c r="Y106" s="206">
        <v>2031</v>
      </c>
      <c r="Z106" s="206">
        <v>2032</v>
      </c>
      <c r="AA106" s="206">
        <v>2033</v>
      </c>
      <c r="AB106" s="206">
        <v>2034</v>
      </c>
      <c r="AC106" s="207">
        <v>2035</v>
      </c>
    </row>
    <row r="107" spans="1:29" x14ac:dyDescent="0.25">
      <c r="A107" s="218" t="s">
        <v>4</v>
      </c>
      <c r="B107" s="86" t="s">
        <v>18</v>
      </c>
      <c r="C107" s="86"/>
      <c r="D107" s="91">
        <f>('5ta'!C$89)*'5ta'!$R87/1000</f>
        <v>4.441404495114677E-3</v>
      </c>
      <c r="E107" s="91">
        <f>+(D107+F107)/2</f>
        <v>4.441404495114677E-3</v>
      </c>
      <c r="F107" s="91">
        <f>('5ta'!E$89)*'5ta'!$R87/1000</f>
        <v>4.441404495114677E-3</v>
      </c>
      <c r="G107" s="91">
        <f>+(F107+H107)/2</f>
        <v>4.441404495114677E-3</v>
      </c>
      <c r="H107" s="91">
        <f>('5ta'!G$89)*'5ta'!$R87/1000</f>
        <v>4.441404495114677E-3</v>
      </c>
      <c r="I107" s="91">
        <f>+(H107+J107)/2</f>
        <v>6.0541711191064423E-3</v>
      </c>
      <c r="J107" s="91">
        <f>('5ta'!I$89)*'5ta'!$R87/1000</f>
        <v>7.6669377430982075E-3</v>
      </c>
      <c r="K107" s="91">
        <f>+(J107+L107)/2</f>
        <v>9.1911213878110316E-3</v>
      </c>
      <c r="L107" s="91">
        <f>('5ta'!K$89)*'5ta'!$R87/1000</f>
        <v>1.0715305032523855E-2</v>
      </c>
      <c r="M107" s="91">
        <f>('5ta'!L$89)*'5ta'!$R87/1000</f>
        <v>5.8029940078278125E-4</v>
      </c>
      <c r="N107" s="91">
        <f>('5ta'!M$89)*'5ta'!$R87/1000</f>
        <v>5.8029940078278125E-4</v>
      </c>
      <c r="O107" s="91">
        <f>('5ta'!N$89)*'5ta'!$R87/1000</f>
        <v>1.3853652431781543E-4</v>
      </c>
      <c r="P107" s="91">
        <f>('5ta'!O$89)*'5ta'!$R87/1000</f>
        <v>1.3853652431781543E-4</v>
      </c>
      <c r="Q107" s="91">
        <f>+P107</f>
        <v>1.3853652431781543E-4</v>
      </c>
      <c r="R107" s="91">
        <f t="shared" ref="R107:AC107" si="74">+Q107</f>
        <v>1.3853652431781543E-4</v>
      </c>
      <c r="S107" s="91">
        <f t="shared" si="74"/>
        <v>1.3853652431781543E-4</v>
      </c>
      <c r="T107" s="91">
        <f t="shared" si="74"/>
        <v>1.3853652431781543E-4</v>
      </c>
      <c r="U107" s="91">
        <f t="shared" si="74"/>
        <v>1.3853652431781543E-4</v>
      </c>
      <c r="V107" s="91">
        <f t="shared" si="74"/>
        <v>1.3853652431781543E-4</v>
      </c>
      <c r="W107" s="91">
        <f t="shared" si="74"/>
        <v>1.3853652431781543E-4</v>
      </c>
      <c r="X107" s="91">
        <f t="shared" si="74"/>
        <v>1.3853652431781543E-4</v>
      </c>
      <c r="Y107" s="91">
        <f t="shared" si="74"/>
        <v>1.3853652431781543E-4</v>
      </c>
      <c r="Z107" s="91">
        <f t="shared" si="74"/>
        <v>1.3853652431781543E-4</v>
      </c>
      <c r="AA107" s="91">
        <f t="shared" si="74"/>
        <v>1.3853652431781543E-4</v>
      </c>
      <c r="AB107" s="91">
        <f t="shared" si="74"/>
        <v>1.3853652431781543E-4</v>
      </c>
      <c r="AC107" s="91">
        <f t="shared" si="74"/>
        <v>1.3853652431781543E-4</v>
      </c>
    </row>
    <row r="108" spans="1:29" x14ac:dyDescent="0.25">
      <c r="A108" s="218" t="s">
        <v>4</v>
      </c>
      <c r="B108" s="86" t="s">
        <v>20</v>
      </c>
      <c r="C108" s="86"/>
      <c r="D108" s="91">
        <f>('5ta'!C$89)*'5ta'!$R88/1000</f>
        <v>4.3371140425036765E-2</v>
      </c>
      <c r="E108" s="91">
        <f t="shared" ref="E108" si="75">+(D108+F108)/2</f>
        <v>4.3371140425036765E-2</v>
      </c>
      <c r="F108" s="91">
        <f>('5ta'!E$89)*'5ta'!$R88/1000</f>
        <v>4.3371140425036765E-2</v>
      </c>
      <c r="G108" s="91">
        <f t="shared" ref="G108" si="76">+(F108+H108)/2</f>
        <v>4.3371140425036765E-2</v>
      </c>
      <c r="H108" s="91">
        <f>('5ta'!G$89)*'5ta'!$R88/1000</f>
        <v>4.3371140425036765E-2</v>
      </c>
      <c r="I108" s="91">
        <f t="shared" ref="I108" si="77">+(H108+J108)/2</f>
        <v>5.9120106275568532E-2</v>
      </c>
      <c r="J108" s="91">
        <f>('5ta'!I$89)*'5ta'!$R88/1000</f>
        <v>7.4869072126100306E-2</v>
      </c>
      <c r="K108" s="91">
        <f t="shared" ref="K108" si="78">+(J108+L108)/2</f>
        <v>8.9753008718927427E-2</v>
      </c>
      <c r="L108" s="91">
        <f>('5ta'!K$89)*'5ta'!$R88/1000</f>
        <v>0.10463694531175455</v>
      </c>
      <c r="M108" s="91">
        <f>('5ta'!L$89)*'5ta'!$R88/1000</f>
        <v>5.6667315097281758E-3</v>
      </c>
      <c r="N108" s="91">
        <f>('5ta'!M$89)*'5ta'!$R88/1000</f>
        <v>5.6667315097281758E-3</v>
      </c>
      <c r="O108" s="91">
        <f>('5ta'!N$89)*'5ta'!$R88/1000</f>
        <v>1.3528349099465112E-3</v>
      </c>
      <c r="P108" s="91">
        <f>('5ta'!O$89)*'5ta'!$R88/1000</f>
        <v>1.3528349099465112E-3</v>
      </c>
      <c r="Q108" s="91">
        <f t="shared" ref="Q108:AC114" si="79">+P108</f>
        <v>1.3528349099465112E-3</v>
      </c>
      <c r="R108" s="91">
        <f t="shared" si="79"/>
        <v>1.3528349099465112E-3</v>
      </c>
      <c r="S108" s="91">
        <f t="shared" si="79"/>
        <v>1.3528349099465112E-3</v>
      </c>
      <c r="T108" s="91">
        <f t="shared" si="79"/>
        <v>1.3528349099465112E-3</v>
      </c>
      <c r="U108" s="91">
        <f t="shared" si="79"/>
        <v>1.3528349099465112E-3</v>
      </c>
      <c r="V108" s="91">
        <f t="shared" si="79"/>
        <v>1.3528349099465112E-3</v>
      </c>
      <c r="W108" s="91">
        <f t="shared" si="79"/>
        <v>1.3528349099465112E-3</v>
      </c>
      <c r="X108" s="91">
        <f t="shared" si="79"/>
        <v>1.3528349099465112E-3</v>
      </c>
      <c r="Y108" s="91">
        <f t="shared" si="79"/>
        <v>1.3528349099465112E-3</v>
      </c>
      <c r="Z108" s="91">
        <f t="shared" si="79"/>
        <v>1.3528349099465112E-3</v>
      </c>
      <c r="AA108" s="91">
        <f t="shared" si="79"/>
        <v>1.3528349099465112E-3</v>
      </c>
      <c r="AB108" s="91">
        <f t="shared" si="79"/>
        <v>1.3528349099465112E-3</v>
      </c>
      <c r="AC108" s="91">
        <f t="shared" si="79"/>
        <v>1.3528349099465112E-3</v>
      </c>
    </row>
    <row r="109" spans="1:29" x14ac:dyDescent="0.25">
      <c r="A109" s="218" t="s">
        <v>4</v>
      </c>
      <c r="B109" s="86" t="s">
        <v>21</v>
      </c>
      <c r="C109" s="86"/>
      <c r="D109" s="91">
        <f>('5ta'!C$89)*'5ta'!$R89/1000</f>
        <v>0.41471908688773729</v>
      </c>
      <c r="E109" s="91">
        <f t="shared" ref="E109" si="80">+(D109+F109)/2</f>
        <v>0.41471908688773729</v>
      </c>
      <c r="F109" s="91">
        <f>('5ta'!E$89)*'5ta'!$R89/1000</f>
        <v>0.41471908688773729</v>
      </c>
      <c r="G109" s="91">
        <f t="shared" ref="G109" si="81">+(F109+H109)/2</f>
        <v>0.41471908688773729</v>
      </c>
      <c r="H109" s="91">
        <f>('5ta'!G$89)*'5ta'!$R89/1000</f>
        <v>0.41471908688773729</v>
      </c>
      <c r="I109" s="91">
        <f t="shared" ref="I109" si="82">+(H109+J109)/2</f>
        <v>0.56531223876133496</v>
      </c>
      <c r="J109" s="91">
        <f>('5ta'!I$89)*'5ta'!$R89/1000</f>
        <v>0.71590539063493264</v>
      </c>
      <c r="K109" s="91">
        <f t="shared" ref="K109" si="83">+(J109+L109)/2</f>
        <v>0.85822704813760153</v>
      </c>
      <c r="L109" s="91">
        <f>('5ta'!K$89)*'5ta'!$R89/1000</f>
        <v>1.0005487056402704</v>
      </c>
      <c r="M109" s="91">
        <f>('5ta'!L$89)*'5ta'!$R89/1000</f>
        <v>5.4185840960635653E-2</v>
      </c>
      <c r="N109" s="91">
        <f>('5ta'!M$89)*'5ta'!$R89/1000</f>
        <v>5.4185840960635653E-2</v>
      </c>
      <c r="O109" s="91">
        <f>('5ta'!N$89)*'5ta'!$R89/1000</f>
        <v>1.2935939730074456E-2</v>
      </c>
      <c r="P109" s="91">
        <f>('5ta'!O$89)*'5ta'!$R89/1000</f>
        <v>1.2935939730074456E-2</v>
      </c>
      <c r="Q109" s="91">
        <f t="shared" si="79"/>
        <v>1.2935939730074456E-2</v>
      </c>
      <c r="R109" s="91">
        <f t="shared" si="79"/>
        <v>1.2935939730074456E-2</v>
      </c>
      <c r="S109" s="91">
        <f t="shared" si="79"/>
        <v>1.2935939730074456E-2</v>
      </c>
      <c r="T109" s="91">
        <f t="shared" si="79"/>
        <v>1.2935939730074456E-2</v>
      </c>
      <c r="U109" s="91">
        <f t="shared" si="79"/>
        <v>1.2935939730074456E-2</v>
      </c>
      <c r="V109" s="91">
        <f t="shared" si="79"/>
        <v>1.2935939730074456E-2</v>
      </c>
      <c r="W109" s="91">
        <f t="shared" si="79"/>
        <v>1.2935939730074456E-2</v>
      </c>
      <c r="X109" s="91">
        <f t="shared" si="79"/>
        <v>1.2935939730074456E-2</v>
      </c>
      <c r="Y109" s="91">
        <f t="shared" si="79"/>
        <v>1.2935939730074456E-2</v>
      </c>
      <c r="Z109" s="91">
        <f t="shared" si="79"/>
        <v>1.2935939730074456E-2</v>
      </c>
      <c r="AA109" s="91">
        <f t="shared" si="79"/>
        <v>1.2935939730074456E-2</v>
      </c>
      <c r="AB109" s="91">
        <f t="shared" si="79"/>
        <v>1.2935939730074456E-2</v>
      </c>
      <c r="AC109" s="91">
        <f t="shared" si="79"/>
        <v>1.2935939730074456E-2</v>
      </c>
    </row>
    <row r="110" spans="1:29" x14ac:dyDescent="0.25">
      <c r="A110" s="218" t="s">
        <v>4</v>
      </c>
      <c r="B110" s="86" t="s">
        <v>22</v>
      </c>
      <c r="C110" s="86"/>
      <c r="D110" s="91">
        <f>('5ta'!C$89)*'5ta'!$R90/1000</f>
        <v>0.16858063439250018</v>
      </c>
      <c r="E110" s="91">
        <f t="shared" ref="E110" si="84">+(D110+F110)/2</f>
        <v>0.16858063439250018</v>
      </c>
      <c r="F110" s="91">
        <f>('5ta'!E$89)*'5ta'!$R90/1000</f>
        <v>0.16858063439250018</v>
      </c>
      <c r="G110" s="91">
        <f t="shared" ref="G110" si="85">+(F110+H110)/2</f>
        <v>0.16858063439250018</v>
      </c>
      <c r="H110" s="91">
        <f>('5ta'!G$89)*'5ta'!$R90/1000</f>
        <v>0.16858063439250018</v>
      </c>
      <c r="I110" s="91">
        <f t="shared" ref="I110" si="86">+(H110+J110)/2</f>
        <v>0.22979577948875035</v>
      </c>
      <c r="J110" s="91">
        <f>('5ta'!I$89)*'5ta'!$R90/1000</f>
        <v>0.2910109245850005</v>
      </c>
      <c r="K110" s="91">
        <f t="shared" ref="K110" si="87">+(J110+L110)/2</f>
        <v>0.34886376056042012</v>
      </c>
      <c r="L110" s="91">
        <f>('5ta'!K$89)*'5ta'!$R90/1000</f>
        <v>0.40671659653583975</v>
      </c>
      <c r="M110" s="91">
        <f>('5ta'!L$89)*'5ta'!$R90/1000</f>
        <v>2.2026194918556525E-2</v>
      </c>
      <c r="N110" s="91">
        <f>('5ta'!M$89)*'5ta'!$R90/1000</f>
        <v>2.2026194918556525E-2</v>
      </c>
      <c r="O110" s="91">
        <f>('5ta'!N$89)*'5ta'!$R90/1000</f>
        <v>5.2583760793952043E-3</v>
      </c>
      <c r="P110" s="91">
        <f>('5ta'!O$89)*'5ta'!$R90/1000</f>
        <v>5.2583760793952043E-3</v>
      </c>
      <c r="Q110" s="91">
        <f t="shared" si="79"/>
        <v>5.2583760793952043E-3</v>
      </c>
      <c r="R110" s="91">
        <f t="shared" si="79"/>
        <v>5.2583760793952043E-3</v>
      </c>
      <c r="S110" s="91">
        <f t="shared" si="79"/>
        <v>5.2583760793952043E-3</v>
      </c>
      <c r="T110" s="91">
        <f t="shared" si="79"/>
        <v>5.2583760793952043E-3</v>
      </c>
      <c r="U110" s="91">
        <f t="shared" si="79"/>
        <v>5.2583760793952043E-3</v>
      </c>
      <c r="V110" s="91">
        <f t="shared" si="79"/>
        <v>5.2583760793952043E-3</v>
      </c>
      <c r="W110" s="91">
        <f t="shared" si="79"/>
        <v>5.2583760793952043E-3</v>
      </c>
      <c r="X110" s="91">
        <f t="shared" si="79"/>
        <v>5.2583760793952043E-3</v>
      </c>
      <c r="Y110" s="91">
        <f t="shared" si="79"/>
        <v>5.2583760793952043E-3</v>
      </c>
      <c r="Z110" s="91">
        <f t="shared" si="79"/>
        <v>5.2583760793952043E-3</v>
      </c>
      <c r="AA110" s="91">
        <f t="shared" si="79"/>
        <v>5.2583760793952043E-3</v>
      </c>
      <c r="AB110" s="91">
        <f t="shared" si="79"/>
        <v>5.2583760793952043E-3</v>
      </c>
      <c r="AC110" s="91">
        <f t="shared" si="79"/>
        <v>5.2583760793952043E-3</v>
      </c>
    </row>
    <row r="111" spans="1:29" x14ac:dyDescent="0.25">
      <c r="A111" s="218" t="s">
        <v>4</v>
      </c>
      <c r="B111" s="86" t="s">
        <v>23</v>
      </c>
      <c r="C111" s="86"/>
      <c r="D111" s="91">
        <f>('5ta'!C$89)*'5ta'!$R91/1000</f>
        <v>0.11609711764879976</v>
      </c>
      <c r="E111" s="91">
        <f t="shared" ref="E111" si="88">+(D111+F111)/2</f>
        <v>0.11609711764879976</v>
      </c>
      <c r="F111" s="91">
        <f>('5ta'!E$89)*'5ta'!$R91/1000</f>
        <v>0.11609711764879976</v>
      </c>
      <c r="G111" s="91">
        <f t="shared" ref="G111" si="89">+(F111+H111)/2</f>
        <v>0.11609711764879976</v>
      </c>
      <c r="H111" s="91">
        <f>('5ta'!G$89)*'5ta'!$R91/1000</f>
        <v>0.11609711764879976</v>
      </c>
      <c r="I111" s="91">
        <f t="shared" ref="I111" si="90">+(H111+J111)/2</f>
        <v>0.15825440296059282</v>
      </c>
      <c r="J111" s="91">
        <f>('5ta'!I$89)*'5ta'!$R91/1000</f>
        <v>0.20041168827238587</v>
      </c>
      <c r="K111" s="91">
        <f t="shared" ref="K111" si="91">+(J111+L111)/2</f>
        <v>0.24025343835690102</v>
      </c>
      <c r="L111" s="91">
        <f>('5ta'!K$89)*'5ta'!$R91/1000</f>
        <v>0.28009518844141618</v>
      </c>
      <c r="M111" s="91">
        <f>('5ta'!L$89)*'5ta'!$R91/1000</f>
        <v>1.5168870090150853E-2</v>
      </c>
      <c r="N111" s="91">
        <f>('5ta'!M$89)*'5ta'!$R91/1000</f>
        <v>1.5168870090150853E-2</v>
      </c>
      <c r="O111" s="91">
        <f>('5ta'!N$89)*'5ta'!$R91/1000</f>
        <v>3.6213074445420328E-3</v>
      </c>
      <c r="P111" s="91">
        <f>('5ta'!O$89)*'5ta'!$R91/1000</f>
        <v>3.6213074445420328E-3</v>
      </c>
      <c r="Q111" s="91">
        <f t="shared" si="79"/>
        <v>3.6213074445420328E-3</v>
      </c>
      <c r="R111" s="91">
        <f t="shared" si="79"/>
        <v>3.6213074445420328E-3</v>
      </c>
      <c r="S111" s="91">
        <f t="shared" si="79"/>
        <v>3.6213074445420328E-3</v>
      </c>
      <c r="T111" s="91">
        <f t="shared" si="79"/>
        <v>3.6213074445420328E-3</v>
      </c>
      <c r="U111" s="91">
        <f t="shared" si="79"/>
        <v>3.6213074445420328E-3</v>
      </c>
      <c r="V111" s="91">
        <f t="shared" si="79"/>
        <v>3.6213074445420328E-3</v>
      </c>
      <c r="W111" s="91">
        <f t="shared" si="79"/>
        <v>3.6213074445420328E-3</v>
      </c>
      <c r="X111" s="91">
        <f t="shared" si="79"/>
        <v>3.6213074445420328E-3</v>
      </c>
      <c r="Y111" s="91">
        <f t="shared" si="79"/>
        <v>3.6213074445420328E-3</v>
      </c>
      <c r="Z111" s="91">
        <f t="shared" si="79"/>
        <v>3.6213074445420328E-3</v>
      </c>
      <c r="AA111" s="91">
        <f t="shared" si="79"/>
        <v>3.6213074445420328E-3</v>
      </c>
      <c r="AB111" s="91">
        <f t="shared" si="79"/>
        <v>3.6213074445420328E-3</v>
      </c>
      <c r="AC111" s="91">
        <f t="shared" si="79"/>
        <v>3.6213074445420328E-3</v>
      </c>
    </row>
    <row r="112" spans="1:29" x14ac:dyDescent="0.25">
      <c r="A112" s="218" t="s">
        <v>4</v>
      </c>
      <c r="B112" s="86" t="s">
        <v>24</v>
      </c>
      <c r="C112" s="86"/>
      <c r="D112" s="91">
        <f>('5ta'!C$89)*'5ta'!$R92/1000</f>
        <v>0.849540327924028</v>
      </c>
      <c r="E112" s="91">
        <f t="shared" ref="E112" si="92">+(D112+F112)/2</f>
        <v>0.849540327924028</v>
      </c>
      <c r="F112" s="91">
        <f>('5ta'!E$89)*'5ta'!$R92/1000</f>
        <v>0.849540327924028</v>
      </c>
      <c r="G112" s="91">
        <f t="shared" ref="G112" si="93">+(F112+H112)/2</f>
        <v>0.849540327924028</v>
      </c>
      <c r="H112" s="91">
        <f>('5ta'!G$89)*'5ta'!$R92/1000</f>
        <v>0.849540327924028</v>
      </c>
      <c r="I112" s="91">
        <f t="shared" ref="I112" si="94">+(H112+J112)/2</f>
        <v>1.1580261431921364</v>
      </c>
      <c r="J112" s="91">
        <f>('5ta'!I$89)*'5ta'!$R92/1000</f>
        <v>1.4665119584602446</v>
      </c>
      <c r="K112" s="91">
        <f t="shared" ref="K112" si="95">+(J112+L112)/2</f>
        <v>1.7580538512939301</v>
      </c>
      <c r="L112" s="91">
        <f>('5ta'!K$89)*'5ta'!$R92/1000</f>
        <v>2.0495957441276156</v>
      </c>
      <c r="M112" s="91">
        <f>('5ta'!L$89)*'5ta'!$R92/1000</f>
        <v>0.11099816370640929</v>
      </c>
      <c r="N112" s="91">
        <f>('5ta'!M$89)*'5ta'!$R92/1000</f>
        <v>0.11099816370640929</v>
      </c>
      <c r="O112" s="91">
        <f>('5ta'!N$89)*'5ta'!$R92/1000</f>
        <v>2.6498906917365377E-2</v>
      </c>
      <c r="P112" s="91">
        <f>('5ta'!O$89)*'5ta'!$R92/1000</f>
        <v>2.6498906917365377E-2</v>
      </c>
      <c r="Q112" s="91">
        <f t="shared" si="79"/>
        <v>2.6498906917365377E-2</v>
      </c>
      <c r="R112" s="91">
        <f t="shared" si="79"/>
        <v>2.6498906917365377E-2</v>
      </c>
      <c r="S112" s="91">
        <f t="shared" si="79"/>
        <v>2.6498906917365377E-2</v>
      </c>
      <c r="T112" s="91">
        <f t="shared" si="79"/>
        <v>2.6498906917365377E-2</v>
      </c>
      <c r="U112" s="91">
        <f t="shared" si="79"/>
        <v>2.6498906917365377E-2</v>
      </c>
      <c r="V112" s="91">
        <f t="shared" si="79"/>
        <v>2.6498906917365377E-2</v>
      </c>
      <c r="W112" s="91">
        <f t="shared" si="79"/>
        <v>2.6498906917365377E-2</v>
      </c>
      <c r="X112" s="91">
        <f t="shared" si="79"/>
        <v>2.6498906917365377E-2</v>
      </c>
      <c r="Y112" s="91">
        <f t="shared" si="79"/>
        <v>2.6498906917365377E-2</v>
      </c>
      <c r="Z112" s="91">
        <f t="shared" si="79"/>
        <v>2.6498906917365377E-2</v>
      </c>
      <c r="AA112" s="91">
        <f t="shared" si="79"/>
        <v>2.6498906917365377E-2</v>
      </c>
      <c r="AB112" s="91">
        <f t="shared" si="79"/>
        <v>2.6498906917365377E-2</v>
      </c>
      <c r="AC112" s="91">
        <f t="shared" si="79"/>
        <v>2.6498906917365377E-2</v>
      </c>
    </row>
    <row r="113" spans="1:29" x14ac:dyDescent="0.25">
      <c r="A113" s="218" t="s">
        <v>4</v>
      </c>
      <c r="B113" s="86" t="s">
        <v>25</v>
      </c>
      <c r="C113" s="86"/>
      <c r="D113" s="91">
        <f>('5ta'!C$89)*'5ta'!$R93/1000</f>
        <v>9.4122424819653924E-2</v>
      </c>
      <c r="E113" s="91">
        <f t="shared" ref="E113" si="96">+(D113+F113)/2</f>
        <v>9.4122424819653924E-2</v>
      </c>
      <c r="F113" s="91">
        <f>('5ta'!E$89)*'5ta'!$R93/1000</f>
        <v>9.4122424819653924E-2</v>
      </c>
      <c r="G113" s="91">
        <f t="shared" ref="G113" si="97">+(F113+H113)/2</f>
        <v>9.4122424819653924E-2</v>
      </c>
      <c r="H113" s="91">
        <f>('5ta'!G$89)*'5ta'!$R93/1000</f>
        <v>9.4122424819653924E-2</v>
      </c>
      <c r="I113" s="91">
        <f t="shared" ref="I113" si="98">+(H113+J113)/2</f>
        <v>0.12830024075271781</v>
      </c>
      <c r="J113" s="91">
        <f>('5ta'!I$89)*'5ta'!$R93/1000</f>
        <v>0.16247805668578172</v>
      </c>
      <c r="K113" s="91">
        <f t="shared" ref="K113" si="99">+(J113+L113)/2</f>
        <v>0.19477861851675826</v>
      </c>
      <c r="L113" s="91">
        <f>('5ta'!K$89)*'5ta'!$R93/1000</f>
        <v>0.22707918034773483</v>
      </c>
      <c r="M113" s="91">
        <f>('5ta'!L$89)*'5ta'!$R93/1000</f>
        <v>1.2297728518793084E-2</v>
      </c>
      <c r="N113" s="91">
        <f>('5ta'!M$89)*'5ta'!$R93/1000</f>
        <v>1.2297728518793084E-2</v>
      </c>
      <c r="O113" s="91">
        <f>('5ta'!N$89)*'5ta'!$R93/1000</f>
        <v>2.9358716615931792E-3</v>
      </c>
      <c r="P113" s="91">
        <f>('5ta'!O$89)*'5ta'!$R93/1000</f>
        <v>2.9358716615931792E-3</v>
      </c>
      <c r="Q113" s="91">
        <f t="shared" si="79"/>
        <v>2.9358716615931792E-3</v>
      </c>
      <c r="R113" s="91">
        <f t="shared" si="79"/>
        <v>2.9358716615931792E-3</v>
      </c>
      <c r="S113" s="91">
        <f t="shared" si="79"/>
        <v>2.9358716615931792E-3</v>
      </c>
      <c r="T113" s="91">
        <f t="shared" si="79"/>
        <v>2.9358716615931792E-3</v>
      </c>
      <c r="U113" s="91">
        <f t="shared" si="79"/>
        <v>2.9358716615931792E-3</v>
      </c>
      <c r="V113" s="91">
        <f t="shared" si="79"/>
        <v>2.9358716615931792E-3</v>
      </c>
      <c r="W113" s="91">
        <f t="shared" si="79"/>
        <v>2.9358716615931792E-3</v>
      </c>
      <c r="X113" s="91">
        <f t="shared" si="79"/>
        <v>2.9358716615931792E-3</v>
      </c>
      <c r="Y113" s="91">
        <f t="shared" si="79"/>
        <v>2.9358716615931792E-3</v>
      </c>
      <c r="Z113" s="91">
        <f t="shared" si="79"/>
        <v>2.9358716615931792E-3</v>
      </c>
      <c r="AA113" s="91">
        <f t="shared" si="79"/>
        <v>2.9358716615931792E-3</v>
      </c>
      <c r="AB113" s="91">
        <f t="shared" si="79"/>
        <v>2.9358716615931792E-3</v>
      </c>
      <c r="AC113" s="91">
        <f t="shared" si="79"/>
        <v>2.9358716615931792E-3</v>
      </c>
    </row>
    <row r="114" spans="1:29" x14ac:dyDescent="0.25">
      <c r="A114" s="218" t="s">
        <v>4</v>
      </c>
      <c r="B114" s="86" t="s">
        <v>26</v>
      </c>
      <c r="C114" s="86"/>
      <c r="D114" s="91">
        <f>('5ta'!C$89)*'5ta'!$R94/1000</f>
        <v>2.3375504567329924E-2</v>
      </c>
      <c r="E114" s="91">
        <f t="shared" ref="E114" si="100">+(D114+F114)/2</f>
        <v>2.3375504567329924E-2</v>
      </c>
      <c r="F114" s="91">
        <f>('5ta'!E$89)*'5ta'!$R94/1000</f>
        <v>2.3375504567329924E-2</v>
      </c>
      <c r="G114" s="91">
        <f t="shared" ref="G114" si="101">+(F114+H114)/2</f>
        <v>2.3375504567329924E-2</v>
      </c>
      <c r="H114" s="91">
        <f>('5ta'!G$89)*'5ta'!$R94/1000</f>
        <v>2.3375504567329924E-2</v>
      </c>
      <c r="I114" s="91">
        <f t="shared" ref="I114" si="102">+(H114+J114)/2</f>
        <v>3.1863637910425346E-2</v>
      </c>
      <c r="J114" s="91">
        <f>('5ta'!I$89)*'5ta'!$R94/1000</f>
        <v>4.0351771253520768E-2</v>
      </c>
      <c r="K114" s="91">
        <f t="shared" ref="K114" si="103">+(J114+L114)/2</f>
        <v>4.8373684544153001E-2</v>
      </c>
      <c r="L114" s="91">
        <f>('5ta'!K$89)*'5ta'!$R94/1000</f>
        <v>5.6395597834785226E-2</v>
      </c>
      <c r="M114" s="91">
        <f>('5ta'!L$89)*'5ta'!$R94/1000</f>
        <v>3.05416705646543E-3</v>
      </c>
      <c r="N114" s="91">
        <f>('5ta'!M$89)*'5ta'!$R94/1000</f>
        <v>3.05416705646543E-3</v>
      </c>
      <c r="O114" s="91">
        <f>('5ta'!N$89)*'5ta'!$R94/1000</f>
        <v>7.2912997690148312E-4</v>
      </c>
      <c r="P114" s="91">
        <f>('5ta'!O$89)*'5ta'!$R94/1000</f>
        <v>7.2912997690148312E-4</v>
      </c>
      <c r="Q114" s="91">
        <f t="shared" si="79"/>
        <v>7.2912997690148312E-4</v>
      </c>
      <c r="R114" s="91">
        <f t="shared" si="79"/>
        <v>7.2912997690148312E-4</v>
      </c>
      <c r="S114" s="91">
        <f t="shared" si="79"/>
        <v>7.2912997690148312E-4</v>
      </c>
      <c r="T114" s="91">
        <f t="shared" si="79"/>
        <v>7.2912997690148312E-4</v>
      </c>
      <c r="U114" s="91">
        <f t="shared" si="79"/>
        <v>7.2912997690148312E-4</v>
      </c>
      <c r="V114" s="91">
        <f t="shared" si="79"/>
        <v>7.2912997690148312E-4</v>
      </c>
      <c r="W114" s="91">
        <f t="shared" si="79"/>
        <v>7.2912997690148312E-4</v>
      </c>
      <c r="X114" s="91">
        <f t="shared" si="79"/>
        <v>7.2912997690148312E-4</v>
      </c>
      <c r="Y114" s="91">
        <f t="shared" si="79"/>
        <v>7.2912997690148312E-4</v>
      </c>
      <c r="Z114" s="91">
        <f t="shared" si="79"/>
        <v>7.2912997690148312E-4</v>
      </c>
      <c r="AA114" s="91">
        <f t="shared" si="79"/>
        <v>7.2912997690148312E-4</v>
      </c>
      <c r="AB114" s="91">
        <f t="shared" si="79"/>
        <v>7.2912997690148312E-4</v>
      </c>
      <c r="AC114" s="91">
        <f t="shared" si="79"/>
        <v>7.2912997690148312E-4</v>
      </c>
    </row>
    <row r="115" spans="1:29" ht="15.75" thickBot="1" x14ac:dyDescent="0.3">
      <c r="A115" s="218" t="s">
        <v>4</v>
      </c>
      <c r="B115" s="211" t="s">
        <v>27</v>
      </c>
      <c r="C115" s="211"/>
      <c r="D115" s="529">
        <f>('5ta'!C$89)*'5ta'!$R95/1000</f>
        <v>9.7752358839799283E-2</v>
      </c>
      <c r="E115" s="529">
        <f t="shared" ref="E115" si="104">+(D115+F115)/2</f>
        <v>9.7752358839799283E-2</v>
      </c>
      <c r="F115" s="529">
        <f>('5ta'!E$89)*'5ta'!$R95/1000</f>
        <v>9.7752358839799283E-2</v>
      </c>
      <c r="G115" s="529">
        <f t="shared" ref="G115" si="105">+(F115+H115)/2</f>
        <v>9.7752358839799283E-2</v>
      </c>
      <c r="H115" s="529">
        <f>('5ta'!G$89)*'5ta'!$R95/1000</f>
        <v>9.7752358839799283E-2</v>
      </c>
      <c r="I115" s="529">
        <f t="shared" ref="I115" si="106">+(H115+J115)/2</f>
        <v>0.13324827953936713</v>
      </c>
      <c r="J115" s="529">
        <f>('5ta'!I$89)*'5ta'!$R95/1000</f>
        <v>0.16874420023893497</v>
      </c>
      <c r="K115" s="529">
        <f t="shared" ref="K115" si="107">+(J115+L115)/2</f>
        <v>0.20229046848349713</v>
      </c>
      <c r="L115" s="529">
        <f>('5ta'!K$89)*'5ta'!$R95/1000</f>
        <v>0.23583673672805927</v>
      </c>
      <c r="M115" s="529">
        <f>('5ta'!L$89)*'5ta'!$R95/1000</f>
        <v>1.2772003838478192E-2</v>
      </c>
      <c r="N115" s="529">
        <f>('5ta'!M$89)*'5ta'!$R95/1000</f>
        <v>1.2772003838478192E-2</v>
      </c>
      <c r="O115" s="529">
        <f>('5ta'!N$89)*'5ta'!$R95/1000</f>
        <v>3.0490967558639381E-3</v>
      </c>
      <c r="P115" s="529">
        <f>('5ta'!O$89)*'5ta'!$R95/1000</f>
        <v>3.0490967558639381E-3</v>
      </c>
      <c r="Q115" s="529">
        <f>+P115</f>
        <v>3.0490967558639381E-3</v>
      </c>
      <c r="R115" s="529">
        <f t="shared" ref="R115:AC115" si="108">+Q115</f>
        <v>3.0490967558639381E-3</v>
      </c>
      <c r="S115" s="529">
        <f t="shared" si="108"/>
        <v>3.0490967558639381E-3</v>
      </c>
      <c r="T115" s="529">
        <f t="shared" si="108"/>
        <v>3.0490967558639381E-3</v>
      </c>
      <c r="U115" s="529">
        <f t="shared" si="108"/>
        <v>3.0490967558639381E-3</v>
      </c>
      <c r="V115" s="529">
        <f t="shared" si="108"/>
        <v>3.0490967558639381E-3</v>
      </c>
      <c r="W115" s="529">
        <f t="shared" si="108"/>
        <v>3.0490967558639381E-3</v>
      </c>
      <c r="X115" s="529">
        <f t="shared" si="108"/>
        <v>3.0490967558639381E-3</v>
      </c>
      <c r="Y115" s="529">
        <f t="shared" si="108"/>
        <v>3.0490967558639381E-3</v>
      </c>
      <c r="Z115" s="529">
        <f t="shared" si="108"/>
        <v>3.0490967558639381E-3</v>
      </c>
      <c r="AA115" s="529">
        <f t="shared" si="108"/>
        <v>3.0490967558639381E-3</v>
      </c>
      <c r="AB115" s="529">
        <f t="shared" si="108"/>
        <v>3.0490967558639381E-3</v>
      </c>
      <c r="AC115" s="529">
        <f t="shared" si="108"/>
        <v>3.0490967558639381E-3</v>
      </c>
    </row>
    <row r="116" spans="1:29" ht="15.75" thickBot="1" x14ac:dyDescent="0.3"/>
    <row r="117" spans="1:29" s="486" customFormat="1" x14ac:dyDescent="0.25">
      <c r="A117" s="530" t="s">
        <v>105</v>
      </c>
      <c r="B117" s="531" t="s">
        <v>106</v>
      </c>
      <c r="C117" s="531"/>
      <c r="D117" s="532">
        <v>2010</v>
      </c>
      <c r="E117" s="532">
        <v>2011</v>
      </c>
      <c r="F117" s="532">
        <v>2012</v>
      </c>
      <c r="G117" s="532">
        <v>2013</v>
      </c>
      <c r="H117" s="532">
        <v>2014</v>
      </c>
      <c r="I117" s="532">
        <v>2015</v>
      </c>
      <c r="J117" s="532">
        <v>2016</v>
      </c>
      <c r="K117" s="532">
        <v>2017</v>
      </c>
      <c r="L117" s="532">
        <v>2018</v>
      </c>
      <c r="M117" s="532">
        <v>2019</v>
      </c>
      <c r="N117" s="532">
        <v>2020</v>
      </c>
      <c r="O117" s="532">
        <v>2021</v>
      </c>
      <c r="P117" s="532">
        <v>2022</v>
      </c>
      <c r="Q117" s="532">
        <v>2023</v>
      </c>
      <c r="R117" s="532">
        <v>2024</v>
      </c>
      <c r="S117" s="532">
        <v>2025</v>
      </c>
      <c r="T117" s="532">
        <v>2026</v>
      </c>
      <c r="U117" s="532">
        <v>2027</v>
      </c>
      <c r="V117" s="532">
        <v>2028</v>
      </c>
      <c r="W117" s="532">
        <v>2029</v>
      </c>
      <c r="X117" s="532">
        <v>2030</v>
      </c>
      <c r="Y117" s="532">
        <v>2031</v>
      </c>
      <c r="Z117" s="532">
        <v>2032</v>
      </c>
      <c r="AA117" s="532">
        <v>2033</v>
      </c>
      <c r="AB117" s="532">
        <v>2034</v>
      </c>
      <c r="AC117" s="533">
        <v>2035</v>
      </c>
    </row>
    <row r="118" spans="1:29" x14ac:dyDescent="0.25">
      <c r="A118" s="534" t="s">
        <v>5</v>
      </c>
      <c r="B118" s="86" t="s">
        <v>18</v>
      </c>
      <c r="C118" s="86"/>
      <c r="D118" s="536">
        <f>+'5ta'!C$90*'5ta'!$R87/1000</f>
        <v>9.069093063975886E-5</v>
      </c>
      <c r="E118" s="536">
        <f>+'5ta'!D$90*'5ta'!$R87/1000</f>
        <v>9.069093063975886E-5</v>
      </c>
      <c r="F118" s="536">
        <f>+'5ta'!E$90*'5ta'!$R87/1000</f>
        <v>9.069093063975886E-5</v>
      </c>
      <c r="G118" s="536">
        <f>+'5ta'!F$90*'5ta'!$R87/1000</f>
        <v>9.069093063975886E-5</v>
      </c>
      <c r="H118" s="536">
        <f>+'5ta'!G$90*'5ta'!$R87/1000</f>
        <v>9.069093063975886E-5</v>
      </c>
      <c r="I118" s="536">
        <f>+'5ta'!H$90*'5ta'!$R87/1000</f>
        <v>9.5911786917128746E-5</v>
      </c>
      <c r="J118" s="536">
        <f>+'5ta'!I$90*'5ta'!$R87/1000</f>
        <v>1.0113264319449865E-4</v>
      </c>
      <c r="K118" s="536">
        <f>+'5ta'!J$90*'5ta'!$R87/1000</f>
        <v>7.2515977918304487E-5</v>
      </c>
      <c r="L118" s="536">
        <f>+'5ta'!K$90*'5ta'!$R87/1000</f>
        <v>4.3899312642110301E-5</v>
      </c>
      <c r="M118" s="536">
        <f>+'5ta'!L$90*'5ta'!$R87/1000</f>
        <v>4.8997613607804851E-5</v>
      </c>
      <c r="N118" s="536">
        <f>+'5ta'!M$90*'5ta'!$R87/1000</f>
        <v>4.8997613607804851E-5</v>
      </c>
      <c r="O118" s="536">
        <f>+'5ta'!N$90*'5ta'!$R87/1000</f>
        <v>2.9780940737110003E-5</v>
      </c>
      <c r="P118" s="536">
        <f>+'5ta'!O$90*'5ta'!$R87/1000</f>
        <v>2.9780940737110003E-5</v>
      </c>
      <c r="Q118" s="536">
        <f>+P118</f>
        <v>2.9780940737110003E-5</v>
      </c>
      <c r="R118" s="536">
        <f t="shared" ref="R118:AC118" si="109">+Q118</f>
        <v>2.9780940737110003E-5</v>
      </c>
      <c r="S118" s="536">
        <f t="shared" si="109"/>
        <v>2.9780940737110003E-5</v>
      </c>
      <c r="T118" s="536">
        <f t="shared" si="109"/>
        <v>2.9780940737110003E-5</v>
      </c>
      <c r="U118" s="536">
        <f t="shared" si="109"/>
        <v>2.9780940737110003E-5</v>
      </c>
      <c r="V118" s="536">
        <f t="shared" si="109"/>
        <v>2.9780940737110003E-5</v>
      </c>
      <c r="W118" s="536">
        <f t="shared" si="109"/>
        <v>2.9780940737110003E-5</v>
      </c>
      <c r="X118" s="536">
        <f t="shared" si="109"/>
        <v>2.9780940737110003E-5</v>
      </c>
      <c r="Y118" s="536">
        <f t="shared" si="109"/>
        <v>2.9780940737110003E-5</v>
      </c>
      <c r="Z118" s="536">
        <f t="shared" si="109"/>
        <v>2.9780940737110003E-5</v>
      </c>
      <c r="AA118" s="536">
        <f t="shared" si="109"/>
        <v>2.9780940737110003E-5</v>
      </c>
      <c r="AB118" s="536">
        <f t="shared" si="109"/>
        <v>2.9780940737110003E-5</v>
      </c>
      <c r="AC118" s="536">
        <f t="shared" si="109"/>
        <v>2.9780940737110003E-5</v>
      </c>
    </row>
    <row r="119" spans="1:29" x14ac:dyDescent="0.25">
      <c r="A119" s="534" t="s">
        <v>5</v>
      </c>
      <c r="B119" s="86" t="s">
        <v>20</v>
      </c>
      <c r="C119" s="86"/>
      <c r="D119" s="536">
        <f>+'5ta'!C$90*'5ta'!$R88/1000</f>
        <v>8.856137945509715E-4</v>
      </c>
      <c r="E119" s="536">
        <f>+'5ta'!D$90*'5ta'!$R88/1000</f>
        <v>8.856137945509715E-4</v>
      </c>
      <c r="F119" s="536">
        <f>+'5ta'!E$90*'5ta'!$R88/1000</f>
        <v>8.856137945509715E-4</v>
      </c>
      <c r="G119" s="536">
        <f>+'5ta'!F$90*'5ta'!$R88/1000</f>
        <v>8.856137945509715E-4</v>
      </c>
      <c r="H119" s="536">
        <f>+'5ta'!G$90*'5ta'!$R88/1000</f>
        <v>8.856137945509715E-4</v>
      </c>
      <c r="I119" s="536">
        <f>+'5ta'!H$90*'5ta'!$R88/1000</f>
        <v>9.3659642650755436E-4</v>
      </c>
      <c r="J119" s="536">
        <f>+'5ta'!I$90*'5ta'!$R88/1000</f>
        <v>9.8757905846413733E-4</v>
      </c>
      <c r="K119" s="536">
        <f>+'5ta'!J$90*'5ta'!$R88/1000</f>
        <v>7.0813200302136472E-4</v>
      </c>
      <c r="L119" s="536">
        <f>+'5ta'!K$90*'5ta'!$R88/1000</f>
        <v>4.286849475785919E-4</v>
      </c>
      <c r="M119" s="536">
        <f>+'5ta'!L$90*'5ta'!$R88/1000</f>
        <v>4.7847080413713296E-4</v>
      </c>
      <c r="N119" s="536">
        <f>+'5ta'!M$90*'5ta'!$R88/1000</f>
        <v>4.7847080413713296E-4</v>
      </c>
      <c r="O119" s="536">
        <f>+'5ta'!N$90*'5ta'!$R88/1000</f>
        <v>2.908164217241704E-4</v>
      </c>
      <c r="P119" s="536">
        <f>+'5ta'!O$90*'5ta'!$R88/1000</f>
        <v>2.908164217241704E-4</v>
      </c>
      <c r="Q119" s="536">
        <f t="shared" ref="Q119:AC126" si="110">+P119</f>
        <v>2.908164217241704E-4</v>
      </c>
      <c r="R119" s="536">
        <f t="shared" si="110"/>
        <v>2.908164217241704E-4</v>
      </c>
      <c r="S119" s="536">
        <f t="shared" si="110"/>
        <v>2.908164217241704E-4</v>
      </c>
      <c r="T119" s="536">
        <f t="shared" si="110"/>
        <v>2.908164217241704E-4</v>
      </c>
      <c r="U119" s="536">
        <f t="shared" si="110"/>
        <v>2.908164217241704E-4</v>
      </c>
      <c r="V119" s="536">
        <f t="shared" si="110"/>
        <v>2.908164217241704E-4</v>
      </c>
      <c r="W119" s="536">
        <f t="shared" si="110"/>
        <v>2.908164217241704E-4</v>
      </c>
      <c r="X119" s="536">
        <f t="shared" si="110"/>
        <v>2.908164217241704E-4</v>
      </c>
      <c r="Y119" s="536">
        <f t="shared" si="110"/>
        <v>2.908164217241704E-4</v>
      </c>
      <c r="Z119" s="536">
        <f t="shared" si="110"/>
        <v>2.908164217241704E-4</v>
      </c>
      <c r="AA119" s="536">
        <f t="shared" si="110"/>
        <v>2.908164217241704E-4</v>
      </c>
      <c r="AB119" s="536">
        <f t="shared" si="110"/>
        <v>2.908164217241704E-4</v>
      </c>
      <c r="AC119" s="536">
        <f t="shared" si="110"/>
        <v>2.908164217241704E-4</v>
      </c>
    </row>
    <row r="120" spans="1:29" x14ac:dyDescent="0.25">
      <c r="A120" s="534" t="s">
        <v>5</v>
      </c>
      <c r="B120" s="86" t="s">
        <v>21</v>
      </c>
      <c r="C120" s="86"/>
      <c r="D120" s="536">
        <f>+'5ta'!C$90*'5ta'!$R89/1000</f>
        <v>8.4683257256326049E-3</v>
      </c>
      <c r="E120" s="536">
        <f>+'5ta'!D$90*'5ta'!$R89/1000</f>
        <v>8.4683257256326049E-3</v>
      </c>
      <c r="F120" s="536">
        <f>+'5ta'!E$90*'5ta'!$R89/1000</f>
        <v>8.4683257256326049E-3</v>
      </c>
      <c r="G120" s="536">
        <f>+'5ta'!F$90*'5ta'!$R89/1000</f>
        <v>8.4683257256326049E-3</v>
      </c>
      <c r="H120" s="536">
        <f>+'5ta'!G$90*'5ta'!$R89/1000</f>
        <v>8.4683257256326049E-3</v>
      </c>
      <c r="I120" s="536">
        <f>+'5ta'!H$90*'5ta'!$R89/1000</f>
        <v>8.9558266390271299E-3</v>
      </c>
      <c r="J120" s="536">
        <f>+'5ta'!I$90*'5ta'!$R89/1000</f>
        <v>9.4433275524216549E-3</v>
      </c>
      <c r="K120" s="536">
        <f>+'5ta'!J$90*'5ta'!$R89/1000</f>
        <v>6.7712274754821783E-3</v>
      </c>
      <c r="L120" s="536">
        <f>+'5ta'!K$90*'5ta'!$R89/1000</f>
        <v>4.0991273985427016E-3</v>
      </c>
      <c r="M120" s="536">
        <f>+'5ta'!L$90*'5ta'!$R89/1000</f>
        <v>4.5751846285242096E-3</v>
      </c>
      <c r="N120" s="536">
        <f>+'5ta'!M$90*'5ta'!$R89/1000</f>
        <v>4.5751846285242096E-3</v>
      </c>
      <c r="O120" s="536">
        <f>+'5ta'!N$90*'5ta'!$R89/1000</f>
        <v>2.7808150693631392E-3</v>
      </c>
      <c r="P120" s="536">
        <f>+'5ta'!O$90*'5ta'!$R89/1000</f>
        <v>2.7808150693631392E-3</v>
      </c>
      <c r="Q120" s="536">
        <f t="shared" si="110"/>
        <v>2.7808150693631392E-3</v>
      </c>
      <c r="R120" s="536">
        <f t="shared" si="110"/>
        <v>2.7808150693631392E-3</v>
      </c>
      <c r="S120" s="536">
        <f t="shared" si="110"/>
        <v>2.7808150693631392E-3</v>
      </c>
      <c r="T120" s="536">
        <f t="shared" si="110"/>
        <v>2.7808150693631392E-3</v>
      </c>
      <c r="U120" s="536">
        <f t="shared" si="110"/>
        <v>2.7808150693631392E-3</v>
      </c>
      <c r="V120" s="536">
        <f t="shared" si="110"/>
        <v>2.7808150693631392E-3</v>
      </c>
      <c r="W120" s="536">
        <f t="shared" si="110"/>
        <v>2.7808150693631392E-3</v>
      </c>
      <c r="X120" s="536">
        <f t="shared" si="110"/>
        <v>2.7808150693631392E-3</v>
      </c>
      <c r="Y120" s="536">
        <f t="shared" si="110"/>
        <v>2.7808150693631392E-3</v>
      </c>
      <c r="Z120" s="536">
        <f t="shared" si="110"/>
        <v>2.7808150693631392E-3</v>
      </c>
      <c r="AA120" s="536">
        <f t="shared" si="110"/>
        <v>2.7808150693631392E-3</v>
      </c>
      <c r="AB120" s="536">
        <f t="shared" si="110"/>
        <v>2.7808150693631392E-3</v>
      </c>
      <c r="AC120" s="536">
        <f t="shared" si="110"/>
        <v>2.7808150693631392E-3</v>
      </c>
    </row>
    <row r="121" spans="1:29" x14ac:dyDescent="0.25">
      <c r="A121" s="534" t="s">
        <v>5</v>
      </c>
      <c r="B121" s="86" t="s">
        <v>22</v>
      </c>
      <c r="C121" s="86"/>
      <c r="D121" s="536">
        <f>+'5ta'!C$90*'5ta'!$R90/1000</f>
        <v>3.4423197971978517E-3</v>
      </c>
      <c r="E121" s="536">
        <f>+'5ta'!D$90*'5ta'!$R90/1000</f>
        <v>3.4423197971978517E-3</v>
      </c>
      <c r="F121" s="536">
        <f>+'5ta'!E$90*'5ta'!$R90/1000</f>
        <v>3.4423197971978517E-3</v>
      </c>
      <c r="G121" s="536">
        <f>+'5ta'!F$90*'5ta'!$R90/1000</f>
        <v>3.4423197971978517E-3</v>
      </c>
      <c r="H121" s="536">
        <f>+'5ta'!G$90*'5ta'!$R90/1000</f>
        <v>3.4423197971978517E-3</v>
      </c>
      <c r="I121" s="536">
        <f>+'5ta'!H$90*'5ta'!$R90/1000</f>
        <v>3.6404857747122138E-3</v>
      </c>
      <c r="J121" s="536">
        <f>+'5ta'!I$90*'5ta'!$R90/1000</f>
        <v>3.8386517522265773E-3</v>
      </c>
      <c r="K121" s="536">
        <f>+'5ta'!J$90*'5ta'!$R90/1000</f>
        <v>2.7524603027053629E-3</v>
      </c>
      <c r="L121" s="536">
        <f>+'5ta'!K$90*'5ta'!$R90/1000</f>
        <v>1.6662688531841492E-3</v>
      </c>
      <c r="M121" s="536">
        <f>+'5ta'!L$90*'5ta'!$R90/1000</f>
        <v>1.8597830471887851E-3</v>
      </c>
      <c r="N121" s="536">
        <f>+'5ta'!M$90*'5ta'!$R90/1000</f>
        <v>1.8597830471887851E-3</v>
      </c>
      <c r="O121" s="536">
        <f>+'5ta'!N$90*'5ta'!$R90/1000</f>
        <v>1.1303833928636188E-3</v>
      </c>
      <c r="P121" s="536">
        <f>+'5ta'!O$90*'5ta'!$R90/1000</f>
        <v>1.1303833928636188E-3</v>
      </c>
      <c r="Q121" s="536">
        <f t="shared" si="110"/>
        <v>1.1303833928636188E-3</v>
      </c>
      <c r="R121" s="536">
        <f t="shared" si="110"/>
        <v>1.1303833928636188E-3</v>
      </c>
      <c r="S121" s="536">
        <f t="shared" si="110"/>
        <v>1.1303833928636188E-3</v>
      </c>
      <c r="T121" s="536">
        <f t="shared" si="110"/>
        <v>1.1303833928636188E-3</v>
      </c>
      <c r="U121" s="536">
        <f t="shared" si="110"/>
        <v>1.1303833928636188E-3</v>
      </c>
      <c r="V121" s="536">
        <f t="shared" si="110"/>
        <v>1.1303833928636188E-3</v>
      </c>
      <c r="W121" s="536">
        <f t="shared" si="110"/>
        <v>1.1303833928636188E-3</v>
      </c>
      <c r="X121" s="536">
        <f t="shared" si="110"/>
        <v>1.1303833928636188E-3</v>
      </c>
      <c r="Y121" s="536">
        <f t="shared" si="110"/>
        <v>1.1303833928636188E-3</v>
      </c>
      <c r="Z121" s="536">
        <f t="shared" si="110"/>
        <v>1.1303833928636188E-3</v>
      </c>
      <c r="AA121" s="536">
        <f t="shared" si="110"/>
        <v>1.1303833928636188E-3</v>
      </c>
      <c r="AB121" s="536">
        <f t="shared" si="110"/>
        <v>1.1303833928636188E-3</v>
      </c>
      <c r="AC121" s="536">
        <f t="shared" si="110"/>
        <v>1.1303833928636188E-3</v>
      </c>
    </row>
    <row r="122" spans="1:29" x14ac:dyDescent="0.25">
      <c r="A122" s="534" t="s">
        <v>5</v>
      </c>
      <c r="B122" s="86" t="s">
        <v>23</v>
      </c>
      <c r="C122" s="86"/>
      <c r="D122" s="536">
        <f>+'5ta'!C$90*'5ta'!$R91/1000</f>
        <v>2.3706365082812315E-3</v>
      </c>
      <c r="E122" s="536">
        <f>+'5ta'!D$90*'5ta'!$R91/1000</f>
        <v>2.3706365082812315E-3</v>
      </c>
      <c r="F122" s="536">
        <f>+'5ta'!E$90*'5ta'!$R91/1000</f>
        <v>2.3706365082812315E-3</v>
      </c>
      <c r="G122" s="536">
        <f>+'5ta'!F$90*'5ta'!$R91/1000</f>
        <v>2.3706365082812315E-3</v>
      </c>
      <c r="H122" s="536">
        <f>+'5ta'!G$90*'5ta'!$R91/1000</f>
        <v>2.3706365082812315E-3</v>
      </c>
      <c r="I122" s="536">
        <f>+'5ta'!H$90*'5ta'!$R91/1000</f>
        <v>2.5071082856498532E-3</v>
      </c>
      <c r="J122" s="536">
        <f>+'5ta'!I$90*'5ta'!$R91/1000</f>
        <v>2.6435800630184758E-3</v>
      </c>
      <c r="K122" s="536">
        <f>+'5ta'!J$90*'5ta'!$R91/1000</f>
        <v>1.8955481377702765E-3</v>
      </c>
      <c r="L122" s="536">
        <f>+'5ta'!K$90*'5ta'!$R91/1000</f>
        <v>1.1475162125220773E-3</v>
      </c>
      <c r="M122" s="536">
        <f>+'5ta'!L$90*'5ta'!$R91/1000</f>
        <v>1.2807844270416706E-3</v>
      </c>
      <c r="N122" s="536">
        <f>+'5ta'!M$90*'5ta'!$R91/1000</f>
        <v>1.2807844270416706E-3</v>
      </c>
      <c r="O122" s="536">
        <f>+'5ta'!N$90*'5ta'!$R91/1000</f>
        <v>7.7846577231397199E-4</v>
      </c>
      <c r="P122" s="536">
        <f>+'5ta'!O$90*'5ta'!$R91/1000</f>
        <v>7.7846577231397199E-4</v>
      </c>
      <c r="Q122" s="536">
        <f t="shared" si="110"/>
        <v>7.7846577231397199E-4</v>
      </c>
      <c r="R122" s="536">
        <f t="shared" si="110"/>
        <v>7.7846577231397199E-4</v>
      </c>
      <c r="S122" s="536">
        <f t="shared" si="110"/>
        <v>7.7846577231397199E-4</v>
      </c>
      <c r="T122" s="536">
        <f t="shared" si="110"/>
        <v>7.7846577231397199E-4</v>
      </c>
      <c r="U122" s="536">
        <f t="shared" si="110"/>
        <v>7.7846577231397199E-4</v>
      </c>
      <c r="V122" s="536">
        <f t="shared" si="110"/>
        <v>7.7846577231397199E-4</v>
      </c>
      <c r="W122" s="536">
        <f t="shared" si="110"/>
        <v>7.7846577231397199E-4</v>
      </c>
      <c r="X122" s="536">
        <f t="shared" si="110"/>
        <v>7.7846577231397199E-4</v>
      </c>
      <c r="Y122" s="536">
        <f t="shared" si="110"/>
        <v>7.7846577231397199E-4</v>
      </c>
      <c r="Z122" s="536">
        <f t="shared" si="110"/>
        <v>7.7846577231397199E-4</v>
      </c>
      <c r="AA122" s="536">
        <f t="shared" si="110"/>
        <v>7.7846577231397199E-4</v>
      </c>
      <c r="AB122" s="536">
        <f t="shared" si="110"/>
        <v>7.7846577231397199E-4</v>
      </c>
      <c r="AC122" s="536">
        <f t="shared" si="110"/>
        <v>7.7846577231397199E-4</v>
      </c>
    </row>
    <row r="123" spans="1:29" x14ac:dyDescent="0.25">
      <c r="A123" s="534" t="s">
        <v>5</v>
      </c>
      <c r="B123" s="86" t="s">
        <v>24</v>
      </c>
      <c r="C123" s="86"/>
      <c r="D123" s="536">
        <f>+'5ta'!C$90*'5ta'!$R92/1000</f>
        <v>1.7347125901318452E-2</v>
      </c>
      <c r="E123" s="536">
        <f>+'5ta'!D$90*'5ta'!$R92/1000</f>
        <v>1.7347125901318452E-2</v>
      </c>
      <c r="F123" s="536">
        <f>+'5ta'!E$90*'5ta'!$R92/1000</f>
        <v>1.7347125901318452E-2</v>
      </c>
      <c r="G123" s="536">
        <f>+'5ta'!F$90*'5ta'!$R92/1000</f>
        <v>1.7347125901318452E-2</v>
      </c>
      <c r="H123" s="536">
        <f>+'5ta'!G$90*'5ta'!$R92/1000</f>
        <v>1.7347125901318452E-2</v>
      </c>
      <c r="I123" s="536">
        <f>+'5ta'!H$90*'5ta'!$R92/1000</f>
        <v>1.8345757743745701E-2</v>
      </c>
      <c r="J123" s="536">
        <f>+'5ta'!I$90*'5ta'!$R92/1000</f>
        <v>1.9344389586172954E-2</v>
      </c>
      <c r="K123" s="536">
        <f>+'5ta'!J$90*'5ta'!$R92/1000</f>
        <v>1.387066810244612E-2</v>
      </c>
      <c r="L123" s="536">
        <f>+'5ta'!K$90*'5ta'!$R92/1000</f>
        <v>8.396946618719283E-3</v>
      </c>
      <c r="M123" s="536">
        <f>+'5ta'!L$90*'5ta'!$R92/1000</f>
        <v>9.3721363991177246E-3</v>
      </c>
      <c r="N123" s="536">
        <f>+'5ta'!M$90*'5ta'!$R92/1000</f>
        <v>9.3721363991177246E-3</v>
      </c>
      <c r="O123" s="536">
        <f>+'5ta'!N$90*'5ta'!$R92/1000</f>
        <v>5.6964210730005181E-3</v>
      </c>
      <c r="P123" s="536">
        <f>+'5ta'!O$90*'5ta'!$R92/1000</f>
        <v>5.6964210730005181E-3</v>
      </c>
      <c r="Q123" s="536">
        <f t="shared" si="110"/>
        <v>5.6964210730005181E-3</v>
      </c>
      <c r="R123" s="536">
        <f t="shared" si="110"/>
        <v>5.6964210730005181E-3</v>
      </c>
      <c r="S123" s="536">
        <f t="shared" si="110"/>
        <v>5.6964210730005181E-3</v>
      </c>
      <c r="T123" s="536">
        <f t="shared" si="110"/>
        <v>5.6964210730005181E-3</v>
      </c>
      <c r="U123" s="536">
        <f t="shared" si="110"/>
        <v>5.6964210730005181E-3</v>
      </c>
      <c r="V123" s="536">
        <f t="shared" si="110"/>
        <v>5.6964210730005181E-3</v>
      </c>
      <c r="W123" s="536">
        <f t="shared" si="110"/>
        <v>5.6964210730005181E-3</v>
      </c>
      <c r="X123" s="536">
        <f t="shared" si="110"/>
        <v>5.6964210730005181E-3</v>
      </c>
      <c r="Y123" s="536">
        <f t="shared" si="110"/>
        <v>5.6964210730005181E-3</v>
      </c>
      <c r="Z123" s="536">
        <f t="shared" si="110"/>
        <v>5.6964210730005181E-3</v>
      </c>
      <c r="AA123" s="536">
        <f t="shared" si="110"/>
        <v>5.6964210730005181E-3</v>
      </c>
      <c r="AB123" s="536">
        <f t="shared" si="110"/>
        <v>5.6964210730005181E-3</v>
      </c>
      <c r="AC123" s="536">
        <f t="shared" si="110"/>
        <v>5.6964210730005181E-3</v>
      </c>
    </row>
    <row r="124" spans="1:29" x14ac:dyDescent="0.25">
      <c r="A124" s="534" t="s">
        <v>5</v>
      </c>
      <c r="B124" s="86" t="s">
        <v>25</v>
      </c>
      <c r="C124" s="86"/>
      <c r="D124" s="536">
        <f>+'5ta'!C$90*'5ta'!$R93/1000</f>
        <v>1.9219258931165539E-3</v>
      </c>
      <c r="E124" s="536">
        <f>+'5ta'!D$90*'5ta'!$R93/1000</f>
        <v>1.9219258931165539E-3</v>
      </c>
      <c r="F124" s="536">
        <f>+'5ta'!E$90*'5ta'!$R93/1000</f>
        <v>1.9219258931165539E-3</v>
      </c>
      <c r="G124" s="536">
        <f>+'5ta'!F$90*'5ta'!$R93/1000</f>
        <v>1.9219258931165539E-3</v>
      </c>
      <c r="H124" s="536">
        <f>+'5ta'!G$90*'5ta'!$R93/1000</f>
        <v>1.9219258931165539E-3</v>
      </c>
      <c r="I124" s="536">
        <f>+'5ta'!H$90*'5ta'!$R93/1000</f>
        <v>2.0325664918283987E-3</v>
      </c>
      <c r="J124" s="536">
        <f>+'5ta'!I$90*'5ta'!$R93/1000</f>
        <v>2.1432070905402435E-3</v>
      </c>
      <c r="K124" s="536">
        <f>+'5ta'!J$90*'5ta'!$R93/1000</f>
        <v>1.536761555347385E-3</v>
      </c>
      <c r="L124" s="536">
        <f>+'5ta'!K$90*'5ta'!$R93/1000</f>
        <v>9.3031602015452642E-4</v>
      </c>
      <c r="M124" s="536">
        <f>+'5ta'!L$90*'5ta'!$R93/1000</f>
        <v>1.0383594217135111E-3</v>
      </c>
      <c r="N124" s="536">
        <f>+'5ta'!M$90*'5ta'!$R93/1000</f>
        <v>1.0383594217135111E-3</v>
      </c>
      <c r="O124" s="536">
        <f>+'5ta'!N$90*'5ta'!$R93/1000</f>
        <v>6.311189081450306E-4</v>
      </c>
      <c r="P124" s="536">
        <f>+'5ta'!O$90*'5ta'!$R93/1000</f>
        <v>6.311189081450306E-4</v>
      </c>
      <c r="Q124" s="536">
        <f t="shared" si="110"/>
        <v>6.311189081450306E-4</v>
      </c>
      <c r="R124" s="536">
        <f t="shared" si="110"/>
        <v>6.311189081450306E-4</v>
      </c>
      <c r="S124" s="536">
        <f t="shared" si="110"/>
        <v>6.311189081450306E-4</v>
      </c>
      <c r="T124" s="536">
        <f t="shared" si="110"/>
        <v>6.311189081450306E-4</v>
      </c>
      <c r="U124" s="536">
        <f t="shared" si="110"/>
        <v>6.311189081450306E-4</v>
      </c>
      <c r="V124" s="536">
        <f t="shared" si="110"/>
        <v>6.311189081450306E-4</v>
      </c>
      <c r="W124" s="536">
        <f t="shared" si="110"/>
        <v>6.311189081450306E-4</v>
      </c>
      <c r="X124" s="536">
        <f t="shared" si="110"/>
        <v>6.311189081450306E-4</v>
      </c>
      <c r="Y124" s="536">
        <f t="shared" si="110"/>
        <v>6.311189081450306E-4</v>
      </c>
      <c r="Z124" s="536">
        <f t="shared" si="110"/>
        <v>6.311189081450306E-4</v>
      </c>
      <c r="AA124" s="536">
        <f t="shared" si="110"/>
        <v>6.311189081450306E-4</v>
      </c>
      <c r="AB124" s="536">
        <f t="shared" si="110"/>
        <v>6.311189081450306E-4</v>
      </c>
      <c r="AC124" s="536">
        <f t="shared" si="110"/>
        <v>6.311189081450306E-4</v>
      </c>
    </row>
    <row r="125" spans="1:29" x14ac:dyDescent="0.25">
      <c r="A125" s="534" t="s">
        <v>5</v>
      </c>
      <c r="B125" s="86" t="s">
        <v>26</v>
      </c>
      <c r="C125" s="86"/>
      <c r="D125" s="536">
        <f>+'5ta'!C$90*'5ta'!$R94/1000</f>
        <v>4.7731438686048961E-4</v>
      </c>
      <c r="E125" s="536">
        <f>+'5ta'!D$90*'5ta'!$R94/1000</f>
        <v>4.7731438686048961E-4</v>
      </c>
      <c r="F125" s="536">
        <f>+'5ta'!E$90*'5ta'!$R94/1000</f>
        <v>4.7731438686048961E-4</v>
      </c>
      <c r="G125" s="536">
        <f>+'5ta'!F$90*'5ta'!$R94/1000</f>
        <v>4.7731438686048961E-4</v>
      </c>
      <c r="H125" s="536">
        <f>+'5ta'!G$90*'5ta'!$R94/1000</f>
        <v>4.7731438686048961E-4</v>
      </c>
      <c r="I125" s="536">
        <f>+'5ta'!H$90*'5ta'!$R94/1000</f>
        <v>5.0479221507705285E-4</v>
      </c>
      <c r="J125" s="536">
        <f>+'5ta'!I$90*'5ta'!$R94/1000</f>
        <v>5.3227004329361614E-4</v>
      </c>
      <c r="K125" s="536">
        <f>+'5ta'!J$90*'5ta'!$R94/1000</f>
        <v>3.8165800365588066E-4</v>
      </c>
      <c r="L125" s="536">
        <f>+'5ta'!K$90*'5ta'!$R94/1000</f>
        <v>2.3104596401814508E-4</v>
      </c>
      <c r="M125" s="536">
        <f>+'5ta'!L$90*'5ta'!$R94/1000</f>
        <v>2.57878772793005E-4</v>
      </c>
      <c r="N125" s="536">
        <f>+'5ta'!M$90*'5ta'!$R94/1000</f>
        <v>2.57878772793005E-4</v>
      </c>
      <c r="O125" s="536">
        <f>+'5ta'!N$90*'5ta'!$R94/1000</f>
        <v>1.5673972433391753E-4</v>
      </c>
      <c r="P125" s="536">
        <f>+'5ta'!O$90*'5ta'!$R94/1000</f>
        <v>1.5673972433391753E-4</v>
      </c>
      <c r="Q125" s="536">
        <f t="shared" si="110"/>
        <v>1.5673972433391753E-4</v>
      </c>
      <c r="R125" s="536">
        <f t="shared" si="110"/>
        <v>1.5673972433391753E-4</v>
      </c>
      <c r="S125" s="536">
        <f t="shared" si="110"/>
        <v>1.5673972433391753E-4</v>
      </c>
      <c r="T125" s="536">
        <f t="shared" si="110"/>
        <v>1.5673972433391753E-4</v>
      </c>
      <c r="U125" s="536">
        <f t="shared" si="110"/>
        <v>1.5673972433391753E-4</v>
      </c>
      <c r="V125" s="536">
        <f t="shared" si="110"/>
        <v>1.5673972433391753E-4</v>
      </c>
      <c r="W125" s="536">
        <f t="shared" si="110"/>
        <v>1.5673972433391753E-4</v>
      </c>
      <c r="X125" s="536">
        <f t="shared" si="110"/>
        <v>1.5673972433391753E-4</v>
      </c>
      <c r="Y125" s="536">
        <f t="shared" si="110"/>
        <v>1.5673972433391753E-4</v>
      </c>
      <c r="Z125" s="536">
        <f t="shared" si="110"/>
        <v>1.5673972433391753E-4</v>
      </c>
      <c r="AA125" s="536">
        <f t="shared" si="110"/>
        <v>1.5673972433391753E-4</v>
      </c>
      <c r="AB125" s="536">
        <f t="shared" si="110"/>
        <v>1.5673972433391753E-4</v>
      </c>
      <c r="AC125" s="536">
        <f t="shared" si="110"/>
        <v>1.5673972433391753E-4</v>
      </c>
    </row>
    <row r="126" spans="1:29" s="491" customFormat="1" ht="15.75" thickBot="1" x14ac:dyDescent="0.3">
      <c r="A126" s="535" t="s">
        <v>5</v>
      </c>
      <c r="B126" s="211" t="s">
        <v>27</v>
      </c>
      <c r="C126" s="211"/>
      <c r="D126" s="537">
        <f>+'5ta'!C$90*'5ta'!$R95/1000</f>
        <v>1.9960470624020826E-3</v>
      </c>
      <c r="E126" s="537">
        <f>+'5ta'!D$90*'5ta'!$R95/1000</f>
        <v>1.9960470624020826E-3</v>
      </c>
      <c r="F126" s="537">
        <f>+'5ta'!E$90*'5ta'!$R95/1000</f>
        <v>1.9960470624020826E-3</v>
      </c>
      <c r="G126" s="537">
        <f>+'5ta'!F$90*'5ta'!$R95/1000</f>
        <v>1.9960470624020826E-3</v>
      </c>
      <c r="H126" s="537">
        <f>+'5ta'!G$90*'5ta'!$R95/1000</f>
        <v>1.9960470624020826E-3</v>
      </c>
      <c r="I126" s="537">
        <f>+'5ta'!H$90*'5ta'!$R95/1000</f>
        <v>2.1109546365349588E-3</v>
      </c>
      <c r="J126" s="537">
        <f>+'5ta'!I$90*'5ta'!$R95/1000</f>
        <v>2.2258622106678359E-3</v>
      </c>
      <c r="K126" s="537">
        <f>+'5ta'!J$90*'5ta'!$R95/1000</f>
        <v>1.5960284416531246E-3</v>
      </c>
      <c r="L126" s="537">
        <f>+'5ta'!K$90*'5ta'!$R95/1000</f>
        <v>9.6619467263841347E-4</v>
      </c>
      <c r="M126" s="537">
        <f>+'5ta'!L$90*'5ta'!$R95/1000</f>
        <v>1.0784048858761522E-3</v>
      </c>
      <c r="N126" s="537">
        <f>+'5ta'!M$90*'5ta'!$R95/1000</f>
        <v>1.0784048858761522E-3</v>
      </c>
      <c r="O126" s="537">
        <f>+'5ta'!N$90*'5ta'!$R95/1000</f>
        <v>6.5545869751852182E-4</v>
      </c>
      <c r="P126" s="537">
        <f>+'5ta'!O$90*'5ta'!$R95/1000</f>
        <v>6.5545869751852182E-4</v>
      </c>
      <c r="Q126" s="537">
        <f t="shared" si="110"/>
        <v>6.5545869751852182E-4</v>
      </c>
      <c r="R126" s="537">
        <f t="shared" si="110"/>
        <v>6.5545869751852182E-4</v>
      </c>
      <c r="S126" s="537">
        <f t="shared" si="110"/>
        <v>6.5545869751852182E-4</v>
      </c>
      <c r="T126" s="537">
        <f t="shared" si="110"/>
        <v>6.5545869751852182E-4</v>
      </c>
      <c r="U126" s="537">
        <f t="shared" si="110"/>
        <v>6.5545869751852182E-4</v>
      </c>
      <c r="V126" s="537">
        <f t="shared" si="110"/>
        <v>6.5545869751852182E-4</v>
      </c>
      <c r="W126" s="537">
        <f t="shared" si="110"/>
        <v>6.5545869751852182E-4</v>
      </c>
      <c r="X126" s="537">
        <f t="shared" si="110"/>
        <v>6.5545869751852182E-4</v>
      </c>
      <c r="Y126" s="537">
        <f t="shared" si="110"/>
        <v>6.5545869751852182E-4</v>
      </c>
      <c r="Z126" s="537">
        <f t="shared" si="110"/>
        <v>6.5545869751852182E-4</v>
      </c>
      <c r="AA126" s="537">
        <f t="shared" si="110"/>
        <v>6.5545869751852182E-4</v>
      </c>
      <c r="AB126" s="537">
        <f t="shared" si="110"/>
        <v>6.5545869751852182E-4</v>
      </c>
      <c r="AC126" s="537">
        <f t="shared" si="110"/>
        <v>6.5545869751852182E-4</v>
      </c>
    </row>
    <row r="127" spans="1:29" ht="15.75" thickBot="1" x14ac:dyDescent="0.3"/>
    <row r="128" spans="1:29" x14ac:dyDescent="0.25">
      <c r="A128" s="204" t="s">
        <v>105</v>
      </c>
      <c r="B128" s="205" t="s">
        <v>106</v>
      </c>
      <c r="C128" s="205"/>
      <c r="D128" s="532">
        <v>2010</v>
      </c>
      <c r="E128" s="206">
        <v>2011</v>
      </c>
      <c r="F128" s="206">
        <v>2012</v>
      </c>
      <c r="G128" s="206">
        <v>2013</v>
      </c>
      <c r="H128" s="206">
        <v>2014</v>
      </c>
      <c r="I128" s="206">
        <v>2015</v>
      </c>
      <c r="J128" s="206">
        <v>2016</v>
      </c>
      <c r="K128" s="206">
        <v>2017</v>
      </c>
      <c r="L128" s="206">
        <v>2018</v>
      </c>
      <c r="M128" s="206">
        <v>2019</v>
      </c>
      <c r="N128" s="206">
        <v>2020</v>
      </c>
      <c r="O128" s="206">
        <v>2021</v>
      </c>
      <c r="P128" s="206">
        <v>2022</v>
      </c>
      <c r="Q128" s="206">
        <v>2023</v>
      </c>
      <c r="R128" s="206">
        <v>2024</v>
      </c>
      <c r="S128" s="206">
        <v>2025</v>
      </c>
      <c r="T128" s="206">
        <v>2026</v>
      </c>
      <c r="U128" s="206">
        <v>2027</v>
      </c>
      <c r="V128" s="206">
        <v>2028</v>
      </c>
      <c r="W128" s="206">
        <v>2029</v>
      </c>
      <c r="X128" s="206">
        <v>2030</v>
      </c>
      <c r="Y128" s="206">
        <v>2031</v>
      </c>
      <c r="Z128" s="206">
        <v>2032</v>
      </c>
      <c r="AA128" s="206">
        <v>2033</v>
      </c>
      <c r="AB128" s="206">
        <v>2034</v>
      </c>
      <c r="AC128" s="207">
        <v>2035</v>
      </c>
    </row>
    <row r="129" spans="1:29" x14ac:dyDescent="0.25">
      <c r="A129" s="208" t="s">
        <v>6</v>
      </c>
      <c r="B129" s="86" t="s">
        <v>18</v>
      </c>
      <c r="C129" s="86"/>
      <c r="D129" s="538">
        <f>'5ta'!C$91*'5ta'!$R87/1000</f>
        <v>0</v>
      </c>
      <c r="E129" s="538">
        <v>0</v>
      </c>
      <c r="F129" s="538">
        <f>'5ta'!E$91*'5ta'!$R87/1000</f>
        <v>0</v>
      </c>
      <c r="G129" s="538">
        <v>0</v>
      </c>
      <c r="H129" s="538">
        <f>'5ta'!G$91*'5ta'!$R87/1000</f>
        <v>0</v>
      </c>
      <c r="I129" s="538">
        <v>0</v>
      </c>
      <c r="J129" s="538">
        <f>'5ta'!I$91*'5ta'!$R87/1000</f>
        <v>0</v>
      </c>
      <c r="K129" s="538">
        <v>0</v>
      </c>
      <c r="L129" s="538">
        <f>'5ta'!K$91*'5ta'!$R87/1000</f>
        <v>4.325957391516498E-4</v>
      </c>
      <c r="M129" s="538">
        <f>'5ta'!L$91*'5ta'!$R87/1000</f>
        <v>1.3103613924328399E-4</v>
      </c>
      <c r="N129" s="538">
        <f>'5ta'!M$91*'5ta'!$R87/1000</f>
        <v>1.3103613924328399E-4</v>
      </c>
      <c r="O129" s="538">
        <f>'5ta'!N$91*'5ta'!$R87/1000</f>
        <v>0</v>
      </c>
      <c r="P129" s="538">
        <f>'5ta'!O$91*'5ta'!$R87/1000</f>
        <v>0</v>
      </c>
      <c r="Q129" s="538">
        <f>+P129</f>
        <v>0</v>
      </c>
      <c r="R129" s="538">
        <f t="shared" ref="R129:AC129" si="111">+Q129</f>
        <v>0</v>
      </c>
      <c r="S129" s="538">
        <f t="shared" si="111"/>
        <v>0</v>
      </c>
      <c r="T129" s="538">
        <f t="shared" si="111"/>
        <v>0</v>
      </c>
      <c r="U129" s="538">
        <f t="shared" si="111"/>
        <v>0</v>
      </c>
      <c r="V129" s="538">
        <f t="shared" si="111"/>
        <v>0</v>
      </c>
      <c r="W129" s="538">
        <f t="shared" si="111"/>
        <v>0</v>
      </c>
      <c r="X129" s="538">
        <f t="shared" si="111"/>
        <v>0</v>
      </c>
      <c r="Y129" s="538">
        <f t="shared" si="111"/>
        <v>0</v>
      </c>
      <c r="Z129" s="538">
        <f t="shared" si="111"/>
        <v>0</v>
      </c>
      <c r="AA129" s="538">
        <f t="shared" si="111"/>
        <v>0</v>
      </c>
      <c r="AB129" s="538">
        <f t="shared" si="111"/>
        <v>0</v>
      </c>
      <c r="AC129" s="538">
        <f t="shared" si="111"/>
        <v>0</v>
      </c>
    </row>
    <row r="130" spans="1:29" x14ac:dyDescent="0.25">
      <c r="A130" s="208" t="s">
        <v>6</v>
      </c>
      <c r="B130" s="86" t="s">
        <v>20</v>
      </c>
      <c r="C130" s="86"/>
      <c r="D130" s="538">
        <f>'5ta'!C$91*'5ta'!$R88/1000</f>
        <v>0</v>
      </c>
      <c r="E130" s="538">
        <v>0</v>
      </c>
      <c r="F130" s="538">
        <f>'5ta'!E$91*'5ta'!$R88/1000</f>
        <v>0</v>
      </c>
      <c r="G130" s="538">
        <v>0</v>
      </c>
      <c r="H130" s="538">
        <f>'5ta'!G$91*'5ta'!$R88/1000</f>
        <v>0</v>
      </c>
      <c r="I130" s="538">
        <v>0</v>
      </c>
      <c r="J130" s="538">
        <f>'5ta'!I$91*'5ta'!$R88/1000</f>
        <v>0</v>
      </c>
      <c r="K130" s="538">
        <v>0</v>
      </c>
      <c r="L130" s="538">
        <f>'5ta'!K$91*'5ta'!$R88/1000</f>
        <v>4.224377800008134E-3</v>
      </c>
      <c r="M130" s="538">
        <f>'5ta'!L$91*'5ta'!$R88/1000</f>
        <v>1.2795922555863498E-3</v>
      </c>
      <c r="N130" s="538">
        <f>'5ta'!M$91*'5ta'!$R88/1000</f>
        <v>1.2795922555863498E-3</v>
      </c>
      <c r="O130" s="538">
        <f>'5ta'!N$91*'5ta'!$R88/1000</f>
        <v>0</v>
      </c>
      <c r="P130" s="538">
        <f>'5ta'!O$91*'5ta'!$R88/1000</f>
        <v>0</v>
      </c>
      <c r="Q130" s="538">
        <f t="shared" ref="Q130:AC137" si="112">+P130</f>
        <v>0</v>
      </c>
      <c r="R130" s="538">
        <f t="shared" si="112"/>
        <v>0</v>
      </c>
      <c r="S130" s="538">
        <f t="shared" si="112"/>
        <v>0</v>
      </c>
      <c r="T130" s="538">
        <f t="shared" si="112"/>
        <v>0</v>
      </c>
      <c r="U130" s="538">
        <f t="shared" si="112"/>
        <v>0</v>
      </c>
      <c r="V130" s="538">
        <f t="shared" si="112"/>
        <v>0</v>
      </c>
      <c r="W130" s="538">
        <f t="shared" si="112"/>
        <v>0</v>
      </c>
      <c r="X130" s="538">
        <f t="shared" si="112"/>
        <v>0</v>
      </c>
      <c r="Y130" s="538">
        <f t="shared" si="112"/>
        <v>0</v>
      </c>
      <c r="Z130" s="538">
        <f t="shared" si="112"/>
        <v>0</v>
      </c>
      <c r="AA130" s="538">
        <f t="shared" si="112"/>
        <v>0</v>
      </c>
      <c r="AB130" s="538">
        <f t="shared" si="112"/>
        <v>0</v>
      </c>
      <c r="AC130" s="538">
        <f t="shared" si="112"/>
        <v>0</v>
      </c>
    </row>
    <row r="131" spans="1:29" x14ac:dyDescent="0.25">
      <c r="A131" s="208" t="s">
        <v>6</v>
      </c>
      <c r="B131" s="86" t="s">
        <v>21</v>
      </c>
      <c r="C131" s="86"/>
      <c r="D131" s="538">
        <f>'5ta'!C$91*'5ta'!$R89/1000</f>
        <v>0</v>
      </c>
      <c r="E131" s="538">
        <v>0</v>
      </c>
      <c r="F131" s="538">
        <f>'5ta'!E$91*'5ta'!$R89/1000</f>
        <v>0</v>
      </c>
      <c r="G131" s="538">
        <v>0</v>
      </c>
      <c r="H131" s="538">
        <f>'5ta'!G$91*'5ta'!$R89/1000</f>
        <v>0</v>
      </c>
      <c r="I131" s="538">
        <v>0</v>
      </c>
      <c r="J131" s="538">
        <f>'5ta'!I$91*'5ta'!$R89/1000</f>
        <v>0</v>
      </c>
      <c r="K131" s="538">
        <v>0</v>
      </c>
      <c r="L131" s="538">
        <f>'5ta'!K$91*'5ta'!$R89/1000</f>
        <v>4.0393913711267528E-2</v>
      </c>
      <c r="M131" s="538">
        <f>'5ta'!L$91*'5ta'!$R89/1000</f>
        <v>1.2235586305197811E-2</v>
      </c>
      <c r="N131" s="538">
        <f>'5ta'!M$91*'5ta'!$R89/1000</f>
        <v>1.2235586305197811E-2</v>
      </c>
      <c r="O131" s="538">
        <f>'5ta'!N$91*'5ta'!$R89/1000</f>
        <v>0</v>
      </c>
      <c r="P131" s="538">
        <f>'5ta'!O$91*'5ta'!$R89/1000</f>
        <v>0</v>
      </c>
      <c r="Q131" s="538">
        <f t="shared" si="112"/>
        <v>0</v>
      </c>
      <c r="R131" s="538">
        <f t="shared" si="112"/>
        <v>0</v>
      </c>
      <c r="S131" s="538">
        <f t="shared" si="112"/>
        <v>0</v>
      </c>
      <c r="T131" s="538">
        <f t="shared" si="112"/>
        <v>0</v>
      </c>
      <c r="U131" s="538">
        <f t="shared" si="112"/>
        <v>0</v>
      </c>
      <c r="V131" s="538">
        <f t="shared" si="112"/>
        <v>0</v>
      </c>
      <c r="W131" s="538">
        <f t="shared" si="112"/>
        <v>0</v>
      </c>
      <c r="X131" s="538">
        <f t="shared" si="112"/>
        <v>0</v>
      </c>
      <c r="Y131" s="538">
        <f t="shared" si="112"/>
        <v>0</v>
      </c>
      <c r="Z131" s="538">
        <f t="shared" si="112"/>
        <v>0</v>
      </c>
      <c r="AA131" s="538">
        <f t="shared" si="112"/>
        <v>0</v>
      </c>
      <c r="AB131" s="538">
        <f t="shared" si="112"/>
        <v>0</v>
      </c>
      <c r="AC131" s="538">
        <f t="shared" si="112"/>
        <v>0</v>
      </c>
    </row>
    <row r="132" spans="1:29" x14ac:dyDescent="0.25">
      <c r="A132" s="208" t="s">
        <v>6</v>
      </c>
      <c r="B132" s="86" t="s">
        <v>22</v>
      </c>
      <c r="C132" s="86"/>
      <c r="D132" s="538">
        <f>'5ta'!C$91*'5ta'!$R90/1000</f>
        <v>0</v>
      </c>
      <c r="E132" s="538">
        <v>0</v>
      </c>
      <c r="F132" s="538">
        <f>'5ta'!E$91*'5ta'!$R90/1000</f>
        <v>0</v>
      </c>
      <c r="G132" s="538">
        <v>0</v>
      </c>
      <c r="H132" s="538">
        <f>'5ta'!G$91*'5ta'!$R90/1000</f>
        <v>0</v>
      </c>
      <c r="I132" s="538">
        <v>0</v>
      </c>
      <c r="J132" s="538">
        <f>'5ta'!I$91*'5ta'!$R90/1000</f>
        <v>0</v>
      </c>
      <c r="K132" s="538">
        <v>0</v>
      </c>
      <c r="L132" s="538">
        <f>'5ta'!K$91*'5ta'!$R90/1000</f>
        <v>1.6419865432633754E-2</v>
      </c>
      <c r="M132" s="538">
        <f>'5ta'!L$91*'5ta'!$R90/1000</f>
        <v>4.9736869285999233E-3</v>
      </c>
      <c r="N132" s="538">
        <f>'5ta'!M$91*'5ta'!$R90/1000</f>
        <v>4.9736869285999233E-3</v>
      </c>
      <c r="O132" s="538">
        <f>'5ta'!N$91*'5ta'!$R90/1000</f>
        <v>0</v>
      </c>
      <c r="P132" s="538">
        <f>'5ta'!O$91*'5ta'!$R90/1000</f>
        <v>0</v>
      </c>
      <c r="Q132" s="538">
        <f t="shared" si="112"/>
        <v>0</v>
      </c>
      <c r="R132" s="538">
        <f t="shared" si="112"/>
        <v>0</v>
      </c>
      <c r="S132" s="538">
        <f t="shared" si="112"/>
        <v>0</v>
      </c>
      <c r="T132" s="538">
        <f t="shared" si="112"/>
        <v>0</v>
      </c>
      <c r="U132" s="538">
        <f t="shared" si="112"/>
        <v>0</v>
      </c>
      <c r="V132" s="538">
        <f t="shared" si="112"/>
        <v>0</v>
      </c>
      <c r="W132" s="538">
        <f t="shared" si="112"/>
        <v>0</v>
      </c>
      <c r="X132" s="538">
        <f t="shared" si="112"/>
        <v>0</v>
      </c>
      <c r="Y132" s="538">
        <f t="shared" si="112"/>
        <v>0</v>
      </c>
      <c r="Z132" s="538">
        <f t="shared" si="112"/>
        <v>0</v>
      </c>
      <c r="AA132" s="538">
        <f t="shared" si="112"/>
        <v>0</v>
      </c>
      <c r="AB132" s="538">
        <f t="shared" si="112"/>
        <v>0</v>
      </c>
      <c r="AC132" s="538">
        <f t="shared" si="112"/>
        <v>0</v>
      </c>
    </row>
    <row r="133" spans="1:29" x14ac:dyDescent="0.25">
      <c r="A133" s="208" t="s">
        <v>6</v>
      </c>
      <c r="B133" s="86" t="s">
        <v>23</v>
      </c>
      <c r="C133" s="86"/>
      <c r="D133" s="538">
        <f>'5ta'!C$91*'5ta'!$R91/1000</f>
        <v>0</v>
      </c>
      <c r="E133" s="538">
        <v>0</v>
      </c>
      <c r="F133" s="538">
        <f>'5ta'!E$91*'5ta'!$R91/1000</f>
        <v>0</v>
      </c>
      <c r="G133" s="538">
        <v>0</v>
      </c>
      <c r="H133" s="538">
        <f>'5ta'!G$91*'5ta'!$R91/1000</f>
        <v>0</v>
      </c>
      <c r="I133" s="538">
        <v>0</v>
      </c>
      <c r="J133" s="538">
        <f>'5ta'!I$91*'5ta'!$R91/1000</f>
        <v>0</v>
      </c>
      <c r="K133" s="538">
        <v>0</v>
      </c>
      <c r="L133" s="538">
        <f>'5ta'!K$91*'5ta'!$R91/1000</f>
        <v>1.1307936144501476E-2</v>
      </c>
      <c r="M133" s="538">
        <f>'5ta'!L$91*'5ta'!$R91/1000</f>
        <v>3.4252493981814765E-3</v>
      </c>
      <c r="N133" s="538">
        <f>'5ta'!M$91*'5ta'!$R91/1000</f>
        <v>3.4252493981814765E-3</v>
      </c>
      <c r="O133" s="538">
        <f>'5ta'!N$91*'5ta'!$R91/1000</f>
        <v>0</v>
      </c>
      <c r="P133" s="538">
        <f>'5ta'!O$91*'5ta'!$R91/1000</f>
        <v>0</v>
      </c>
      <c r="Q133" s="538">
        <f t="shared" si="112"/>
        <v>0</v>
      </c>
      <c r="R133" s="538">
        <f t="shared" si="112"/>
        <v>0</v>
      </c>
      <c r="S133" s="538">
        <f t="shared" si="112"/>
        <v>0</v>
      </c>
      <c r="T133" s="538">
        <f t="shared" si="112"/>
        <v>0</v>
      </c>
      <c r="U133" s="538">
        <f t="shared" si="112"/>
        <v>0</v>
      </c>
      <c r="V133" s="538">
        <f t="shared" si="112"/>
        <v>0</v>
      </c>
      <c r="W133" s="538">
        <f t="shared" si="112"/>
        <v>0</v>
      </c>
      <c r="X133" s="538">
        <f t="shared" si="112"/>
        <v>0</v>
      </c>
      <c r="Y133" s="538">
        <f t="shared" si="112"/>
        <v>0</v>
      </c>
      <c r="Z133" s="538">
        <f t="shared" si="112"/>
        <v>0</v>
      </c>
      <c r="AA133" s="538">
        <f t="shared" si="112"/>
        <v>0</v>
      </c>
      <c r="AB133" s="538">
        <f t="shared" si="112"/>
        <v>0</v>
      </c>
      <c r="AC133" s="538">
        <f t="shared" si="112"/>
        <v>0</v>
      </c>
    </row>
    <row r="134" spans="1:29" x14ac:dyDescent="0.25">
      <c r="A134" s="208" t="s">
        <v>6</v>
      </c>
      <c r="B134" s="86" t="s">
        <v>24</v>
      </c>
      <c r="C134" s="86"/>
      <c r="D134" s="538">
        <f>'5ta'!C$91*'5ta'!$R92/1000</f>
        <v>0</v>
      </c>
      <c r="E134" s="538">
        <v>0</v>
      </c>
      <c r="F134" s="538">
        <f>'5ta'!E$91*'5ta'!$R92/1000</f>
        <v>0</v>
      </c>
      <c r="G134" s="538">
        <v>0</v>
      </c>
      <c r="H134" s="538">
        <f>'5ta'!G$91*'5ta'!$R92/1000</f>
        <v>0</v>
      </c>
      <c r="I134" s="538">
        <v>0</v>
      </c>
      <c r="J134" s="538">
        <f>'5ta'!I$91*'5ta'!$R92/1000</f>
        <v>0</v>
      </c>
      <c r="K134" s="538">
        <v>0</v>
      </c>
      <c r="L134" s="538">
        <f>'5ta'!K$91*'5ta'!$R92/1000</f>
        <v>8.2745790549289031E-2</v>
      </c>
      <c r="M134" s="538">
        <f>'5ta'!L$91*'5ta'!$R92/1000</f>
        <v>2.5064252721202284E-2</v>
      </c>
      <c r="N134" s="538">
        <f>'5ta'!M$91*'5ta'!$R92/1000</f>
        <v>2.5064252721202284E-2</v>
      </c>
      <c r="O134" s="538">
        <f>'5ta'!N$91*'5ta'!$R92/1000</f>
        <v>0</v>
      </c>
      <c r="P134" s="538">
        <f>'5ta'!O$91*'5ta'!$R92/1000</f>
        <v>0</v>
      </c>
      <c r="Q134" s="538">
        <f t="shared" si="112"/>
        <v>0</v>
      </c>
      <c r="R134" s="538">
        <f t="shared" si="112"/>
        <v>0</v>
      </c>
      <c r="S134" s="538">
        <f t="shared" si="112"/>
        <v>0</v>
      </c>
      <c r="T134" s="538">
        <f t="shared" si="112"/>
        <v>0</v>
      </c>
      <c r="U134" s="538">
        <f t="shared" si="112"/>
        <v>0</v>
      </c>
      <c r="V134" s="538">
        <f t="shared" si="112"/>
        <v>0</v>
      </c>
      <c r="W134" s="538">
        <f t="shared" si="112"/>
        <v>0</v>
      </c>
      <c r="X134" s="538">
        <f t="shared" si="112"/>
        <v>0</v>
      </c>
      <c r="Y134" s="538">
        <f t="shared" si="112"/>
        <v>0</v>
      </c>
      <c r="Z134" s="538">
        <f t="shared" si="112"/>
        <v>0</v>
      </c>
      <c r="AA134" s="538">
        <f t="shared" si="112"/>
        <v>0</v>
      </c>
      <c r="AB134" s="538">
        <f t="shared" si="112"/>
        <v>0</v>
      </c>
      <c r="AC134" s="538">
        <f t="shared" si="112"/>
        <v>0</v>
      </c>
    </row>
    <row r="135" spans="1:29" x14ac:dyDescent="0.25">
      <c r="A135" s="208" t="s">
        <v>6</v>
      </c>
      <c r="B135" s="86" t="s">
        <v>25</v>
      </c>
      <c r="C135" s="86"/>
      <c r="D135" s="538">
        <f>'5ta'!C$91*'5ta'!$R93/1000</f>
        <v>0</v>
      </c>
      <c r="E135" s="538">
        <v>0</v>
      </c>
      <c r="F135" s="538">
        <f>'5ta'!E$91*'5ta'!$R93/1000</f>
        <v>0</v>
      </c>
      <c r="G135" s="538">
        <v>0</v>
      </c>
      <c r="H135" s="538">
        <f>'5ta'!G$91*'5ta'!$R93/1000</f>
        <v>0</v>
      </c>
      <c r="I135" s="538">
        <v>0</v>
      </c>
      <c r="J135" s="538">
        <f>'5ta'!I$91*'5ta'!$R93/1000</f>
        <v>0</v>
      </c>
      <c r="K135" s="538">
        <v>0</v>
      </c>
      <c r="L135" s="538">
        <f>'5ta'!K$91*'5ta'!$R93/1000</f>
        <v>9.1675865101659634E-3</v>
      </c>
      <c r="M135" s="538">
        <f>'5ta'!L$91*'5ta'!$R93/1000</f>
        <v>2.7769231958381341E-3</v>
      </c>
      <c r="N135" s="538">
        <f>'5ta'!M$91*'5ta'!$R93/1000</f>
        <v>2.7769231958381341E-3</v>
      </c>
      <c r="O135" s="538">
        <f>'5ta'!N$91*'5ta'!$R93/1000</f>
        <v>0</v>
      </c>
      <c r="P135" s="538">
        <f>'5ta'!O$91*'5ta'!$R93/1000</f>
        <v>0</v>
      </c>
      <c r="Q135" s="538">
        <f t="shared" si="112"/>
        <v>0</v>
      </c>
      <c r="R135" s="538">
        <f t="shared" si="112"/>
        <v>0</v>
      </c>
      <c r="S135" s="538">
        <f t="shared" si="112"/>
        <v>0</v>
      </c>
      <c r="T135" s="538">
        <f t="shared" si="112"/>
        <v>0</v>
      </c>
      <c r="U135" s="538">
        <f t="shared" si="112"/>
        <v>0</v>
      </c>
      <c r="V135" s="538">
        <f t="shared" si="112"/>
        <v>0</v>
      </c>
      <c r="W135" s="538">
        <f t="shared" si="112"/>
        <v>0</v>
      </c>
      <c r="X135" s="538">
        <f t="shared" si="112"/>
        <v>0</v>
      </c>
      <c r="Y135" s="538">
        <f t="shared" si="112"/>
        <v>0</v>
      </c>
      <c r="Z135" s="538">
        <f t="shared" si="112"/>
        <v>0</v>
      </c>
      <c r="AA135" s="538">
        <f t="shared" si="112"/>
        <v>0</v>
      </c>
      <c r="AB135" s="538">
        <f t="shared" si="112"/>
        <v>0</v>
      </c>
      <c r="AC135" s="538">
        <f t="shared" si="112"/>
        <v>0</v>
      </c>
    </row>
    <row r="136" spans="1:29" x14ac:dyDescent="0.25">
      <c r="A136" s="208" t="s">
        <v>6</v>
      </c>
      <c r="B136" s="86" t="s">
        <v>26</v>
      </c>
      <c r="C136" s="86"/>
      <c r="D136" s="538">
        <f>'5ta'!C$91*'5ta'!$R94/1000</f>
        <v>0</v>
      </c>
      <c r="E136" s="538">
        <v>0</v>
      </c>
      <c r="F136" s="538">
        <f>'5ta'!E$91*'5ta'!$R94/1000</f>
        <v>0</v>
      </c>
      <c r="G136" s="538">
        <v>0</v>
      </c>
      <c r="H136" s="538">
        <f>'5ta'!G$91*'5ta'!$R94/1000</f>
        <v>0</v>
      </c>
      <c r="I136" s="538">
        <v>0</v>
      </c>
      <c r="J136" s="538">
        <f>'5ta'!I$91*'5ta'!$R94/1000</f>
        <v>0</v>
      </c>
      <c r="K136" s="538">
        <v>0</v>
      </c>
      <c r="L136" s="538">
        <f>'5ta'!K$91*'5ta'!$R94/1000</f>
        <v>2.2767896253245356E-3</v>
      </c>
      <c r="M136" s="538">
        <f>'5ta'!L$91*'5ta'!$R94/1000</f>
        <v>6.8965478706923709E-4</v>
      </c>
      <c r="N136" s="538">
        <f>'5ta'!M$91*'5ta'!$R94/1000</f>
        <v>6.8965478706923709E-4</v>
      </c>
      <c r="O136" s="538">
        <f>'5ta'!N$91*'5ta'!$R94/1000</f>
        <v>0</v>
      </c>
      <c r="P136" s="538">
        <f>'5ta'!O$91*'5ta'!$R94/1000</f>
        <v>0</v>
      </c>
      <c r="Q136" s="538">
        <f t="shared" si="112"/>
        <v>0</v>
      </c>
      <c r="R136" s="538">
        <f t="shared" si="112"/>
        <v>0</v>
      </c>
      <c r="S136" s="538">
        <f t="shared" si="112"/>
        <v>0</v>
      </c>
      <c r="T136" s="538">
        <f t="shared" si="112"/>
        <v>0</v>
      </c>
      <c r="U136" s="538">
        <f t="shared" si="112"/>
        <v>0</v>
      </c>
      <c r="V136" s="538">
        <f t="shared" si="112"/>
        <v>0</v>
      </c>
      <c r="W136" s="538">
        <f t="shared" si="112"/>
        <v>0</v>
      </c>
      <c r="X136" s="538">
        <f t="shared" si="112"/>
        <v>0</v>
      </c>
      <c r="Y136" s="538">
        <f t="shared" si="112"/>
        <v>0</v>
      </c>
      <c r="Z136" s="538">
        <f t="shared" si="112"/>
        <v>0</v>
      </c>
      <c r="AA136" s="538">
        <f t="shared" si="112"/>
        <v>0</v>
      </c>
      <c r="AB136" s="538">
        <f t="shared" si="112"/>
        <v>0</v>
      </c>
      <c r="AC136" s="538">
        <f t="shared" si="112"/>
        <v>0</v>
      </c>
    </row>
    <row r="137" spans="1:29" ht="15.75" thickBot="1" x14ac:dyDescent="0.3">
      <c r="A137" s="210" t="s">
        <v>6</v>
      </c>
      <c r="B137" s="211" t="s">
        <v>27</v>
      </c>
      <c r="C137" s="211"/>
      <c r="D137" s="539">
        <f>'5ta'!C$91*'5ta'!$R95/1000</f>
        <v>0</v>
      </c>
      <c r="E137" s="539">
        <v>0</v>
      </c>
      <c r="F137" s="539">
        <f>'5ta'!E$91*'5ta'!$R95/1000</f>
        <v>0</v>
      </c>
      <c r="G137" s="539">
        <v>0</v>
      </c>
      <c r="H137" s="539">
        <f>'5ta'!G$91*'5ta'!$R95/1000</f>
        <v>0</v>
      </c>
      <c r="I137" s="539">
        <v>0</v>
      </c>
      <c r="J137" s="539">
        <f>'5ta'!I$91*'5ta'!$R95/1000</f>
        <v>0</v>
      </c>
      <c r="K137" s="539">
        <v>0</v>
      </c>
      <c r="L137" s="539">
        <f>'5ta'!K$91*'5ta'!$R95/1000</f>
        <v>9.5211444876579353E-3</v>
      </c>
      <c r="M137" s="539">
        <f>'5ta'!L$91*'5ta'!$R95/1000</f>
        <v>2.8840182690814957E-3</v>
      </c>
      <c r="N137" s="539">
        <f>'5ta'!M$91*'5ta'!$R95/1000</f>
        <v>2.8840182690814957E-3</v>
      </c>
      <c r="O137" s="539">
        <f>'5ta'!N$91*'5ta'!$R95/1000</f>
        <v>0</v>
      </c>
      <c r="P137" s="539">
        <f>'5ta'!O$91*'5ta'!$R95/1000</f>
        <v>0</v>
      </c>
      <c r="Q137" s="539">
        <f t="shared" si="112"/>
        <v>0</v>
      </c>
      <c r="R137" s="539">
        <f t="shared" si="112"/>
        <v>0</v>
      </c>
      <c r="S137" s="539">
        <f t="shared" si="112"/>
        <v>0</v>
      </c>
      <c r="T137" s="539">
        <f t="shared" si="112"/>
        <v>0</v>
      </c>
      <c r="U137" s="539">
        <f t="shared" si="112"/>
        <v>0</v>
      </c>
      <c r="V137" s="539">
        <f t="shared" si="112"/>
        <v>0</v>
      </c>
      <c r="W137" s="539">
        <f t="shared" si="112"/>
        <v>0</v>
      </c>
      <c r="X137" s="539">
        <f t="shared" si="112"/>
        <v>0</v>
      </c>
      <c r="Y137" s="539">
        <f t="shared" si="112"/>
        <v>0</v>
      </c>
      <c r="Z137" s="539">
        <f t="shared" si="112"/>
        <v>0</v>
      </c>
      <c r="AA137" s="539">
        <f t="shared" si="112"/>
        <v>0</v>
      </c>
      <c r="AB137" s="539">
        <f t="shared" si="112"/>
        <v>0</v>
      </c>
      <c r="AC137" s="539">
        <f t="shared" si="112"/>
        <v>0</v>
      </c>
    </row>
    <row r="138" spans="1:29" ht="15.75" thickBot="1" x14ac:dyDescent="0.3"/>
    <row r="139" spans="1:29" x14ac:dyDescent="0.25">
      <c r="A139" s="204" t="s">
        <v>105</v>
      </c>
      <c r="B139" s="205" t="s">
        <v>106</v>
      </c>
      <c r="C139" s="205"/>
      <c r="D139" s="206">
        <v>2010</v>
      </c>
      <c r="E139" s="206">
        <v>2011</v>
      </c>
      <c r="F139" s="206">
        <v>2012</v>
      </c>
      <c r="G139" s="206">
        <v>2013</v>
      </c>
      <c r="H139" s="206">
        <v>2014</v>
      </c>
      <c r="I139" s="206">
        <v>2015</v>
      </c>
      <c r="J139" s="206">
        <v>2016</v>
      </c>
      <c r="K139" s="206">
        <v>2017</v>
      </c>
      <c r="L139" s="206">
        <v>2018</v>
      </c>
      <c r="M139" s="206">
        <v>2019</v>
      </c>
      <c r="N139" s="206">
        <v>2020</v>
      </c>
      <c r="O139" s="206">
        <v>2021</v>
      </c>
      <c r="P139" s="206">
        <v>2022</v>
      </c>
      <c r="Q139" s="206">
        <v>2023</v>
      </c>
      <c r="R139" s="206">
        <v>2024</v>
      </c>
      <c r="S139" s="206">
        <v>2025</v>
      </c>
      <c r="T139" s="206">
        <v>2026</v>
      </c>
      <c r="U139" s="206">
        <v>2027</v>
      </c>
      <c r="V139" s="206">
        <v>2028</v>
      </c>
      <c r="W139" s="206">
        <v>2029</v>
      </c>
      <c r="X139" s="206">
        <v>2030</v>
      </c>
      <c r="Y139" s="206">
        <v>2031</v>
      </c>
      <c r="Z139" s="206">
        <v>2032</v>
      </c>
      <c r="AA139" s="206">
        <v>2033</v>
      </c>
      <c r="AB139" s="206">
        <v>2034</v>
      </c>
      <c r="AC139" s="207">
        <v>2035</v>
      </c>
    </row>
    <row r="140" spans="1:29" x14ac:dyDescent="0.25">
      <c r="A140" s="208" t="s">
        <v>113</v>
      </c>
      <c r="B140" s="86" t="s">
        <v>18</v>
      </c>
      <c r="C140" s="86"/>
      <c r="D140" s="91">
        <f>+'5ta'!C$92*'5ta'!$R87/1000</f>
        <v>1.9608849868055968E-5</v>
      </c>
      <c r="E140" s="91">
        <f>+'5ta'!D$92*'5ta'!$R87/1000</f>
        <v>1.9608849868055968E-5</v>
      </c>
      <c r="F140" s="91">
        <f>+'5ta'!E$92*'5ta'!$R87/1000</f>
        <v>1.9608849868055968E-5</v>
      </c>
      <c r="G140" s="91">
        <f>+'5ta'!F$92*'5ta'!$R87/1000</f>
        <v>1.9608849868055968E-5</v>
      </c>
      <c r="H140" s="91">
        <f>+'5ta'!G$92*'5ta'!$R87/1000</f>
        <v>1.9608849868055968E-5</v>
      </c>
      <c r="I140" s="91">
        <f>+'5ta'!H$92*'5ta'!$R87/1000</f>
        <v>3.8212746180374067E-5</v>
      </c>
      <c r="J140" s="91">
        <f>+'5ta'!I$92*'5ta'!$R87/1000</f>
        <v>5.6816642492692166E-5</v>
      </c>
      <c r="K140" s="91">
        <f>+'5ta'!J$92*'5ta'!$R87/1000</f>
        <v>2.5447384916269634E-4</v>
      </c>
      <c r="L140" s="91">
        <f>+'5ta'!K$92*'5ta'!$R87/1000</f>
        <v>4.5213105583270054E-4</v>
      </c>
      <c r="M140" s="91">
        <f>+'5ta'!L$92*'5ta'!$R87/1000</f>
        <v>1.808916400328163E-5</v>
      </c>
      <c r="N140" s="91">
        <f>+'5ta'!M$92*'5ta'!$R87/1000</f>
        <v>1.808916400328163E-5</v>
      </c>
      <c r="O140" s="91">
        <f>+'5ta'!N$92*'5ta'!$R87/1000</f>
        <v>9.3644513651134782E-5</v>
      </c>
      <c r="P140" s="91">
        <f>+'5ta'!O$92*'5ta'!$R87/1000</f>
        <v>9.3644513651134782E-5</v>
      </c>
      <c r="Q140" s="91">
        <f>+P140</f>
        <v>9.3644513651134782E-5</v>
      </c>
      <c r="R140" s="91">
        <f t="shared" ref="R140:AC140" si="113">+Q140</f>
        <v>9.3644513651134782E-5</v>
      </c>
      <c r="S140" s="91">
        <f t="shared" si="113"/>
        <v>9.3644513651134782E-5</v>
      </c>
      <c r="T140" s="91">
        <f t="shared" si="113"/>
        <v>9.3644513651134782E-5</v>
      </c>
      <c r="U140" s="91">
        <f t="shared" si="113"/>
        <v>9.3644513651134782E-5</v>
      </c>
      <c r="V140" s="91">
        <f t="shared" si="113"/>
        <v>9.3644513651134782E-5</v>
      </c>
      <c r="W140" s="91">
        <f t="shared" si="113"/>
        <v>9.3644513651134782E-5</v>
      </c>
      <c r="X140" s="91">
        <f t="shared" si="113"/>
        <v>9.3644513651134782E-5</v>
      </c>
      <c r="Y140" s="91">
        <f t="shared" si="113"/>
        <v>9.3644513651134782E-5</v>
      </c>
      <c r="Z140" s="91">
        <f t="shared" si="113"/>
        <v>9.3644513651134782E-5</v>
      </c>
      <c r="AA140" s="91">
        <f t="shared" si="113"/>
        <v>9.3644513651134782E-5</v>
      </c>
      <c r="AB140" s="91">
        <f t="shared" si="113"/>
        <v>9.3644513651134782E-5</v>
      </c>
      <c r="AC140" s="91">
        <f t="shared" si="113"/>
        <v>9.3644513651134782E-5</v>
      </c>
    </row>
    <row r="141" spans="1:29" x14ac:dyDescent="0.25">
      <c r="A141" s="208" t="s">
        <v>113</v>
      </c>
      <c r="B141" s="86" t="s">
        <v>20</v>
      </c>
      <c r="C141" s="86"/>
      <c r="D141" s="91">
        <f>+'5ta'!C$92*'5ta'!$R88/1000</f>
        <v>1.9148406368669655E-4</v>
      </c>
      <c r="E141" s="91">
        <f>+'5ta'!D$92*'5ta'!$R88/1000</f>
        <v>1.9148406368669655E-4</v>
      </c>
      <c r="F141" s="91">
        <f>+'5ta'!E$92*'5ta'!$R88/1000</f>
        <v>1.9148406368669655E-4</v>
      </c>
      <c r="G141" s="91">
        <f>+'5ta'!F$92*'5ta'!$R88/1000</f>
        <v>1.9148406368669655E-4</v>
      </c>
      <c r="H141" s="91">
        <f>+'5ta'!G$92*'5ta'!$R88/1000</f>
        <v>1.9148406368669655E-4</v>
      </c>
      <c r="I141" s="91">
        <f>+'5ta'!H$92*'5ta'!$R88/1000</f>
        <v>3.7315456910944989E-4</v>
      </c>
      <c r="J141" s="91">
        <f>+'5ta'!I$92*'5ta'!$R88/1000</f>
        <v>5.5482507453220322E-4</v>
      </c>
      <c r="K141" s="91">
        <f>+'5ta'!J$92*'5ta'!$R88/1000</f>
        <v>2.4849844364941047E-3</v>
      </c>
      <c r="L141" s="91">
        <f>+'5ta'!K$92*'5ta'!$R88/1000</f>
        <v>4.415143798456006E-3</v>
      </c>
      <c r="M141" s="91">
        <f>+'5ta'!L$92*'5ta'!$R88/1000</f>
        <v>1.7664404875097756E-4</v>
      </c>
      <c r="N141" s="91">
        <f>+'5ta'!M$92*'5ta'!$R88/1000</f>
        <v>1.7664404875097756E-4</v>
      </c>
      <c r="O141" s="91">
        <f>+'5ta'!N$92*'5ta'!$R88/1000</f>
        <v>9.1445608164378008E-4</v>
      </c>
      <c r="P141" s="91">
        <f>+'5ta'!O$92*'5ta'!$R88/1000</f>
        <v>9.1445608164378008E-4</v>
      </c>
      <c r="Q141" s="91">
        <f t="shared" ref="Q141:AC148" si="114">+P141</f>
        <v>9.1445608164378008E-4</v>
      </c>
      <c r="R141" s="91">
        <f t="shared" si="114"/>
        <v>9.1445608164378008E-4</v>
      </c>
      <c r="S141" s="91">
        <f t="shared" si="114"/>
        <v>9.1445608164378008E-4</v>
      </c>
      <c r="T141" s="91">
        <f t="shared" si="114"/>
        <v>9.1445608164378008E-4</v>
      </c>
      <c r="U141" s="91">
        <f t="shared" si="114"/>
        <v>9.1445608164378008E-4</v>
      </c>
      <c r="V141" s="91">
        <f t="shared" si="114"/>
        <v>9.1445608164378008E-4</v>
      </c>
      <c r="W141" s="91">
        <f t="shared" si="114"/>
        <v>9.1445608164378008E-4</v>
      </c>
      <c r="X141" s="91">
        <f t="shared" si="114"/>
        <v>9.1445608164378008E-4</v>
      </c>
      <c r="Y141" s="91">
        <f t="shared" si="114"/>
        <v>9.1445608164378008E-4</v>
      </c>
      <c r="Z141" s="91">
        <f t="shared" si="114"/>
        <v>9.1445608164378008E-4</v>
      </c>
      <c r="AA141" s="91">
        <f t="shared" si="114"/>
        <v>9.1445608164378008E-4</v>
      </c>
      <c r="AB141" s="91">
        <f t="shared" si="114"/>
        <v>9.1445608164378008E-4</v>
      </c>
      <c r="AC141" s="91">
        <f t="shared" si="114"/>
        <v>9.1445608164378008E-4</v>
      </c>
    </row>
    <row r="142" spans="1:29" x14ac:dyDescent="0.25">
      <c r="A142" s="208" t="s">
        <v>113</v>
      </c>
      <c r="B142" s="86" t="s">
        <v>21</v>
      </c>
      <c r="C142" s="86"/>
      <c r="D142" s="91">
        <f>+'5ta'!C$92*'5ta'!$R89/1000</f>
        <v>1.8309893460827253E-3</v>
      </c>
      <c r="E142" s="91">
        <f>+'5ta'!D$92*'5ta'!$R89/1000</f>
        <v>1.8309893460827253E-3</v>
      </c>
      <c r="F142" s="91">
        <f>+'5ta'!E$92*'5ta'!$R89/1000</f>
        <v>1.8309893460827253E-3</v>
      </c>
      <c r="G142" s="91">
        <f>+'5ta'!F$92*'5ta'!$R89/1000</f>
        <v>1.8309893460827253E-3</v>
      </c>
      <c r="H142" s="91">
        <f>+'5ta'!G$92*'5ta'!$R89/1000</f>
        <v>1.8309893460827253E-3</v>
      </c>
      <c r="I142" s="91">
        <f>+'5ta'!H$92*'5ta'!$R89/1000</f>
        <v>3.568140488178711E-3</v>
      </c>
      <c r="J142" s="91">
        <f>+'5ta'!I$92*'5ta'!$R89/1000</f>
        <v>5.3052916302746972E-3</v>
      </c>
      <c r="K142" s="91">
        <f>+'5ta'!J$92*'5ta'!$R89/1000</f>
        <v>2.3761664238788571E-2</v>
      </c>
      <c r="L142" s="91">
        <f>+'5ta'!K$92*'5ta'!$R89/1000</f>
        <v>4.2218036847302444E-2</v>
      </c>
      <c r="M142" s="91">
        <f>+'5ta'!L$92*'5ta'!$R89/1000</f>
        <v>1.689087671761314E-3</v>
      </c>
      <c r="N142" s="91">
        <f>+'5ta'!M$92*'5ta'!$R89/1000</f>
        <v>1.689087671761314E-3</v>
      </c>
      <c r="O142" s="91">
        <f>+'5ta'!N$92*'5ta'!$R89/1000</f>
        <v>8.744118495886315E-3</v>
      </c>
      <c r="P142" s="91">
        <f>+'5ta'!O$92*'5ta'!$R89/1000</f>
        <v>8.744118495886315E-3</v>
      </c>
      <c r="Q142" s="91">
        <f t="shared" si="114"/>
        <v>8.744118495886315E-3</v>
      </c>
      <c r="R142" s="91">
        <f t="shared" si="114"/>
        <v>8.744118495886315E-3</v>
      </c>
      <c r="S142" s="91">
        <f t="shared" si="114"/>
        <v>8.744118495886315E-3</v>
      </c>
      <c r="T142" s="91">
        <f t="shared" si="114"/>
        <v>8.744118495886315E-3</v>
      </c>
      <c r="U142" s="91">
        <f t="shared" si="114"/>
        <v>8.744118495886315E-3</v>
      </c>
      <c r="V142" s="91">
        <f t="shared" si="114"/>
        <v>8.744118495886315E-3</v>
      </c>
      <c r="W142" s="91">
        <f t="shared" si="114"/>
        <v>8.744118495886315E-3</v>
      </c>
      <c r="X142" s="91">
        <f t="shared" si="114"/>
        <v>8.744118495886315E-3</v>
      </c>
      <c r="Y142" s="91">
        <f t="shared" si="114"/>
        <v>8.744118495886315E-3</v>
      </c>
      <c r="Z142" s="91">
        <f t="shared" si="114"/>
        <v>8.744118495886315E-3</v>
      </c>
      <c r="AA142" s="91">
        <f t="shared" si="114"/>
        <v>8.744118495886315E-3</v>
      </c>
      <c r="AB142" s="91">
        <f t="shared" si="114"/>
        <v>8.744118495886315E-3</v>
      </c>
      <c r="AC142" s="91">
        <f t="shared" si="114"/>
        <v>8.744118495886315E-3</v>
      </c>
    </row>
    <row r="143" spans="1:29" x14ac:dyDescent="0.25">
      <c r="A143" s="208" t="s">
        <v>113</v>
      </c>
      <c r="B143" s="86" t="s">
        <v>22</v>
      </c>
      <c r="C143" s="86"/>
      <c r="D143" s="91">
        <f>+'5ta'!C$92*'5ta'!$R90/1000</f>
        <v>7.442853615562922E-4</v>
      </c>
      <c r="E143" s="91">
        <f>+'5ta'!D$92*'5ta'!$R90/1000</f>
        <v>7.442853615562922E-4</v>
      </c>
      <c r="F143" s="91">
        <f>+'5ta'!E$92*'5ta'!$R90/1000</f>
        <v>7.442853615562922E-4</v>
      </c>
      <c r="G143" s="91">
        <f>+'5ta'!F$92*'5ta'!$R90/1000</f>
        <v>7.442853615562922E-4</v>
      </c>
      <c r="H143" s="91">
        <f>+'5ta'!G$92*'5ta'!$R90/1000</f>
        <v>7.442853615562922E-4</v>
      </c>
      <c r="I143" s="91">
        <f>+'5ta'!H$92*'5ta'!$R90/1000</f>
        <v>1.4504260983328246E-3</v>
      </c>
      <c r="J143" s="91">
        <f>+'5ta'!I$92*'5ta'!$R90/1000</f>
        <v>2.1565668351093566E-3</v>
      </c>
      <c r="K143" s="91">
        <f>+'5ta'!J$92*'5ta'!$R90/1000</f>
        <v>9.6589632795967828E-3</v>
      </c>
      <c r="L143" s="91">
        <f>+'5ta'!K$92*'5ta'!$R90/1000</f>
        <v>1.7161359724084207E-2</v>
      </c>
      <c r="M143" s="91">
        <f>+'5ta'!L$92*'5ta'!$R90/1000</f>
        <v>6.8660324603567961E-4</v>
      </c>
      <c r="N143" s="91">
        <f>+'5ta'!M$92*'5ta'!$R90/1000</f>
        <v>6.8660324603567961E-4</v>
      </c>
      <c r="O143" s="91">
        <f>+'5ta'!N$92*'5ta'!$R90/1000</f>
        <v>3.5544277797822676E-3</v>
      </c>
      <c r="P143" s="91">
        <f>+'5ta'!O$92*'5ta'!$R90/1000</f>
        <v>3.5544277797822676E-3</v>
      </c>
      <c r="Q143" s="91">
        <f t="shared" si="114"/>
        <v>3.5544277797822676E-3</v>
      </c>
      <c r="R143" s="91">
        <f t="shared" si="114"/>
        <v>3.5544277797822676E-3</v>
      </c>
      <c r="S143" s="91">
        <f t="shared" si="114"/>
        <v>3.5544277797822676E-3</v>
      </c>
      <c r="T143" s="91">
        <f t="shared" si="114"/>
        <v>3.5544277797822676E-3</v>
      </c>
      <c r="U143" s="91">
        <f t="shared" si="114"/>
        <v>3.5544277797822676E-3</v>
      </c>
      <c r="V143" s="91">
        <f t="shared" si="114"/>
        <v>3.5544277797822676E-3</v>
      </c>
      <c r="W143" s="91">
        <f t="shared" si="114"/>
        <v>3.5544277797822676E-3</v>
      </c>
      <c r="X143" s="91">
        <f t="shared" si="114"/>
        <v>3.5544277797822676E-3</v>
      </c>
      <c r="Y143" s="91">
        <f t="shared" si="114"/>
        <v>3.5544277797822676E-3</v>
      </c>
      <c r="Z143" s="91">
        <f t="shared" si="114"/>
        <v>3.5544277797822676E-3</v>
      </c>
      <c r="AA143" s="91">
        <f t="shared" si="114"/>
        <v>3.5544277797822676E-3</v>
      </c>
      <c r="AB143" s="91">
        <f t="shared" si="114"/>
        <v>3.5544277797822676E-3</v>
      </c>
      <c r="AC143" s="91">
        <f t="shared" si="114"/>
        <v>3.5544277797822676E-3</v>
      </c>
    </row>
    <row r="144" spans="1:29" x14ac:dyDescent="0.25">
      <c r="A144" s="208" t="s">
        <v>113</v>
      </c>
      <c r="B144" s="86" t="s">
        <v>23</v>
      </c>
      <c r="C144" s="86"/>
      <c r="D144" s="91">
        <f>+'5ta'!C$92*'5ta'!$R91/1000</f>
        <v>5.1257005584459062E-4</v>
      </c>
      <c r="E144" s="91">
        <f>+'5ta'!D$92*'5ta'!$R91/1000</f>
        <v>5.1257005584459062E-4</v>
      </c>
      <c r="F144" s="91">
        <f>+'5ta'!E$92*'5ta'!$R91/1000</f>
        <v>5.1257005584459062E-4</v>
      </c>
      <c r="G144" s="91">
        <f>+'5ta'!F$92*'5ta'!$R91/1000</f>
        <v>5.1257005584459062E-4</v>
      </c>
      <c r="H144" s="91">
        <f>+'5ta'!G$92*'5ta'!$R91/1000</f>
        <v>5.1257005584459062E-4</v>
      </c>
      <c r="I144" s="91">
        <f>+'5ta'!H$92*'5ta'!$R91/1000</f>
        <v>9.9887089632714598E-4</v>
      </c>
      <c r="J144" s="91">
        <f>+'5ta'!I$92*'5ta'!$R91/1000</f>
        <v>1.4851717368097013E-3</v>
      </c>
      <c r="K144" s="91">
        <f>+'5ta'!J$92*'5ta'!$R91/1000</f>
        <v>6.6518778997231749E-3</v>
      </c>
      <c r="L144" s="91">
        <f>+'5ta'!K$92*'5ta'!$R91/1000</f>
        <v>1.1818584062636648E-2</v>
      </c>
      <c r="M144" s="91">
        <f>+'5ta'!L$92*'5ta'!$R91/1000</f>
        <v>4.7284587651663478E-4</v>
      </c>
      <c r="N144" s="91">
        <f>+'5ta'!M$92*'5ta'!$R91/1000</f>
        <v>4.7284587651663478E-4</v>
      </c>
      <c r="O144" s="91">
        <f>+'5ta'!N$92*'5ta'!$R91/1000</f>
        <v>2.4478423729428229E-3</v>
      </c>
      <c r="P144" s="91">
        <f>+'5ta'!O$92*'5ta'!$R91/1000</f>
        <v>2.4478423729428229E-3</v>
      </c>
      <c r="Q144" s="91">
        <f t="shared" si="114"/>
        <v>2.4478423729428229E-3</v>
      </c>
      <c r="R144" s="91">
        <f t="shared" si="114"/>
        <v>2.4478423729428229E-3</v>
      </c>
      <c r="S144" s="91">
        <f t="shared" si="114"/>
        <v>2.4478423729428229E-3</v>
      </c>
      <c r="T144" s="91">
        <f t="shared" si="114"/>
        <v>2.4478423729428229E-3</v>
      </c>
      <c r="U144" s="91">
        <f t="shared" si="114"/>
        <v>2.4478423729428229E-3</v>
      </c>
      <c r="V144" s="91">
        <f t="shared" si="114"/>
        <v>2.4478423729428229E-3</v>
      </c>
      <c r="W144" s="91">
        <f t="shared" si="114"/>
        <v>2.4478423729428229E-3</v>
      </c>
      <c r="X144" s="91">
        <f t="shared" si="114"/>
        <v>2.4478423729428229E-3</v>
      </c>
      <c r="Y144" s="91">
        <f t="shared" si="114"/>
        <v>2.4478423729428229E-3</v>
      </c>
      <c r="Z144" s="91">
        <f t="shared" si="114"/>
        <v>2.4478423729428229E-3</v>
      </c>
      <c r="AA144" s="91">
        <f t="shared" si="114"/>
        <v>2.4478423729428229E-3</v>
      </c>
      <c r="AB144" s="91">
        <f t="shared" si="114"/>
        <v>2.4478423729428229E-3</v>
      </c>
      <c r="AC144" s="91">
        <f t="shared" si="114"/>
        <v>2.4478423729428229E-3</v>
      </c>
    </row>
    <row r="145" spans="1:29" x14ac:dyDescent="0.25">
      <c r="A145" s="208" t="s">
        <v>113</v>
      </c>
      <c r="B145" s="86" t="s">
        <v>24</v>
      </c>
      <c r="C145" s="86"/>
      <c r="D145" s="91">
        <f>+'5ta'!C$92*'5ta'!$R92/1000</f>
        <v>3.7507299246093951E-3</v>
      </c>
      <c r="E145" s="91">
        <f>+'5ta'!D$92*'5ta'!$R92/1000</f>
        <v>3.7507299246093951E-3</v>
      </c>
      <c r="F145" s="91">
        <f>+'5ta'!E$92*'5ta'!$R92/1000</f>
        <v>3.7507299246093951E-3</v>
      </c>
      <c r="G145" s="91">
        <f>+'5ta'!F$92*'5ta'!$R92/1000</f>
        <v>3.7507299246093951E-3</v>
      </c>
      <c r="H145" s="91">
        <f>+'5ta'!G$92*'5ta'!$R92/1000</f>
        <v>3.7507299246093951E-3</v>
      </c>
      <c r="I145" s="91">
        <f>+'5ta'!H$92*'5ta'!$R92/1000</f>
        <v>7.3092349405825584E-3</v>
      </c>
      <c r="J145" s="91">
        <f>+'5ta'!I$92*'5ta'!$R92/1000</f>
        <v>1.0867739956555721E-2</v>
      </c>
      <c r="K145" s="91">
        <f>+'5ta'!J$92*'5ta'!$R92/1000</f>
        <v>4.8675097596618429E-2</v>
      </c>
      <c r="L145" s="91">
        <f>+'5ta'!K$92*'5ta'!$R92/1000</f>
        <v>8.6482455236681133E-2</v>
      </c>
      <c r="M145" s="91">
        <f>+'5ta'!L$92*'5ta'!$R92/1000</f>
        <v>3.4600483554521667E-3</v>
      </c>
      <c r="N145" s="91">
        <f>+'5ta'!M$92*'5ta'!$R92/1000</f>
        <v>3.4600483554521667E-3</v>
      </c>
      <c r="O145" s="91">
        <f>+'5ta'!N$92*'5ta'!$R92/1000</f>
        <v>1.7912079596212743E-2</v>
      </c>
      <c r="P145" s="91">
        <f>+'5ta'!O$92*'5ta'!$R92/1000</f>
        <v>1.7912079596212743E-2</v>
      </c>
      <c r="Q145" s="91">
        <f t="shared" si="114"/>
        <v>1.7912079596212743E-2</v>
      </c>
      <c r="R145" s="91">
        <f t="shared" si="114"/>
        <v>1.7912079596212743E-2</v>
      </c>
      <c r="S145" s="91">
        <f t="shared" si="114"/>
        <v>1.7912079596212743E-2</v>
      </c>
      <c r="T145" s="91">
        <f t="shared" si="114"/>
        <v>1.7912079596212743E-2</v>
      </c>
      <c r="U145" s="91">
        <f t="shared" si="114"/>
        <v>1.7912079596212743E-2</v>
      </c>
      <c r="V145" s="91">
        <f t="shared" si="114"/>
        <v>1.7912079596212743E-2</v>
      </c>
      <c r="W145" s="91">
        <f t="shared" si="114"/>
        <v>1.7912079596212743E-2</v>
      </c>
      <c r="X145" s="91">
        <f t="shared" si="114"/>
        <v>1.7912079596212743E-2</v>
      </c>
      <c r="Y145" s="91">
        <f t="shared" si="114"/>
        <v>1.7912079596212743E-2</v>
      </c>
      <c r="Z145" s="91">
        <f t="shared" si="114"/>
        <v>1.7912079596212743E-2</v>
      </c>
      <c r="AA145" s="91">
        <f t="shared" si="114"/>
        <v>1.7912079596212743E-2</v>
      </c>
      <c r="AB145" s="91">
        <f t="shared" si="114"/>
        <v>1.7912079596212743E-2</v>
      </c>
      <c r="AC145" s="91">
        <f t="shared" si="114"/>
        <v>1.7912079596212743E-2</v>
      </c>
    </row>
    <row r="146" spans="1:29" x14ac:dyDescent="0.25">
      <c r="A146" s="208" t="s">
        <v>113</v>
      </c>
      <c r="B146" s="86" t="s">
        <v>25</v>
      </c>
      <c r="C146" s="86"/>
      <c r="D146" s="91">
        <f>+'5ta'!C$92*'5ta'!$R93/1000</f>
        <v>4.1555154445763328E-4</v>
      </c>
      <c r="E146" s="91">
        <f>+'5ta'!D$92*'5ta'!$R93/1000</f>
        <v>4.1555154445763328E-4</v>
      </c>
      <c r="F146" s="91">
        <f>+'5ta'!E$92*'5ta'!$R93/1000</f>
        <v>4.1555154445763328E-4</v>
      </c>
      <c r="G146" s="91">
        <f>+'5ta'!F$92*'5ta'!$R93/1000</f>
        <v>4.1555154445763328E-4</v>
      </c>
      <c r="H146" s="91">
        <f>+'5ta'!G$92*'5ta'!$R93/1000</f>
        <v>4.1555154445763328E-4</v>
      </c>
      <c r="I146" s="91">
        <f>+'5ta'!H$92*'5ta'!$R93/1000</f>
        <v>8.0980607226181279E-4</v>
      </c>
      <c r="J146" s="91">
        <f>+'5ta'!I$92*'5ta'!$R93/1000</f>
        <v>1.2040606000659924E-3</v>
      </c>
      <c r="K146" s="91">
        <f>+'5ta'!J$92*'5ta'!$R93/1000</f>
        <v>5.3928201681989361E-3</v>
      </c>
      <c r="L146" s="91">
        <f>+'5ta'!K$92*'5ta'!$R93/1000</f>
        <v>9.5815797363318789E-3</v>
      </c>
      <c r="M146" s="91">
        <f>+'5ta'!L$92*'5ta'!$R93/1000</f>
        <v>3.8334629976216665E-4</v>
      </c>
      <c r="N146" s="91">
        <f>+'5ta'!M$92*'5ta'!$R93/1000</f>
        <v>3.8334629976216665E-4</v>
      </c>
      <c r="O146" s="91">
        <f>+'5ta'!N$92*'5ta'!$R93/1000</f>
        <v>1.9845183445004848E-3</v>
      </c>
      <c r="P146" s="91">
        <f>+'5ta'!O$92*'5ta'!$R93/1000</f>
        <v>1.9845183445004848E-3</v>
      </c>
      <c r="Q146" s="91">
        <f t="shared" si="114"/>
        <v>1.9845183445004848E-3</v>
      </c>
      <c r="R146" s="91">
        <f t="shared" si="114"/>
        <v>1.9845183445004848E-3</v>
      </c>
      <c r="S146" s="91">
        <f t="shared" si="114"/>
        <v>1.9845183445004848E-3</v>
      </c>
      <c r="T146" s="91">
        <f t="shared" si="114"/>
        <v>1.9845183445004848E-3</v>
      </c>
      <c r="U146" s="91">
        <f t="shared" si="114"/>
        <v>1.9845183445004848E-3</v>
      </c>
      <c r="V146" s="91">
        <f t="shared" si="114"/>
        <v>1.9845183445004848E-3</v>
      </c>
      <c r="W146" s="91">
        <f t="shared" si="114"/>
        <v>1.9845183445004848E-3</v>
      </c>
      <c r="X146" s="91">
        <f t="shared" si="114"/>
        <v>1.9845183445004848E-3</v>
      </c>
      <c r="Y146" s="91">
        <f t="shared" si="114"/>
        <v>1.9845183445004848E-3</v>
      </c>
      <c r="Z146" s="91">
        <f t="shared" si="114"/>
        <v>1.9845183445004848E-3</v>
      </c>
      <c r="AA146" s="91">
        <f t="shared" si="114"/>
        <v>1.9845183445004848E-3</v>
      </c>
      <c r="AB146" s="91">
        <f t="shared" si="114"/>
        <v>1.9845183445004848E-3</v>
      </c>
      <c r="AC146" s="91">
        <f t="shared" si="114"/>
        <v>1.9845183445004848E-3</v>
      </c>
    </row>
    <row r="147" spans="1:29" x14ac:dyDescent="0.25">
      <c r="A147" s="208" t="s">
        <v>113</v>
      </c>
      <c r="B147" s="86" t="s">
        <v>26</v>
      </c>
      <c r="C147" s="86"/>
      <c r="D147" s="91">
        <f>+'5ta'!C$92*'5ta'!$R94/1000</f>
        <v>1.0320311067253829E-4</v>
      </c>
      <c r="E147" s="91">
        <f>+'5ta'!D$92*'5ta'!$R94/1000</f>
        <v>1.0320311067253829E-4</v>
      </c>
      <c r="F147" s="91">
        <f>+'5ta'!E$92*'5ta'!$R94/1000</f>
        <v>1.0320311067253829E-4</v>
      </c>
      <c r="G147" s="91">
        <f>+'5ta'!F$92*'5ta'!$R94/1000</f>
        <v>1.0320311067253829E-4</v>
      </c>
      <c r="H147" s="91">
        <f>+'5ta'!G$92*'5ta'!$R94/1000</f>
        <v>1.0320311067253829E-4</v>
      </c>
      <c r="I147" s="91">
        <f>+'5ta'!H$92*'5ta'!$R94/1000</f>
        <v>2.0111706192310898E-4</v>
      </c>
      <c r="J147" s="91">
        <f>+'5ta'!I$92*'5ta'!$R94/1000</f>
        <v>2.9903101317367971E-4</v>
      </c>
      <c r="K147" s="91">
        <f>+'5ta'!J$92*'5ta'!$R94/1000</f>
        <v>1.3393183687528658E-3</v>
      </c>
      <c r="L147" s="91">
        <f>+'5ta'!K$92*'5ta'!$R94/1000</f>
        <v>2.3796057243320517E-3</v>
      </c>
      <c r="M147" s="91">
        <f>+'5ta'!L$92*'5ta'!$R94/1000</f>
        <v>9.5204869595416581E-5</v>
      </c>
      <c r="N147" s="91">
        <f>+'5ta'!M$92*'5ta'!$R94/1000</f>
        <v>9.5204869595416581E-5</v>
      </c>
      <c r="O147" s="91">
        <f>+'5ta'!N$92*'5ta'!$R94/1000</f>
        <v>4.9285935540554061E-4</v>
      </c>
      <c r="P147" s="91">
        <f>+'5ta'!O$92*'5ta'!$R94/1000</f>
        <v>4.9285935540554061E-4</v>
      </c>
      <c r="Q147" s="91">
        <f t="shared" si="114"/>
        <v>4.9285935540554061E-4</v>
      </c>
      <c r="R147" s="91">
        <f t="shared" si="114"/>
        <v>4.9285935540554061E-4</v>
      </c>
      <c r="S147" s="91">
        <f t="shared" si="114"/>
        <v>4.9285935540554061E-4</v>
      </c>
      <c r="T147" s="91">
        <f t="shared" si="114"/>
        <v>4.9285935540554061E-4</v>
      </c>
      <c r="U147" s="91">
        <f t="shared" si="114"/>
        <v>4.9285935540554061E-4</v>
      </c>
      <c r="V147" s="91">
        <f t="shared" si="114"/>
        <v>4.9285935540554061E-4</v>
      </c>
      <c r="W147" s="91">
        <f t="shared" si="114"/>
        <v>4.9285935540554061E-4</v>
      </c>
      <c r="X147" s="91">
        <f t="shared" si="114"/>
        <v>4.9285935540554061E-4</v>
      </c>
      <c r="Y147" s="91">
        <f t="shared" si="114"/>
        <v>4.9285935540554061E-4</v>
      </c>
      <c r="Z147" s="91">
        <f t="shared" si="114"/>
        <v>4.9285935540554061E-4</v>
      </c>
      <c r="AA147" s="91">
        <f t="shared" si="114"/>
        <v>4.9285935540554061E-4</v>
      </c>
      <c r="AB147" s="91">
        <f t="shared" si="114"/>
        <v>4.9285935540554061E-4</v>
      </c>
      <c r="AC147" s="91">
        <f t="shared" si="114"/>
        <v>4.9285935540554061E-4</v>
      </c>
    </row>
    <row r="148" spans="1:29" ht="15.75" thickBot="1" x14ac:dyDescent="0.3">
      <c r="A148" s="210" t="s">
        <v>113</v>
      </c>
      <c r="B148" s="211" t="s">
        <v>27</v>
      </c>
      <c r="C148" s="211"/>
      <c r="D148" s="529">
        <f>+'5ta'!C$92*'5ta'!$R95/1000</f>
        <v>4.3157774322207193E-4</v>
      </c>
      <c r="E148" s="529">
        <f>+'5ta'!D$92*'5ta'!$R95/1000</f>
        <v>4.3157774322207193E-4</v>
      </c>
      <c r="F148" s="529">
        <f>+'5ta'!E$92*'5ta'!$R95/1000</f>
        <v>4.3157774322207193E-4</v>
      </c>
      <c r="G148" s="529">
        <f>+'5ta'!F$92*'5ta'!$R95/1000</f>
        <v>4.3157774322207193E-4</v>
      </c>
      <c r="H148" s="529">
        <f>+'5ta'!G$92*'5ta'!$R95/1000</f>
        <v>4.3157774322207193E-4</v>
      </c>
      <c r="I148" s="529">
        <f>+'5ta'!H$92*'5ta'!$R95/1000</f>
        <v>8.4103712710401264E-4</v>
      </c>
      <c r="J148" s="529">
        <f>+'5ta'!I$92*'5ta'!$R95/1000</f>
        <v>1.2504965109859534E-3</v>
      </c>
      <c r="K148" s="529">
        <f>+'5ta'!J$92*'5ta'!$R95/1000</f>
        <v>5.6008001626644387E-3</v>
      </c>
      <c r="L148" s="529">
        <f>+'5ta'!K$92*'5ta'!$R95/1000</f>
        <v>9.951103814342924E-3</v>
      </c>
      <c r="M148" s="529">
        <f>+'5ta'!L$92*'5ta'!$R95/1000</f>
        <v>3.9813046812236136E-4</v>
      </c>
      <c r="N148" s="529">
        <f>+'5ta'!M$92*'5ta'!$R95/1000</f>
        <v>3.9813046812236136E-4</v>
      </c>
      <c r="O148" s="529">
        <f>+'5ta'!N$92*'5ta'!$R95/1000</f>
        <v>2.0610534599749073E-3</v>
      </c>
      <c r="P148" s="529">
        <f>+'5ta'!O$92*'5ta'!$R95/1000</f>
        <v>2.0610534599749073E-3</v>
      </c>
      <c r="Q148" s="529">
        <f t="shared" si="114"/>
        <v>2.0610534599749073E-3</v>
      </c>
      <c r="R148" s="529">
        <f t="shared" si="114"/>
        <v>2.0610534599749073E-3</v>
      </c>
      <c r="S148" s="529">
        <f t="shared" si="114"/>
        <v>2.0610534599749073E-3</v>
      </c>
      <c r="T148" s="529">
        <f t="shared" si="114"/>
        <v>2.0610534599749073E-3</v>
      </c>
      <c r="U148" s="529">
        <f t="shared" si="114"/>
        <v>2.0610534599749073E-3</v>
      </c>
      <c r="V148" s="529">
        <f t="shared" si="114"/>
        <v>2.0610534599749073E-3</v>
      </c>
      <c r="W148" s="529">
        <f t="shared" si="114"/>
        <v>2.0610534599749073E-3</v>
      </c>
      <c r="X148" s="529">
        <f t="shared" si="114"/>
        <v>2.0610534599749073E-3</v>
      </c>
      <c r="Y148" s="529">
        <f t="shared" si="114"/>
        <v>2.0610534599749073E-3</v>
      </c>
      <c r="Z148" s="529">
        <f t="shared" si="114"/>
        <v>2.0610534599749073E-3</v>
      </c>
      <c r="AA148" s="529">
        <f t="shared" si="114"/>
        <v>2.0610534599749073E-3</v>
      </c>
      <c r="AB148" s="529">
        <f t="shared" si="114"/>
        <v>2.0610534599749073E-3</v>
      </c>
      <c r="AC148" s="529">
        <f t="shared" si="114"/>
        <v>2.0610534599749073E-3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8774-2662-4603-A123-57E42D786FB3}">
  <sheetPr>
    <tabColor rgb="FF92D050"/>
  </sheetPr>
  <dimension ref="A1:AC378"/>
  <sheetViews>
    <sheetView zoomScale="90" zoomScaleNormal="90" workbookViewId="0">
      <selection activeCell="C36" sqref="C36"/>
    </sheetView>
  </sheetViews>
  <sheetFormatPr defaultColWidth="8.85546875" defaultRowHeight="15" x14ac:dyDescent="0.25"/>
  <cols>
    <col min="1" max="1" width="32.5703125" customWidth="1"/>
    <col min="2" max="3" width="42.42578125" style="64" customWidth="1"/>
    <col min="4" max="15" width="10.7109375" bestFit="1" customWidth="1"/>
    <col min="16" max="16" width="11.85546875" bestFit="1" customWidth="1"/>
    <col min="17" max="17" width="10.42578125" customWidth="1"/>
    <col min="18" max="18" width="12.140625" customWidth="1"/>
    <col min="19" max="19" width="10.7109375" customWidth="1"/>
    <col min="20" max="20" width="11.140625" customWidth="1"/>
    <col min="21" max="22" width="10.7109375" customWidth="1"/>
    <col min="23" max="24" width="10.42578125" customWidth="1"/>
    <col min="25" max="25" width="10.28515625" customWidth="1"/>
    <col min="26" max="26" width="10.42578125" customWidth="1"/>
    <col min="27" max="29" width="10.28515625" customWidth="1"/>
  </cols>
  <sheetData>
    <row r="1" spans="1:29" s="72" customFormat="1" ht="30" x14ac:dyDescent="0.25">
      <c r="A1" s="154" t="s">
        <v>101</v>
      </c>
      <c r="B1" s="155" t="s">
        <v>86</v>
      </c>
      <c r="C1" s="155"/>
      <c r="D1" s="155">
        <v>2010</v>
      </c>
      <c r="E1" s="155">
        <v>2011</v>
      </c>
      <c r="F1" s="155">
        <v>2012</v>
      </c>
      <c r="G1" s="155">
        <v>2013</v>
      </c>
      <c r="H1" s="155">
        <v>2014</v>
      </c>
      <c r="I1" s="155">
        <v>2015</v>
      </c>
      <c r="J1" s="155">
        <v>2016</v>
      </c>
      <c r="K1" s="155">
        <v>2017</v>
      </c>
      <c r="L1" s="155">
        <v>2018</v>
      </c>
      <c r="M1" s="155">
        <v>2019</v>
      </c>
      <c r="N1" s="155">
        <v>2020</v>
      </c>
      <c r="O1" s="155">
        <v>2021</v>
      </c>
      <c r="P1" s="155">
        <v>2022</v>
      </c>
      <c r="Q1" s="155">
        <v>2023</v>
      </c>
      <c r="R1" s="155">
        <v>2024</v>
      </c>
      <c r="S1" s="155">
        <v>2025</v>
      </c>
      <c r="T1" s="155">
        <v>2026</v>
      </c>
      <c r="U1" s="155">
        <v>2027</v>
      </c>
      <c r="V1" s="155">
        <v>2028</v>
      </c>
      <c r="W1" s="155">
        <v>2029</v>
      </c>
      <c r="X1" s="155">
        <v>2030</v>
      </c>
      <c r="Y1" s="155">
        <v>2031</v>
      </c>
      <c r="Z1" s="155">
        <v>2032</v>
      </c>
      <c r="AA1" s="155">
        <v>2033</v>
      </c>
      <c r="AB1" s="155">
        <v>2034</v>
      </c>
      <c r="AC1" s="156">
        <v>2035</v>
      </c>
    </row>
    <row r="2" spans="1:29" s="70" customFormat="1" x14ac:dyDescent="0.25">
      <c r="A2" s="145" t="s">
        <v>102</v>
      </c>
      <c r="B2" s="71" t="s">
        <v>104</v>
      </c>
      <c r="C2" s="71"/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157">
        <f>+(Medidas!B22+Medidas!B32)/1000</f>
        <v>0.27500000000000002</v>
      </c>
      <c r="U2" s="157">
        <f>+(Medidas!C22+Medidas!C32)/1000</f>
        <v>0.27368000000000003</v>
      </c>
      <c r="V2" s="157">
        <f>+(Medidas!D22+Medidas!D32)/1000</f>
        <v>0.27236633599999999</v>
      </c>
      <c r="W2" s="157">
        <f>+(Medidas!E22+Medidas!E32)/1000</f>
        <v>0.27105897758719999</v>
      </c>
      <c r="X2" s="157">
        <f>+(Medidas!F22+Medidas!F32)/1000</f>
        <v>0.26975789449478144</v>
      </c>
      <c r="Y2" s="157">
        <f>+(Medidas!G22+Medidas!G32)/1000</f>
        <v>0.26846305660120651</v>
      </c>
      <c r="Z2" s="157">
        <f>+(Medidas!H22+Medidas!H32)/1000</f>
        <v>0.26717443392952073</v>
      </c>
      <c r="AA2" s="157">
        <f>+(Medidas!I22+Medidas!I32)/1000</f>
        <v>0.26589199664665897</v>
      </c>
      <c r="AB2" s="157">
        <f>+(Medidas!J22+Medidas!J32)/1000</f>
        <v>0.26461571506275505</v>
      </c>
      <c r="AC2" s="158">
        <f>+(Medidas!K22+Medidas!K32)/1000</f>
        <v>0.26334555963045381</v>
      </c>
    </row>
    <row r="3" spans="1:29" s="70" customFormat="1" ht="15.75" thickBot="1" x14ac:dyDescent="0.3">
      <c r="A3" s="147" t="s">
        <v>103</v>
      </c>
      <c r="B3" s="148" t="s">
        <v>92</v>
      </c>
      <c r="C3" s="148"/>
      <c r="D3" s="149">
        <v>0</v>
      </c>
      <c r="E3" s="149">
        <v>0</v>
      </c>
      <c r="F3" s="149">
        <v>0</v>
      </c>
      <c r="G3" s="149">
        <v>0</v>
      </c>
      <c r="H3" s="149">
        <v>0</v>
      </c>
      <c r="I3" s="149">
        <v>0</v>
      </c>
      <c r="J3" s="149">
        <v>0</v>
      </c>
      <c r="K3" s="149">
        <v>0</v>
      </c>
      <c r="L3" s="149">
        <v>0</v>
      </c>
      <c r="M3" s="149">
        <v>0</v>
      </c>
      <c r="N3" s="149">
        <v>0</v>
      </c>
      <c r="O3" s="149">
        <v>0</v>
      </c>
      <c r="P3" s="149">
        <v>0</v>
      </c>
      <c r="Q3" s="149">
        <v>0</v>
      </c>
      <c r="R3" s="149">
        <v>0</v>
      </c>
      <c r="S3" s="149">
        <v>0</v>
      </c>
      <c r="T3" s="149">
        <f>+Medidas!B27/1000</f>
        <v>0.08</v>
      </c>
      <c r="U3" s="149">
        <f>+Medidas!C27/1000</f>
        <v>7.9616000000000006E-2</v>
      </c>
      <c r="V3" s="149">
        <f>+Medidas!D27/1000</f>
        <v>7.9233843200000001E-2</v>
      </c>
      <c r="W3" s="149">
        <f>+Medidas!E27/1000</f>
        <v>7.8853520752639988E-2</v>
      </c>
      <c r="X3" s="149">
        <f>+Medidas!F27/1000</f>
        <v>7.847502385302732E-2</v>
      </c>
      <c r="Y3" s="149">
        <f>+Medidas!G27/1000</f>
        <v>7.8098343738532791E-2</v>
      </c>
      <c r="Z3" s="149">
        <f>+Medidas!H27/1000</f>
        <v>7.7723471688587842E-2</v>
      </c>
      <c r="AA3" s="149">
        <f>+Medidas!I27/1000</f>
        <v>7.7350399024482611E-2</v>
      </c>
      <c r="AB3" s="149">
        <f>+Medidas!J27/1000</f>
        <v>7.6979117109165107E-2</v>
      </c>
      <c r="AC3" s="150">
        <f>+Medidas!K27/1000</f>
        <v>7.6609617347041109E-2</v>
      </c>
    </row>
    <row r="5" spans="1:29" ht="15.75" thickBot="1" x14ac:dyDescent="0.3"/>
    <row r="6" spans="1:29" s="72" customFormat="1" ht="15.75" thickBot="1" x14ac:dyDescent="0.3">
      <c r="A6" s="151" t="s">
        <v>97</v>
      </c>
      <c r="B6" s="152" t="s">
        <v>86</v>
      </c>
      <c r="C6" s="152"/>
      <c r="D6" s="152">
        <v>2010</v>
      </c>
      <c r="E6" s="152">
        <v>2011</v>
      </c>
      <c r="F6" s="152">
        <v>2012</v>
      </c>
      <c r="G6" s="152">
        <v>2013</v>
      </c>
      <c r="H6" s="152">
        <v>2014</v>
      </c>
      <c r="I6" s="152">
        <v>2015</v>
      </c>
      <c r="J6" s="152">
        <v>2016</v>
      </c>
      <c r="K6" s="152">
        <v>2017</v>
      </c>
      <c r="L6" s="152">
        <v>2018</v>
      </c>
      <c r="M6" s="152">
        <v>2019</v>
      </c>
      <c r="N6" s="152">
        <v>2020</v>
      </c>
      <c r="O6" s="152">
        <v>2021</v>
      </c>
      <c r="P6" s="152">
        <v>2022</v>
      </c>
      <c r="Q6" s="152">
        <v>2023</v>
      </c>
      <c r="R6" s="152">
        <v>2024</v>
      </c>
      <c r="S6" s="152">
        <v>2025</v>
      </c>
      <c r="T6" s="152">
        <v>2026</v>
      </c>
      <c r="U6" s="152">
        <v>2027</v>
      </c>
      <c r="V6" s="152">
        <v>2028</v>
      </c>
      <c r="W6" s="152">
        <v>2029</v>
      </c>
      <c r="X6" s="152">
        <v>2030</v>
      </c>
      <c r="Y6" s="152">
        <v>2031</v>
      </c>
      <c r="Z6" s="152">
        <v>2032</v>
      </c>
      <c r="AA6" s="152">
        <v>2033</v>
      </c>
      <c r="AB6" s="152">
        <v>2034</v>
      </c>
      <c r="AC6" s="153">
        <v>2035</v>
      </c>
    </row>
    <row r="7" spans="1:29" s="70" customFormat="1" x14ac:dyDescent="0.25">
      <c r="A7" s="141" t="s">
        <v>76</v>
      </c>
      <c r="B7" s="142" t="s">
        <v>87</v>
      </c>
      <c r="C7" s="142"/>
      <c r="D7" s="143">
        <v>0</v>
      </c>
      <c r="E7" s="143">
        <v>0</v>
      </c>
      <c r="F7" s="143">
        <v>0</v>
      </c>
      <c r="G7" s="143">
        <v>0</v>
      </c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f>+Medidas!B37/1000</f>
        <v>54.629208942999995</v>
      </c>
      <c r="U7" s="143">
        <f>+Medidas!C37/1000</f>
        <v>54.514487604219703</v>
      </c>
      <c r="V7" s="143">
        <f>+Medidas!D37/1000</f>
        <v>54.400007180250839</v>
      </c>
      <c r="W7" s="143">
        <f>+Medidas!E37/1000</f>
        <v>54.285767165172317</v>
      </c>
      <c r="X7" s="143">
        <f>+Medidas!F37/1000</f>
        <v>54.171767054125453</v>
      </c>
      <c r="Y7" s="143">
        <f>+Medidas!G37/1000</f>
        <v>54.058006343311789</v>
      </c>
      <c r="Z7" s="143">
        <f>+Medidas!H37/1000</f>
        <v>53.944484529990831</v>
      </c>
      <c r="AA7" s="143">
        <f>+Medidas!I37/1000</f>
        <v>53.831201112477849</v>
      </c>
      <c r="AB7" s="143">
        <f>+Medidas!J37/1000</f>
        <v>53.718155590141649</v>
      </c>
      <c r="AC7" s="144">
        <f>+Medidas!K37/1000</f>
        <v>53.605347463402353</v>
      </c>
    </row>
    <row r="8" spans="1:29" s="70" customFormat="1" x14ac:dyDescent="0.25">
      <c r="A8" s="145" t="s">
        <v>77</v>
      </c>
      <c r="B8" s="71" t="s">
        <v>88</v>
      </c>
      <c r="C8" s="71"/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f>+(Medidas!B49+Medidas!B72)/1000</f>
        <v>3.684441500923926</v>
      </c>
      <c r="U8" s="75">
        <f>+(Medidas!C49+Medidas!C72)/1000</f>
        <v>3.6840368365785054</v>
      </c>
      <c r="V8" s="75">
        <f>+(Medidas!D49+Medidas!D72)/1000</f>
        <v>3.6836322395431553</v>
      </c>
      <c r="W8" s="75">
        <f>+(Medidas!E49+Medidas!E72)/1000</f>
        <v>3.6832277097279849</v>
      </c>
      <c r="X8" s="75">
        <f>+(Medidas!F49+Medidas!F72)/1000</f>
        <v>3.6828232470434008</v>
      </c>
      <c r="Y8" s="75">
        <f>+(Medidas!G49+Medidas!G72)/1000</f>
        <v>3.6824188514001084</v>
      </c>
      <c r="Z8" s="75">
        <f>+(Medidas!H49+Medidas!H72)/1000</f>
        <v>3.6820145227091099</v>
      </c>
      <c r="AA8" s="75">
        <f>+(Medidas!I49+Medidas!I72)/1000</f>
        <v>3.681610260881703</v>
      </c>
      <c r="AB8" s="75">
        <f>+(Medidas!J49+Medidas!J72)/1000</f>
        <v>3.6812060658294792</v>
      </c>
      <c r="AC8" s="146">
        <f>+(Medidas!K49+Medidas!K72)/1000</f>
        <v>3.680801937464325</v>
      </c>
    </row>
    <row r="9" spans="1:29" s="70" customFormat="1" x14ac:dyDescent="0.25">
      <c r="A9" s="145" t="s">
        <v>78</v>
      </c>
      <c r="B9" s="71" t="s">
        <v>89</v>
      </c>
      <c r="C9" s="71"/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f>+(Medidas!B52+Medidas!B87)/1000</f>
        <v>21.778430961543133</v>
      </c>
      <c r="U9" s="75">
        <f>+(Medidas!C52+Medidas!C87)/1000</f>
        <v>21.704635624911063</v>
      </c>
      <c r="V9" s="75">
        <f>+(Medidas!D52+Medidas!D87)/1000</f>
        <v>21.631098309606656</v>
      </c>
      <c r="W9" s="75">
        <f>+(Medidas!E52+Medidas!E87)/1000</f>
        <v>21.5578181125836</v>
      </c>
      <c r="X9" s="75">
        <f>+(Medidas!F52+Medidas!F87)/1000</f>
        <v>21.484794133956246</v>
      </c>
      <c r="Y9" s="75">
        <f>+(Medidas!G52+Medidas!G87)/1000</f>
        <v>21.412025476988532</v>
      </c>
      <c r="Z9" s="75">
        <f>+(Medidas!H52+Medidas!H87)/1000</f>
        <v>21.339511248082975</v>
      </c>
      <c r="AA9" s="75">
        <f>+(Medidas!I52+Medidas!I87)/1000</f>
        <v>21.267250556769678</v>
      </c>
      <c r="AB9" s="75">
        <f>+(Medidas!J52+Medidas!J87)/1000</f>
        <v>21.195242515695391</v>
      </c>
      <c r="AC9" s="146">
        <f>+(Medidas!K52+Medidas!K87)/1000</f>
        <v>21.123486240612586</v>
      </c>
    </row>
    <row r="10" spans="1:29" s="70" customFormat="1" x14ac:dyDescent="0.25">
      <c r="A10" s="145" t="s">
        <v>79</v>
      </c>
      <c r="B10" s="71" t="s">
        <v>90</v>
      </c>
      <c r="C10" s="71"/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f>+Medidas!B57/1000</f>
        <v>0.11095741391407672</v>
      </c>
      <c r="U10" s="75">
        <f>+Medidas!C57/1000</f>
        <v>0.11094543051337401</v>
      </c>
      <c r="V10" s="75">
        <f>+Medidas!D57/1000</f>
        <v>0.11093344840687856</v>
      </c>
      <c r="W10" s="75">
        <f>+Medidas!E57/1000</f>
        <v>0.11092146759445064</v>
      </c>
      <c r="X10" s="75">
        <f>+Medidas!F57/1000</f>
        <v>0.11090948807595044</v>
      </c>
      <c r="Y10" s="75">
        <f>+Medidas!G57/1000</f>
        <v>0.11089750985123822</v>
      </c>
      <c r="Z10" s="75">
        <f>+Medidas!H57/1000</f>
        <v>0.11088553292017429</v>
      </c>
      <c r="AA10" s="75">
        <f>+Medidas!I57/1000</f>
        <v>0.11087355728261891</v>
      </c>
      <c r="AB10" s="75">
        <f>+Medidas!J57/1000</f>
        <v>0.11086158293843239</v>
      </c>
      <c r="AC10" s="146">
        <f>+Medidas!K57/1000</f>
        <v>0.11084960988747504</v>
      </c>
    </row>
    <row r="11" spans="1:29" s="70" customFormat="1" x14ac:dyDescent="0.25">
      <c r="A11" s="145" t="s">
        <v>80</v>
      </c>
      <c r="B11" s="71" t="s">
        <v>91</v>
      </c>
      <c r="C11" s="71"/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f>+Medidas!B62/1000</f>
        <v>1.6887862513844032</v>
      </c>
      <c r="U11" s="75">
        <f>+Medidas!C62/1000</f>
        <v>1.6886038624692536</v>
      </c>
      <c r="V11" s="75">
        <f>+Medidas!D62/1000</f>
        <v>1.6884214932521069</v>
      </c>
      <c r="W11" s="75">
        <f>+Medidas!E62/1000</f>
        <v>1.6882391437308359</v>
      </c>
      <c r="X11" s="75">
        <f>+Medidas!F62/1000</f>
        <v>1.688056813903313</v>
      </c>
      <c r="Y11" s="75">
        <f>+Medidas!G62/1000</f>
        <v>1.6878745037674114</v>
      </c>
      <c r="Z11" s="75">
        <f>+Medidas!H62/1000</f>
        <v>1.6876922133210046</v>
      </c>
      <c r="AA11" s="75">
        <f>+Medidas!I62/1000</f>
        <v>1.687509942561966</v>
      </c>
      <c r="AB11" s="75">
        <f>+Medidas!J62/1000</f>
        <v>1.6873276914881692</v>
      </c>
      <c r="AC11" s="146">
        <f>+Medidas!K62/1000</f>
        <v>1.6871454600974884</v>
      </c>
    </row>
    <row r="12" spans="1:29" s="70" customFormat="1" x14ac:dyDescent="0.25">
      <c r="A12" s="145" t="s">
        <v>81</v>
      </c>
      <c r="B12" s="71" t="s">
        <v>92</v>
      </c>
      <c r="C12" s="71"/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f>+Medidas!B67/1000</f>
        <v>2.7183111448104702</v>
      </c>
      <c r="U12" s="75">
        <f>+Medidas!C67/1000</f>
        <v>2.7180175672068305</v>
      </c>
      <c r="V12" s="75">
        <f>+Medidas!D67/1000</f>
        <v>2.7177240213095719</v>
      </c>
      <c r="W12" s="75">
        <f>+Medidas!E67/1000</f>
        <v>2.7174305071152709</v>
      </c>
      <c r="X12" s="75">
        <f>+Medidas!F67/1000</f>
        <v>2.7171370246205022</v>
      </c>
      <c r="Y12" s="75">
        <f>+Medidas!G67/1000</f>
        <v>2.7168435738218437</v>
      </c>
      <c r="Z12" s="75">
        <f>+Medidas!H67/1000</f>
        <v>2.716550154715871</v>
      </c>
      <c r="AA12" s="75">
        <f>+Medidas!I67/1000</f>
        <v>2.7162567672991615</v>
      </c>
      <c r="AB12" s="75">
        <f>+Medidas!J67/1000</f>
        <v>2.7159634115682936</v>
      </c>
      <c r="AC12" s="146">
        <f>+Medidas!K67/1000</f>
        <v>2.7156700875198441</v>
      </c>
    </row>
    <row r="13" spans="1:29" s="70" customFormat="1" x14ac:dyDescent="0.25">
      <c r="A13" s="145" t="s">
        <v>82</v>
      </c>
      <c r="B13" s="71" t="s">
        <v>93</v>
      </c>
      <c r="C13" s="71"/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f>+Medidas!B77/1000</f>
        <v>0.36617914538683949</v>
      </c>
      <c r="U13" s="75">
        <f>+Medidas!C77/1000</f>
        <v>0.3661395980391377</v>
      </c>
      <c r="V13" s="75">
        <f>+Medidas!D77/1000</f>
        <v>0.36610005496254944</v>
      </c>
      <c r="W13" s="75">
        <f>+Medidas!E77/1000</f>
        <v>0.3660605161566135</v>
      </c>
      <c r="X13" s="75">
        <f>+Medidas!F77/1000</f>
        <v>0.3660209816208686</v>
      </c>
      <c r="Y13" s="75">
        <f>+Medidas!G77/1000</f>
        <v>0.36598145135485355</v>
      </c>
      <c r="Z13" s="75">
        <f>+Medidas!H77/1000</f>
        <v>0.36594192535810727</v>
      </c>
      <c r="AA13" s="75">
        <f>+Medidas!I77/1000</f>
        <v>0.36590240363016857</v>
      </c>
      <c r="AB13" s="75">
        <f>+Medidas!J77/1000</f>
        <v>0.36586288617057655</v>
      </c>
      <c r="AC13" s="146">
        <f>+Medidas!K77/1000</f>
        <v>0.36582337297887013</v>
      </c>
    </row>
    <row r="14" spans="1:29" s="70" customFormat="1" x14ac:dyDescent="0.25">
      <c r="A14" s="145" t="s">
        <v>83</v>
      </c>
      <c r="B14" s="71" t="s">
        <v>94</v>
      </c>
      <c r="C14" s="71"/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f>+Medidas!B92/1000</f>
        <v>1.3635047053613696</v>
      </c>
      <c r="U14" s="75">
        <f>+Medidas!C92/1000</f>
        <v>1.3633574468531906</v>
      </c>
      <c r="V14" s="75">
        <f>+Medidas!D92/1000</f>
        <v>1.3632102042489305</v>
      </c>
      <c r="W14" s="75">
        <f>+Medidas!E92/1000</f>
        <v>1.3630629775468717</v>
      </c>
      <c r="X14" s="75">
        <f>+Medidas!F92/1000</f>
        <v>1.3629157667452967</v>
      </c>
      <c r="Y14" s="75">
        <f>+Medidas!G92/1000</f>
        <v>1.3627685718424882</v>
      </c>
      <c r="Z14" s="75">
        <f>+Medidas!H92/1000</f>
        <v>1.3626213928367292</v>
      </c>
      <c r="AA14" s="75">
        <f>+Medidas!I92/1000</f>
        <v>1.3624742297263028</v>
      </c>
      <c r="AB14" s="75">
        <f>+Medidas!J92/1000</f>
        <v>1.3623270825094924</v>
      </c>
      <c r="AC14" s="146">
        <f>+Medidas!K92/1000</f>
        <v>1.3621799511845814</v>
      </c>
    </row>
    <row r="15" spans="1:29" s="70" customFormat="1" x14ac:dyDescent="0.25">
      <c r="A15" s="145" t="s">
        <v>84</v>
      </c>
      <c r="B15" s="71" t="s">
        <v>95</v>
      </c>
      <c r="C15" s="71"/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f>+Medidas!B42/1000</f>
        <v>39.664720974399998</v>
      </c>
      <c r="U15" s="75">
        <f>+Medidas!C42/1000</f>
        <v>39.581425060353759</v>
      </c>
      <c r="V15" s="75">
        <f>+Medidas!D42/1000</f>
        <v>39.49830406772702</v>
      </c>
      <c r="W15" s="75">
        <f>+Medidas!E42/1000</f>
        <v>39.41535762918479</v>
      </c>
      <c r="X15" s="75">
        <f>+Medidas!F42/1000</f>
        <v>39.3325853781635</v>
      </c>
      <c r="Y15" s="75">
        <f>+Medidas!G42/1000</f>
        <v>39.249986948869356</v>
      </c>
      <c r="Z15" s="75">
        <f>+Medidas!H42/1000</f>
        <v>39.16756197627673</v>
      </c>
      <c r="AA15" s="75">
        <f>+Medidas!I42/1000</f>
        <v>39.085310096126548</v>
      </c>
      <c r="AB15" s="75">
        <f>+Medidas!J42/1000</f>
        <v>39.003230944924688</v>
      </c>
      <c r="AC15" s="146">
        <f>+Medidas!K42/1000</f>
        <v>38.921324159940347</v>
      </c>
    </row>
    <row r="16" spans="1:29" s="70" customFormat="1" ht="15.75" thickBot="1" x14ac:dyDescent="0.3">
      <c r="A16" s="147" t="s">
        <v>85</v>
      </c>
      <c r="B16" s="148" t="s">
        <v>96</v>
      </c>
      <c r="C16" s="148"/>
      <c r="D16" s="149">
        <v>0</v>
      </c>
      <c r="E16" s="149">
        <v>0</v>
      </c>
      <c r="F16" s="149">
        <v>0</v>
      </c>
      <c r="G16" s="149">
        <v>0</v>
      </c>
      <c r="H16" s="149">
        <v>0</v>
      </c>
      <c r="I16" s="149">
        <v>0</v>
      </c>
      <c r="J16" s="149">
        <v>0</v>
      </c>
      <c r="K16" s="149">
        <v>0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0</v>
      </c>
      <c r="R16" s="149">
        <v>0</v>
      </c>
      <c r="S16" s="149">
        <v>0</v>
      </c>
      <c r="T16" s="149">
        <v>3</v>
      </c>
      <c r="U16" s="149">
        <v>3</v>
      </c>
      <c r="V16" s="149">
        <v>3</v>
      </c>
      <c r="W16" s="149">
        <v>3</v>
      </c>
      <c r="X16" s="149">
        <v>0</v>
      </c>
      <c r="Y16" s="149">
        <v>0</v>
      </c>
      <c r="Z16" s="149">
        <v>0</v>
      </c>
      <c r="AA16" s="149">
        <v>0</v>
      </c>
      <c r="AB16" s="149">
        <v>0</v>
      </c>
      <c r="AC16" s="150">
        <v>0</v>
      </c>
    </row>
    <row r="17" spans="1:29" s="70" customFormat="1" x14ac:dyDescent="0.25">
      <c r="A17" s="71"/>
      <c r="B17" s="71"/>
      <c r="C17" s="71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9" spans="1:29" x14ac:dyDescent="0.25">
      <c r="A19" s="81" t="s">
        <v>114</v>
      </c>
    </row>
    <row r="20" spans="1:29" x14ac:dyDescent="0.25">
      <c r="A20" s="1" t="s">
        <v>105</v>
      </c>
      <c r="B20" s="65" t="s">
        <v>106</v>
      </c>
      <c r="C20" s="1" t="s">
        <v>223</v>
      </c>
      <c r="D20" s="1">
        <v>2010</v>
      </c>
      <c r="E20" s="1">
        <v>2011</v>
      </c>
      <c r="F20" s="1">
        <v>2012</v>
      </c>
      <c r="G20" s="1">
        <v>2013</v>
      </c>
      <c r="H20" s="1">
        <v>2014</v>
      </c>
      <c r="I20" s="1">
        <v>2015</v>
      </c>
      <c r="J20" s="1">
        <v>2016</v>
      </c>
      <c r="K20" s="1">
        <v>2017</v>
      </c>
      <c r="L20" s="1">
        <v>2018</v>
      </c>
      <c r="M20" s="1">
        <v>2019</v>
      </c>
      <c r="N20" s="1">
        <v>2020</v>
      </c>
      <c r="O20" s="1">
        <v>2021</v>
      </c>
      <c r="P20" s="1">
        <v>2022</v>
      </c>
      <c r="Q20" s="1">
        <v>2023</v>
      </c>
      <c r="R20" s="1">
        <v>2024</v>
      </c>
      <c r="S20" s="1">
        <v>2025</v>
      </c>
      <c r="T20" s="1">
        <v>2026</v>
      </c>
      <c r="U20" s="1">
        <v>2027</v>
      </c>
      <c r="V20" s="1">
        <v>2028</v>
      </c>
      <c r="W20" s="1">
        <v>2029</v>
      </c>
      <c r="X20" s="1">
        <v>2030</v>
      </c>
      <c r="Y20" s="1">
        <v>2031</v>
      </c>
      <c r="Z20" s="1">
        <v>2032</v>
      </c>
      <c r="AA20" s="1">
        <v>2033</v>
      </c>
      <c r="AB20" s="1">
        <v>2034</v>
      </c>
      <c r="AC20" s="1">
        <v>2035</v>
      </c>
    </row>
    <row r="21" spans="1:29" x14ac:dyDescent="0.25">
      <c r="A21" s="173" t="s">
        <v>227</v>
      </c>
      <c r="B21" s="173" t="s">
        <v>228</v>
      </c>
      <c r="C21" s="175">
        <f>+SUM(P22:P30)/(SUM(P22:P30)+SUM(P37:P45)+SUM(P51:P59)+SUM(P65:P73)+SUM(P80:P88))</f>
        <v>0.89825376915175026</v>
      </c>
      <c r="D21" s="177">
        <f t="shared" ref="D21:P21" si="0">+SUM(D22:D30)</f>
        <v>94.733999999999995</v>
      </c>
      <c r="E21" s="177">
        <f t="shared" si="0"/>
        <v>94.733999999999995</v>
      </c>
      <c r="F21" s="177">
        <f t="shared" si="0"/>
        <v>94.733999999999995</v>
      </c>
      <c r="G21" s="177">
        <f t="shared" si="0"/>
        <v>94.733999999999995</v>
      </c>
      <c r="H21" s="177">
        <f t="shared" si="0"/>
        <v>94.733999999999995</v>
      </c>
      <c r="I21" s="177">
        <f t="shared" si="0"/>
        <v>92.75350499999999</v>
      </c>
      <c r="J21" s="177">
        <f t="shared" si="0"/>
        <v>90.773009999999999</v>
      </c>
      <c r="K21" s="177">
        <f t="shared" si="0"/>
        <v>84.104577500000005</v>
      </c>
      <c r="L21" s="177">
        <f t="shared" si="0"/>
        <v>77.43614500000001</v>
      </c>
      <c r="M21" s="177">
        <f t="shared" si="0"/>
        <v>82.067594999999997</v>
      </c>
      <c r="N21" s="177">
        <f t="shared" si="0"/>
        <v>82.067594999999997</v>
      </c>
      <c r="O21" s="177">
        <f t="shared" si="0"/>
        <v>91.369034999999997</v>
      </c>
      <c r="P21" s="177">
        <f t="shared" si="0"/>
        <v>91.369034999999997</v>
      </c>
      <c r="Q21" s="177">
        <f>+Coberturas!O33*-1000</f>
        <v>95.39213655000276</v>
      </c>
      <c r="R21" s="177">
        <f>+Coberturas!P33*-1000</f>
        <v>94.690734103091017</v>
      </c>
      <c r="S21" s="177">
        <f>+Coberturas!Q33*-1000</f>
        <v>93.979332343376882</v>
      </c>
      <c r="T21" s="177">
        <f>+Coberturas!R33*-1000</f>
        <v>75.942931270532426</v>
      </c>
      <c r="U21" s="177">
        <f>+Coberturas!S33*-1000</f>
        <v>90.43046517438961</v>
      </c>
      <c r="V21" s="177">
        <f>+Coberturas!T33*-1000</f>
        <v>89.74013174645188</v>
      </c>
      <c r="W21" s="177">
        <f>+Coberturas!U33*-1000</f>
        <v>106.06979848190167</v>
      </c>
      <c r="X21" s="177">
        <f>+Coberturas!V33*-1000</f>
        <v>88.399465380638503</v>
      </c>
      <c r="Y21" s="177">
        <f>+Coberturas!W33*-1000</f>
        <v>87.729132442607806</v>
      </c>
      <c r="Z21" s="177">
        <f>+Coberturas!X33*-1000</f>
        <v>87.068799667706116</v>
      </c>
      <c r="AA21" s="177">
        <f>+Coberturas!Y33*-1000</f>
        <v>86.408467055875008</v>
      </c>
      <c r="AB21" s="177">
        <f>+Coberturas!Z33*-1000</f>
        <v>85.768134607014872</v>
      </c>
      <c r="AC21" s="177">
        <f>+Coberturas!AA33*-1000</f>
        <v>85.107802321050258</v>
      </c>
    </row>
    <row r="22" spans="1:29" x14ac:dyDescent="0.25">
      <c r="A22" s="192" t="s">
        <v>18</v>
      </c>
      <c r="B22" s="54" t="s">
        <v>19</v>
      </c>
      <c r="C22" s="176">
        <f>+P22/SUM(P$22:P$30)</f>
        <v>2.6189616646383539E-2</v>
      </c>
      <c r="D22" s="84">
        <f>+'5ta'!F3/1000</f>
        <v>2.9216550000000003</v>
      </c>
      <c r="E22" s="84">
        <f>+(D22+F22)/2</f>
        <v>2.9216550000000003</v>
      </c>
      <c r="F22" s="84">
        <f>+'5ta'!G3/1000</f>
        <v>2.9216550000000003</v>
      </c>
      <c r="G22" s="84">
        <f>+(F22+H22)/2</f>
        <v>2.9216550000000003</v>
      </c>
      <c r="H22" s="84">
        <f>+'5ta'!H3/1000</f>
        <v>2.9216550000000003</v>
      </c>
      <c r="I22" s="84">
        <f>+(H22+J22)/2</f>
        <v>2.0444325000000001</v>
      </c>
      <c r="J22" s="84">
        <f>+'5ta'!I3/1000</f>
        <v>1.1672100000000001</v>
      </c>
      <c r="K22" s="84">
        <f>+(J22+L22)/2</f>
        <v>1.0525500000000001</v>
      </c>
      <c r="L22" s="84">
        <f>+'5ta'!J3/1000</f>
        <v>0.93789</v>
      </c>
      <c r="M22" s="84">
        <f>+'5ta'!K3/1000</f>
        <v>3.3829199999999999</v>
      </c>
      <c r="N22" s="84">
        <f>+'5ta'!L3/1000</f>
        <v>3.3829199999999999</v>
      </c>
      <c r="O22" s="84">
        <f>+'5ta'!M3/1000</f>
        <v>2.3929200000000002</v>
      </c>
      <c r="P22" s="84">
        <f>+'5ta'!N3/1000</f>
        <v>2.3929200000000002</v>
      </c>
      <c r="Q22" s="178">
        <f>+Q$21*$C$21*$C22</f>
        <v>2.2440925588984015</v>
      </c>
      <c r="R22" s="178">
        <f t="shared" ref="Q22:AC30" si="1">+R$21*$C$21*$C22</f>
        <v>2.2275921211387049</v>
      </c>
      <c r="S22" s="178">
        <f t="shared" si="1"/>
        <v>2.2108564503266264</v>
      </c>
      <c r="T22" s="178">
        <f t="shared" si="1"/>
        <v>1.7865515243575871</v>
      </c>
      <c r="U22" s="178">
        <f t="shared" si="1"/>
        <v>2.1273696274660376</v>
      </c>
      <c r="V22" s="178">
        <f t="shared" si="1"/>
        <v>2.1111295875128295</v>
      </c>
      <c r="W22" s="178">
        <f t="shared" si="1"/>
        <v>2.4952837215499142</v>
      </c>
      <c r="X22" s="178">
        <f t="shared" si="1"/>
        <v>2.0795905160096968</v>
      </c>
      <c r="Y22" s="178">
        <f t="shared" si="1"/>
        <v>2.0638209860188192</v>
      </c>
      <c r="Z22" s="178">
        <f t="shared" si="1"/>
        <v>2.0482867090841905</v>
      </c>
      <c r="AA22" s="178">
        <f t="shared" si="1"/>
        <v>2.0327524359857851</v>
      </c>
      <c r="AB22" s="178">
        <f t="shared" si="1"/>
        <v>2.0176886651585639</v>
      </c>
      <c r="AC22" s="178">
        <f t="shared" si="1"/>
        <v>2.0021543997261424</v>
      </c>
    </row>
    <row r="23" spans="1:29" x14ac:dyDescent="0.25">
      <c r="A23" s="192" t="s">
        <v>20</v>
      </c>
      <c r="B23" s="54" t="s">
        <v>19</v>
      </c>
      <c r="C23" s="176">
        <f t="shared" ref="C23:C30" si="2">+P23/SUM(P$22:P$30)</f>
        <v>0.15805573518424487</v>
      </c>
      <c r="D23" s="84">
        <f>+'5ta'!F4/1000</f>
        <v>14.129010000000008</v>
      </c>
      <c r="E23" s="84">
        <f t="shared" ref="E23:G35" si="3">+(D23+F23)/2</f>
        <v>14.129010000000008</v>
      </c>
      <c r="F23" s="84">
        <f>+'5ta'!G4/1000</f>
        <v>14.129010000000008</v>
      </c>
      <c r="G23" s="84">
        <f t="shared" si="3"/>
        <v>14.129010000000008</v>
      </c>
      <c r="H23" s="84">
        <f>+'5ta'!H4/1000</f>
        <v>14.129010000000008</v>
      </c>
      <c r="I23" s="84">
        <f t="shared" ref="I23:I35" si="4">+(H23+J23)/2</f>
        <v>13.915642500000004</v>
      </c>
      <c r="J23" s="84">
        <f>+'5ta'!I4/1000</f>
        <v>13.702274999999998</v>
      </c>
      <c r="K23" s="84">
        <f t="shared" ref="K23:K35" si="5">+(J23+L23)/2</f>
        <v>11.8719675</v>
      </c>
      <c r="L23" s="84">
        <f>+'5ta'!J4/1000</f>
        <v>10.04166</v>
      </c>
      <c r="M23" s="84">
        <f>+'5ta'!K4/1000</f>
        <v>11.193209999999999</v>
      </c>
      <c r="N23" s="84">
        <f>+'5ta'!L4/1000</f>
        <v>11.193209999999999</v>
      </c>
      <c r="O23" s="84">
        <f>+'5ta'!M4/1000</f>
        <v>14.441400000000002</v>
      </c>
      <c r="P23" s="84">
        <f>+'5ta'!N4/1000</f>
        <v>14.441400000000002</v>
      </c>
      <c r="Q23" s="178">
        <f t="shared" si="1"/>
        <v>13.543218444442511</v>
      </c>
      <c r="R23" s="178">
        <f t="shared" si="1"/>
        <v>13.443637421314751</v>
      </c>
      <c r="S23" s="178">
        <f t="shared" si="1"/>
        <v>13.342636754152641</v>
      </c>
      <c r="T23" s="178">
        <f t="shared" si="1"/>
        <v>10.781933864841974</v>
      </c>
      <c r="U23" s="178">
        <f t="shared" si="1"/>
        <v>12.838789319362132</v>
      </c>
      <c r="V23" s="178">
        <f t="shared" si="1"/>
        <v>12.74077981090374</v>
      </c>
      <c r="W23" s="178">
        <f t="shared" si="1"/>
        <v>15.059170526549543</v>
      </c>
      <c r="X23" s="178">
        <f t="shared" si="1"/>
        <v>12.550439829957723</v>
      </c>
      <c r="Y23" s="178">
        <f t="shared" si="1"/>
        <v>12.455269874250778</v>
      </c>
      <c r="Z23" s="178">
        <f t="shared" si="1"/>
        <v>12.361519683302587</v>
      </c>
      <c r="AA23" s="178">
        <f t="shared" si="1"/>
        <v>12.26776951550621</v>
      </c>
      <c r="AB23" s="178">
        <f t="shared" si="1"/>
        <v>12.176858854044802</v>
      </c>
      <c r="AC23" s="178">
        <f t="shared" si="1"/>
        <v>12.083108732513043</v>
      </c>
    </row>
    <row r="24" spans="1:29" x14ac:dyDescent="0.25">
      <c r="A24" s="192" t="s">
        <v>21</v>
      </c>
      <c r="B24" s="54" t="s">
        <v>19</v>
      </c>
      <c r="C24" s="176">
        <f t="shared" si="2"/>
        <v>9.5808607369006357E-2</v>
      </c>
      <c r="D24" s="84">
        <f>+'5ta'!F5/1000</f>
        <v>13.631910000000001</v>
      </c>
      <c r="E24" s="84">
        <f t="shared" si="3"/>
        <v>13.631910000000001</v>
      </c>
      <c r="F24" s="84">
        <f>+'5ta'!G5/1000</f>
        <v>13.631910000000001</v>
      </c>
      <c r="G24" s="84">
        <f t="shared" si="3"/>
        <v>13.631910000000001</v>
      </c>
      <c r="H24" s="84">
        <f>+'5ta'!H5/1000</f>
        <v>13.631910000000001</v>
      </c>
      <c r="I24" s="84">
        <f t="shared" si="4"/>
        <v>13.444094999999999</v>
      </c>
      <c r="J24" s="84">
        <f>+'5ta'!I5/1000</f>
        <v>13.256279999999997</v>
      </c>
      <c r="K24" s="84">
        <f t="shared" si="5"/>
        <v>12.232394999999999</v>
      </c>
      <c r="L24" s="84">
        <f>+'5ta'!J5/1000</f>
        <v>11.20851</v>
      </c>
      <c r="M24" s="84">
        <f>+'5ta'!K5/1000</f>
        <v>11.09066</v>
      </c>
      <c r="N24" s="84">
        <f>+'5ta'!L5/1000</f>
        <v>11.09066</v>
      </c>
      <c r="O24" s="84">
        <f>+'5ta'!M5/1000</f>
        <v>8.7539400000000001</v>
      </c>
      <c r="P24" s="84">
        <f>+'5ta'!N5/1000</f>
        <v>8.7539400000000001</v>
      </c>
      <c r="Q24" s="178">
        <f t="shared" si="1"/>
        <v>8.2094895002938131</v>
      </c>
      <c r="R24" s="178">
        <f t="shared" si="1"/>
        <v>8.1491264952112701</v>
      </c>
      <c r="S24" s="178">
        <f t="shared" si="1"/>
        <v>8.0879029448423942</v>
      </c>
      <c r="T24" s="178">
        <f t="shared" si="1"/>
        <v>6.5356822840441193</v>
      </c>
      <c r="U24" s="178">
        <f t="shared" si="1"/>
        <v>7.7824858652441549</v>
      </c>
      <c r="V24" s="178">
        <f t="shared" si="1"/>
        <v>7.7230754648346194</v>
      </c>
      <c r="W24" s="178">
        <f t="shared" si="1"/>
        <v>9.128413813008649</v>
      </c>
      <c r="X24" s="178">
        <f t="shared" si="1"/>
        <v>7.6076971238979665</v>
      </c>
      <c r="Y24" s="178">
        <f t="shared" si="1"/>
        <v>7.5500079745037771</v>
      </c>
      <c r="Z24" s="178">
        <f t="shared" si="1"/>
        <v>7.4931794435754044</v>
      </c>
      <c r="AA24" s="178">
        <f t="shared" si="1"/>
        <v>7.4363509266809595</v>
      </c>
      <c r="AB24" s="178">
        <f t="shared" si="1"/>
        <v>7.3812436326655959</v>
      </c>
      <c r="AC24" s="178">
        <f t="shared" si="1"/>
        <v>7.3244151438153651</v>
      </c>
    </row>
    <row r="25" spans="1:29" x14ac:dyDescent="0.25">
      <c r="A25" s="192" t="s">
        <v>22</v>
      </c>
      <c r="B25" s="54" t="s">
        <v>19</v>
      </c>
      <c r="C25" s="176">
        <f t="shared" si="2"/>
        <v>0.12208342793595227</v>
      </c>
      <c r="D25" s="84">
        <f>+'5ta'!F6/1000</f>
        <v>19.148415</v>
      </c>
      <c r="E25" s="84">
        <f t="shared" si="3"/>
        <v>19.148415</v>
      </c>
      <c r="F25" s="84">
        <f>+'5ta'!G6/1000</f>
        <v>19.148415</v>
      </c>
      <c r="G25" s="84">
        <f t="shared" si="3"/>
        <v>19.148415</v>
      </c>
      <c r="H25" s="84">
        <f>+'5ta'!H6/1000</f>
        <v>19.148415</v>
      </c>
      <c r="I25" s="84">
        <f t="shared" si="4"/>
        <v>15.017677500000001</v>
      </c>
      <c r="J25" s="84">
        <f>+'5ta'!I6/1000</f>
        <v>10.886940000000001</v>
      </c>
      <c r="K25" s="84">
        <f t="shared" si="5"/>
        <v>10.514340000000001</v>
      </c>
      <c r="L25" s="84">
        <f>+'5ta'!J6/1000</f>
        <v>10.14174</v>
      </c>
      <c r="M25" s="84">
        <f>+'5ta'!K6/1000</f>
        <v>8.8615349999999999</v>
      </c>
      <c r="N25" s="84">
        <f>+'5ta'!L6/1000</f>
        <v>8.8615349999999999</v>
      </c>
      <c r="O25" s="84">
        <f>+'5ta'!M6/1000</f>
        <v>11.154645</v>
      </c>
      <c r="P25" s="84">
        <f>+'5ta'!N6/1000</f>
        <v>11.154645</v>
      </c>
      <c r="Q25" s="178">
        <f t="shared" si="1"/>
        <v>10.460882871827415</v>
      </c>
      <c r="R25" s="178">
        <f t="shared" si="1"/>
        <v>10.383965747329309</v>
      </c>
      <c r="S25" s="178">
        <f t="shared" si="1"/>
        <v>10.305952079197652</v>
      </c>
      <c r="T25" s="178">
        <f t="shared" si="1"/>
        <v>8.3280460811133405</v>
      </c>
      <c r="U25" s="178">
        <f t="shared" si="1"/>
        <v>9.9167765651028432</v>
      </c>
      <c r="V25" s="178">
        <f t="shared" si="1"/>
        <v>9.8410732902487528</v>
      </c>
      <c r="W25" s="178">
        <f t="shared" si="1"/>
        <v>11.631815559303337</v>
      </c>
      <c r="X25" s="178">
        <f t="shared" si="1"/>
        <v>9.694053270253491</v>
      </c>
      <c r="Y25" s="178">
        <f t="shared" si="1"/>
        <v>9.6205432871094274</v>
      </c>
      <c r="Z25" s="178">
        <f t="shared" si="1"/>
        <v>9.5481299408473408</v>
      </c>
      <c r="AA25" s="178">
        <f t="shared" si="1"/>
        <v>9.4757166124678882</v>
      </c>
      <c r="AB25" s="178">
        <f t="shared" si="1"/>
        <v>9.4054965399460286</v>
      </c>
      <c r="AC25" s="178">
        <f t="shared" si="1"/>
        <v>9.3330832473017118</v>
      </c>
    </row>
    <row r="26" spans="1:29" x14ac:dyDescent="0.25">
      <c r="A26" s="192" t="s">
        <v>23</v>
      </c>
      <c r="B26" s="54" t="s">
        <v>19</v>
      </c>
      <c r="C26" s="176">
        <f t="shared" si="2"/>
        <v>1.4855032670532198E-2</v>
      </c>
      <c r="D26" s="84">
        <f>+'5ta'!F7/1000</f>
        <v>2.5439550000000004</v>
      </c>
      <c r="E26" s="84">
        <f t="shared" si="3"/>
        <v>2.5439550000000004</v>
      </c>
      <c r="F26" s="84">
        <f>+'5ta'!G7/1000</f>
        <v>2.5439550000000004</v>
      </c>
      <c r="G26" s="84">
        <f>+(F26+H26)/2</f>
        <v>2.5439550000000004</v>
      </c>
      <c r="H26" s="84">
        <f>+'5ta'!H7/1000</f>
        <v>2.5439550000000004</v>
      </c>
      <c r="I26" s="84">
        <f t="shared" si="4"/>
        <v>2.7403950000000004</v>
      </c>
      <c r="J26" s="84">
        <f>+'5ta'!I7/1000</f>
        <v>2.9368349999999999</v>
      </c>
      <c r="K26" s="84">
        <f t="shared" si="5"/>
        <v>2.6194974999999996</v>
      </c>
      <c r="L26" s="84">
        <f>+'5ta'!J7/1000</f>
        <v>2.3021599999999998</v>
      </c>
      <c r="M26" s="84">
        <f>+'5ta'!K7/1000</f>
        <v>3.16913</v>
      </c>
      <c r="N26" s="84">
        <f>+'5ta'!L7/1000</f>
        <v>3.16913</v>
      </c>
      <c r="O26" s="84">
        <f>+'5ta'!M7/1000</f>
        <v>1.3572899999999999</v>
      </c>
      <c r="P26" s="84">
        <f>+'5ta'!N7/1000</f>
        <v>1.3572899999999999</v>
      </c>
      <c r="Q26" s="178">
        <f t="shared" si="1"/>
        <v>1.2728734722712045</v>
      </c>
      <c r="R26" s="178">
        <f t="shared" si="1"/>
        <v>1.263514246234873</v>
      </c>
      <c r="S26" s="178">
        <f t="shared" si="1"/>
        <v>1.2540215934773524</v>
      </c>
      <c r="T26" s="178">
        <f t="shared" si="1"/>
        <v>1.0133512689497806</v>
      </c>
      <c r="U26" s="178">
        <f t="shared" si="1"/>
        <v>1.2066669682494098</v>
      </c>
      <c r="V26" s="178">
        <f t="shared" si="1"/>
        <v>1.1974554426538655</v>
      </c>
      <c r="W26" s="178">
        <f t="shared" si="1"/>
        <v>1.415351805502266</v>
      </c>
      <c r="X26" s="178">
        <f t="shared" si="1"/>
        <v>1.1795661415654517</v>
      </c>
      <c r="Y26" s="178">
        <f t="shared" si="1"/>
        <v>1.1706214942887696</v>
      </c>
      <c r="Z26" s="178">
        <f t="shared" si="1"/>
        <v>1.1618102850796852</v>
      </c>
      <c r="AA26" s="178">
        <f t="shared" si="1"/>
        <v>1.1529990780465482</v>
      </c>
      <c r="AB26" s="178">
        <f t="shared" si="1"/>
        <v>1.144454744969772</v>
      </c>
      <c r="AC26" s="178">
        <f t="shared" si="1"/>
        <v>1.1356435422848632</v>
      </c>
    </row>
    <row r="27" spans="1:29" ht="22.5" x14ac:dyDescent="0.25">
      <c r="A27" s="192" t="s">
        <v>24</v>
      </c>
      <c r="B27" s="54" t="s">
        <v>19</v>
      </c>
      <c r="C27" s="176">
        <f t="shared" si="2"/>
        <v>0.31681821965176715</v>
      </c>
      <c r="D27" s="84">
        <f>+'5ta'!F8/1000</f>
        <v>22.227494999999998</v>
      </c>
      <c r="E27" s="84">
        <f t="shared" si="3"/>
        <v>22.227494999999998</v>
      </c>
      <c r="F27" s="84">
        <f>+'5ta'!G8/1000</f>
        <v>22.227494999999998</v>
      </c>
      <c r="G27" s="84">
        <f t="shared" si="3"/>
        <v>22.227494999999998</v>
      </c>
      <c r="H27" s="84">
        <f>+'5ta'!H8/1000</f>
        <v>22.227494999999998</v>
      </c>
      <c r="I27" s="84">
        <f t="shared" si="4"/>
        <v>24.651502499999999</v>
      </c>
      <c r="J27" s="84">
        <f>+'5ta'!I8/1000</f>
        <v>27.075510000000001</v>
      </c>
      <c r="K27" s="84">
        <f t="shared" si="5"/>
        <v>25.636365000000001</v>
      </c>
      <c r="L27" s="84">
        <f>+'5ta'!J8/1000</f>
        <v>24.197220000000002</v>
      </c>
      <c r="M27" s="84">
        <f>+'5ta'!K8/1000</f>
        <v>26.998740000000002</v>
      </c>
      <c r="N27" s="84">
        <f>+'5ta'!L8/1000</f>
        <v>26.998740000000002</v>
      </c>
      <c r="O27" s="84">
        <f>+'5ta'!M8/1000</f>
        <v>28.947375000000001</v>
      </c>
      <c r="P27" s="84">
        <f>+'5ta'!N8/1000</f>
        <v>28.947375000000001</v>
      </c>
      <c r="Q27" s="178">
        <f t="shared" si="1"/>
        <v>27.14699565265099</v>
      </c>
      <c r="R27" s="178">
        <f t="shared" si="1"/>
        <v>26.9473883279205</v>
      </c>
      <c r="S27" s="178">
        <f t="shared" si="1"/>
        <v>26.744935367155492</v>
      </c>
      <c r="T27" s="178">
        <f t="shared" si="1"/>
        <v>21.612079355933631</v>
      </c>
      <c r="U27" s="178">
        <f t="shared" si="1"/>
        <v>25.734987534004347</v>
      </c>
      <c r="V27" s="178">
        <f t="shared" si="1"/>
        <v>25.538530265670893</v>
      </c>
      <c r="W27" s="178">
        <f t="shared" si="1"/>
        <v>30.18567842598204</v>
      </c>
      <c r="X27" s="178">
        <f t="shared" si="1"/>
        <v>25.15699919486493</v>
      </c>
      <c r="Y27" s="178">
        <f t="shared" si="1"/>
        <v>24.966233729149536</v>
      </c>
      <c r="Z27" s="178">
        <f t="shared" si="1"/>
        <v>24.778314141457287</v>
      </c>
      <c r="AA27" s="178">
        <f t="shared" si="1"/>
        <v>24.590394600172182</v>
      </c>
      <c r="AB27" s="178">
        <f t="shared" si="1"/>
        <v>24.408166768464632</v>
      </c>
      <c r="AC27" s="178">
        <f t="shared" si="1"/>
        <v>24.220247319915639</v>
      </c>
    </row>
    <row r="28" spans="1:29" x14ac:dyDescent="0.25">
      <c r="A28" s="192" t="s">
        <v>25</v>
      </c>
      <c r="B28" s="54" t="s">
        <v>19</v>
      </c>
      <c r="C28" s="176">
        <f t="shared" si="2"/>
        <v>0.25527242352948132</v>
      </c>
      <c r="D28" s="84">
        <f>+'5ta'!F9/1000</f>
        <v>19.344360000000002</v>
      </c>
      <c r="E28" s="84">
        <f t="shared" si="3"/>
        <v>19.344360000000002</v>
      </c>
      <c r="F28" s="84">
        <f>+'5ta'!G9/1000</f>
        <v>19.344360000000002</v>
      </c>
      <c r="G28" s="84">
        <f t="shared" si="3"/>
        <v>19.344360000000002</v>
      </c>
      <c r="H28" s="84">
        <f>+'5ta'!H9/1000</f>
        <v>19.344360000000002</v>
      </c>
      <c r="I28" s="84">
        <f t="shared" si="4"/>
        <v>19.871790000000004</v>
      </c>
      <c r="J28" s="84">
        <f>+'5ta'!I9/1000</f>
        <v>20.399220000000003</v>
      </c>
      <c r="K28" s="84">
        <f t="shared" si="5"/>
        <v>19.175940000000004</v>
      </c>
      <c r="L28" s="84">
        <f>+'5ta'!J9/1000</f>
        <v>17.952660000000002</v>
      </c>
      <c r="M28" s="84">
        <f>+'5ta'!K9/1000</f>
        <v>16.612380000000002</v>
      </c>
      <c r="N28" s="84">
        <f>+'5ta'!L9/1000</f>
        <v>16.612380000000002</v>
      </c>
      <c r="O28" s="84">
        <f>+'5ta'!M9/1000</f>
        <v>23.323995000000004</v>
      </c>
      <c r="P28" s="84">
        <f>+'5ta'!N9/1000</f>
        <v>23.323995000000004</v>
      </c>
      <c r="Q28" s="178">
        <f t="shared" si="1"/>
        <v>21.873361258748108</v>
      </c>
      <c r="R28" s="178">
        <f t="shared" si="1"/>
        <v>21.712530086872338</v>
      </c>
      <c r="S28" s="178">
        <f t="shared" si="1"/>
        <v>21.549406078404619</v>
      </c>
      <c r="T28" s="178">
        <f t="shared" si="1"/>
        <v>17.413669834912469</v>
      </c>
      <c r="U28" s="178">
        <f t="shared" si="1"/>
        <v>20.735652906979642</v>
      </c>
      <c r="V28" s="178">
        <f t="shared" si="1"/>
        <v>20.577359854696898</v>
      </c>
      <c r="W28" s="178">
        <f t="shared" si="1"/>
        <v>24.321742910340333</v>
      </c>
      <c r="X28" s="178">
        <f t="shared" si="1"/>
        <v>20.269945839166201</v>
      </c>
      <c r="Y28" s="178">
        <f t="shared" si="1"/>
        <v>20.116238887550779</v>
      </c>
      <c r="Z28" s="178">
        <f t="shared" si="1"/>
        <v>19.964824967506694</v>
      </c>
      <c r="AA28" s="178">
        <f t="shared" si="1"/>
        <v>19.813411084854604</v>
      </c>
      <c r="AB28" s="178">
        <f t="shared" si="1"/>
        <v>19.666583227903576</v>
      </c>
      <c r="AC28" s="178">
        <f t="shared" si="1"/>
        <v>19.515169419972477</v>
      </c>
    </row>
    <row r="29" spans="1:29" x14ac:dyDescent="0.25">
      <c r="A29" s="192" t="s">
        <v>26</v>
      </c>
      <c r="B29" s="54" t="s">
        <v>19</v>
      </c>
      <c r="C29" s="176">
        <f t="shared" si="2"/>
        <v>3.607130139877257E-3</v>
      </c>
      <c r="D29" s="84">
        <f>+'5ta'!F10/1000</f>
        <v>0.3635250000000001</v>
      </c>
      <c r="E29" s="84">
        <f t="shared" si="3"/>
        <v>0.3635250000000001</v>
      </c>
      <c r="F29" s="84">
        <f>+'5ta'!G10/1000</f>
        <v>0.3635250000000001</v>
      </c>
      <c r="G29" s="84">
        <f t="shared" si="3"/>
        <v>0.3635250000000001</v>
      </c>
      <c r="H29" s="84">
        <f>+'5ta'!H10/1000</f>
        <v>0.3635250000000001</v>
      </c>
      <c r="I29" s="84">
        <f t="shared" si="4"/>
        <v>0.56131500000000034</v>
      </c>
      <c r="J29" s="84">
        <f>+'5ta'!I10/1000</f>
        <v>0.75910500000000058</v>
      </c>
      <c r="K29" s="84">
        <f t="shared" si="5"/>
        <v>0.53824750000000032</v>
      </c>
      <c r="L29" s="84">
        <f>+'5ta'!J10/1000</f>
        <v>0.31739000000000001</v>
      </c>
      <c r="M29" s="84">
        <f>+'5ta'!K10/1000</f>
        <v>0.13797000000000001</v>
      </c>
      <c r="N29" s="84">
        <f>+'5ta'!L10/1000</f>
        <v>0.13797000000000001</v>
      </c>
      <c r="O29" s="84">
        <f>+'5ta'!M10/1000</f>
        <v>0.32957999999999998</v>
      </c>
      <c r="P29" s="84">
        <f>+'5ta'!N10/1000</f>
        <v>0.32957999999999998</v>
      </c>
      <c r="Q29" s="178">
        <f t="shared" si="1"/>
        <v>0.30908180196652418</v>
      </c>
      <c r="R29" s="178">
        <f t="shared" si="1"/>
        <v>0.30680917510192329</v>
      </c>
      <c r="S29" s="178">
        <f t="shared" si="1"/>
        <v>0.30450414928148428</v>
      </c>
      <c r="T29" s="178">
        <f t="shared" si="1"/>
        <v>0.24606407710987976</v>
      </c>
      <c r="U29" s="178">
        <f t="shared" si="1"/>
        <v>0.293005400021838</v>
      </c>
      <c r="V29" s="178">
        <f t="shared" si="1"/>
        <v>0.2907686380875576</v>
      </c>
      <c r="W29" s="178">
        <f t="shared" si="1"/>
        <v>0.34367868919496708</v>
      </c>
      <c r="X29" s="178">
        <f t="shared" si="1"/>
        <v>0.28642472053661461</v>
      </c>
      <c r="Y29" s="178">
        <f t="shared" si="1"/>
        <v>0.28425276255457027</v>
      </c>
      <c r="Z29" s="178">
        <f t="shared" si="1"/>
        <v>0.28211320628352282</v>
      </c>
      <c r="AA29" s="178">
        <f t="shared" si="1"/>
        <v>0.27997365054084339</v>
      </c>
      <c r="AB29" s="178">
        <f t="shared" si="1"/>
        <v>0.2778988976910885</v>
      </c>
      <c r="AC29" s="178">
        <f t="shared" si="1"/>
        <v>0.27575934300425498</v>
      </c>
    </row>
    <row r="30" spans="1:29" x14ac:dyDescent="0.25">
      <c r="A30" s="192" t="s">
        <v>27</v>
      </c>
      <c r="B30" s="54" t="s">
        <v>19</v>
      </c>
      <c r="C30" s="176">
        <f t="shared" si="2"/>
        <v>7.3098068727550872E-3</v>
      </c>
      <c r="D30" s="84">
        <f>+'5ta'!F11/1000</f>
        <v>0.42367500000000002</v>
      </c>
      <c r="E30" s="84">
        <f t="shared" si="3"/>
        <v>0.42367500000000002</v>
      </c>
      <c r="F30" s="84">
        <f>+'5ta'!G11/1000</f>
        <v>0.42367500000000002</v>
      </c>
      <c r="G30" s="84">
        <f t="shared" si="3"/>
        <v>0.42367500000000002</v>
      </c>
      <c r="H30" s="84">
        <f>+'5ta'!H11/1000</f>
        <v>0.42367500000000002</v>
      </c>
      <c r="I30" s="84">
        <f t="shared" si="4"/>
        <v>0.50665500000000008</v>
      </c>
      <c r="J30" s="84">
        <f>+'5ta'!I11/1000</f>
        <v>0.58963500000000002</v>
      </c>
      <c r="K30" s="84">
        <f t="shared" si="5"/>
        <v>0.46327499999999999</v>
      </c>
      <c r="L30" s="84">
        <f>+'5ta'!J11/1000</f>
        <v>0.33691500000000002</v>
      </c>
      <c r="M30" s="84">
        <f>+'5ta'!K11/1000</f>
        <v>0.62104999999999999</v>
      </c>
      <c r="N30" s="84">
        <f>+'5ta'!L11/1000</f>
        <v>0.62104999999999999</v>
      </c>
      <c r="O30" s="84">
        <f>+'5ta'!M11/1000</f>
        <v>0.66789000000000009</v>
      </c>
      <c r="P30" s="84">
        <f>+'5ta'!N11/1000</f>
        <v>0.66789000000000009</v>
      </c>
      <c r="Q30" s="178">
        <f t="shared" si="1"/>
        <v>0.62635064237945837</v>
      </c>
      <c r="R30" s="178">
        <f t="shared" si="1"/>
        <v>0.62174519072402334</v>
      </c>
      <c r="S30" s="178">
        <f t="shared" si="1"/>
        <v>0.61707408296501787</v>
      </c>
      <c r="T30" s="178">
        <f t="shared" si="1"/>
        <v>0.49864596292529167</v>
      </c>
      <c r="U30" s="178">
        <f t="shared" si="1"/>
        <v>0.59377200261115792</v>
      </c>
      <c r="V30" s="178">
        <f t="shared" si="1"/>
        <v>0.58923923081588347</v>
      </c>
      <c r="W30" s="178">
        <f t="shared" si="1"/>
        <v>0.69646082810372789</v>
      </c>
      <c r="X30" s="178">
        <f t="shared" si="1"/>
        <v>0.58043633290612162</v>
      </c>
      <c r="Y30" s="178">
        <f t="shared" si="1"/>
        <v>0.57603488555911153</v>
      </c>
      <c r="Z30" s="178">
        <f t="shared" si="1"/>
        <v>0.57169909989896872</v>
      </c>
      <c r="AA30" s="178">
        <f t="shared" si="1"/>
        <v>0.56736331530955741</v>
      </c>
      <c r="AB30" s="178">
        <f t="shared" si="1"/>
        <v>0.56315885302172808</v>
      </c>
      <c r="AC30" s="178">
        <f t="shared" si="1"/>
        <v>0.55882307057197622</v>
      </c>
    </row>
    <row r="31" spans="1:29" x14ac:dyDescent="0.25">
      <c r="A31" s="186" t="s">
        <v>28</v>
      </c>
      <c r="B31" s="180" t="s">
        <v>19</v>
      </c>
      <c r="C31" s="180"/>
      <c r="D31" s="84">
        <f>+'5ta'!F12/1000</f>
        <v>2.3009850000000003</v>
      </c>
      <c r="E31" s="181">
        <f t="shared" si="3"/>
        <v>2.3009850000000003</v>
      </c>
      <c r="F31" s="84">
        <f>+'5ta'!G12/1000</f>
        <v>2.3009850000000003</v>
      </c>
      <c r="G31" s="181">
        <f t="shared" si="3"/>
        <v>2.3009850000000003</v>
      </c>
      <c r="H31" s="84">
        <f>+'5ta'!H12/1000</f>
        <v>2.3009850000000003</v>
      </c>
      <c r="I31" s="181">
        <f t="shared" si="4"/>
        <v>6.7188375000000002</v>
      </c>
      <c r="J31" s="84">
        <f>+'5ta'!I12/1000</f>
        <v>11.13669</v>
      </c>
      <c r="K31" s="181">
        <f t="shared" si="5"/>
        <v>9.8690624999999983</v>
      </c>
      <c r="L31" s="84">
        <f>+'5ta'!J12/1000</f>
        <v>8.6014349999999986</v>
      </c>
      <c r="M31" s="84">
        <f>+'5ta'!K12/1000</f>
        <v>1.9037299999999999</v>
      </c>
      <c r="N31" s="84">
        <f>+'5ta'!L12/1000</f>
        <v>1.9037299999999999</v>
      </c>
      <c r="O31" s="84">
        <f>+'5ta'!M12/1000</f>
        <v>5.1551099999999996</v>
      </c>
      <c r="P31" s="84">
        <f>+'5ta'!N12/1000</f>
        <v>5.1551099999999996</v>
      </c>
      <c r="Q31" s="181">
        <f t="shared" ref="Q31:AC31" si="6">+P31</f>
        <v>5.1551099999999996</v>
      </c>
      <c r="R31" s="181">
        <f t="shared" si="6"/>
        <v>5.1551099999999996</v>
      </c>
      <c r="S31" s="181">
        <f t="shared" si="6"/>
        <v>5.1551099999999996</v>
      </c>
      <c r="T31" s="181">
        <f t="shared" si="6"/>
        <v>5.1551099999999996</v>
      </c>
      <c r="U31" s="181">
        <f t="shared" si="6"/>
        <v>5.1551099999999996</v>
      </c>
      <c r="V31" s="181">
        <f t="shared" si="6"/>
        <v>5.1551099999999996</v>
      </c>
      <c r="W31" s="181">
        <f t="shared" si="6"/>
        <v>5.1551099999999996</v>
      </c>
      <c r="X31" s="181">
        <f t="shared" si="6"/>
        <v>5.1551099999999996</v>
      </c>
      <c r="Y31" s="181">
        <f t="shared" si="6"/>
        <v>5.1551099999999996</v>
      </c>
      <c r="Z31" s="181">
        <f t="shared" si="6"/>
        <v>5.1551099999999996</v>
      </c>
      <c r="AA31" s="181">
        <f t="shared" si="6"/>
        <v>5.1551099999999996</v>
      </c>
      <c r="AB31" s="181">
        <f t="shared" si="6"/>
        <v>5.1551099999999996</v>
      </c>
      <c r="AC31" s="181">
        <f t="shared" si="6"/>
        <v>5.1551099999999996</v>
      </c>
    </row>
    <row r="32" spans="1:29" x14ac:dyDescent="0.25">
      <c r="A32" s="182" t="s">
        <v>4</v>
      </c>
      <c r="B32" s="183" t="s">
        <v>19</v>
      </c>
      <c r="C32" s="183"/>
      <c r="D32" s="84">
        <f>+'5ta'!F13/1000</f>
        <v>24.385990000000003</v>
      </c>
      <c r="E32" s="190">
        <f t="shared" si="3"/>
        <v>24.385990000000003</v>
      </c>
      <c r="F32" s="84">
        <f>+'5ta'!G13/1000</f>
        <v>24.385990000000003</v>
      </c>
      <c r="G32" s="190">
        <f t="shared" si="3"/>
        <v>24.385990000000003</v>
      </c>
      <c r="H32" s="84">
        <f>+'5ta'!H13/1000</f>
        <v>24.385990000000003</v>
      </c>
      <c r="I32" s="190">
        <f t="shared" si="4"/>
        <v>38.966805000000001</v>
      </c>
      <c r="J32" s="84">
        <f>+'5ta'!I13/1000</f>
        <v>53.547620000000002</v>
      </c>
      <c r="K32" s="190">
        <f t="shared" si="5"/>
        <v>34.203535000000002</v>
      </c>
      <c r="L32" s="84">
        <f>+'5ta'!J13/1000</f>
        <v>14.859450000000001</v>
      </c>
      <c r="M32" s="84">
        <f>+'5ta'!K13/1000</f>
        <v>32.440310000000004</v>
      </c>
      <c r="N32" s="84">
        <f>+'5ta'!L13/1000</f>
        <v>32.440310000000004</v>
      </c>
      <c r="O32" s="84">
        <f>+'5ta'!M13/1000</f>
        <v>23.21604</v>
      </c>
      <c r="P32" s="84">
        <f>+'5ta'!N13/1000</f>
        <v>23.21604</v>
      </c>
      <c r="Q32" s="185">
        <f t="shared" ref="Q32:AC32" si="7">+P32</f>
        <v>23.21604</v>
      </c>
      <c r="R32" s="185">
        <f t="shared" si="7"/>
        <v>23.21604</v>
      </c>
      <c r="S32" s="185">
        <f t="shared" si="7"/>
        <v>23.21604</v>
      </c>
      <c r="T32" s="185">
        <f t="shared" si="7"/>
        <v>23.21604</v>
      </c>
      <c r="U32" s="185">
        <f t="shared" si="7"/>
        <v>23.21604</v>
      </c>
      <c r="V32" s="185">
        <f t="shared" si="7"/>
        <v>23.21604</v>
      </c>
      <c r="W32" s="185">
        <f t="shared" si="7"/>
        <v>23.21604</v>
      </c>
      <c r="X32" s="185">
        <f t="shared" si="7"/>
        <v>23.21604</v>
      </c>
      <c r="Y32" s="185">
        <f t="shared" si="7"/>
        <v>23.21604</v>
      </c>
      <c r="Z32" s="185">
        <f t="shared" si="7"/>
        <v>23.21604</v>
      </c>
      <c r="AA32" s="185">
        <f t="shared" si="7"/>
        <v>23.21604</v>
      </c>
      <c r="AB32" s="185">
        <f t="shared" si="7"/>
        <v>23.21604</v>
      </c>
      <c r="AC32" s="185">
        <f t="shared" si="7"/>
        <v>23.21604</v>
      </c>
    </row>
    <row r="33" spans="1:29" x14ac:dyDescent="0.25">
      <c r="A33" s="182" t="s">
        <v>5</v>
      </c>
      <c r="B33" s="183" t="s">
        <v>19</v>
      </c>
      <c r="C33" s="183"/>
      <c r="D33" s="84">
        <f>+'5ta'!F14/1000</f>
        <v>8.3199900000000007</v>
      </c>
      <c r="E33" s="191">
        <f t="shared" si="3"/>
        <v>8.3199900000000007</v>
      </c>
      <c r="F33" s="84">
        <f>+'5ta'!G14/1000</f>
        <v>8.3199900000000007</v>
      </c>
      <c r="G33" s="191">
        <f t="shared" si="3"/>
        <v>8.3199900000000007</v>
      </c>
      <c r="H33" s="84">
        <f>+'5ta'!H14/1000</f>
        <v>8.3199900000000007</v>
      </c>
      <c r="I33" s="191">
        <f t="shared" si="4"/>
        <v>9.2682150000000014</v>
      </c>
      <c r="J33" s="84">
        <f>+'5ta'!I14/1000</f>
        <v>10.21644</v>
      </c>
      <c r="K33" s="191">
        <f t="shared" si="5"/>
        <v>8.4736150000000006</v>
      </c>
      <c r="L33" s="84">
        <f>+'5ta'!J14/1000</f>
        <v>6.7307899999999998</v>
      </c>
      <c r="M33" s="84">
        <f>+'5ta'!K14/1000</f>
        <v>0.79537999999999998</v>
      </c>
      <c r="N33" s="84">
        <f>+'5ta'!L14/1000</f>
        <v>0.79537999999999998</v>
      </c>
      <c r="O33" s="84">
        <f>+'5ta'!M14/1000</f>
        <v>2.56298</v>
      </c>
      <c r="P33" s="84">
        <f>+'5ta'!N14/1000</f>
        <v>2.56298</v>
      </c>
      <c r="Q33" s="184">
        <f t="shared" ref="Q33:AC33" si="8">+P33</f>
        <v>2.56298</v>
      </c>
      <c r="R33" s="184">
        <f t="shared" si="8"/>
        <v>2.56298</v>
      </c>
      <c r="S33" s="184">
        <f t="shared" si="8"/>
        <v>2.56298</v>
      </c>
      <c r="T33" s="184">
        <f t="shared" si="8"/>
        <v>2.56298</v>
      </c>
      <c r="U33" s="184">
        <f t="shared" si="8"/>
        <v>2.56298</v>
      </c>
      <c r="V33" s="184">
        <f t="shared" si="8"/>
        <v>2.56298</v>
      </c>
      <c r="W33" s="184">
        <f t="shared" si="8"/>
        <v>2.56298</v>
      </c>
      <c r="X33" s="184">
        <f t="shared" si="8"/>
        <v>2.56298</v>
      </c>
      <c r="Y33" s="184">
        <f t="shared" si="8"/>
        <v>2.56298</v>
      </c>
      <c r="Z33" s="184">
        <f t="shared" si="8"/>
        <v>2.56298</v>
      </c>
      <c r="AA33" s="184">
        <f t="shared" si="8"/>
        <v>2.56298</v>
      </c>
      <c r="AB33" s="184">
        <f t="shared" si="8"/>
        <v>2.56298</v>
      </c>
      <c r="AC33" s="184">
        <f t="shared" si="8"/>
        <v>2.56298</v>
      </c>
    </row>
    <row r="34" spans="1:29" x14ac:dyDescent="0.25">
      <c r="A34" s="182" t="s">
        <v>6</v>
      </c>
      <c r="B34" s="183" t="s">
        <v>19</v>
      </c>
      <c r="C34" s="183"/>
      <c r="D34" s="84">
        <f>+'5ta'!F15/1000</f>
        <v>0</v>
      </c>
      <c r="E34" s="191">
        <f t="shared" si="3"/>
        <v>0</v>
      </c>
      <c r="F34" s="84">
        <f>+'5ta'!G15/1000</f>
        <v>0</v>
      </c>
      <c r="G34" s="191">
        <f t="shared" si="3"/>
        <v>0</v>
      </c>
      <c r="H34" s="84">
        <f>+'5ta'!H15/1000</f>
        <v>0</v>
      </c>
      <c r="I34" s="191">
        <f t="shared" si="4"/>
        <v>0</v>
      </c>
      <c r="J34" s="84">
        <f>+'5ta'!I15/1000</f>
        <v>0</v>
      </c>
      <c r="K34" s="191">
        <f t="shared" si="5"/>
        <v>0</v>
      </c>
      <c r="L34" s="84">
        <f>+'5ta'!J15/1000</f>
        <v>0</v>
      </c>
      <c r="M34" s="84">
        <f>+'5ta'!K15/1000</f>
        <v>0</v>
      </c>
      <c r="N34" s="84">
        <f>+'5ta'!L15/1000</f>
        <v>0</v>
      </c>
      <c r="O34" s="84">
        <f>+'5ta'!M15/1000</f>
        <v>0.26235000000000003</v>
      </c>
      <c r="P34" s="84">
        <f>+'5ta'!N15/1000</f>
        <v>0.26235000000000003</v>
      </c>
      <c r="Q34" s="184">
        <f t="shared" ref="Q34:AC34" si="9">+P34</f>
        <v>0.26235000000000003</v>
      </c>
      <c r="R34" s="184">
        <f t="shared" si="9"/>
        <v>0.26235000000000003</v>
      </c>
      <c r="S34" s="184">
        <f t="shared" si="9"/>
        <v>0.26235000000000003</v>
      </c>
      <c r="T34" s="184">
        <f t="shared" si="9"/>
        <v>0.26235000000000003</v>
      </c>
      <c r="U34" s="184">
        <f t="shared" si="9"/>
        <v>0.26235000000000003</v>
      </c>
      <c r="V34" s="184">
        <f t="shared" si="9"/>
        <v>0.26235000000000003</v>
      </c>
      <c r="W34" s="184">
        <f t="shared" si="9"/>
        <v>0.26235000000000003</v>
      </c>
      <c r="X34" s="184">
        <f t="shared" si="9"/>
        <v>0.26235000000000003</v>
      </c>
      <c r="Y34" s="184">
        <f t="shared" si="9"/>
        <v>0.26235000000000003</v>
      </c>
      <c r="Z34" s="184">
        <f t="shared" si="9"/>
        <v>0.26235000000000003</v>
      </c>
      <c r="AA34" s="184">
        <f t="shared" si="9"/>
        <v>0.26235000000000003</v>
      </c>
      <c r="AB34" s="184">
        <f t="shared" si="9"/>
        <v>0.26235000000000003</v>
      </c>
      <c r="AC34" s="184">
        <f t="shared" si="9"/>
        <v>0.26235000000000003</v>
      </c>
    </row>
    <row r="35" spans="1:29" x14ac:dyDescent="0.25">
      <c r="A35" s="182" t="s">
        <v>29</v>
      </c>
      <c r="B35" s="183" t="s">
        <v>19</v>
      </c>
      <c r="C35" s="183"/>
      <c r="D35" s="84">
        <f>+'5ta'!F16/1000</f>
        <v>1.2805199999999999</v>
      </c>
      <c r="E35" s="191">
        <f t="shared" si="3"/>
        <v>1.2805199999999999</v>
      </c>
      <c r="F35" s="84">
        <f>+'5ta'!G16/1000</f>
        <v>1.2805199999999999</v>
      </c>
      <c r="G35" s="191">
        <f t="shared" si="3"/>
        <v>1.2805199999999999</v>
      </c>
      <c r="H35" s="84">
        <f>+'5ta'!H16/1000</f>
        <v>1.2805199999999999</v>
      </c>
      <c r="I35" s="191">
        <f t="shared" si="4"/>
        <v>5.2548524999999993</v>
      </c>
      <c r="J35" s="84">
        <f>+'5ta'!I16/1000</f>
        <v>9.2291849999999993</v>
      </c>
      <c r="K35" s="191">
        <f t="shared" si="5"/>
        <v>5.3897874999999997</v>
      </c>
      <c r="L35" s="84">
        <f>+'5ta'!J16/1000</f>
        <v>1.5503900000000002</v>
      </c>
      <c r="M35" s="84">
        <f>+'5ta'!K16/1000</f>
        <v>0.60872000000000004</v>
      </c>
      <c r="N35" s="84">
        <f>+'5ta'!L16/1000</f>
        <v>0.60872000000000004</v>
      </c>
      <c r="O35" s="84">
        <f>+'5ta'!M16/1000</f>
        <v>3.3631599999999997</v>
      </c>
      <c r="P35" s="84">
        <f>+'5ta'!N16/1000</f>
        <v>3.3631599999999997</v>
      </c>
      <c r="Q35" s="184">
        <f t="shared" ref="Q35:AC35" si="10">+P35</f>
        <v>3.3631599999999997</v>
      </c>
      <c r="R35" s="184">
        <f t="shared" si="10"/>
        <v>3.3631599999999997</v>
      </c>
      <c r="S35" s="184">
        <f t="shared" si="10"/>
        <v>3.3631599999999997</v>
      </c>
      <c r="T35" s="184">
        <f t="shared" si="10"/>
        <v>3.3631599999999997</v>
      </c>
      <c r="U35" s="184">
        <f t="shared" si="10"/>
        <v>3.3631599999999997</v>
      </c>
      <c r="V35" s="184">
        <f t="shared" si="10"/>
        <v>3.3631599999999997</v>
      </c>
      <c r="W35" s="184">
        <f t="shared" si="10"/>
        <v>3.3631599999999997</v>
      </c>
      <c r="X35" s="184">
        <f t="shared" si="10"/>
        <v>3.3631599999999997</v>
      </c>
      <c r="Y35" s="184">
        <f t="shared" si="10"/>
        <v>3.3631599999999997</v>
      </c>
      <c r="Z35" s="184">
        <f t="shared" si="10"/>
        <v>3.3631599999999997</v>
      </c>
      <c r="AA35" s="184">
        <f t="shared" si="10"/>
        <v>3.3631599999999997</v>
      </c>
      <c r="AB35" s="184">
        <f t="shared" si="10"/>
        <v>3.3631599999999997</v>
      </c>
      <c r="AC35" s="184">
        <f t="shared" si="10"/>
        <v>3.3631599999999997</v>
      </c>
    </row>
    <row r="36" spans="1:29" x14ac:dyDescent="0.25">
      <c r="A36" s="187"/>
      <c r="B36" s="188"/>
      <c r="C36" s="174">
        <f>+SUM(P$37:P$45)/(SUM(P$22:P$30)+SUM(P$37:P$45)+SUM(P$51:P$59)+SUM(P$65:P$73)+SUM(P$80:P$88))</f>
        <v>7.9264826038053446E-3</v>
      </c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</row>
    <row r="37" spans="1:29" x14ac:dyDescent="0.25">
      <c r="A37" s="86" t="s">
        <v>18</v>
      </c>
      <c r="B37" s="54" t="s">
        <v>4</v>
      </c>
      <c r="C37" s="176">
        <f t="shared" ref="C37:C45" si="11">+P37/SUM(P$37:P$45)</f>
        <v>2.0092524836593205E-3</v>
      </c>
      <c r="D37" s="60">
        <f>+'5ta'!F20/1000</f>
        <v>0</v>
      </c>
      <c r="E37" s="84">
        <f>+(D37+F37)/2</f>
        <v>0</v>
      </c>
      <c r="F37" s="60">
        <f>+'5ta'!G20/1000</f>
        <v>0</v>
      </c>
      <c r="G37" s="84">
        <f>+(F37+H37)/2</f>
        <v>0</v>
      </c>
      <c r="H37" s="394">
        <f>+'5ta'!H20/1000</f>
        <v>0</v>
      </c>
      <c r="I37" s="395">
        <f>+(H37+J37)/2</f>
        <v>0</v>
      </c>
      <c r="J37" s="394">
        <f>+'5ta'!I20/1000</f>
        <v>0</v>
      </c>
      <c r="K37" s="394">
        <f>+'5ta'!J20/1000</f>
        <v>0.161775</v>
      </c>
      <c r="L37" s="394">
        <f>+'5ta'!J20/1000</f>
        <v>0.161775</v>
      </c>
      <c r="M37" s="394">
        <f>+'5ta'!K20/1000</f>
        <v>2.3940000000000003E-2</v>
      </c>
      <c r="N37" s="394">
        <f>+'5ta'!L20/1000</f>
        <v>2.3940000000000003E-2</v>
      </c>
      <c r="O37" s="394">
        <f>+'5ta'!M20/1000</f>
        <v>1.6200000000000001E-3</v>
      </c>
      <c r="P37" s="394">
        <f>+'5ta'!N20/1000</f>
        <v>1.6200000000000001E-3</v>
      </c>
      <c r="Q37" s="178">
        <f t="shared" ref="Q37:AC45" si="12">+Q$21*$C$36*$C37</f>
        <v>1.519244247787394E-3</v>
      </c>
      <c r="R37" s="178">
        <f t="shared" si="12"/>
        <v>1.5080734985894648E-3</v>
      </c>
      <c r="S37" s="178">
        <f t="shared" si="12"/>
        <v>1.496743497287471E-3</v>
      </c>
      <c r="T37" s="178">
        <f t="shared" si="12"/>
        <v>1.2094902752533688E-3</v>
      </c>
      <c r="U37" s="178">
        <f t="shared" si="12"/>
        <v>1.4402231568522896E-3</v>
      </c>
      <c r="V37" s="178">
        <f t="shared" si="12"/>
        <v>1.4292286962250241E-3</v>
      </c>
      <c r="W37" s="178">
        <f t="shared" si="12"/>
        <v>1.6892999468895162E-3</v>
      </c>
      <c r="X37" s="178">
        <f t="shared" si="12"/>
        <v>1.4078768349697062E-3</v>
      </c>
      <c r="Y37" s="178">
        <f t="shared" si="12"/>
        <v>1.3972009082420169E-3</v>
      </c>
      <c r="Z37" s="178">
        <f t="shared" si="12"/>
        <v>1.3866842471609536E-3</v>
      </c>
      <c r="AA37" s="178">
        <f t="shared" si="12"/>
        <v>1.3761675886770023E-3</v>
      </c>
      <c r="AB37" s="178">
        <f t="shared" si="12"/>
        <v>1.3659694588857437E-3</v>
      </c>
      <c r="AC37" s="178">
        <f t="shared" si="12"/>
        <v>1.3554528055916416E-3</v>
      </c>
    </row>
    <row r="38" spans="1:29" x14ac:dyDescent="0.25">
      <c r="A38" s="86" t="s">
        <v>20</v>
      </c>
      <c r="B38" s="54" t="s">
        <v>4</v>
      </c>
      <c r="C38" s="176">
        <f t="shared" si="11"/>
        <v>0.57782752675902616</v>
      </c>
      <c r="D38" s="60">
        <f>+'5ta'!F21/1000</f>
        <v>0</v>
      </c>
      <c r="E38" s="84">
        <f t="shared" ref="E38:K49" si="13">+(D38+F38)/2</f>
        <v>0</v>
      </c>
      <c r="F38" s="60">
        <f>+'5ta'!G21/1000</f>
        <v>0</v>
      </c>
      <c r="G38" s="84">
        <f t="shared" ref="G38:G45" si="14">+(F38+H38)/2</f>
        <v>0</v>
      </c>
      <c r="H38" s="394">
        <f>+'5ta'!H21/1000</f>
        <v>0</v>
      </c>
      <c r="I38" s="395">
        <f t="shared" ref="I38:I45" si="15">+(H38+J38)/2</f>
        <v>0</v>
      </c>
      <c r="J38" s="394">
        <f>+'5ta'!I21/1000</f>
        <v>0</v>
      </c>
      <c r="K38" s="394">
        <f>+'5ta'!J21/1000</f>
        <v>0.60619500000000004</v>
      </c>
      <c r="L38" s="394">
        <f>+'5ta'!J21/1000</f>
        <v>0.60619500000000004</v>
      </c>
      <c r="M38" s="394">
        <f>+'5ta'!K21/1000</f>
        <v>0.19453499999999999</v>
      </c>
      <c r="N38" s="394">
        <f>+'5ta'!L21/1000</f>
        <v>0.19453499999999999</v>
      </c>
      <c r="O38" s="394">
        <f>+'5ta'!M21/1000</f>
        <v>0.46588499999999999</v>
      </c>
      <c r="P38" s="394">
        <f>+'5ta'!N21/1000</f>
        <v>0.46588499999999999</v>
      </c>
      <c r="Q38" s="178">
        <f t="shared" si="12"/>
        <v>0.43690932492619133</v>
      </c>
      <c r="R38" s="178">
        <f t="shared" si="12"/>
        <v>0.4336968036360202</v>
      </c>
      <c r="S38" s="178">
        <f t="shared" si="12"/>
        <v>0.43043848409492175</v>
      </c>
      <c r="T38" s="178">
        <f t="shared" si="12"/>
        <v>0.34782924499161461</v>
      </c>
      <c r="U38" s="178">
        <f t="shared" si="12"/>
        <v>0.41418417619143755</v>
      </c>
      <c r="V38" s="178">
        <f t="shared" si="12"/>
        <v>0.41102235255604641</v>
      </c>
      <c r="W38" s="178">
        <f t="shared" si="12"/>
        <v>0.48581450972631002</v>
      </c>
      <c r="X38" s="178">
        <f t="shared" si="12"/>
        <v>0.40488191312337124</v>
      </c>
      <c r="Y38" s="178">
        <f t="shared" si="12"/>
        <v>0.40181169452859994</v>
      </c>
      <c r="Z38" s="178">
        <f t="shared" si="12"/>
        <v>0.39878727807937087</v>
      </c>
      <c r="AA38" s="178">
        <f t="shared" si="12"/>
        <v>0.39576286237702785</v>
      </c>
      <c r="AB38" s="178">
        <f t="shared" si="12"/>
        <v>0.39283005021789175</v>
      </c>
      <c r="AC38" s="178">
        <f t="shared" si="12"/>
        <v>0.38980563600806284</v>
      </c>
    </row>
    <row r="39" spans="1:29" x14ac:dyDescent="0.25">
      <c r="A39" s="86" t="s">
        <v>21</v>
      </c>
      <c r="B39" s="54" t="s">
        <v>4</v>
      </c>
      <c r="C39" s="176">
        <f t="shared" si="11"/>
        <v>9.8118496285363468E-2</v>
      </c>
      <c r="D39" s="60">
        <f>+'5ta'!F22/1000</f>
        <v>0</v>
      </c>
      <c r="E39" s="84">
        <f t="shared" si="13"/>
        <v>0</v>
      </c>
      <c r="F39" s="60">
        <f>+'5ta'!G22/1000</f>
        <v>0</v>
      </c>
      <c r="G39" s="84">
        <f t="shared" si="14"/>
        <v>0</v>
      </c>
      <c r="H39" s="394">
        <f>+'5ta'!H22/1000</f>
        <v>0</v>
      </c>
      <c r="I39" s="395">
        <f t="shared" si="15"/>
        <v>0</v>
      </c>
      <c r="J39" s="394">
        <f>+'5ta'!I22/1000</f>
        <v>0</v>
      </c>
      <c r="K39" s="394">
        <f>+'5ta'!J22/1000</f>
        <v>0.39177000000000001</v>
      </c>
      <c r="L39" s="394">
        <f>+'5ta'!J22/1000</f>
        <v>0.39177000000000001</v>
      </c>
      <c r="M39" s="394">
        <f>+'5ta'!K22/1000</f>
        <v>0.84623000000000004</v>
      </c>
      <c r="N39" s="394">
        <f>+'5ta'!L22/1000</f>
        <v>0.84623000000000004</v>
      </c>
      <c r="O39" s="394">
        <f>+'5ta'!M22/1000</f>
        <v>7.911E-2</v>
      </c>
      <c r="P39" s="394">
        <f>+'5ta'!N22/1000</f>
        <v>7.911E-2</v>
      </c>
      <c r="Q39" s="178">
        <f t="shared" si="12"/>
        <v>7.4189760766951066E-2</v>
      </c>
      <c r="R39" s="178">
        <f t="shared" si="12"/>
        <v>7.3644255847785528E-2</v>
      </c>
      <c r="S39" s="178">
        <f t="shared" si="12"/>
        <v>7.3090974117538149E-2</v>
      </c>
      <c r="T39" s="178">
        <f t="shared" si="12"/>
        <v>5.9063441774872841E-2</v>
      </c>
      <c r="U39" s="178">
        <f t="shared" si="12"/>
        <v>7.0330897492953473E-2</v>
      </c>
      <c r="V39" s="178">
        <f t="shared" si="12"/>
        <v>6.9794001332321998E-2</v>
      </c>
      <c r="W39" s="178">
        <f t="shared" si="12"/>
        <v>8.249414740643804E-2</v>
      </c>
      <c r="X39" s="178">
        <f t="shared" si="12"/>
        <v>6.8751318774353976E-2</v>
      </c>
      <c r="Y39" s="178">
        <f t="shared" si="12"/>
        <v>6.8229977685818483E-2</v>
      </c>
      <c r="Z39" s="178">
        <f t="shared" si="12"/>
        <v>6.7716414069693226E-2</v>
      </c>
      <c r="AA39" s="178">
        <f t="shared" si="12"/>
        <v>6.7202850580393603E-2</v>
      </c>
      <c r="AB39" s="178">
        <f t="shared" si="12"/>
        <v>6.6704841908920481E-2</v>
      </c>
      <c r="AC39" s="178">
        <f t="shared" si="12"/>
        <v>6.619127867305849E-2</v>
      </c>
    </row>
    <row r="40" spans="1:29" x14ac:dyDescent="0.25">
      <c r="A40" s="86" t="s">
        <v>22</v>
      </c>
      <c r="B40" s="54" t="s">
        <v>4</v>
      </c>
      <c r="C40" s="176">
        <f t="shared" si="11"/>
        <v>2.5952844580599554E-2</v>
      </c>
      <c r="D40" s="60">
        <f>+'5ta'!F23/1000</f>
        <v>0</v>
      </c>
      <c r="E40" s="84">
        <f t="shared" si="13"/>
        <v>0</v>
      </c>
      <c r="F40" s="60">
        <f>+'5ta'!G23/1000</f>
        <v>0</v>
      </c>
      <c r="G40" s="84">
        <f t="shared" si="14"/>
        <v>0</v>
      </c>
      <c r="H40" s="394">
        <f>+'5ta'!H23/1000</f>
        <v>0</v>
      </c>
      <c r="I40" s="395">
        <f t="shared" si="15"/>
        <v>0</v>
      </c>
      <c r="J40" s="394">
        <f>+'5ta'!I23/1000</f>
        <v>0</v>
      </c>
      <c r="K40" s="394">
        <f>+'5ta'!J23/1000</f>
        <v>6.8084999999999993E-2</v>
      </c>
      <c r="L40" s="394">
        <f>+'5ta'!J23/1000</f>
        <v>6.8084999999999993E-2</v>
      </c>
      <c r="M40" s="394">
        <f>+'5ta'!K23/1000</f>
        <v>0.14993999999999999</v>
      </c>
      <c r="N40" s="394">
        <f>+'5ta'!L23/1000</f>
        <v>0.14993999999999999</v>
      </c>
      <c r="O40" s="394">
        <f>+'5ta'!M23/1000</f>
        <v>2.0924999999999999E-2</v>
      </c>
      <c r="P40" s="394">
        <f>+'5ta'!N23/1000</f>
        <v>2.0924999999999999E-2</v>
      </c>
      <c r="Q40" s="178">
        <f t="shared" si="12"/>
        <v>1.9623571533920504E-2</v>
      </c>
      <c r="R40" s="178">
        <f t="shared" si="12"/>
        <v>1.9479282690113918E-2</v>
      </c>
      <c r="S40" s="178">
        <f t="shared" si="12"/>
        <v>1.9332936839963163E-2</v>
      </c>
      <c r="T40" s="178">
        <f t="shared" si="12"/>
        <v>1.5622582722022681E-2</v>
      </c>
      <c r="U40" s="178">
        <f t="shared" si="12"/>
        <v>1.8602882442675404E-2</v>
      </c>
      <c r="V40" s="178">
        <f t="shared" si="12"/>
        <v>1.8460870659573227E-2</v>
      </c>
      <c r="W40" s="178">
        <f t="shared" si="12"/>
        <v>2.1820124313989584E-2</v>
      </c>
      <c r="X40" s="178">
        <f t="shared" si="12"/>
        <v>1.818507578502537E-2</v>
      </c>
      <c r="Y40" s="178">
        <f t="shared" si="12"/>
        <v>1.804717839812605E-2</v>
      </c>
      <c r="Z40" s="178">
        <f t="shared" si="12"/>
        <v>1.791133819249565E-2</v>
      </c>
      <c r="AA40" s="178">
        <f t="shared" si="12"/>
        <v>1.7775498020411278E-2</v>
      </c>
      <c r="AB40" s="178">
        <f t="shared" si="12"/>
        <v>1.764377217727419E-2</v>
      </c>
      <c r="AC40" s="178">
        <f t="shared" si="12"/>
        <v>1.7507932072225368E-2</v>
      </c>
    </row>
    <row r="41" spans="1:29" x14ac:dyDescent="0.25">
      <c r="A41" s="86" t="s">
        <v>23</v>
      </c>
      <c r="B41" s="54" t="s">
        <v>4</v>
      </c>
      <c r="C41" s="176">
        <f t="shared" si="11"/>
        <v>5.018170091904698E-2</v>
      </c>
      <c r="D41" s="60">
        <f>+'5ta'!F24/1000</f>
        <v>0</v>
      </c>
      <c r="E41" s="84">
        <f t="shared" si="13"/>
        <v>0</v>
      </c>
      <c r="F41" s="60">
        <f>+'5ta'!G24/1000</f>
        <v>0</v>
      </c>
      <c r="G41" s="84">
        <f t="shared" si="14"/>
        <v>0</v>
      </c>
      <c r="H41" s="394">
        <f>+'5ta'!H24/1000</f>
        <v>0</v>
      </c>
      <c r="I41" s="395">
        <f t="shared" si="15"/>
        <v>0</v>
      </c>
      <c r="J41" s="394">
        <f>+'5ta'!I24/1000</f>
        <v>0</v>
      </c>
      <c r="K41" s="394">
        <f>+'5ta'!J24/1000</f>
        <v>0.38241000000000003</v>
      </c>
      <c r="L41" s="394">
        <f>+'5ta'!J24/1000</f>
        <v>0.38241000000000003</v>
      </c>
      <c r="M41" s="394">
        <f>+'5ta'!K24/1000</f>
        <v>1.3352899999999999</v>
      </c>
      <c r="N41" s="394">
        <f>+'5ta'!L24/1000</f>
        <v>1.3352899999999999</v>
      </c>
      <c r="O41" s="394">
        <f>+'5ta'!M24/1000</f>
        <v>4.0460000000000003E-2</v>
      </c>
      <c r="P41" s="394">
        <f>+'5ta'!N24/1000</f>
        <v>4.0460000000000003E-2</v>
      </c>
      <c r="Q41" s="178">
        <f t="shared" si="12"/>
        <v>3.7943593991035779E-2</v>
      </c>
      <c r="R41" s="178">
        <f t="shared" si="12"/>
        <v>3.7664601082055403E-2</v>
      </c>
      <c r="S41" s="178">
        <f t="shared" si="12"/>
        <v>3.7381630802624119E-2</v>
      </c>
      <c r="T41" s="178">
        <f t="shared" si="12"/>
        <v>3.0207392923920561E-2</v>
      </c>
      <c r="U41" s="178">
        <f t="shared" si="12"/>
        <v>3.5970017855705951E-2</v>
      </c>
      <c r="V41" s="178">
        <f t="shared" si="12"/>
        <v>3.5695427808187949E-2</v>
      </c>
      <c r="W41" s="178">
        <f t="shared" si="12"/>
        <v>4.2190787562438166E-2</v>
      </c>
      <c r="X41" s="178">
        <f t="shared" si="12"/>
        <v>3.5162158483255747E-2</v>
      </c>
      <c r="Y41" s="178">
        <f t="shared" si="12"/>
        <v>3.4895523918192596E-2</v>
      </c>
      <c r="Z41" s="178">
        <f t="shared" si="12"/>
        <v>3.4632867061809992E-2</v>
      </c>
      <c r="AA41" s="178">
        <f t="shared" si="12"/>
        <v>3.4370210270291059E-2</v>
      </c>
      <c r="AB41" s="178">
        <f t="shared" si="12"/>
        <v>3.4115508831183451E-2</v>
      </c>
      <c r="AC41" s="178">
        <f t="shared" si="12"/>
        <v>3.3852852169282605E-2</v>
      </c>
    </row>
    <row r="42" spans="1:29" ht="22.5" x14ac:dyDescent="0.25">
      <c r="A42" s="86" t="s">
        <v>24</v>
      </c>
      <c r="B42" s="54" t="s">
        <v>4</v>
      </c>
      <c r="C42" s="176">
        <f t="shared" si="11"/>
        <v>2.4501717786845598E-2</v>
      </c>
      <c r="D42" s="60">
        <f>+'5ta'!F25/1000</f>
        <v>0</v>
      </c>
      <c r="E42" s="84">
        <f t="shared" si="13"/>
        <v>0</v>
      </c>
      <c r="F42" s="60">
        <f>+'5ta'!G25/1000</f>
        <v>0</v>
      </c>
      <c r="G42" s="84">
        <f t="shared" si="14"/>
        <v>0</v>
      </c>
      <c r="H42" s="394">
        <f>+'5ta'!H25/1000</f>
        <v>0</v>
      </c>
      <c r="I42" s="395">
        <f t="shared" si="15"/>
        <v>0</v>
      </c>
      <c r="J42" s="394">
        <f>+'5ta'!I25/1000</f>
        <v>0</v>
      </c>
      <c r="K42" s="394">
        <f>+'5ta'!J25/1000</f>
        <v>4.0634999999999998E-2</v>
      </c>
      <c r="L42" s="394">
        <f>+'5ta'!J25/1000</f>
        <v>4.0634999999999998E-2</v>
      </c>
      <c r="M42" s="394">
        <f>+'5ta'!K25/1000</f>
        <v>0.34285500000000002</v>
      </c>
      <c r="N42" s="394">
        <f>+'5ta'!L25/1000</f>
        <v>0.34285500000000002</v>
      </c>
      <c r="O42" s="394">
        <f>+'5ta'!M25/1000</f>
        <v>1.9754999999999998E-2</v>
      </c>
      <c r="P42" s="394">
        <f>+'5ta'!N25/1000</f>
        <v>1.9754999999999998E-2</v>
      </c>
      <c r="Q42" s="178">
        <f t="shared" si="12"/>
        <v>1.8526339577185164E-2</v>
      </c>
      <c r="R42" s="178">
        <f t="shared" si="12"/>
        <v>1.8390118496688194E-2</v>
      </c>
      <c r="S42" s="178">
        <f t="shared" si="12"/>
        <v>1.8251955425255546E-2</v>
      </c>
      <c r="T42" s="178">
        <f t="shared" si="12"/>
        <v>1.4749061967673024E-2</v>
      </c>
      <c r="U42" s="178">
        <f t="shared" si="12"/>
        <v>1.756272127383764E-2</v>
      </c>
      <c r="V42" s="178">
        <f t="shared" si="12"/>
        <v>1.7428649934521818E-2</v>
      </c>
      <c r="W42" s="178">
        <f t="shared" si="12"/>
        <v>2.0600074352347154E-2</v>
      </c>
      <c r="X42" s="178">
        <f t="shared" si="12"/>
        <v>1.7168275848658359E-2</v>
      </c>
      <c r="Y42" s="178">
        <f t="shared" si="12"/>
        <v>1.7038088853284592E-2</v>
      </c>
      <c r="Z42" s="178">
        <f t="shared" si="12"/>
        <v>1.6909844013990514E-2</v>
      </c>
      <c r="AA42" s="178">
        <f t="shared" si="12"/>
        <v>1.6781599206366776E-2</v>
      </c>
      <c r="AB42" s="178">
        <f t="shared" si="12"/>
        <v>1.6657238679190039E-2</v>
      </c>
      <c r="AC42" s="178">
        <f t="shared" si="12"/>
        <v>1.6528993934853627E-2</v>
      </c>
    </row>
    <row r="43" spans="1:29" x14ac:dyDescent="0.25">
      <c r="A43" s="86" t="s">
        <v>25</v>
      </c>
      <c r="B43" s="54" t="s">
        <v>4</v>
      </c>
      <c r="C43" s="176">
        <f t="shared" si="11"/>
        <v>4.6380244831135981E-2</v>
      </c>
      <c r="D43" s="60">
        <f>+'5ta'!F26/1000</f>
        <v>0</v>
      </c>
      <c r="E43" s="84">
        <f t="shared" si="13"/>
        <v>0</v>
      </c>
      <c r="F43" s="60">
        <f>+'5ta'!G26/1000</f>
        <v>0</v>
      </c>
      <c r="G43" s="84">
        <f t="shared" si="14"/>
        <v>0</v>
      </c>
      <c r="H43" s="394">
        <f>+'5ta'!H26/1000</f>
        <v>0</v>
      </c>
      <c r="I43" s="395">
        <f t="shared" si="15"/>
        <v>0</v>
      </c>
      <c r="J43" s="394">
        <f>+'5ta'!I26/1000</f>
        <v>0</v>
      </c>
      <c r="K43" s="394">
        <f>+'5ta'!J26/1000</f>
        <v>0.13045500000000002</v>
      </c>
      <c r="L43" s="394">
        <f>+'5ta'!J26/1000</f>
        <v>0.13045500000000002</v>
      </c>
      <c r="M43" s="394">
        <f>+'5ta'!K26/1000</f>
        <v>0.58211999999999997</v>
      </c>
      <c r="N43" s="394">
        <f>+'5ta'!L26/1000</f>
        <v>0.58211999999999997</v>
      </c>
      <c r="O43" s="394">
        <f>+'5ta'!M26/1000</f>
        <v>3.7395000000000005E-2</v>
      </c>
      <c r="P43" s="394">
        <f>+'5ta'!N26/1000</f>
        <v>3.7395000000000005E-2</v>
      </c>
      <c r="Q43" s="178">
        <f t="shared" si="12"/>
        <v>3.5069221386425674E-2</v>
      </c>
      <c r="R43" s="178">
        <f t="shared" si="12"/>
        <v>3.481136325910681E-2</v>
      </c>
      <c r="S43" s="178">
        <f t="shared" si="12"/>
        <v>3.4549829062385788E-2</v>
      </c>
      <c r="T43" s="178">
        <f t="shared" si="12"/>
        <v>2.7919067187098599E-2</v>
      </c>
      <c r="U43" s="178">
        <f t="shared" si="12"/>
        <v>3.324515120400702E-2</v>
      </c>
      <c r="V43" s="178">
        <f t="shared" si="12"/>
        <v>3.2991362404527637E-2</v>
      </c>
      <c r="W43" s="178">
        <f t="shared" si="12"/>
        <v>3.8994673774033005E-2</v>
      </c>
      <c r="X43" s="178">
        <f t="shared" si="12"/>
        <v>3.2498490273884045E-2</v>
      </c>
      <c r="Y43" s="178">
        <f t="shared" si="12"/>
        <v>3.2252054298586554E-2</v>
      </c>
      <c r="Z43" s="178">
        <f t="shared" si="12"/>
        <v>3.2009294705298681E-2</v>
      </c>
      <c r="AA43" s="178">
        <f t="shared" si="12"/>
        <v>3.1766535171960805E-2</v>
      </c>
      <c r="AB43" s="178">
        <f t="shared" si="12"/>
        <v>3.1531128342612583E-2</v>
      </c>
      <c r="AC43" s="178">
        <f t="shared" si="12"/>
        <v>3.1288368929073725E-2</v>
      </c>
    </row>
    <row r="44" spans="1:29" x14ac:dyDescent="0.25">
      <c r="A44" s="86" t="s">
        <v>26</v>
      </c>
      <c r="B44" s="54" t="s">
        <v>4</v>
      </c>
      <c r="C44" s="176">
        <f t="shared" si="11"/>
        <v>0.1745817158023987</v>
      </c>
      <c r="D44" s="60">
        <f>+'5ta'!F27/1000</f>
        <v>0</v>
      </c>
      <c r="E44" s="84">
        <f t="shared" si="13"/>
        <v>0</v>
      </c>
      <c r="F44" s="60">
        <f>+'5ta'!G27/1000</f>
        <v>0</v>
      </c>
      <c r="G44" s="84">
        <f t="shared" si="14"/>
        <v>0</v>
      </c>
      <c r="H44" s="394">
        <f>+'5ta'!H27/1000</f>
        <v>0</v>
      </c>
      <c r="I44" s="395">
        <f t="shared" si="15"/>
        <v>0</v>
      </c>
      <c r="J44" s="394">
        <f>+'5ta'!I27/1000</f>
        <v>0</v>
      </c>
      <c r="K44" s="394">
        <f>+'5ta'!J27/1000</f>
        <v>1.7505E-2</v>
      </c>
      <c r="L44" s="394">
        <f>+'5ta'!J27/1000</f>
        <v>1.7505E-2</v>
      </c>
      <c r="M44" s="394">
        <f>+'5ta'!K27/1000</f>
        <v>0.10269</v>
      </c>
      <c r="N44" s="394">
        <f>+'5ta'!L27/1000</f>
        <v>0.10269</v>
      </c>
      <c r="O44" s="394">
        <f>+'5ta'!M27/1000</f>
        <v>0.14076</v>
      </c>
      <c r="P44" s="394">
        <f>+'5ta'!N27/1000</f>
        <v>0.14076</v>
      </c>
      <c r="Q44" s="178">
        <f t="shared" si="12"/>
        <v>0.13200544464108244</v>
      </c>
      <c r="R44" s="178">
        <f t="shared" si="12"/>
        <v>0.13103483065521793</v>
      </c>
      <c r="S44" s="178">
        <f t="shared" si="12"/>
        <v>0.130050379430978</v>
      </c>
      <c r="T44" s="178">
        <f t="shared" si="12"/>
        <v>0.1050912661386816</v>
      </c>
      <c r="U44" s="178">
        <f t="shared" si="12"/>
        <v>0.12513938985094336</v>
      </c>
      <c r="V44" s="178">
        <f t="shared" si="12"/>
        <v>0.12418409338310762</v>
      </c>
      <c r="W44" s="178">
        <f t="shared" si="12"/>
        <v>0.14678139538528906</v>
      </c>
      <c r="X44" s="178">
        <f t="shared" si="12"/>
        <v>0.12232885388292333</v>
      </c>
      <c r="Y44" s="178">
        <f t="shared" si="12"/>
        <v>0.12140123447169522</v>
      </c>
      <c r="Z44" s="178">
        <f t="shared" si="12"/>
        <v>0.12048745347554062</v>
      </c>
      <c r="AA44" s="178">
        <f t="shared" si="12"/>
        <v>0.11957367270504618</v>
      </c>
      <c r="AB44" s="178">
        <f t="shared" si="12"/>
        <v>0.11868756853873905</v>
      </c>
      <c r="AC44" s="178">
        <f t="shared" si="12"/>
        <v>0.11777378821918483</v>
      </c>
    </row>
    <row r="45" spans="1:29" x14ac:dyDescent="0.25">
      <c r="A45" s="86" t="s">
        <v>27</v>
      </c>
      <c r="B45" s="54" t="s">
        <v>4</v>
      </c>
      <c r="C45" s="176">
        <f t="shared" si="11"/>
        <v>4.4650055192429333E-4</v>
      </c>
      <c r="D45" s="60">
        <f>+'5ta'!F28/1000</f>
        <v>0</v>
      </c>
      <c r="E45" s="84">
        <f t="shared" si="13"/>
        <v>0</v>
      </c>
      <c r="F45" s="60">
        <f>+'5ta'!G28/1000</f>
        <v>0</v>
      </c>
      <c r="G45" s="84">
        <f t="shared" si="14"/>
        <v>0</v>
      </c>
      <c r="H45" s="394">
        <f>+'5ta'!H28/1000</f>
        <v>0</v>
      </c>
      <c r="I45" s="395">
        <f t="shared" si="15"/>
        <v>0</v>
      </c>
      <c r="J45" s="394">
        <f>+'5ta'!I28/1000</f>
        <v>0</v>
      </c>
      <c r="K45" s="394">
        <f>+'5ta'!J28/1000</f>
        <v>1.7549999999999998E-3</v>
      </c>
      <c r="L45" s="394">
        <f>+'5ta'!J28/1000</f>
        <v>1.7549999999999998E-3</v>
      </c>
      <c r="M45" s="394">
        <f>+'5ta'!K28/1000</f>
        <v>2.3535E-2</v>
      </c>
      <c r="N45" s="394">
        <f>+'5ta'!L28/1000</f>
        <v>2.3535E-2</v>
      </c>
      <c r="O45" s="394">
        <f>+'5ta'!M28/1000</f>
        <v>3.5999999999999997E-4</v>
      </c>
      <c r="P45" s="394">
        <f>+'5ta'!N28/1000</f>
        <v>3.5999999999999997E-4</v>
      </c>
      <c r="Q45" s="178">
        <f t="shared" si="12"/>
        <v>3.3760983284164303E-4</v>
      </c>
      <c r="R45" s="178">
        <f t="shared" si="12"/>
        <v>3.3512744413099213E-4</v>
      </c>
      <c r="S45" s="178">
        <f t="shared" si="12"/>
        <v>3.3260966606388237E-4</v>
      </c>
      <c r="T45" s="178">
        <f t="shared" si="12"/>
        <v>2.6877561672297083E-4</v>
      </c>
      <c r="U45" s="178">
        <f t="shared" si="12"/>
        <v>3.2004959041161986E-4</v>
      </c>
      <c r="V45" s="178">
        <f t="shared" si="12"/>
        <v>3.1760637693889417E-4</v>
      </c>
      <c r="W45" s="178">
        <f t="shared" si="12"/>
        <v>3.7539998819767023E-4</v>
      </c>
      <c r="X45" s="178">
        <f t="shared" si="12"/>
        <v>3.1286151888215686E-4</v>
      </c>
      <c r="Y45" s="178">
        <f t="shared" si="12"/>
        <v>3.1048909072044814E-4</v>
      </c>
      <c r="Z45" s="178">
        <f t="shared" si="12"/>
        <v>3.0815205492465631E-4</v>
      </c>
      <c r="AA45" s="178">
        <f t="shared" si="12"/>
        <v>3.0581501970600042E-4</v>
      </c>
      <c r="AB45" s="178">
        <f t="shared" si="12"/>
        <v>3.0354876864127633E-4</v>
      </c>
      <c r="AC45" s="178">
        <f t="shared" si="12"/>
        <v>3.0121173457592029E-4</v>
      </c>
    </row>
    <row r="46" spans="1:29" x14ac:dyDescent="0.25">
      <c r="A46" s="186" t="s">
        <v>28</v>
      </c>
      <c r="B46" s="180" t="s">
        <v>4</v>
      </c>
      <c r="C46" s="180"/>
      <c r="D46" s="181">
        <f>+'5ta'!F29/1000</f>
        <v>1.62999</v>
      </c>
      <c r="E46" s="84">
        <f t="shared" si="13"/>
        <v>1.62999</v>
      </c>
      <c r="F46" s="181">
        <f>+'5ta'!G29/1000</f>
        <v>1.62999</v>
      </c>
      <c r="G46" s="84">
        <f t="shared" si="13"/>
        <v>1.62999</v>
      </c>
      <c r="H46" s="181">
        <f>+'5ta'!H29/1000</f>
        <v>1.62999</v>
      </c>
      <c r="I46" s="84">
        <f t="shared" si="13"/>
        <v>0.86975999999999998</v>
      </c>
      <c r="J46" s="181">
        <f>+'5ta'!I29/1000</f>
        <v>0.10953</v>
      </c>
      <c r="K46" s="84">
        <f t="shared" si="13"/>
        <v>2.2405724999999999</v>
      </c>
      <c r="L46" s="181">
        <f>+'5ta'!J29/1000</f>
        <v>4.3716149999999994</v>
      </c>
      <c r="M46" s="181">
        <f>+'5ta'!K29/1000</f>
        <v>0.23674999999999999</v>
      </c>
      <c r="N46" s="181">
        <f>+'5ta'!L29/1000</f>
        <v>0.23674999999999999</v>
      </c>
      <c r="O46" s="181">
        <f>+'5ta'!M29/1000</f>
        <v>0.43110000000000004</v>
      </c>
      <c r="P46" s="181">
        <f>+'5ta'!N29/1000</f>
        <v>0.43110000000000004</v>
      </c>
      <c r="Q46" s="181">
        <f t="shared" ref="Q46:AC46" si="16">+P46</f>
        <v>0.43110000000000004</v>
      </c>
      <c r="R46" s="181">
        <f t="shared" si="16"/>
        <v>0.43110000000000004</v>
      </c>
      <c r="S46" s="181">
        <f t="shared" si="16"/>
        <v>0.43110000000000004</v>
      </c>
      <c r="T46" s="181">
        <f t="shared" si="16"/>
        <v>0.43110000000000004</v>
      </c>
      <c r="U46" s="181">
        <f t="shared" si="16"/>
        <v>0.43110000000000004</v>
      </c>
      <c r="V46" s="181">
        <f t="shared" si="16"/>
        <v>0.43110000000000004</v>
      </c>
      <c r="W46" s="181">
        <f t="shared" si="16"/>
        <v>0.43110000000000004</v>
      </c>
      <c r="X46" s="181">
        <f t="shared" si="16"/>
        <v>0.43110000000000004</v>
      </c>
      <c r="Y46" s="181">
        <f t="shared" si="16"/>
        <v>0.43110000000000004</v>
      </c>
      <c r="Z46" s="181">
        <f t="shared" si="16"/>
        <v>0.43110000000000004</v>
      </c>
      <c r="AA46" s="181">
        <f t="shared" si="16"/>
        <v>0.43110000000000004</v>
      </c>
      <c r="AB46" s="181">
        <f t="shared" si="16"/>
        <v>0.43110000000000004</v>
      </c>
      <c r="AC46" s="181">
        <f t="shared" si="16"/>
        <v>0.43110000000000004</v>
      </c>
    </row>
    <row r="47" spans="1:29" x14ac:dyDescent="0.25">
      <c r="A47" s="182" t="s">
        <v>19</v>
      </c>
      <c r="B47" s="183" t="s">
        <v>4</v>
      </c>
      <c r="C47" s="183"/>
      <c r="D47" s="181">
        <f>+'5ta'!F30/1000</f>
        <v>66.52946</v>
      </c>
      <c r="E47" s="84">
        <f t="shared" si="13"/>
        <v>66.52946</v>
      </c>
      <c r="F47" s="181">
        <f>+'5ta'!G30/1000</f>
        <v>66.52946</v>
      </c>
      <c r="G47" s="84">
        <f t="shared" si="13"/>
        <v>66.52946</v>
      </c>
      <c r="H47" s="181">
        <f>+'5ta'!H30/1000</f>
        <v>66.52946</v>
      </c>
      <c r="I47" s="84">
        <f t="shared" si="13"/>
        <v>44.24183</v>
      </c>
      <c r="J47" s="181">
        <f>+'5ta'!I30/1000</f>
        <v>21.9542</v>
      </c>
      <c r="K47" s="84">
        <f t="shared" si="13"/>
        <v>12.5998</v>
      </c>
      <c r="L47" s="181">
        <f>+'5ta'!K30/1000</f>
        <v>3.2454000000000001</v>
      </c>
      <c r="M47" s="181">
        <f>+'5ta'!K30/1000</f>
        <v>3.2454000000000001</v>
      </c>
      <c r="N47" s="181">
        <f>+'5ta'!L30/1000</f>
        <v>3.2454000000000001</v>
      </c>
      <c r="O47" s="181">
        <f>+'5ta'!M30/1000</f>
        <v>10.864709999999999</v>
      </c>
      <c r="P47" s="181">
        <f>+'5ta'!N30/1000</f>
        <v>10.864709999999999</v>
      </c>
      <c r="Q47" s="184">
        <f t="shared" ref="Q47:AC47" si="17">+P47</f>
        <v>10.864709999999999</v>
      </c>
      <c r="R47" s="184">
        <f t="shared" si="17"/>
        <v>10.864709999999999</v>
      </c>
      <c r="S47" s="184">
        <f t="shared" si="17"/>
        <v>10.864709999999999</v>
      </c>
      <c r="T47" s="184">
        <f t="shared" si="17"/>
        <v>10.864709999999999</v>
      </c>
      <c r="U47" s="184">
        <f t="shared" si="17"/>
        <v>10.864709999999999</v>
      </c>
      <c r="V47" s="184">
        <f t="shared" si="17"/>
        <v>10.864709999999999</v>
      </c>
      <c r="W47" s="184">
        <f t="shared" si="17"/>
        <v>10.864709999999999</v>
      </c>
      <c r="X47" s="184">
        <f t="shared" si="17"/>
        <v>10.864709999999999</v>
      </c>
      <c r="Y47" s="184">
        <f t="shared" si="17"/>
        <v>10.864709999999999</v>
      </c>
      <c r="Z47" s="184">
        <f t="shared" si="17"/>
        <v>10.864709999999999</v>
      </c>
      <c r="AA47" s="184">
        <f t="shared" si="17"/>
        <v>10.864709999999999</v>
      </c>
      <c r="AB47" s="184">
        <f t="shared" si="17"/>
        <v>10.864709999999999</v>
      </c>
      <c r="AC47" s="184">
        <f t="shared" si="17"/>
        <v>10.864709999999999</v>
      </c>
    </row>
    <row r="48" spans="1:29" x14ac:dyDescent="0.25">
      <c r="A48" s="182" t="s">
        <v>5</v>
      </c>
      <c r="B48" s="183" t="s">
        <v>4</v>
      </c>
      <c r="C48" s="183"/>
      <c r="D48" s="181">
        <f>+'5ta'!F31/1000</f>
        <v>1.248E-2</v>
      </c>
      <c r="E48" s="84">
        <f t="shared" si="13"/>
        <v>1.248E-2</v>
      </c>
      <c r="F48" s="181">
        <f>+'5ta'!G31/1000</f>
        <v>1.248E-2</v>
      </c>
      <c r="G48" s="84">
        <f t="shared" si="13"/>
        <v>1.248E-2</v>
      </c>
      <c r="H48" s="181">
        <f>+'5ta'!H31/1000</f>
        <v>1.248E-2</v>
      </c>
      <c r="I48" s="84">
        <f t="shared" si="13"/>
        <v>1.3754549999999999</v>
      </c>
      <c r="J48" s="181">
        <f>+'5ta'!I31/1000</f>
        <v>2.7384299999999997</v>
      </c>
      <c r="K48" s="84">
        <f t="shared" si="13"/>
        <v>1.4212799999999999</v>
      </c>
      <c r="L48" s="181">
        <f>+'5ta'!K31/1000</f>
        <v>0.10413</v>
      </c>
      <c r="M48" s="181">
        <f>+'5ta'!K31/1000</f>
        <v>0.10413</v>
      </c>
      <c r="N48" s="181">
        <f>+'5ta'!L31/1000</f>
        <v>0.10413</v>
      </c>
      <c r="O48" s="181">
        <f>+'5ta'!M31/1000</f>
        <v>2.1370100000000001</v>
      </c>
      <c r="P48" s="181">
        <f>+'5ta'!N31/1000</f>
        <v>2.1370100000000001</v>
      </c>
      <c r="Q48" s="184">
        <f t="shared" ref="Q48:AC48" si="18">+P48</f>
        <v>2.1370100000000001</v>
      </c>
      <c r="R48" s="184">
        <f t="shared" si="18"/>
        <v>2.1370100000000001</v>
      </c>
      <c r="S48" s="184">
        <f t="shared" si="18"/>
        <v>2.1370100000000001</v>
      </c>
      <c r="T48" s="184">
        <f t="shared" si="18"/>
        <v>2.1370100000000001</v>
      </c>
      <c r="U48" s="184">
        <f t="shared" si="18"/>
        <v>2.1370100000000001</v>
      </c>
      <c r="V48" s="184">
        <f t="shared" si="18"/>
        <v>2.1370100000000001</v>
      </c>
      <c r="W48" s="184">
        <f t="shared" si="18"/>
        <v>2.1370100000000001</v>
      </c>
      <c r="X48" s="184">
        <f t="shared" si="18"/>
        <v>2.1370100000000001</v>
      </c>
      <c r="Y48" s="184">
        <f t="shared" si="18"/>
        <v>2.1370100000000001</v>
      </c>
      <c r="Z48" s="184">
        <f t="shared" si="18"/>
        <v>2.1370100000000001</v>
      </c>
      <c r="AA48" s="184">
        <f t="shared" si="18"/>
        <v>2.1370100000000001</v>
      </c>
      <c r="AB48" s="184">
        <f t="shared" si="18"/>
        <v>2.1370100000000001</v>
      </c>
      <c r="AC48" s="184">
        <f t="shared" si="18"/>
        <v>2.1370100000000001</v>
      </c>
    </row>
    <row r="49" spans="1:29" x14ac:dyDescent="0.25">
      <c r="A49" s="182" t="s">
        <v>29</v>
      </c>
      <c r="B49" s="183" t="s">
        <v>4</v>
      </c>
      <c r="C49" s="183"/>
      <c r="D49" s="181">
        <f>+'5ta'!F32/1000</f>
        <v>3.6872099999999999</v>
      </c>
      <c r="E49" s="84">
        <f t="shared" si="13"/>
        <v>3.6872099999999999</v>
      </c>
      <c r="F49" s="181">
        <f>+'5ta'!G32/1000</f>
        <v>3.6872099999999999</v>
      </c>
      <c r="G49" s="84">
        <f t="shared" si="13"/>
        <v>3.6872099999999999</v>
      </c>
      <c r="H49" s="181">
        <f>+'5ta'!H32/1000</f>
        <v>3.6872099999999999</v>
      </c>
      <c r="I49" s="84">
        <f t="shared" si="13"/>
        <v>4.063345</v>
      </c>
      <c r="J49" s="181">
        <f>+'5ta'!I32/1000</f>
        <v>4.4394799999999996</v>
      </c>
      <c r="K49" s="84">
        <f t="shared" si="13"/>
        <v>2.4052099999999998</v>
      </c>
      <c r="L49" s="181">
        <f>+'5ta'!K32/1000</f>
        <v>0.37093999999999999</v>
      </c>
      <c r="M49" s="181">
        <f>+'5ta'!K32/1000</f>
        <v>0.37093999999999999</v>
      </c>
      <c r="N49" s="181">
        <f>+'5ta'!L32/1000</f>
        <v>0.37093999999999999</v>
      </c>
      <c r="O49" s="181">
        <f>+'5ta'!M32/1000</f>
        <v>2.5905200000000002</v>
      </c>
      <c r="P49" s="181">
        <f>+'5ta'!N32/1000</f>
        <v>2.5905200000000002</v>
      </c>
      <c r="Q49" s="184">
        <f t="shared" ref="Q49:AC49" si="19">+P49</f>
        <v>2.5905200000000002</v>
      </c>
      <c r="R49" s="184">
        <f t="shared" si="19"/>
        <v>2.5905200000000002</v>
      </c>
      <c r="S49" s="184">
        <f t="shared" si="19"/>
        <v>2.5905200000000002</v>
      </c>
      <c r="T49" s="184">
        <f t="shared" si="19"/>
        <v>2.5905200000000002</v>
      </c>
      <c r="U49" s="184">
        <f t="shared" si="19"/>
        <v>2.5905200000000002</v>
      </c>
      <c r="V49" s="184">
        <f t="shared" si="19"/>
        <v>2.5905200000000002</v>
      </c>
      <c r="W49" s="184">
        <f t="shared" si="19"/>
        <v>2.5905200000000002</v>
      </c>
      <c r="X49" s="184">
        <f t="shared" si="19"/>
        <v>2.5905200000000002</v>
      </c>
      <c r="Y49" s="184">
        <f t="shared" si="19"/>
        <v>2.5905200000000002</v>
      </c>
      <c r="Z49" s="184">
        <f t="shared" si="19"/>
        <v>2.5905200000000002</v>
      </c>
      <c r="AA49" s="184">
        <f t="shared" si="19"/>
        <v>2.5905200000000002</v>
      </c>
      <c r="AB49" s="184">
        <f t="shared" si="19"/>
        <v>2.5905200000000002</v>
      </c>
      <c r="AC49" s="184">
        <f t="shared" si="19"/>
        <v>2.5905200000000002</v>
      </c>
    </row>
    <row r="50" spans="1:29" x14ac:dyDescent="0.25">
      <c r="A50" s="187"/>
      <c r="B50" s="188"/>
      <c r="C50" s="174">
        <f>+SUM(P$51:P$59)/(SUM(P$22:P$30)+SUM(P$37:P$45)+SUM(P$51:P$59)+SUM(P$65:P$73)+SUM(P$80:P$88))</f>
        <v>6.8794116233122177E-2</v>
      </c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84"/>
    </row>
    <row r="51" spans="1:29" x14ac:dyDescent="0.25">
      <c r="A51" s="192" t="s">
        <v>18</v>
      </c>
      <c r="B51" s="54" t="s">
        <v>5</v>
      </c>
      <c r="C51" s="176">
        <f t="shared" ref="C51:C59" si="20">+P51/SUM(P$51:P$59)</f>
        <v>1.3054410525841944E-3</v>
      </c>
      <c r="D51" s="84">
        <f>+'5ta'!F36/1000</f>
        <v>0</v>
      </c>
      <c r="E51" s="84">
        <f>+(D51+F51)/2</f>
        <v>0</v>
      </c>
      <c r="F51" s="84">
        <f>+'5ta'!G36/1000</f>
        <v>0</v>
      </c>
      <c r="G51" s="84">
        <f>+(F51+H51)/2</f>
        <v>0</v>
      </c>
      <c r="H51" s="84">
        <f>+'5ta'!H36/1000</f>
        <v>0</v>
      </c>
      <c r="I51" s="84">
        <f>+(H51+J51)/2</f>
        <v>0</v>
      </c>
      <c r="J51" s="84">
        <f>+'5ta'!I36/1000</f>
        <v>0</v>
      </c>
      <c r="K51" s="84">
        <f>+(J51+L51)/2</f>
        <v>0</v>
      </c>
      <c r="L51" s="84">
        <f>+'5ta'!J36/1000</f>
        <v>0</v>
      </c>
      <c r="M51" s="84">
        <f>+'5ta'!K36/1000</f>
        <v>5.706E-2</v>
      </c>
      <c r="N51" s="84">
        <f>+'5ta'!L36/1000</f>
        <v>5.706E-2</v>
      </c>
      <c r="O51" s="84">
        <f>+'5ta'!M36/1000</f>
        <v>9.134999999999999E-3</v>
      </c>
      <c r="P51" s="84">
        <f>+'5ta'!N36/1000</f>
        <v>9.134999999999999E-3</v>
      </c>
      <c r="Q51" s="178">
        <f t="shared" ref="Q51:AC59" si="21">+Q$21*$C$50*$C51</f>
        <v>8.5668495083566915E-3</v>
      </c>
      <c r="R51" s="178">
        <f t="shared" si="21"/>
        <v>8.5038588948239263E-3</v>
      </c>
      <c r="S51" s="178">
        <f t="shared" si="21"/>
        <v>8.4399702763710144E-3</v>
      </c>
      <c r="T51" s="178">
        <f t="shared" si="21"/>
        <v>6.8201812743453839E-3</v>
      </c>
      <c r="U51" s="178">
        <f t="shared" si="21"/>
        <v>8.1212583566948535E-3</v>
      </c>
      <c r="V51" s="178">
        <f t="shared" si="21"/>
        <v>8.0592618148244404E-3</v>
      </c>
      <c r="W51" s="178">
        <f t="shared" si="21"/>
        <v>9.5257747005158822E-3</v>
      </c>
      <c r="X51" s="178">
        <f t="shared" si="21"/>
        <v>7.9388610416347306E-3</v>
      </c>
      <c r="Y51" s="178">
        <f t="shared" si="21"/>
        <v>7.8786606770313711E-3</v>
      </c>
      <c r="Z51" s="178">
        <f t="shared" si="21"/>
        <v>7.8193583937131543E-3</v>
      </c>
      <c r="AA51" s="178">
        <f t="shared" si="21"/>
        <v>7.7600561250397619E-3</v>
      </c>
      <c r="AB51" s="178">
        <f t="shared" si="21"/>
        <v>7.702550004272387E-3</v>
      </c>
      <c r="AC51" s="178">
        <f t="shared" si="21"/>
        <v>7.6432477648639774E-3</v>
      </c>
    </row>
    <row r="52" spans="1:29" x14ac:dyDescent="0.25">
      <c r="A52" s="192" t="s">
        <v>20</v>
      </c>
      <c r="B52" s="54" t="s">
        <v>5</v>
      </c>
      <c r="C52" s="176">
        <f t="shared" si="20"/>
        <v>2.9066963338327881E-3</v>
      </c>
      <c r="D52" s="84">
        <f>+'5ta'!F37/1000</f>
        <v>0.18540000000000001</v>
      </c>
      <c r="E52" s="84">
        <f t="shared" ref="E52:E63" si="22">+(D52+F52)/2</f>
        <v>0.18540000000000001</v>
      </c>
      <c r="F52" s="84">
        <f>+'5ta'!G37/1000</f>
        <v>0.18540000000000001</v>
      </c>
      <c r="G52" s="84">
        <f t="shared" ref="G52:G63" si="23">+(F52+H52)/2</f>
        <v>0.18540000000000001</v>
      </c>
      <c r="H52" s="84">
        <f>+'5ta'!H37/1000</f>
        <v>0.18540000000000001</v>
      </c>
      <c r="I52" s="84">
        <f t="shared" ref="I52:I63" si="24">+(H52+J52)/2</f>
        <v>0.1905075</v>
      </c>
      <c r="J52" s="84">
        <f>+'5ta'!I37/1000</f>
        <v>0.19561499999999998</v>
      </c>
      <c r="K52" s="84">
        <f t="shared" ref="K52:K63" si="25">+(J52+L52)/2</f>
        <v>0.13349249999999999</v>
      </c>
      <c r="L52" s="84">
        <f>+'5ta'!J37/1000</f>
        <v>7.1370000000000003E-2</v>
      </c>
      <c r="M52" s="84">
        <f>+'5ta'!K37/1000</f>
        <v>9.7200000000000009E-2</v>
      </c>
      <c r="N52" s="84">
        <f>+'5ta'!L37/1000</f>
        <v>9.7200000000000009E-2</v>
      </c>
      <c r="O52" s="84">
        <f>+'5ta'!M37/1000</f>
        <v>2.034E-2</v>
      </c>
      <c r="P52" s="84">
        <f>+'5ta'!N37/1000</f>
        <v>2.034E-2</v>
      </c>
      <c r="Q52" s="178">
        <f t="shared" si="21"/>
        <v>1.9074955555552834E-2</v>
      </c>
      <c r="R52" s="178">
        <f t="shared" si="21"/>
        <v>1.893470059340106E-2</v>
      </c>
      <c r="S52" s="178">
        <f t="shared" si="21"/>
        <v>1.8792446132609355E-2</v>
      </c>
      <c r="T52" s="178">
        <f t="shared" si="21"/>
        <v>1.5185822344847853E-2</v>
      </c>
      <c r="U52" s="178">
        <f t="shared" si="21"/>
        <v>1.8082801858256524E-2</v>
      </c>
      <c r="V52" s="178">
        <f t="shared" si="21"/>
        <v>1.7944760297047523E-2</v>
      </c>
      <c r="W52" s="178">
        <f t="shared" si="21"/>
        <v>2.1210099333168371E-2</v>
      </c>
      <c r="X52" s="178">
        <f t="shared" si="21"/>
        <v>1.7676675816841864E-2</v>
      </c>
      <c r="Y52" s="178">
        <f t="shared" si="21"/>
        <v>1.7542633625705323E-2</v>
      </c>
      <c r="Z52" s="178">
        <f t="shared" si="21"/>
        <v>1.7410591103243084E-2</v>
      </c>
      <c r="AA52" s="178">
        <f t="shared" si="21"/>
        <v>1.7278548613389028E-2</v>
      </c>
      <c r="AB52" s="178">
        <f t="shared" si="21"/>
        <v>1.7150505428232116E-2</v>
      </c>
      <c r="AC52" s="178">
        <f t="shared" si="21"/>
        <v>1.70184630035395E-2</v>
      </c>
    </row>
    <row r="53" spans="1:29" x14ac:dyDescent="0.25">
      <c r="A53" s="192" t="s">
        <v>21</v>
      </c>
      <c r="B53" s="54" t="s">
        <v>5</v>
      </c>
      <c r="C53" s="176">
        <f t="shared" si="20"/>
        <v>6.5754358436814722E-2</v>
      </c>
      <c r="D53" s="84">
        <f>+'5ta'!F38/1000</f>
        <v>0</v>
      </c>
      <c r="E53" s="84">
        <f t="shared" si="22"/>
        <v>0</v>
      </c>
      <c r="F53" s="84">
        <f>+'5ta'!G38/1000</f>
        <v>0</v>
      </c>
      <c r="G53" s="84">
        <f t="shared" si="23"/>
        <v>0</v>
      </c>
      <c r="H53" s="84">
        <f>+'5ta'!H38/1000</f>
        <v>0</v>
      </c>
      <c r="I53" s="84">
        <f t="shared" si="24"/>
        <v>0</v>
      </c>
      <c r="J53" s="84">
        <f>+'5ta'!I38/1000</f>
        <v>0</v>
      </c>
      <c r="K53" s="84">
        <f t="shared" si="25"/>
        <v>5.6249999999999996E-4</v>
      </c>
      <c r="L53" s="84">
        <f>+'5ta'!J38/1000</f>
        <v>1.1249999999999999E-3</v>
      </c>
      <c r="M53" s="84">
        <f>+'5ta'!K38/1000</f>
        <v>0.73129999999999995</v>
      </c>
      <c r="N53" s="84">
        <f>+'5ta'!L38/1000</f>
        <v>0.73129999999999995</v>
      </c>
      <c r="O53" s="84">
        <f>+'5ta'!M38/1000</f>
        <v>0.46012500000000001</v>
      </c>
      <c r="P53" s="84">
        <f>+'5ta'!N38/1000</f>
        <v>0.46012500000000001</v>
      </c>
      <c r="Q53" s="178">
        <f t="shared" si="21"/>
        <v>0.43150756760072495</v>
      </c>
      <c r="R53" s="178">
        <f t="shared" si="21"/>
        <v>0.42833476452992436</v>
      </c>
      <c r="S53" s="178">
        <f t="shared" si="21"/>
        <v>0.42511672943789963</v>
      </c>
      <c r="T53" s="178">
        <f t="shared" si="21"/>
        <v>0.34352883512404708</v>
      </c>
      <c r="U53" s="178">
        <f t="shared" si="21"/>
        <v>0.40906338274485166</v>
      </c>
      <c r="V53" s="178">
        <f t="shared" si="21"/>
        <v>0.40594065052502415</v>
      </c>
      <c r="W53" s="178">
        <f t="shared" si="21"/>
        <v>0.47980810991514727</v>
      </c>
      <c r="X53" s="178">
        <f t="shared" si="21"/>
        <v>0.39987612882125673</v>
      </c>
      <c r="Y53" s="178">
        <f t="shared" si="21"/>
        <v>0.39684386907707281</v>
      </c>
      <c r="Z53" s="178">
        <f t="shared" si="21"/>
        <v>0.3938568452005764</v>
      </c>
      <c r="AA53" s="178">
        <f t="shared" si="21"/>
        <v>0.39086982206173182</v>
      </c>
      <c r="AB53" s="178">
        <f t="shared" si="21"/>
        <v>0.38797326991963133</v>
      </c>
      <c r="AC53" s="178">
        <f t="shared" si="21"/>
        <v>0.38498624825484812</v>
      </c>
    </row>
    <row r="54" spans="1:29" x14ac:dyDescent="0.25">
      <c r="A54" s="192" t="s">
        <v>22</v>
      </c>
      <c r="B54" s="54" t="s">
        <v>5</v>
      </c>
      <c r="C54" s="176">
        <f t="shared" si="20"/>
        <v>0.13582374616566883</v>
      </c>
      <c r="D54" s="84">
        <f>+'5ta'!F39/1000</f>
        <v>0</v>
      </c>
      <c r="E54" s="84">
        <f t="shared" si="22"/>
        <v>0</v>
      </c>
      <c r="F54" s="84">
        <f>+'5ta'!G39/1000</f>
        <v>0</v>
      </c>
      <c r="G54" s="84">
        <f t="shared" si="23"/>
        <v>0</v>
      </c>
      <c r="H54" s="84">
        <f>+'5ta'!H39/1000</f>
        <v>0</v>
      </c>
      <c r="I54" s="84">
        <f t="shared" si="24"/>
        <v>0</v>
      </c>
      <c r="J54" s="84">
        <f>+'5ta'!I39/1000</f>
        <v>0</v>
      </c>
      <c r="K54" s="84">
        <f t="shared" si="25"/>
        <v>2.2949999999999997E-3</v>
      </c>
      <c r="L54" s="84">
        <f>+'5ta'!J39/1000</f>
        <v>4.5899999999999995E-3</v>
      </c>
      <c r="M54" s="84">
        <f>+'5ta'!K39/1000</f>
        <v>0.23719999999999999</v>
      </c>
      <c r="N54" s="84">
        <f>+'5ta'!L39/1000</f>
        <v>0.23719999999999999</v>
      </c>
      <c r="O54" s="84">
        <f>+'5ta'!M39/1000</f>
        <v>0.9504450000000001</v>
      </c>
      <c r="P54" s="84">
        <f>+'5ta'!N39/1000</f>
        <v>0.9504450000000001</v>
      </c>
      <c r="Q54" s="178">
        <f t="shared" si="21"/>
        <v>0.89133215993104287</v>
      </c>
      <c r="R54" s="178">
        <f t="shared" si="21"/>
        <v>0.88477834343633577</v>
      </c>
      <c r="S54" s="178">
        <f t="shared" si="21"/>
        <v>0.87813109461690753</v>
      </c>
      <c r="T54" s="178">
        <f t="shared" si="21"/>
        <v>0.70960122510073331</v>
      </c>
      <c r="U54" s="178">
        <f t="shared" si="21"/>
        <v>0.84497092488547798</v>
      </c>
      <c r="V54" s="178">
        <f t="shared" si="21"/>
        <v>0.83852053591579812</v>
      </c>
      <c r="W54" s="178">
        <f t="shared" si="21"/>
        <v>0.9911028938403742</v>
      </c>
      <c r="X54" s="178">
        <f t="shared" si="21"/>
        <v>0.8259935175387545</v>
      </c>
      <c r="Y54" s="178">
        <f t="shared" si="21"/>
        <v>0.81973001063832329</v>
      </c>
      <c r="Z54" s="178">
        <f t="shared" si="21"/>
        <v>0.81355994400795839</v>
      </c>
      <c r="AA54" s="178">
        <f t="shared" si="21"/>
        <v>0.80738987890130454</v>
      </c>
      <c r="AB54" s="178">
        <f t="shared" si="21"/>
        <v>0.80140669280904975</v>
      </c>
      <c r="AC54" s="178">
        <f t="shared" si="21"/>
        <v>0.79523663074725159</v>
      </c>
    </row>
    <row r="55" spans="1:29" x14ac:dyDescent="0.25">
      <c r="A55" s="192" t="s">
        <v>23</v>
      </c>
      <c r="B55" s="54" t="s">
        <v>5</v>
      </c>
      <c r="C55" s="176">
        <f t="shared" si="20"/>
        <v>3.6526626495951846E-3</v>
      </c>
      <c r="D55" s="84">
        <f>+'5ta'!F40/1000</f>
        <v>0</v>
      </c>
      <c r="E55" s="84">
        <f t="shared" si="22"/>
        <v>0</v>
      </c>
      <c r="F55" s="84">
        <f>+'5ta'!G40/1000</f>
        <v>0</v>
      </c>
      <c r="G55" s="84">
        <f t="shared" si="23"/>
        <v>0</v>
      </c>
      <c r="H55" s="84">
        <f>+'5ta'!H40/1000</f>
        <v>0</v>
      </c>
      <c r="I55" s="84">
        <f t="shared" si="24"/>
        <v>0</v>
      </c>
      <c r="J55" s="84">
        <f>+'5ta'!I40/1000</f>
        <v>0</v>
      </c>
      <c r="K55" s="84">
        <f t="shared" si="25"/>
        <v>0</v>
      </c>
      <c r="L55" s="84">
        <f>+'5ta'!J40/1000</f>
        <v>0</v>
      </c>
      <c r="M55" s="84">
        <f>+'5ta'!K40/1000</f>
        <v>5.4770000000000006E-2</v>
      </c>
      <c r="N55" s="84">
        <f>+'5ta'!L40/1000</f>
        <v>5.4770000000000006E-2</v>
      </c>
      <c r="O55" s="84">
        <f>+'5ta'!M40/1000</f>
        <v>2.5559999999999999E-2</v>
      </c>
      <c r="P55" s="84">
        <f>+'5ta'!N40/1000</f>
        <v>2.5559999999999999E-2</v>
      </c>
      <c r="Q55" s="178">
        <f t="shared" si="21"/>
        <v>2.3970298131756655E-2</v>
      </c>
      <c r="R55" s="178">
        <f t="shared" si="21"/>
        <v>2.3794048533300444E-2</v>
      </c>
      <c r="S55" s="178">
        <f t="shared" si="21"/>
        <v>2.3615286290535647E-2</v>
      </c>
      <c r="T55" s="178">
        <f t="shared" si="21"/>
        <v>1.9083068787330928E-2</v>
      </c>
      <c r="U55" s="178">
        <f t="shared" si="21"/>
        <v>2.2723520919225013E-2</v>
      </c>
      <c r="V55" s="178">
        <f t="shared" si="21"/>
        <v>2.2550052762661487E-2</v>
      </c>
      <c r="W55" s="178">
        <f t="shared" si="21"/>
        <v>2.6653399162034588E-2</v>
      </c>
      <c r="X55" s="178">
        <f t="shared" si="21"/>
        <v>2.2213167840633138E-2</v>
      </c>
      <c r="Y55" s="178">
        <f t="shared" si="21"/>
        <v>2.2044725441151818E-2</v>
      </c>
      <c r="Z55" s="178">
        <f t="shared" si="21"/>
        <v>2.18787958996506E-2</v>
      </c>
      <c r="AA55" s="178">
        <f t="shared" si="21"/>
        <v>2.1712866399126032E-2</v>
      </c>
      <c r="AB55" s="178">
        <f t="shared" si="21"/>
        <v>2.155196257353062E-2</v>
      </c>
      <c r="AC55" s="178">
        <f t="shared" si="21"/>
        <v>2.1386033154890342E-2</v>
      </c>
    </row>
    <row r="56" spans="1:29" ht="22.5" x14ac:dyDescent="0.25">
      <c r="A56" s="192" t="s">
        <v>24</v>
      </c>
      <c r="B56" s="54" t="s">
        <v>5</v>
      </c>
      <c r="C56" s="176">
        <f t="shared" si="20"/>
        <v>0.74024295351215086</v>
      </c>
      <c r="D56" s="84">
        <f>+'5ta'!F41/1000</f>
        <v>0</v>
      </c>
      <c r="E56" s="84">
        <f t="shared" si="22"/>
        <v>0</v>
      </c>
      <c r="F56" s="84">
        <f>+'5ta'!G41/1000</f>
        <v>0</v>
      </c>
      <c r="G56" s="84">
        <f t="shared" si="23"/>
        <v>0</v>
      </c>
      <c r="H56" s="84">
        <f>+'5ta'!H41/1000</f>
        <v>0</v>
      </c>
      <c r="I56" s="84">
        <f t="shared" si="24"/>
        <v>0</v>
      </c>
      <c r="J56" s="84">
        <f>+'5ta'!I41/1000</f>
        <v>0</v>
      </c>
      <c r="K56" s="84">
        <f t="shared" si="25"/>
        <v>0</v>
      </c>
      <c r="L56" s="84">
        <f>+'5ta'!J41/1000</f>
        <v>0</v>
      </c>
      <c r="M56" s="84">
        <f>+'5ta'!K41/1000</f>
        <v>3.0419099999999997</v>
      </c>
      <c r="N56" s="84">
        <f>+'5ta'!L41/1000</f>
        <v>3.0419099999999997</v>
      </c>
      <c r="O56" s="84">
        <f>+'5ta'!M41/1000</f>
        <v>5.1799499999999998</v>
      </c>
      <c r="P56" s="84">
        <f>+'5ta'!N41/1000</f>
        <v>5.1799499999999998</v>
      </c>
      <c r="Q56" s="178">
        <f t="shared" si="21"/>
        <v>4.8577834823001904</v>
      </c>
      <c r="R56" s="178">
        <f t="shared" si="21"/>
        <v>4.8220650117398138</v>
      </c>
      <c r="S56" s="178">
        <f t="shared" si="21"/>
        <v>4.785837332576687</v>
      </c>
      <c r="T56" s="178">
        <f t="shared" si="21"/>
        <v>3.8673451551226461</v>
      </c>
      <c r="U56" s="178">
        <f t="shared" si="21"/>
        <v>4.6051135440351949</v>
      </c>
      <c r="V56" s="178">
        <f t="shared" si="21"/>
        <v>4.5699587561795134</v>
      </c>
      <c r="W56" s="178">
        <f t="shared" si="21"/>
        <v>5.4015365801792274</v>
      </c>
      <c r="X56" s="178">
        <f t="shared" si="21"/>
        <v>4.5016861798156347</v>
      </c>
      <c r="Y56" s="178">
        <f t="shared" si="21"/>
        <v>4.4675499041038487</v>
      </c>
      <c r="Z56" s="178">
        <f t="shared" si="21"/>
        <v>4.4339228802971489</v>
      </c>
      <c r="AA56" s="178">
        <f t="shared" si="21"/>
        <v>4.4002958647947139</v>
      </c>
      <c r="AB56" s="178">
        <f t="shared" si="21"/>
        <v>4.3676873447871651</v>
      </c>
      <c r="AC56" s="178">
        <f t="shared" si="21"/>
        <v>4.3340603458792728</v>
      </c>
    </row>
    <row r="57" spans="1:29" x14ac:dyDescent="0.25">
      <c r="A57" s="192" t="s">
        <v>25</v>
      </c>
      <c r="B57" s="54" t="s">
        <v>5</v>
      </c>
      <c r="C57" s="176">
        <f t="shared" si="20"/>
        <v>9.9033459161559593E-3</v>
      </c>
      <c r="D57" s="84">
        <f>+'5ta'!F42/1000</f>
        <v>2.3205E-2</v>
      </c>
      <c r="E57" s="84">
        <f t="shared" si="22"/>
        <v>2.3205E-2</v>
      </c>
      <c r="F57" s="84">
        <f>+'5ta'!G42/1000</f>
        <v>2.3205E-2</v>
      </c>
      <c r="G57" s="84">
        <f t="shared" si="23"/>
        <v>2.3205E-2</v>
      </c>
      <c r="H57" s="84">
        <f>+'5ta'!H42/1000</f>
        <v>2.3205E-2</v>
      </c>
      <c r="I57" s="84">
        <f t="shared" si="24"/>
        <v>5.3520000000000012E-2</v>
      </c>
      <c r="J57" s="84">
        <f>+'5ta'!I42/1000</f>
        <v>8.3835000000000021E-2</v>
      </c>
      <c r="K57" s="84">
        <f t="shared" si="25"/>
        <v>6.1627500000000016E-2</v>
      </c>
      <c r="L57" s="84">
        <f>+'5ta'!J42/1000</f>
        <v>3.9420000000000004E-2</v>
      </c>
      <c r="M57" s="84">
        <f>+'5ta'!K42/1000</f>
        <v>1.7149999999999999E-2</v>
      </c>
      <c r="N57" s="84">
        <f>+'5ta'!L42/1000</f>
        <v>1.7149999999999999E-2</v>
      </c>
      <c r="O57" s="84">
        <f>+'5ta'!M42/1000</f>
        <v>6.93E-2</v>
      </c>
      <c r="P57" s="84">
        <f>+'5ta'!N42/1000</f>
        <v>6.93E-2</v>
      </c>
      <c r="Q57" s="178">
        <f t="shared" si="21"/>
        <v>6.4989892822016282E-2</v>
      </c>
      <c r="R57" s="178">
        <f t="shared" si="21"/>
        <v>6.4512032995216004E-2</v>
      </c>
      <c r="S57" s="178">
        <f t="shared" si="21"/>
        <v>6.4027360717297366E-2</v>
      </c>
      <c r="T57" s="178">
        <f t="shared" si="21"/>
        <v>5.1739306219171888E-2</v>
      </c>
      <c r="U57" s="178">
        <f t="shared" si="21"/>
        <v>6.1609546154236833E-2</v>
      </c>
      <c r="V57" s="178">
        <f t="shared" si="21"/>
        <v>6.1139227560737135E-2</v>
      </c>
      <c r="W57" s="178">
        <f t="shared" si="21"/>
        <v>7.2264497728051533E-2</v>
      </c>
      <c r="X57" s="178">
        <f t="shared" si="21"/>
        <v>6.0225842384815202E-2</v>
      </c>
      <c r="Y57" s="178">
        <f t="shared" si="21"/>
        <v>5.9769149963686277E-2</v>
      </c>
      <c r="Z57" s="178">
        <f t="shared" si="21"/>
        <v>5.9319270572996352E-2</v>
      </c>
      <c r="AA57" s="178">
        <f t="shared" si="21"/>
        <v>5.8869391293405099E-2</v>
      </c>
      <c r="AB57" s="178">
        <f t="shared" si="21"/>
        <v>5.8433137963445701E-2</v>
      </c>
      <c r="AC57" s="178">
        <f t="shared" si="21"/>
        <v>5.7983258905864664E-2</v>
      </c>
    </row>
    <row r="58" spans="1:29" x14ac:dyDescent="0.25">
      <c r="A58" s="192" t="s">
        <v>26</v>
      </c>
      <c r="B58" s="54" t="s">
        <v>5</v>
      </c>
      <c r="C58" s="176">
        <f t="shared" si="20"/>
        <v>6.8808961884979708E-3</v>
      </c>
      <c r="D58" s="84">
        <f>+'5ta'!F43/1000</f>
        <v>0.70913999999999999</v>
      </c>
      <c r="E58" s="84">
        <f t="shared" si="22"/>
        <v>0.70913999999999999</v>
      </c>
      <c r="F58" s="84">
        <f>+'5ta'!G43/1000</f>
        <v>0.70913999999999999</v>
      </c>
      <c r="G58" s="84">
        <f t="shared" si="23"/>
        <v>0.70913999999999999</v>
      </c>
      <c r="H58" s="84">
        <f>+'5ta'!H43/1000</f>
        <v>0.70913999999999999</v>
      </c>
      <c r="I58" s="84">
        <f t="shared" si="24"/>
        <v>0.80933999999999995</v>
      </c>
      <c r="J58" s="84">
        <f>+'5ta'!I43/1000</f>
        <v>0.90954000000000002</v>
      </c>
      <c r="K58" s="84">
        <f t="shared" si="25"/>
        <v>0.94742999999999999</v>
      </c>
      <c r="L58" s="84">
        <f>+'5ta'!J43/1000</f>
        <v>0.98532000000000008</v>
      </c>
      <c r="M58" s="84">
        <f>+'5ta'!K43/1000</f>
        <v>0.71914999999999996</v>
      </c>
      <c r="N58" s="84">
        <f>+'5ta'!L43/1000</f>
        <v>0.71914999999999996</v>
      </c>
      <c r="O58" s="84">
        <f>+'5ta'!M43/1000</f>
        <v>4.8149999999999998E-2</v>
      </c>
      <c r="P58" s="84">
        <f>+'5ta'!N43/1000</f>
        <v>4.8149999999999998E-2</v>
      </c>
      <c r="Q58" s="178">
        <f t="shared" si="21"/>
        <v>4.5155315142569749E-2</v>
      </c>
      <c r="R58" s="178">
        <f t="shared" si="21"/>
        <v>4.4823295652520204E-2</v>
      </c>
      <c r="S58" s="178">
        <f t="shared" si="21"/>
        <v>4.4486542836044266E-2</v>
      </c>
      <c r="T58" s="178">
        <f t="shared" si="21"/>
        <v>3.5948738736697343E-2</v>
      </c>
      <c r="U58" s="178">
        <f t="shared" si="21"/>
        <v>4.2806632717554159E-2</v>
      </c>
      <c r="V58" s="178">
        <f t="shared" si="21"/>
        <v>4.2479852915577099E-2</v>
      </c>
      <c r="W58" s="178">
        <f t="shared" si="21"/>
        <v>5.0209748421438397E-2</v>
      </c>
      <c r="X58" s="178">
        <f t="shared" si="21"/>
        <v>4.1845228150488481E-2</v>
      </c>
      <c r="Y58" s="178">
        <f t="shared" si="21"/>
        <v>4.1527915883859942E-2</v>
      </c>
      <c r="Z58" s="178">
        <f t="shared" si="21"/>
        <v>4.1215337346172783E-2</v>
      </c>
      <c r="AA58" s="178">
        <f t="shared" si="21"/>
        <v>4.0902758885677563E-2</v>
      </c>
      <c r="AB58" s="178">
        <f t="shared" si="21"/>
        <v>4.059964780577071E-2</v>
      </c>
      <c r="AC58" s="178">
        <f t="shared" si="21"/>
        <v>4.0287069499529336E-2</v>
      </c>
    </row>
    <row r="59" spans="1:29" x14ac:dyDescent="0.25">
      <c r="A59" s="192" t="s">
        <v>27</v>
      </c>
      <c r="B59" s="54" t="s">
        <v>5</v>
      </c>
      <c r="C59" s="176">
        <f t="shared" si="20"/>
        <v>3.3529899744699464E-2</v>
      </c>
      <c r="D59" s="84">
        <f>+'5ta'!F44/1000</f>
        <v>0</v>
      </c>
      <c r="E59" s="84">
        <f t="shared" si="22"/>
        <v>0</v>
      </c>
      <c r="F59" s="84">
        <f>+'5ta'!G44/1000</f>
        <v>0</v>
      </c>
      <c r="G59" s="84">
        <f t="shared" si="23"/>
        <v>0</v>
      </c>
      <c r="H59" s="84">
        <f>+'5ta'!H44/1000</f>
        <v>0</v>
      </c>
      <c r="I59" s="84">
        <f t="shared" si="24"/>
        <v>0</v>
      </c>
      <c r="J59" s="84">
        <f>+'5ta'!I44/1000</f>
        <v>0</v>
      </c>
      <c r="K59" s="84">
        <f t="shared" si="25"/>
        <v>0</v>
      </c>
      <c r="L59" s="84">
        <f>+'5ta'!J44/1000</f>
        <v>0</v>
      </c>
      <c r="M59" s="84">
        <f>+'5ta'!K44/1000</f>
        <v>0.55277999999999994</v>
      </c>
      <c r="N59" s="84">
        <f>+'5ta'!L44/1000</f>
        <v>0.55277999999999994</v>
      </c>
      <c r="O59" s="84">
        <f>+'5ta'!M44/1000</f>
        <v>0.23463000000000001</v>
      </c>
      <c r="P59" s="84">
        <f>+'5ta'!N44/1000</f>
        <v>0.23463000000000001</v>
      </c>
      <c r="Q59" s="178">
        <f t="shared" si="21"/>
        <v>0.22003720855454087</v>
      </c>
      <c r="R59" s="178">
        <f t="shared" si="21"/>
        <v>0.21841931171237419</v>
      </c>
      <c r="S59" s="178">
        <f t="shared" si="21"/>
        <v>0.21677834985713537</v>
      </c>
      <c r="T59" s="178">
        <f t="shared" si="21"/>
        <v>0.17517450819919625</v>
      </c>
      <c r="U59" s="178">
        <f t="shared" si="21"/>
        <v>0.20859232055077329</v>
      </c>
      <c r="V59" s="178">
        <f t="shared" si="21"/>
        <v>0.20699995616992431</v>
      </c>
      <c r="W59" s="178">
        <f t="shared" si="21"/>
        <v>0.24466694230783162</v>
      </c>
      <c r="X59" s="178">
        <f t="shared" si="21"/>
        <v>0.20390749493144578</v>
      </c>
      <c r="Y59" s="178">
        <f t="shared" si="21"/>
        <v>0.20236126487705211</v>
      </c>
      <c r="Z59" s="178">
        <f t="shared" si="21"/>
        <v>0.20083810179714479</v>
      </c>
      <c r="AA59" s="178">
        <f t="shared" si="21"/>
        <v>0.19931493909338582</v>
      </c>
      <c r="AB59" s="178">
        <f t="shared" si="21"/>
        <v>0.19783790996195189</v>
      </c>
      <c r="AC59" s="178">
        <f t="shared" si="21"/>
        <v>0.1963147480098561</v>
      </c>
    </row>
    <row r="60" spans="1:29" x14ac:dyDescent="0.25">
      <c r="A60" s="186" t="s">
        <v>28</v>
      </c>
      <c r="B60" s="180" t="s">
        <v>5</v>
      </c>
      <c r="C60" s="180"/>
      <c r="D60" s="84">
        <f>+'5ta'!F45/1000</f>
        <v>0</v>
      </c>
      <c r="E60" s="181">
        <f t="shared" si="22"/>
        <v>0</v>
      </c>
      <c r="F60" s="84">
        <f>+'5ta'!G45/1000</f>
        <v>0</v>
      </c>
      <c r="G60" s="181">
        <f t="shared" si="23"/>
        <v>0</v>
      </c>
      <c r="H60" s="84">
        <f>+'5ta'!H45/1000</f>
        <v>0</v>
      </c>
      <c r="I60" s="181">
        <f t="shared" si="24"/>
        <v>5.4810000000000005E-2</v>
      </c>
      <c r="J60" s="84">
        <f>+'5ta'!I45/1000</f>
        <v>0.10962000000000001</v>
      </c>
      <c r="K60" s="181">
        <f t="shared" si="25"/>
        <v>6.3765000000000002E-2</v>
      </c>
      <c r="L60" s="84">
        <f>+'5ta'!J45/1000</f>
        <v>1.7909999999999999E-2</v>
      </c>
      <c r="M60" s="84">
        <f>+'5ta'!K45/1000</f>
        <v>1.899E-2</v>
      </c>
      <c r="N60" s="84">
        <f>+'5ta'!L45/1000</f>
        <v>1.899E-2</v>
      </c>
      <c r="O60" s="84">
        <f>+'5ta'!M45/1000</f>
        <v>7.1999999999999998E-3</v>
      </c>
      <c r="P60" s="84">
        <f>+'5ta'!N45/1000</f>
        <v>7.1999999999999998E-3</v>
      </c>
      <c r="Q60" s="181">
        <f t="shared" ref="Q60:AC60" si="26">+P60</f>
        <v>7.1999999999999998E-3</v>
      </c>
      <c r="R60" s="181">
        <f t="shared" si="26"/>
        <v>7.1999999999999998E-3</v>
      </c>
      <c r="S60" s="181">
        <f t="shared" si="26"/>
        <v>7.1999999999999998E-3</v>
      </c>
      <c r="T60" s="181">
        <f t="shared" si="26"/>
        <v>7.1999999999999998E-3</v>
      </c>
      <c r="U60" s="181">
        <f t="shared" si="26"/>
        <v>7.1999999999999998E-3</v>
      </c>
      <c r="V60" s="181">
        <f t="shared" si="26"/>
        <v>7.1999999999999998E-3</v>
      </c>
      <c r="W60" s="181">
        <f t="shared" si="26"/>
        <v>7.1999999999999998E-3</v>
      </c>
      <c r="X60" s="181">
        <f t="shared" si="26"/>
        <v>7.1999999999999998E-3</v>
      </c>
      <c r="Y60" s="181">
        <f t="shared" si="26"/>
        <v>7.1999999999999998E-3</v>
      </c>
      <c r="Z60" s="181">
        <f t="shared" si="26"/>
        <v>7.1999999999999998E-3</v>
      </c>
      <c r="AA60" s="181">
        <f t="shared" si="26"/>
        <v>7.1999999999999998E-3</v>
      </c>
      <c r="AB60" s="181">
        <f t="shared" si="26"/>
        <v>7.1999999999999998E-3</v>
      </c>
      <c r="AC60" s="181">
        <f t="shared" si="26"/>
        <v>7.1999999999999998E-3</v>
      </c>
    </row>
    <row r="61" spans="1:29" x14ac:dyDescent="0.25">
      <c r="A61" s="182" t="s">
        <v>19</v>
      </c>
      <c r="B61" s="183" t="s">
        <v>5</v>
      </c>
      <c r="C61" s="183"/>
      <c r="D61" s="84">
        <f>+'5ta'!F46/1000</f>
        <v>7.7390400000000001</v>
      </c>
      <c r="E61" s="184">
        <f t="shared" si="22"/>
        <v>7.7390400000000001</v>
      </c>
      <c r="F61" s="84">
        <f>+'5ta'!G46/1000</f>
        <v>7.7390400000000001</v>
      </c>
      <c r="G61" s="184">
        <f t="shared" si="23"/>
        <v>7.7390400000000001</v>
      </c>
      <c r="H61" s="84">
        <f>+'5ta'!H46/1000</f>
        <v>7.7390400000000001</v>
      </c>
      <c r="I61" s="184">
        <f t="shared" si="24"/>
        <v>7.6357499999999998</v>
      </c>
      <c r="J61" s="84">
        <f>+'5ta'!I46/1000</f>
        <v>7.5324600000000004</v>
      </c>
      <c r="K61" s="184">
        <f t="shared" si="25"/>
        <v>7.93438</v>
      </c>
      <c r="L61" s="84">
        <f>+'5ta'!J46/1000</f>
        <v>8.3362999999999996</v>
      </c>
      <c r="M61" s="84">
        <f>+'5ta'!K46/1000</f>
        <v>7.0826899999999995</v>
      </c>
      <c r="N61" s="84">
        <f>+'5ta'!L46/1000</f>
        <v>7.0826899999999995</v>
      </c>
      <c r="O61" s="84">
        <f>+'5ta'!M46/1000</f>
        <v>1.51169</v>
      </c>
      <c r="P61" s="84">
        <f>+'5ta'!N46/1000</f>
        <v>1.51169</v>
      </c>
      <c r="Q61" s="184">
        <f t="shared" ref="Q61:AC61" si="27">+P61</f>
        <v>1.51169</v>
      </c>
      <c r="R61" s="184">
        <f t="shared" si="27"/>
        <v>1.51169</v>
      </c>
      <c r="S61" s="184">
        <f t="shared" si="27"/>
        <v>1.51169</v>
      </c>
      <c r="T61" s="184">
        <f t="shared" si="27"/>
        <v>1.51169</v>
      </c>
      <c r="U61" s="184">
        <f t="shared" si="27"/>
        <v>1.51169</v>
      </c>
      <c r="V61" s="184">
        <f t="shared" si="27"/>
        <v>1.51169</v>
      </c>
      <c r="W61" s="184">
        <f t="shared" si="27"/>
        <v>1.51169</v>
      </c>
      <c r="X61" s="184">
        <f t="shared" si="27"/>
        <v>1.51169</v>
      </c>
      <c r="Y61" s="184">
        <f t="shared" si="27"/>
        <v>1.51169</v>
      </c>
      <c r="Z61" s="184">
        <f t="shared" si="27"/>
        <v>1.51169</v>
      </c>
      <c r="AA61" s="184">
        <f t="shared" si="27"/>
        <v>1.51169</v>
      </c>
      <c r="AB61" s="184">
        <f t="shared" si="27"/>
        <v>1.51169</v>
      </c>
      <c r="AC61" s="184">
        <f t="shared" si="27"/>
        <v>1.51169</v>
      </c>
    </row>
    <row r="62" spans="1:29" x14ac:dyDescent="0.25">
      <c r="A62" s="182" t="s">
        <v>4</v>
      </c>
      <c r="B62" s="183" t="s">
        <v>5</v>
      </c>
      <c r="C62" s="183"/>
      <c r="D62" s="84">
        <f>+'5ta'!F47/1000</f>
        <v>0.42025499999999999</v>
      </c>
      <c r="E62" s="184">
        <f t="shared" si="22"/>
        <v>0.42025499999999999</v>
      </c>
      <c r="F62" s="84">
        <f>+'5ta'!G47/1000</f>
        <v>0.42025499999999999</v>
      </c>
      <c r="G62" s="184">
        <f t="shared" si="23"/>
        <v>0.42025499999999999</v>
      </c>
      <c r="H62" s="84">
        <f>+'5ta'!H47/1000</f>
        <v>0.42025499999999999</v>
      </c>
      <c r="I62" s="184">
        <f t="shared" si="24"/>
        <v>0.65466250000000004</v>
      </c>
      <c r="J62" s="84">
        <f>+'5ta'!I47/1000</f>
        <v>0.88907000000000003</v>
      </c>
      <c r="K62" s="184">
        <f t="shared" si="25"/>
        <v>0.53034999999999999</v>
      </c>
      <c r="L62" s="84">
        <f>+'5ta'!J47/1000</f>
        <v>0.17163</v>
      </c>
      <c r="M62" s="84">
        <f>+'5ta'!K47/1000</f>
        <v>1.0575899999999998</v>
      </c>
      <c r="N62" s="84">
        <f>+'5ta'!L47/1000</f>
        <v>1.0575899999999998</v>
      </c>
      <c r="O62" s="84">
        <f>+'5ta'!M47/1000</f>
        <v>0.13747999999999999</v>
      </c>
      <c r="P62" s="84">
        <f>+'5ta'!N47/1000</f>
        <v>0.13747999999999999</v>
      </c>
      <c r="Q62" s="184">
        <f t="shared" ref="Q62:AC62" si="28">+P62</f>
        <v>0.13747999999999999</v>
      </c>
      <c r="R62" s="184">
        <f t="shared" si="28"/>
        <v>0.13747999999999999</v>
      </c>
      <c r="S62" s="184">
        <f t="shared" si="28"/>
        <v>0.13747999999999999</v>
      </c>
      <c r="T62" s="184">
        <f t="shared" si="28"/>
        <v>0.13747999999999999</v>
      </c>
      <c r="U62" s="184">
        <f t="shared" si="28"/>
        <v>0.13747999999999999</v>
      </c>
      <c r="V62" s="184">
        <f t="shared" si="28"/>
        <v>0.13747999999999999</v>
      </c>
      <c r="W62" s="184">
        <f t="shared" si="28"/>
        <v>0.13747999999999999</v>
      </c>
      <c r="X62" s="184">
        <f t="shared" si="28"/>
        <v>0.13747999999999999</v>
      </c>
      <c r="Y62" s="184">
        <f t="shared" si="28"/>
        <v>0.13747999999999999</v>
      </c>
      <c r="Z62" s="184">
        <f t="shared" si="28"/>
        <v>0.13747999999999999</v>
      </c>
      <c r="AA62" s="184">
        <f t="shared" si="28"/>
        <v>0.13747999999999999</v>
      </c>
      <c r="AB62" s="184">
        <f t="shared" si="28"/>
        <v>0.13747999999999999</v>
      </c>
      <c r="AC62" s="184">
        <f t="shared" si="28"/>
        <v>0.13747999999999999</v>
      </c>
    </row>
    <row r="63" spans="1:29" x14ac:dyDescent="0.25">
      <c r="A63" s="182" t="s">
        <v>29</v>
      </c>
      <c r="B63" s="183" t="s">
        <v>5</v>
      </c>
      <c r="C63" s="183"/>
      <c r="D63" s="84">
        <f>+'5ta'!F48/1000</f>
        <v>1.8467899999999999</v>
      </c>
      <c r="E63" s="184">
        <f t="shared" si="22"/>
        <v>1.8467899999999999</v>
      </c>
      <c r="F63" s="84">
        <f>+'5ta'!G48/1000</f>
        <v>1.8467899999999999</v>
      </c>
      <c r="G63" s="184">
        <f t="shared" si="23"/>
        <v>1.8467899999999999</v>
      </c>
      <c r="H63" s="84">
        <f>+'5ta'!H48/1000</f>
        <v>1.8467899999999999</v>
      </c>
      <c r="I63" s="184">
        <f t="shared" si="24"/>
        <v>2.7446799999999998</v>
      </c>
      <c r="J63" s="84">
        <f>+'5ta'!I48/1000</f>
        <v>3.6425700000000001</v>
      </c>
      <c r="K63" s="184">
        <f t="shared" si="25"/>
        <v>2.6642049999999999</v>
      </c>
      <c r="L63" s="84">
        <f>+'5ta'!J48/1000</f>
        <v>1.68584</v>
      </c>
      <c r="M63" s="84">
        <f>+'5ta'!K48/1000</f>
        <v>3.3127199999999997</v>
      </c>
      <c r="N63" s="84">
        <f>+'5ta'!L48/1000</f>
        <v>3.3127199999999997</v>
      </c>
      <c r="O63" s="84">
        <f>+'5ta'!M48/1000</f>
        <v>0.21803</v>
      </c>
      <c r="P63" s="84">
        <f>+'5ta'!N48/1000</f>
        <v>0.21803</v>
      </c>
      <c r="Q63" s="184">
        <f t="shared" ref="Q63:AC63" si="29">+P63</f>
        <v>0.21803</v>
      </c>
      <c r="R63" s="184">
        <f t="shared" si="29"/>
        <v>0.21803</v>
      </c>
      <c r="S63" s="184">
        <f t="shared" si="29"/>
        <v>0.21803</v>
      </c>
      <c r="T63" s="184">
        <f t="shared" si="29"/>
        <v>0.21803</v>
      </c>
      <c r="U63" s="184">
        <f t="shared" si="29"/>
        <v>0.21803</v>
      </c>
      <c r="V63" s="184">
        <f t="shared" si="29"/>
        <v>0.21803</v>
      </c>
      <c r="W63" s="184">
        <f t="shared" si="29"/>
        <v>0.21803</v>
      </c>
      <c r="X63" s="184">
        <f t="shared" si="29"/>
        <v>0.21803</v>
      </c>
      <c r="Y63" s="184">
        <f t="shared" si="29"/>
        <v>0.21803</v>
      </c>
      <c r="Z63" s="184">
        <f t="shared" si="29"/>
        <v>0.21803</v>
      </c>
      <c r="AA63" s="184">
        <f t="shared" si="29"/>
        <v>0.21803</v>
      </c>
      <c r="AB63" s="184">
        <f t="shared" si="29"/>
        <v>0.21803</v>
      </c>
      <c r="AC63" s="184">
        <f t="shared" si="29"/>
        <v>0.21803</v>
      </c>
    </row>
    <row r="64" spans="1:29" x14ac:dyDescent="0.25">
      <c r="A64" s="187"/>
      <c r="B64" s="188"/>
      <c r="C64" s="174">
        <f>+SUM(P$65:P$73)/(SUM(P$22:P$30)+SUM(P$37:P$45)+SUM(P$51:P$59)+SUM(P$65:P$73)+SUM(P$80:P$88))</f>
        <v>2.1829950124121953E-2</v>
      </c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</row>
    <row r="65" spans="1:29" x14ac:dyDescent="0.25">
      <c r="A65" s="86" t="s">
        <v>18</v>
      </c>
      <c r="B65" s="54" t="s">
        <v>6</v>
      </c>
      <c r="C65" s="176">
        <f t="shared" ref="C65:C73" si="30">+P65/SUM(P$65:P$73)</f>
        <v>0</v>
      </c>
      <c r="D65" s="60">
        <f>+'5ta'!F51/1000</f>
        <v>0</v>
      </c>
      <c r="E65" s="84">
        <f>+(D65+F65)/2</f>
        <v>0</v>
      </c>
      <c r="F65" s="60">
        <f>+'5ta'!G51/1000</f>
        <v>0</v>
      </c>
      <c r="G65" s="84">
        <f>+(F65+H65)/2</f>
        <v>0</v>
      </c>
      <c r="H65" s="60">
        <f>+'5ta'!H51/1000</f>
        <v>0</v>
      </c>
      <c r="I65" s="84">
        <f>+(H65+J65)/2</f>
        <v>0</v>
      </c>
      <c r="J65" s="60">
        <f>+'5ta'!I51/1000</f>
        <v>0</v>
      </c>
      <c r="K65" s="84">
        <f>+(J65+L65)/2</f>
        <v>5.1974999999999999E-3</v>
      </c>
      <c r="L65" s="60">
        <f>+'5ta'!J51/1000</f>
        <v>1.0395E-2</v>
      </c>
      <c r="M65" s="60">
        <f>+'5ta'!K51/1000</f>
        <v>7.5199999999999998E-3</v>
      </c>
      <c r="N65" s="60">
        <f>+'5ta'!L51/1000</f>
        <v>7.5199999999999998E-3</v>
      </c>
      <c r="O65" s="60">
        <f>+'5ta'!M51/1000</f>
        <v>0</v>
      </c>
      <c r="P65" s="60">
        <f>+'5ta'!N51/1000</f>
        <v>0</v>
      </c>
      <c r="Q65" s="178">
        <f t="shared" ref="Q65:AC73" si="31">+Q$21*$C$64*$C65</f>
        <v>0</v>
      </c>
      <c r="R65" s="178">
        <f t="shared" si="31"/>
        <v>0</v>
      </c>
      <c r="S65" s="178">
        <f t="shared" si="31"/>
        <v>0</v>
      </c>
      <c r="T65" s="178">
        <f t="shared" si="31"/>
        <v>0</v>
      </c>
      <c r="U65" s="178">
        <f t="shared" si="31"/>
        <v>0</v>
      </c>
      <c r="V65" s="178">
        <f t="shared" si="31"/>
        <v>0</v>
      </c>
      <c r="W65" s="178">
        <f t="shared" si="31"/>
        <v>0</v>
      </c>
      <c r="X65" s="178">
        <f t="shared" si="31"/>
        <v>0</v>
      </c>
      <c r="Y65" s="178">
        <f t="shared" si="31"/>
        <v>0</v>
      </c>
      <c r="Z65" s="178">
        <f t="shared" si="31"/>
        <v>0</v>
      </c>
      <c r="AA65" s="178">
        <f t="shared" si="31"/>
        <v>0</v>
      </c>
      <c r="AB65" s="178">
        <f t="shared" si="31"/>
        <v>0</v>
      </c>
      <c r="AC65" s="178">
        <f t="shared" si="31"/>
        <v>0</v>
      </c>
    </row>
    <row r="66" spans="1:29" x14ac:dyDescent="0.25">
      <c r="A66" s="86" t="s">
        <v>20</v>
      </c>
      <c r="B66" s="54" t="s">
        <v>6</v>
      </c>
      <c r="C66" s="176">
        <f t="shared" si="30"/>
        <v>0.36139895789705972</v>
      </c>
      <c r="D66" s="60">
        <f>+'5ta'!F52/1000</f>
        <v>0.39</v>
      </c>
      <c r="E66" s="84">
        <f t="shared" ref="E66:E78" si="32">+(D66+F66)/2</f>
        <v>0.39</v>
      </c>
      <c r="F66" s="60">
        <f>+'5ta'!G52/1000</f>
        <v>0.39</v>
      </c>
      <c r="G66" s="84">
        <f t="shared" ref="G66:G78" si="33">+(F66+H66)/2</f>
        <v>0.39</v>
      </c>
      <c r="H66" s="60">
        <f>+'5ta'!H52/1000</f>
        <v>0.39</v>
      </c>
      <c r="I66" s="84">
        <f t="shared" ref="I66:I78" si="34">+(H66+J66)/2</f>
        <v>0.23250750000000001</v>
      </c>
      <c r="J66" s="60">
        <f>+'5ta'!I52/1000</f>
        <v>7.5014999999999998E-2</v>
      </c>
      <c r="K66" s="84">
        <f t="shared" ref="K66:K78" si="35">+(J66+L66)/2</f>
        <v>7.5240000000000001E-2</v>
      </c>
      <c r="L66" s="60">
        <f>+'5ta'!J52/1000</f>
        <v>7.5465000000000004E-2</v>
      </c>
      <c r="M66" s="60">
        <f>+'5ta'!K52/1000</f>
        <v>0.52766999999999997</v>
      </c>
      <c r="N66" s="60">
        <f>+'5ta'!L52/1000</f>
        <v>0.52766999999999997</v>
      </c>
      <c r="O66" s="60">
        <f>+'5ta'!M52/1000</f>
        <v>0.80249000000000004</v>
      </c>
      <c r="P66" s="60">
        <f>+'5ta'!N52/1000</f>
        <v>0.80249000000000004</v>
      </c>
      <c r="Q66" s="178">
        <f t="shared" si="31"/>
        <v>0.75257920765858377</v>
      </c>
      <c r="R66" s="178">
        <f t="shared" si="31"/>
        <v>0.74704561844633321</v>
      </c>
      <c r="S66" s="178">
        <f t="shared" si="31"/>
        <v>0.74143314144334727</v>
      </c>
      <c r="T66" s="178">
        <f t="shared" si="31"/>
        <v>0.59913817962226912</v>
      </c>
      <c r="U66" s="178">
        <f t="shared" si="31"/>
        <v>0.71343498835950236</v>
      </c>
      <c r="V66" s="178">
        <f t="shared" si="31"/>
        <v>0.70798872619359232</v>
      </c>
      <c r="W66" s="178">
        <f t="shared" si="31"/>
        <v>0.83681871257985685</v>
      </c>
      <c r="X66" s="178">
        <f t="shared" si="31"/>
        <v>0.69741177857706138</v>
      </c>
      <c r="Y66" s="178">
        <f t="shared" si="31"/>
        <v>0.69212330670070121</v>
      </c>
      <c r="Z66" s="178">
        <f t="shared" si="31"/>
        <v>0.68691372932357631</v>
      </c>
      <c r="AA66" s="178">
        <f t="shared" si="31"/>
        <v>0.68170415323296762</v>
      </c>
      <c r="AB66" s="178">
        <f t="shared" si="31"/>
        <v>0.67665236485260527</v>
      </c>
      <c r="AC66" s="178">
        <f t="shared" si="31"/>
        <v>0.671442791332862</v>
      </c>
    </row>
    <row r="67" spans="1:29" x14ac:dyDescent="0.25">
      <c r="A67" s="86" t="s">
        <v>21</v>
      </c>
      <c r="B67" s="54" t="s">
        <v>6</v>
      </c>
      <c r="C67" s="176">
        <f t="shared" si="30"/>
        <v>5.5590832736623567E-2</v>
      </c>
      <c r="D67" s="60">
        <f>+'5ta'!F53/1000</f>
        <v>4.2464999999999996E-2</v>
      </c>
      <c r="E67" s="84">
        <f t="shared" si="32"/>
        <v>4.2464999999999996E-2</v>
      </c>
      <c r="F67" s="60">
        <f>+'5ta'!G53/1000</f>
        <v>4.2464999999999996E-2</v>
      </c>
      <c r="G67" s="84">
        <f t="shared" si="33"/>
        <v>4.2464999999999996E-2</v>
      </c>
      <c r="H67" s="60">
        <f>+'5ta'!H53/1000</f>
        <v>4.2464999999999996E-2</v>
      </c>
      <c r="I67" s="84">
        <f t="shared" si="34"/>
        <v>5.4824999999999999E-2</v>
      </c>
      <c r="J67" s="60">
        <f>+'5ta'!I53/1000</f>
        <v>6.7185000000000009E-2</v>
      </c>
      <c r="K67" s="84">
        <f t="shared" si="35"/>
        <v>8.9032500000000001E-2</v>
      </c>
      <c r="L67" s="60">
        <f>+'5ta'!J53/1000</f>
        <v>0.11087999999999999</v>
      </c>
      <c r="M67" s="60">
        <f>+'5ta'!K53/1000</f>
        <v>5.9400000000000001E-2</v>
      </c>
      <c r="N67" s="60">
        <f>+'5ta'!L53/1000</f>
        <v>5.9400000000000001E-2</v>
      </c>
      <c r="O67" s="60">
        <f>+'5ta'!M53/1000</f>
        <v>0.12343999999999999</v>
      </c>
      <c r="P67" s="60">
        <f>+'5ta'!N53/1000</f>
        <v>0.12343999999999999</v>
      </c>
      <c r="Q67" s="178">
        <f t="shared" si="31"/>
        <v>0.11576266046103449</v>
      </c>
      <c r="R67" s="178">
        <f t="shared" si="31"/>
        <v>0.11491147695424909</v>
      </c>
      <c r="S67" s="178">
        <f t="shared" si="31"/>
        <v>0.11404815883034901</v>
      </c>
      <c r="T67" s="178">
        <f t="shared" si="31"/>
        <v>9.2160172578565319E-2</v>
      </c>
      <c r="U67" s="178">
        <f t="shared" si="31"/>
        <v>0.10974144844558432</v>
      </c>
      <c r="V67" s="178">
        <f t="shared" si="31"/>
        <v>0.10890369769260305</v>
      </c>
      <c r="W67" s="178">
        <f t="shared" si="31"/>
        <v>0.12872048484200116</v>
      </c>
      <c r="X67" s="178">
        <f t="shared" si="31"/>
        <v>0.1072767385855929</v>
      </c>
      <c r="Y67" s="178">
        <f t="shared" si="31"/>
        <v>0.10646325932925588</v>
      </c>
      <c r="Z67" s="178">
        <f t="shared" si="31"/>
        <v>0.10566191572194326</v>
      </c>
      <c r="AA67" s="178">
        <f t="shared" si="31"/>
        <v>0.10486057231252416</v>
      </c>
      <c r="AB67" s="178">
        <f t="shared" si="31"/>
        <v>0.10408350000299765</v>
      </c>
      <c r="AC67" s="178">
        <f t="shared" si="31"/>
        <v>0.10328215698903223</v>
      </c>
    </row>
    <row r="68" spans="1:29" x14ac:dyDescent="0.25">
      <c r="A68" s="86" t="s">
        <v>22</v>
      </c>
      <c r="B68" s="54" t="s">
        <v>6</v>
      </c>
      <c r="C68" s="176">
        <f t="shared" si="30"/>
        <v>6.2400079261070648E-2</v>
      </c>
      <c r="D68" s="60">
        <f>+'5ta'!F54/1000</f>
        <v>5.1254999999999995E-2</v>
      </c>
      <c r="E68" s="84">
        <f t="shared" si="32"/>
        <v>5.1254999999999995E-2</v>
      </c>
      <c r="F68" s="60">
        <f>+'5ta'!G54/1000</f>
        <v>5.1254999999999995E-2</v>
      </c>
      <c r="G68" s="84">
        <f t="shared" si="33"/>
        <v>5.1254999999999995E-2</v>
      </c>
      <c r="H68" s="60">
        <f>+'5ta'!H54/1000</f>
        <v>5.1254999999999995E-2</v>
      </c>
      <c r="I68" s="84">
        <f t="shared" si="34"/>
        <v>4.895999999999999E-2</v>
      </c>
      <c r="J68" s="60">
        <f>+'5ta'!I54/1000</f>
        <v>4.6664999999999991E-2</v>
      </c>
      <c r="K68" s="84">
        <f t="shared" si="35"/>
        <v>6.1717499999999995E-2</v>
      </c>
      <c r="L68" s="60">
        <f>+'5ta'!J54/1000</f>
        <v>7.6769999999999991E-2</v>
      </c>
      <c r="M68" s="60">
        <f>+'5ta'!K54/1000</f>
        <v>9.9449999999999997E-2</v>
      </c>
      <c r="N68" s="60">
        <f>+'5ta'!L54/1000</f>
        <v>9.9449999999999997E-2</v>
      </c>
      <c r="O68" s="60">
        <f>+'5ta'!M54/1000</f>
        <v>0.13855999999999999</v>
      </c>
      <c r="P68" s="60">
        <f>+'5ta'!N54/1000</f>
        <v>0.13855999999999999</v>
      </c>
      <c r="Q68" s="178">
        <f t="shared" si="31"/>
        <v>0.12994227344038348</v>
      </c>
      <c r="R68" s="178">
        <f t="shared" si="31"/>
        <v>0.12898682960775076</v>
      </c>
      <c r="S68" s="178">
        <f t="shared" si="31"/>
        <v>0.12801776480503205</v>
      </c>
      <c r="T68" s="178">
        <f t="shared" si="31"/>
        <v>0.10344874848093009</v>
      </c>
      <c r="U68" s="178">
        <f t="shared" si="31"/>
        <v>0.12318353124287235</v>
      </c>
      <c r="V68" s="178">
        <f t="shared" si="31"/>
        <v>0.12224316552403659</v>
      </c>
      <c r="W68" s="178">
        <f t="shared" si="31"/>
        <v>0.14448728434630329</v>
      </c>
      <c r="X68" s="178">
        <f t="shared" si="31"/>
        <v>0.12041692237864349</v>
      </c>
      <c r="Y68" s="178">
        <f t="shared" si="31"/>
        <v>0.1195038011395147</v>
      </c>
      <c r="Z68" s="178">
        <f t="shared" si="31"/>
        <v>0.11860430202877882</v>
      </c>
      <c r="AA68" s="178">
        <f t="shared" si="31"/>
        <v>0.11770480314017617</v>
      </c>
      <c r="AB68" s="178">
        <f t="shared" si="31"/>
        <v>0.11683254828593125</v>
      </c>
      <c r="AC68" s="178">
        <f t="shared" si="31"/>
        <v>0.11593304984122087</v>
      </c>
    </row>
    <row r="69" spans="1:29" x14ac:dyDescent="0.25">
      <c r="A69" s="86" t="s">
        <v>23</v>
      </c>
      <c r="B69" s="54" t="s">
        <v>6</v>
      </c>
      <c r="C69" s="176">
        <f t="shared" si="30"/>
        <v>2.4318737587311024E-4</v>
      </c>
      <c r="D69" s="60">
        <f>+'5ta'!F55/1000</f>
        <v>1.806E-2</v>
      </c>
      <c r="E69" s="84">
        <f t="shared" si="32"/>
        <v>1.806E-2</v>
      </c>
      <c r="F69" s="60">
        <f>+'5ta'!G55/1000</f>
        <v>1.806E-2</v>
      </c>
      <c r="G69" s="84">
        <f t="shared" si="33"/>
        <v>1.806E-2</v>
      </c>
      <c r="H69" s="60">
        <f>+'5ta'!H55/1000</f>
        <v>1.806E-2</v>
      </c>
      <c r="I69" s="84">
        <f t="shared" si="34"/>
        <v>2.1292499999999999E-2</v>
      </c>
      <c r="J69" s="60">
        <f>+'5ta'!I55/1000</f>
        <v>2.4525000000000002E-2</v>
      </c>
      <c r="K69" s="84">
        <f t="shared" si="35"/>
        <v>2.8170000000000001E-2</v>
      </c>
      <c r="L69" s="60">
        <f>+'5ta'!J55/1000</f>
        <v>3.1814999999999996E-2</v>
      </c>
      <c r="M69" s="60">
        <f>+'5ta'!K55/1000</f>
        <v>3.9649999999999998E-2</v>
      </c>
      <c r="N69" s="60">
        <f>+'5ta'!L55/1000</f>
        <v>3.9649999999999998E-2</v>
      </c>
      <c r="O69" s="60">
        <f>+'5ta'!M55/1000</f>
        <v>5.4000000000000001E-4</v>
      </c>
      <c r="P69" s="60">
        <f>+'5ta'!N55/1000</f>
        <v>5.4000000000000001E-4</v>
      </c>
      <c r="Q69" s="178">
        <f t="shared" si="31"/>
        <v>5.0641474926246452E-4</v>
      </c>
      <c r="R69" s="178">
        <f t="shared" si="31"/>
        <v>5.0269116619648831E-4</v>
      </c>
      <c r="S69" s="178">
        <f t="shared" si="31"/>
        <v>4.9891449909582363E-4</v>
      </c>
      <c r="T69" s="178">
        <f t="shared" si="31"/>
        <v>4.0316342508445624E-4</v>
      </c>
      <c r="U69" s="178">
        <f t="shared" si="31"/>
        <v>4.8007438561742985E-4</v>
      </c>
      <c r="V69" s="178">
        <f t="shared" si="31"/>
        <v>4.7640956540834131E-4</v>
      </c>
      <c r="W69" s="178">
        <f t="shared" si="31"/>
        <v>5.6309998229650538E-4</v>
      </c>
      <c r="X69" s="178">
        <f t="shared" si="31"/>
        <v>4.6929227832323534E-4</v>
      </c>
      <c r="Y69" s="178">
        <f t="shared" si="31"/>
        <v>4.657336360806722E-4</v>
      </c>
      <c r="Z69" s="178">
        <f t="shared" si="31"/>
        <v>4.6222808238698452E-4</v>
      </c>
      <c r="AA69" s="178">
        <f t="shared" si="31"/>
        <v>4.5872252955900071E-4</v>
      </c>
      <c r="AB69" s="178">
        <f t="shared" si="31"/>
        <v>4.5532315296191456E-4</v>
      </c>
      <c r="AC69" s="178">
        <f t="shared" si="31"/>
        <v>4.5181760186388049E-4</v>
      </c>
    </row>
    <row r="70" spans="1:29" ht="22.5" x14ac:dyDescent="0.25">
      <c r="A70" s="86" t="s">
        <v>24</v>
      </c>
      <c r="B70" s="54" t="s">
        <v>6</v>
      </c>
      <c r="C70" s="176">
        <f t="shared" si="30"/>
        <v>0.38819010047241398</v>
      </c>
      <c r="D70" s="60">
        <f>+'5ta'!F56/1000</f>
        <v>0.10255500000000001</v>
      </c>
      <c r="E70" s="84">
        <f t="shared" si="32"/>
        <v>0.10255500000000001</v>
      </c>
      <c r="F70" s="60">
        <f>+'5ta'!G56/1000</f>
        <v>0.10255500000000001</v>
      </c>
      <c r="G70" s="84">
        <f t="shared" si="33"/>
        <v>0.10255500000000001</v>
      </c>
      <c r="H70" s="60">
        <f>+'5ta'!H56/1000</f>
        <v>0.10255500000000001</v>
      </c>
      <c r="I70" s="84">
        <f t="shared" si="34"/>
        <v>0.107235</v>
      </c>
      <c r="J70" s="60">
        <f>+'5ta'!I56/1000</f>
        <v>0.111915</v>
      </c>
      <c r="K70" s="84">
        <f t="shared" si="35"/>
        <v>0.15797249999999999</v>
      </c>
      <c r="L70" s="60">
        <f>+'5ta'!J56/1000</f>
        <v>0.20402999999999999</v>
      </c>
      <c r="M70" s="60">
        <f>+'5ta'!K56/1000</f>
        <v>0.30074000000000001</v>
      </c>
      <c r="N70" s="60">
        <f>+'5ta'!L56/1000</f>
        <v>0.30074000000000001</v>
      </c>
      <c r="O70" s="60">
        <f>+'5ta'!M56/1000</f>
        <v>0.86197999999999997</v>
      </c>
      <c r="P70" s="60">
        <f>+'5ta'!N56/1000</f>
        <v>0.86197999999999997</v>
      </c>
      <c r="Q70" s="178">
        <f t="shared" si="31"/>
        <v>0.80836923253566517</v>
      </c>
      <c r="R70" s="178">
        <f t="shared" si="31"/>
        <v>0.80242542858897947</v>
      </c>
      <c r="S70" s="178">
        <f t="shared" si="31"/>
        <v>0.79639688876040371</v>
      </c>
      <c r="T70" s="178">
        <f t="shared" si="31"/>
        <v>0.6435533502857399</v>
      </c>
      <c r="U70" s="178">
        <f t="shared" si="31"/>
        <v>0.76632318317502246</v>
      </c>
      <c r="V70" s="178">
        <f t="shared" si="31"/>
        <v>0.76047317998274444</v>
      </c>
      <c r="W70" s="178">
        <f t="shared" si="31"/>
        <v>0.89885356062952171</v>
      </c>
      <c r="X70" s="178">
        <f t="shared" si="31"/>
        <v>0.74911214457233777</v>
      </c>
      <c r="Y70" s="178">
        <f t="shared" si="31"/>
        <v>0.74343162894225523</v>
      </c>
      <c r="Z70" s="178">
        <f t="shared" si="31"/>
        <v>0.7378358563998757</v>
      </c>
      <c r="AA70" s="178">
        <f t="shared" si="31"/>
        <v>0.73224008523938411</v>
      </c>
      <c r="AB70" s="178">
        <f t="shared" si="31"/>
        <v>0.72681379887057607</v>
      </c>
      <c r="AC70" s="178">
        <f t="shared" si="31"/>
        <v>0.72121803047153266</v>
      </c>
    </row>
    <row r="71" spans="1:29" x14ac:dyDescent="0.25">
      <c r="A71" s="86" t="s">
        <v>25</v>
      </c>
      <c r="B71" s="54" t="s">
        <v>6</v>
      </c>
      <c r="C71" s="176">
        <f t="shared" si="30"/>
        <v>9.0771939779600172E-2</v>
      </c>
      <c r="D71" s="60">
        <f>+'5ta'!F57/1000</f>
        <v>3.0825000000000002E-2</v>
      </c>
      <c r="E71" s="84">
        <f t="shared" si="32"/>
        <v>3.0825000000000002E-2</v>
      </c>
      <c r="F71" s="60">
        <f>+'5ta'!G57/1000</f>
        <v>3.0825000000000002E-2</v>
      </c>
      <c r="G71" s="84">
        <f t="shared" si="33"/>
        <v>3.0825000000000002E-2</v>
      </c>
      <c r="H71" s="60">
        <f>+'5ta'!H57/1000</f>
        <v>3.0825000000000002E-2</v>
      </c>
      <c r="I71" s="84">
        <f t="shared" si="34"/>
        <v>2.2770000000000002E-2</v>
      </c>
      <c r="J71" s="60">
        <f>+'5ta'!I57/1000</f>
        <v>1.4715000000000001E-2</v>
      </c>
      <c r="K71" s="84">
        <f t="shared" si="35"/>
        <v>1.8090000000000002E-2</v>
      </c>
      <c r="L71" s="60">
        <f>+'5ta'!J57/1000</f>
        <v>2.1465000000000001E-2</v>
      </c>
      <c r="M71" s="60">
        <f>+'5ta'!K57/1000</f>
        <v>3.3979999999999996E-2</v>
      </c>
      <c r="N71" s="60">
        <f>+'5ta'!L57/1000</f>
        <v>3.3979999999999996E-2</v>
      </c>
      <c r="O71" s="60">
        <f>+'5ta'!M57/1000</f>
        <v>0.20155999999999999</v>
      </c>
      <c r="P71" s="60">
        <f>+'5ta'!N57/1000</f>
        <v>0.20155999999999999</v>
      </c>
      <c r="Q71" s="178">
        <f t="shared" si="31"/>
        <v>0.18902399418767102</v>
      </c>
      <c r="R71" s="178">
        <f t="shared" si="31"/>
        <v>0.18763413233067439</v>
      </c>
      <c r="S71" s="178">
        <f t="shared" si="31"/>
        <v>0.18622445636621146</v>
      </c>
      <c r="T71" s="178">
        <f t="shared" si="31"/>
        <v>0.15048448140744997</v>
      </c>
      <c r="U71" s="178">
        <f t="shared" si="31"/>
        <v>0.17919220956490581</v>
      </c>
      <c r="V71" s="178">
        <f t="shared" si="31"/>
        <v>0.17782428148834306</v>
      </c>
      <c r="W71" s="178">
        <f t="shared" si="31"/>
        <v>0.21018228228089558</v>
      </c>
      <c r="X71" s="178">
        <f t="shared" si="31"/>
        <v>0.17516768818302092</v>
      </c>
      <c r="Y71" s="178">
        <f t="shared" si="31"/>
        <v>0.17383939201559312</v>
      </c>
      <c r="Z71" s="178">
        <f t="shared" si="31"/>
        <v>0.17253091164059367</v>
      </c>
      <c r="AA71" s="178">
        <f t="shared" si="31"/>
        <v>0.17122243158872624</v>
      </c>
      <c r="AB71" s="178">
        <f t="shared" si="31"/>
        <v>0.16995358279815462</v>
      </c>
      <c r="AC71" s="178">
        <f t="shared" si="31"/>
        <v>0.16864510339200692</v>
      </c>
    </row>
    <row r="72" spans="1:29" x14ac:dyDescent="0.25">
      <c r="A72" s="86" t="s">
        <v>26</v>
      </c>
      <c r="B72" s="54" t="s">
        <v>6</v>
      </c>
      <c r="C72" s="176">
        <f t="shared" si="30"/>
        <v>3.5446811768467597E-2</v>
      </c>
      <c r="D72" s="60">
        <f>+'5ta'!F58/1000</f>
        <v>3.363E-2</v>
      </c>
      <c r="E72" s="84">
        <f t="shared" si="32"/>
        <v>3.363E-2</v>
      </c>
      <c r="F72" s="60">
        <f>+'5ta'!G58/1000</f>
        <v>3.363E-2</v>
      </c>
      <c r="G72" s="84">
        <f t="shared" si="33"/>
        <v>3.363E-2</v>
      </c>
      <c r="H72" s="60">
        <f>+'5ta'!H58/1000</f>
        <v>3.363E-2</v>
      </c>
      <c r="I72" s="84">
        <f t="shared" si="34"/>
        <v>2.08425E-2</v>
      </c>
      <c r="J72" s="60">
        <f>+'5ta'!I58/1000</f>
        <v>8.0549999999999997E-3</v>
      </c>
      <c r="K72" s="84">
        <f t="shared" si="35"/>
        <v>1.16775E-2</v>
      </c>
      <c r="L72" s="60">
        <f>+'5ta'!J58/1000</f>
        <v>1.5300000000000001E-2</v>
      </c>
      <c r="M72" s="60">
        <f>+'5ta'!K58/1000</f>
        <v>2.2107199999999998</v>
      </c>
      <c r="N72" s="60">
        <f>+'5ta'!L58/1000</f>
        <v>2.2107199999999998</v>
      </c>
      <c r="O72" s="60">
        <f>+'5ta'!M58/1000</f>
        <v>7.8709999999999988E-2</v>
      </c>
      <c r="P72" s="60">
        <f>+'5ta'!N58/1000</f>
        <v>7.8709999999999988E-2</v>
      </c>
      <c r="Q72" s="178">
        <f t="shared" si="31"/>
        <v>7.3814638730460333E-2</v>
      </c>
      <c r="R72" s="178">
        <f t="shared" si="31"/>
        <v>7.3271892020973298E-2</v>
      </c>
      <c r="S72" s="178">
        <f t="shared" si="31"/>
        <v>7.272140782191161E-2</v>
      </c>
      <c r="T72" s="178">
        <f t="shared" si="31"/>
        <v>5.8764802200736189E-2</v>
      </c>
      <c r="U72" s="178">
        <f t="shared" si="31"/>
        <v>6.9975286836940542E-2</v>
      </c>
      <c r="V72" s="178">
        <f t="shared" si="31"/>
        <v>6.9441105357945426E-2</v>
      </c>
      <c r="W72" s="178">
        <f t="shared" si="31"/>
        <v>8.2077036308440612E-2</v>
      </c>
      <c r="X72" s="178">
        <f t="shared" si="31"/>
        <v>6.8403694864484901E-2</v>
      </c>
      <c r="Y72" s="178">
        <f t="shared" si="31"/>
        <v>6.7884989807240184E-2</v>
      </c>
      <c r="Z72" s="178">
        <f t="shared" si="31"/>
        <v>6.7374022897554703E-2</v>
      </c>
      <c r="AA72" s="178">
        <f t="shared" si="31"/>
        <v>6.686305611405359E-2</v>
      </c>
      <c r="AB72" s="178">
        <f t="shared" si="31"/>
        <v>6.6367565499319048E-2</v>
      </c>
      <c r="AC72" s="178">
        <f t="shared" si="31"/>
        <v>6.585659896797412E-2</v>
      </c>
    </row>
    <row r="73" spans="1:29" x14ac:dyDescent="0.25">
      <c r="A73" s="86" t="s">
        <v>27</v>
      </c>
      <c r="B73" s="54" t="s">
        <v>6</v>
      </c>
      <c r="C73" s="176">
        <f t="shared" si="30"/>
        <v>5.958090708891201E-3</v>
      </c>
      <c r="D73" s="60">
        <f>+'5ta'!F59/1000</f>
        <v>1.83E-3</v>
      </c>
      <c r="E73" s="84">
        <f t="shared" si="32"/>
        <v>1.83E-3</v>
      </c>
      <c r="F73" s="60">
        <f>+'5ta'!G59/1000</f>
        <v>1.83E-3</v>
      </c>
      <c r="G73" s="84">
        <f t="shared" si="33"/>
        <v>1.83E-3</v>
      </c>
      <c r="H73" s="60">
        <f>+'5ta'!H59/1000</f>
        <v>1.83E-3</v>
      </c>
      <c r="I73" s="84">
        <f t="shared" si="34"/>
        <v>2.5799999999999998E-3</v>
      </c>
      <c r="J73" s="60">
        <f>+'5ta'!I59/1000</f>
        <v>3.3300000000000001E-3</v>
      </c>
      <c r="K73" s="84">
        <f t="shared" si="35"/>
        <v>4.6575000000000002E-3</v>
      </c>
      <c r="L73" s="60">
        <f>+'5ta'!J59/1000</f>
        <v>5.9850000000000007E-3</v>
      </c>
      <c r="M73" s="60">
        <f>+'5ta'!K59/1000</f>
        <v>6.5300000000000002E-3</v>
      </c>
      <c r="N73" s="60">
        <f>+'5ta'!L59/1000</f>
        <v>6.5300000000000002E-3</v>
      </c>
      <c r="O73" s="60">
        <f>+'5ta'!M59/1000</f>
        <v>1.323E-2</v>
      </c>
      <c r="P73" s="60">
        <f>+'5ta'!N59/1000</f>
        <v>1.323E-2</v>
      </c>
      <c r="Q73" s="178">
        <f t="shared" si="31"/>
        <v>1.2407161356930383E-2</v>
      </c>
      <c r="R73" s="178">
        <f t="shared" si="31"/>
        <v>1.2315933571813964E-2</v>
      </c>
      <c r="S73" s="178">
        <f t="shared" si="31"/>
        <v>1.222340522784768E-2</v>
      </c>
      <c r="T73" s="178">
        <f t="shared" si="31"/>
        <v>9.8775039145691784E-3</v>
      </c>
      <c r="U73" s="178">
        <f t="shared" si="31"/>
        <v>1.1761822447627031E-2</v>
      </c>
      <c r="V73" s="178">
        <f t="shared" si="31"/>
        <v>1.1672034352504362E-2</v>
      </c>
      <c r="W73" s="178">
        <f t="shared" si="31"/>
        <v>1.3795949566264383E-2</v>
      </c>
      <c r="X73" s="178">
        <f t="shared" si="31"/>
        <v>1.1497660818919266E-2</v>
      </c>
      <c r="Y73" s="178">
        <f t="shared" si="31"/>
        <v>1.141047408397647E-2</v>
      </c>
      <c r="Z73" s="178">
        <f t="shared" si="31"/>
        <v>1.1324588018481121E-2</v>
      </c>
      <c r="AA73" s="178">
        <f t="shared" si="31"/>
        <v>1.1238701974195518E-2</v>
      </c>
      <c r="AB73" s="178">
        <f t="shared" si="31"/>
        <v>1.1155417247566907E-2</v>
      </c>
      <c r="AC73" s="178">
        <f t="shared" si="31"/>
        <v>1.1069531245665072E-2</v>
      </c>
    </row>
    <row r="74" spans="1:29" x14ac:dyDescent="0.25">
      <c r="A74" s="186" t="s">
        <v>28</v>
      </c>
      <c r="B74" s="180" t="s">
        <v>6</v>
      </c>
      <c r="C74" s="180"/>
      <c r="D74" s="60">
        <f>+'5ta'!F60/1000</f>
        <v>2.0579999999999998E-2</v>
      </c>
      <c r="E74" s="181">
        <f t="shared" si="32"/>
        <v>2.0579999999999998E-2</v>
      </c>
      <c r="F74" s="60">
        <f>+'5ta'!G60/1000</f>
        <v>2.0579999999999998E-2</v>
      </c>
      <c r="G74" s="181">
        <f t="shared" si="33"/>
        <v>2.0579999999999998E-2</v>
      </c>
      <c r="H74" s="60">
        <f>+'5ta'!H60/1000</f>
        <v>2.0579999999999998E-2</v>
      </c>
      <c r="I74" s="181">
        <f t="shared" si="34"/>
        <v>4.4920000000000002E-2</v>
      </c>
      <c r="J74" s="60">
        <f>+'5ta'!I60/1000</f>
        <v>6.9260000000000002E-2</v>
      </c>
      <c r="K74" s="181">
        <f t="shared" si="35"/>
        <v>0.12287500000000001</v>
      </c>
      <c r="L74" s="60">
        <f>+'5ta'!J60/1000</f>
        <v>0.17649000000000001</v>
      </c>
      <c r="M74" s="60">
        <f>+'5ta'!K60/1000</f>
        <v>5.3460000000000001E-2</v>
      </c>
      <c r="N74" s="60">
        <f>+'5ta'!L60/1000</f>
        <v>5.3460000000000001E-2</v>
      </c>
      <c r="O74" s="60">
        <f>+'5ta'!M60/1000</f>
        <v>1.098E-2</v>
      </c>
      <c r="P74" s="60">
        <f>+'5ta'!N60/1000</f>
        <v>1.098E-2</v>
      </c>
      <c r="Q74" s="181">
        <f t="shared" ref="Q74:AC74" si="36">+P74</f>
        <v>1.098E-2</v>
      </c>
      <c r="R74" s="181">
        <f t="shared" si="36"/>
        <v>1.098E-2</v>
      </c>
      <c r="S74" s="181">
        <f t="shared" si="36"/>
        <v>1.098E-2</v>
      </c>
      <c r="T74" s="181">
        <f t="shared" si="36"/>
        <v>1.098E-2</v>
      </c>
      <c r="U74" s="181">
        <f t="shared" si="36"/>
        <v>1.098E-2</v>
      </c>
      <c r="V74" s="181">
        <f t="shared" si="36"/>
        <v>1.098E-2</v>
      </c>
      <c r="W74" s="181">
        <f t="shared" si="36"/>
        <v>1.098E-2</v>
      </c>
      <c r="X74" s="181">
        <f t="shared" si="36"/>
        <v>1.098E-2</v>
      </c>
      <c r="Y74" s="181">
        <f t="shared" si="36"/>
        <v>1.098E-2</v>
      </c>
      <c r="Z74" s="181">
        <f t="shared" si="36"/>
        <v>1.098E-2</v>
      </c>
      <c r="AA74" s="181">
        <f t="shared" si="36"/>
        <v>1.098E-2</v>
      </c>
      <c r="AB74" s="181">
        <f t="shared" si="36"/>
        <v>1.098E-2</v>
      </c>
      <c r="AC74" s="181">
        <f t="shared" si="36"/>
        <v>1.098E-2</v>
      </c>
    </row>
    <row r="75" spans="1:29" x14ac:dyDescent="0.25">
      <c r="A75" s="182" t="s">
        <v>19</v>
      </c>
      <c r="B75" s="183" t="s">
        <v>6</v>
      </c>
      <c r="C75" s="183"/>
      <c r="D75" s="60">
        <f>+'5ta'!F61/1000</f>
        <v>9.6924200000000003</v>
      </c>
      <c r="E75" s="190">
        <f t="shared" si="32"/>
        <v>9.6924200000000003</v>
      </c>
      <c r="F75" s="60">
        <f>+'5ta'!G61/1000</f>
        <v>9.6924200000000003</v>
      </c>
      <c r="G75" s="190">
        <f t="shared" si="33"/>
        <v>9.6924200000000003</v>
      </c>
      <c r="H75" s="60">
        <f>+'5ta'!H61/1000</f>
        <v>9.6924200000000003</v>
      </c>
      <c r="I75" s="190">
        <f t="shared" si="34"/>
        <v>6.006265</v>
      </c>
      <c r="J75" s="60">
        <f>+'5ta'!I61/1000</f>
        <v>2.3201100000000001</v>
      </c>
      <c r="K75" s="190">
        <f t="shared" si="35"/>
        <v>8.2695550000000004</v>
      </c>
      <c r="L75" s="60">
        <f>+'5ta'!J61/1000</f>
        <v>14.218999999999999</v>
      </c>
      <c r="M75" s="60">
        <f>+'5ta'!K61/1000</f>
        <v>3.1740300000000001</v>
      </c>
      <c r="N75" s="60">
        <f>+'5ta'!L61/1000</f>
        <v>3.1740300000000001</v>
      </c>
      <c r="O75" s="60">
        <f>+'5ta'!M61/1000</f>
        <v>11.9975</v>
      </c>
      <c r="P75" s="60">
        <f>+'5ta'!N61/1000</f>
        <v>11.9975</v>
      </c>
      <c r="Q75" s="185">
        <f t="shared" ref="Q75:AC75" si="37">+P75</f>
        <v>11.9975</v>
      </c>
      <c r="R75" s="185">
        <f t="shared" si="37"/>
        <v>11.9975</v>
      </c>
      <c r="S75" s="185">
        <f t="shared" si="37"/>
        <v>11.9975</v>
      </c>
      <c r="T75" s="185">
        <f t="shared" si="37"/>
        <v>11.9975</v>
      </c>
      <c r="U75" s="185">
        <f t="shared" si="37"/>
        <v>11.9975</v>
      </c>
      <c r="V75" s="185">
        <f t="shared" si="37"/>
        <v>11.9975</v>
      </c>
      <c r="W75" s="185">
        <f t="shared" si="37"/>
        <v>11.9975</v>
      </c>
      <c r="X75" s="185">
        <f t="shared" si="37"/>
        <v>11.9975</v>
      </c>
      <c r="Y75" s="185">
        <f t="shared" si="37"/>
        <v>11.9975</v>
      </c>
      <c r="Z75" s="185">
        <f t="shared" si="37"/>
        <v>11.9975</v>
      </c>
      <c r="AA75" s="185">
        <f t="shared" si="37"/>
        <v>11.9975</v>
      </c>
      <c r="AB75" s="185">
        <f t="shared" si="37"/>
        <v>11.9975</v>
      </c>
      <c r="AC75" s="185">
        <f t="shared" si="37"/>
        <v>11.9975</v>
      </c>
    </row>
    <row r="76" spans="1:29" x14ac:dyDescent="0.25">
      <c r="A76" s="182" t="s">
        <v>4</v>
      </c>
      <c r="B76" s="183" t="s">
        <v>6</v>
      </c>
      <c r="C76" s="183"/>
      <c r="D76" s="60">
        <f>+'5ta'!F62/1000</f>
        <v>0.61460999999999999</v>
      </c>
      <c r="E76" s="191">
        <f t="shared" si="32"/>
        <v>0.61460999999999999</v>
      </c>
      <c r="F76" s="60">
        <f>+'5ta'!G62/1000</f>
        <v>0.61460999999999999</v>
      </c>
      <c r="G76" s="191">
        <f t="shared" si="33"/>
        <v>0.61460999999999999</v>
      </c>
      <c r="H76" s="60">
        <f>+'5ta'!H62/1000</f>
        <v>0.61460999999999999</v>
      </c>
      <c r="I76" s="191">
        <f t="shared" si="34"/>
        <v>0.48188500000000001</v>
      </c>
      <c r="J76" s="60">
        <f>+'5ta'!I62/1000</f>
        <v>0.34916000000000003</v>
      </c>
      <c r="K76" s="191">
        <f t="shared" si="35"/>
        <v>0.31482500000000002</v>
      </c>
      <c r="L76" s="60">
        <f>+'5ta'!J62/1000</f>
        <v>0.28049000000000002</v>
      </c>
      <c r="M76" s="60">
        <f>+'5ta'!K62/1000</f>
        <v>0.23099</v>
      </c>
      <c r="N76" s="60">
        <f>+'5ta'!L62/1000</f>
        <v>0.23099</v>
      </c>
      <c r="O76" s="60">
        <f>+'5ta'!M62/1000</f>
        <v>1.93581</v>
      </c>
      <c r="P76" s="60">
        <f>+'5ta'!N62/1000</f>
        <v>1.93581</v>
      </c>
      <c r="Q76" s="184">
        <f t="shared" ref="Q76:AC76" si="38">+P76</f>
        <v>1.93581</v>
      </c>
      <c r="R76" s="184">
        <f t="shared" si="38"/>
        <v>1.93581</v>
      </c>
      <c r="S76" s="184">
        <f t="shared" si="38"/>
        <v>1.93581</v>
      </c>
      <c r="T76" s="184">
        <f t="shared" si="38"/>
        <v>1.93581</v>
      </c>
      <c r="U76" s="184">
        <f t="shared" si="38"/>
        <v>1.93581</v>
      </c>
      <c r="V76" s="184">
        <f t="shared" si="38"/>
        <v>1.93581</v>
      </c>
      <c r="W76" s="184">
        <f t="shared" si="38"/>
        <v>1.93581</v>
      </c>
      <c r="X76" s="184">
        <f t="shared" si="38"/>
        <v>1.93581</v>
      </c>
      <c r="Y76" s="184">
        <f t="shared" si="38"/>
        <v>1.93581</v>
      </c>
      <c r="Z76" s="184">
        <f t="shared" si="38"/>
        <v>1.93581</v>
      </c>
      <c r="AA76" s="184">
        <f t="shared" si="38"/>
        <v>1.93581</v>
      </c>
      <c r="AB76" s="184">
        <f t="shared" si="38"/>
        <v>1.93581</v>
      </c>
      <c r="AC76" s="184">
        <f t="shared" si="38"/>
        <v>1.93581</v>
      </c>
    </row>
    <row r="77" spans="1:29" x14ac:dyDescent="0.25">
      <c r="A77" s="182" t="s">
        <v>5</v>
      </c>
      <c r="B77" s="183" t="s">
        <v>6</v>
      </c>
      <c r="C77" s="183"/>
      <c r="D77" s="60">
        <f>+'5ta'!F63/1000</f>
        <v>0.27576000000000001</v>
      </c>
      <c r="E77" s="191">
        <f t="shared" si="32"/>
        <v>0.27576000000000001</v>
      </c>
      <c r="F77" s="60">
        <f>+'5ta'!G63/1000</f>
        <v>0.27576000000000001</v>
      </c>
      <c r="G77" s="191">
        <f t="shared" si="33"/>
        <v>0.27576000000000001</v>
      </c>
      <c r="H77" s="60">
        <f>+'5ta'!H63/1000</f>
        <v>0.27576000000000001</v>
      </c>
      <c r="I77" s="191">
        <f t="shared" si="34"/>
        <v>0.26145000000000002</v>
      </c>
      <c r="J77" s="60">
        <f>+'5ta'!I63/1000</f>
        <v>0.24714</v>
      </c>
      <c r="K77" s="191">
        <f t="shared" si="35"/>
        <v>0.34535500000000002</v>
      </c>
      <c r="L77" s="60">
        <f>+'5ta'!J63/1000</f>
        <v>0.44357000000000002</v>
      </c>
      <c r="M77" s="60">
        <f>+'5ta'!K63/1000</f>
        <v>95.151110000000003</v>
      </c>
      <c r="N77" s="60">
        <f>+'5ta'!L63/1000</f>
        <v>95.151110000000003</v>
      </c>
      <c r="O77" s="60">
        <f>+'5ta'!M63/1000</f>
        <v>0.49406</v>
      </c>
      <c r="P77" s="60">
        <f>+'5ta'!N63/1000</f>
        <v>0.49406</v>
      </c>
      <c r="Q77" s="184">
        <f t="shared" ref="Q77:AC77" si="39">+P77</f>
        <v>0.49406</v>
      </c>
      <c r="R77" s="184">
        <f t="shared" si="39"/>
        <v>0.49406</v>
      </c>
      <c r="S77" s="184">
        <f t="shared" si="39"/>
        <v>0.49406</v>
      </c>
      <c r="T77" s="184">
        <f t="shared" si="39"/>
        <v>0.49406</v>
      </c>
      <c r="U77" s="184">
        <f t="shared" si="39"/>
        <v>0.49406</v>
      </c>
      <c r="V77" s="184">
        <f t="shared" si="39"/>
        <v>0.49406</v>
      </c>
      <c r="W77" s="184">
        <f t="shared" si="39"/>
        <v>0.49406</v>
      </c>
      <c r="X77" s="184">
        <f t="shared" si="39"/>
        <v>0.49406</v>
      </c>
      <c r="Y77" s="184">
        <f t="shared" si="39"/>
        <v>0.49406</v>
      </c>
      <c r="Z77" s="184">
        <f t="shared" si="39"/>
        <v>0.49406</v>
      </c>
      <c r="AA77" s="184">
        <f t="shared" si="39"/>
        <v>0.49406</v>
      </c>
      <c r="AB77" s="184">
        <f t="shared" si="39"/>
        <v>0.49406</v>
      </c>
      <c r="AC77" s="184">
        <f t="shared" si="39"/>
        <v>0.49406</v>
      </c>
    </row>
    <row r="78" spans="1:29" x14ac:dyDescent="0.25">
      <c r="A78" s="182" t="s">
        <v>29</v>
      </c>
      <c r="B78" s="183" t="s">
        <v>6</v>
      </c>
      <c r="C78" s="183"/>
      <c r="D78" s="60">
        <f>+'5ta'!F64/1000</f>
        <v>0.223995</v>
      </c>
      <c r="E78" s="191">
        <f t="shared" si="32"/>
        <v>0.223995</v>
      </c>
      <c r="F78" s="60">
        <f>+'5ta'!G64/1000</f>
        <v>0.223995</v>
      </c>
      <c r="G78" s="191">
        <f t="shared" si="33"/>
        <v>0.223995</v>
      </c>
      <c r="H78" s="60">
        <f>+'5ta'!H64/1000</f>
        <v>0.223995</v>
      </c>
      <c r="I78" s="191">
        <f t="shared" si="34"/>
        <v>0.17442750000000001</v>
      </c>
      <c r="J78" s="60">
        <f>+'5ta'!I64/1000</f>
        <v>0.12486</v>
      </c>
      <c r="K78" s="191">
        <f t="shared" si="35"/>
        <v>0.43691999999999998</v>
      </c>
      <c r="L78" s="60">
        <f>+'5ta'!J64/1000</f>
        <v>0.74897999999999998</v>
      </c>
      <c r="M78" s="60">
        <f>+'5ta'!K64/1000</f>
        <v>0.87112000000000001</v>
      </c>
      <c r="N78" s="60">
        <f>+'5ta'!L64/1000</f>
        <v>0.87112000000000001</v>
      </c>
      <c r="O78" s="60">
        <f>+'5ta'!M64/1000</f>
        <v>2.8327499999999999</v>
      </c>
      <c r="P78" s="60">
        <f>+'5ta'!N64/1000</f>
        <v>2.8327499999999999</v>
      </c>
      <c r="Q78" s="184">
        <f t="shared" ref="Q78:AC78" si="40">+P78</f>
        <v>2.8327499999999999</v>
      </c>
      <c r="R78" s="184">
        <f t="shared" si="40"/>
        <v>2.8327499999999999</v>
      </c>
      <c r="S78" s="184">
        <f t="shared" si="40"/>
        <v>2.8327499999999999</v>
      </c>
      <c r="T78" s="184">
        <f t="shared" si="40"/>
        <v>2.8327499999999999</v>
      </c>
      <c r="U78" s="184">
        <f t="shared" si="40"/>
        <v>2.8327499999999999</v>
      </c>
      <c r="V78" s="184">
        <f t="shared" si="40"/>
        <v>2.8327499999999999</v>
      </c>
      <c r="W78" s="184">
        <f t="shared" si="40"/>
        <v>2.8327499999999999</v>
      </c>
      <c r="X78" s="184">
        <f t="shared" si="40"/>
        <v>2.8327499999999999</v>
      </c>
      <c r="Y78" s="184">
        <f t="shared" si="40"/>
        <v>2.8327499999999999</v>
      </c>
      <c r="Z78" s="184">
        <f t="shared" si="40"/>
        <v>2.8327499999999999</v>
      </c>
      <c r="AA78" s="184">
        <f t="shared" si="40"/>
        <v>2.8327499999999999</v>
      </c>
      <c r="AB78" s="184">
        <f t="shared" si="40"/>
        <v>2.8327499999999999</v>
      </c>
      <c r="AC78" s="184">
        <f t="shared" si="40"/>
        <v>2.8327499999999999</v>
      </c>
    </row>
    <row r="79" spans="1:29" x14ac:dyDescent="0.25">
      <c r="A79" s="187"/>
      <c r="B79" s="188"/>
      <c r="C79" s="174">
        <f>+SUM(P$80:P$88)/(SUM(P$22:P$30)+SUM(P$37:P$45)+SUM(P$51:P$59)+SUM(P$65:P$73)+SUM(P$80:P$88))</f>
        <v>3.1956818872002747E-3</v>
      </c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</row>
    <row r="80" spans="1:29" x14ac:dyDescent="0.25">
      <c r="A80" s="86" t="s">
        <v>18</v>
      </c>
      <c r="B80" s="54" t="s">
        <v>29</v>
      </c>
      <c r="C80" s="176">
        <f t="shared" ref="C80:C88" si="41">+P80/SUM(P$80:P$88)</f>
        <v>2.2149756967944378E-3</v>
      </c>
      <c r="D80" s="60">
        <f>+'5ta'!F67/1000</f>
        <v>4.1999999999999996E-4</v>
      </c>
      <c r="E80" s="90">
        <f t="shared" ref="E80:E93" si="42">+(D80+F80)/2</f>
        <v>4.1999999999999996E-4</v>
      </c>
      <c r="F80" s="89">
        <f>+'5ta'!G67/1000</f>
        <v>4.1999999999999996E-4</v>
      </c>
      <c r="G80" s="90">
        <f t="shared" ref="G80:G93" si="43">+(F80+H80)/2</f>
        <v>4.1999999999999996E-4</v>
      </c>
      <c r="H80" s="89">
        <f>+'5ta'!H67/1000</f>
        <v>4.1999999999999996E-4</v>
      </c>
      <c r="I80" s="90">
        <f t="shared" ref="I80:I93" si="44">+(H80+J80)/2</f>
        <v>1.8772499999999998E-2</v>
      </c>
      <c r="J80" s="89">
        <f>+'5ta'!I67/1000</f>
        <v>3.7124999999999998E-2</v>
      </c>
      <c r="K80" s="90">
        <f t="shared" ref="K80:K93" si="45">+(J80+L80)/2</f>
        <v>2.8372500000000002E-2</v>
      </c>
      <c r="L80" s="89">
        <f>+'5ta'!J67/1000</f>
        <v>1.9620000000000002E-2</v>
      </c>
      <c r="M80" s="89">
        <f>+'5ta'!K67/1000</f>
        <v>8.369999999999999E-3</v>
      </c>
      <c r="N80" s="89">
        <f>+'5ta'!L67/1000</f>
        <v>8.369999999999999E-3</v>
      </c>
      <c r="O80" s="89">
        <f>+'5ta'!M67/1000</f>
        <v>7.1999999999999994E-4</v>
      </c>
      <c r="P80" s="89">
        <f>+'5ta'!N67/1000</f>
        <v>7.1999999999999994E-4</v>
      </c>
      <c r="Q80" s="178">
        <f t="shared" ref="Q80:AC88" si="46">+Q$21*$C$79*$C80</f>
        <v>6.7521966568328607E-4</v>
      </c>
      <c r="R80" s="178">
        <f t="shared" si="46"/>
        <v>6.7025488826198427E-4</v>
      </c>
      <c r="S80" s="178">
        <f t="shared" si="46"/>
        <v>6.6521933212776473E-4</v>
      </c>
      <c r="T80" s="178">
        <f t="shared" si="46"/>
        <v>5.3755123344594155E-4</v>
      </c>
      <c r="U80" s="178">
        <f t="shared" si="46"/>
        <v>6.4009918082323972E-4</v>
      </c>
      <c r="V80" s="178">
        <f t="shared" si="46"/>
        <v>6.3521275387778834E-4</v>
      </c>
      <c r="W80" s="178">
        <f t="shared" si="46"/>
        <v>7.5079997639534047E-4</v>
      </c>
      <c r="X80" s="178">
        <f t="shared" si="46"/>
        <v>6.2572303776431361E-4</v>
      </c>
      <c r="Y80" s="178">
        <f t="shared" si="46"/>
        <v>6.2097818144089627E-4</v>
      </c>
      <c r="Z80" s="178">
        <f t="shared" si="46"/>
        <v>6.1630410984931251E-4</v>
      </c>
      <c r="AA80" s="178">
        <f t="shared" si="46"/>
        <v>6.1163003941200084E-4</v>
      </c>
      <c r="AB80" s="178">
        <f t="shared" si="46"/>
        <v>6.0709753728255278E-4</v>
      </c>
      <c r="AC80" s="178">
        <f t="shared" si="46"/>
        <v>6.0242346915184057E-4</v>
      </c>
    </row>
    <row r="81" spans="1:29" x14ac:dyDescent="0.25">
      <c r="A81" s="86" t="s">
        <v>20</v>
      </c>
      <c r="B81" s="54" t="s">
        <v>29</v>
      </c>
      <c r="C81" s="176">
        <f t="shared" si="41"/>
        <v>4.0977050390697101E-2</v>
      </c>
      <c r="D81" s="60">
        <f>+'5ta'!F68/1000</f>
        <v>0.49768499999999993</v>
      </c>
      <c r="E81" s="90">
        <f t="shared" si="42"/>
        <v>0.49768499999999993</v>
      </c>
      <c r="F81" s="89">
        <f>+'5ta'!G68/1000</f>
        <v>0.49768499999999993</v>
      </c>
      <c r="G81" s="90">
        <f t="shared" si="43"/>
        <v>0.49768499999999993</v>
      </c>
      <c r="H81" s="89">
        <f>+'5ta'!H68/1000</f>
        <v>0.49768499999999993</v>
      </c>
      <c r="I81" s="90">
        <f t="shared" si="44"/>
        <v>0.48675749999999995</v>
      </c>
      <c r="J81" s="89">
        <f>+'5ta'!I68/1000</f>
        <v>0.47582999999999998</v>
      </c>
      <c r="K81" s="90">
        <f t="shared" si="45"/>
        <v>0.29945250000000001</v>
      </c>
      <c r="L81" s="89">
        <f>+'5ta'!J68/1000</f>
        <v>0.123075</v>
      </c>
      <c r="M81" s="89">
        <f>+'5ta'!K68/1000</f>
        <v>8.7349999999999997E-2</v>
      </c>
      <c r="N81" s="89">
        <f>+'5ta'!L68/1000</f>
        <v>8.7349999999999997E-2</v>
      </c>
      <c r="O81" s="89">
        <f>+'5ta'!M68/1000</f>
        <v>1.332E-2</v>
      </c>
      <c r="P81" s="89">
        <f>+'5ta'!N68/1000</f>
        <v>1.332E-2</v>
      </c>
      <c r="Q81" s="178">
        <f t="shared" si="46"/>
        <v>1.2491563815140792E-2</v>
      </c>
      <c r="R81" s="178">
        <f t="shared" si="46"/>
        <v>1.239971543284671E-2</v>
      </c>
      <c r="S81" s="178">
        <f t="shared" si="46"/>
        <v>1.2306557644363648E-2</v>
      </c>
      <c r="T81" s="178">
        <f t="shared" si="46"/>
        <v>9.9446978187499192E-3</v>
      </c>
      <c r="U81" s="178">
        <f t="shared" si="46"/>
        <v>1.1841834845229935E-2</v>
      </c>
      <c r="V81" s="178">
        <f t="shared" si="46"/>
        <v>1.1751435946739084E-2</v>
      </c>
      <c r="W81" s="178">
        <f t="shared" si="46"/>
        <v>1.3889799563313798E-2</v>
      </c>
      <c r="X81" s="178">
        <f t="shared" si="46"/>
        <v>1.1575876198639803E-2</v>
      </c>
      <c r="Y81" s="178">
        <f t="shared" si="46"/>
        <v>1.1488096356656581E-2</v>
      </c>
      <c r="Z81" s="178">
        <f t="shared" si="46"/>
        <v>1.1401626032212283E-2</v>
      </c>
      <c r="AA81" s="178">
        <f t="shared" si="46"/>
        <v>1.1315155729122017E-2</v>
      </c>
      <c r="AB81" s="178">
        <f t="shared" si="46"/>
        <v>1.1231304439727226E-2</v>
      </c>
      <c r="AC81" s="178">
        <f t="shared" si="46"/>
        <v>1.1144834179309051E-2</v>
      </c>
    </row>
    <row r="82" spans="1:29" x14ac:dyDescent="0.25">
      <c r="A82" s="86" t="s">
        <v>21</v>
      </c>
      <c r="B82" s="54" t="s">
        <v>29</v>
      </c>
      <c r="C82" s="176">
        <f t="shared" si="41"/>
        <v>0.11782440164892632</v>
      </c>
      <c r="D82" s="60">
        <f>+'5ta'!F69/1000</f>
        <v>5.2049999999999992E-2</v>
      </c>
      <c r="E82" s="90">
        <f t="shared" si="42"/>
        <v>5.2049999999999992E-2</v>
      </c>
      <c r="F82" s="89">
        <f>+'5ta'!G69/1000</f>
        <v>5.2049999999999992E-2</v>
      </c>
      <c r="G82" s="90">
        <f t="shared" si="43"/>
        <v>5.2049999999999992E-2</v>
      </c>
      <c r="H82" s="89">
        <f>+'5ta'!H69/1000</f>
        <v>5.2049999999999992E-2</v>
      </c>
      <c r="I82" s="90">
        <f t="shared" si="44"/>
        <v>0.24483749999999999</v>
      </c>
      <c r="J82" s="89">
        <f>+'5ta'!I69/1000</f>
        <v>0.43762499999999999</v>
      </c>
      <c r="K82" s="90">
        <f t="shared" si="45"/>
        <v>0.33203250000000001</v>
      </c>
      <c r="L82" s="89">
        <f>+'5ta'!J69/1000</f>
        <v>0.22644</v>
      </c>
      <c r="M82" s="89">
        <f>+'5ta'!K69/1000</f>
        <v>0.22040999999999999</v>
      </c>
      <c r="N82" s="89">
        <f>+'5ta'!L69/1000</f>
        <v>0.22040999999999999</v>
      </c>
      <c r="O82" s="89">
        <f>+'5ta'!M69/1000</f>
        <v>3.8299999999999994E-2</v>
      </c>
      <c r="P82" s="89">
        <f>+'5ta'!N69/1000</f>
        <v>3.8299999999999994E-2</v>
      </c>
      <c r="Q82" s="178">
        <f t="shared" si="46"/>
        <v>3.5917934993985906E-2</v>
      </c>
      <c r="R82" s="178">
        <f t="shared" si="46"/>
        <v>3.5653836417269436E-2</v>
      </c>
      <c r="S82" s="178">
        <f t="shared" si="46"/>
        <v>3.5385972806240812E-2</v>
      </c>
      <c r="T82" s="178">
        <f t="shared" si="46"/>
        <v>2.8594739223582723E-2</v>
      </c>
      <c r="U82" s="178">
        <f t="shared" si="46"/>
        <v>3.404972031323622E-2</v>
      </c>
      <c r="V82" s="178">
        <f t="shared" si="46"/>
        <v>3.3789789546554566E-2</v>
      </c>
      <c r="W82" s="178">
        <f t="shared" si="46"/>
        <v>3.993838763325213E-2</v>
      </c>
      <c r="X82" s="178">
        <f t="shared" si="46"/>
        <v>3.3284989369962791E-2</v>
      </c>
      <c r="Y82" s="178">
        <f t="shared" si="46"/>
        <v>3.3032589373869894E-2</v>
      </c>
      <c r="Z82" s="178">
        <f t="shared" si="46"/>
        <v>3.278395473226204E-2</v>
      </c>
      <c r="AA82" s="178">
        <f t="shared" si="46"/>
        <v>3.2535320152055042E-2</v>
      </c>
      <c r="AB82" s="178">
        <f t="shared" si="46"/>
        <v>3.2294216219335786E-2</v>
      </c>
      <c r="AC82" s="178">
        <f t="shared" si="46"/>
        <v>3.204558176182707E-2</v>
      </c>
    </row>
    <row r="83" spans="1:29" x14ac:dyDescent="0.25">
      <c r="A83" s="86" t="s">
        <v>22</v>
      </c>
      <c r="B83" s="54" t="s">
        <v>29</v>
      </c>
      <c r="C83" s="176">
        <f t="shared" si="41"/>
        <v>0.19091859964314281</v>
      </c>
      <c r="D83" s="60">
        <f>+'5ta'!F70/1000</f>
        <v>2.2185000000000003E-2</v>
      </c>
      <c r="E83" s="90">
        <f t="shared" si="42"/>
        <v>2.2185000000000003E-2</v>
      </c>
      <c r="F83" s="89">
        <f>+'5ta'!G70/1000</f>
        <v>2.2185000000000003E-2</v>
      </c>
      <c r="G83" s="90">
        <f t="shared" si="43"/>
        <v>2.2185000000000003E-2</v>
      </c>
      <c r="H83" s="89">
        <f>+'5ta'!H70/1000</f>
        <v>2.2185000000000003E-2</v>
      </c>
      <c r="I83" s="90">
        <f t="shared" si="44"/>
        <v>6.3247499999999998E-2</v>
      </c>
      <c r="J83" s="89">
        <f>+'5ta'!I70/1000</f>
        <v>0.10431</v>
      </c>
      <c r="K83" s="90">
        <f t="shared" si="45"/>
        <v>0.125865</v>
      </c>
      <c r="L83" s="89">
        <f>+'5ta'!J70/1000</f>
        <v>0.14742</v>
      </c>
      <c r="M83" s="89">
        <f>+'5ta'!K70/1000</f>
        <v>4.9950000000000001E-2</v>
      </c>
      <c r="N83" s="89">
        <f>+'5ta'!L70/1000</f>
        <v>4.9950000000000001E-2</v>
      </c>
      <c r="O83" s="89">
        <f>+'5ta'!M70/1000</f>
        <v>6.2060000000000004E-2</v>
      </c>
      <c r="P83" s="89">
        <f>+'5ta'!N70/1000</f>
        <v>6.2060000000000004E-2</v>
      </c>
      <c r="Q83" s="178">
        <f t="shared" si="46"/>
        <v>5.8200183961534355E-2</v>
      </c>
      <c r="R83" s="178">
        <f t="shared" si="46"/>
        <v>5.7772247729914933E-2</v>
      </c>
      <c r="S83" s="178">
        <f t="shared" si="46"/>
        <v>5.7338210766457058E-2</v>
      </c>
      <c r="T83" s="178">
        <f t="shared" si="46"/>
        <v>4.6333929927298803E-2</v>
      </c>
      <c r="U83" s="178">
        <f t="shared" si="46"/>
        <v>5.5172993280403142E-2</v>
      </c>
      <c r="V83" s="178">
        <f t="shared" si="46"/>
        <v>5.4751810424521589E-2</v>
      </c>
      <c r="W83" s="178">
        <f t="shared" si="46"/>
        <v>6.4714786854298378E-2</v>
      </c>
      <c r="X83" s="178">
        <f t="shared" si="46"/>
        <v>5.393384961618515E-2</v>
      </c>
      <c r="Y83" s="178">
        <f t="shared" si="46"/>
        <v>5.352486936141948E-2</v>
      </c>
      <c r="Z83" s="178">
        <f t="shared" si="46"/>
        <v>5.3121990357289366E-2</v>
      </c>
      <c r="AA83" s="178">
        <f t="shared" si="46"/>
        <v>5.2719111452651082E-2</v>
      </c>
      <c r="AB83" s="178">
        <f t="shared" si="46"/>
        <v>5.2328434949660038E-2</v>
      </c>
      <c r="AC83" s="178">
        <f t="shared" si="46"/>
        <v>5.1925556243837816E-2</v>
      </c>
    </row>
    <row r="84" spans="1:29" x14ac:dyDescent="0.25">
      <c r="A84" s="86" t="s">
        <v>23</v>
      </c>
      <c r="B84" s="54" t="s">
        <v>29</v>
      </c>
      <c r="C84" s="176">
        <f t="shared" si="41"/>
        <v>2.258044668676552E-2</v>
      </c>
      <c r="D84" s="60">
        <f>+'5ta'!F71/1000</f>
        <v>7.6410000000000006E-2</v>
      </c>
      <c r="E84" s="90">
        <f t="shared" si="42"/>
        <v>7.6410000000000006E-2</v>
      </c>
      <c r="F84" s="89">
        <f>+'5ta'!G71/1000</f>
        <v>7.6410000000000006E-2</v>
      </c>
      <c r="G84" s="90">
        <f t="shared" si="43"/>
        <v>7.6410000000000006E-2</v>
      </c>
      <c r="H84" s="89">
        <f>+'5ta'!H71/1000</f>
        <v>7.6410000000000006E-2</v>
      </c>
      <c r="I84" s="90">
        <f t="shared" si="44"/>
        <v>0.14791500000000002</v>
      </c>
      <c r="J84" s="89">
        <f>+'5ta'!I71/1000</f>
        <v>0.21942</v>
      </c>
      <c r="K84" s="90">
        <f t="shared" si="45"/>
        <v>0.17732249999999999</v>
      </c>
      <c r="L84" s="89">
        <f>+'5ta'!J71/1000</f>
        <v>0.13522499999999998</v>
      </c>
      <c r="M84" s="89">
        <f>+'5ta'!K71/1000</f>
        <v>0.10215</v>
      </c>
      <c r="N84" s="89">
        <f>+'5ta'!L71/1000</f>
        <v>0.10215</v>
      </c>
      <c r="O84" s="89">
        <f>+'5ta'!M71/1000</f>
        <v>7.3400000000000002E-3</v>
      </c>
      <c r="P84" s="89">
        <f>+'5ta'!N71/1000</f>
        <v>7.3400000000000002E-3</v>
      </c>
      <c r="Q84" s="178">
        <f t="shared" si="46"/>
        <v>6.8834893696046113E-3</v>
      </c>
      <c r="R84" s="178">
        <f t="shared" si="46"/>
        <v>6.8328762220041181E-3</v>
      </c>
      <c r="S84" s="178">
        <f t="shared" si="46"/>
        <v>6.7815415247469354E-3</v>
      </c>
      <c r="T84" s="178">
        <f t="shared" si="46"/>
        <v>5.4800361854072379E-3</v>
      </c>
      <c r="U84" s="178">
        <f t="shared" si="46"/>
        <v>6.5254555378369168E-3</v>
      </c>
      <c r="V84" s="178">
        <f t="shared" si="46"/>
        <v>6.4756411298096759E-3</v>
      </c>
      <c r="W84" s="178">
        <f t="shared" si="46"/>
        <v>7.653988648252499E-3</v>
      </c>
      <c r="X84" s="178">
        <f t="shared" si="46"/>
        <v>6.378898746097309E-3</v>
      </c>
      <c r="Y84" s="178">
        <f t="shared" si="46"/>
        <v>6.3305275719113593E-3</v>
      </c>
      <c r="Z84" s="178">
        <f t="shared" si="46"/>
        <v>6.2828780087416033E-3</v>
      </c>
      <c r="AA84" s="178">
        <f t="shared" si="46"/>
        <v>6.2352284573390093E-3</v>
      </c>
      <c r="AB84" s="178">
        <f t="shared" si="46"/>
        <v>6.1890221161860241E-3</v>
      </c>
      <c r="AC84" s="178">
        <f t="shared" si="46"/>
        <v>6.1413725882979303E-3</v>
      </c>
    </row>
    <row r="85" spans="1:29" ht="22.5" x14ac:dyDescent="0.25">
      <c r="A85" s="86" t="s">
        <v>24</v>
      </c>
      <c r="B85" s="54" t="s">
        <v>29</v>
      </c>
      <c r="C85" s="176">
        <f t="shared" si="41"/>
        <v>0.52411862425398381</v>
      </c>
      <c r="D85" s="60">
        <f>+'5ta'!F72/1000</f>
        <v>6.4304999999999987E-2</v>
      </c>
      <c r="E85" s="90">
        <f t="shared" si="42"/>
        <v>6.4304999999999987E-2</v>
      </c>
      <c r="F85" s="89">
        <f>+'5ta'!G72/1000</f>
        <v>6.4304999999999987E-2</v>
      </c>
      <c r="G85" s="90">
        <f t="shared" si="43"/>
        <v>6.4304999999999987E-2</v>
      </c>
      <c r="H85" s="89">
        <f>+'5ta'!H72/1000</f>
        <v>6.4304999999999987E-2</v>
      </c>
      <c r="I85" s="90">
        <f t="shared" si="44"/>
        <v>0.28527749999999996</v>
      </c>
      <c r="J85" s="89">
        <f>+'5ta'!I72/1000</f>
        <v>0.50624999999999998</v>
      </c>
      <c r="K85" s="90">
        <f t="shared" si="45"/>
        <v>0.58918499999999996</v>
      </c>
      <c r="L85" s="89">
        <f>+'5ta'!J72/1000</f>
        <v>0.67211999999999994</v>
      </c>
      <c r="M85" s="89">
        <f>+'5ta'!K72/1000</f>
        <v>0.58298000000000005</v>
      </c>
      <c r="N85" s="89">
        <f>+'5ta'!L72/1000</f>
        <v>0.58298000000000005</v>
      </c>
      <c r="O85" s="89">
        <f>+'5ta'!M72/1000</f>
        <v>0.17036999999999999</v>
      </c>
      <c r="P85" s="89">
        <f>+'5ta'!N72/1000</f>
        <v>0.17036999999999999</v>
      </c>
      <c r="Q85" s="178">
        <f t="shared" si="46"/>
        <v>0.15977385339230754</v>
      </c>
      <c r="R85" s="178">
        <f t="shared" si="46"/>
        <v>0.15859906293499201</v>
      </c>
      <c r="S85" s="178">
        <f t="shared" si="46"/>
        <v>0.15740752446473233</v>
      </c>
      <c r="T85" s="178">
        <f t="shared" si="46"/>
        <v>0.12719806061414593</v>
      </c>
      <c r="U85" s="178">
        <f t="shared" si="46"/>
        <v>0.15146346866229909</v>
      </c>
      <c r="V85" s="178">
        <f t="shared" si="46"/>
        <v>0.15030721788633164</v>
      </c>
      <c r="W85" s="178">
        <f t="shared" si="46"/>
        <v>0.17765804441454741</v>
      </c>
      <c r="X85" s="178">
        <f t="shared" si="46"/>
        <v>0.14806171381098071</v>
      </c>
      <c r="Y85" s="178">
        <f t="shared" si="46"/>
        <v>0.14693896218345207</v>
      </c>
      <c r="Z85" s="178">
        <f t="shared" si="46"/>
        <v>0.14583295999309356</v>
      </c>
      <c r="AA85" s="178">
        <f t="shared" si="46"/>
        <v>0.14472695807586469</v>
      </c>
      <c r="AB85" s="178">
        <f t="shared" si="46"/>
        <v>0.14365445475948402</v>
      </c>
      <c r="AC85" s="178">
        <f t="shared" si="46"/>
        <v>0.14254845338805427</v>
      </c>
    </row>
    <row r="86" spans="1:29" x14ac:dyDescent="0.25">
      <c r="A86" s="86" t="s">
        <v>25</v>
      </c>
      <c r="B86" s="54" t="s">
        <v>29</v>
      </c>
      <c r="C86" s="176">
        <f t="shared" si="41"/>
        <v>1.039808035439611E-2</v>
      </c>
      <c r="D86" s="60">
        <f>+'5ta'!F73/1000</f>
        <v>1.7655000000000001E-2</v>
      </c>
      <c r="E86" s="90">
        <f t="shared" si="42"/>
        <v>1.7655000000000001E-2</v>
      </c>
      <c r="F86" s="89">
        <f>+'5ta'!G73/1000</f>
        <v>1.7655000000000001E-2</v>
      </c>
      <c r="G86" s="90">
        <f t="shared" si="43"/>
        <v>1.7655000000000001E-2</v>
      </c>
      <c r="H86" s="89">
        <f>+'5ta'!H73/1000</f>
        <v>1.7655000000000001E-2</v>
      </c>
      <c r="I86" s="90">
        <f t="shared" si="44"/>
        <v>3.2362500000000002E-2</v>
      </c>
      <c r="J86" s="89">
        <f>+'5ta'!I73/1000</f>
        <v>4.7070000000000001E-2</v>
      </c>
      <c r="K86" s="90">
        <f t="shared" si="45"/>
        <v>6.2617499999999993E-2</v>
      </c>
      <c r="L86" s="89">
        <f>+'5ta'!J73/1000</f>
        <v>7.8164999999999984E-2</v>
      </c>
      <c r="M86" s="89">
        <f>+'5ta'!K73/1000</f>
        <v>7.3219999999999993E-2</v>
      </c>
      <c r="N86" s="89">
        <f>+'5ta'!L73/1000</f>
        <v>7.3219999999999993E-2</v>
      </c>
      <c r="O86" s="89">
        <f>+'5ta'!M73/1000</f>
        <v>3.3799999999999998E-3</v>
      </c>
      <c r="P86" s="89">
        <f>+'5ta'!N73/1000</f>
        <v>3.3799999999999998E-3</v>
      </c>
      <c r="Q86" s="178">
        <f t="shared" si="46"/>
        <v>3.1697812083465371E-3</v>
      </c>
      <c r="R86" s="178">
        <f t="shared" si="46"/>
        <v>3.1464743365632038E-3</v>
      </c>
      <c r="S86" s="178">
        <f t="shared" si="46"/>
        <v>3.1228351980442286E-3</v>
      </c>
      <c r="T86" s="178">
        <f t="shared" si="46"/>
        <v>2.523504401454559E-3</v>
      </c>
      <c r="U86" s="178">
        <f t="shared" si="46"/>
        <v>3.0049100433090976E-3</v>
      </c>
      <c r="V86" s="178">
        <f t="shared" si="46"/>
        <v>2.9819709834818394E-3</v>
      </c>
      <c r="W86" s="178">
        <f t="shared" si="46"/>
        <v>3.5245887780781257E-3</v>
      </c>
      <c r="X86" s="178">
        <f t="shared" si="46"/>
        <v>2.9374220383935833E-3</v>
      </c>
      <c r="Y86" s="178">
        <f t="shared" si="46"/>
        <v>2.9151475739864294E-3</v>
      </c>
      <c r="Z86" s="178">
        <f t="shared" si="46"/>
        <v>2.893205404570384E-3</v>
      </c>
      <c r="AA86" s="178">
        <f t="shared" si="46"/>
        <v>2.871263240573004E-3</v>
      </c>
      <c r="AB86" s="178">
        <f t="shared" si="46"/>
        <v>2.8499856611319836E-3</v>
      </c>
      <c r="AC86" s="178">
        <f t="shared" si="46"/>
        <v>2.8280435079628069E-3</v>
      </c>
    </row>
    <row r="87" spans="1:29" x14ac:dyDescent="0.25">
      <c r="A87" s="86" t="s">
        <v>26</v>
      </c>
      <c r="B87" s="54" t="s">
        <v>29</v>
      </c>
      <c r="C87" s="176">
        <f t="shared" si="41"/>
        <v>6.1342521380668188E-2</v>
      </c>
      <c r="D87" s="60">
        <f>+'5ta'!F74/1000</f>
        <v>7.1250000000000008E-2</v>
      </c>
      <c r="E87" s="90">
        <f t="shared" si="42"/>
        <v>7.1250000000000008E-2</v>
      </c>
      <c r="F87" s="89">
        <f>+'5ta'!G74/1000</f>
        <v>7.1250000000000008E-2</v>
      </c>
      <c r="G87" s="90">
        <f t="shared" si="43"/>
        <v>7.1250000000000008E-2</v>
      </c>
      <c r="H87" s="89">
        <f>+'5ta'!H74/1000</f>
        <v>7.1250000000000008E-2</v>
      </c>
      <c r="I87" s="90">
        <f t="shared" si="44"/>
        <v>0.13334249999999997</v>
      </c>
      <c r="J87" s="89">
        <f>+'5ta'!I74/1000</f>
        <v>0.19543499999999994</v>
      </c>
      <c r="K87" s="90">
        <f t="shared" si="45"/>
        <v>0.19165499999999999</v>
      </c>
      <c r="L87" s="89">
        <f>+'5ta'!J74/1000</f>
        <v>0.18787500000000004</v>
      </c>
      <c r="M87" s="89">
        <f>+'5ta'!K74/1000</f>
        <v>0.1913</v>
      </c>
      <c r="N87" s="89">
        <f>+'5ta'!L74/1000</f>
        <v>0.1913</v>
      </c>
      <c r="O87" s="89">
        <f>+'5ta'!M74/1000</f>
        <v>1.9940000000000003E-2</v>
      </c>
      <c r="P87" s="89">
        <f>+'5ta'!N74/1000</f>
        <v>1.9940000000000003E-2</v>
      </c>
      <c r="Q87" s="178">
        <f t="shared" si="46"/>
        <v>1.8699833519062119E-2</v>
      </c>
      <c r="R87" s="178">
        <f t="shared" si="46"/>
        <v>1.8562336766588847E-2</v>
      </c>
      <c r="S87" s="178">
        <f t="shared" si="46"/>
        <v>1.842287983698282E-2</v>
      </c>
      <c r="T87" s="178">
        <f t="shared" si="46"/>
        <v>1.4887182770711218E-2</v>
      </c>
      <c r="U87" s="178">
        <f t="shared" si="46"/>
        <v>1.7727191202243614E-2</v>
      </c>
      <c r="V87" s="178">
        <f t="shared" si="46"/>
        <v>1.7591864322670972E-2</v>
      </c>
      <c r="W87" s="178">
        <f t="shared" si="46"/>
        <v>2.0792988235170957E-2</v>
      </c>
      <c r="X87" s="178">
        <f t="shared" si="46"/>
        <v>1.7329051906972801E-2</v>
      </c>
      <c r="Y87" s="178">
        <f t="shared" si="46"/>
        <v>1.7197645747127045E-2</v>
      </c>
      <c r="Z87" s="178">
        <f t="shared" si="46"/>
        <v>1.7068199931104575E-2</v>
      </c>
      <c r="AA87" s="178">
        <f t="shared" si="46"/>
        <v>1.6938754147049026E-2</v>
      </c>
      <c r="AB87" s="178">
        <f t="shared" si="46"/>
        <v>1.68132290186307E-2</v>
      </c>
      <c r="AC87" s="178">
        <f t="shared" si="46"/>
        <v>1.6683783298455143E-2</v>
      </c>
    </row>
    <row r="88" spans="1:29" x14ac:dyDescent="0.25">
      <c r="A88" s="86" t="s">
        <v>27</v>
      </c>
      <c r="B88" s="54" t="s">
        <v>29</v>
      </c>
      <c r="C88" s="176">
        <f t="shared" si="41"/>
        <v>2.9625299944625611E-2</v>
      </c>
      <c r="D88" s="60">
        <f>+'5ta'!F75/1000</f>
        <v>1.6050000000000003E-3</v>
      </c>
      <c r="E88" s="90">
        <f t="shared" si="42"/>
        <v>1.6050000000000003E-3</v>
      </c>
      <c r="F88" s="89">
        <f>+'5ta'!G75/1000</f>
        <v>1.6050000000000003E-3</v>
      </c>
      <c r="G88" s="90">
        <f t="shared" si="43"/>
        <v>1.6050000000000003E-3</v>
      </c>
      <c r="H88" s="89">
        <f>+'5ta'!H75/1000</f>
        <v>1.6050000000000003E-3</v>
      </c>
      <c r="I88" s="90">
        <f t="shared" si="44"/>
        <v>6.7424999999999994E-3</v>
      </c>
      <c r="J88" s="89">
        <f>+'5ta'!I75/1000</f>
        <v>1.1879999999999998E-2</v>
      </c>
      <c r="K88" s="90">
        <f t="shared" si="45"/>
        <v>9.3149999999999986E-3</v>
      </c>
      <c r="L88" s="89">
        <f>+'5ta'!J75/1000</f>
        <v>6.7499999999999999E-3</v>
      </c>
      <c r="M88" s="89">
        <f>+'5ta'!K75/1000</f>
        <v>8.5500000000000003E-3</v>
      </c>
      <c r="N88" s="89">
        <f>+'5ta'!L75/1000</f>
        <v>8.5500000000000003E-3</v>
      </c>
      <c r="O88" s="89">
        <f>+'5ta'!M75/1000</f>
        <v>9.6300000000000014E-3</v>
      </c>
      <c r="P88" s="89">
        <f>+'5ta'!N75/1000</f>
        <v>9.6300000000000014E-3</v>
      </c>
      <c r="Q88" s="178">
        <f t="shared" si="46"/>
        <v>9.0310630285139522E-3</v>
      </c>
      <c r="R88" s="178">
        <f t="shared" si="46"/>
        <v>8.9646591305040414E-3</v>
      </c>
      <c r="S88" s="178">
        <f t="shared" si="46"/>
        <v>8.8973085672088541E-3</v>
      </c>
      <c r="T88" s="178">
        <f t="shared" si="46"/>
        <v>7.1897477473394705E-3</v>
      </c>
      <c r="U88" s="178">
        <f t="shared" si="46"/>
        <v>8.5613265435108329E-3</v>
      </c>
      <c r="V88" s="178">
        <f t="shared" si="46"/>
        <v>8.4959705831154208E-3</v>
      </c>
      <c r="W88" s="178">
        <f t="shared" si="46"/>
        <v>1.004194968428768E-2</v>
      </c>
      <c r="X88" s="178">
        <f t="shared" si="46"/>
        <v>8.3690456300976965E-3</v>
      </c>
      <c r="Y88" s="178">
        <f t="shared" si="46"/>
        <v>8.3055831767719895E-3</v>
      </c>
      <c r="Z88" s="178">
        <f t="shared" si="46"/>
        <v>8.2430674692345572E-3</v>
      </c>
      <c r="AA88" s="178">
        <f t="shared" si="46"/>
        <v>8.1805517771355134E-3</v>
      </c>
      <c r="AB88" s="178">
        <f t="shared" si="46"/>
        <v>8.1199295611541437E-3</v>
      </c>
      <c r="AC88" s="178">
        <f t="shared" si="46"/>
        <v>8.0574138999058697E-3</v>
      </c>
    </row>
    <row r="89" spans="1:29" x14ac:dyDescent="0.25">
      <c r="A89" s="186" t="s">
        <v>28</v>
      </c>
      <c r="B89" s="180" t="s">
        <v>29</v>
      </c>
      <c r="C89" s="180"/>
      <c r="D89" s="60">
        <f>+'5ta'!F76/1000</f>
        <v>3.4950000000000002E-2</v>
      </c>
      <c r="E89" s="181">
        <f t="shared" si="42"/>
        <v>3.4950000000000002E-2</v>
      </c>
      <c r="F89" s="89">
        <f>+'5ta'!G76/1000</f>
        <v>3.4950000000000002E-2</v>
      </c>
      <c r="G89" s="181">
        <f t="shared" si="43"/>
        <v>3.4950000000000002E-2</v>
      </c>
      <c r="H89" s="89">
        <f>+'5ta'!H76/1000</f>
        <v>3.4950000000000002E-2</v>
      </c>
      <c r="I89" s="181">
        <f t="shared" si="44"/>
        <v>0.10547250000000001</v>
      </c>
      <c r="J89" s="89">
        <f>+'5ta'!I76/1000</f>
        <v>0.17599500000000001</v>
      </c>
      <c r="K89" s="181">
        <f t="shared" si="45"/>
        <v>0.18022750000000001</v>
      </c>
      <c r="L89" s="89">
        <f>+'5ta'!J76/1000</f>
        <v>0.18446000000000001</v>
      </c>
      <c r="M89" s="89">
        <f>+'5ta'!K76/1000</f>
        <v>7.3800000000000003E-3</v>
      </c>
      <c r="N89" s="89">
        <f>+'5ta'!L76/1000</f>
        <v>7.3800000000000003E-3</v>
      </c>
      <c r="O89" s="89">
        <f>+'5ta'!M76/1000</f>
        <v>1.035E-2</v>
      </c>
      <c r="P89" s="89">
        <f>+'5ta'!N76/1000</f>
        <v>1.035E-2</v>
      </c>
      <c r="Q89" s="181">
        <f t="shared" ref="Q89:AC89" si="47">+P89</f>
        <v>1.035E-2</v>
      </c>
      <c r="R89" s="181">
        <f t="shared" si="47"/>
        <v>1.035E-2</v>
      </c>
      <c r="S89" s="181">
        <f t="shared" si="47"/>
        <v>1.035E-2</v>
      </c>
      <c r="T89" s="181">
        <f t="shared" si="47"/>
        <v>1.035E-2</v>
      </c>
      <c r="U89" s="181">
        <f t="shared" si="47"/>
        <v>1.035E-2</v>
      </c>
      <c r="V89" s="181">
        <f t="shared" si="47"/>
        <v>1.035E-2</v>
      </c>
      <c r="W89" s="181">
        <f t="shared" si="47"/>
        <v>1.035E-2</v>
      </c>
      <c r="X89" s="181">
        <f t="shared" si="47"/>
        <v>1.035E-2</v>
      </c>
      <c r="Y89" s="181">
        <f t="shared" si="47"/>
        <v>1.035E-2</v>
      </c>
      <c r="Z89" s="181">
        <f t="shared" si="47"/>
        <v>1.035E-2</v>
      </c>
      <c r="AA89" s="181">
        <f t="shared" si="47"/>
        <v>1.035E-2</v>
      </c>
      <c r="AB89" s="181">
        <f t="shared" si="47"/>
        <v>1.035E-2</v>
      </c>
      <c r="AC89" s="181">
        <f t="shared" si="47"/>
        <v>1.035E-2</v>
      </c>
    </row>
    <row r="90" spans="1:29" x14ac:dyDescent="0.25">
      <c r="A90" s="182" t="s">
        <v>19</v>
      </c>
      <c r="B90" s="183" t="s">
        <v>29</v>
      </c>
      <c r="C90" s="183"/>
      <c r="D90" s="60">
        <f>+'5ta'!F77/1000</f>
        <v>3.3818250000000001</v>
      </c>
      <c r="E90" s="190">
        <f t="shared" si="42"/>
        <v>3.3818250000000001</v>
      </c>
      <c r="F90" s="89">
        <f>+'5ta'!G77/1000</f>
        <v>3.3818250000000001</v>
      </c>
      <c r="G90" s="190">
        <f t="shared" si="43"/>
        <v>3.3818250000000001</v>
      </c>
      <c r="H90" s="89">
        <f>+'5ta'!H77/1000</f>
        <v>3.3818250000000001</v>
      </c>
      <c r="I90" s="190">
        <f t="shared" si="44"/>
        <v>2.7586950000000003</v>
      </c>
      <c r="J90" s="89">
        <f>+'5ta'!I77/1000</f>
        <v>2.1355650000000002</v>
      </c>
      <c r="K90" s="190">
        <f t="shared" si="45"/>
        <v>3.7257825000000002</v>
      </c>
      <c r="L90" s="89">
        <f>+'5ta'!J77/1000</f>
        <v>5.3159999999999998</v>
      </c>
      <c r="M90" s="89">
        <f>+'5ta'!K77/1000</f>
        <v>0.19642999999999999</v>
      </c>
      <c r="N90" s="89">
        <f>+'5ta'!L77/1000</f>
        <v>0.19642999999999999</v>
      </c>
      <c r="O90" s="89">
        <f>+'5ta'!M77/1000</f>
        <v>2.3431100000000002</v>
      </c>
      <c r="P90" s="89">
        <f>+'5ta'!N77/1000</f>
        <v>2.3431100000000002</v>
      </c>
      <c r="Q90" s="185">
        <f t="shared" ref="Q90:AC90" si="48">+P90</f>
        <v>2.3431100000000002</v>
      </c>
      <c r="R90" s="185">
        <f t="shared" si="48"/>
        <v>2.3431100000000002</v>
      </c>
      <c r="S90" s="185">
        <f t="shared" si="48"/>
        <v>2.3431100000000002</v>
      </c>
      <c r="T90" s="185">
        <f t="shared" si="48"/>
        <v>2.3431100000000002</v>
      </c>
      <c r="U90" s="185">
        <f t="shared" si="48"/>
        <v>2.3431100000000002</v>
      </c>
      <c r="V90" s="185">
        <f t="shared" si="48"/>
        <v>2.3431100000000002</v>
      </c>
      <c r="W90" s="185">
        <f t="shared" si="48"/>
        <v>2.3431100000000002</v>
      </c>
      <c r="X90" s="185">
        <f t="shared" si="48"/>
        <v>2.3431100000000002</v>
      </c>
      <c r="Y90" s="185">
        <f t="shared" si="48"/>
        <v>2.3431100000000002</v>
      </c>
      <c r="Z90" s="185">
        <f t="shared" si="48"/>
        <v>2.3431100000000002</v>
      </c>
      <c r="AA90" s="185">
        <f t="shared" si="48"/>
        <v>2.3431100000000002</v>
      </c>
      <c r="AB90" s="185">
        <f t="shared" si="48"/>
        <v>2.3431100000000002</v>
      </c>
      <c r="AC90" s="185">
        <f t="shared" si="48"/>
        <v>2.3431100000000002</v>
      </c>
    </row>
    <row r="91" spans="1:29" x14ac:dyDescent="0.25">
      <c r="A91" s="182" t="s">
        <v>4</v>
      </c>
      <c r="B91" s="183" t="s">
        <v>29</v>
      </c>
      <c r="C91" s="183"/>
      <c r="D91" s="60">
        <f>+'5ta'!F78/1000</f>
        <v>1.1598499999999998</v>
      </c>
      <c r="E91" s="191">
        <f t="shared" si="42"/>
        <v>1.1598499999999998</v>
      </c>
      <c r="F91" s="89">
        <f>+'5ta'!G78/1000</f>
        <v>1.1598499999999998</v>
      </c>
      <c r="G91" s="191">
        <f t="shared" si="43"/>
        <v>1.1598499999999998</v>
      </c>
      <c r="H91" s="89">
        <f>+'5ta'!H78/1000</f>
        <v>1.1598499999999998</v>
      </c>
      <c r="I91" s="191">
        <f t="shared" si="44"/>
        <v>1.7911899999999998</v>
      </c>
      <c r="J91" s="89">
        <f>+'5ta'!I78/1000</f>
        <v>2.4225300000000001</v>
      </c>
      <c r="K91" s="191">
        <f t="shared" si="45"/>
        <v>1.6985049999999999</v>
      </c>
      <c r="L91" s="89">
        <f>+'5ta'!J78/1000</f>
        <v>0.97448000000000001</v>
      </c>
      <c r="M91" s="89">
        <f>+'5ta'!K78/1000</f>
        <v>0.46404000000000001</v>
      </c>
      <c r="N91" s="89">
        <f>+'5ta'!L78/1000</f>
        <v>0.46404000000000001</v>
      </c>
      <c r="O91" s="89">
        <f>+'5ta'!M78/1000</f>
        <v>0.46570999999999996</v>
      </c>
      <c r="P91" s="89">
        <f>+'5ta'!N78/1000</f>
        <v>0.46570999999999996</v>
      </c>
      <c r="Q91" s="184">
        <f t="shared" ref="Q91:AC91" si="49">+P91</f>
        <v>0.46570999999999996</v>
      </c>
      <c r="R91" s="184">
        <f t="shared" si="49"/>
        <v>0.46570999999999996</v>
      </c>
      <c r="S91" s="184">
        <f t="shared" si="49"/>
        <v>0.46570999999999996</v>
      </c>
      <c r="T91" s="184">
        <f t="shared" si="49"/>
        <v>0.46570999999999996</v>
      </c>
      <c r="U91" s="184">
        <f t="shared" si="49"/>
        <v>0.46570999999999996</v>
      </c>
      <c r="V91" s="184">
        <f t="shared" si="49"/>
        <v>0.46570999999999996</v>
      </c>
      <c r="W91" s="184">
        <f t="shared" si="49"/>
        <v>0.46570999999999996</v>
      </c>
      <c r="X91" s="184">
        <f t="shared" si="49"/>
        <v>0.46570999999999996</v>
      </c>
      <c r="Y91" s="184">
        <f t="shared" si="49"/>
        <v>0.46570999999999996</v>
      </c>
      <c r="Z91" s="184">
        <f t="shared" si="49"/>
        <v>0.46570999999999996</v>
      </c>
      <c r="AA91" s="184">
        <f t="shared" si="49"/>
        <v>0.46570999999999996</v>
      </c>
      <c r="AB91" s="184">
        <f t="shared" si="49"/>
        <v>0.46570999999999996</v>
      </c>
      <c r="AC91" s="184">
        <f t="shared" si="49"/>
        <v>0.46570999999999996</v>
      </c>
    </row>
    <row r="92" spans="1:29" x14ac:dyDescent="0.25">
      <c r="A92" s="182" t="s">
        <v>5</v>
      </c>
      <c r="B92" s="183" t="s">
        <v>29</v>
      </c>
      <c r="C92" s="183"/>
      <c r="D92" s="60">
        <f>+'5ta'!F79/1000</f>
        <v>1.79599</v>
      </c>
      <c r="E92" s="191">
        <f t="shared" si="42"/>
        <v>1.79599</v>
      </c>
      <c r="F92" s="89">
        <f>+'5ta'!G79/1000</f>
        <v>1.79599</v>
      </c>
      <c r="G92" s="191">
        <f t="shared" si="43"/>
        <v>1.79599</v>
      </c>
      <c r="H92" s="89">
        <f>+'5ta'!H79/1000</f>
        <v>1.79599</v>
      </c>
      <c r="I92" s="191">
        <f t="shared" si="44"/>
        <v>1.4146399999999999</v>
      </c>
      <c r="J92" s="89">
        <f>+'5ta'!I79/1000</f>
        <v>1.03329</v>
      </c>
      <c r="K92" s="191">
        <f t="shared" si="45"/>
        <v>2.6234999999999999</v>
      </c>
      <c r="L92" s="89">
        <f>+'5ta'!J79/1000</f>
        <v>4.2137099999999998</v>
      </c>
      <c r="M92" s="89">
        <f>+'5ta'!K79/1000</f>
        <v>2.6960000000000001E-2</v>
      </c>
      <c r="N92" s="89">
        <f>+'5ta'!L79/1000</f>
        <v>2.6960000000000001E-2</v>
      </c>
      <c r="O92" s="89">
        <f>+'5ta'!M79/1000</f>
        <v>0.34155000000000002</v>
      </c>
      <c r="P92" s="89">
        <f>+'5ta'!N79/1000</f>
        <v>0.34155000000000002</v>
      </c>
      <c r="Q92" s="184">
        <f t="shared" ref="Q92:AC92" si="50">+P92</f>
        <v>0.34155000000000002</v>
      </c>
      <c r="R92" s="184">
        <f t="shared" si="50"/>
        <v>0.34155000000000002</v>
      </c>
      <c r="S92" s="184">
        <f t="shared" si="50"/>
        <v>0.34155000000000002</v>
      </c>
      <c r="T92" s="184">
        <f t="shared" si="50"/>
        <v>0.34155000000000002</v>
      </c>
      <c r="U92" s="184">
        <f t="shared" si="50"/>
        <v>0.34155000000000002</v>
      </c>
      <c r="V92" s="184">
        <f t="shared" si="50"/>
        <v>0.34155000000000002</v>
      </c>
      <c r="W92" s="184">
        <f t="shared" si="50"/>
        <v>0.34155000000000002</v>
      </c>
      <c r="X92" s="184">
        <f t="shared" si="50"/>
        <v>0.34155000000000002</v>
      </c>
      <c r="Y92" s="184">
        <f t="shared" si="50"/>
        <v>0.34155000000000002</v>
      </c>
      <c r="Z92" s="184">
        <f t="shared" si="50"/>
        <v>0.34155000000000002</v>
      </c>
      <c r="AA92" s="184">
        <f t="shared" si="50"/>
        <v>0.34155000000000002</v>
      </c>
      <c r="AB92" s="184">
        <f t="shared" si="50"/>
        <v>0.34155000000000002</v>
      </c>
      <c r="AC92" s="184">
        <f t="shared" si="50"/>
        <v>0.34155000000000002</v>
      </c>
    </row>
    <row r="93" spans="1:29" x14ac:dyDescent="0.25">
      <c r="A93" s="182" t="s">
        <v>6</v>
      </c>
      <c r="B93" s="183" t="s">
        <v>29</v>
      </c>
      <c r="C93" s="183"/>
      <c r="D93" s="191">
        <v>0</v>
      </c>
      <c r="E93" s="191">
        <f t="shared" si="42"/>
        <v>0</v>
      </c>
      <c r="F93" s="191">
        <v>0</v>
      </c>
      <c r="G93" s="191">
        <f t="shared" si="43"/>
        <v>0</v>
      </c>
      <c r="H93" s="191">
        <v>0</v>
      </c>
      <c r="I93" s="191">
        <f t="shared" si="44"/>
        <v>0</v>
      </c>
      <c r="J93" s="191">
        <v>0</v>
      </c>
      <c r="K93" s="191">
        <f t="shared" si="45"/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84">
        <f t="shared" ref="Q93:AC93" si="51">+P93</f>
        <v>0</v>
      </c>
      <c r="R93" s="184">
        <f t="shared" si="51"/>
        <v>0</v>
      </c>
      <c r="S93" s="184">
        <f t="shared" si="51"/>
        <v>0</v>
      </c>
      <c r="T93" s="184">
        <f t="shared" si="51"/>
        <v>0</v>
      </c>
      <c r="U93" s="184">
        <f t="shared" si="51"/>
        <v>0</v>
      </c>
      <c r="V93" s="184">
        <f t="shared" si="51"/>
        <v>0</v>
      </c>
      <c r="W93" s="184">
        <f t="shared" si="51"/>
        <v>0</v>
      </c>
      <c r="X93" s="184">
        <f t="shared" si="51"/>
        <v>0</v>
      </c>
      <c r="Y93" s="184">
        <f t="shared" si="51"/>
        <v>0</v>
      </c>
      <c r="Z93" s="184">
        <f t="shared" si="51"/>
        <v>0</v>
      </c>
      <c r="AA93" s="184">
        <f t="shared" si="51"/>
        <v>0</v>
      </c>
      <c r="AB93" s="184">
        <f t="shared" si="51"/>
        <v>0</v>
      </c>
      <c r="AC93" s="184">
        <f t="shared" si="51"/>
        <v>0</v>
      </c>
    </row>
    <row r="94" spans="1:29" ht="15.75" thickBot="1" x14ac:dyDescent="0.3">
      <c r="A94" s="214"/>
      <c r="B94" s="215"/>
      <c r="C94" s="215"/>
      <c r="D94" s="115"/>
      <c r="E94" s="216"/>
      <c r="F94" s="115"/>
      <c r="G94" s="216"/>
      <c r="H94" s="115"/>
      <c r="I94" s="216"/>
      <c r="J94" s="115"/>
      <c r="K94" s="216"/>
      <c r="L94" s="115"/>
      <c r="M94" s="115"/>
      <c r="N94" s="115"/>
      <c r="O94" s="115"/>
      <c r="P94" s="115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</row>
    <row r="95" spans="1:29" x14ac:dyDescent="0.25">
      <c r="A95" s="204" t="s">
        <v>105</v>
      </c>
      <c r="B95" s="205" t="s">
        <v>106</v>
      </c>
      <c r="C95" s="205"/>
      <c r="D95" s="206">
        <v>2010</v>
      </c>
      <c r="E95" s="206">
        <v>2011</v>
      </c>
      <c r="F95" s="206">
        <v>2012</v>
      </c>
      <c r="G95" s="206">
        <v>2013</v>
      </c>
      <c r="H95" s="206">
        <v>2014</v>
      </c>
      <c r="I95" s="206">
        <v>2015</v>
      </c>
      <c r="J95" s="206">
        <v>2016</v>
      </c>
      <c r="K95" s="206">
        <v>2017</v>
      </c>
      <c r="L95" s="206">
        <v>2018</v>
      </c>
      <c r="M95" s="206">
        <v>2019</v>
      </c>
      <c r="N95" s="206">
        <v>2020</v>
      </c>
      <c r="O95" s="206">
        <v>2021</v>
      </c>
      <c r="P95" s="206">
        <v>2022</v>
      </c>
      <c r="Q95" s="206">
        <v>2023</v>
      </c>
      <c r="R95" s="206">
        <v>2024</v>
      </c>
      <c r="S95" s="206">
        <v>2025</v>
      </c>
      <c r="T95" s="206">
        <v>2026</v>
      </c>
      <c r="U95" s="206">
        <v>2027</v>
      </c>
      <c r="V95" s="206">
        <v>2028</v>
      </c>
      <c r="W95" s="206">
        <v>2029</v>
      </c>
      <c r="X95" s="206">
        <v>2030</v>
      </c>
      <c r="Y95" s="206">
        <v>2031</v>
      </c>
      <c r="Z95" s="206">
        <v>2032</v>
      </c>
      <c r="AA95" s="206">
        <v>2033</v>
      </c>
      <c r="AB95" s="206">
        <v>2034</v>
      </c>
      <c r="AC95" s="207">
        <v>2035</v>
      </c>
    </row>
    <row r="96" spans="1:29" x14ac:dyDescent="0.25">
      <c r="A96" s="218" t="s">
        <v>19</v>
      </c>
      <c r="B96" s="86" t="s">
        <v>18</v>
      </c>
      <c r="C96" s="86"/>
      <c r="D96" s="84">
        <f>('5ta'!C$88+'5ta'!C$89)*'5ta'!$R87</f>
        <v>35.450349455211686</v>
      </c>
      <c r="E96" s="84">
        <f>('5ta'!D$88+'5ta'!D$89)*'5ta'!$R87</f>
        <v>35.450349455211686</v>
      </c>
      <c r="F96" s="84">
        <f>('5ta'!E$88+'5ta'!E$89)*'5ta'!$R87</f>
        <v>35.450349455211686</v>
      </c>
      <c r="G96" s="84">
        <f>('5ta'!F$88+'5ta'!F$89)*'5ta'!$R87</f>
        <v>35.450349455211686</v>
      </c>
      <c r="H96" s="84">
        <f>('5ta'!G$88+'5ta'!G$89)*'5ta'!$R87</f>
        <v>35.450349455211686</v>
      </c>
      <c r="I96" s="84">
        <f>('5ta'!H$88+'5ta'!H$89)*'5ta'!$R87</f>
        <v>27.971301260442953</v>
      </c>
      <c r="J96" s="84">
        <f>('5ta'!I$88+'5ta'!I$89)*'5ta'!$R87</f>
        <v>20.492253065674223</v>
      </c>
      <c r="K96" s="84">
        <f>('5ta'!J$88+'5ta'!J$89)*'5ta'!$R87</f>
        <v>26.145300649667249</v>
      </c>
      <c r="L96" s="84">
        <f>('5ta'!K$88+'5ta'!K$89)*'5ta'!$R87</f>
        <v>31.798348233660274</v>
      </c>
      <c r="M96" s="84">
        <f>('5ta'!L$88+'5ta'!L$89)*'5ta'!$R87</f>
        <v>5.2465438706970549</v>
      </c>
      <c r="N96" s="84">
        <f>('5ta'!M$88+'5ta'!M$89)*'5ta'!$R87</f>
        <v>5.2465438706970549</v>
      </c>
      <c r="O96" s="84">
        <f>('5ta'!N$88+'5ta'!N$89)*'5ta'!$R87</f>
        <v>5.8147838288109819</v>
      </c>
      <c r="P96" s="84">
        <f>('5ta'!O$88+'5ta'!O$89)*'5ta'!$R87</f>
        <v>5.8147838288109819</v>
      </c>
      <c r="Q96" s="84">
        <f t="shared" ref="Q96:AC96" si="52">+P96-(0.049/100)</f>
        <v>5.8142938288109818</v>
      </c>
      <c r="R96" s="84">
        <f t="shared" si="52"/>
        <v>5.8138038288109817</v>
      </c>
      <c r="S96" s="84">
        <f t="shared" si="52"/>
        <v>5.8133138288109816</v>
      </c>
      <c r="T96" s="84">
        <f t="shared" si="52"/>
        <v>5.8128238288109815</v>
      </c>
      <c r="U96" s="84">
        <f t="shared" si="52"/>
        <v>5.8123338288109814</v>
      </c>
      <c r="V96" s="84">
        <f t="shared" si="52"/>
        <v>5.8118438288109813</v>
      </c>
      <c r="W96" s="84">
        <f t="shared" si="52"/>
        <v>5.8113538288109812</v>
      </c>
      <c r="X96" s="84">
        <f t="shared" si="52"/>
        <v>5.8108638288109811</v>
      </c>
      <c r="Y96" s="84">
        <f t="shared" si="52"/>
        <v>5.810373828810981</v>
      </c>
      <c r="Z96" s="84">
        <f t="shared" si="52"/>
        <v>5.8098838288109809</v>
      </c>
      <c r="AA96" s="84">
        <f t="shared" si="52"/>
        <v>5.8093938288109808</v>
      </c>
      <c r="AB96" s="84">
        <f t="shared" si="52"/>
        <v>5.8089038288109807</v>
      </c>
      <c r="AC96" s="219">
        <f t="shared" si="52"/>
        <v>5.8084138288109806</v>
      </c>
    </row>
    <row r="97" spans="1:29" x14ac:dyDescent="0.25">
      <c r="A97" s="218" t="s">
        <v>19</v>
      </c>
      <c r="B97" s="86" t="s">
        <v>20</v>
      </c>
      <c r="C97" s="86"/>
      <c r="D97" s="84">
        <f>('5ta'!C$88+'5ta'!C$89)*'5ta'!$R88</f>
        <v>346.1792516375865</v>
      </c>
      <c r="E97" s="84">
        <f>('5ta'!D$88+'5ta'!D$89)*'5ta'!$R88</f>
        <v>346.1792516375865</v>
      </c>
      <c r="F97" s="84">
        <f>('5ta'!E$88+'5ta'!E$89)*'5ta'!$R88</f>
        <v>346.1792516375865</v>
      </c>
      <c r="G97" s="84">
        <f>('5ta'!F$88+'5ta'!F$89)*'5ta'!$R88</f>
        <v>346.1792516375865</v>
      </c>
      <c r="H97" s="84">
        <f>('5ta'!G$88+'5ta'!G$89)*'5ta'!$R88</f>
        <v>346.1792516375865</v>
      </c>
      <c r="I97" s="84">
        <f>('5ta'!H$88+'5ta'!H$89)*'5ta'!$R88</f>
        <v>273.14495587422419</v>
      </c>
      <c r="J97" s="84">
        <f>('5ta'!I$88+'5ta'!I$89)*'5ta'!$R88</f>
        <v>200.11066011086183</v>
      </c>
      <c r="K97" s="84">
        <f>('5ta'!J$88+'5ta'!J$89)*'5ta'!$R88</f>
        <v>255.31372050863939</v>
      </c>
      <c r="L97" s="84">
        <f>('5ta'!K$88+'5ta'!K$89)*'5ta'!$R88</f>
        <v>310.51678090641695</v>
      </c>
      <c r="M97" s="84">
        <f>('5ta'!L$88+'5ta'!L$89)*'5ta'!$R88</f>
        <v>51.23347608001253</v>
      </c>
      <c r="N97" s="84">
        <f>('5ta'!M$88+'5ta'!M$89)*'5ta'!$R88</f>
        <v>51.23347608001253</v>
      </c>
      <c r="O97" s="84">
        <f>('5ta'!N$88+'5ta'!N$89)*'5ta'!$R88</f>
        <v>56.78244489057338</v>
      </c>
      <c r="P97" s="84">
        <f>('5ta'!O$88+'5ta'!O$89)*'5ta'!$R88</f>
        <v>56.78244489057338</v>
      </c>
      <c r="Q97" s="84">
        <f t="shared" ref="Q97:AC97" si="53">+P97-(0.049/100)</f>
        <v>56.781954890573381</v>
      </c>
      <c r="R97" s="84">
        <f t="shared" si="53"/>
        <v>56.781464890573382</v>
      </c>
      <c r="S97" s="84">
        <f t="shared" si="53"/>
        <v>56.780974890573383</v>
      </c>
      <c r="T97" s="84">
        <f t="shared" si="53"/>
        <v>56.780484890573383</v>
      </c>
      <c r="U97" s="84">
        <f t="shared" si="53"/>
        <v>56.779994890573384</v>
      </c>
      <c r="V97" s="84">
        <f t="shared" si="53"/>
        <v>56.779504890573385</v>
      </c>
      <c r="W97" s="84">
        <f t="shared" si="53"/>
        <v>56.779014890573386</v>
      </c>
      <c r="X97" s="84">
        <f t="shared" si="53"/>
        <v>56.778524890573387</v>
      </c>
      <c r="Y97" s="84">
        <f t="shared" si="53"/>
        <v>56.778034890573387</v>
      </c>
      <c r="Z97" s="84">
        <f t="shared" si="53"/>
        <v>56.777544890573388</v>
      </c>
      <c r="AA97" s="84">
        <f t="shared" si="53"/>
        <v>56.777054890573389</v>
      </c>
      <c r="AB97" s="84">
        <f t="shared" si="53"/>
        <v>56.77656489057339</v>
      </c>
      <c r="AC97" s="219">
        <f t="shared" si="53"/>
        <v>56.776074890573391</v>
      </c>
    </row>
    <row r="98" spans="1:29" x14ac:dyDescent="0.25">
      <c r="A98" s="218" t="s">
        <v>19</v>
      </c>
      <c r="B98" s="86" t="s">
        <v>21</v>
      </c>
      <c r="C98" s="86"/>
      <c r="D98" s="84">
        <f>('5ta'!C$88+'5ta'!C$89)*'5ta'!$R89</f>
        <v>3310.1998640493071</v>
      </c>
      <c r="E98" s="84">
        <f>('5ta'!D$88+'5ta'!D$89)*'5ta'!$R89</f>
        <v>3310.1998640493071</v>
      </c>
      <c r="F98" s="84">
        <f>('5ta'!E$88+'5ta'!E$89)*'5ta'!$R89</f>
        <v>3310.1998640493071</v>
      </c>
      <c r="G98" s="84">
        <f>('5ta'!F$88+'5ta'!F$89)*'5ta'!$R89</f>
        <v>3310.1998640493071</v>
      </c>
      <c r="H98" s="84">
        <f>('5ta'!G$88+'5ta'!G$89)*'5ta'!$R89</f>
        <v>3310.1998640493071</v>
      </c>
      <c r="I98" s="84">
        <f>('5ta'!H$88+'5ta'!H$89)*'5ta'!$R89</f>
        <v>2611.8387844548711</v>
      </c>
      <c r="J98" s="84">
        <f>('5ta'!I$88+'5ta'!I$89)*'5ta'!$R89</f>
        <v>1913.4777048604346</v>
      </c>
      <c r="K98" s="84">
        <f>('5ta'!J$88+'5ta'!J$89)*'5ta'!$R89</f>
        <v>2441.3347678109649</v>
      </c>
      <c r="L98" s="84">
        <f>('5ta'!K$88+'5ta'!K$89)*'5ta'!$R89</f>
        <v>2969.1918307614956</v>
      </c>
      <c r="M98" s="84">
        <f>('5ta'!L$88+'5ta'!L$89)*'5ta'!$R89</f>
        <v>489.89950943789398</v>
      </c>
      <c r="N98" s="84">
        <f>('5ta'!M$88+'5ta'!M$89)*'5ta'!$R89</f>
        <v>489.89950943789398</v>
      </c>
      <c r="O98" s="84">
        <f>('5ta'!N$88+'5ta'!N$89)*'5ta'!$R89</f>
        <v>542.95929195068879</v>
      </c>
      <c r="P98" s="84">
        <f>('5ta'!O$88+'5ta'!O$89)*'5ta'!$R89</f>
        <v>542.95929195068879</v>
      </c>
      <c r="Q98" s="84">
        <f t="shared" ref="Q98:AC98" si="54">+P98-(0.049/100)</f>
        <v>542.95880195068878</v>
      </c>
      <c r="R98" s="84">
        <f t="shared" si="54"/>
        <v>542.95831195068877</v>
      </c>
      <c r="S98" s="84">
        <f t="shared" si="54"/>
        <v>542.95782195068875</v>
      </c>
      <c r="T98" s="84">
        <f t="shared" si="54"/>
        <v>542.95733195068874</v>
      </c>
      <c r="U98" s="84">
        <f t="shared" si="54"/>
        <v>542.95684195068873</v>
      </c>
      <c r="V98" s="84">
        <f t="shared" si="54"/>
        <v>542.95635195068871</v>
      </c>
      <c r="W98" s="84">
        <f t="shared" si="54"/>
        <v>542.9558619506887</v>
      </c>
      <c r="X98" s="84">
        <f t="shared" si="54"/>
        <v>542.95537195068869</v>
      </c>
      <c r="Y98" s="84">
        <f t="shared" si="54"/>
        <v>542.95488195068867</v>
      </c>
      <c r="Z98" s="84">
        <f t="shared" si="54"/>
        <v>542.95439195068866</v>
      </c>
      <c r="AA98" s="84">
        <f t="shared" si="54"/>
        <v>542.95390195068865</v>
      </c>
      <c r="AB98" s="84">
        <f t="shared" si="54"/>
        <v>542.95341195068863</v>
      </c>
      <c r="AC98" s="219">
        <f t="shared" si="54"/>
        <v>542.95292195068862</v>
      </c>
    </row>
    <row r="99" spans="1:29" x14ac:dyDescent="0.25">
      <c r="A99" s="218" t="s">
        <v>19</v>
      </c>
      <c r="B99" s="86" t="s">
        <v>22</v>
      </c>
      <c r="C99" s="86"/>
      <c r="D99" s="84">
        <f>('5ta'!C$88+'5ta'!C$89)*'5ta'!$R90</f>
        <v>1345.5748980235817</v>
      </c>
      <c r="E99" s="84">
        <f>('5ta'!D$88+'5ta'!D$89)*'5ta'!$R90</f>
        <v>1345.5748980235817</v>
      </c>
      <c r="F99" s="84">
        <f>('5ta'!E$88+'5ta'!E$89)*'5ta'!$R90</f>
        <v>1345.5748980235817</v>
      </c>
      <c r="G99" s="84">
        <f>('5ta'!F$88+'5ta'!F$89)*'5ta'!$R90</f>
        <v>1345.5748980235817</v>
      </c>
      <c r="H99" s="84">
        <f>('5ta'!G$88+'5ta'!G$89)*'5ta'!$R90</f>
        <v>1345.5748980235817</v>
      </c>
      <c r="I99" s="84">
        <f>('5ta'!H$88+'5ta'!H$89)*'5ta'!$R90</f>
        <v>1061.6956227373435</v>
      </c>
      <c r="J99" s="84">
        <f>('5ta'!I$88+'5ta'!I$89)*'5ta'!$R90</f>
        <v>777.81634745110512</v>
      </c>
      <c r="K99" s="84">
        <f>('5ta'!J$88+'5ta'!J$89)*'5ta'!$R90</f>
        <v>992.3868395125196</v>
      </c>
      <c r="L99" s="84">
        <f>('5ta'!K$88+'5ta'!K$89)*'5ta'!$R90</f>
        <v>1206.9573315739342</v>
      </c>
      <c r="M99" s="84">
        <f>('5ta'!L$88+'5ta'!L$89)*'5ta'!$R90</f>
        <v>199.14099133800156</v>
      </c>
      <c r="N99" s="84">
        <f>('5ta'!M$88+'5ta'!M$89)*'5ta'!$R90</f>
        <v>199.14099133800156</v>
      </c>
      <c r="O99" s="84">
        <f>('5ta'!N$88+'5ta'!N$89)*'5ta'!$R90</f>
        <v>220.70945075920093</v>
      </c>
      <c r="P99" s="84">
        <f>('5ta'!O$88+'5ta'!O$89)*'5ta'!$R90</f>
        <v>220.70945075920093</v>
      </c>
      <c r="Q99" s="84">
        <f t="shared" ref="Q99:AC99" si="55">+P99-(0.049/100)</f>
        <v>220.70896075920092</v>
      </c>
      <c r="R99" s="84">
        <f t="shared" si="55"/>
        <v>220.70847075920091</v>
      </c>
      <c r="S99" s="84">
        <f t="shared" si="55"/>
        <v>220.70798075920089</v>
      </c>
      <c r="T99" s="84">
        <f t="shared" si="55"/>
        <v>220.70749075920088</v>
      </c>
      <c r="U99" s="84">
        <f t="shared" si="55"/>
        <v>220.70700075920087</v>
      </c>
      <c r="V99" s="84">
        <f t="shared" si="55"/>
        <v>220.70651075920085</v>
      </c>
      <c r="W99" s="84">
        <f t="shared" si="55"/>
        <v>220.70602075920084</v>
      </c>
      <c r="X99" s="84">
        <f t="shared" si="55"/>
        <v>220.70553075920083</v>
      </c>
      <c r="Y99" s="84">
        <f t="shared" si="55"/>
        <v>220.70504075920081</v>
      </c>
      <c r="Z99" s="84">
        <f t="shared" si="55"/>
        <v>220.7045507592008</v>
      </c>
      <c r="AA99" s="84">
        <f t="shared" si="55"/>
        <v>220.70406075920079</v>
      </c>
      <c r="AB99" s="84">
        <f t="shared" si="55"/>
        <v>220.70357075920077</v>
      </c>
      <c r="AC99" s="219">
        <f t="shared" si="55"/>
        <v>220.70308075920076</v>
      </c>
    </row>
    <row r="100" spans="1:29" x14ac:dyDescent="0.25">
      <c r="A100" s="218" t="s">
        <v>19</v>
      </c>
      <c r="B100" s="86" t="s">
        <v>23</v>
      </c>
      <c r="C100" s="86"/>
      <c r="D100" s="84">
        <f>('5ta'!C$88+'5ta'!C$89)*'5ta'!$R91</f>
        <v>926.66258971003924</v>
      </c>
      <c r="E100" s="84">
        <f>('5ta'!D$88+'5ta'!D$89)*'5ta'!$R91</f>
        <v>926.66258971003924</v>
      </c>
      <c r="F100" s="84">
        <f>('5ta'!E$88+'5ta'!E$89)*'5ta'!$R91</f>
        <v>926.66258971003924</v>
      </c>
      <c r="G100" s="84">
        <f>('5ta'!F$88+'5ta'!F$89)*'5ta'!$R91</f>
        <v>926.66258971003924</v>
      </c>
      <c r="H100" s="84">
        <f>('5ta'!G$88+'5ta'!G$89)*'5ta'!$R91</f>
        <v>926.66258971003924</v>
      </c>
      <c r="I100" s="84">
        <f>('5ta'!H$88+'5ta'!H$89)*'5ta'!$R91</f>
        <v>731.16228364149924</v>
      </c>
      <c r="J100" s="84">
        <f>('5ta'!I$88+'5ta'!I$89)*'5ta'!$R91</f>
        <v>535.66197757295924</v>
      </c>
      <c r="K100" s="84">
        <f>('5ta'!J$88+'5ta'!J$89)*'5ta'!$R91</f>
        <v>683.43111932868112</v>
      </c>
      <c r="L100" s="84">
        <f>('5ta'!K$88+'5ta'!K$89)*'5ta'!$R91</f>
        <v>831.20026108440311</v>
      </c>
      <c r="M100" s="84">
        <f>('5ta'!L$88+'5ta'!L$89)*'5ta'!$R91</f>
        <v>137.14324414177867</v>
      </c>
      <c r="N100" s="84">
        <f>('5ta'!M$88+'5ta'!M$89)*'5ta'!$R91</f>
        <v>137.14324414177867</v>
      </c>
      <c r="O100" s="84">
        <f>('5ta'!N$88+'5ta'!N$89)*'5ta'!$R91</f>
        <v>151.99688364758509</v>
      </c>
      <c r="P100" s="84">
        <f>('5ta'!O$88+'5ta'!O$89)*'5ta'!$R91</f>
        <v>151.99688364758509</v>
      </c>
      <c r="Q100" s="84">
        <f t="shared" ref="Q100:AC100" si="56">+P100-(0.049/100)</f>
        <v>151.99639364758508</v>
      </c>
      <c r="R100" s="84">
        <f t="shared" si="56"/>
        <v>151.99590364758507</v>
      </c>
      <c r="S100" s="84">
        <f t="shared" si="56"/>
        <v>151.99541364758505</v>
      </c>
      <c r="T100" s="84">
        <f t="shared" si="56"/>
        <v>151.99492364758504</v>
      </c>
      <c r="U100" s="84">
        <f t="shared" si="56"/>
        <v>151.99443364758503</v>
      </c>
      <c r="V100" s="84">
        <f t="shared" si="56"/>
        <v>151.99394364758501</v>
      </c>
      <c r="W100" s="84">
        <f t="shared" si="56"/>
        <v>151.993453647585</v>
      </c>
      <c r="X100" s="84">
        <f t="shared" si="56"/>
        <v>151.99296364758499</v>
      </c>
      <c r="Y100" s="84">
        <f t="shared" si="56"/>
        <v>151.99247364758497</v>
      </c>
      <c r="Z100" s="84">
        <f t="shared" si="56"/>
        <v>151.99198364758496</v>
      </c>
      <c r="AA100" s="84">
        <f t="shared" si="56"/>
        <v>151.99149364758495</v>
      </c>
      <c r="AB100" s="84">
        <f t="shared" si="56"/>
        <v>151.99100364758493</v>
      </c>
      <c r="AC100" s="219">
        <f t="shared" si="56"/>
        <v>151.99051364758492</v>
      </c>
    </row>
    <row r="101" spans="1:29" x14ac:dyDescent="0.25">
      <c r="A101" s="218" t="s">
        <v>19</v>
      </c>
      <c r="B101" s="86" t="s">
        <v>24</v>
      </c>
      <c r="C101" s="86"/>
      <c r="D101" s="84">
        <f>('5ta'!C$88+'5ta'!C$89)*'5ta'!$R92</f>
        <v>6780.8508624532096</v>
      </c>
      <c r="E101" s="84">
        <f>('5ta'!D$88+'5ta'!D$89)*'5ta'!$R92</f>
        <v>6780.8508624532096</v>
      </c>
      <c r="F101" s="84">
        <f>('5ta'!E$88+'5ta'!E$89)*'5ta'!$R92</f>
        <v>6780.8508624532096</v>
      </c>
      <c r="G101" s="84">
        <f>('5ta'!F$88+'5ta'!F$89)*'5ta'!$R92</f>
        <v>6780.8508624532096</v>
      </c>
      <c r="H101" s="84">
        <f>('5ta'!G$88+'5ta'!G$89)*'5ta'!$R92</f>
        <v>6780.8508624532096</v>
      </c>
      <c r="I101" s="84">
        <f>('5ta'!H$88+'5ta'!H$89)*'5ta'!$R92</f>
        <v>5350.277929289332</v>
      </c>
      <c r="J101" s="84">
        <f>('5ta'!I$88+'5ta'!I$89)*'5ta'!$R92</f>
        <v>3919.7049961254538</v>
      </c>
      <c r="K101" s="84">
        <f>('5ta'!J$88+'5ta'!J$89)*'5ta'!$R92</f>
        <v>5001.0052702972998</v>
      </c>
      <c r="L101" s="84">
        <f>('5ta'!K$88+'5ta'!K$89)*'5ta'!$R92</f>
        <v>6082.3055444691454</v>
      </c>
      <c r="M101" s="84">
        <f>('5ta'!L$88+'5ta'!L$89)*'5ta'!$R92</f>
        <v>1003.5452986284897</v>
      </c>
      <c r="N101" s="84">
        <f>('5ta'!M$88+'5ta'!M$89)*'5ta'!$R92</f>
        <v>1003.5452986284897</v>
      </c>
      <c r="O101" s="84">
        <f>('5ta'!N$88+'5ta'!N$89)*'5ta'!$R92</f>
        <v>1112.2367634312643</v>
      </c>
      <c r="P101" s="84">
        <f>('5ta'!O$88+'5ta'!O$89)*'5ta'!$R92</f>
        <v>1112.2367634312643</v>
      </c>
      <c r="Q101" s="84">
        <f t="shared" ref="Q101:AC101" si="57">+P101-(0.049/100)</f>
        <v>1112.2362734312644</v>
      </c>
      <c r="R101" s="84">
        <f t="shared" si="57"/>
        <v>1112.2357834312645</v>
      </c>
      <c r="S101" s="84">
        <f t="shared" si="57"/>
        <v>1112.2352934312646</v>
      </c>
      <c r="T101" s="84">
        <f t="shared" si="57"/>
        <v>1112.2348034312647</v>
      </c>
      <c r="U101" s="84">
        <f t="shared" si="57"/>
        <v>1112.2343134312648</v>
      </c>
      <c r="V101" s="84">
        <f t="shared" si="57"/>
        <v>1112.2338234312649</v>
      </c>
      <c r="W101" s="84">
        <f t="shared" si="57"/>
        <v>1112.233333431265</v>
      </c>
      <c r="X101" s="84">
        <f t="shared" si="57"/>
        <v>1112.2328434312651</v>
      </c>
      <c r="Y101" s="84">
        <f t="shared" si="57"/>
        <v>1112.2323534312652</v>
      </c>
      <c r="Z101" s="84">
        <f t="shared" si="57"/>
        <v>1112.2318634312653</v>
      </c>
      <c r="AA101" s="84">
        <f t="shared" si="57"/>
        <v>1112.2313734312654</v>
      </c>
      <c r="AB101" s="84">
        <f t="shared" si="57"/>
        <v>1112.2308834312655</v>
      </c>
      <c r="AC101" s="219">
        <f t="shared" si="57"/>
        <v>1112.2303934312656</v>
      </c>
    </row>
    <row r="102" spans="1:29" x14ac:dyDescent="0.25">
      <c r="A102" s="218" t="s">
        <v>19</v>
      </c>
      <c r="B102" s="86" t="s">
        <v>25</v>
      </c>
      <c r="C102" s="86"/>
      <c r="D102" s="84">
        <f>('5ta'!C$88+'5ta'!C$89)*'5ta'!$R93</f>
        <v>751.26524843634377</v>
      </c>
      <c r="E102" s="84">
        <f>('5ta'!D$88+'5ta'!D$89)*'5ta'!$R93</f>
        <v>751.26524843634377</v>
      </c>
      <c r="F102" s="84">
        <f>('5ta'!E$88+'5ta'!E$89)*'5ta'!$R93</f>
        <v>751.26524843634377</v>
      </c>
      <c r="G102" s="84">
        <f>('5ta'!F$88+'5ta'!F$89)*'5ta'!$R93</f>
        <v>751.26524843634377</v>
      </c>
      <c r="H102" s="84">
        <f>('5ta'!G$88+'5ta'!G$89)*'5ta'!$R93</f>
        <v>751.26524843634377</v>
      </c>
      <c r="I102" s="84">
        <f>('5ta'!H$88+'5ta'!H$89)*'5ta'!$R93</f>
        <v>592.76895470561192</v>
      </c>
      <c r="J102" s="84">
        <f>('5ta'!I$88+'5ta'!I$89)*'5ta'!$R93</f>
        <v>434.27266097488018</v>
      </c>
      <c r="K102" s="84">
        <f>('5ta'!J$88+'5ta'!J$89)*'5ta'!$R93</f>
        <v>554.07227544628665</v>
      </c>
      <c r="L102" s="84">
        <f>('5ta'!K$88+'5ta'!K$89)*'5ta'!$R93</f>
        <v>673.87188991769301</v>
      </c>
      <c r="M102" s="84">
        <f>('5ta'!L$88+'5ta'!L$89)*'5ta'!$R93</f>
        <v>111.18497123508436</v>
      </c>
      <c r="N102" s="84">
        <f>('5ta'!M$88+'5ta'!M$89)*'5ta'!$R93</f>
        <v>111.18497123508436</v>
      </c>
      <c r="O102" s="84">
        <f>('5ta'!N$88+'5ta'!N$89)*'5ta'!$R93</f>
        <v>123.227135554036</v>
      </c>
      <c r="P102" s="84">
        <f>('5ta'!O$88+'5ta'!O$89)*'5ta'!$R93</f>
        <v>123.227135554036</v>
      </c>
      <c r="Q102" s="84">
        <f t="shared" ref="Q102:AC102" si="58">+P102-(0.049/100)</f>
        <v>123.226645554036</v>
      </c>
      <c r="R102" s="84">
        <f t="shared" si="58"/>
        <v>123.226155554036</v>
      </c>
      <c r="S102" s="84">
        <f t="shared" si="58"/>
        <v>123.225665554036</v>
      </c>
      <c r="T102" s="84">
        <f t="shared" si="58"/>
        <v>123.225175554036</v>
      </c>
      <c r="U102" s="84">
        <f t="shared" si="58"/>
        <v>123.224685554036</v>
      </c>
      <c r="V102" s="84">
        <f t="shared" si="58"/>
        <v>123.224195554036</v>
      </c>
      <c r="W102" s="84">
        <f t="shared" si="58"/>
        <v>123.223705554036</v>
      </c>
      <c r="X102" s="84">
        <f t="shared" si="58"/>
        <v>123.223215554036</v>
      </c>
      <c r="Y102" s="84">
        <f t="shared" si="58"/>
        <v>123.222725554036</v>
      </c>
      <c r="Z102" s="84">
        <f t="shared" si="58"/>
        <v>123.222235554036</v>
      </c>
      <c r="AA102" s="84">
        <f t="shared" si="58"/>
        <v>123.221745554036</v>
      </c>
      <c r="AB102" s="84">
        <f t="shared" si="58"/>
        <v>123.22125555403601</v>
      </c>
      <c r="AC102" s="219">
        <f t="shared" si="58"/>
        <v>123.22076555403601</v>
      </c>
    </row>
    <row r="103" spans="1:29" x14ac:dyDescent="0.25">
      <c r="A103" s="218" t="s">
        <v>19</v>
      </c>
      <c r="B103" s="86" t="s">
        <v>26</v>
      </c>
      <c r="C103" s="86"/>
      <c r="D103" s="84">
        <f>('5ta'!C$88+'5ta'!C$89)*'5ta'!$R94</f>
        <v>186.57832370711517</v>
      </c>
      <c r="E103" s="84">
        <f>('5ta'!D$88+'5ta'!D$89)*'5ta'!$R94</f>
        <v>186.57832370711517</v>
      </c>
      <c r="F103" s="84">
        <f>('5ta'!E$88+'5ta'!E$89)*'5ta'!$R94</f>
        <v>186.57832370711517</v>
      </c>
      <c r="G103" s="84">
        <f>('5ta'!F$88+'5ta'!F$89)*'5ta'!$R94</f>
        <v>186.57832370711517</v>
      </c>
      <c r="H103" s="84">
        <f>('5ta'!G$88+'5ta'!G$89)*'5ta'!$R94</f>
        <v>186.57832370711517</v>
      </c>
      <c r="I103" s="84">
        <f>('5ta'!H$88+'5ta'!H$89)*'5ta'!$R94</f>
        <v>147.21543175966983</v>
      </c>
      <c r="J103" s="84">
        <f>('5ta'!I$88+'5ta'!I$89)*'5ta'!$R94</f>
        <v>107.85253981222448</v>
      </c>
      <c r="K103" s="84">
        <f>('5ta'!J$88+'5ta'!J$89)*'5ta'!$R94</f>
        <v>137.60502908995471</v>
      </c>
      <c r="L103" s="84">
        <f>('5ta'!K$88+'5ta'!K$89)*'5ta'!$R94</f>
        <v>167.35751836768497</v>
      </c>
      <c r="M103" s="84">
        <f>('5ta'!L$88+'5ta'!L$89)*'5ta'!$R94</f>
        <v>27.613024291544345</v>
      </c>
      <c r="N103" s="84">
        <f>('5ta'!M$88+'5ta'!M$89)*'5ta'!$R94</f>
        <v>27.613024291544345</v>
      </c>
      <c r="O103" s="84">
        <f>('5ta'!N$88+'5ta'!N$89)*'5ta'!$R94</f>
        <v>30.603721434946163</v>
      </c>
      <c r="P103" s="84">
        <f>('5ta'!O$88+'5ta'!O$89)*'5ta'!$R94</f>
        <v>30.603721434946163</v>
      </c>
      <c r="Q103" s="84">
        <f t="shared" ref="Q103:AC103" si="59">+P103-(0.049/100)</f>
        <v>30.603231434946164</v>
      </c>
      <c r="R103" s="84">
        <f t="shared" si="59"/>
        <v>30.602741434946164</v>
      </c>
      <c r="S103" s="84">
        <f t="shared" si="59"/>
        <v>30.602251434946165</v>
      </c>
      <c r="T103" s="84">
        <f t="shared" si="59"/>
        <v>30.601761434946166</v>
      </c>
      <c r="U103" s="84">
        <f t="shared" si="59"/>
        <v>30.601271434946167</v>
      </c>
      <c r="V103" s="84">
        <f t="shared" si="59"/>
        <v>30.600781434946168</v>
      </c>
      <c r="W103" s="84">
        <f t="shared" si="59"/>
        <v>30.600291434946168</v>
      </c>
      <c r="X103" s="84">
        <f t="shared" si="59"/>
        <v>30.599801434946169</v>
      </c>
      <c r="Y103" s="84">
        <f t="shared" si="59"/>
        <v>30.59931143494617</v>
      </c>
      <c r="Z103" s="84">
        <f t="shared" si="59"/>
        <v>30.598821434946171</v>
      </c>
      <c r="AA103" s="84">
        <f t="shared" si="59"/>
        <v>30.598331434946171</v>
      </c>
      <c r="AB103" s="84">
        <f t="shared" si="59"/>
        <v>30.597841434946172</v>
      </c>
      <c r="AC103" s="219">
        <f t="shared" si="59"/>
        <v>30.597351434946173</v>
      </c>
    </row>
    <row r="104" spans="1:29" ht="15.75" thickBot="1" x14ac:dyDescent="0.3">
      <c r="A104" s="220" t="s">
        <v>19</v>
      </c>
      <c r="B104" s="211" t="s">
        <v>27</v>
      </c>
      <c r="C104" s="211"/>
      <c r="D104" s="221">
        <f>('5ta'!C$88+'5ta'!C$89)*'5ta'!$R95</f>
        <v>780.23861252760332</v>
      </c>
      <c r="E104" s="221">
        <f>('5ta'!D$88+'5ta'!D$89)*'5ta'!$R95</f>
        <v>780.23861252760332</v>
      </c>
      <c r="F104" s="221">
        <f>('5ta'!E$88+'5ta'!E$89)*'5ta'!$R95</f>
        <v>780.23861252760332</v>
      </c>
      <c r="G104" s="221">
        <f>('5ta'!F$88+'5ta'!F$89)*'5ta'!$R95</f>
        <v>780.23861252760332</v>
      </c>
      <c r="H104" s="221">
        <f>('5ta'!G$88+'5ta'!G$89)*'5ta'!$R95</f>
        <v>780.23861252760332</v>
      </c>
      <c r="I104" s="221">
        <f>('5ta'!H$88+'5ta'!H$89)*'5ta'!$R95</f>
        <v>615.62973627700433</v>
      </c>
      <c r="J104" s="221">
        <f>('5ta'!I$88+'5ta'!I$89)*'5ta'!$R95</f>
        <v>451.02086002640527</v>
      </c>
      <c r="K104" s="221">
        <f>('5ta'!J$88+'5ta'!J$89)*'5ta'!$R95</f>
        <v>575.44067735598594</v>
      </c>
      <c r="L104" s="221">
        <f>('5ta'!K$88+'5ta'!K$89)*'5ta'!$R95</f>
        <v>699.86049468556666</v>
      </c>
      <c r="M104" s="221">
        <f>('5ta'!L$88+'5ta'!L$89)*'5ta'!$R95</f>
        <v>115.47294097649757</v>
      </c>
      <c r="N104" s="221">
        <f>('5ta'!M$88+'5ta'!M$89)*'5ta'!$R95</f>
        <v>115.47294097649757</v>
      </c>
      <c r="O104" s="221">
        <f>('5ta'!N$88+'5ta'!N$89)*'5ta'!$R95</f>
        <v>127.97952450289418</v>
      </c>
      <c r="P104" s="221">
        <f>('5ta'!O$88+'5ta'!O$89)*'5ta'!$R95</f>
        <v>127.97952450289418</v>
      </c>
      <c r="Q104" s="221">
        <f t="shared" ref="Q104:AC104" si="60">+P104-(0.049/100)</f>
        <v>127.97903450289418</v>
      </c>
      <c r="R104" s="221">
        <f t="shared" si="60"/>
        <v>127.97854450289418</v>
      </c>
      <c r="S104" s="221">
        <f t="shared" si="60"/>
        <v>127.97805450289418</v>
      </c>
      <c r="T104" s="221">
        <f t="shared" si="60"/>
        <v>127.97756450289418</v>
      </c>
      <c r="U104" s="221">
        <f t="shared" si="60"/>
        <v>127.97707450289418</v>
      </c>
      <c r="V104" s="221">
        <f t="shared" si="60"/>
        <v>127.97658450289418</v>
      </c>
      <c r="W104" s="221">
        <f t="shared" si="60"/>
        <v>127.97609450289418</v>
      </c>
      <c r="X104" s="221">
        <f t="shared" si="60"/>
        <v>127.97560450289419</v>
      </c>
      <c r="Y104" s="221">
        <f t="shared" si="60"/>
        <v>127.97511450289419</v>
      </c>
      <c r="Z104" s="221">
        <f t="shared" si="60"/>
        <v>127.97462450289419</v>
      </c>
      <c r="AA104" s="221">
        <f t="shared" si="60"/>
        <v>127.97413450289419</v>
      </c>
      <c r="AB104" s="221">
        <f t="shared" si="60"/>
        <v>127.97364450289419</v>
      </c>
      <c r="AC104" s="222">
        <f t="shared" si="60"/>
        <v>127.97315450289419</v>
      </c>
    </row>
    <row r="105" spans="1:29" ht="15.75" thickBot="1" x14ac:dyDescent="0.3"/>
    <row r="106" spans="1:29" x14ac:dyDescent="0.25">
      <c r="A106" s="204" t="s">
        <v>105</v>
      </c>
      <c r="B106" s="205" t="s">
        <v>106</v>
      </c>
      <c r="C106" s="205"/>
      <c r="D106" s="206">
        <v>2010</v>
      </c>
      <c r="E106" s="206">
        <v>2011</v>
      </c>
      <c r="F106" s="206">
        <v>2012</v>
      </c>
      <c r="G106" s="206">
        <v>2013</v>
      </c>
      <c r="H106" s="206">
        <v>2014</v>
      </c>
      <c r="I106" s="206">
        <v>2015</v>
      </c>
      <c r="J106" s="206">
        <v>2016</v>
      </c>
      <c r="K106" s="206">
        <v>2017</v>
      </c>
      <c r="L106" s="206">
        <v>2018</v>
      </c>
      <c r="M106" s="206">
        <v>2019</v>
      </c>
      <c r="N106" s="206">
        <v>2020</v>
      </c>
      <c r="O106" s="206">
        <v>2021</v>
      </c>
      <c r="P106" s="206">
        <v>2022</v>
      </c>
      <c r="Q106" s="206">
        <v>2023</v>
      </c>
      <c r="R106" s="206">
        <v>2024</v>
      </c>
      <c r="S106" s="206">
        <v>2025</v>
      </c>
      <c r="T106" s="206">
        <v>2026</v>
      </c>
      <c r="U106" s="206">
        <v>2027</v>
      </c>
      <c r="V106" s="206">
        <v>2028</v>
      </c>
      <c r="W106" s="206">
        <v>2029</v>
      </c>
      <c r="X106" s="206">
        <v>2030</v>
      </c>
      <c r="Y106" s="206">
        <v>2031</v>
      </c>
      <c r="Z106" s="206">
        <v>2032</v>
      </c>
      <c r="AA106" s="206">
        <v>2033</v>
      </c>
      <c r="AB106" s="206">
        <v>2034</v>
      </c>
      <c r="AC106" s="207">
        <v>2035</v>
      </c>
    </row>
    <row r="107" spans="1:29" x14ac:dyDescent="0.25">
      <c r="A107" s="218" t="s">
        <v>5</v>
      </c>
      <c r="B107" s="86" t="s">
        <v>18</v>
      </c>
      <c r="C107" s="86"/>
      <c r="D107" s="84">
        <f>+'5ta'!C$90*'5ta'!$R87</f>
        <v>9.069093063975886E-2</v>
      </c>
      <c r="E107" s="84">
        <f>+'5ta'!D$90*'5ta'!$R87</f>
        <v>9.069093063975886E-2</v>
      </c>
      <c r="F107" s="84">
        <f>+'5ta'!E$90*'5ta'!$R87</f>
        <v>9.069093063975886E-2</v>
      </c>
      <c r="G107" s="84">
        <f>+'5ta'!F$90*'5ta'!$R87</f>
        <v>9.069093063975886E-2</v>
      </c>
      <c r="H107" s="84">
        <f>+'5ta'!G$90*'5ta'!$R87</f>
        <v>9.069093063975886E-2</v>
      </c>
      <c r="I107" s="84">
        <f>+'5ta'!H$90*'5ta'!$R87</f>
        <v>9.5911786917128747E-2</v>
      </c>
      <c r="J107" s="84">
        <f>+'5ta'!I$90*'5ta'!$R87</f>
        <v>0.10113264319449865</v>
      </c>
      <c r="K107" s="84">
        <f>+'5ta'!J$90*'5ta'!$R87</f>
        <v>7.2515977918304483E-2</v>
      </c>
      <c r="L107" s="84">
        <f>+'5ta'!K$90*'5ta'!$R87</f>
        <v>4.3899312642110298E-2</v>
      </c>
      <c r="M107" s="84">
        <f>+'5ta'!L$90*'5ta'!$R87</f>
        <v>4.899761360780485E-2</v>
      </c>
      <c r="N107" s="84">
        <f>+'5ta'!M$90*'5ta'!$R87</f>
        <v>4.899761360780485E-2</v>
      </c>
      <c r="O107" s="84">
        <f>+'5ta'!N$90*'5ta'!$R87</f>
        <v>2.9780940737110004E-2</v>
      </c>
      <c r="P107" s="84">
        <f>+'5ta'!O$90*'5ta'!$R87</f>
        <v>2.9780940737110004E-2</v>
      </c>
      <c r="Q107" s="84">
        <f t="shared" ref="Q107:AC107" si="61">+P107-(0.049/100)</f>
        <v>2.9290940737110003E-2</v>
      </c>
      <c r="R107" s="84">
        <f t="shared" si="61"/>
        <v>2.8800940737110002E-2</v>
      </c>
      <c r="S107" s="84">
        <f t="shared" si="61"/>
        <v>2.8310940737110001E-2</v>
      </c>
      <c r="T107" s="84">
        <f t="shared" si="61"/>
        <v>2.782094073711E-2</v>
      </c>
      <c r="U107" s="84">
        <f t="shared" si="61"/>
        <v>2.733094073711E-2</v>
      </c>
      <c r="V107" s="84">
        <f t="shared" si="61"/>
        <v>2.6840940737109999E-2</v>
      </c>
      <c r="W107" s="84">
        <f t="shared" si="61"/>
        <v>2.6350940737109998E-2</v>
      </c>
      <c r="X107" s="84">
        <f t="shared" si="61"/>
        <v>2.5860940737109997E-2</v>
      </c>
      <c r="Y107" s="84">
        <f t="shared" si="61"/>
        <v>2.5370940737109996E-2</v>
      </c>
      <c r="Z107" s="84">
        <f t="shared" si="61"/>
        <v>2.4880940737109995E-2</v>
      </c>
      <c r="AA107" s="84">
        <f t="shared" si="61"/>
        <v>2.4390940737109994E-2</v>
      </c>
      <c r="AB107" s="84">
        <f t="shared" si="61"/>
        <v>2.3900940737109994E-2</v>
      </c>
      <c r="AC107" s="219">
        <f t="shared" si="61"/>
        <v>2.3410940737109993E-2</v>
      </c>
    </row>
    <row r="108" spans="1:29" x14ac:dyDescent="0.25">
      <c r="A108" s="218" t="s">
        <v>5</v>
      </c>
      <c r="B108" s="86" t="s">
        <v>20</v>
      </c>
      <c r="C108" s="86"/>
      <c r="D108" s="84">
        <f>+'5ta'!C$90*'5ta'!$R88</f>
        <v>0.88561379455097156</v>
      </c>
      <c r="E108" s="84">
        <f>+'5ta'!D$90*'5ta'!$R88</f>
        <v>0.88561379455097156</v>
      </c>
      <c r="F108" s="84">
        <f>+'5ta'!E$90*'5ta'!$R88</f>
        <v>0.88561379455097156</v>
      </c>
      <c r="G108" s="84">
        <f>+'5ta'!F$90*'5ta'!$R88</f>
        <v>0.88561379455097156</v>
      </c>
      <c r="H108" s="84">
        <f>+'5ta'!G$90*'5ta'!$R88</f>
        <v>0.88561379455097156</v>
      </c>
      <c r="I108" s="84">
        <f>+'5ta'!H$90*'5ta'!$R88</f>
        <v>0.93659642650755437</v>
      </c>
      <c r="J108" s="84">
        <f>+'5ta'!I$90*'5ta'!$R88</f>
        <v>0.9875790584641374</v>
      </c>
      <c r="K108" s="84">
        <f>+'5ta'!J$90*'5ta'!$R88</f>
        <v>0.7081320030213647</v>
      </c>
      <c r="L108" s="84">
        <f>+'5ta'!K$90*'5ta'!$R88</f>
        <v>0.42868494757859188</v>
      </c>
      <c r="M108" s="84">
        <f>+'5ta'!L$90*'5ta'!$R88</f>
        <v>0.47847080413713294</v>
      </c>
      <c r="N108" s="84">
        <f>+'5ta'!M$90*'5ta'!$R88</f>
        <v>0.47847080413713294</v>
      </c>
      <c r="O108" s="84">
        <f>+'5ta'!N$90*'5ta'!$R88</f>
        <v>0.29081642172417038</v>
      </c>
      <c r="P108" s="84">
        <f>+'5ta'!O$90*'5ta'!$R88</f>
        <v>0.29081642172417038</v>
      </c>
      <c r="Q108" s="84">
        <f t="shared" ref="Q108:AC108" si="62">+P108-(0.049/100)</f>
        <v>0.29032642172417039</v>
      </c>
      <c r="R108" s="84">
        <f t="shared" si="62"/>
        <v>0.2898364217241704</v>
      </c>
      <c r="S108" s="84">
        <f t="shared" si="62"/>
        <v>0.28934642172417041</v>
      </c>
      <c r="T108" s="84">
        <f t="shared" si="62"/>
        <v>0.28885642172417042</v>
      </c>
      <c r="U108" s="84">
        <f t="shared" si="62"/>
        <v>0.28836642172417043</v>
      </c>
      <c r="V108" s="84">
        <f t="shared" si="62"/>
        <v>0.28787642172417044</v>
      </c>
      <c r="W108" s="84">
        <f t="shared" si="62"/>
        <v>0.28738642172417045</v>
      </c>
      <c r="X108" s="84">
        <f t="shared" si="62"/>
        <v>0.28689642172417046</v>
      </c>
      <c r="Y108" s="84">
        <f t="shared" si="62"/>
        <v>0.28640642172417047</v>
      </c>
      <c r="Z108" s="84">
        <f t="shared" si="62"/>
        <v>0.28591642172417048</v>
      </c>
      <c r="AA108" s="84">
        <f t="shared" si="62"/>
        <v>0.28542642172417049</v>
      </c>
      <c r="AB108" s="84">
        <f t="shared" si="62"/>
        <v>0.2849364217241705</v>
      </c>
      <c r="AC108" s="219">
        <f t="shared" si="62"/>
        <v>0.28444642172417051</v>
      </c>
    </row>
    <row r="109" spans="1:29" x14ac:dyDescent="0.25">
      <c r="A109" s="218" t="s">
        <v>5</v>
      </c>
      <c r="B109" s="86" t="s">
        <v>21</v>
      </c>
      <c r="C109" s="86"/>
      <c r="D109" s="84">
        <f>+'5ta'!C$90*'5ta'!$R89</f>
        <v>8.4683257256326048</v>
      </c>
      <c r="E109" s="84">
        <f>+'5ta'!D$90*'5ta'!$R89</f>
        <v>8.4683257256326048</v>
      </c>
      <c r="F109" s="84">
        <f>+'5ta'!E$90*'5ta'!$R89</f>
        <v>8.4683257256326048</v>
      </c>
      <c r="G109" s="84">
        <f>+'5ta'!F$90*'5ta'!$R89</f>
        <v>8.4683257256326048</v>
      </c>
      <c r="H109" s="84">
        <f>+'5ta'!G$90*'5ta'!$R89</f>
        <v>8.4683257256326048</v>
      </c>
      <c r="I109" s="84">
        <f>+'5ta'!H$90*'5ta'!$R89</f>
        <v>8.9558266390271299</v>
      </c>
      <c r="J109" s="84">
        <f>+'5ta'!I$90*'5ta'!$R89</f>
        <v>9.4433275524216551</v>
      </c>
      <c r="K109" s="84">
        <f>+'5ta'!J$90*'5ta'!$R89</f>
        <v>6.7712274754821786</v>
      </c>
      <c r="L109" s="84">
        <f>+'5ta'!K$90*'5ta'!$R89</f>
        <v>4.0991273985427013</v>
      </c>
      <c r="M109" s="84">
        <f>+'5ta'!L$90*'5ta'!$R89</f>
        <v>4.5751846285242097</v>
      </c>
      <c r="N109" s="84">
        <f>+'5ta'!M$90*'5ta'!$R89</f>
        <v>4.5751846285242097</v>
      </c>
      <c r="O109" s="84">
        <f>+'5ta'!N$90*'5ta'!$R89</f>
        <v>2.7808150693631393</v>
      </c>
      <c r="P109" s="84">
        <f>+'5ta'!O$90*'5ta'!$R89</f>
        <v>2.7808150693631393</v>
      </c>
      <c r="Q109" s="84">
        <f t="shared" ref="Q109:AC109" si="63">+P109-(0.049/100)</f>
        <v>2.7803250693631392</v>
      </c>
      <c r="R109" s="84">
        <f t="shared" si="63"/>
        <v>2.7798350693631391</v>
      </c>
      <c r="S109" s="84">
        <f t="shared" si="63"/>
        <v>2.779345069363139</v>
      </c>
      <c r="T109" s="84">
        <f t="shared" si="63"/>
        <v>2.7788550693631389</v>
      </c>
      <c r="U109" s="84">
        <f t="shared" si="63"/>
        <v>2.7783650693631388</v>
      </c>
      <c r="V109" s="84">
        <f t="shared" si="63"/>
        <v>2.7778750693631387</v>
      </c>
      <c r="W109" s="84">
        <f t="shared" si="63"/>
        <v>2.7773850693631386</v>
      </c>
      <c r="X109" s="84">
        <f t="shared" si="63"/>
        <v>2.7768950693631385</v>
      </c>
      <c r="Y109" s="84">
        <f t="shared" si="63"/>
        <v>2.7764050693631384</v>
      </c>
      <c r="Z109" s="84">
        <f t="shared" si="63"/>
        <v>2.7759150693631383</v>
      </c>
      <c r="AA109" s="84">
        <f t="shared" si="63"/>
        <v>2.7754250693631382</v>
      </c>
      <c r="AB109" s="84">
        <f t="shared" si="63"/>
        <v>2.7749350693631381</v>
      </c>
      <c r="AC109" s="219">
        <f t="shared" si="63"/>
        <v>2.774445069363138</v>
      </c>
    </row>
    <row r="110" spans="1:29" x14ac:dyDescent="0.25">
      <c r="A110" s="218" t="s">
        <v>5</v>
      </c>
      <c r="B110" s="86" t="s">
        <v>22</v>
      </c>
      <c r="C110" s="86"/>
      <c r="D110" s="84">
        <f>+'5ta'!C$90*'5ta'!$R90</f>
        <v>3.4423197971978516</v>
      </c>
      <c r="E110" s="84">
        <f>+'5ta'!D$90*'5ta'!$R90</f>
        <v>3.4423197971978516</v>
      </c>
      <c r="F110" s="84">
        <f>+'5ta'!E$90*'5ta'!$R90</f>
        <v>3.4423197971978516</v>
      </c>
      <c r="G110" s="84">
        <f>+'5ta'!F$90*'5ta'!$R90</f>
        <v>3.4423197971978516</v>
      </c>
      <c r="H110" s="84">
        <f>+'5ta'!G$90*'5ta'!$R90</f>
        <v>3.4423197971978516</v>
      </c>
      <c r="I110" s="84">
        <f>+'5ta'!H$90*'5ta'!$R90</f>
        <v>3.6404857747122139</v>
      </c>
      <c r="J110" s="84">
        <f>+'5ta'!I$90*'5ta'!$R90</f>
        <v>3.8386517522265771</v>
      </c>
      <c r="K110" s="84">
        <f>+'5ta'!J$90*'5ta'!$R90</f>
        <v>2.7524603027053631</v>
      </c>
      <c r="L110" s="84">
        <f>+'5ta'!K$90*'5ta'!$R90</f>
        <v>1.6662688531841492</v>
      </c>
      <c r="M110" s="84">
        <f>+'5ta'!L$90*'5ta'!$R90</f>
        <v>1.8597830471887851</v>
      </c>
      <c r="N110" s="84">
        <f>+'5ta'!M$90*'5ta'!$R90</f>
        <v>1.8597830471887851</v>
      </c>
      <c r="O110" s="84">
        <f>+'5ta'!N$90*'5ta'!$R90</f>
        <v>1.1303833928636189</v>
      </c>
      <c r="P110" s="84">
        <f>+'5ta'!O$90*'5ta'!$R90</f>
        <v>1.1303833928636189</v>
      </c>
      <c r="Q110" s="84">
        <f t="shared" ref="Q110:AC110" si="64">+P110-(0.049/100)</f>
        <v>1.1298933928636188</v>
      </c>
      <c r="R110" s="84">
        <f t="shared" si="64"/>
        <v>1.1294033928636187</v>
      </c>
      <c r="S110" s="84">
        <f t="shared" si="64"/>
        <v>1.1289133928636186</v>
      </c>
      <c r="T110" s="84">
        <f t="shared" si="64"/>
        <v>1.1284233928636185</v>
      </c>
      <c r="U110" s="84">
        <f t="shared" si="64"/>
        <v>1.1279333928636184</v>
      </c>
      <c r="V110" s="84">
        <f t="shared" si="64"/>
        <v>1.1274433928636183</v>
      </c>
      <c r="W110" s="84">
        <f t="shared" si="64"/>
        <v>1.1269533928636182</v>
      </c>
      <c r="X110" s="84">
        <f t="shared" si="64"/>
        <v>1.1264633928636181</v>
      </c>
      <c r="Y110" s="84">
        <f t="shared" si="64"/>
        <v>1.125973392863618</v>
      </c>
      <c r="Z110" s="84">
        <f t="shared" si="64"/>
        <v>1.1254833928636179</v>
      </c>
      <c r="AA110" s="84">
        <f t="shared" si="64"/>
        <v>1.1249933928636178</v>
      </c>
      <c r="AB110" s="84">
        <f t="shared" si="64"/>
        <v>1.1245033928636177</v>
      </c>
      <c r="AC110" s="219">
        <f t="shared" si="64"/>
        <v>1.1240133928636176</v>
      </c>
    </row>
    <row r="111" spans="1:29" x14ac:dyDescent="0.25">
      <c r="A111" s="218" t="s">
        <v>5</v>
      </c>
      <c r="B111" s="86" t="s">
        <v>23</v>
      </c>
      <c r="C111" s="86"/>
      <c r="D111" s="84">
        <f>+'5ta'!C$90*'5ta'!$R91</f>
        <v>2.3706365082812315</v>
      </c>
      <c r="E111" s="84">
        <f>+'5ta'!D$90*'5ta'!$R91</f>
        <v>2.3706365082812315</v>
      </c>
      <c r="F111" s="84">
        <f>+'5ta'!E$90*'5ta'!$R91</f>
        <v>2.3706365082812315</v>
      </c>
      <c r="G111" s="84">
        <f>+'5ta'!F$90*'5ta'!$R91</f>
        <v>2.3706365082812315</v>
      </c>
      <c r="H111" s="84">
        <f>+'5ta'!G$90*'5ta'!$R91</f>
        <v>2.3706365082812315</v>
      </c>
      <c r="I111" s="84">
        <f>+'5ta'!H$90*'5ta'!$R91</f>
        <v>2.5071082856498532</v>
      </c>
      <c r="J111" s="84">
        <f>+'5ta'!I$90*'5ta'!$R91</f>
        <v>2.6435800630184758</v>
      </c>
      <c r="K111" s="84">
        <f>+'5ta'!J$90*'5ta'!$R91</f>
        <v>1.8955481377702765</v>
      </c>
      <c r="L111" s="84">
        <f>+'5ta'!K$90*'5ta'!$R91</f>
        <v>1.1475162125220773</v>
      </c>
      <c r="M111" s="84">
        <f>+'5ta'!L$90*'5ta'!$R91</f>
        <v>1.2807844270416706</v>
      </c>
      <c r="N111" s="84">
        <f>+'5ta'!M$90*'5ta'!$R91</f>
        <v>1.2807844270416706</v>
      </c>
      <c r="O111" s="84">
        <f>+'5ta'!N$90*'5ta'!$R91</f>
        <v>0.77846577231397196</v>
      </c>
      <c r="P111" s="84">
        <f>+'5ta'!O$90*'5ta'!$R91</f>
        <v>0.77846577231397196</v>
      </c>
      <c r="Q111" s="84">
        <f t="shared" ref="Q111:AC111" si="65">+P111-(0.049/100)</f>
        <v>0.77797577231397197</v>
      </c>
      <c r="R111" s="84">
        <f t="shared" si="65"/>
        <v>0.77748577231397198</v>
      </c>
      <c r="S111" s="84">
        <f t="shared" si="65"/>
        <v>0.77699577231397199</v>
      </c>
      <c r="T111" s="84">
        <f t="shared" si="65"/>
        <v>0.776505772313972</v>
      </c>
      <c r="U111" s="84">
        <f t="shared" si="65"/>
        <v>0.77601577231397201</v>
      </c>
      <c r="V111" s="84">
        <f t="shared" si="65"/>
        <v>0.77552577231397202</v>
      </c>
      <c r="W111" s="84">
        <f t="shared" si="65"/>
        <v>0.77503577231397203</v>
      </c>
      <c r="X111" s="84">
        <f t="shared" si="65"/>
        <v>0.77454577231397204</v>
      </c>
      <c r="Y111" s="84">
        <f t="shared" si="65"/>
        <v>0.77405577231397205</v>
      </c>
      <c r="Z111" s="84">
        <f t="shared" si="65"/>
        <v>0.77356577231397206</v>
      </c>
      <c r="AA111" s="84">
        <f t="shared" si="65"/>
        <v>0.77307577231397206</v>
      </c>
      <c r="AB111" s="84">
        <f t="shared" si="65"/>
        <v>0.77258577231397207</v>
      </c>
      <c r="AC111" s="219">
        <f t="shared" si="65"/>
        <v>0.77209577231397208</v>
      </c>
    </row>
    <row r="112" spans="1:29" x14ac:dyDescent="0.25">
      <c r="A112" s="218" t="s">
        <v>5</v>
      </c>
      <c r="B112" s="86" t="s">
        <v>24</v>
      </c>
      <c r="C112" s="86"/>
      <c r="D112" s="84">
        <f>+'5ta'!C$90*'5ta'!$R92</f>
        <v>17.347125901318453</v>
      </c>
      <c r="E112" s="84">
        <f>+'5ta'!D$90*'5ta'!$R92</f>
        <v>17.347125901318453</v>
      </c>
      <c r="F112" s="84">
        <f>+'5ta'!E$90*'5ta'!$R92</f>
        <v>17.347125901318453</v>
      </c>
      <c r="G112" s="84">
        <f>+'5ta'!F$90*'5ta'!$R92</f>
        <v>17.347125901318453</v>
      </c>
      <c r="H112" s="84">
        <f>+'5ta'!G$90*'5ta'!$R92</f>
        <v>17.347125901318453</v>
      </c>
      <c r="I112" s="84">
        <f>+'5ta'!H$90*'5ta'!$R92</f>
        <v>18.3457577437457</v>
      </c>
      <c r="J112" s="84">
        <f>+'5ta'!I$90*'5ta'!$R92</f>
        <v>19.344389586172955</v>
      </c>
      <c r="K112" s="84">
        <f>+'5ta'!J$90*'5ta'!$R92</f>
        <v>13.870668102446119</v>
      </c>
      <c r="L112" s="84">
        <f>+'5ta'!K$90*'5ta'!$R92</f>
        <v>8.3969466187192836</v>
      </c>
      <c r="M112" s="84">
        <f>+'5ta'!L$90*'5ta'!$R92</f>
        <v>9.3721363991177249</v>
      </c>
      <c r="N112" s="84">
        <f>+'5ta'!M$90*'5ta'!$R92</f>
        <v>9.3721363991177249</v>
      </c>
      <c r="O112" s="84">
        <f>+'5ta'!N$90*'5ta'!$R92</f>
        <v>5.6964210730005185</v>
      </c>
      <c r="P112" s="84">
        <f>+'5ta'!O$90*'5ta'!$R92</f>
        <v>5.6964210730005185</v>
      </c>
      <c r="Q112" s="84">
        <f t="shared" ref="Q112:AC112" si="66">+P112-(0.049/100)</f>
        <v>5.6959310730005184</v>
      </c>
      <c r="R112" s="84">
        <f t="shared" si="66"/>
        <v>5.6954410730005183</v>
      </c>
      <c r="S112" s="84">
        <f t="shared" si="66"/>
        <v>5.6949510730005182</v>
      </c>
      <c r="T112" s="84">
        <f t="shared" si="66"/>
        <v>5.6944610730005181</v>
      </c>
      <c r="U112" s="84">
        <f t="shared" si="66"/>
        <v>5.693971073000518</v>
      </c>
      <c r="V112" s="84">
        <f t="shared" si="66"/>
        <v>5.6934810730005179</v>
      </c>
      <c r="W112" s="84">
        <f t="shared" si="66"/>
        <v>5.6929910730005178</v>
      </c>
      <c r="X112" s="84">
        <f t="shared" si="66"/>
        <v>5.6925010730005177</v>
      </c>
      <c r="Y112" s="84">
        <f t="shared" si="66"/>
        <v>5.6920110730005176</v>
      </c>
      <c r="Z112" s="84">
        <f t="shared" si="66"/>
        <v>5.6915210730005175</v>
      </c>
      <c r="AA112" s="84">
        <f t="shared" si="66"/>
        <v>5.6910310730005174</v>
      </c>
      <c r="AB112" s="84">
        <f t="shared" si="66"/>
        <v>5.6905410730005173</v>
      </c>
      <c r="AC112" s="219">
        <f t="shared" si="66"/>
        <v>5.6900510730005172</v>
      </c>
    </row>
    <row r="113" spans="1:29" x14ac:dyDescent="0.25">
      <c r="A113" s="218" t="s">
        <v>5</v>
      </c>
      <c r="B113" s="86" t="s">
        <v>25</v>
      </c>
      <c r="C113" s="86"/>
      <c r="D113" s="84">
        <f>+'5ta'!C$90*'5ta'!$R93</f>
        <v>1.9219258931165539</v>
      </c>
      <c r="E113" s="84">
        <f>+'5ta'!D$90*'5ta'!$R93</f>
        <v>1.9219258931165539</v>
      </c>
      <c r="F113" s="84">
        <f>+'5ta'!E$90*'5ta'!$R93</f>
        <v>1.9219258931165539</v>
      </c>
      <c r="G113" s="84">
        <f>+'5ta'!F$90*'5ta'!$R93</f>
        <v>1.9219258931165539</v>
      </c>
      <c r="H113" s="84">
        <f>+'5ta'!G$90*'5ta'!$R93</f>
        <v>1.9219258931165539</v>
      </c>
      <c r="I113" s="84">
        <f>+'5ta'!H$90*'5ta'!$R93</f>
        <v>2.0325664918283985</v>
      </c>
      <c r="J113" s="84">
        <f>+'5ta'!I$90*'5ta'!$R93</f>
        <v>2.1432070905402436</v>
      </c>
      <c r="K113" s="84">
        <f>+'5ta'!J$90*'5ta'!$R93</f>
        <v>1.536761555347385</v>
      </c>
      <c r="L113" s="84">
        <f>+'5ta'!K$90*'5ta'!$R93</f>
        <v>0.93031602015452641</v>
      </c>
      <c r="M113" s="84">
        <f>+'5ta'!L$90*'5ta'!$R93</f>
        <v>1.038359421713511</v>
      </c>
      <c r="N113" s="84">
        <f>+'5ta'!M$90*'5ta'!$R93</f>
        <v>1.038359421713511</v>
      </c>
      <c r="O113" s="84">
        <f>+'5ta'!N$90*'5ta'!$R93</f>
        <v>0.63111890814503058</v>
      </c>
      <c r="P113" s="84">
        <f>+'5ta'!O$90*'5ta'!$R93</f>
        <v>0.63111890814503058</v>
      </c>
      <c r="Q113" s="84">
        <f t="shared" ref="Q113:AC113" si="67">+P113-(0.049/100)</f>
        <v>0.63062890814503059</v>
      </c>
      <c r="R113" s="84">
        <f t="shared" si="67"/>
        <v>0.6301389081450306</v>
      </c>
      <c r="S113" s="84">
        <f t="shared" si="67"/>
        <v>0.62964890814503061</v>
      </c>
      <c r="T113" s="84">
        <f t="shared" si="67"/>
        <v>0.62915890814503062</v>
      </c>
      <c r="U113" s="84">
        <f t="shared" si="67"/>
        <v>0.62866890814503062</v>
      </c>
      <c r="V113" s="84">
        <f t="shared" si="67"/>
        <v>0.62817890814503063</v>
      </c>
      <c r="W113" s="84">
        <f t="shared" si="67"/>
        <v>0.62768890814503064</v>
      </c>
      <c r="X113" s="84">
        <f t="shared" si="67"/>
        <v>0.62719890814503065</v>
      </c>
      <c r="Y113" s="84">
        <f t="shared" si="67"/>
        <v>0.62670890814503066</v>
      </c>
      <c r="Z113" s="84">
        <f t="shared" si="67"/>
        <v>0.62621890814503067</v>
      </c>
      <c r="AA113" s="84">
        <f t="shared" si="67"/>
        <v>0.62572890814503068</v>
      </c>
      <c r="AB113" s="84">
        <f t="shared" si="67"/>
        <v>0.62523890814503069</v>
      </c>
      <c r="AC113" s="219">
        <f t="shared" si="67"/>
        <v>0.6247489081450307</v>
      </c>
    </row>
    <row r="114" spans="1:29" x14ac:dyDescent="0.25">
      <c r="A114" s="218" t="s">
        <v>5</v>
      </c>
      <c r="B114" s="86" t="s">
        <v>26</v>
      </c>
      <c r="C114" s="86"/>
      <c r="D114" s="84">
        <f>+'5ta'!C$90*'5ta'!$R94</f>
        <v>0.4773143868604896</v>
      </c>
      <c r="E114" s="84">
        <f>+'5ta'!D$90*'5ta'!$R94</f>
        <v>0.4773143868604896</v>
      </c>
      <c r="F114" s="84">
        <f>+'5ta'!E$90*'5ta'!$R94</f>
        <v>0.4773143868604896</v>
      </c>
      <c r="G114" s="84">
        <f>+'5ta'!F$90*'5ta'!$R94</f>
        <v>0.4773143868604896</v>
      </c>
      <c r="H114" s="84">
        <f>+'5ta'!G$90*'5ta'!$R94</f>
        <v>0.4773143868604896</v>
      </c>
      <c r="I114" s="84">
        <f>+'5ta'!H$90*'5ta'!$R94</f>
        <v>0.50479221507705285</v>
      </c>
      <c r="J114" s="84">
        <f>+'5ta'!I$90*'5ta'!$R94</f>
        <v>0.53227004329361616</v>
      </c>
      <c r="K114" s="84">
        <f>+'5ta'!J$90*'5ta'!$R94</f>
        <v>0.38165800365588065</v>
      </c>
      <c r="L114" s="84">
        <f>+'5ta'!K$90*'5ta'!$R94</f>
        <v>0.23104596401814509</v>
      </c>
      <c r="M114" s="84">
        <f>+'5ta'!L$90*'5ta'!$R94</f>
        <v>0.25787877279300503</v>
      </c>
      <c r="N114" s="84">
        <f>+'5ta'!M$90*'5ta'!$R94</f>
        <v>0.25787877279300503</v>
      </c>
      <c r="O114" s="84">
        <f>+'5ta'!N$90*'5ta'!$R94</f>
        <v>0.15673972433391753</v>
      </c>
      <c r="P114" s="84">
        <f>+'5ta'!O$90*'5ta'!$R94</f>
        <v>0.15673972433391753</v>
      </c>
      <c r="Q114" s="84">
        <f t="shared" ref="Q114:AC114" si="68">+P114-(0.049/100)</f>
        <v>0.15624972433391754</v>
      </c>
      <c r="R114" s="84">
        <f t="shared" si="68"/>
        <v>0.15575972433391755</v>
      </c>
      <c r="S114" s="84">
        <f t="shared" si="68"/>
        <v>0.15526972433391756</v>
      </c>
      <c r="T114" s="84">
        <f t="shared" si="68"/>
        <v>0.15477972433391757</v>
      </c>
      <c r="U114" s="84">
        <f t="shared" si="68"/>
        <v>0.15428972433391758</v>
      </c>
      <c r="V114" s="84">
        <f t="shared" si="68"/>
        <v>0.15379972433391759</v>
      </c>
      <c r="W114" s="84">
        <f t="shared" si="68"/>
        <v>0.1533097243339176</v>
      </c>
      <c r="X114" s="84">
        <f t="shared" si="68"/>
        <v>0.15281972433391761</v>
      </c>
      <c r="Y114" s="84">
        <f t="shared" si="68"/>
        <v>0.15232972433391762</v>
      </c>
      <c r="Z114" s="84">
        <f t="shared" si="68"/>
        <v>0.15183972433391763</v>
      </c>
      <c r="AA114" s="84">
        <f t="shared" si="68"/>
        <v>0.15134972433391763</v>
      </c>
      <c r="AB114" s="84">
        <f t="shared" si="68"/>
        <v>0.15085972433391764</v>
      </c>
      <c r="AC114" s="219">
        <f t="shared" si="68"/>
        <v>0.15036972433391765</v>
      </c>
    </row>
    <row r="115" spans="1:29" ht="15.75" thickBot="1" x14ac:dyDescent="0.3">
      <c r="A115" s="220" t="s">
        <v>5</v>
      </c>
      <c r="B115" s="211" t="s">
        <v>27</v>
      </c>
      <c r="C115" s="211"/>
      <c r="D115" s="221">
        <f>+'5ta'!C$90*'5ta'!$R95</f>
        <v>1.9960470624020827</v>
      </c>
      <c r="E115" s="221">
        <f>+'5ta'!D$90*'5ta'!$R95</f>
        <v>1.9960470624020827</v>
      </c>
      <c r="F115" s="221">
        <f>+'5ta'!E$90*'5ta'!$R95</f>
        <v>1.9960470624020827</v>
      </c>
      <c r="G115" s="221">
        <f>+'5ta'!F$90*'5ta'!$R95</f>
        <v>1.9960470624020827</v>
      </c>
      <c r="H115" s="221">
        <f>+'5ta'!G$90*'5ta'!$R95</f>
        <v>1.9960470624020827</v>
      </c>
      <c r="I115" s="221">
        <f>+'5ta'!H$90*'5ta'!$R95</f>
        <v>2.110954636534959</v>
      </c>
      <c r="J115" s="221">
        <f>+'5ta'!I$90*'5ta'!$R95</f>
        <v>2.2258622106678358</v>
      </c>
      <c r="K115" s="221">
        <f>+'5ta'!J$90*'5ta'!$R95</f>
        <v>1.5960284416531247</v>
      </c>
      <c r="L115" s="221">
        <f>+'5ta'!K$90*'5ta'!$R95</f>
        <v>0.96619467263841352</v>
      </c>
      <c r="M115" s="221">
        <f>+'5ta'!L$90*'5ta'!$R95</f>
        <v>1.0784048858761521</v>
      </c>
      <c r="N115" s="221">
        <f>+'5ta'!M$90*'5ta'!$R95</f>
        <v>1.0784048858761521</v>
      </c>
      <c r="O115" s="221">
        <f>+'5ta'!N$90*'5ta'!$R95</f>
        <v>0.65545869751852182</v>
      </c>
      <c r="P115" s="221">
        <f>+'5ta'!O$90*'5ta'!$R95</f>
        <v>0.65545869751852182</v>
      </c>
      <c r="Q115" s="221">
        <f t="shared" ref="Q115:AC115" si="69">+P115-(0.049/100)</f>
        <v>0.65496869751852183</v>
      </c>
      <c r="R115" s="221">
        <f t="shared" si="69"/>
        <v>0.65447869751852183</v>
      </c>
      <c r="S115" s="221">
        <f t="shared" si="69"/>
        <v>0.65398869751852184</v>
      </c>
      <c r="T115" s="221">
        <f t="shared" si="69"/>
        <v>0.65349869751852185</v>
      </c>
      <c r="U115" s="221">
        <f t="shared" si="69"/>
        <v>0.65300869751852186</v>
      </c>
      <c r="V115" s="221">
        <f t="shared" si="69"/>
        <v>0.65251869751852187</v>
      </c>
      <c r="W115" s="221">
        <f t="shared" si="69"/>
        <v>0.65202869751852188</v>
      </c>
      <c r="X115" s="221">
        <f t="shared" si="69"/>
        <v>0.65153869751852189</v>
      </c>
      <c r="Y115" s="221">
        <f t="shared" si="69"/>
        <v>0.6510486975185219</v>
      </c>
      <c r="Z115" s="221">
        <f t="shared" si="69"/>
        <v>0.65055869751852191</v>
      </c>
      <c r="AA115" s="221">
        <f t="shared" si="69"/>
        <v>0.65006869751852192</v>
      </c>
      <c r="AB115" s="221">
        <f t="shared" si="69"/>
        <v>0.64957869751852193</v>
      </c>
      <c r="AC115" s="222">
        <f t="shared" si="69"/>
        <v>0.64908869751852194</v>
      </c>
    </row>
    <row r="116" spans="1:29" ht="15.75" thickBot="1" x14ac:dyDescent="0.3"/>
    <row r="117" spans="1:29" x14ac:dyDescent="0.25">
      <c r="A117" s="204" t="s">
        <v>105</v>
      </c>
      <c r="B117" s="205" t="s">
        <v>106</v>
      </c>
      <c r="C117" s="205"/>
      <c r="D117" s="206">
        <v>2010</v>
      </c>
      <c r="E117" s="206">
        <v>2011</v>
      </c>
      <c r="F117" s="206">
        <v>2012</v>
      </c>
      <c r="G117" s="206">
        <v>2013</v>
      </c>
      <c r="H117" s="206">
        <v>2014</v>
      </c>
      <c r="I117" s="206">
        <v>2015</v>
      </c>
      <c r="J117" s="206">
        <v>2016</v>
      </c>
      <c r="K117" s="206">
        <v>2017</v>
      </c>
      <c r="L117" s="206">
        <v>2018</v>
      </c>
      <c r="M117" s="206">
        <v>2019</v>
      </c>
      <c r="N117" s="206">
        <v>2020</v>
      </c>
      <c r="O117" s="206">
        <v>2021</v>
      </c>
      <c r="P117" s="206">
        <v>2022</v>
      </c>
      <c r="Q117" s="206">
        <v>2023</v>
      </c>
      <c r="R117" s="206">
        <v>2024</v>
      </c>
      <c r="S117" s="206">
        <v>2025</v>
      </c>
      <c r="T117" s="206">
        <v>2026</v>
      </c>
      <c r="U117" s="206">
        <v>2027</v>
      </c>
      <c r="V117" s="206">
        <v>2028</v>
      </c>
      <c r="W117" s="206">
        <v>2029</v>
      </c>
      <c r="X117" s="206">
        <v>2030</v>
      </c>
      <c r="Y117" s="206">
        <v>2031</v>
      </c>
      <c r="Z117" s="206">
        <v>2032</v>
      </c>
      <c r="AA117" s="206">
        <v>2033</v>
      </c>
      <c r="AB117" s="206">
        <v>2034</v>
      </c>
      <c r="AC117" s="207">
        <v>2035</v>
      </c>
    </row>
    <row r="118" spans="1:29" x14ac:dyDescent="0.25">
      <c r="A118" s="218" t="s">
        <v>6</v>
      </c>
      <c r="B118" s="86" t="s">
        <v>18</v>
      </c>
      <c r="C118" s="86"/>
      <c r="D118" s="84">
        <f>+'5ta'!C$91*'5ta'!$R87</f>
        <v>0</v>
      </c>
      <c r="E118" s="84" t="e">
        <f>+'5ta'!D$91*'5ta'!$R87</f>
        <v>#VALUE!</v>
      </c>
      <c r="F118" s="84">
        <f>+'5ta'!E$91*'5ta'!$R87</f>
        <v>0</v>
      </c>
      <c r="G118" s="84" t="e">
        <f>+'5ta'!F$91*'5ta'!$R87</f>
        <v>#VALUE!</v>
      </c>
      <c r="H118" s="84">
        <f>+'5ta'!G$91*'5ta'!$R87</f>
        <v>0</v>
      </c>
      <c r="I118" s="84" t="e">
        <f>+'5ta'!H$91*'5ta'!$R87</f>
        <v>#VALUE!</v>
      </c>
      <c r="J118" s="84">
        <f>+'5ta'!I$91*'5ta'!$R87</f>
        <v>0</v>
      </c>
      <c r="K118" s="84" t="e">
        <f>+'5ta'!J$91*'5ta'!$R87</f>
        <v>#VALUE!</v>
      </c>
      <c r="L118" s="84">
        <f>+'5ta'!K$91*'5ta'!$R87</f>
        <v>0.43259573915164978</v>
      </c>
      <c r="M118" s="84">
        <f>+'5ta'!L$91*'5ta'!$R87</f>
        <v>0.131036139243284</v>
      </c>
      <c r="N118" s="84">
        <f>+'5ta'!M$91*'5ta'!$R87</f>
        <v>0.131036139243284</v>
      </c>
      <c r="O118" s="84">
        <f>+'5ta'!N$91*'5ta'!$R87</f>
        <v>0</v>
      </c>
      <c r="P118" s="84">
        <f>+'5ta'!O$91*'5ta'!$R87</f>
        <v>0</v>
      </c>
      <c r="Q118" s="84">
        <f t="shared" ref="Q118:AC118" si="70">+P118-(0.049/100)</f>
        <v>-4.8999999999999998E-4</v>
      </c>
      <c r="R118" s="84">
        <f t="shared" si="70"/>
        <v>-9.7999999999999997E-4</v>
      </c>
      <c r="S118" s="84">
        <f t="shared" si="70"/>
        <v>-1.47E-3</v>
      </c>
      <c r="T118" s="84">
        <f t="shared" si="70"/>
        <v>-1.9599999999999999E-3</v>
      </c>
      <c r="U118" s="84">
        <f t="shared" si="70"/>
        <v>-2.4499999999999999E-3</v>
      </c>
      <c r="V118" s="84">
        <f t="shared" si="70"/>
        <v>-2.9399999999999999E-3</v>
      </c>
      <c r="W118" s="84">
        <f t="shared" si="70"/>
        <v>-3.4299999999999999E-3</v>
      </c>
      <c r="X118" s="84">
        <f t="shared" si="70"/>
        <v>-3.9199999999999999E-3</v>
      </c>
      <c r="Y118" s="84">
        <f t="shared" si="70"/>
        <v>-4.4099999999999999E-3</v>
      </c>
      <c r="Z118" s="84">
        <f t="shared" si="70"/>
        <v>-4.8999999999999998E-3</v>
      </c>
      <c r="AA118" s="84">
        <f t="shared" si="70"/>
        <v>-5.3899999999999998E-3</v>
      </c>
      <c r="AB118" s="84">
        <f t="shared" si="70"/>
        <v>-5.8799999999999998E-3</v>
      </c>
      <c r="AC118" s="219">
        <f t="shared" si="70"/>
        <v>-6.3699999999999998E-3</v>
      </c>
    </row>
    <row r="119" spans="1:29" x14ac:dyDescent="0.25">
      <c r="A119" s="218" t="s">
        <v>6</v>
      </c>
      <c r="B119" s="86" t="s">
        <v>20</v>
      </c>
      <c r="C119" s="86"/>
      <c r="D119" s="84">
        <f>+'5ta'!C$91*'5ta'!$R88</f>
        <v>0</v>
      </c>
      <c r="E119" s="84" t="e">
        <f>+'5ta'!D$91*'5ta'!$R88</f>
        <v>#VALUE!</v>
      </c>
      <c r="F119" s="84">
        <f>+'5ta'!E$91*'5ta'!$R88</f>
        <v>0</v>
      </c>
      <c r="G119" s="84" t="e">
        <f>+'5ta'!F$91*'5ta'!$R88</f>
        <v>#VALUE!</v>
      </c>
      <c r="H119" s="84">
        <f>+'5ta'!G$91*'5ta'!$R88</f>
        <v>0</v>
      </c>
      <c r="I119" s="84" t="e">
        <f>+'5ta'!H$91*'5ta'!$R88</f>
        <v>#VALUE!</v>
      </c>
      <c r="J119" s="84">
        <f>+'5ta'!I$91*'5ta'!$R88</f>
        <v>0</v>
      </c>
      <c r="K119" s="84" t="e">
        <f>+'5ta'!J$91*'5ta'!$R88</f>
        <v>#VALUE!</v>
      </c>
      <c r="L119" s="84">
        <f>+'5ta'!K$91*'5ta'!$R88</f>
        <v>4.224377800008134</v>
      </c>
      <c r="M119" s="84">
        <f>+'5ta'!L$91*'5ta'!$R88</f>
        <v>1.2795922555863497</v>
      </c>
      <c r="N119" s="84">
        <f>+'5ta'!M$91*'5ta'!$R88</f>
        <v>1.2795922555863497</v>
      </c>
      <c r="O119" s="84">
        <f>+'5ta'!N$91*'5ta'!$R88</f>
        <v>0</v>
      </c>
      <c r="P119" s="84">
        <f>+'5ta'!O$91*'5ta'!$R88</f>
        <v>0</v>
      </c>
      <c r="Q119" s="84">
        <f t="shared" ref="Q119:AC119" si="71">+P119-(0.049/100)</f>
        <v>-4.8999999999999998E-4</v>
      </c>
      <c r="R119" s="84">
        <f t="shared" si="71"/>
        <v>-9.7999999999999997E-4</v>
      </c>
      <c r="S119" s="84">
        <f t="shared" si="71"/>
        <v>-1.47E-3</v>
      </c>
      <c r="T119" s="84">
        <f t="shared" si="71"/>
        <v>-1.9599999999999999E-3</v>
      </c>
      <c r="U119" s="84">
        <f t="shared" si="71"/>
        <v>-2.4499999999999999E-3</v>
      </c>
      <c r="V119" s="84">
        <f t="shared" si="71"/>
        <v>-2.9399999999999999E-3</v>
      </c>
      <c r="W119" s="84">
        <f t="shared" si="71"/>
        <v>-3.4299999999999999E-3</v>
      </c>
      <c r="X119" s="84">
        <f t="shared" si="71"/>
        <v>-3.9199999999999999E-3</v>
      </c>
      <c r="Y119" s="84">
        <f t="shared" si="71"/>
        <v>-4.4099999999999999E-3</v>
      </c>
      <c r="Z119" s="84">
        <f t="shared" si="71"/>
        <v>-4.8999999999999998E-3</v>
      </c>
      <c r="AA119" s="84">
        <f t="shared" si="71"/>
        <v>-5.3899999999999998E-3</v>
      </c>
      <c r="AB119" s="84">
        <f t="shared" si="71"/>
        <v>-5.8799999999999998E-3</v>
      </c>
      <c r="AC119" s="219">
        <f t="shared" si="71"/>
        <v>-6.3699999999999998E-3</v>
      </c>
    </row>
    <row r="120" spans="1:29" x14ac:dyDescent="0.25">
      <c r="A120" s="218" t="s">
        <v>6</v>
      </c>
      <c r="B120" s="86" t="s">
        <v>21</v>
      </c>
      <c r="C120" s="86"/>
      <c r="D120" s="84">
        <f>+'5ta'!C$91*'5ta'!$R89</f>
        <v>0</v>
      </c>
      <c r="E120" s="84" t="e">
        <f>+'5ta'!D$91*'5ta'!$R89</f>
        <v>#VALUE!</v>
      </c>
      <c r="F120" s="84">
        <f>+'5ta'!E$91*'5ta'!$R89</f>
        <v>0</v>
      </c>
      <c r="G120" s="84" t="e">
        <f>+'5ta'!F$91*'5ta'!$R89</f>
        <v>#VALUE!</v>
      </c>
      <c r="H120" s="84">
        <f>+'5ta'!G$91*'5ta'!$R89</f>
        <v>0</v>
      </c>
      <c r="I120" s="84" t="e">
        <f>+'5ta'!H$91*'5ta'!$R89</f>
        <v>#VALUE!</v>
      </c>
      <c r="J120" s="84">
        <f>+'5ta'!I$91*'5ta'!$R89</f>
        <v>0</v>
      </c>
      <c r="K120" s="84" t="e">
        <f>+'5ta'!J$91*'5ta'!$R89</f>
        <v>#VALUE!</v>
      </c>
      <c r="L120" s="84">
        <f>+'5ta'!K$91*'5ta'!$R89</f>
        <v>40.39391371126753</v>
      </c>
      <c r="M120" s="84">
        <f>+'5ta'!L$91*'5ta'!$R89</f>
        <v>12.235586305197812</v>
      </c>
      <c r="N120" s="84">
        <f>+'5ta'!M$91*'5ta'!$R89</f>
        <v>12.235586305197812</v>
      </c>
      <c r="O120" s="84">
        <f>+'5ta'!N$91*'5ta'!$R89</f>
        <v>0</v>
      </c>
      <c r="P120" s="84">
        <f>+'5ta'!O$91*'5ta'!$R89</f>
        <v>0</v>
      </c>
      <c r="Q120" s="84">
        <f t="shared" ref="Q120:AC120" si="72">+P120-(0.049/100)</f>
        <v>-4.8999999999999998E-4</v>
      </c>
      <c r="R120" s="84">
        <f t="shared" si="72"/>
        <v>-9.7999999999999997E-4</v>
      </c>
      <c r="S120" s="84">
        <f t="shared" si="72"/>
        <v>-1.47E-3</v>
      </c>
      <c r="T120" s="84">
        <f t="shared" si="72"/>
        <v>-1.9599999999999999E-3</v>
      </c>
      <c r="U120" s="84">
        <f t="shared" si="72"/>
        <v>-2.4499999999999999E-3</v>
      </c>
      <c r="V120" s="84">
        <f t="shared" si="72"/>
        <v>-2.9399999999999999E-3</v>
      </c>
      <c r="W120" s="84">
        <f t="shared" si="72"/>
        <v>-3.4299999999999999E-3</v>
      </c>
      <c r="X120" s="84">
        <f t="shared" si="72"/>
        <v>-3.9199999999999999E-3</v>
      </c>
      <c r="Y120" s="84">
        <f t="shared" si="72"/>
        <v>-4.4099999999999999E-3</v>
      </c>
      <c r="Z120" s="84">
        <f t="shared" si="72"/>
        <v>-4.8999999999999998E-3</v>
      </c>
      <c r="AA120" s="84">
        <f t="shared" si="72"/>
        <v>-5.3899999999999998E-3</v>
      </c>
      <c r="AB120" s="84">
        <f t="shared" si="72"/>
        <v>-5.8799999999999998E-3</v>
      </c>
      <c r="AC120" s="219">
        <f t="shared" si="72"/>
        <v>-6.3699999999999998E-3</v>
      </c>
    </row>
    <row r="121" spans="1:29" x14ac:dyDescent="0.25">
      <c r="A121" s="218" t="s">
        <v>6</v>
      </c>
      <c r="B121" s="86" t="s">
        <v>22</v>
      </c>
      <c r="C121" s="86"/>
      <c r="D121" s="84">
        <f>+'5ta'!C$91*'5ta'!$R90</f>
        <v>0</v>
      </c>
      <c r="E121" s="84" t="e">
        <f>+'5ta'!D$91*'5ta'!$R90</f>
        <v>#VALUE!</v>
      </c>
      <c r="F121" s="84">
        <f>+'5ta'!E$91*'5ta'!$R90</f>
        <v>0</v>
      </c>
      <c r="G121" s="84" t="e">
        <f>+'5ta'!F$91*'5ta'!$R90</f>
        <v>#VALUE!</v>
      </c>
      <c r="H121" s="84">
        <f>+'5ta'!G$91*'5ta'!$R90</f>
        <v>0</v>
      </c>
      <c r="I121" s="84" t="e">
        <f>+'5ta'!H$91*'5ta'!$R90</f>
        <v>#VALUE!</v>
      </c>
      <c r="J121" s="84">
        <f>+'5ta'!I$91*'5ta'!$R90</f>
        <v>0</v>
      </c>
      <c r="K121" s="84" t="e">
        <f>+'5ta'!J$91*'5ta'!$R90</f>
        <v>#VALUE!</v>
      </c>
      <c r="L121" s="84">
        <f>+'5ta'!K$91*'5ta'!$R90</f>
        <v>16.419865432633753</v>
      </c>
      <c r="M121" s="84">
        <f>+'5ta'!L$91*'5ta'!$R90</f>
        <v>4.973686928599923</v>
      </c>
      <c r="N121" s="84">
        <f>+'5ta'!M$91*'5ta'!$R90</f>
        <v>4.973686928599923</v>
      </c>
      <c r="O121" s="84">
        <f>+'5ta'!N$91*'5ta'!$R90</f>
        <v>0</v>
      </c>
      <c r="P121" s="84">
        <f>+'5ta'!O$91*'5ta'!$R90</f>
        <v>0</v>
      </c>
      <c r="Q121" s="84">
        <f t="shared" ref="Q121:AC121" si="73">+P121-(0.049/100)</f>
        <v>-4.8999999999999998E-4</v>
      </c>
      <c r="R121" s="84">
        <f t="shared" si="73"/>
        <v>-9.7999999999999997E-4</v>
      </c>
      <c r="S121" s="84">
        <f t="shared" si="73"/>
        <v>-1.47E-3</v>
      </c>
      <c r="T121" s="84">
        <f t="shared" si="73"/>
        <v>-1.9599999999999999E-3</v>
      </c>
      <c r="U121" s="84">
        <f t="shared" si="73"/>
        <v>-2.4499999999999999E-3</v>
      </c>
      <c r="V121" s="84">
        <f t="shared" si="73"/>
        <v>-2.9399999999999999E-3</v>
      </c>
      <c r="W121" s="84">
        <f t="shared" si="73"/>
        <v>-3.4299999999999999E-3</v>
      </c>
      <c r="X121" s="84">
        <f t="shared" si="73"/>
        <v>-3.9199999999999999E-3</v>
      </c>
      <c r="Y121" s="84">
        <f t="shared" si="73"/>
        <v>-4.4099999999999999E-3</v>
      </c>
      <c r="Z121" s="84">
        <f t="shared" si="73"/>
        <v>-4.8999999999999998E-3</v>
      </c>
      <c r="AA121" s="84">
        <f t="shared" si="73"/>
        <v>-5.3899999999999998E-3</v>
      </c>
      <c r="AB121" s="84">
        <f t="shared" si="73"/>
        <v>-5.8799999999999998E-3</v>
      </c>
      <c r="AC121" s="219">
        <f t="shared" si="73"/>
        <v>-6.3699999999999998E-3</v>
      </c>
    </row>
    <row r="122" spans="1:29" x14ac:dyDescent="0.25">
      <c r="A122" s="218" t="s">
        <v>6</v>
      </c>
      <c r="B122" s="86" t="s">
        <v>23</v>
      </c>
      <c r="C122" s="86"/>
      <c r="D122" s="84">
        <f>+'5ta'!C$91*'5ta'!$R91</f>
        <v>0</v>
      </c>
      <c r="E122" s="84" t="e">
        <f>+'5ta'!D$91*'5ta'!$R91</f>
        <v>#VALUE!</v>
      </c>
      <c r="F122" s="84">
        <f>+'5ta'!E$91*'5ta'!$R91</f>
        <v>0</v>
      </c>
      <c r="G122" s="84" t="e">
        <f>+'5ta'!F$91*'5ta'!$R91</f>
        <v>#VALUE!</v>
      </c>
      <c r="H122" s="84">
        <f>+'5ta'!G$91*'5ta'!$R91</f>
        <v>0</v>
      </c>
      <c r="I122" s="84" t="e">
        <f>+'5ta'!H$91*'5ta'!$R91</f>
        <v>#VALUE!</v>
      </c>
      <c r="J122" s="84">
        <f>+'5ta'!I$91*'5ta'!$R91</f>
        <v>0</v>
      </c>
      <c r="K122" s="84" t="e">
        <f>+'5ta'!J$91*'5ta'!$R91</f>
        <v>#VALUE!</v>
      </c>
      <c r="L122" s="84">
        <f>+'5ta'!K$91*'5ta'!$R91</f>
        <v>11.307936144501475</v>
      </c>
      <c r="M122" s="84">
        <f>+'5ta'!L$91*'5ta'!$R91</f>
        <v>3.4252493981814767</v>
      </c>
      <c r="N122" s="84">
        <f>+'5ta'!M$91*'5ta'!$R91</f>
        <v>3.4252493981814767</v>
      </c>
      <c r="O122" s="84">
        <f>+'5ta'!N$91*'5ta'!$R91</f>
        <v>0</v>
      </c>
      <c r="P122" s="84">
        <f>+'5ta'!O$91*'5ta'!$R91</f>
        <v>0</v>
      </c>
      <c r="Q122" s="84">
        <f t="shared" ref="Q122:AC122" si="74">+P122-(0.049/100)</f>
        <v>-4.8999999999999998E-4</v>
      </c>
      <c r="R122" s="84">
        <f t="shared" si="74"/>
        <v>-9.7999999999999997E-4</v>
      </c>
      <c r="S122" s="84">
        <f t="shared" si="74"/>
        <v>-1.47E-3</v>
      </c>
      <c r="T122" s="84">
        <f t="shared" si="74"/>
        <v>-1.9599999999999999E-3</v>
      </c>
      <c r="U122" s="84">
        <f t="shared" si="74"/>
        <v>-2.4499999999999999E-3</v>
      </c>
      <c r="V122" s="84">
        <f t="shared" si="74"/>
        <v>-2.9399999999999999E-3</v>
      </c>
      <c r="W122" s="84">
        <f t="shared" si="74"/>
        <v>-3.4299999999999999E-3</v>
      </c>
      <c r="X122" s="84">
        <f t="shared" si="74"/>
        <v>-3.9199999999999999E-3</v>
      </c>
      <c r="Y122" s="84">
        <f t="shared" si="74"/>
        <v>-4.4099999999999999E-3</v>
      </c>
      <c r="Z122" s="84">
        <f t="shared" si="74"/>
        <v>-4.8999999999999998E-3</v>
      </c>
      <c r="AA122" s="84">
        <f t="shared" si="74"/>
        <v>-5.3899999999999998E-3</v>
      </c>
      <c r="AB122" s="84">
        <f t="shared" si="74"/>
        <v>-5.8799999999999998E-3</v>
      </c>
      <c r="AC122" s="219">
        <f t="shared" si="74"/>
        <v>-6.3699999999999998E-3</v>
      </c>
    </row>
    <row r="123" spans="1:29" x14ac:dyDescent="0.25">
      <c r="A123" s="218" t="s">
        <v>6</v>
      </c>
      <c r="B123" s="86" t="s">
        <v>24</v>
      </c>
      <c r="C123" s="86"/>
      <c r="D123" s="84">
        <f>+'5ta'!C$91*'5ta'!$R92</f>
        <v>0</v>
      </c>
      <c r="E123" s="84" t="e">
        <f>+'5ta'!D$91*'5ta'!$R92</f>
        <v>#VALUE!</v>
      </c>
      <c r="F123" s="84">
        <f>+'5ta'!E$91*'5ta'!$R92</f>
        <v>0</v>
      </c>
      <c r="G123" s="84" t="e">
        <f>+'5ta'!F$91*'5ta'!$R92</f>
        <v>#VALUE!</v>
      </c>
      <c r="H123" s="84">
        <f>+'5ta'!G$91*'5ta'!$R92</f>
        <v>0</v>
      </c>
      <c r="I123" s="84" t="e">
        <f>+'5ta'!H$91*'5ta'!$R92</f>
        <v>#VALUE!</v>
      </c>
      <c r="J123" s="84">
        <f>+'5ta'!I$91*'5ta'!$R92</f>
        <v>0</v>
      </c>
      <c r="K123" s="84" t="e">
        <f>+'5ta'!J$91*'5ta'!$R92</f>
        <v>#VALUE!</v>
      </c>
      <c r="L123" s="84">
        <f>+'5ta'!K$91*'5ta'!$R92</f>
        <v>82.745790549289026</v>
      </c>
      <c r="M123" s="84">
        <f>+'5ta'!L$91*'5ta'!$R92</f>
        <v>25.064252721202283</v>
      </c>
      <c r="N123" s="84">
        <f>+'5ta'!M$91*'5ta'!$R92</f>
        <v>25.064252721202283</v>
      </c>
      <c r="O123" s="84">
        <f>+'5ta'!N$91*'5ta'!$R92</f>
        <v>0</v>
      </c>
      <c r="P123" s="84">
        <f>+'5ta'!O$91*'5ta'!$R92</f>
        <v>0</v>
      </c>
      <c r="Q123" s="84">
        <f t="shared" ref="Q123:AC123" si="75">+P123-(0.049/100)</f>
        <v>-4.8999999999999998E-4</v>
      </c>
      <c r="R123" s="84">
        <f t="shared" si="75"/>
        <v>-9.7999999999999997E-4</v>
      </c>
      <c r="S123" s="84">
        <f t="shared" si="75"/>
        <v>-1.47E-3</v>
      </c>
      <c r="T123" s="84">
        <f t="shared" si="75"/>
        <v>-1.9599999999999999E-3</v>
      </c>
      <c r="U123" s="84">
        <f t="shared" si="75"/>
        <v>-2.4499999999999999E-3</v>
      </c>
      <c r="V123" s="84">
        <f t="shared" si="75"/>
        <v>-2.9399999999999999E-3</v>
      </c>
      <c r="W123" s="84">
        <f t="shared" si="75"/>
        <v>-3.4299999999999999E-3</v>
      </c>
      <c r="X123" s="84">
        <f t="shared" si="75"/>
        <v>-3.9199999999999999E-3</v>
      </c>
      <c r="Y123" s="84">
        <f t="shared" si="75"/>
        <v>-4.4099999999999999E-3</v>
      </c>
      <c r="Z123" s="84">
        <f t="shared" si="75"/>
        <v>-4.8999999999999998E-3</v>
      </c>
      <c r="AA123" s="84">
        <f t="shared" si="75"/>
        <v>-5.3899999999999998E-3</v>
      </c>
      <c r="AB123" s="84">
        <f t="shared" si="75"/>
        <v>-5.8799999999999998E-3</v>
      </c>
      <c r="AC123" s="219">
        <f t="shared" si="75"/>
        <v>-6.3699999999999998E-3</v>
      </c>
    </row>
    <row r="124" spans="1:29" x14ac:dyDescent="0.25">
      <c r="A124" s="218" t="s">
        <v>6</v>
      </c>
      <c r="B124" s="86" t="s">
        <v>25</v>
      </c>
      <c r="C124" s="86"/>
      <c r="D124" s="84">
        <f>+'5ta'!C$91*'5ta'!$R93</f>
        <v>0</v>
      </c>
      <c r="E124" s="84" t="e">
        <f>+'5ta'!D$91*'5ta'!$R93</f>
        <v>#VALUE!</v>
      </c>
      <c r="F124" s="84">
        <f>+'5ta'!E$91*'5ta'!$R93</f>
        <v>0</v>
      </c>
      <c r="G124" s="84" t="e">
        <f>+'5ta'!F$91*'5ta'!$R93</f>
        <v>#VALUE!</v>
      </c>
      <c r="H124" s="84">
        <f>+'5ta'!G$91*'5ta'!$R93</f>
        <v>0</v>
      </c>
      <c r="I124" s="84" t="e">
        <f>+'5ta'!H$91*'5ta'!$R93</f>
        <v>#VALUE!</v>
      </c>
      <c r="J124" s="84">
        <f>+'5ta'!I$91*'5ta'!$R93</f>
        <v>0</v>
      </c>
      <c r="K124" s="84" t="e">
        <f>+'5ta'!J$91*'5ta'!$R93</f>
        <v>#VALUE!</v>
      </c>
      <c r="L124" s="84">
        <f>+'5ta'!K$91*'5ta'!$R93</f>
        <v>9.1675865101659628</v>
      </c>
      <c r="M124" s="84">
        <f>+'5ta'!L$91*'5ta'!$R93</f>
        <v>2.7769231958381342</v>
      </c>
      <c r="N124" s="84">
        <f>+'5ta'!M$91*'5ta'!$R93</f>
        <v>2.7769231958381342</v>
      </c>
      <c r="O124" s="84">
        <f>+'5ta'!N$91*'5ta'!$R93</f>
        <v>0</v>
      </c>
      <c r="P124" s="84">
        <f>+'5ta'!O$91*'5ta'!$R93</f>
        <v>0</v>
      </c>
      <c r="Q124" s="84">
        <f t="shared" ref="Q124:AC124" si="76">+P124-(0.049/100)</f>
        <v>-4.8999999999999998E-4</v>
      </c>
      <c r="R124" s="84">
        <f t="shared" si="76"/>
        <v>-9.7999999999999997E-4</v>
      </c>
      <c r="S124" s="84">
        <f t="shared" si="76"/>
        <v>-1.47E-3</v>
      </c>
      <c r="T124" s="84">
        <f t="shared" si="76"/>
        <v>-1.9599999999999999E-3</v>
      </c>
      <c r="U124" s="84">
        <f t="shared" si="76"/>
        <v>-2.4499999999999999E-3</v>
      </c>
      <c r="V124" s="84">
        <f t="shared" si="76"/>
        <v>-2.9399999999999999E-3</v>
      </c>
      <c r="W124" s="84">
        <f t="shared" si="76"/>
        <v>-3.4299999999999999E-3</v>
      </c>
      <c r="X124" s="84">
        <f t="shared" si="76"/>
        <v>-3.9199999999999999E-3</v>
      </c>
      <c r="Y124" s="84">
        <f t="shared" si="76"/>
        <v>-4.4099999999999999E-3</v>
      </c>
      <c r="Z124" s="84">
        <f t="shared" si="76"/>
        <v>-4.8999999999999998E-3</v>
      </c>
      <c r="AA124" s="84">
        <f t="shared" si="76"/>
        <v>-5.3899999999999998E-3</v>
      </c>
      <c r="AB124" s="84">
        <f t="shared" si="76"/>
        <v>-5.8799999999999998E-3</v>
      </c>
      <c r="AC124" s="219">
        <f t="shared" si="76"/>
        <v>-6.3699999999999998E-3</v>
      </c>
    </row>
    <row r="125" spans="1:29" x14ac:dyDescent="0.25">
      <c r="A125" s="218" t="s">
        <v>6</v>
      </c>
      <c r="B125" s="86" t="s">
        <v>26</v>
      </c>
      <c r="C125" s="86"/>
      <c r="D125" s="84">
        <f>+'5ta'!C$91*'5ta'!$R94</f>
        <v>0</v>
      </c>
      <c r="E125" s="84" t="e">
        <f>+'5ta'!D$91*'5ta'!$R94</f>
        <v>#VALUE!</v>
      </c>
      <c r="F125" s="84">
        <f>+'5ta'!E$91*'5ta'!$R94</f>
        <v>0</v>
      </c>
      <c r="G125" s="84" t="e">
        <f>+'5ta'!F$91*'5ta'!$R94</f>
        <v>#VALUE!</v>
      </c>
      <c r="H125" s="84">
        <f>+'5ta'!G$91*'5ta'!$R94</f>
        <v>0</v>
      </c>
      <c r="I125" s="84" t="e">
        <f>+'5ta'!H$91*'5ta'!$R94</f>
        <v>#VALUE!</v>
      </c>
      <c r="J125" s="84">
        <f>+'5ta'!I$91*'5ta'!$R94</f>
        <v>0</v>
      </c>
      <c r="K125" s="84" t="e">
        <f>+'5ta'!J$91*'5ta'!$R94</f>
        <v>#VALUE!</v>
      </c>
      <c r="L125" s="84">
        <f>+'5ta'!K$91*'5ta'!$R94</f>
        <v>2.2767896253245357</v>
      </c>
      <c r="M125" s="84">
        <f>+'5ta'!L$91*'5ta'!$R94</f>
        <v>0.68965478706923711</v>
      </c>
      <c r="N125" s="84">
        <f>+'5ta'!M$91*'5ta'!$R94</f>
        <v>0.68965478706923711</v>
      </c>
      <c r="O125" s="84">
        <f>+'5ta'!N$91*'5ta'!$R94</f>
        <v>0</v>
      </c>
      <c r="P125" s="84">
        <f>+'5ta'!O$91*'5ta'!$R94</f>
        <v>0</v>
      </c>
      <c r="Q125" s="84">
        <f t="shared" ref="Q125:AC125" si="77">+P125-(0.049/100)</f>
        <v>-4.8999999999999998E-4</v>
      </c>
      <c r="R125" s="84">
        <f t="shared" si="77"/>
        <v>-9.7999999999999997E-4</v>
      </c>
      <c r="S125" s="84">
        <f t="shared" si="77"/>
        <v>-1.47E-3</v>
      </c>
      <c r="T125" s="84">
        <f t="shared" si="77"/>
        <v>-1.9599999999999999E-3</v>
      </c>
      <c r="U125" s="84">
        <f t="shared" si="77"/>
        <v>-2.4499999999999999E-3</v>
      </c>
      <c r="V125" s="84">
        <f t="shared" si="77"/>
        <v>-2.9399999999999999E-3</v>
      </c>
      <c r="W125" s="84">
        <f t="shared" si="77"/>
        <v>-3.4299999999999999E-3</v>
      </c>
      <c r="X125" s="84">
        <f t="shared" si="77"/>
        <v>-3.9199999999999999E-3</v>
      </c>
      <c r="Y125" s="84">
        <f t="shared" si="77"/>
        <v>-4.4099999999999999E-3</v>
      </c>
      <c r="Z125" s="84">
        <f t="shared" si="77"/>
        <v>-4.8999999999999998E-3</v>
      </c>
      <c r="AA125" s="84">
        <f t="shared" si="77"/>
        <v>-5.3899999999999998E-3</v>
      </c>
      <c r="AB125" s="84">
        <f t="shared" si="77"/>
        <v>-5.8799999999999998E-3</v>
      </c>
      <c r="AC125" s="219">
        <f t="shared" si="77"/>
        <v>-6.3699999999999998E-3</v>
      </c>
    </row>
    <row r="126" spans="1:29" ht="15.75" thickBot="1" x14ac:dyDescent="0.3">
      <c r="A126" s="220" t="s">
        <v>6</v>
      </c>
      <c r="B126" s="211" t="s">
        <v>27</v>
      </c>
      <c r="C126" s="211"/>
      <c r="D126" s="221">
        <f>+'5ta'!C$91*'5ta'!$R95</f>
        <v>0</v>
      </c>
      <c r="E126" s="221" t="e">
        <f>+'5ta'!D$91*'5ta'!$R95</f>
        <v>#VALUE!</v>
      </c>
      <c r="F126" s="221">
        <f>+'5ta'!E$91*'5ta'!$R95</f>
        <v>0</v>
      </c>
      <c r="G126" s="221" t="e">
        <f>+'5ta'!F$91*'5ta'!$R95</f>
        <v>#VALUE!</v>
      </c>
      <c r="H126" s="221">
        <f>+'5ta'!G$91*'5ta'!$R95</f>
        <v>0</v>
      </c>
      <c r="I126" s="221" t="e">
        <f>+'5ta'!H$91*'5ta'!$R95</f>
        <v>#VALUE!</v>
      </c>
      <c r="J126" s="221">
        <f>+'5ta'!I$91*'5ta'!$R95</f>
        <v>0</v>
      </c>
      <c r="K126" s="221" t="e">
        <f>+'5ta'!J$91*'5ta'!$R95</f>
        <v>#VALUE!</v>
      </c>
      <c r="L126" s="221">
        <f>+'5ta'!K$91*'5ta'!$R95</f>
        <v>9.521144487657935</v>
      </c>
      <c r="M126" s="221">
        <f>+'5ta'!L$91*'5ta'!$R95</f>
        <v>2.8840182690814955</v>
      </c>
      <c r="N126" s="221">
        <f>+'5ta'!M$91*'5ta'!$R95</f>
        <v>2.8840182690814955</v>
      </c>
      <c r="O126" s="221">
        <f>+'5ta'!N$91*'5ta'!$R95</f>
        <v>0</v>
      </c>
      <c r="P126" s="221">
        <f>+'5ta'!O$91*'5ta'!$R95</f>
        <v>0</v>
      </c>
      <c r="Q126" s="221">
        <f t="shared" ref="Q126:AC126" si="78">+P126-(0.049/100)</f>
        <v>-4.8999999999999998E-4</v>
      </c>
      <c r="R126" s="221">
        <f t="shared" si="78"/>
        <v>-9.7999999999999997E-4</v>
      </c>
      <c r="S126" s="221">
        <f t="shared" si="78"/>
        <v>-1.47E-3</v>
      </c>
      <c r="T126" s="221">
        <f t="shared" si="78"/>
        <v>-1.9599999999999999E-3</v>
      </c>
      <c r="U126" s="221">
        <f t="shared" si="78"/>
        <v>-2.4499999999999999E-3</v>
      </c>
      <c r="V126" s="221">
        <f t="shared" si="78"/>
        <v>-2.9399999999999999E-3</v>
      </c>
      <c r="W126" s="221">
        <f t="shared" si="78"/>
        <v>-3.4299999999999999E-3</v>
      </c>
      <c r="X126" s="221">
        <f t="shared" si="78"/>
        <v>-3.9199999999999999E-3</v>
      </c>
      <c r="Y126" s="221">
        <f t="shared" si="78"/>
        <v>-4.4099999999999999E-3</v>
      </c>
      <c r="Z126" s="221">
        <f t="shared" si="78"/>
        <v>-4.8999999999999998E-3</v>
      </c>
      <c r="AA126" s="221">
        <f t="shared" si="78"/>
        <v>-5.3899999999999998E-3</v>
      </c>
      <c r="AB126" s="221">
        <f t="shared" si="78"/>
        <v>-5.8799999999999998E-3</v>
      </c>
      <c r="AC126" s="222">
        <f t="shared" si="78"/>
        <v>-6.3699999999999998E-3</v>
      </c>
    </row>
    <row r="127" spans="1:29" ht="15.75" thickBot="1" x14ac:dyDescent="0.3"/>
    <row r="128" spans="1:29" x14ac:dyDescent="0.25">
      <c r="A128" s="204" t="s">
        <v>105</v>
      </c>
      <c r="B128" s="205" t="s">
        <v>106</v>
      </c>
      <c r="C128" s="205"/>
      <c r="D128" s="206">
        <v>2010</v>
      </c>
      <c r="E128" s="206">
        <v>2011</v>
      </c>
      <c r="F128" s="206">
        <v>2012</v>
      </c>
      <c r="G128" s="206">
        <v>2013</v>
      </c>
      <c r="H128" s="206">
        <v>2014</v>
      </c>
      <c r="I128" s="206">
        <v>2015</v>
      </c>
      <c r="J128" s="206">
        <v>2016</v>
      </c>
      <c r="K128" s="206">
        <v>2017</v>
      </c>
      <c r="L128" s="206">
        <v>2018</v>
      </c>
      <c r="M128" s="206">
        <v>2019</v>
      </c>
      <c r="N128" s="206">
        <v>2020</v>
      </c>
      <c r="O128" s="206">
        <v>2021</v>
      </c>
      <c r="P128" s="206">
        <v>2022</v>
      </c>
      <c r="Q128" s="206">
        <v>2023</v>
      </c>
      <c r="R128" s="206">
        <v>2024</v>
      </c>
      <c r="S128" s="206">
        <v>2025</v>
      </c>
      <c r="T128" s="206">
        <v>2026</v>
      </c>
      <c r="U128" s="206">
        <v>2027</v>
      </c>
      <c r="V128" s="206">
        <v>2028</v>
      </c>
      <c r="W128" s="206">
        <v>2029</v>
      </c>
      <c r="X128" s="206">
        <v>2030</v>
      </c>
      <c r="Y128" s="206">
        <v>2031</v>
      </c>
      <c r="Z128" s="206">
        <v>2032</v>
      </c>
      <c r="AA128" s="206">
        <v>2033</v>
      </c>
      <c r="AB128" s="206">
        <v>2034</v>
      </c>
      <c r="AC128" s="207">
        <v>2035</v>
      </c>
    </row>
    <row r="129" spans="1:29" x14ac:dyDescent="0.25">
      <c r="A129" s="218" t="s">
        <v>113</v>
      </c>
      <c r="B129" s="86" t="s">
        <v>18</v>
      </c>
      <c r="C129" s="86"/>
      <c r="D129" s="84">
        <f>+'5ta'!C$92*'5ta'!$R87</f>
        <v>1.9608849868055968E-2</v>
      </c>
      <c r="E129" s="84">
        <f>+'5ta'!D$92*'5ta'!$R87</f>
        <v>1.9608849868055968E-2</v>
      </c>
      <c r="F129" s="84">
        <f>+'5ta'!E$92*'5ta'!$R87</f>
        <v>1.9608849868055968E-2</v>
      </c>
      <c r="G129" s="84">
        <f>+'5ta'!F$92*'5ta'!$R87</f>
        <v>1.9608849868055968E-2</v>
      </c>
      <c r="H129" s="84">
        <f>+'5ta'!G$92*'5ta'!$R87</f>
        <v>1.9608849868055968E-2</v>
      </c>
      <c r="I129" s="84">
        <f>+'5ta'!H$92*'5ta'!$R87</f>
        <v>3.8212746180374069E-2</v>
      </c>
      <c r="J129" s="84">
        <f>+'5ta'!I$92*'5ta'!$R87</f>
        <v>5.6816642492692165E-2</v>
      </c>
      <c r="K129" s="84">
        <f>+'5ta'!J$92*'5ta'!$R87</f>
        <v>0.25447384916269633</v>
      </c>
      <c r="L129" s="84">
        <f>+'5ta'!K$92*'5ta'!$R87</f>
        <v>0.45213105583270052</v>
      </c>
      <c r="M129" s="84">
        <f>+'5ta'!L$92*'5ta'!$R87</f>
        <v>1.808916400328163E-2</v>
      </c>
      <c r="N129" s="84">
        <f>+'5ta'!M$92*'5ta'!$R87</f>
        <v>1.808916400328163E-2</v>
      </c>
      <c r="O129" s="84">
        <f>+'5ta'!N$92*'5ta'!$R87</f>
        <v>9.3644513651134784E-2</v>
      </c>
      <c r="P129" s="84">
        <f>+'5ta'!O$92*'5ta'!$R87</f>
        <v>9.3644513651134784E-2</v>
      </c>
      <c r="Q129" s="84">
        <f t="shared" ref="Q129:AC129" si="79">+P129-(0.049/100)</f>
        <v>9.3154513651134779E-2</v>
      </c>
      <c r="R129" s="84">
        <f t="shared" si="79"/>
        <v>9.2664513651134775E-2</v>
      </c>
      <c r="S129" s="84">
        <f t="shared" si="79"/>
        <v>9.2174513651134771E-2</v>
      </c>
      <c r="T129" s="84">
        <f t="shared" si="79"/>
        <v>9.1684513651134766E-2</v>
      </c>
      <c r="U129" s="84">
        <f t="shared" si="79"/>
        <v>9.1194513651134762E-2</v>
      </c>
      <c r="V129" s="84">
        <f t="shared" si="79"/>
        <v>9.0704513651134758E-2</v>
      </c>
      <c r="W129" s="84">
        <f t="shared" si="79"/>
        <v>9.0214513651134753E-2</v>
      </c>
      <c r="X129" s="84">
        <f t="shared" si="79"/>
        <v>8.9724513651134749E-2</v>
      </c>
      <c r="Y129" s="84">
        <f t="shared" si="79"/>
        <v>8.9234513651134745E-2</v>
      </c>
      <c r="Z129" s="84">
        <f t="shared" si="79"/>
        <v>8.874451365113474E-2</v>
      </c>
      <c r="AA129" s="84">
        <f t="shared" si="79"/>
        <v>8.8254513651134736E-2</v>
      </c>
      <c r="AB129" s="84">
        <f t="shared" si="79"/>
        <v>8.7764513651134732E-2</v>
      </c>
      <c r="AC129" s="219">
        <f t="shared" si="79"/>
        <v>8.7274513651134727E-2</v>
      </c>
    </row>
    <row r="130" spans="1:29" x14ac:dyDescent="0.25">
      <c r="A130" s="218" t="s">
        <v>113</v>
      </c>
      <c r="B130" s="86" t="s">
        <v>20</v>
      </c>
      <c r="C130" s="86"/>
      <c r="D130" s="84">
        <f>+'5ta'!C$92*'5ta'!$R88</f>
        <v>0.19148406368669654</v>
      </c>
      <c r="E130" s="84">
        <f>+'5ta'!D$92*'5ta'!$R88</f>
        <v>0.19148406368669654</v>
      </c>
      <c r="F130" s="84">
        <f>+'5ta'!E$92*'5ta'!$R88</f>
        <v>0.19148406368669654</v>
      </c>
      <c r="G130" s="84">
        <f>+'5ta'!F$92*'5ta'!$R88</f>
        <v>0.19148406368669654</v>
      </c>
      <c r="H130" s="84">
        <f>+'5ta'!G$92*'5ta'!$R88</f>
        <v>0.19148406368669654</v>
      </c>
      <c r="I130" s="84">
        <f>+'5ta'!H$92*'5ta'!$R88</f>
        <v>0.37315456910944989</v>
      </c>
      <c r="J130" s="84">
        <f>+'5ta'!I$92*'5ta'!$R88</f>
        <v>0.5548250745322032</v>
      </c>
      <c r="K130" s="84">
        <f>+'5ta'!J$92*'5ta'!$R88</f>
        <v>2.4849844364941047</v>
      </c>
      <c r="L130" s="84">
        <f>+'5ta'!K$92*'5ta'!$R88</f>
        <v>4.4151437984560058</v>
      </c>
      <c r="M130" s="84">
        <f>+'5ta'!L$92*'5ta'!$R88</f>
        <v>0.17664404875097756</v>
      </c>
      <c r="N130" s="84">
        <f>+'5ta'!M$92*'5ta'!$R88</f>
        <v>0.17664404875097756</v>
      </c>
      <c r="O130" s="84">
        <f>+'5ta'!N$92*'5ta'!$R88</f>
        <v>0.91445608164378012</v>
      </c>
      <c r="P130" s="84">
        <f>+'5ta'!O$92*'5ta'!$R88</f>
        <v>0.91445608164378012</v>
      </c>
      <c r="Q130" s="84">
        <f t="shared" ref="Q130:AC130" si="80">+P130-(0.049/100)</f>
        <v>0.91396608164378013</v>
      </c>
      <c r="R130" s="84">
        <f t="shared" si="80"/>
        <v>0.91347608164378014</v>
      </c>
      <c r="S130" s="84">
        <f t="shared" si="80"/>
        <v>0.91298608164378015</v>
      </c>
      <c r="T130" s="84">
        <f t="shared" si="80"/>
        <v>0.91249608164378015</v>
      </c>
      <c r="U130" s="84">
        <f t="shared" si="80"/>
        <v>0.91200608164378016</v>
      </c>
      <c r="V130" s="84">
        <f t="shared" si="80"/>
        <v>0.91151608164378017</v>
      </c>
      <c r="W130" s="84">
        <f t="shared" si="80"/>
        <v>0.91102608164378018</v>
      </c>
      <c r="X130" s="84">
        <f t="shared" si="80"/>
        <v>0.91053608164378019</v>
      </c>
      <c r="Y130" s="84">
        <f t="shared" si="80"/>
        <v>0.9100460816437802</v>
      </c>
      <c r="Z130" s="84">
        <f t="shared" si="80"/>
        <v>0.90955608164378021</v>
      </c>
      <c r="AA130" s="84">
        <f t="shared" si="80"/>
        <v>0.90906608164378022</v>
      </c>
      <c r="AB130" s="84">
        <f t="shared" si="80"/>
        <v>0.90857608164378023</v>
      </c>
      <c r="AC130" s="219">
        <f t="shared" si="80"/>
        <v>0.90808608164378024</v>
      </c>
    </row>
    <row r="131" spans="1:29" x14ac:dyDescent="0.25">
      <c r="A131" s="218" t="s">
        <v>113</v>
      </c>
      <c r="B131" s="86" t="s">
        <v>21</v>
      </c>
      <c r="C131" s="86"/>
      <c r="D131" s="84">
        <f>+'5ta'!C$92*'5ta'!$R89</f>
        <v>1.8309893460827253</v>
      </c>
      <c r="E131" s="84">
        <f>+'5ta'!D$92*'5ta'!$R89</f>
        <v>1.8309893460827253</v>
      </c>
      <c r="F131" s="84">
        <f>+'5ta'!E$92*'5ta'!$R89</f>
        <v>1.8309893460827253</v>
      </c>
      <c r="G131" s="84">
        <f>+'5ta'!F$92*'5ta'!$R89</f>
        <v>1.8309893460827253</v>
      </c>
      <c r="H131" s="84">
        <f>+'5ta'!G$92*'5ta'!$R89</f>
        <v>1.8309893460827253</v>
      </c>
      <c r="I131" s="84">
        <f>+'5ta'!H$92*'5ta'!$R89</f>
        <v>3.5681404881787109</v>
      </c>
      <c r="J131" s="84">
        <f>+'5ta'!I$92*'5ta'!$R89</f>
        <v>5.3052916302746969</v>
      </c>
      <c r="K131" s="84">
        <f>+'5ta'!J$92*'5ta'!$R89</f>
        <v>23.761664238788569</v>
      </c>
      <c r="L131" s="84">
        <f>+'5ta'!K$92*'5ta'!$R89</f>
        <v>42.218036847302443</v>
      </c>
      <c r="M131" s="84">
        <f>+'5ta'!L$92*'5ta'!$R89</f>
        <v>1.6890876717613141</v>
      </c>
      <c r="N131" s="84">
        <f>+'5ta'!M$92*'5ta'!$R89</f>
        <v>1.6890876717613141</v>
      </c>
      <c r="O131" s="84">
        <f>+'5ta'!N$92*'5ta'!$R89</f>
        <v>8.7441184958863154</v>
      </c>
      <c r="P131" s="84">
        <f>+'5ta'!O$92*'5ta'!$R89</f>
        <v>8.7441184958863154</v>
      </c>
      <c r="Q131" s="84">
        <f t="shared" ref="Q131:AC131" si="81">+P131-(0.049/100)</f>
        <v>8.7436284958863162</v>
      </c>
      <c r="R131" s="84">
        <f t="shared" si="81"/>
        <v>8.743138495886317</v>
      </c>
      <c r="S131" s="84">
        <f t="shared" si="81"/>
        <v>8.7426484958863178</v>
      </c>
      <c r="T131" s="84">
        <f t="shared" si="81"/>
        <v>8.7421584958863185</v>
      </c>
      <c r="U131" s="84">
        <f t="shared" si="81"/>
        <v>8.7416684958863193</v>
      </c>
      <c r="V131" s="84">
        <f t="shared" si="81"/>
        <v>8.7411784958863201</v>
      </c>
      <c r="W131" s="84">
        <f t="shared" si="81"/>
        <v>8.7406884958863209</v>
      </c>
      <c r="X131" s="84">
        <f t="shared" si="81"/>
        <v>8.7401984958863217</v>
      </c>
      <c r="Y131" s="84">
        <f t="shared" si="81"/>
        <v>8.7397084958863225</v>
      </c>
      <c r="Z131" s="84">
        <f t="shared" si="81"/>
        <v>8.7392184958863233</v>
      </c>
      <c r="AA131" s="84">
        <f t="shared" si="81"/>
        <v>8.7387284958863241</v>
      </c>
      <c r="AB131" s="84">
        <f t="shared" si="81"/>
        <v>8.7382384958863248</v>
      </c>
      <c r="AC131" s="219">
        <f t="shared" si="81"/>
        <v>8.7377484958863256</v>
      </c>
    </row>
    <row r="132" spans="1:29" x14ac:dyDescent="0.25">
      <c r="A132" s="218" t="s">
        <v>113</v>
      </c>
      <c r="B132" s="86" t="s">
        <v>22</v>
      </c>
      <c r="C132" s="86"/>
      <c r="D132" s="84">
        <f>+'5ta'!C$92*'5ta'!$R90</f>
        <v>0.74428536155629221</v>
      </c>
      <c r="E132" s="84">
        <f>+'5ta'!D$92*'5ta'!$R90</f>
        <v>0.74428536155629221</v>
      </c>
      <c r="F132" s="84">
        <f>+'5ta'!E$92*'5ta'!$R90</f>
        <v>0.74428536155629221</v>
      </c>
      <c r="G132" s="84">
        <f>+'5ta'!F$92*'5ta'!$R90</f>
        <v>0.74428536155629221</v>
      </c>
      <c r="H132" s="84">
        <f>+'5ta'!G$92*'5ta'!$R90</f>
        <v>0.74428536155629221</v>
      </c>
      <c r="I132" s="84">
        <f>+'5ta'!H$92*'5ta'!$R90</f>
        <v>1.4504260983328245</v>
      </c>
      <c r="J132" s="84">
        <f>+'5ta'!I$92*'5ta'!$R90</f>
        <v>2.1565668351093565</v>
      </c>
      <c r="K132" s="84">
        <f>+'5ta'!J$92*'5ta'!$R90</f>
        <v>9.658963279596783</v>
      </c>
      <c r="L132" s="84">
        <f>+'5ta'!K$92*'5ta'!$R90</f>
        <v>17.161359724084207</v>
      </c>
      <c r="M132" s="84">
        <f>+'5ta'!L$92*'5ta'!$R90</f>
        <v>0.68660324603567957</v>
      </c>
      <c r="N132" s="84">
        <f>+'5ta'!M$92*'5ta'!$R90</f>
        <v>0.68660324603567957</v>
      </c>
      <c r="O132" s="84">
        <f>+'5ta'!N$92*'5ta'!$R90</f>
        <v>3.5544277797822676</v>
      </c>
      <c r="P132" s="84">
        <f>+'5ta'!O$92*'5ta'!$R90</f>
        <v>3.5544277797822676</v>
      </c>
      <c r="Q132" s="84">
        <f t="shared" ref="Q132:AC132" si="82">+P132-(0.049/100)</f>
        <v>3.5539377797822675</v>
      </c>
      <c r="R132" s="84">
        <f t="shared" si="82"/>
        <v>3.5534477797822674</v>
      </c>
      <c r="S132" s="84">
        <f t="shared" si="82"/>
        <v>3.5529577797822673</v>
      </c>
      <c r="T132" s="84">
        <f t="shared" si="82"/>
        <v>3.5524677797822672</v>
      </c>
      <c r="U132" s="84">
        <f t="shared" si="82"/>
        <v>3.5519777797822671</v>
      </c>
      <c r="V132" s="84">
        <f t="shared" si="82"/>
        <v>3.551487779782267</v>
      </c>
      <c r="W132" s="84">
        <f t="shared" si="82"/>
        <v>3.5509977797822669</v>
      </c>
      <c r="X132" s="84">
        <f t="shared" si="82"/>
        <v>3.5505077797822668</v>
      </c>
      <c r="Y132" s="84">
        <f t="shared" si="82"/>
        <v>3.5500177797822667</v>
      </c>
      <c r="Z132" s="84">
        <f t="shared" si="82"/>
        <v>3.5495277797822666</v>
      </c>
      <c r="AA132" s="84">
        <f t="shared" si="82"/>
        <v>3.5490377797822665</v>
      </c>
      <c r="AB132" s="84">
        <f t="shared" si="82"/>
        <v>3.5485477797822664</v>
      </c>
      <c r="AC132" s="219">
        <f t="shared" si="82"/>
        <v>3.5480577797822663</v>
      </c>
    </row>
    <row r="133" spans="1:29" x14ac:dyDescent="0.25">
      <c r="A133" s="218" t="s">
        <v>113</v>
      </c>
      <c r="B133" s="86" t="s">
        <v>23</v>
      </c>
      <c r="C133" s="86"/>
      <c r="D133" s="84">
        <f>+'5ta'!C$92*'5ta'!$R91</f>
        <v>0.51257005584459059</v>
      </c>
      <c r="E133" s="84">
        <f>+'5ta'!D$92*'5ta'!$R91</f>
        <v>0.51257005584459059</v>
      </c>
      <c r="F133" s="84">
        <f>+'5ta'!E$92*'5ta'!$R91</f>
        <v>0.51257005584459059</v>
      </c>
      <c r="G133" s="84">
        <f>+'5ta'!F$92*'5ta'!$R91</f>
        <v>0.51257005584459059</v>
      </c>
      <c r="H133" s="84">
        <f>+'5ta'!G$92*'5ta'!$R91</f>
        <v>0.51257005584459059</v>
      </c>
      <c r="I133" s="84">
        <f>+'5ta'!H$92*'5ta'!$R91</f>
        <v>0.99887089632714587</v>
      </c>
      <c r="J133" s="84">
        <f>+'5ta'!I$92*'5ta'!$R91</f>
        <v>1.4851717368097013</v>
      </c>
      <c r="K133" s="84">
        <f>+'5ta'!J$92*'5ta'!$R91</f>
        <v>6.6518778997231749</v>
      </c>
      <c r="L133" s="84">
        <f>+'5ta'!K$92*'5ta'!$R91</f>
        <v>11.818584062636647</v>
      </c>
      <c r="M133" s="84">
        <f>+'5ta'!L$92*'5ta'!$R91</f>
        <v>0.47284587651663479</v>
      </c>
      <c r="N133" s="84">
        <f>+'5ta'!M$92*'5ta'!$R91</f>
        <v>0.47284587651663479</v>
      </c>
      <c r="O133" s="84">
        <f>+'5ta'!N$92*'5ta'!$R91</f>
        <v>2.4478423729428229</v>
      </c>
      <c r="P133" s="84">
        <f>+'5ta'!O$92*'5ta'!$R91</f>
        <v>2.4478423729428229</v>
      </c>
      <c r="Q133" s="84">
        <f t="shared" ref="Q133:AC133" si="83">+P133-(0.049/100)</f>
        <v>2.4473523729428228</v>
      </c>
      <c r="R133" s="84">
        <f t="shared" si="83"/>
        <v>2.4468623729428227</v>
      </c>
      <c r="S133" s="84">
        <f t="shared" si="83"/>
        <v>2.4463723729428226</v>
      </c>
      <c r="T133" s="84">
        <f t="shared" si="83"/>
        <v>2.4458823729428225</v>
      </c>
      <c r="U133" s="84">
        <f t="shared" si="83"/>
        <v>2.4453923729428224</v>
      </c>
      <c r="V133" s="84">
        <f t="shared" si="83"/>
        <v>2.4449023729428223</v>
      </c>
      <c r="W133" s="84">
        <f t="shared" si="83"/>
        <v>2.4444123729428222</v>
      </c>
      <c r="X133" s="84">
        <f t="shared" si="83"/>
        <v>2.4439223729428221</v>
      </c>
      <c r="Y133" s="84">
        <f t="shared" si="83"/>
        <v>2.443432372942822</v>
      </c>
      <c r="Z133" s="84">
        <f t="shared" si="83"/>
        <v>2.4429423729428219</v>
      </c>
      <c r="AA133" s="84">
        <f t="shared" si="83"/>
        <v>2.4424523729428218</v>
      </c>
      <c r="AB133" s="84">
        <f t="shared" si="83"/>
        <v>2.4419623729428217</v>
      </c>
      <c r="AC133" s="219">
        <f t="shared" si="83"/>
        <v>2.4414723729428216</v>
      </c>
    </row>
    <row r="134" spans="1:29" x14ac:dyDescent="0.25">
      <c r="A134" s="218" t="s">
        <v>113</v>
      </c>
      <c r="B134" s="86" t="s">
        <v>24</v>
      </c>
      <c r="C134" s="86"/>
      <c r="D134" s="84">
        <f>+'5ta'!C$92*'5ta'!$R92</f>
        <v>3.750729924609395</v>
      </c>
      <c r="E134" s="84">
        <f>+'5ta'!D$92*'5ta'!$R92</f>
        <v>3.750729924609395</v>
      </c>
      <c r="F134" s="84">
        <f>+'5ta'!E$92*'5ta'!$R92</f>
        <v>3.750729924609395</v>
      </c>
      <c r="G134" s="84">
        <f>+'5ta'!F$92*'5ta'!$R92</f>
        <v>3.750729924609395</v>
      </c>
      <c r="H134" s="84">
        <f>+'5ta'!G$92*'5ta'!$R92</f>
        <v>3.750729924609395</v>
      </c>
      <c r="I134" s="84">
        <f>+'5ta'!H$92*'5ta'!$R92</f>
        <v>7.3092349405825585</v>
      </c>
      <c r="J134" s="84">
        <f>+'5ta'!I$92*'5ta'!$R92</f>
        <v>10.867739956555722</v>
      </c>
      <c r="K134" s="84">
        <f>+'5ta'!J$92*'5ta'!$R92</f>
        <v>48.675097596618428</v>
      </c>
      <c r="L134" s="84">
        <f>+'5ta'!K$92*'5ta'!$R92</f>
        <v>86.482455236681133</v>
      </c>
      <c r="M134" s="84">
        <f>+'5ta'!L$92*'5ta'!$R92</f>
        <v>3.4600483554521668</v>
      </c>
      <c r="N134" s="84">
        <f>+'5ta'!M$92*'5ta'!$R92</f>
        <v>3.4600483554521668</v>
      </c>
      <c r="O134" s="84">
        <f>+'5ta'!N$92*'5ta'!$R92</f>
        <v>17.912079596212742</v>
      </c>
      <c r="P134" s="84">
        <f>+'5ta'!O$92*'5ta'!$R92</f>
        <v>17.912079596212742</v>
      </c>
      <c r="Q134" s="84">
        <f t="shared" ref="Q134:AC134" si="84">+P134-(0.049/100)</f>
        <v>17.911589596212742</v>
      </c>
      <c r="R134" s="84">
        <f t="shared" si="84"/>
        <v>17.911099596212743</v>
      </c>
      <c r="S134" s="84">
        <f t="shared" si="84"/>
        <v>17.910609596212744</v>
      </c>
      <c r="T134" s="84">
        <f t="shared" si="84"/>
        <v>17.910119596212745</v>
      </c>
      <c r="U134" s="84">
        <f t="shared" si="84"/>
        <v>17.909629596212746</v>
      </c>
      <c r="V134" s="84">
        <f t="shared" si="84"/>
        <v>17.909139596212746</v>
      </c>
      <c r="W134" s="84">
        <f t="shared" si="84"/>
        <v>17.908649596212747</v>
      </c>
      <c r="X134" s="84">
        <f t="shared" si="84"/>
        <v>17.908159596212748</v>
      </c>
      <c r="Y134" s="84">
        <f t="shared" si="84"/>
        <v>17.907669596212749</v>
      </c>
      <c r="Z134" s="84">
        <f t="shared" si="84"/>
        <v>17.90717959621275</v>
      </c>
      <c r="AA134" s="84">
        <f t="shared" si="84"/>
        <v>17.90668959621275</v>
      </c>
      <c r="AB134" s="84">
        <f t="shared" si="84"/>
        <v>17.906199596212751</v>
      </c>
      <c r="AC134" s="219">
        <f t="shared" si="84"/>
        <v>17.905709596212752</v>
      </c>
    </row>
    <row r="135" spans="1:29" x14ac:dyDescent="0.25">
      <c r="A135" s="218" t="s">
        <v>113</v>
      </c>
      <c r="B135" s="86" t="s">
        <v>25</v>
      </c>
      <c r="C135" s="86"/>
      <c r="D135" s="84">
        <f>+'5ta'!C$92*'5ta'!$R93</f>
        <v>0.41555154445763326</v>
      </c>
      <c r="E135" s="84">
        <f>+'5ta'!D$92*'5ta'!$R93</f>
        <v>0.41555154445763326</v>
      </c>
      <c r="F135" s="84">
        <f>+'5ta'!E$92*'5ta'!$R93</f>
        <v>0.41555154445763326</v>
      </c>
      <c r="G135" s="84">
        <f>+'5ta'!F$92*'5ta'!$R93</f>
        <v>0.41555154445763326</v>
      </c>
      <c r="H135" s="84">
        <f>+'5ta'!G$92*'5ta'!$R93</f>
        <v>0.41555154445763326</v>
      </c>
      <c r="I135" s="84">
        <f>+'5ta'!H$92*'5ta'!$R93</f>
        <v>0.80980607226181278</v>
      </c>
      <c r="J135" s="84">
        <f>+'5ta'!I$92*'5ta'!$R93</f>
        <v>1.2040606000659924</v>
      </c>
      <c r="K135" s="84">
        <f>+'5ta'!J$92*'5ta'!$R93</f>
        <v>5.3928201681989361</v>
      </c>
      <c r="L135" s="84">
        <f>+'5ta'!K$92*'5ta'!$R93</f>
        <v>9.5815797363318786</v>
      </c>
      <c r="M135" s="84">
        <f>+'5ta'!L$92*'5ta'!$R93</f>
        <v>0.38334629976216666</v>
      </c>
      <c r="N135" s="84">
        <f>+'5ta'!M$92*'5ta'!$R93</f>
        <v>0.38334629976216666</v>
      </c>
      <c r="O135" s="84">
        <f>+'5ta'!N$92*'5ta'!$R93</f>
        <v>1.9845183445004848</v>
      </c>
      <c r="P135" s="84">
        <f>+'5ta'!O$92*'5ta'!$R93</f>
        <v>1.9845183445004848</v>
      </c>
      <c r="Q135" s="84">
        <f t="shared" ref="Q135:AC135" si="85">+P135-(0.049/100)</f>
        <v>1.9840283445004847</v>
      </c>
      <c r="R135" s="84">
        <f t="shared" si="85"/>
        <v>1.9835383445004846</v>
      </c>
      <c r="S135" s="84">
        <f t="shared" si="85"/>
        <v>1.9830483445004845</v>
      </c>
      <c r="T135" s="84">
        <f t="shared" si="85"/>
        <v>1.9825583445004844</v>
      </c>
      <c r="U135" s="84">
        <f t="shared" si="85"/>
        <v>1.9820683445004843</v>
      </c>
      <c r="V135" s="84">
        <f t="shared" si="85"/>
        <v>1.9815783445004842</v>
      </c>
      <c r="W135" s="84">
        <f t="shared" si="85"/>
        <v>1.9810883445004841</v>
      </c>
      <c r="X135" s="84">
        <f t="shared" si="85"/>
        <v>1.980598344500484</v>
      </c>
      <c r="Y135" s="84">
        <f t="shared" si="85"/>
        <v>1.9801083445004839</v>
      </c>
      <c r="Z135" s="84">
        <f t="shared" si="85"/>
        <v>1.9796183445004838</v>
      </c>
      <c r="AA135" s="84">
        <f t="shared" si="85"/>
        <v>1.9791283445004837</v>
      </c>
      <c r="AB135" s="84">
        <f t="shared" si="85"/>
        <v>1.9786383445004836</v>
      </c>
      <c r="AC135" s="219">
        <f t="shared" si="85"/>
        <v>1.9781483445004835</v>
      </c>
    </row>
    <row r="136" spans="1:29" x14ac:dyDescent="0.25">
      <c r="A136" s="218" t="s">
        <v>113</v>
      </c>
      <c r="B136" s="86" t="s">
        <v>26</v>
      </c>
      <c r="C136" s="86"/>
      <c r="D136" s="84">
        <f>+'5ta'!C$92*'5ta'!$R94</f>
        <v>0.10320311067253829</v>
      </c>
      <c r="E136" s="84">
        <f>+'5ta'!D$92*'5ta'!$R94</f>
        <v>0.10320311067253829</v>
      </c>
      <c r="F136" s="84">
        <f>+'5ta'!E$92*'5ta'!$R94</f>
        <v>0.10320311067253829</v>
      </c>
      <c r="G136" s="84">
        <f>+'5ta'!F$92*'5ta'!$R94</f>
        <v>0.10320311067253829</v>
      </c>
      <c r="H136" s="84">
        <f>+'5ta'!G$92*'5ta'!$R94</f>
        <v>0.10320311067253829</v>
      </c>
      <c r="I136" s="84">
        <f>+'5ta'!H$92*'5ta'!$R94</f>
        <v>0.20111706192310899</v>
      </c>
      <c r="J136" s="84">
        <f>+'5ta'!I$92*'5ta'!$R94</f>
        <v>0.29903101317367969</v>
      </c>
      <c r="K136" s="84">
        <f>+'5ta'!J$92*'5ta'!$R94</f>
        <v>1.3393183687528658</v>
      </c>
      <c r="L136" s="84">
        <f>+'5ta'!K$92*'5ta'!$R94</f>
        <v>2.3796057243320519</v>
      </c>
      <c r="M136" s="84">
        <f>+'5ta'!L$92*'5ta'!$R94</f>
        <v>9.5204869595416575E-2</v>
      </c>
      <c r="N136" s="84">
        <f>+'5ta'!M$92*'5ta'!$R94</f>
        <v>9.5204869595416575E-2</v>
      </c>
      <c r="O136" s="84">
        <f>+'5ta'!N$92*'5ta'!$R94</f>
        <v>0.49285935540554066</v>
      </c>
      <c r="P136" s="84">
        <f>+'5ta'!O$92*'5ta'!$R94</f>
        <v>0.49285935540554066</v>
      </c>
      <c r="Q136" s="84">
        <f t="shared" ref="Q136:AC136" si="86">+P136-(0.049/100)</f>
        <v>0.49236935540554067</v>
      </c>
      <c r="R136" s="84">
        <f t="shared" si="86"/>
        <v>0.49187935540554067</v>
      </c>
      <c r="S136" s="84">
        <f t="shared" si="86"/>
        <v>0.49138935540554068</v>
      </c>
      <c r="T136" s="84">
        <f t="shared" si="86"/>
        <v>0.49089935540554069</v>
      </c>
      <c r="U136" s="84">
        <f t="shared" si="86"/>
        <v>0.4904093554055407</v>
      </c>
      <c r="V136" s="84">
        <f t="shared" si="86"/>
        <v>0.48991935540554071</v>
      </c>
      <c r="W136" s="84">
        <f t="shared" si="86"/>
        <v>0.48942935540554072</v>
      </c>
      <c r="X136" s="84">
        <f t="shared" si="86"/>
        <v>0.48893935540554073</v>
      </c>
      <c r="Y136" s="84">
        <f t="shared" si="86"/>
        <v>0.48844935540554074</v>
      </c>
      <c r="Z136" s="84">
        <f t="shared" si="86"/>
        <v>0.48795935540554075</v>
      </c>
      <c r="AA136" s="84">
        <f t="shared" si="86"/>
        <v>0.48746935540554076</v>
      </c>
      <c r="AB136" s="84">
        <f t="shared" si="86"/>
        <v>0.48697935540554077</v>
      </c>
      <c r="AC136" s="219">
        <f t="shared" si="86"/>
        <v>0.48648935540554078</v>
      </c>
    </row>
    <row r="137" spans="1:29" ht="15.75" thickBot="1" x14ac:dyDescent="0.3">
      <c r="A137" s="220" t="s">
        <v>113</v>
      </c>
      <c r="B137" s="211" t="s">
        <v>27</v>
      </c>
      <c r="C137" s="211"/>
      <c r="D137" s="221">
        <f>+'5ta'!C$92*'5ta'!$R95</f>
        <v>0.43157774322207193</v>
      </c>
      <c r="E137" s="221">
        <f>+'5ta'!D$92*'5ta'!$R95</f>
        <v>0.43157774322207193</v>
      </c>
      <c r="F137" s="221">
        <f>+'5ta'!E$92*'5ta'!$R95</f>
        <v>0.43157774322207193</v>
      </c>
      <c r="G137" s="221">
        <f>+'5ta'!F$92*'5ta'!$R95</f>
        <v>0.43157774322207193</v>
      </c>
      <c r="H137" s="221">
        <f>+'5ta'!G$92*'5ta'!$R95</f>
        <v>0.43157774322207193</v>
      </c>
      <c r="I137" s="221">
        <f>+'5ta'!H$92*'5ta'!$R95</f>
        <v>0.84103712710401268</v>
      </c>
      <c r="J137" s="221">
        <f>+'5ta'!I$92*'5ta'!$R95</f>
        <v>1.2504965109859534</v>
      </c>
      <c r="K137" s="221">
        <f>+'5ta'!J$92*'5ta'!$R95</f>
        <v>5.6008001626644388</v>
      </c>
      <c r="L137" s="221">
        <f>+'5ta'!K$92*'5ta'!$R95</f>
        <v>9.9511038143429236</v>
      </c>
      <c r="M137" s="221">
        <f>+'5ta'!L$92*'5ta'!$R95</f>
        <v>0.39813046812236136</v>
      </c>
      <c r="N137" s="221">
        <f>+'5ta'!M$92*'5ta'!$R95</f>
        <v>0.39813046812236136</v>
      </c>
      <c r="O137" s="221">
        <f>+'5ta'!N$92*'5ta'!$R95</f>
        <v>2.0610534599749073</v>
      </c>
      <c r="P137" s="221">
        <f>+'5ta'!O$92*'5ta'!$R95</f>
        <v>2.0610534599749073</v>
      </c>
      <c r="Q137" s="221">
        <f t="shared" ref="Q137:AC137" si="87">+P137-(0.049/100)</f>
        <v>2.0605634599749072</v>
      </c>
      <c r="R137" s="221">
        <f t="shared" si="87"/>
        <v>2.0600734599749071</v>
      </c>
      <c r="S137" s="221">
        <f t="shared" si="87"/>
        <v>2.059583459974907</v>
      </c>
      <c r="T137" s="221">
        <f t="shared" si="87"/>
        <v>2.0590934599749069</v>
      </c>
      <c r="U137" s="221">
        <f t="shared" si="87"/>
        <v>2.0586034599749068</v>
      </c>
      <c r="V137" s="221">
        <f t="shared" si="87"/>
        <v>2.0581134599749067</v>
      </c>
      <c r="W137" s="221">
        <f t="shared" si="87"/>
        <v>2.0576234599749066</v>
      </c>
      <c r="X137" s="221">
        <f t="shared" si="87"/>
        <v>2.0571334599749065</v>
      </c>
      <c r="Y137" s="221">
        <f t="shared" si="87"/>
        <v>2.0566434599749064</v>
      </c>
      <c r="Z137" s="221">
        <f t="shared" si="87"/>
        <v>2.0561534599749063</v>
      </c>
      <c r="AA137" s="221">
        <f t="shared" si="87"/>
        <v>2.0556634599749062</v>
      </c>
      <c r="AB137" s="221">
        <f t="shared" si="87"/>
        <v>2.0551734599749061</v>
      </c>
      <c r="AC137" s="222">
        <f t="shared" si="87"/>
        <v>2.054683459974906</v>
      </c>
    </row>
    <row r="139" spans="1:29" x14ac:dyDescent="0.25">
      <c r="A139" s="187"/>
      <c r="B139" s="188"/>
      <c r="C139" s="188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</row>
    <row r="140" spans="1:29" x14ac:dyDescent="0.25">
      <c r="A140" s="81" t="s">
        <v>115</v>
      </c>
    </row>
    <row r="141" spans="1:29" x14ac:dyDescent="0.25">
      <c r="A141" s="1" t="s">
        <v>105</v>
      </c>
      <c r="B141" s="65" t="s">
        <v>106</v>
      </c>
      <c r="C141" s="65"/>
      <c r="D141" s="1">
        <v>2010</v>
      </c>
      <c r="E141" s="1">
        <v>2011</v>
      </c>
      <c r="F141" s="1">
        <v>2012</v>
      </c>
      <c r="G141" s="1">
        <v>2013</v>
      </c>
      <c r="H141" s="1">
        <v>2014</v>
      </c>
      <c r="I141" s="1">
        <v>2015</v>
      </c>
      <c r="J141" s="1">
        <v>2016</v>
      </c>
      <c r="K141" s="1">
        <v>2017</v>
      </c>
      <c r="L141" s="1">
        <v>2018</v>
      </c>
      <c r="M141" s="1">
        <v>2019</v>
      </c>
      <c r="N141" s="1">
        <v>2020</v>
      </c>
      <c r="O141" s="1">
        <v>2021</v>
      </c>
      <c r="P141" s="1">
        <v>2022</v>
      </c>
      <c r="Q141" s="1">
        <v>2023</v>
      </c>
      <c r="R141" s="1">
        <v>2024</v>
      </c>
      <c r="S141" s="1">
        <v>2025</v>
      </c>
      <c r="T141" s="1">
        <v>2026</v>
      </c>
      <c r="U141" s="1">
        <v>2027</v>
      </c>
      <c r="V141" s="1">
        <v>2028</v>
      </c>
      <c r="W141" s="1">
        <v>2029</v>
      </c>
      <c r="X141" s="1">
        <v>2030</v>
      </c>
      <c r="Y141" s="1">
        <v>2031</v>
      </c>
      <c r="Z141" s="1">
        <v>2032</v>
      </c>
      <c r="AA141" s="1">
        <v>2033</v>
      </c>
      <c r="AB141" s="1">
        <v>2034</v>
      </c>
      <c r="AC141" s="1">
        <v>2035</v>
      </c>
    </row>
    <row r="142" spans="1:29" x14ac:dyDescent="0.25">
      <c r="A142" s="86" t="s">
        <v>18</v>
      </c>
      <c r="B142" s="54" t="s">
        <v>19</v>
      </c>
      <c r="C142" s="54"/>
      <c r="D142" s="84">
        <v>2921.6550000000002</v>
      </c>
      <c r="E142" s="84">
        <f t="shared" ref="E142:E155" si="88">+(D142+F142)/2</f>
        <v>2921.6550000000002</v>
      </c>
      <c r="F142" s="84">
        <v>2921.6550000000002</v>
      </c>
      <c r="G142" s="84">
        <f t="shared" ref="G142:G155" si="89">+(F142+H142)/2</f>
        <v>2921.6550000000002</v>
      </c>
      <c r="H142" s="84">
        <v>2921.6550000000002</v>
      </c>
      <c r="I142" s="84">
        <f t="shared" ref="I142:I155" si="90">+(H142+J142)/2</f>
        <v>2044.4325000000001</v>
      </c>
      <c r="J142" s="84">
        <v>1167.21</v>
      </c>
      <c r="K142" s="84">
        <f t="shared" ref="K142:K155" si="91">+(J142+L142)/2</f>
        <v>1052.55</v>
      </c>
      <c r="L142" s="84">
        <v>937.89</v>
      </c>
      <c r="M142" s="84">
        <v>3382.92</v>
      </c>
      <c r="N142" s="84">
        <v>3382.92</v>
      </c>
      <c r="O142" s="84">
        <v>2392.92</v>
      </c>
      <c r="P142" s="84">
        <v>2392.92</v>
      </c>
      <c r="Q142" s="84">
        <f t="shared" ref="Q142:S155" si="92">+P142+(0.049/100)</f>
        <v>2392.92049</v>
      </c>
      <c r="R142" s="84">
        <f t="shared" si="92"/>
        <v>2392.9209799999999</v>
      </c>
      <c r="S142" s="84">
        <f t="shared" si="92"/>
        <v>2392.9214699999998</v>
      </c>
      <c r="T142" s="84">
        <f t="shared" ref="T142:AC142" si="93">+S142-(0.711/100)</f>
        <v>2392.9143599999998</v>
      </c>
      <c r="U142" s="84">
        <f t="shared" si="93"/>
        <v>2392.9072499999997</v>
      </c>
      <c r="V142" s="84">
        <f t="shared" si="93"/>
        <v>2392.9001399999997</v>
      </c>
      <c r="W142" s="84">
        <f t="shared" si="93"/>
        <v>2392.8930299999997</v>
      </c>
      <c r="X142" s="84">
        <f t="shared" si="93"/>
        <v>2392.8859199999997</v>
      </c>
      <c r="Y142" s="84">
        <f t="shared" si="93"/>
        <v>2392.8788099999997</v>
      </c>
      <c r="Z142" s="84">
        <f t="shared" si="93"/>
        <v>2392.8716999999997</v>
      </c>
      <c r="AA142" s="84">
        <f t="shared" si="93"/>
        <v>2392.8645899999997</v>
      </c>
      <c r="AB142" s="84">
        <f t="shared" si="93"/>
        <v>2392.8574799999997</v>
      </c>
      <c r="AC142" s="84">
        <f t="shared" si="93"/>
        <v>2392.8503699999997</v>
      </c>
    </row>
    <row r="143" spans="1:29" x14ac:dyDescent="0.25">
      <c r="A143" s="86" t="s">
        <v>20</v>
      </c>
      <c r="B143" s="54" t="s">
        <v>19</v>
      </c>
      <c r="C143" s="54"/>
      <c r="D143" s="84">
        <v>14129.010000000007</v>
      </c>
      <c r="E143" s="84">
        <f t="shared" si="88"/>
        <v>14129.010000000007</v>
      </c>
      <c r="F143" s="84">
        <v>14129.010000000007</v>
      </c>
      <c r="G143" s="84">
        <f t="shared" si="89"/>
        <v>14129.010000000007</v>
      </c>
      <c r="H143" s="84">
        <v>14129.010000000007</v>
      </c>
      <c r="I143" s="84">
        <f t="shared" si="90"/>
        <v>13915.642500000002</v>
      </c>
      <c r="J143" s="84">
        <v>13702.274999999998</v>
      </c>
      <c r="K143" s="84">
        <f t="shared" si="91"/>
        <v>11871.967499999999</v>
      </c>
      <c r="L143" s="84">
        <v>10041.66</v>
      </c>
      <c r="M143" s="84">
        <v>11193.21</v>
      </c>
      <c r="N143" s="84">
        <v>11193.21</v>
      </c>
      <c r="O143" s="84">
        <v>14441.400000000001</v>
      </c>
      <c r="P143" s="84">
        <v>14441.400000000001</v>
      </c>
      <c r="Q143" s="84">
        <f t="shared" si="92"/>
        <v>14441.400490000002</v>
      </c>
      <c r="R143" s="84">
        <f t="shared" si="92"/>
        <v>14441.400980000002</v>
      </c>
      <c r="S143" s="84">
        <f t="shared" si="92"/>
        <v>14441.401470000003</v>
      </c>
      <c r="T143" s="84">
        <f t="shared" ref="T143:AC143" si="94">+S143-(0.711/100)</f>
        <v>14441.394360000002</v>
      </c>
      <c r="U143" s="84">
        <f t="shared" si="94"/>
        <v>14441.387250000002</v>
      </c>
      <c r="V143" s="84">
        <f t="shared" si="94"/>
        <v>14441.380140000001</v>
      </c>
      <c r="W143" s="84">
        <f t="shared" si="94"/>
        <v>14441.373030000001</v>
      </c>
      <c r="X143" s="84">
        <f t="shared" si="94"/>
        <v>14441.36592</v>
      </c>
      <c r="Y143" s="84">
        <f t="shared" si="94"/>
        <v>14441.35881</v>
      </c>
      <c r="Z143" s="84">
        <f t="shared" si="94"/>
        <v>14441.351699999999</v>
      </c>
      <c r="AA143" s="84">
        <f t="shared" si="94"/>
        <v>14441.344589999999</v>
      </c>
      <c r="AB143" s="84">
        <f t="shared" si="94"/>
        <v>14441.337479999998</v>
      </c>
      <c r="AC143" s="84">
        <f t="shared" si="94"/>
        <v>14441.330369999998</v>
      </c>
    </row>
    <row r="144" spans="1:29" x14ac:dyDescent="0.25">
      <c r="A144" s="86" t="s">
        <v>21</v>
      </c>
      <c r="B144" s="54" t="s">
        <v>19</v>
      </c>
      <c r="C144" s="54"/>
      <c r="D144" s="84">
        <v>13631.910000000002</v>
      </c>
      <c r="E144" s="84">
        <f t="shared" si="88"/>
        <v>13631.910000000002</v>
      </c>
      <c r="F144" s="84">
        <v>13631.910000000002</v>
      </c>
      <c r="G144" s="84">
        <f t="shared" si="89"/>
        <v>13631.910000000002</v>
      </c>
      <c r="H144" s="84">
        <v>13631.910000000002</v>
      </c>
      <c r="I144" s="84">
        <f t="shared" si="90"/>
        <v>13444.094999999999</v>
      </c>
      <c r="J144" s="84">
        <v>13256.279999999997</v>
      </c>
      <c r="K144" s="84">
        <f t="shared" si="91"/>
        <v>12232.394999999999</v>
      </c>
      <c r="L144" s="84">
        <v>11208.51</v>
      </c>
      <c r="M144" s="84">
        <v>11090.66</v>
      </c>
      <c r="N144" s="84">
        <v>11090.66</v>
      </c>
      <c r="O144" s="84">
        <v>8753.94</v>
      </c>
      <c r="P144" s="84">
        <v>8753.94</v>
      </c>
      <c r="Q144" s="84">
        <f t="shared" si="92"/>
        <v>8753.9404900000009</v>
      </c>
      <c r="R144" s="84">
        <f t="shared" si="92"/>
        <v>8753.9409800000012</v>
      </c>
      <c r="S144" s="84">
        <f t="shared" si="92"/>
        <v>8753.9414700000016</v>
      </c>
      <c r="T144" s="84">
        <f t="shared" ref="T144:AC144" si="95">+S144-(0.711/100)</f>
        <v>8753.9343600000011</v>
      </c>
      <c r="U144" s="84">
        <f t="shared" si="95"/>
        <v>8753.9272500000006</v>
      </c>
      <c r="V144" s="84">
        <f t="shared" si="95"/>
        <v>8753.9201400000002</v>
      </c>
      <c r="W144" s="84">
        <f t="shared" si="95"/>
        <v>8753.9130299999997</v>
      </c>
      <c r="X144" s="84">
        <f t="shared" si="95"/>
        <v>8753.9059199999992</v>
      </c>
      <c r="Y144" s="84">
        <f t="shared" si="95"/>
        <v>8753.8988099999988</v>
      </c>
      <c r="Z144" s="84">
        <f t="shared" si="95"/>
        <v>8753.8916999999983</v>
      </c>
      <c r="AA144" s="84">
        <f t="shared" si="95"/>
        <v>8753.8845899999978</v>
      </c>
      <c r="AB144" s="84">
        <f t="shared" si="95"/>
        <v>8753.8774799999974</v>
      </c>
      <c r="AC144" s="84">
        <f t="shared" si="95"/>
        <v>8753.8703699999969</v>
      </c>
    </row>
    <row r="145" spans="1:29" x14ac:dyDescent="0.25">
      <c r="A145" s="86" t="s">
        <v>22</v>
      </c>
      <c r="B145" s="54" t="s">
        <v>19</v>
      </c>
      <c r="C145" s="54"/>
      <c r="D145" s="84">
        <v>19148.415000000001</v>
      </c>
      <c r="E145" s="84">
        <f t="shared" si="88"/>
        <v>19148.415000000001</v>
      </c>
      <c r="F145" s="84">
        <v>19148.415000000001</v>
      </c>
      <c r="G145" s="84">
        <f t="shared" si="89"/>
        <v>19148.415000000001</v>
      </c>
      <c r="H145" s="84">
        <v>19148.415000000001</v>
      </c>
      <c r="I145" s="84">
        <f t="shared" si="90"/>
        <v>15017.677500000002</v>
      </c>
      <c r="J145" s="84">
        <v>10886.94</v>
      </c>
      <c r="K145" s="84">
        <f t="shared" si="91"/>
        <v>10514.34</v>
      </c>
      <c r="L145" s="84">
        <v>10141.74</v>
      </c>
      <c r="M145" s="84">
        <v>8861.5349999999999</v>
      </c>
      <c r="N145" s="84">
        <v>8861.5349999999999</v>
      </c>
      <c r="O145" s="84">
        <v>11154.645</v>
      </c>
      <c r="P145" s="84">
        <v>11154.645</v>
      </c>
      <c r="Q145" s="84">
        <f t="shared" si="92"/>
        <v>11154.645490000001</v>
      </c>
      <c r="R145" s="84">
        <f t="shared" si="92"/>
        <v>11154.645980000001</v>
      </c>
      <c r="S145" s="84">
        <f t="shared" si="92"/>
        <v>11154.646470000002</v>
      </c>
      <c r="T145" s="84">
        <f t="shared" ref="T145:AC145" si="96">+S145-(0.711/100)</f>
        <v>11154.639360000001</v>
      </c>
      <c r="U145" s="84">
        <f t="shared" si="96"/>
        <v>11154.632250000001</v>
      </c>
      <c r="V145" s="84">
        <f t="shared" si="96"/>
        <v>11154.62514</v>
      </c>
      <c r="W145" s="84">
        <f t="shared" si="96"/>
        <v>11154.61803</v>
      </c>
      <c r="X145" s="84">
        <f t="shared" si="96"/>
        <v>11154.610919999999</v>
      </c>
      <c r="Y145" s="84">
        <f t="shared" si="96"/>
        <v>11154.603809999999</v>
      </c>
      <c r="Z145" s="84">
        <f t="shared" si="96"/>
        <v>11154.596699999998</v>
      </c>
      <c r="AA145" s="84">
        <f t="shared" si="96"/>
        <v>11154.589589999998</v>
      </c>
      <c r="AB145" s="84">
        <f t="shared" si="96"/>
        <v>11154.582479999997</v>
      </c>
      <c r="AC145" s="84">
        <f t="shared" si="96"/>
        <v>11154.575369999997</v>
      </c>
    </row>
    <row r="146" spans="1:29" x14ac:dyDescent="0.25">
      <c r="A146" s="86" t="s">
        <v>23</v>
      </c>
      <c r="B146" s="54" t="s">
        <v>19</v>
      </c>
      <c r="C146" s="54"/>
      <c r="D146" s="84">
        <v>2543.9550000000004</v>
      </c>
      <c r="E146" s="84">
        <f t="shared" si="88"/>
        <v>2543.9550000000004</v>
      </c>
      <c r="F146" s="84">
        <v>2543.9550000000004</v>
      </c>
      <c r="G146" s="84">
        <f t="shared" si="89"/>
        <v>2543.9550000000004</v>
      </c>
      <c r="H146" s="84">
        <v>2543.9550000000004</v>
      </c>
      <c r="I146" s="84">
        <f t="shared" si="90"/>
        <v>2740.3950000000004</v>
      </c>
      <c r="J146" s="84">
        <v>2936.835</v>
      </c>
      <c r="K146" s="84">
        <f t="shared" si="91"/>
        <v>2619.4974999999999</v>
      </c>
      <c r="L146" s="84">
        <v>2302.16</v>
      </c>
      <c r="M146" s="84">
        <v>3169.13</v>
      </c>
      <c r="N146" s="84">
        <v>3169.13</v>
      </c>
      <c r="O146" s="84">
        <v>1357.29</v>
      </c>
      <c r="P146" s="84">
        <v>1357.29</v>
      </c>
      <c r="Q146" s="84">
        <f t="shared" si="92"/>
        <v>1357.2904899999999</v>
      </c>
      <c r="R146" s="84">
        <f t="shared" si="92"/>
        <v>1357.2909799999998</v>
      </c>
      <c r="S146" s="84">
        <f t="shared" si="92"/>
        <v>1357.2914699999997</v>
      </c>
      <c r="T146" s="84">
        <f t="shared" ref="T146:AC146" si="97">+S146-(0.711/100)</f>
        <v>1357.2843599999997</v>
      </c>
      <c r="U146" s="84">
        <f t="shared" si="97"/>
        <v>1357.2772499999996</v>
      </c>
      <c r="V146" s="84">
        <f t="shared" si="97"/>
        <v>1357.2701399999996</v>
      </c>
      <c r="W146" s="84">
        <f t="shared" si="97"/>
        <v>1357.2630299999996</v>
      </c>
      <c r="X146" s="84">
        <f t="shared" si="97"/>
        <v>1357.2559199999996</v>
      </c>
      <c r="Y146" s="84">
        <f t="shared" si="97"/>
        <v>1357.2488099999996</v>
      </c>
      <c r="Z146" s="84">
        <f t="shared" si="97"/>
        <v>1357.2416999999996</v>
      </c>
      <c r="AA146" s="84">
        <f t="shared" si="97"/>
        <v>1357.2345899999996</v>
      </c>
      <c r="AB146" s="84">
        <f t="shared" si="97"/>
        <v>1357.2274799999996</v>
      </c>
      <c r="AC146" s="84">
        <f t="shared" si="97"/>
        <v>1357.2203699999995</v>
      </c>
    </row>
    <row r="147" spans="1:29" ht="22.5" x14ac:dyDescent="0.25">
      <c r="A147" s="86" t="s">
        <v>24</v>
      </c>
      <c r="B147" s="54" t="s">
        <v>19</v>
      </c>
      <c r="C147" s="54"/>
      <c r="D147" s="84">
        <v>22227.494999999999</v>
      </c>
      <c r="E147" s="84">
        <f t="shared" si="88"/>
        <v>22227.494999999999</v>
      </c>
      <c r="F147" s="84">
        <v>22227.494999999999</v>
      </c>
      <c r="G147" s="84">
        <f t="shared" si="89"/>
        <v>22227.494999999999</v>
      </c>
      <c r="H147" s="84">
        <v>22227.494999999999</v>
      </c>
      <c r="I147" s="84">
        <f t="shared" si="90"/>
        <v>24651.502500000002</v>
      </c>
      <c r="J147" s="84">
        <v>27075.510000000002</v>
      </c>
      <c r="K147" s="84">
        <f t="shared" si="91"/>
        <v>25636.365000000002</v>
      </c>
      <c r="L147" s="84">
        <v>24197.22</v>
      </c>
      <c r="M147" s="84">
        <v>26998.74</v>
      </c>
      <c r="N147" s="84">
        <v>26998.74</v>
      </c>
      <c r="O147" s="84">
        <v>28947.375</v>
      </c>
      <c r="P147" s="84">
        <v>28947.375</v>
      </c>
      <c r="Q147" s="84">
        <f t="shared" si="92"/>
        <v>28947.375489999999</v>
      </c>
      <c r="R147" s="84">
        <f t="shared" si="92"/>
        <v>28947.375979999997</v>
      </c>
      <c r="S147" s="84">
        <f t="shared" si="92"/>
        <v>28947.376469999996</v>
      </c>
      <c r="T147" s="84">
        <f t="shared" ref="T147:AC147" si="98">+S147-(0.711/100)</f>
        <v>28947.369359999997</v>
      </c>
      <c r="U147" s="84">
        <f t="shared" si="98"/>
        <v>28947.362249999998</v>
      </c>
      <c r="V147" s="84">
        <f t="shared" si="98"/>
        <v>28947.35514</v>
      </c>
      <c r="W147" s="84">
        <f t="shared" si="98"/>
        <v>28947.348030000001</v>
      </c>
      <c r="X147" s="84">
        <f t="shared" si="98"/>
        <v>28947.340920000002</v>
      </c>
      <c r="Y147" s="84">
        <f t="shared" si="98"/>
        <v>28947.333810000004</v>
      </c>
      <c r="Z147" s="84">
        <f t="shared" si="98"/>
        <v>28947.326700000005</v>
      </c>
      <c r="AA147" s="84">
        <f t="shared" si="98"/>
        <v>28947.319590000006</v>
      </c>
      <c r="AB147" s="84">
        <f t="shared" si="98"/>
        <v>28947.312480000008</v>
      </c>
      <c r="AC147" s="84">
        <f t="shared" si="98"/>
        <v>28947.305370000009</v>
      </c>
    </row>
    <row r="148" spans="1:29" x14ac:dyDescent="0.25">
      <c r="A148" s="86" t="s">
        <v>25</v>
      </c>
      <c r="B148" s="54" t="s">
        <v>19</v>
      </c>
      <c r="C148" s="54"/>
      <c r="D148" s="84">
        <v>19344.36</v>
      </c>
      <c r="E148" s="84">
        <f t="shared" si="88"/>
        <v>19344.36</v>
      </c>
      <c r="F148" s="84">
        <v>19344.36</v>
      </c>
      <c r="G148" s="84">
        <f t="shared" si="89"/>
        <v>19344.36</v>
      </c>
      <c r="H148" s="84">
        <v>19344.36</v>
      </c>
      <c r="I148" s="84">
        <f t="shared" si="90"/>
        <v>19871.79</v>
      </c>
      <c r="J148" s="84">
        <v>20399.220000000005</v>
      </c>
      <c r="K148" s="84">
        <f t="shared" si="91"/>
        <v>19175.940000000002</v>
      </c>
      <c r="L148" s="84">
        <v>17952.66</v>
      </c>
      <c r="M148" s="84">
        <v>16612.38</v>
      </c>
      <c r="N148" s="84">
        <v>16612.38</v>
      </c>
      <c r="O148" s="84">
        <v>23323.995000000003</v>
      </c>
      <c r="P148" s="84">
        <v>23323.995000000003</v>
      </c>
      <c r="Q148" s="84">
        <f t="shared" si="92"/>
        <v>23323.995490000001</v>
      </c>
      <c r="R148" s="84">
        <f t="shared" si="92"/>
        <v>23323.99598</v>
      </c>
      <c r="S148" s="84">
        <f t="shared" si="92"/>
        <v>23323.996469999998</v>
      </c>
      <c r="T148" s="84">
        <f t="shared" ref="T148:AC148" si="99">+S148-(0.711/100)</f>
        <v>23323.98936</v>
      </c>
      <c r="U148" s="84">
        <f t="shared" si="99"/>
        <v>23323.982250000001</v>
      </c>
      <c r="V148" s="84">
        <f t="shared" si="99"/>
        <v>23323.975140000002</v>
      </c>
      <c r="W148" s="84">
        <f t="shared" si="99"/>
        <v>23323.968030000004</v>
      </c>
      <c r="X148" s="84">
        <f t="shared" si="99"/>
        <v>23323.960920000005</v>
      </c>
      <c r="Y148" s="84">
        <f t="shared" si="99"/>
        <v>23323.953810000006</v>
      </c>
      <c r="Z148" s="84">
        <f t="shared" si="99"/>
        <v>23323.946700000008</v>
      </c>
      <c r="AA148" s="84">
        <f t="shared" si="99"/>
        <v>23323.939590000009</v>
      </c>
      <c r="AB148" s="84">
        <f t="shared" si="99"/>
        <v>23323.93248000001</v>
      </c>
      <c r="AC148" s="84">
        <f t="shared" si="99"/>
        <v>23323.925370000012</v>
      </c>
    </row>
    <row r="149" spans="1:29" x14ac:dyDescent="0.25">
      <c r="A149" s="86" t="s">
        <v>26</v>
      </c>
      <c r="B149" s="54" t="s">
        <v>19</v>
      </c>
      <c r="C149" s="54"/>
      <c r="D149" s="84">
        <v>363.52500000000009</v>
      </c>
      <c r="E149" s="84">
        <f t="shared" si="88"/>
        <v>363.52500000000009</v>
      </c>
      <c r="F149" s="84">
        <v>363.52500000000009</v>
      </c>
      <c r="G149" s="84">
        <f t="shared" si="89"/>
        <v>363.52500000000009</v>
      </c>
      <c r="H149" s="84">
        <v>363.52500000000009</v>
      </c>
      <c r="I149" s="84">
        <f t="shared" si="90"/>
        <v>561.31500000000028</v>
      </c>
      <c r="J149" s="84">
        <v>759.10500000000059</v>
      </c>
      <c r="K149" s="84">
        <f t="shared" si="91"/>
        <v>538.24750000000029</v>
      </c>
      <c r="L149" s="84">
        <v>317.39</v>
      </c>
      <c r="M149" s="84">
        <v>137.97</v>
      </c>
      <c r="N149" s="84">
        <v>137.97</v>
      </c>
      <c r="O149" s="84">
        <v>329.58</v>
      </c>
      <c r="P149" s="84">
        <v>329.58</v>
      </c>
      <c r="Q149" s="84">
        <f t="shared" si="92"/>
        <v>329.58049</v>
      </c>
      <c r="R149" s="84">
        <f t="shared" si="92"/>
        <v>329.58098000000001</v>
      </c>
      <c r="S149" s="84">
        <f t="shared" si="92"/>
        <v>329.58147000000002</v>
      </c>
      <c r="T149" s="84">
        <f t="shared" ref="T149:AC149" si="100">+S149-(0.711/100)</f>
        <v>329.57436000000001</v>
      </c>
      <c r="U149" s="84">
        <f t="shared" si="100"/>
        <v>329.56725</v>
      </c>
      <c r="V149" s="84">
        <f t="shared" si="100"/>
        <v>329.56013999999999</v>
      </c>
      <c r="W149" s="84">
        <f t="shared" si="100"/>
        <v>329.55302999999998</v>
      </c>
      <c r="X149" s="84">
        <f t="shared" si="100"/>
        <v>329.54591999999997</v>
      </c>
      <c r="Y149" s="84">
        <f t="shared" si="100"/>
        <v>329.53880999999996</v>
      </c>
      <c r="Z149" s="84">
        <f t="shared" si="100"/>
        <v>329.53169999999994</v>
      </c>
      <c r="AA149" s="84">
        <f t="shared" si="100"/>
        <v>329.52458999999993</v>
      </c>
      <c r="AB149" s="84">
        <f t="shared" si="100"/>
        <v>329.51747999999992</v>
      </c>
      <c r="AC149" s="84">
        <f t="shared" si="100"/>
        <v>329.51036999999991</v>
      </c>
    </row>
    <row r="150" spans="1:29" x14ac:dyDescent="0.25">
      <c r="A150" s="86" t="s">
        <v>27</v>
      </c>
      <c r="B150" s="54" t="s">
        <v>19</v>
      </c>
      <c r="C150" s="54"/>
      <c r="D150" s="84">
        <v>423.67500000000001</v>
      </c>
      <c r="E150" s="84">
        <f t="shared" si="88"/>
        <v>423.67500000000001</v>
      </c>
      <c r="F150" s="84">
        <v>423.67500000000001</v>
      </c>
      <c r="G150" s="84">
        <f t="shared" si="89"/>
        <v>423.67500000000001</v>
      </c>
      <c r="H150" s="84">
        <v>423.67500000000001</v>
      </c>
      <c r="I150" s="84">
        <f t="shared" si="90"/>
        <v>506.65499999999997</v>
      </c>
      <c r="J150" s="84">
        <v>589.63499999999999</v>
      </c>
      <c r="K150" s="84">
        <f t="shared" si="91"/>
        <v>463.27499999999998</v>
      </c>
      <c r="L150" s="84">
        <v>336.91500000000002</v>
      </c>
      <c r="M150" s="84">
        <v>621.04999999999995</v>
      </c>
      <c r="N150" s="84">
        <v>621.04999999999995</v>
      </c>
      <c r="O150" s="84">
        <v>667.8900000000001</v>
      </c>
      <c r="P150" s="84">
        <v>667.8900000000001</v>
      </c>
      <c r="Q150" s="84">
        <f t="shared" si="92"/>
        <v>667.89049000000011</v>
      </c>
      <c r="R150" s="84">
        <f t="shared" si="92"/>
        <v>667.89098000000013</v>
      </c>
      <c r="S150" s="84">
        <f t="shared" si="92"/>
        <v>667.89147000000014</v>
      </c>
      <c r="T150" s="84">
        <f t="shared" ref="T150:AC150" si="101">+S150-(0.711/100)</f>
        <v>667.88436000000013</v>
      </c>
      <c r="U150" s="84">
        <f t="shared" si="101"/>
        <v>667.87725000000012</v>
      </c>
      <c r="V150" s="84">
        <f t="shared" si="101"/>
        <v>667.87014000000011</v>
      </c>
      <c r="W150" s="84">
        <f t="shared" si="101"/>
        <v>667.86303000000009</v>
      </c>
      <c r="X150" s="84">
        <f t="shared" si="101"/>
        <v>667.85592000000008</v>
      </c>
      <c r="Y150" s="84">
        <f t="shared" si="101"/>
        <v>667.84881000000007</v>
      </c>
      <c r="Z150" s="84">
        <f t="shared" si="101"/>
        <v>667.84170000000006</v>
      </c>
      <c r="AA150" s="84">
        <f t="shared" si="101"/>
        <v>667.83459000000005</v>
      </c>
      <c r="AB150" s="84">
        <f t="shared" si="101"/>
        <v>667.82748000000004</v>
      </c>
      <c r="AC150" s="84">
        <f t="shared" si="101"/>
        <v>667.82037000000003</v>
      </c>
    </row>
    <row r="151" spans="1:29" x14ac:dyDescent="0.25">
      <c r="A151" s="86" t="s">
        <v>28</v>
      </c>
      <c r="B151" s="54" t="s">
        <v>19</v>
      </c>
      <c r="C151" s="54"/>
      <c r="D151" s="84">
        <v>2300.9850000000001</v>
      </c>
      <c r="E151" s="84">
        <f t="shared" si="88"/>
        <v>2300.9850000000001</v>
      </c>
      <c r="F151" s="84">
        <v>2300.9850000000001</v>
      </c>
      <c r="G151" s="84">
        <f t="shared" si="89"/>
        <v>2300.9850000000001</v>
      </c>
      <c r="H151" s="84">
        <v>2300.9850000000001</v>
      </c>
      <c r="I151" s="84">
        <f t="shared" si="90"/>
        <v>6718.8375000000005</v>
      </c>
      <c r="J151" s="84">
        <v>11136.69</v>
      </c>
      <c r="K151" s="84">
        <f t="shared" si="91"/>
        <v>9869.0625</v>
      </c>
      <c r="L151" s="84">
        <v>8601.4349999999995</v>
      </c>
      <c r="M151" s="84">
        <v>1903.73</v>
      </c>
      <c r="N151" s="84">
        <v>1903.73</v>
      </c>
      <c r="O151" s="84">
        <v>5155.1099999999997</v>
      </c>
      <c r="P151" s="84">
        <v>5155.1099999999997</v>
      </c>
      <c r="Q151" s="84">
        <f t="shared" si="92"/>
        <v>5155.11049</v>
      </c>
      <c r="R151" s="84">
        <f t="shared" si="92"/>
        <v>5155.1109800000004</v>
      </c>
      <c r="S151" s="84">
        <f t="shared" si="92"/>
        <v>5155.1114700000007</v>
      </c>
      <c r="T151" s="84">
        <f t="shared" ref="T151:AC151" si="102">+S151-(0.711/100)</f>
        <v>5155.1043600000012</v>
      </c>
      <c r="U151" s="84">
        <f t="shared" si="102"/>
        <v>5155.0972500000016</v>
      </c>
      <c r="V151" s="84">
        <f t="shared" si="102"/>
        <v>5155.0901400000021</v>
      </c>
      <c r="W151" s="84">
        <f t="shared" si="102"/>
        <v>5155.0830300000025</v>
      </c>
      <c r="X151" s="84">
        <f t="shared" si="102"/>
        <v>5155.075920000003</v>
      </c>
      <c r="Y151" s="84">
        <f t="shared" si="102"/>
        <v>5155.0688100000034</v>
      </c>
      <c r="Z151" s="84">
        <f t="shared" si="102"/>
        <v>5155.0617000000038</v>
      </c>
      <c r="AA151" s="84">
        <f t="shared" si="102"/>
        <v>5155.0545900000043</v>
      </c>
      <c r="AB151" s="84">
        <f t="shared" si="102"/>
        <v>5155.0474800000047</v>
      </c>
      <c r="AC151" s="84">
        <f t="shared" si="102"/>
        <v>5155.0403700000052</v>
      </c>
    </row>
    <row r="152" spans="1:29" x14ac:dyDescent="0.25">
      <c r="A152" s="56" t="s">
        <v>4</v>
      </c>
      <c r="B152" s="54" t="s">
        <v>19</v>
      </c>
      <c r="C152" s="54"/>
      <c r="D152" s="84">
        <v>24385.99</v>
      </c>
      <c r="E152" s="84">
        <f t="shared" si="88"/>
        <v>24385.99</v>
      </c>
      <c r="F152" s="84">
        <v>24385.99</v>
      </c>
      <c r="G152" s="84">
        <f t="shared" si="89"/>
        <v>24385.99</v>
      </c>
      <c r="H152" s="84">
        <v>24385.99</v>
      </c>
      <c r="I152" s="84">
        <f t="shared" si="90"/>
        <v>38966.805</v>
      </c>
      <c r="J152" s="84">
        <v>53547.62</v>
      </c>
      <c r="K152" s="84">
        <f t="shared" si="91"/>
        <v>34203.535000000003</v>
      </c>
      <c r="L152" s="84">
        <v>14859.45</v>
      </c>
      <c r="M152" s="84">
        <v>32440.31</v>
      </c>
      <c r="N152" s="84">
        <v>32440.31</v>
      </c>
      <c r="O152" s="84">
        <v>23216.04</v>
      </c>
      <c r="P152" s="84">
        <v>23216.04</v>
      </c>
      <c r="Q152" s="84">
        <f t="shared" si="92"/>
        <v>23216.040489999999</v>
      </c>
      <c r="R152" s="84">
        <f t="shared" si="92"/>
        <v>23216.040979999998</v>
      </c>
      <c r="S152" s="84">
        <f t="shared" si="92"/>
        <v>23216.041469999996</v>
      </c>
      <c r="T152" s="84">
        <f t="shared" ref="T152:AC152" si="103">+S152-(0.711/100)</f>
        <v>23216.034359999998</v>
      </c>
      <c r="U152" s="84">
        <f t="shared" si="103"/>
        <v>23216.027249999999</v>
      </c>
      <c r="V152" s="84">
        <f t="shared" si="103"/>
        <v>23216.020140000001</v>
      </c>
      <c r="W152" s="84">
        <f t="shared" si="103"/>
        <v>23216.013030000002</v>
      </c>
      <c r="X152" s="84">
        <f t="shared" si="103"/>
        <v>23216.005920000003</v>
      </c>
      <c r="Y152" s="84">
        <f t="shared" si="103"/>
        <v>23215.998810000005</v>
      </c>
      <c r="Z152" s="84">
        <f t="shared" si="103"/>
        <v>23215.991700000006</v>
      </c>
      <c r="AA152" s="84">
        <f t="shared" si="103"/>
        <v>23215.984590000007</v>
      </c>
      <c r="AB152" s="84">
        <f t="shared" si="103"/>
        <v>23215.977480000009</v>
      </c>
      <c r="AC152" s="84">
        <f t="shared" si="103"/>
        <v>23215.97037000001</v>
      </c>
    </row>
    <row r="153" spans="1:29" x14ac:dyDescent="0.25">
      <c r="A153" s="56" t="s">
        <v>5</v>
      </c>
      <c r="B153" s="54" t="s">
        <v>19</v>
      </c>
      <c r="C153" s="54"/>
      <c r="D153" s="84">
        <v>8319.99</v>
      </c>
      <c r="E153" s="84">
        <f t="shared" si="88"/>
        <v>8319.99</v>
      </c>
      <c r="F153" s="84">
        <v>8319.99</v>
      </c>
      <c r="G153" s="84">
        <f t="shared" si="89"/>
        <v>8319.99</v>
      </c>
      <c r="H153" s="84">
        <v>8319.99</v>
      </c>
      <c r="I153" s="84">
        <f t="shared" si="90"/>
        <v>9268.2150000000001</v>
      </c>
      <c r="J153" s="84">
        <v>10216.44</v>
      </c>
      <c r="K153" s="84">
        <f t="shared" si="91"/>
        <v>8473.6149999999998</v>
      </c>
      <c r="L153" s="84">
        <v>6730.79</v>
      </c>
      <c r="M153" s="84">
        <v>795.38</v>
      </c>
      <c r="N153" s="84">
        <v>795.38</v>
      </c>
      <c r="O153" s="84">
        <v>2562.98</v>
      </c>
      <c r="P153" s="84">
        <v>2562.98</v>
      </c>
      <c r="Q153" s="84">
        <f t="shared" si="92"/>
        <v>2562.9804899999999</v>
      </c>
      <c r="R153" s="84">
        <f t="shared" si="92"/>
        <v>2562.9809799999998</v>
      </c>
      <c r="S153" s="84">
        <f t="shared" si="92"/>
        <v>2562.9814699999997</v>
      </c>
      <c r="T153" s="84">
        <f t="shared" ref="T153:AC153" si="104">+S153-(0.711/100)</f>
        <v>2562.9743599999997</v>
      </c>
      <c r="U153" s="84">
        <f t="shared" si="104"/>
        <v>2562.9672499999997</v>
      </c>
      <c r="V153" s="84">
        <f t="shared" si="104"/>
        <v>2562.9601399999997</v>
      </c>
      <c r="W153" s="84">
        <f t="shared" si="104"/>
        <v>2562.9530299999997</v>
      </c>
      <c r="X153" s="84">
        <f t="shared" si="104"/>
        <v>2562.9459199999997</v>
      </c>
      <c r="Y153" s="84">
        <f t="shared" si="104"/>
        <v>2562.9388099999996</v>
      </c>
      <c r="Z153" s="84">
        <f t="shared" si="104"/>
        <v>2562.9316999999996</v>
      </c>
      <c r="AA153" s="84">
        <f t="shared" si="104"/>
        <v>2562.9245899999996</v>
      </c>
      <c r="AB153" s="84">
        <f t="shared" si="104"/>
        <v>2562.9174799999996</v>
      </c>
      <c r="AC153" s="84">
        <f t="shared" si="104"/>
        <v>2562.9103699999996</v>
      </c>
    </row>
    <row r="154" spans="1:29" x14ac:dyDescent="0.25">
      <c r="A154" s="56" t="s">
        <v>6</v>
      </c>
      <c r="B154" s="54" t="s">
        <v>19</v>
      </c>
      <c r="C154" s="54"/>
      <c r="D154" s="84">
        <v>0</v>
      </c>
      <c r="E154" s="84">
        <f t="shared" si="88"/>
        <v>0</v>
      </c>
      <c r="F154" s="84">
        <v>0</v>
      </c>
      <c r="G154" s="84">
        <f t="shared" si="89"/>
        <v>0</v>
      </c>
      <c r="H154" s="84">
        <v>0</v>
      </c>
      <c r="I154" s="84">
        <f t="shared" si="90"/>
        <v>0</v>
      </c>
      <c r="J154" s="84">
        <v>0</v>
      </c>
      <c r="K154" s="84">
        <f t="shared" si="91"/>
        <v>0</v>
      </c>
      <c r="L154" s="84">
        <v>0</v>
      </c>
      <c r="M154" s="84">
        <v>0</v>
      </c>
      <c r="N154" s="84">
        <v>0</v>
      </c>
      <c r="O154" s="84">
        <v>262.35000000000002</v>
      </c>
      <c r="P154" s="84">
        <v>262.35000000000002</v>
      </c>
      <c r="Q154" s="84">
        <f t="shared" si="92"/>
        <v>262.35049000000004</v>
      </c>
      <c r="R154" s="84">
        <f t="shared" si="92"/>
        <v>262.35098000000005</v>
      </c>
      <c r="S154" s="84">
        <f t="shared" si="92"/>
        <v>262.35147000000006</v>
      </c>
      <c r="T154" s="84">
        <f t="shared" ref="T154:AC154" si="105">+S154-(0.711/100)</f>
        <v>262.34436000000005</v>
      </c>
      <c r="U154" s="84">
        <f t="shared" si="105"/>
        <v>262.33725000000004</v>
      </c>
      <c r="V154" s="84">
        <f t="shared" si="105"/>
        <v>262.33014000000003</v>
      </c>
      <c r="W154" s="84">
        <f t="shared" si="105"/>
        <v>262.32303000000002</v>
      </c>
      <c r="X154" s="84">
        <f t="shared" si="105"/>
        <v>262.31592000000001</v>
      </c>
      <c r="Y154" s="84">
        <f t="shared" si="105"/>
        <v>262.30880999999999</v>
      </c>
      <c r="Z154" s="84">
        <f t="shared" si="105"/>
        <v>262.30169999999998</v>
      </c>
      <c r="AA154" s="84">
        <f t="shared" si="105"/>
        <v>262.29458999999997</v>
      </c>
      <c r="AB154" s="84">
        <f t="shared" si="105"/>
        <v>262.28747999999996</v>
      </c>
      <c r="AC154" s="84">
        <f t="shared" si="105"/>
        <v>262.28036999999995</v>
      </c>
    </row>
    <row r="155" spans="1:29" x14ac:dyDescent="0.25">
      <c r="A155" s="56" t="s">
        <v>29</v>
      </c>
      <c r="B155" s="54" t="s">
        <v>19</v>
      </c>
      <c r="C155" s="54"/>
      <c r="D155" s="84">
        <v>1280.52</v>
      </c>
      <c r="E155" s="84">
        <f t="shared" si="88"/>
        <v>1280.52</v>
      </c>
      <c r="F155" s="84">
        <v>1280.52</v>
      </c>
      <c r="G155" s="84">
        <f t="shared" si="89"/>
        <v>1280.52</v>
      </c>
      <c r="H155" s="84">
        <v>1280.52</v>
      </c>
      <c r="I155" s="84">
        <f t="shared" si="90"/>
        <v>5254.8525</v>
      </c>
      <c r="J155" s="84">
        <v>9229.1849999999995</v>
      </c>
      <c r="K155" s="84">
        <f t="shared" si="91"/>
        <v>5389.7874999999995</v>
      </c>
      <c r="L155" s="84">
        <v>1550.39</v>
      </c>
      <c r="M155" s="84">
        <v>608.72</v>
      </c>
      <c r="N155" s="84">
        <v>608.72</v>
      </c>
      <c r="O155" s="84">
        <v>3363.16</v>
      </c>
      <c r="P155" s="84">
        <v>3363.16</v>
      </c>
      <c r="Q155" s="84">
        <f t="shared" si="92"/>
        <v>3363.1604899999998</v>
      </c>
      <c r="R155" s="84">
        <f t="shared" si="92"/>
        <v>3363.1609799999997</v>
      </c>
      <c r="S155" s="84">
        <f t="shared" si="92"/>
        <v>3363.1614699999996</v>
      </c>
      <c r="T155" s="84">
        <f t="shared" ref="T155:AC155" si="106">+S155-(0.711/100)</f>
        <v>3363.1543599999995</v>
      </c>
      <c r="U155" s="84">
        <f t="shared" si="106"/>
        <v>3363.1472499999995</v>
      </c>
      <c r="V155" s="84">
        <f t="shared" si="106"/>
        <v>3363.1401399999995</v>
      </c>
      <c r="W155" s="84">
        <f t="shared" si="106"/>
        <v>3363.1330299999995</v>
      </c>
      <c r="X155" s="84">
        <f t="shared" si="106"/>
        <v>3363.1259199999995</v>
      </c>
      <c r="Y155" s="84">
        <f t="shared" si="106"/>
        <v>3363.1188099999995</v>
      </c>
      <c r="Z155" s="84">
        <f t="shared" si="106"/>
        <v>3363.1116999999995</v>
      </c>
      <c r="AA155" s="84">
        <f t="shared" si="106"/>
        <v>3363.1045899999995</v>
      </c>
      <c r="AB155" s="84">
        <f t="shared" si="106"/>
        <v>3363.0974799999995</v>
      </c>
      <c r="AC155" s="84">
        <f t="shared" si="106"/>
        <v>3363.0903699999994</v>
      </c>
    </row>
    <row r="157" spans="1:29" x14ac:dyDescent="0.25">
      <c r="A157" s="86" t="s">
        <v>18</v>
      </c>
      <c r="B157" s="54" t="s">
        <v>4</v>
      </c>
      <c r="C157" s="54"/>
      <c r="D157" s="60">
        <v>0</v>
      </c>
      <c r="E157" s="84">
        <f t="shared" ref="E157:E169" si="107">+(D157+F157)/2</f>
        <v>0</v>
      </c>
      <c r="F157" s="60">
        <v>0</v>
      </c>
      <c r="G157" s="84">
        <f t="shared" ref="G157:G169" si="108">+(F157+H157)/2</f>
        <v>0</v>
      </c>
      <c r="H157" s="60">
        <v>0</v>
      </c>
      <c r="I157" s="84">
        <f t="shared" ref="I157:I169" si="109">+(H157+J157)/2</f>
        <v>0</v>
      </c>
      <c r="J157" s="60">
        <v>0</v>
      </c>
      <c r="K157" s="84">
        <f t="shared" ref="K157:K169" si="110">+(J157+L157)/2</f>
        <v>80.887500000000003</v>
      </c>
      <c r="L157" s="60">
        <v>161.77500000000001</v>
      </c>
      <c r="M157" s="60">
        <v>23.94</v>
      </c>
      <c r="N157" s="60">
        <v>23.94</v>
      </c>
      <c r="O157" s="60">
        <v>1.62</v>
      </c>
      <c r="P157" s="60">
        <v>1.62</v>
      </c>
      <c r="Q157" s="84">
        <f t="shared" ref="Q157:S169" si="111">+P157+(0.049/100)</f>
        <v>1.6204900000000002</v>
      </c>
      <c r="R157" s="84">
        <f t="shared" si="111"/>
        <v>1.6209800000000003</v>
      </c>
      <c r="S157" s="84">
        <f t="shared" si="111"/>
        <v>1.6214700000000004</v>
      </c>
      <c r="T157" s="84">
        <f t="shared" ref="T157:AC157" si="112">+S157-(0.711/100)</f>
        <v>1.6143600000000005</v>
      </c>
      <c r="U157" s="84">
        <f t="shared" si="112"/>
        <v>1.6072500000000005</v>
      </c>
      <c r="V157" s="84">
        <f t="shared" si="112"/>
        <v>1.6001400000000006</v>
      </c>
      <c r="W157" s="84">
        <f t="shared" si="112"/>
        <v>1.5930300000000006</v>
      </c>
      <c r="X157" s="84">
        <f t="shared" si="112"/>
        <v>1.5859200000000007</v>
      </c>
      <c r="Y157" s="84">
        <f t="shared" si="112"/>
        <v>1.5788100000000007</v>
      </c>
      <c r="Z157" s="84">
        <f t="shared" si="112"/>
        <v>1.5717000000000008</v>
      </c>
      <c r="AA157" s="84">
        <f t="shared" si="112"/>
        <v>1.5645900000000008</v>
      </c>
      <c r="AB157" s="84">
        <f t="shared" si="112"/>
        <v>1.5574800000000009</v>
      </c>
      <c r="AC157" s="84">
        <f t="shared" si="112"/>
        <v>1.5503700000000009</v>
      </c>
    </row>
    <row r="158" spans="1:29" x14ac:dyDescent="0.25">
      <c r="A158" s="86" t="s">
        <v>20</v>
      </c>
      <c r="B158" s="54" t="s">
        <v>4</v>
      </c>
      <c r="C158" s="54"/>
      <c r="D158" s="60">
        <v>0</v>
      </c>
      <c r="E158" s="84">
        <f t="shared" si="107"/>
        <v>0</v>
      </c>
      <c r="F158" s="60">
        <v>0</v>
      </c>
      <c r="G158" s="84">
        <f t="shared" si="108"/>
        <v>0</v>
      </c>
      <c r="H158" s="60">
        <v>0</v>
      </c>
      <c r="I158" s="84">
        <f t="shared" si="109"/>
        <v>0</v>
      </c>
      <c r="J158" s="60">
        <v>0</v>
      </c>
      <c r="K158" s="84">
        <f t="shared" si="110"/>
        <v>303.09750000000003</v>
      </c>
      <c r="L158" s="60">
        <v>606.19500000000005</v>
      </c>
      <c r="M158" s="60">
        <v>194.535</v>
      </c>
      <c r="N158" s="60">
        <v>194.535</v>
      </c>
      <c r="O158" s="60">
        <v>465.88499999999999</v>
      </c>
      <c r="P158" s="60">
        <v>465.88499999999999</v>
      </c>
      <c r="Q158" s="84">
        <f t="shared" si="111"/>
        <v>465.88549</v>
      </c>
      <c r="R158" s="84">
        <f t="shared" si="111"/>
        <v>465.88598000000002</v>
      </c>
      <c r="S158" s="84">
        <f t="shared" si="111"/>
        <v>465.88647000000003</v>
      </c>
      <c r="T158" s="84">
        <f t="shared" ref="T158:AC158" si="113">+S158-(0.711/100)</f>
        <v>465.87936000000002</v>
      </c>
      <c r="U158" s="84">
        <f t="shared" si="113"/>
        <v>465.87225000000001</v>
      </c>
      <c r="V158" s="84">
        <f t="shared" si="113"/>
        <v>465.86514</v>
      </c>
      <c r="W158" s="84">
        <f t="shared" si="113"/>
        <v>465.85802999999999</v>
      </c>
      <c r="X158" s="84">
        <f t="shared" si="113"/>
        <v>465.85091999999997</v>
      </c>
      <c r="Y158" s="84">
        <f t="shared" si="113"/>
        <v>465.84380999999996</v>
      </c>
      <c r="Z158" s="84">
        <f t="shared" si="113"/>
        <v>465.83669999999995</v>
      </c>
      <c r="AA158" s="84">
        <f t="shared" si="113"/>
        <v>465.82958999999994</v>
      </c>
      <c r="AB158" s="84">
        <f t="shared" si="113"/>
        <v>465.82247999999993</v>
      </c>
      <c r="AC158" s="84">
        <f t="shared" si="113"/>
        <v>465.81536999999992</v>
      </c>
    </row>
    <row r="159" spans="1:29" x14ac:dyDescent="0.25">
      <c r="A159" s="86" t="s">
        <v>21</v>
      </c>
      <c r="B159" s="54" t="s">
        <v>4</v>
      </c>
      <c r="C159" s="54"/>
      <c r="D159" s="60">
        <v>0</v>
      </c>
      <c r="E159" s="84">
        <f t="shared" si="107"/>
        <v>0</v>
      </c>
      <c r="F159" s="60">
        <v>0</v>
      </c>
      <c r="G159" s="84">
        <f t="shared" si="108"/>
        <v>0</v>
      </c>
      <c r="H159" s="60">
        <v>0</v>
      </c>
      <c r="I159" s="84">
        <f t="shared" si="109"/>
        <v>0</v>
      </c>
      <c r="J159" s="60">
        <v>0</v>
      </c>
      <c r="K159" s="84">
        <f t="shared" si="110"/>
        <v>195.88499999999999</v>
      </c>
      <c r="L159" s="60">
        <v>391.77</v>
      </c>
      <c r="M159" s="60">
        <v>846.23</v>
      </c>
      <c r="N159" s="60">
        <v>846.23</v>
      </c>
      <c r="O159" s="60">
        <v>79.11</v>
      </c>
      <c r="P159" s="60">
        <v>79.11</v>
      </c>
      <c r="Q159" s="84">
        <f t="shared" si="111"/>
        <v>79.110489999999999</v>
      </c>
      <c r="R159" s="84">
        <f t="shared" si="111"/>
        <v>79.110979999999998</v>
      </c>
      <c r="S159" s="84">
        <f t="shared" si="111"/>
        <v>79.111469999999997</v>
      </c>
      <c r="T159" s="84">
        <f t="shared" ref="T159:AC159" si="114">+S159-(0.711/100)</f>
        <v>79.10436</v>
      </c>
      <c r="U159" s="84">
        <f t="shared" si="114"/>
        <v>79.097250000000003</v>
      </c>
      <c r="V159" s="84">
        <f t="shared" si="114"/>
        <v>79.090140000000005</v>
      </c>
      <c r="W159" s="84">
        <f t="shared" si="114"/>
        <v>79.083030000000008</v>
      </c>
      <c r="X159" s="84">
        <f t="shared" si="114"/>
        <v>79.075920000000011</v>
      </c>
      <c r="Y159" s="84">
        <f t="shared" si="114"/>
        <v>79.068810000000013</v>
      </c>
      <c r="Z159" s="84">
        <f t="shared" si="114"/>
        <v>79.061700000000016</v>
      </c>
      <c r="AA159" s="84">
        <f t="shared" si="114"/>
        <v>79.054590000000019</v>
      </c>
      <c r="AB159" s="84">
        <f t="shared" si="114"/>
        <v>79.047480000000022</v>
      </c>
      <c r="AC159" s="84">
        <f t="shared" si="114"/>
        <v>79.040370000000024</v>
      </c>
    </row>
    <row r="160" spans="1:29" x14ac:dyDescent="0.25">
      <c r="A160" s="86" t="s">
        <v>22</v>
      </c>
      <c r="B160" s="54" t="s">
        <v>4</v>
      </c>
      <c r="C160" s="54"/>
      <c r="D160" s="60">
        <v>0</v>
      </c>
      <c r="E160" s="84">
        <f t="shared" si="107"/>
        <v>0</v>
      </c>
      <c r="F160" s="60">
        <v>0</v>
      </c>
      <c r="G160" s="84">
        <f t="shared" si="108"/>
        <v>0</v>
      </c>
      <c r="H160" s="60">
        <v>0</v>
      </c>
      <c r="I160" s="84">
        <f t="shared" si="109"/>
        <v>0</v>
      </c>
      <c r="J160" s="60">
        <v>0</v>
      </c>
      <c r="K160" s="84">
        <f t="shared" si="110"/>
        <v>34.042499999999997</v>
      </c>
      <c r="L160" s="60">
        <v>68.084999999999994</v>
      </c>
      <c r="M160" s="60">
        <v>149.94</v>
      </c>
      <c r="N160" s="60">
        <v>149.94</v>
      </c>
      <c r="O160" s="60">
        <v>20.925000000000001</v>
      </c>
      <c r="P160" s="60">
        <v>20.925000000000001</v>
      </c>
      <c r="Q160" s="84">
        <f t="shared" si="111"/>
        <v>20.92549</v>
      </c>
      <c r="R160" s="84">
        <f t="shared" si="111"/>
        <v>20.925979999999999</v>
      </c>
      <c r="S160" s="84">
        <f t="shared" si="111"/>
        <v>20.926469999999998</v>
      </c>
      <c r="T160" s="84">
        <f t="shared" ref="T160:AC160" si="115">+S160-(0.711/100)</f>
        <v>20.919359999999998</v>
      </c>
      <c r="U160" s="84">
        <f t="shared" si="115"/>
        <v>20.912249999999997</v>
      </c>
      <c r="V160" s="84">
        <f t="shared" si="115"/>
        <v>20.905139999999996</v>
      </c>
      <c r="W160" s="84">
        <f t="shared" si="115"/>
        <v>20.898029999999995</v>
      </c>
      <c r="X160" s="84">
        <f t="shared" si="115"/>
        <v>20.890919999999994</v>
      </c>
      <c r="Y160" s="84">
        <f t="shared" si="115"/>
        <v>20.883809999999993</v>
      </c>
      <c r="Z160" s="84">
        <f t="shared" si="115"/>
        <v>20.876699999999992</v>
      </c>
      <c r="AA160" s="84">
        <f t="shared" si="115"/>
        <v>20.869589999999992</v>
      </c>
      <c r="AB160" s="84">
        <f t="shared" si="115"/>
        <v>20.862479999999991</v>
      </c>
      <c r="AC160" s="84">
        <f t="shared" si="115"/>
        <v>20.85536999999999</v>
      </c>
    </row>
    <row r="161" spans="1:29" x14ac:dyDescent="0.25">
      <c r="A161" s="86" t="s">
        <v>23</v>
      </c>
      <c r="B161" s="54" t="s">
        <v>4</v>
      </c>
      <c r="C161" s="54"/>
      <c r="D161" s="60">
        <v>0</v>
      </c>
      <c r="E161" s="84">
        <f t="shared" si="107"/>
        <v>0</v>
      </c>
      <c r="F161" s="60">
        <v>0</v>
      </c>
      <c r="G161" s="84">
        <f t="shared" si="108"/>
        <v>0</v>
      </c>
      <c r="H161" s="60">
        <v>0</v>
      </c>
      <c r="I161" s="84">
        <f t="shared" si="109"/>
        <v>0</v>
      </c>
      <c r="J161" s="60">
        <v>0</v>
      </c>
      <c r="K161" s="84">
        <f t="shared" si="110"/>
        <v>191.20500000000001</v>
      </c>
      <c r="L161" s="60">
        <v>382.41</v>
      </c>
      <c r="M161" s="60">
        <v>1335.29</v>
      </c>
      <c r="N161" s="60">
        <v>1335.29</v>
      </c>
      <c r="O161" s="60">
        <v>40.46</v>
      </c>
      <c r="P161" s="60">
        <v>40.46</v>
      </c>
      <c r="Q161" s="84">
        <f t="shared" si="111"/>
        <v>40.46049</v>
      </c>
      <c r="R161" s="84">
        <f t="shared" si="111"/>
        <v>40.460979999999999</v>
      </c>
      <c r="S161" s="84">
        <f t="shared" si="111"/>
        <v>40.461469999999998</v>
      </c>
      <c r="T161" s="84">
        <f t="shared" ref="T161:AC161" si="116">+S161-(0.711/100)</f>
        <v>40.454360000000001</v>
      </c>
      <c r="U161" s="84">
        <f t="shared" si="116"/>
        <v>40.447250000000004</v>
      </c>
      <c r="V161" s="84">
        <f t="shared" si="116"/>
        <v>40.440140000000007</v>
      </c>
      <c r="W161" s="84">
        <f t="shared" si="116"/>
        <v>40.433030000000009</v>
      </c>
      <c r="X161" s="84">
        <f t="shared" si="116"/>
        <v>40.425920000000012</v>
      </c>
      <c r="Y161" s="84">
        <f t="shared" si="116"/>
        <v>40.418810000000015</v>
      </c>
      <c r="Z161" s="84">
        <f t="shared" si="116"/>
        <v>40.411700000000017</v>
      </c>
      <c r="AA161" s="84">
        <f t="shared" si="116"/>
        <v>40.40459000000002</v>
      </c>
      <c r="AB161" s="84">
        <f t="shared" si="116"/>
        <v>40.397480000000023</v>
      </c>
      <c r="AC161" s="84">
        <f t="shared" si="116"/>
        <v>40.390370000000026</v>
      </c>
    </row>
    <row r="162" spans="1:29" ht="22.5" x14ac:dyDescent="0.25">
      <c r="A162" s="86" t="s">
        <v>24</v>
      </c>
      <c r="B162" s="54" t="s">
        <v>4</v>
      </c>
      <c r="C162" s="54"/>
      <c r="D162" s="60">
        <v>0</v>
      </c>
      <c r="E162" s="84">
        <f t="shared" si="107"/>
        <v>0</v>
      </c>
      <c r="F162" s="60">
        <v>0</v>
      </c>
      <c r="G162" s="84">
        <f t="shared" si="108"/>
        <v>0</v>
      </c>
      <c r="H162" s="60">
        <v>0</v>
      </c>
      <c r="I162" s="84">
        <f t="shared" si="109"/>
        <v>0</v>
      </c>
      <c r="J162" s="60">
        <v>0</v>
      </c>
      <c r="K162" s="84">
        <f t="shared" si="110"/>
        <v>20.317499999999999</v>
      </c>
      <c r="L162" s="60">
        <v>40.634999999999998</v>
      </c>
      <c r="M162" s="60">
        <v>342.85500000000002</v>
      </c>
      <c r="N162" s="60">
        <v>342.85500000000002</v>
      </c>
      <c r="O162" s="60">
        <v>19.754999999999999</v>
      </c>
      <c r="P162" s="60">
        <v>19.754999999999999</v>
      </c>
      <c r="Q162" s="84">
        <f t="shared" si="111"/>
        <v>19.755489999999998</v>
      </c>
      <c r="R162" s="84">
        <f t="shared" si="111"/>
        <v>19.755979999999997</v>
      </c>
      <c r="S162" s="84">
        <f t="shared" si="111"/>
        <v>19.756469999999997</v>
      </c>
      <c r="T162" s="84">
        <f t="shared" ref="T162:AC162" si="117">+S162-(0.711/100)</f>
        <v>19.749359999999996</v>
      </c>
      <c r="U162" s="84">
        <f t="shared" si="117"/>
        <v>19.742249999999995</v>
      </c>
      <c r="V162" s="84">
        <f t="shared" si="117"/>
        <v>19.735139999999994</v>
      </c>
      <c r="W162" s="84">
        <f t="shared" si="117"/>
        <v>19.728029999999993</v>
      </c>
      <c r="X162" s="84">
        <f t="shared" si="117"/>
        <v>19.720919999999992</v>
      </c>
      <c r="Y162" s="84">
        <f t="shared" si="117"/>
        <v>19.713809999999992</v>
      </c>
      <c r="Z162" s="84">
        <f t="shared" si="117"/>
        <v>19.706699999999991</v>
      </c>
      <c r="AA162" s="84">
        <f t="shared" si="117"/>
        <v>19.69958999999999</v>
      </c>
      <c r="AB162" s="84">
        <f t="shared" si="117"/>
        <v>19.692479999999989</v>
      </c>
      <c r="AC162" s="84">
        <f t="shared" si="117"/>
        <v>19.685369999999988</v>
      </c>
    </row>
    <row r="163" spans="1:29" x14ac:dyDescent="0.25">
      <c r="A163" s="86" t="s">
        <v>25</v>
      </c>
      <c r="B163" s="54" t="s">
        <v>4</v>
      </c>
      <c r="C163" s="54"/>
      <c r="D163" s="60">
        <v>0</v>
      </c>
      <c r="E163" s="84">
        <f t="shared" si="107"/>
        <v>0</v>
      </c>
      <c r="F163" s="60">
        <v>0</v>
      </c>
      <c r="G163" s="84">
        <f t="shared" si="108"/>
        <v>0</v>
      </c>
      <c r="H163" s="60">
        <v>0</v>
      </c>
      <c r="I163" s="84">
        <f t="shared" si="109"/>
        <v>0</v>
      </c>
      <c r="J163" s="60">
        <v>0</v>
      </c>
      <c r="K163" s="84">
        <f t="shared" si="110"/>
        <v>65.227500000000006</v>
      </c>
      <c r="L163" s="60">
        <v>130.45500000000001</v>
      </c>
      <c r="M163" s="60">
        <v>582.12</v>
      </c>
      <c r="N163" s="60">
        <v>582.12</v>
      </c>
      <c r="O163" s="60">
        <v>37.395000000000003</v>
      </c>
      <c r="P163" s="60">
        <v>37.395000000000003</v>
      </c>
      <c r="Q163" s="84">
        <f t="shared" si="111"/>
        <v>37.395490000000002</v>
      </c>
      <c r="R163" s="84">
        <f t="shared" si="111"/>
        <v>37.395980000000002</v>
      </c>
      <c r="S163" s="84">
        <f t="shared" si="111"/>
        <v>37.396470000000001</v>
      </c>
      <c r="T163" s="84">
        <f t="shared" ref="T163:AC163" si="118">+S163-(0.711/100)</f>
        <v>37.389360000000003</v>
      </c>
      <c r="U163" s="84">
        <f t="shared" si="118"/>
        <v>37.382250000000006</v>
      </c>
      <c r="V163" s="84">
        <f t="shared" si="118"/>
        <v>37.375140000000009</v>
      </c>
      <c r="W163" s="84">
        <f t="shared" si="118"/>
        <v>37.368030000000012</v>
      </c>
      <c r="X163" s="84">
        <f t="shared" si="118"/>
        <v>37.360920000000014</v>
      </c>
      <c r="Y163" s="84">
        <f t="shared" si="118"/>
        <v>37.353810000000017</v>
      </c>
      <c r="Z163" s="84">
        <f t="shared" si="118"/>
        <v>37.34670000000002</v>
      </c>
      <c r="AA163" s="84">
        <f t="shared" si="118"/>
        <v>37.339590000000022</v>
      </c>
      <c r="AB163" s="84">
        <f t="shared" si="118"/>
        <v>37.332480000000025</v>
      </c>
      <c r="AC163" s="84">
        <f t="shared" si="118"/>
        <v>37.325370000000028</v>
      </c>
    </row>
    <row r="164" spans="1:29" x14ac:dyDescent="0.25">
      <c r="A164" s="86" t="s">
        <v>26</v>
      </c>
      <c r="B164" s="54" t="s">
        <v>4</v>
      </c>
      <c r="C164" s="54"/>
      <c r="D164" s="60">
        <v>0</v>
      </c>
      <c r="E164" s="84">
        <f t="shared" si="107"/>
        <v>0</v>
      </c>
      <c r="F164" s="60">
        <v>0</v>
      </c>
      <c r="G164" s="84">
        <f t="shared" si="108"/>
        <v>0</v>
      </c>
      <c r="H164" s="60">
        <v>0</v>
      </c>
      <c r="I164" s="84">
        <f t="shared" si="109"/>
        <v>0</v>
      </c>
      <c r="J164" s="60">
        <v>0</v>
      </c>
      <c r="K164" s="84">
        <f t="shared" si="110"/>
        <v>8.7524999999999995</v>
      </c>
      <c r="L164" s="60">
        <v>17.504999999999999</v>
      </c>
      <c r="M164" s="60">
        <v>102.69</v>
      </c>
      <c r="N164" s="60">
        <v>102.69</v>
      </c>
      <c r="O164" s="60">
        <v>140.76</v>
      </c>
      <c r="P164" s="60">
        <v>140.76</v>
      </c>
      <c r="Q164" s="84">
        <f t="shared" si="111"/>
        <v>140.76049</v>
      </c>
      <c r="R164" s="84">
        <f t="shared" si="111"/>
        <v>140.76098000000002</v>
      </c>
      <c r="S164" s="84">
        <f t="shared" si="111"/>
        <v>140.76147000000003</v>
      </c>
      <c r="T164" s="84">
        <f t="shared" ref="T164:AC164" si="119">+S164-(0.711/100)</f>
        <v>140.75436000000002</v>
      </c>
      <c r="U164" s="84">
        <f t="shared" si="119"/>
        <v>140.74725000000001</v>
      </c>
      <c r="V164" s="84">
        <f t="shared" si="119"/>
        <v>140.74014</v>
      </c>
      <c r="W164" s="84">
        <f t="shared" si="119"/>
        <v>140.73302999999999</v>
      </c>
      <c r="X164" s="84">
        <f t="shared" si="119"/>
        <v>140.72591999999997</v>
      </c>
      <c r="Y164" s="84">
        <f t="shared" si="119"/>
        <v>140.71880999999996</v>
      </c>
      <c r="Z164" s="84">
        <f t="shared" si="119"/>
        <v>140.71169999999995</v>
      </c>
      <c r="AA164" s="84">
        <f t="shared" si="119"/>
        <v>140.70458999999994</v>
      </c>
      <c r="AB164" s="84">
        <f t="shared" si="119"/>
        <v>140.69747999999993</v>
      </c>
      <c r="AC164" s="84">
        <f t="shared" si="119"/>
        <v>140.69036999999992</v>
      </c>
    </row>
    <row r="165" spans="1:29" x14ac:dyDescent="0.25">
      <c r="A165" s="86" t="s">
        <v>27</v>
      </c>
      <c r="B165" s="54" t="s">
        <v>4</v>
      </c>
      <c r="C165" s="54"/>
      <c r="D165" s="60">
        <v>0</v>
      </c>
      <c r="E165" s="84">
        <f t="shared" si="107"/>
        <v>0</v>
      </c>
      <c r="F165" s="60">
        <v>0</v>
      </c>
      <c r="G165" s="84">
        <f t="shared" si="108"/>
        <v>0</v>
      </c>
      <c r="H165" s="60">
        <v>0</v>
      </c>
      <c r="I165" s="84">
        <f t="shared" si="109"/>
        <v>0</v>
      </c>
      <c r="J165" s="60">
        <v>0</v>
      </c>
      <c r="K165" s="84">
        <f t="shared" si="110"/>
        <v>0.87749999999999995</v>
      </c>
      <c r="L165" s="60">
        <v>1.7549999999999999</v>
      </c>
      <c r="M165" s="60">
        <v>23.535</v>
      </c>
      <c r="N165" s="60">
        <v>23.535</v>
      </c>
      <c r="O165" s="60">
        <v>0.36</v>
      </c>
      <c r="P165" s="60">
        <v>0.36</v>
      </c>
      <c r="Q165" s="84">
        <f t="shared" si="111"/>
        <v>0.36048999999999998</v>
      </c>
      <c r="R165" s="84">
        <f t="shared" si="111"/>
        <v>0.36097999999999997</v>
      </c>
      <c r="S165" s="84">
        <f t="shared" si="111"/>
        <v>0.36146999999999996</v>
      </c>
      <c r="T165" s="84">
        <f t="shared" ref="T165:AC165" si="120">+S165-(0.711/100)</f>
        <v>0.35435999999999995</v>
      </c>
      <c r="U165" s="84">
        <f t="shared" si="120"/>
        <v>0.34724999999999995</v>
      </c>
      <c r="V165" s="84">
        <f t="shared" si="120"/>
        <v>0.34013999999999994</v>
      </c>
      <c r="W165" s="84">
        <f t="shared" si="120"/>
        <v>0.33302999999999994</v>
      </c>
      <c r="X165" s="84">
        <f t="shared" si="120"/>
        <v>0.32591999999999993</v>
      </c>
      <c r="Y165" s="84">
        <f t="shared" si="120"/>
        <v>0.31880999999999993</v>
      </c>
      <c r="Z165" s="84">
        <f t="shared" si="120"/>
        <v>0.31169999999999992</v>
      </c>
      <c r="AA165" s="84">
        <f t="shared" si="120"/>
        <v>0.30458999999999992</v>
      </c>
      <c r="AB165" s="84">
        <f t="shared" si="120"/>
        <v>0.29747999999999991</v>
      </c>
      <c r="AC165" s="84">
        <f t="shared" si="120"/>
        <v>0.29036999999999991</v>
      </c>
    </row>
    <row r="166" spans="1:29" x14ac:dyDescent="0.25">
      <c r="A166" s="86" t="s">
        <v>28</v>
      </c>
      <c r="B166" s="54" t="s">
        <v>4</v>
      </c>
      <c r="C166" s="54"/>
      <c r="D166" s="60">
        <v>1629.99</v>
      </c>
      <c r="E166" s="84">
        <f t="shared" si="107"/>
        <v>1629.99</v>
      </c>
      <c r="F166" s="60">
        <v>1629.99</v>
      </c>
      <c r="G166" s="84">
        <f t="shared" si="108"/>
        <v>1629.99</v>
      </c>
      <c r="H166" s="60">
        <v>1629.99</v>
      </c>
      <c r="I166" s="84">
        <f t="shared" si="109"/>
        <v>869.76</v>
      </c>
      <c r="J166" s="60">
        <v>109.53</v>
      </c>
      <c r="K166" s="84">
        <f t="shared" si="110"/>
        <v>2240.5724999999998</v>
      </c>
      <c r="L166" s="60">
        <v>4371.6149999999998</v>
      </c>
      <c r="M166" s="60">
        <v>236.75</v>
      </c>
      <c r="N166" s="60">
        <v>236.75</v>
      </c>
      <c r="O166" s="60">
        <v>431.1</v>
      </c>
      <c r="P166" s="60">
        <v>431.1</v>
      </c>
      <c r="Q166" s="84">
        <f t="shared" si="111"/>
        <v>431.10049000000004</v>
      </c>
      <c r="R166" s="84">
        <f t="shared" si="111"/>
        <v>431.10098000000005</v>
      </c>
      <c r="S166" s="84">
        <f t="shared" si="111"/>
        <v>431.10147000000006</v>
      </c>
      <c r="T166" s="84">
        <f t="shared" ref="T166:AC166" si="121">+S166-(0.711/100)</f>
        <v>431.09436000000005</v>
      </c>
      <c r="U166" s="84">
        <f t="shared" si="121"/>
        <v>431.08725000000004</v>
      </c>
      <c r="V166" s="84">
        <f t="shared" si="121"/>
        <v>431.08014000000003</v>
      </c>
      <c r="W166" s="84">
        <f t="shared" si="121"/>
        <v>431.07303000000002</v>
      </c>
      <c r="X166" s="84">
        <f t="shared" si="121"/>
        <v>431.06592000000001</v>
      </c>
      <c r="Y166" s="84">
        <f t="shared" si="121"/>
        <v>431.05880999999999</v>
      </c>
      <c r="Z166" s="84">
        <f t="shared" si="121"/>
        <v>431.05169999999998</v>
      </c>
      <c r="AA166" s="84">
        <f t="shared" si="121"/>
        <v>431.04458999999997</v>
      </c>
      <c r="AB166" s="84">
        <f t="shared" si="121"/>
        <v>431.03747999999996</v>
      </c>
      <c r="AC166" s="84">
        <f t="shared" si="121"/>
        <v>431.03036999999995</v>
      </c>
    </row>
    <row r="167" spans="1:29" x14ac:dyDescent="0.25">
      <c r="A167" s="56" t="s">
        <v>19</v>
      </c>
      <c r="B167" s="54" t="s">
        <v>4</v>
      </c>
      <c r="C167" s="54"/>
      <c r="D167" s="60">
        <v>66529.460000000006</v>
      </c>
      <c r="E167" s="84">
        <f t="shared" si="107"/>
        <v>66529.460000000006</v>
      </c>
      <c r="F167" s="60">
        <v>66529.460000000006</v>
      </c>
      <c r="G167" s="84">
        <f t="shared" si="108"/>
        <v>66529.460000000006</v>
      </c>
      <c r="H167" s="60">
        <v>66529.460000000006</v>
      </c>
      <c r="I167" s="84">
        <f t="shared" si="109"/>
        <v>44241.83</v>
      </c>
      <c r="J167" s="60">
        <v>21954.2</v>
      </c>
      <c r="K167" s="84">
        <f t="shared" si="110"/>
        <v>19003.055</v>
      </c>
      <c r="L167" s="60">
        <v>16051.91</v>
      </c>
      <c r="M167" s="60">
        <v>3245.4</v>
      </c>
      <c r="N167" s="60">
        <v>3245.4</v>
      </c>
      <c r="O167" s="60">
        <v>10864.71</v>
      </c>
      <c r="P167" s="60">
        <v>10864.71</v>
      </c>
      <c r="Q167" s="84">
        <f t="shared" si="111"/>
        <v>10864.710489999999</v>
      </c>
      <c r="R167" s="84">
        <f t="shared" si="111"/>
        <v>10864.71098</v>
      </c>
      <c r="S167" s="84">
        <f t="shared" si="111"/>
        <v>10864.71147</v>
      </c>
      <c r="T167" s="84">
        <f t="shared" ref="T167:AC167" si="122">+S167-(0.711/100)</f>
        <v>10864.70436</v>
      </c>
      <c r="U167" s="84">
        <f t="shared" si="122"/>
        <v>10864.697249999999</v>
      </c>
      <c r="V167" s="84">
        <f t="shared" si="122"/>
        <v>10864.690139999999</v>
      </c>
      <c r="W167" s="84">
        <f t="shared" si="122"/>
        <v>10864.683029999998</v>
      </c>
      <c r="X167" s="84">
        <f t="shared" si="122"/>
        <v>10864.675919999998</v>
      </c>
      <c r="Y167" s="84">
        <f t="shared" si="122"/>
        <v>10864.668809999997</v>
      </c>
      <c r="Z167" s="84">
        <f t="shared" si="122"/>
        <v>10864.661699999997</v>
      </c>
      <c r="AA167" s="84">
        <f t="shared" si="122"/>
        <v>10864.654589999996</v>
      </c>
      <c r="AB167" s="84">
        <f t="shared" si="122"/>
        <v>10864.647479999996</v>
      </c>
      <c r="AC167" s="84">
        <f t="shared" si="122"/>
        <v>10864.640369999996</v>
      </c>
    </row>
    <row r="168" spans="1:29" x14ac:dyDescent="0.25">
      <c r="A168" s="56" t="s">
        <v>5</v>
      </c>
      <c r="B168" s="54" t="s">
        <v>4</v>
      </c>
      <c r="C168" s="54"/>
      <c r="D168" s="60">
        <v>12.48</v>
      </c>
      <c r="E168" s="84">
        <f t="shared" si="107"/>
        <v>12.48</v>
      </c>
      <c r="F168" s="60">
        <v>12.48</v>
      </c>
      <c r="G168" s="84">
        <f t="shared" si="108"/>
        <v>12.48</v>
      </c>
      <c r="H168" s="60">
        <v>12.48</v>
      </c>
      <c r="I168" s="84">
        <f t="shared" si="109"/>
        <v>1375.4549999999999</v>
      </c>
      <c r="J168" s="60">
        <v>2738.43</v>
      </c>
      <c r="K168" s="84">
        <f t="shared" si="110"/>
        <v>1722.3525</v>
      </c>
      <c r="L168" s="60">
        <v>706.27499999999998</v>
      </c>
      <c r="M168" s="60">
        <v>104.13</v>
      </c>
      <c r="N168" s="60">
        <v>104.13</v>
      </c>
      <c r="O168" s="60">
        <v>2137.0100000000002</v>
      </c>
      <c r="P168" s="60">
        <v>2137.0100000000002</v>
      </c>
      <c r="Q168" s="84">
        <f t="shared" si="111"/>
        <v>2137.0104900000001</v>
      </c>
      <c r="R168" s="84">
        <f t="shared" si="111"/>
        <v>2137.01098</v>
      </c>
      <c r="S168" s="84">
        <f t="shared" si="111"/>
        <v>2137.0114699999999</v>
      </c>
      <c r="T168" s="84">
        <f t="shared" ref="T168:AC168" si="123">+S168-(0.711/100)</f>
        <v>2137.0043599999999</v>
      </c>
      <c r="U168" s="84">
        <f t="shared" si="123"/>
        <v>2136.9972499999999</v>
      </c>
      <c r="V168" s="84">
        <f t="shared" si="123"/>
        <v>2136.9901399999999</v>
      </c>
      <c r="W168" s="84">
        <f t="shared" si="123"/>
        <v>2136.9830299999999</v>
      </c>
      <c r="X168" s="84">
        <f t="shared" si="123"/>
        <v>2136.9759199999999</v>
      </c>
      <c r="Y168" s="84">
        <f t="shared" si="123"/>
        <v>2136.9688099999998</v>
      </c>
      <c r="Z168" s="84">
        <f t="shared" si="123"/>
        <v>2136.9616999999998</v>
      </c>
      <c r="AA168" s="84">
        <f t="shared" si="123"/>
        <v>2136.9545899999998</v>
      </c>
      <c r="AB168" s="84">
        <f t="shared" si="123"/>
        <v>2136.9474799999998</v>
      </c>
      <c r="AC168" s="84">
        <f t="shared" si="123"/>
        <v>2136.9403699999998</v>
      </c>
    </row>
    <row r="169" spans="1:29" x14ac:dyDescent="0.25">
      <c r="A169" s="56" t="s">
        <v>29</v>
      </c>
      <c r="B169" s="54" t="s">
        <v>4</v>
      </c>
      <c r="C169" s="54"/>
      <c r="D169" s="60">
        <v>3687.21</v>
      </c>
      <c r="E169" s="84">
        <f t="shared" si="107"/>
        <v>3687.21</v>
      </c>
      <c r="F169" s="60">
        <v>3687.21</v>
      </c>
      <c r="G169" s="84">
        <f t="shared" si="108"/>
        <v>3687.21</v>
      </c>
      <c r="H169" s="60">
        <v>3687.21</v>
      </c>
      <c r="I169" s="84">
        <f t="shared" si="109"/>
        <v>4063.3449999999998</v>
      </c>
      <c r="J169" s="60">
        <v>4439.4799999999996</v>
      </c>
      <c r="K169" s="84">
        <f t="shared" si="110"/>
        <v>3868.1124999999997</v>
      </c>
      <c r="L169" s="60">
        <v>3296.7449999999999</v>
      </c>
      <c r="M169" s="60">
        <v>370.94</v>
      </c>
      <c r="N169" s="60">
        <v>370.94</v>
      </c>
      <c r="O169" s="60">
        <v>2590.52</v>
      </c>
      <c r="P169" s="60">
        <v>2590.52</v>
      </c>
      <c r="Q169" s="84">
        <f t="shared" si="111"/>
        <v>2590.5204899999999</v>
      </c>
      <c r="R169" s="84">
        <f t="shared" si="111"/>
        <v>2590.5209799999998</v>
      </c>
      <c r="S169" s="84">
        <f t="shared" si="111"/>
        <v>2590.5214699999997</v>
      </c>
      <c r="T169" s="84">
        <f t="shared" ref="T169:AC169" si="124">+S169-(0.711/100)</f>
        <v>2590.5143599999997</v>
      </c>
      <c r="U169" s="84">
        <f t="shared" si="124"/>
        <v>2590.5072499999997</v>
      </c>
      <c r="V169" s="84">
        <f t="shared" si="124"/>
        <v>2590.5001399999996</v>
      </c>
      <c r="W169" s="84">
        <f t="shared" si="124"/>
        <v>2590.4930299999996</v>
      </c>
      <c r="X169" s="84">
        <f t="shared" si="124"/>
        <v>2590.4859199999996</v>
      </c>
      <c r="Y169" s="84">
        <f t="shared" si="124"/>
        <v>2590.4788099999996</v>
      </c>
      <c r="Z169" s="84">
        <f t="shared" si="124"/>
        <v>2590.4716999999996</v>
      </c>
      <c r="AA169" s="84">
        <f t="shared" si="124"/>
        <v>2590.4645899999996</v>
      </c>
      <c r="AB169" s="84">
        <f t="shared" si="124"/>
        <v>2590.4574799999996</v>
      </c>
      <c r="AC169" s="84">
        <f t="shared" si="124"/>
        <v>2590.4503699999996</v>
      </c>
    </row>
    <row r="170" spans="1:29" x14ac:dyDescent="0.25">
      <c r="E170" s="84"/>
      <c r="G170" s="84"/>
      <c r="I170" s="84"/>
      <c r="K170" s="84"/>
      <c r="Q170" s="84"/>
      <c r="T170" s="84">
        <f t="shared" ref="T170:AC170" si="125">+S170-(0.711/100)</f>
        <v>-7.11E-3</v>
      </c>
      <c r="U170" s="84">
        <f t="shared" si="125"/>
        <v>-1.422E-2</v>
      </c>
      <c r="V170" s="84">
        <f t="shared" si="125"/>
        <v>-2.1330000000000002E-2</v>
      </c>
      <c r="W170" s="84">
        <f t="shared" si="125"/>
        <v>-2.844E-2</v>
      </c>
      <c r="X170" s="84">
        <f t="shared" si="125"/>
        <v>-3.5549999999999998E-2</v>
      </c>
      <c r="Y170" s="84">
        <f t="shared" si="125"/>
        <v>-4.2659999999999997E-2</v>
      </c>
      <c r="Z170" s="84">
        <f t="shared" si="125"/>
        <v>-4.9769999999999995E-2</v>
      </c>
      <c r="AA170" s="84">
        <f t="shared" si="125"/>
        <v>-5.6879999999999993E-2</v>
      </c>
      <c r="AB170" s="84">
        <f t="shared" si="125"/>
        <v>-6.3989999999999991E-2</v>
      </c>
      <c r="AC170" s="84">
        <f t="shared" si="125"/>
        <v>-7.1099999999999997E-2</v>
      </c>
    </row>
    <row r="171" spans="1:29" x14ac:dyDescent="0.25">
      <c r="A171" s="86" t="s">
        <v>18</v>
      </c>
      <c r="B171" s="54" t="s">
        <v>5</v>
      </c>
      <c r="C171" s="54"/>
      <c r="D171" s="60">
        <v>0</v>
      </c>
      <c r="E171" s="84">
        <f t="shared" ref="E171:E183" si="126">+(D171+F171)/2</f>
        <v>0</v>
      </c>
      <c r="F171" s="60">
        <v>0</v>
      </c>
      <c r="G171" s="84">
        <f t="shared" ref="G171:G183" si="127">+(F171+H171)/2</f>
        <v>0</v>
      </c>
      <c r="H171" s="60">
        <v>0</v>
      </c>
      <c r="I171" s="84">
        <f t="shared" ref="I171:I183" si="128">+(H171+J171)/2</f>
        <v>0</v>
      </c>
      <c r="J171" s="60">
        <v>0</v>
      </c>
      <c r="K171" s="84">
        <f t="shared" ref="K171:K183" si="129">+(J171+L171)/2</f>
        <v>0</v>
      </c>
      <c r="L171" s="60">
        <v>0</v>
      </c>
      <c r="M171" s="60">
        <v>57.06</v>
      </c>
      <c r="N171" s="60">
        <v>57.06</v>
      </c>
      <c r="O171" s="60">
        <v>9.1349999999999998</v>
      </c>
      <c r="P171" s="60">
        <v>9.1349999999999998</v>
      </c>
      <c r="Q171" s="85">
        <f t="shared" ref="Q171:S183" si="130">+P171+(0.049/100)</f>
        <v>9.135489999999999</v>
      </c>
      <c r="R171" s="85">
        <f t="shared" si="130"/>
        <v>9.1359799999999982</v>
      </c>
      <c r="S171" s="85">
        <f t="shared" si="130"/>
        <v>9.1364699999999974</v>
      </c>
      <c r="T171" s="84">
        <f t="shared" ref="T171:AC171" si="131">+S171-(0.711/100)</f>
        <v>9.1293599999999966</v>
      </c>
      <c r="U171" s="84">
        <f t="shared" si="131"/>
        <v>9.1222499999999958</v>
      </c>
      <c r="V171" s="84">
        <f t="shared" si="131"/>
        <v>9.1151399999999949</v>
      </c>
      <c r="W171" s="84">
        <f t="shared" si="131"/>
        <v>9.1080299999999941</v>
      </c>
      <c r="X171" s="84">
        <f t="shared" si="131"/>
        <v>9.1009199999999932</v>
      </c>
      <c r="Y171" s="84">
        <f t="shared" si="131"/>
        <v>9.0938099999999924</v>
      </c>
      <c r="Z171" s="84">
        <f t="shared" si="131"/>
        <v>9.0866999999999916</v>
      </c>
      <c r="AA171" s="84">
        <f t="shared" si="131"/>
        <v>9.0795899999999907</v>
      </c>
      <c r="AB171" s="84">
        <f t="shared" si="131"/>
        <v>9.0724799999999899</v>
      </c>
      <c r="AC171" s="84">
        <f t="shared" si="131"/>
        <v>9.065369999999989</v>
      </c>
    </row>
    <row r="172" spans="1:29" x14ac:dyDescent="0.25">
      <c r="A172" s="86" t="s">
        <v>20</v>
      </c>
      <c r="B172" s="54" t="s">
        <v>5</v>
      </c>
      <c r="C172" s="54"/>
      <c r="D172" s="60">
        <v>185.4</v>
      </c>
      <c r="E172" s="84">
        <f t="shared" si="126"/>
        <v>185.4</v>
      </c>
      <c r="F172" s="60">
        <v>185.4</v>
      </c>
      <c r="G172" s="84">
        <f t="shared" si="127"/>
        <v>185.4</v>
      </c>
      <c r="H172" s="60">
        <v>185.4</v>
      </c>
      <c r="I172" s="84">
        <f t="shared" si="128"/>
        <v>190.50749999999999</v>
      </c>
      <c r="J172" s="60">
        <v>195.61499999999998</v>
      </c>
      <c r="K172" s="84">
        <f t="shared" si="129"/>
        <v>133.49250000000001</v>
      </c>
      <c r="L172" s="60">
        <v>71.37</v>
      </c>
      <c r="M172" s="60">
        <v>97.2</v>
      </c>
      <c r="N172" s="60">
        <v>97.2</v>
      </c>
      <c r="O172" s="60">
        <v>20.34</v>
      </c>
      <c r="P172" s="60">
        <v>20.34</v>
      </c>
      <c r="Q172" s="85">
        <f t="shared" si="130"/>
        <v>20.340489999999999</v>
      </c>
      <c r="R172" s="85">
        <f t="shared" si="130"/>
        <v>20.340979999999998</v>
      </c>
      <c r="S172" s="85">
        <f t="shared" si="130"/>
        <v>20.341469999999997</v>
      </c>
      <c r="T172" s="84">
        <f t="shared" ref="T172:AC172" si="132">+S172-(0.711/100)</f>
        <v>20.334359999999997</v>
      </c>
      <c r="U172" s="84">
        <f t="shared" si="132"/>
        <v>20.327249999999996</v>
      </c>
      <c r="V172" s="84">
        <f t="shared" si="132"/>
        <v>20.320139999999995</v>
      </c>
      <c r="W172" s="84">
        <f t="shared" si="132"/>
        <v>20.313029999999994</v>
      </c>
      <c r="X172" s="84">
        <f t="shared" si="132"/>
        <v>20.305919999999993</v>
      </c>
      <c r="Y172" s="84">
        <f t="shared" si="132"/>
        <v>20.298809999999992</v>
      </c>
      <c r="Z172" s="84">
        <f t="shared" si="132"/>
        <v>20.291699999999992</v>
      </c>
      <c r="AA172" s="84">
        <f t="shared" si="132"/>
        <v>20.284589999999991</v>
      </c>
      <c r="AB172" s="84">
        <f t="shared" si="132"/>
        <v>20.27747999999999</v>
      </c>
      <c r="AC172" s="84">
        <f t="shared" si="132"/>
        <v>20.270369999999989</v>
      </c>
    </row>
    <row r="173" spans="1:29" x14ac:dyDescent="0.25">
      <c r="A173" s="86" t="s">
        <v>21</v>
      </c>
      <c r="B173" s="54" t="s">
        <v>5</v>
      </c>
      <c r="C173" s="54"/>
      <c r="D173" s="60">
        <v>0</v>
      </c>
      <c r="E173" s="84">
        <f t="shared" si="126"/>
        <v>0</v>
      </c>
      <c r="F173" s="60">
        <v>0</v>
      </c>
      <c r="G173" s="84">
        <f t="shared" si="127"/>
        <v>0</v>
      </c>
      <c r="H173" s="60">
        <v>0</v>
      </c>
      <c r="I173" s="84">
        <f t="shared" si="128"/>
        <v>0</v>
      </c>
      <c r="J173" s="60">
        <v>0</v>
      </c>
      <c r="K173" s="84">
        <f t="shared" si="129"/>
        <v>0.5625</v>
      </c>
      <c r="L173" s="60">
        <v>1.125</v>
      </c>
      <c r="M173" s="60">
        <v>731.3</v>
      </c>
      <c r="N173" s="60">
        <v>731.3</v>
      </c>
      <c r="O173" s="60">
        <v>460.125</v>
      </c>
      <c r="P173" s="60">
        <v>460.125</v>
      </c>
      <c r="Q173" s="85">
        <f t="shared" si="130"/>
        <v>460.12549000000001</v>
      </c>
      <c r="R173" s="85">
        <f t="shared" si="130"/>
        <v>460.12598000000003</v>
      </c>
      <c r="S173" s="85">
        <f t="shared" si="130"/>
        <v>460.12647000000004</v>
      </c>
      <c r="T173" s="84">
        <f t="shared" ref="T173:AC173" si="133">+S173-(0.711/100)</f>
        <v>460.11936000000003</v>
      </c>
      <c r="U173" s="84">
        <f t="shared" si="133"/>
        <v>460.11225000000002</v>
      </c>
      <c r="V173" s="84">
        <f t="shared" si="133"/>
        <v>460.10514000000001</v>
      </c>
      <c r="W173" s="84">
        <f t="shared" si="133"/>
        <v>460.09802999999999</v>
      </c>
      <c r="X173" s="84">
        <f t="shared" si="133"/>
        <v>460.09091999999998</v>
      </c>
      <c r="Y173" s="84">
        <f t="shared" si="133"/>
        <v>460.08380999999997</v>
      </c>
      <c r="Z173" s="84">
        <f t="shared" si="133"/>
        <v>460.07669999999996</v>
      </c>
      <c r="AA173" s="84">
        <f t="shared" si="133"/>
        <v>460.06958999999995</v>
      </c>
      <c r="AB173" s="84">
        <f t="shared" si="133"/>
        <v>460.06247999999994</v>
      </c>
      <c r="AC173" s="84">
        <f t="shared" si="133"/>
        <v>460.05536999999993</v>
      </c>
    </row>
    <row r="174" spans="1:29" x14ac:dyDescent="0.25">
      <c r="A174" s="86" t="s">
        <v>22</v>
      </c>
      <c r="B174" s="54" t="s">
        <v>5</v>
      </c>
      <c r="C174" s="54"/>
      <c r="D174" s="60">
        <v>0</v>
      </c>
      <c r="E174" s="84">
        <f t="shared" si="126"/>
        <v>0</v>
      </c>
      <c r="F174" s="60">
        <v>0</v>
      </c>
      <c r="G174" s="84">
        <f t="shared" si="127"/>
        <v>0</v>
      </c>
      <c r="H174" s="60">
        <v>0</v>
      </c>
      <c r="I174" s="84">
        <f t="shared" si="128"/>
        <v>0</v>
      </c>
      <c r="J174" s="60">
        <v>0</v>
      </c>
      <c r="K174" s="84">
        <f t="shared" si="129"/>
        <v>2.2949999999999999</v>
      </c>
      <c r="L174" s="60">
        <v>4.59</v>
      </c>
      <c r="M174" s="60">
        <v>237.2</v>
      </c>
      <c r="N174" s="60">
        <v>237.2</v>
      </c>
      <c r="O174" s="60">
        <v>950.44500000000005</v>
      </c>
      <c r="P174" s="60">
        <v>950.44500000000005</v>
      </c>
      <c r="Q174" s="85">
        <f t="shared" si="130"/>
        <v>950.44549000000006</v>
      </c>
      <c r="R174" s="85">
        <f t="shared" si="130"/>
        <v>950.44598000000008</v>
      </c>
      <c r="S174" s="85">
        <f t="shared" si="130"/>
        <v>950.44647000000009</v>
      </c>
      <c r="T174" s="84">
        <f t="shared" ref="T174:AC174" si="134">+S174-(0.711/100)</f>
        <v>950.43936000000008</v>
      </c>
      <c r="U174" s="84">
        <f t="shared" si="134"/>
        <v>950.43225000000007</v>
      </c>
      <c r="V174" s="84">
        <f t="shared" si="134"/>
        <v>950.42514000000006</v>
      </c>
      <c r="W174" s="84">
        <f t="shared" si="134"/>
        <v>950.41803000000004</v>
      </c>
      <c r="X174" s="84">
        <f t="shared" si="134"/>
        <v>950.41092000000003</v>
      </c>
      <c r="Y174" s="84">
        <f t="shared" si="134"/>
        <v>950.40381000000002</v>
      </c>
      <c r="Z174" s="84">
        <f t="shared" si="134"/>
        <v>950.39670000000001</v>
      </c>
      <c r="AA174" s="84">
        <f t="shared" si="134"/>
        <v>950.38959</v>
      </c>
      <c r="AB174" s="84">
        <f t="shared" si="134"/>
        <v>950.38247999999999</v>
      </c>
      <c r="AC174" s="84">
        <f t="shared" si="134"/>
        <v>950.37536999999998</v>
      </c>
    </row>
    <row r="175" spans="1:29" x14ac:dyDescent="0.25">
      <c r="A175" s="86" t="s">
        <v>23</v>
      </c>
      <c r="B175" s="54" t="s">
        <v>5</v>
      </c>
      <c r="C175" s="54"/>
      <c r="D175" s="60">
        <v>0</v>
      </c>
      <c r="E175" s="84">
        <f t="shared" si="126"/>
        <v>0</v>
      </c>
      <c r="F175" s="60">
        <v>0</v>
      </c>
      <c r="G175" s="84">
        <f t="shared" si="127"/>
        <v>0</v>
      </c>
      <c r="H175" s="60">
        <v>0</v>
      </c>
      <c r="I175" s="84">
        <f t="shared" si="128"/>
        <v>0</v>
      </c>
      <c r="J175" s="60">
        <v>0</v>
      </c>
      <c r="K175" s="84">
        <f t="shared" si="129"/>
        <v>0</v>
      </c>
      <c r="L175" s="60">
        <v>0</v>
      </c>
      <c r="M175" s="60">
        <v>54.77</v>
      </c>
      <c r="N175" s="60">
        <v>54.77</v>
      </c>
      <c r="O175" s="60">
        <v>25.56</v>
      </c>
      <c r="P175" s="60">
        <v>25.56</v>
      </c>
      <c r="Q175" s="85">
        <f t="shared" si="130"/>
        <v>25.560489999999998</v>
      </c>
      <c r="R175" s="85">
        <f t="shared" si="130"/>
        <v>25.560979999999997</v>
      </c>
      <c r="S175" s="85">
        <f t="shared" si="130"/>
        <v>25.561469999999996</v>
      </c>
      <c r="T175" s="84">
        <f t="shared" ref="T175:AC175" si="135">+S175-(0.711/100)</f>
        <v>25.554359999999996</v>
      </c>
      <c r="U175" s="84">
        <f t="shared" si="135"/>
        <v>25.547249999999995</v>
      </c>
      <c r="V175" s="84">
        <f t="shared" si="135"/>
        <v>25.540139999999994</v>
      </c>
      <c r="W175" s="84">
        <f t="shared" si="135"/>
        <v>25.533029999999993</v>
      </c>
      <c r="X175" s="84">
        <f t="shared" si="135"/>
        <v>25.525919999999992</v>
      </c>
      <c r="Y175" s="84">
        <f t="shared" si="135"/>
        <v>25.518809999999991</v>
      </c>
      <c r="Z175" s="84">
        <f t="shared" si="135"/>
        <v>25.51169999999999</v>
      </c>
      <c r="AA175" s="84">
        <f t="shared" si="135"/>
        <v>25.50458999999999</v>
      </c>
      <c r="AB175" s="84">
        <f t="shared" si="135"/>
        <v>25.497479999999989</v>
      </c>
      <c r="AC175" s="84">
        <f t="shared" si="135"/>
        <v>25.490369999999988</v>
      </c>
    </row>
    <row r="176" spans="1:29" ht="22.5" x14ac:dyDescent="0.25">
      <c r="A176" s="86" t="s">
        <v>24</v>
      </c>
      <c r="B176" s="54" t="s">
        <v>5</v>
      </c>
      <c r="C176" s="54"/>
      <c r="D176" s="60">
        <v>0</v>
      </c>
      <c r="E176" s="84">
        <f t="shared" si="126"/>
        <v>0</v>
      </c>
      <c r="F176" s="60">
        <v>0</v>
      </c>
      <c r="G176" s="84">
        <f t="shared" si="127"/>
        <v>0</v>
      </c>
      <c r="H176" s="60">
        <v>0</v>
      </c>
      <c r="I176" s="84">
        <f t="shared" si="128"/>
        <v>0</v>
      </c>
      <c r="J176" s="60">
        <v>0</v>
      </c>
      <c r="K176" s="84">
        <f t="shared" si="129"/>
        <v>0</v>
      </c>
      <c r="L176" s="60">
        <v>0</v>
      </c>
      <c r="M176" s="60">
        <v>3041.91</v>
      </c>
      <c r="N176" s="60">
        <v>3041.91</v>
      </c>
      <c r="O176" s="60">
        <v>5179.95</v>
      </c>
      <c r="P176" s="60">
        <v>5179.95</v>
      </c>
      <c r="Q176" s="85">
        <f t="shared" si="130"/>
        <v>5179.9504900000002</v>
      </c>
      <c r="R176" s="85">
        <f t="shared" si="130"/>
        <v>5179.9509800000005</v>
      </c>
      <c r="S176" s="85">
        <f t="shared" si="130"/>
        <v>5179.9514700000009</v>
      </c>
      <c r="T176" s="84">
        <f t="shared" ref="T176:AC176" si="136">+S176-(0.711/100)</f>
        <v>5179.9443600000013</v>
      </c>
      <c r="U176" s="84">
        <f t="shared" si="136"/>
        <v>5179.9372500000018</v>
      </c>
      <c r="V176" s="84">
        <f t="shared" si="136"/>
        <v>5179.9301400000022</v>
      </c>
      <c r="W176" s="84">
        <f t="shared" si="136"/>
        <v>5179.9230300000027</v>
      </c>
      <c r="X176" s="84">
        <f t="shared" si="136"/>
        <v>5179.9159200000031</v>
      </c>
      <c r="Y176" s="84">
        <f t="shared" si="136"/>
        <v>5179.9088100000035</v>
      </c>
      <c r="Z176" s="84">
        <f t="shared" si="136"/>
        <v>5179.901700000004</v>
      </c>
      <c r="AA176" s="84">
        <f t="shared" si="136"/>
        <v>5179.8945900000044</v>
      </c>
      <c r="AB176" s="84">
        <f t="shared" si="136"/>
        <v>5179.8874800000049</v>
      </c>
      <c r="AC176" s="84">
        <f t="shared" si="136"/>
        <v>5179.8803700000053</v>
      </c>
    </row>
    <row r="177" spans="1:29" x14ac:dyDescent="0.25">
      <c r="A177" s="86" t="s">
        <v>25</v>
      </c>
      <c r="B177" s="54" t="s">
        <v>5</v>
      </c>
      <c r="C177" s="54"/>
      <c r="D177" s="60">
        <v>23.204999999999998</v>
      </c>
      <c r="E177" s="84">
        <f t="shared" si="126"/>
        <v>23.204999999999998</v>
      </c>
      <c r="F177" s="60">
        <v>23.204999999999998</v>
      </c>
      <c r="G177" s="84">
        <f t="shared" si="127"/>
        <v>23.204999999999998</v>
      </c>
      <c r="H177" s="60">
        <v>23.204999999999998</v>
      </c>
      <c r="I177" s="84">
        <f t="shared" si="128"/>
        <v>53.52000000000001</v>
      </c>
      <c r="J177" s="60">
        <v>83.835000000000022</v>
      </c>
      <c r="K177" s="84">
        <f t="shared" si="129"/>
        <v>61.627500000000012</v>
      </c>
      <c r="L177" s="60">
        <v>39.42</v>
      </c>
      <c r="M177" s="60">
        <v>17.149999999999999</v>
      </c>
      <c r="N177" s="60">
        <v>17.149999999999999</v>
      </c>
      <c r="O177" s="60">
        <v>69.3</v>
      </c>
      <c r="P177" s="60">
        <v>69.3</v>
      </c>
      <c r="Q177" s="85">
        <f t="shared" si="130"/>
        <v>69.300489999999996</v>
      </c>
      <c r="R177" s="85">
        <f t="shared" si="130"/>
        <v>69.300979999999996</v>
      </c>
      <c r="S177" s="85">
        <f t="shared" si="130"/>
        <v>69.301469999999995</v>
      </c>
      <c r="T177" s="84">
        <f t="shared" ref="T177:AC177" si="137">+S177-(0.711/100)</f>
        <v>69.294359999999998</v>
      </c>
      <c r="U177" s="84">
        <f t="shared" si="137"/>
        <v>69.28725</v>
      </c>
      <c r="V177" s="84">
        <f t="shared" si="137"/>
        <v>69.280140000000003</v>
      </c>
      <c r="W177" s="84">
        <f t="shared" si="137"/>
        <v>69.273030000000006</v>
      </c>
      <c r="X177" s="84">
        <f t="shared" si="137"/>
        <v>69.265920000000008</v>
      </c>
      <c r="Y177" s="84">
        <f t="shared" si="137"/>
        <v>69.258810000000011</v>
      </c>
      <c r="Z177" s="84">
        <f t="shared" si="137"/>
        <v>69.251700000000014</v>
      </c>
      <c r="AA177" s="84">
        <f t="shared" si="137"/>
        <v>69.244590000000017</v>
      </c>
      <c r="AB177" s="84">
        <f t="shared" si="137"/>
        <v>69.237480000000019</v>
      </c>
      <c r="AC177" s="84">
        <f t="shared" si="137"/>
        <v>69.230370000000022</v>
      </c>
    </row>
    <row r="178" spans="1:29" x14ac:dyDescent="0.25">
      <c r="A178" s="86" t="s">
        <v>26</v>
      </c>
      <c r="B178" s="54" t="s">
        <v>5</v>
      </c>
      <c r="C178" s="54"/>
      <c r="D178" s="60">
        <v>709.14</v>
      </c>
      <c r="E178" s="84">
        <f t="shared" si="126"/>
        <v>709.14</v>
      </c>
      <c r="F178" s="60">
        <v>709.14</v>
      </c>
      <c r="G178" s="84">
        <f t="shared" si="127"/>
        <v>709.14</v>
      </c>
      <c r="H178" s="60">
        <v>709.14</v>
      </c>
      <c r="I178" s="84">
        <f t="shared" si="128"/>
        <v>809.33999999999992</v>
      </c>
      <c r="J178" s="60">
        <v>909.54</v>
      </c>
      <c r="K178" s="84">
        <f t="shared" si="129"/>
        <v>947.43000000000006</v>
      </c>
      <c r="L178" s="60">
        <v>985.32</v>
      </c>
      <c r="M178" s="60">
        <v>719.15</v>
      </c>
      <c r="N178" s="60">
        <v>719.15</v>
      </c>
      <c r="O178" s="60">
        <v>48.15</v>
      </c>
      <c r="P178" s="60">
        <v>48.15</v>
      </c>
      <c r="Q178" s="85">
        <f t="shared" si="130"/>
        <v>48.150489999999998</v>
      </c>
      <c r="R178" s="85">
        <f t="shared" si="130"/>
        <v>48.150979999999997</v>
      </c>
      <c r="S178" s="85">
        <f t="shared" si="130"/>
        <v>48.151469999999996</v>
      </c>
      <c r="T178" s="84">
        <f t="shared" ref="T178:AC178" si="138">+S178-(0.711/100)</f>
        <v>48.144359999999999</v>
      </c>
      <c r="U178" s="84">
        <f t="shared" si="138"/>
        <v>48.137250000000002</v>
      </c>
      <c r="V178" s="84">
        <f t="shared" si="138"/>
        <v>48.130140000000004</v>
      </c>
      <c r="W178" s="84">
        <f t="shared" si="138"/>
        <v>48.123030000000007</v>
      </c>
      <c r="X178" s="84">
        <f t="shared" si="138"/>
        <v>48.11592000000001</v>
      </c>
      <c r="Y178" s="84">
        <f t="shared" si="138"/>
        <v>48.108810000000013</v>
      </c>
      <c r="Z178" s="84">
        <f t="shared" si="138"/>
        <v>48.101700000000015</v>
      </c>
      <c r="AA178" s="84">
        <f t="shared" si="138"/>
        <v>48.094590000000018</v>
      </c>
      <c r="AB178" s="84">
        <f t="shared" si="138"/>
        <v>48.087480000000021</v>
      </c>
      <c r="AC178" s="84">
        <f t="shared" si="138"/>
        <v>48.080370000000023</v>
      </c>
    </row>
    <row r="179" spans="1:29" x14ac:dyDescent="0.25">
      <c r="A179" s="86" t="s">
        <v>27</v>
      </c>
      <c r="B179" s="54" t="s">
        <v>5</v>
      </c>
      <c r="C179" s="54"/>
      <c r="D179" s="60">
        <v>0</v>
      </c>
      <c r="E179" s="84">
        <f t="shared" si="126"/>
        <v>0</v>
      </c>
      <c r="F179" s="60">
        <v>0</v>
      </c>
      <c r="G179" s="84">
        <f t="shared" si="127"/>
        <v>0</v>
      </c>
      <c r="H179" s="60">
        <v>0</v>
      </c>
      <c r="I179" s="84">
        <f t="shared" si="128"/>
        <v>0</v>
      </c>
      <c r="J179" s="60">
        <v>0</v>
      </c>
      <c r="K179" s="84">
        <f t="shared" si="129"/>
        <v>0</v>
      </c>
      <c r="L179" s="60">
        <v>0</v>
      </c>
      <c r="M179" s="60">
        <v>552.78</v>
      </c>
      <c r="N179" s="60">
        <v>552.78</v>
      </c>
      <c r="O179" s="60">
        <v>234.63</v>
      </c>
      <c r="P179" s="60">
        <v>234.63</v>
      </c>
      <c r="Q179" s="85">
        <f t="shared" si="130"/>
        <v>234.63049000000001</v>
      </c>
      <c r="R179" s="85">
        <f t="shared" si="130"/>
        <v>234.63098000000002</v>
      </c>
      <c r="S179" s="85">
        <f t="shared" si="130"/>
        <v>234.63147000000004</v>
      </c>
      <c r="T179" s="84">
        <f t="shared" ref="T179:AC179" si="139">+S179-(0.711/100)</f>
        <v>234.62436000000002</v>
      </c>
      <c r="U179" s="84">
        <f t="shared" si="139"/>
        <v>234.61725000000001</v>
      </c>
      <c r="V179" s="84">
        <f t="shared" si="139"/>
        <v>234.61014</v>
      </c>
      <c r="W179" s="84">
        <f t="shared" si="139"/>
        <v>234.60302999999999</v>
      </c>
      <c r="X179" s="84">
        <f t="shared" si="139"/>
        <v>234.59591999999998</v>
      </c>
      <c r="Y179" s="84">
        <f t="shared" si="139"/>
        <v>234.58880999999997</v>
      </c>
      <c r="Z179" s="84">
        <f t="shared" si="139"/>
        <v>234.58169999999996</v>
      </c>
      <c r="AA179" s="84">
        <f t="shared" si="139"/>
        <v>234.57458999999994</v>
      </c>
      <c r="AB179" s="84">
        <f t="shared" si="139"/>
        <v>234.56747999999993</v>
      </c>
      <c r="AC179" s="84">
        <f t="shared" si="139"/>
        <v>234.56036999999992</v>
      </c>
    </row>
    <row r="180" spans="1:29" x14ac:dyDescent="0.25">
      <c r="A180" s="86" t="s">
        <v>28</v>
      </c>
      <c r="B180" s="54" t="s">
        <v>5</v>
      </c>
      <c r="C180" s="54"/>
      <c r="D180" s="60">
        <v>0</v>
      </c>
      <c r="E180" s="84">
        <f t="shared" si="126"/>
        <v>0</v>
      </c>
      <c r="F180" s="60">
        <v>0</v>
      </c>
      <c r="G180" s="84">
        <f t="shared" si="127"/>
        <v>0</v>
      </c>
      <c r="H180" s="60">
        <v>0</v>
      </c>
      <c r="I180" s="84">
        <f t="shared" si="128"/>
        <v>54.81</v>
      </c>
      <c r="J180" s="60">
        <v>109.62</v>
      </c>
      <c r="K180" s="84">
        <f t="shared" si="129"/>
        <v>63.765000000000001</v>
      </c>
      <c r="L180" s="60">
        <v>17.91</v>
      </c>
      <c r="M180" s="60">
        <v>18.989999999999998</v>
      </c>
      <c r="N180" s="60">
        <v>18.989999999999998</v>
      </c>
      <c r="O180" s="60">
        <v>7.2</v>
      </c>
      <c r="P180" s="60">
        <v>7.2</v>
      </c>
      <c r="Q180" s="85">
        <f t="shared" si="130"/>
        <v>7.2004900000000003</v>
      </c>
      <c r="R180" s="85">
        <f t="shared" si="130"/>
        <v>7.2009800000000004</v>
      </c>
      <c r="S180" s="85">
        <f t="shared" si="130"/>
        <v>7.2014700000000005</v>
      </c>
      <c r="T180" s="84">
        <f t="shared" ref="T180:AC180" si="140">+S180-(0.711/100)</f>
        <v>7.1943600000000005</v>
      </c>
      <c r="U180" s="84">
        <f t="shared" si="140"/>
        <v>7.1872500000000006</v>
      </c>
      <c r="V180" s="84">
        <f t="shared" si="140"/>
        <v>7.1801400000000006</v>
      </c>
      <c r="W180" s="84">
        <f t="shared" si="140"/>
        <v>7.1730300000000007</v>
      </c>
      <c r="X180" s="84">
        <f t="shared" si="140"/>
        <v>7.1659200000000007</v>
      </c>
      <c r="Y180" s="84">
        <f t="shared" si="140"/>
        <v>7.1588100000000008</v>
      </c>
      <c r="Z180" s="84">
        <f t="shared" si="140"/>
        <v>7.1517000000000008</v>
      </c>
      <c r="AA180" s="84">
        <f t="shared" si="140"/>
        <v>7.1445900000000009</v>
      </c>
      <c r="AB180" s="84">
        <f t="shared" si="140"/>
        <v>7.1374800000000009</v>
      </c>
      <c r="AC180" s="84">
        <f t="shared" si="140"/>
        <v>7.130370000000001</v>
      </c>
    </row>
    <row r="181" spans="1:29" x14ac:dyDescent="0.25">
      <c r="A181" s="56" t="s">
        <v>19</v>
      </c>
      <c r="B181" s="54" t="s">
        <v>5</v>
      </c>
      <c r="C181" s="54"/>
      <c r="D181" s="60">
        <v>7739.04</v>
      </c>
      <c r="E181" s="84">
        <f t="shared" si="126"/>
        <v>7739.04</v>
      </c>
      <c r="F181" s="60">
        <v>7739.04</v>
      </c>
      <c r="G181" s="84">
        <f t="shared" si="127"/>
        <v>7739.04</v>
      </c>
      <c r="H181" s="60">
        <v>7739.04</v>
      </c>
      <c r="I181" s="84">
        <f t="shared" si="128"/>
        <v>7635.75</v>
      </c>
      <c r="J181" s="60">
        <v>7532.46</v>
      </c>
      <c r="K181" s="84">
        <f t="shared" si="129"/>
        <v>7934.3799999999992</v>
      </c>
      <c r="L181" s="60">
        <v>8336.2999999999993</v>
      </c>
      <c r="M181" s="60">
        <v>7082.69</v>
      </c>
      <c r="N181" s="60">
        <v>7082.69</v>
      </c>
      <c r="O181" s="60">
        <v>1511.69</v>
      </c>
      <c r="P181" s="60">
        <v>1511.69</v>
      </c>
      <c r="Q181" s="85">
        <f t="shared" si="130"/>
        <v>1511.69049</v>
      </c>
      <c r="R181" s="85">
        <f t="shared" si="130"/>
        <v>1511.6909799999999</v>
      </c>
      <c r="S181" s="85">
        <f t="shared" si="130"/>
        <v>1511.6914699999998</v>
      </c>
      <c r="T181" s="84">
        <f t="shared" ref="T181:AC181" si="141">+S181-(0.711/100)</f>
        <v>1511.6843599999997</v>
      </c>
      <c r="U181" s="84">
        <f t="shared" si="141"/>
        <v>1511.6772499999997</v>
      </c>
      <c r="V181" s="84">
        <f t="shared" si="141"/>
        <v>1511.6701399999997</v>
      </c>
      <c r="W181" s="84">
        <f t="shared" si="141"/>
        <v>1511.6630299999997</v>
      </c>
      <c r="X181" s="84">
        <f t="shared" si="141"/>
        <v>1511.6559199999997</v>
      </c>
      <c r="Y181" s="84">
        <f t="shared" si="141"/>
        <v>1511.6488099999997</v>
      </c>
      <c r="Z181" s="84">
        <f t="shared" si="141"/>
        <v>1511.6416999999997</v>
      </c>
      <c r="AA181" s="84">
        <f t="shared" si="141"/>
        <v>1511.6345899999997</v>
      </c>
      <c r="AB181" s="84">
        <f t="shared" si="141"/>
        <v>1511.6274799999997</v>
      </c>
      <c r="AC181" s="84">
        <f t="shared" si="141"/>
        <v>1511.6203699999996</v>
      </c>
    </row>
    <row r="182" spans="1:29" x14ac:dyDescent="0.25">
      <c r="A182" s="56" t="s">
        <v>4</v>
      </c>
      <c r="B182" s="54" t="s">
        <v>5</v>
      </c>
      <c r="C182" s="54"/>
      <c r="D182" s="60">
        <v>420.255</v>
      </c>
      <c r="E182" s="84">
        <f t="shared" si="126"/>
        <v>420.255</v>
      </c>
      <c r="F182" s="60">
        <v>420.255</v>
      </c>
      <c r="G182" s="84">
        <f t="shared" si="127"/>
        <v>420.255</v>
      </c>
      <c r="H182" s="60">
        <v>420.255</v>
      </c>
      <c r="I182" s="84">
        <f t="shared" si="128"/>
        <v>654.66250000000002</v>
      </c>
      <c r="J182" s="60">
        <v>889.07</v>
      </c>
      <c r="K182" s="84">
        <f t="shared" si="129"/>
        <v>530.35</v>
      </c>
      <c r="L182" s="60">
        <v>171.63</v>
      </c>
      <c r="M182" s="60">
        <v>1057.5899999999999</v>
      </c>
      <c r="N182" s="60">
        <v>1057.5899999999999</v>
      </c>
      <c r="O182" s="60">
        <v>137.47999999999999</v>
      </c>
      <c r="P182" s="60">
        <v>137.47999999999999</v>
      </c>
      <c r="Q182" s="85">
        <f t="shared" si="130"/>
        <v>137.48049</v>
      </c>
      <c r="R182" s="85">
        <f t="shared" si="130"/>
        <v>137.48098000000002</v>
      </c>
      <c r="S182" s="85">
        <f t="shared" si="130"/>
        <v>137.48147000000003</v>
      </c>
      <c r="T182" s="84">
        <f t="shared" ref="T182:AC182" si="142">+S182-(0.711/100)</f>
        <v>137.47436000000002</v>
      </c>
      <c r="U182" s="84">
        <f t="shared" si="142"/>
        <v>137.46725000000001</v>
      </c>
      <c r="V182" s="84">
        <f t="shared" si="142"/>
        <v>137.46014</v>
      </c>
      <c r="W182" s="84">
        <f t="shared" si="142"/>
        <v>137.45302999999998</v>
      </c>
      <c r="X182" s="84">
        <f t="shared" si="142"/>
        <v>137.44591999999997</v>
      </c>
      <c r="Y182" s="84">
        <f t="shared" si="142"/>
        <v>137.43880999999996</v>
      </c>
      <c r="Z182" s="84">
        <f t="shared" si="142"/>
        <v>137.43169999999995</v>
      </c>
      <c r="AA182" s="84">
        <f t="shared" si="142"/>
        <v>137.42458999999994</v>
      </c>
      <c r="AB182" s="84">
        <f t="shared" si="142"/>
        <v>137.41747999999993</v>
      </c>
      <c r="AC182" s="84">
        <f t="shared" si="142"/>
        <v>137.41036999999992</v>
      </c>
    </row>
    <row r="183" spans="1:29" x14ac:dyDescent="0.25">
      <c r="A183" s="56" t="s">
        <v>29</v>
      </c>
      <c r="B183" s="54" t="s">
        <v>5</v>
      </c>
      <c r="C183" s="54"/>
      <c r="D183" s="60">
        <v>1846.79</v>
      </c>
      <c r="E183" s="84">
        <f t="shared" si="126"/>
        <v>1846.79</v>
      </c>
      <c r="F183" s="60">
        <v>1846.79</v>
      </c>
      <c r="G183" s="84">
        <f t="shared" si="127"/>
        <v>1846.79</v>
      </c>
      <c r="H183" s="60">
        <v>1846.79</v>
      </c>
      <c r="I183" s="84">
        <f t="shared" si="128"/>
        <v>2744.6800000000003</v>
      </c>
      <c r="J183" s="60">
        <v>3642.57</v>
      </c>
      <c r="K183" s="84">
        <f t="shared" si="129"/>
        <v>2664.2049999999999</v>
      </c>
      <c r="L183" s="60">
        <v>1685.84</v>
      </c>
      <c r="M183" s="60">
        <v>3312.72</v>
      </c>
      <c r="N183" s="60">
        <v>3312.72</v>
      </c>
      <c r="O183" s="60">
        <v>218.03</v>
      </c>
      <c r="P183" s="60">
        <v>218.03</v>
      </c>
      <c r="Q183" s="85">
        <f t="shared" si="130"/>
        <v>218.03049000000001</v>
      </c>
      <c r="R183" s="85">
        <f t="shared" si="130"/>
        <v>218.03098000000003</v>
      </c>
      <c r="S183" s="85">
        <f t="shared" si="130"/>
        <v>218.03147000000004</v>
      </c>
      <c r="T183" s="84">
        <f t="shared" ref="T183:AC183" si="143">+S183-(0.711/100)</f>
        <v>218.02436000000003</v>
      </c>
      <c r="U183" s="84">
        <f t="shared" si="143"/>
        <v>218.01725000000002</v>
      </c>
      <c r="V183" s="84">
        <f t="shared" si="143"/>
        <v>218.01014000000001</v>
      </c>
      <c r="W183" s="84">
        <f t="shared" si="143"/>
        <v>218.00303</v>
      </c>
      <c r="X183" s="84">
        <f t="shared" si="143"/>
        <v>217.99591999999998</v>
      </c>
      <c r="Y183" s="84">
        <f t="shared" si="143"/>
        <v>217.98880999999997</v>
      </c>
      <c r="Z183" s="84">
        <f t="shared" si="143"/>
        <v>217.98169999999996</v>
      </c>
      <c r="AA183" s="84">
        <f t="shared" si="143"/>
        <v>217.97458999999995</v>
      </c>
      <c r="AB183" s="84">
        <f t="shared" si="143"/>
        <v>217.96747999999994</v>
      </c>
      <c r="AC183" s="84">
        <f t="shared" si="143"/>
        <v>217.96036999999993</v>
      </c>
    </row>
    <row r="184" spans="1:29" x14ac:dyDescent="0.25">
      <c r="T184" s="84">
        <f t="shared" ref="T184:AC184" si="144">+S184-(0.711/100)</f>
        <v>-7.11E-3</v>
      </c>
      <c r="U184" s="84">
        <f t="shared" si="144"/>
        <v>-1.422E-2</v>
      </c>
      <c r="V184" s="84">
        <f t="shared" si="144"/>
        <v>-2.1330000000000002E-2</v>
      </c>
      <c r="W184" s="84">
        <f t="shared" si="144"/>
        <v>-2.844E-2</v>
      </c>
      <c r="X184" s="84">
        <f t="shared" si="144"/>
        <v>-3.5549999999999998E-2</v>
      </c>
      <c r="Y184" s="84">
        <f t="shared" si="144"/>
        <v>-4.2659999999999997E-2</v>
      </c>
      <c r="Z184" s="84">
        <f t="shared" si="144"/>
        <v>-4.9769999999999995E-2</v>
      </c>
      <c r="AA184" s="84">
        <f t="shared" si="144"/>
        <v>-5.6879999999999993E-2</v>
      </c>
      <c r="AB184" s="84">
        <f t="shared" si="144"/>
        <v>-6.3989999999999991E-2</v>
      </c>
      <c r="AC184" s="84">
        <f t="shared" si="144"/>
        <v>-7.1099999999999997E-2</v>
      </c>
    </row>
    <row r="185" spans="1:29" x14ac:dyDescent="0.25">
      <c r="A185" s="86" t="s">
        <v>18</v>
      </c>
      <c r="B185" s="54" t="s">
        <v>6</v>
      </c>
      <c r="C185" s="54"/>
      <c r="D185" s="60">
        <v>0</v>
      </c>
      <c r="E185" s="84">
        <f t="shared" ref="E185:E198" si="145">+(D185+F185)/2</f>
        <v>0</v>
      </c>
      <c r="F185" s="60">
        <v>0</v>
      </c>
      <c r="G185" s="84">
        <f t="shared" ref="G185:G198" si="146">+(F185+H185)/2</f>
        <v>0</v>
      </c>
      <c r="H185" s="60">
        <v>0</v>
      </c>
      <c r="I185" s="84">
        <f t="shared" ref="I185:I198" si="147">+(H185+J185)/2</f>
        <v>0</v>
      </c>
      <c r="J185" s="60">
        <v>0</v>
      </c>
      <c r="K185" s="84">
        <f t="shared" ref="K185:K198" si="148">+(J185+L185)/2</f>
        <v>5.1974999999999998</v>
      </c>
      <c r="L185" s="60">
        <v>10.395</v>
      </c>
      <c r="M185" s="60">
        <v>7.52</v>
      </c>
      <c r="N185" s="60">
        <v>7.52</v>
      </c>
      <c r="O185" s="60">
        <v>0</v>
      </c>
      <c r="P185" s="60">
        <v>0</v>
      </c>
      <c r="Q185" s="85">
        <f t="shared" ref="Q185:S198" si="149">+P185+(0.049/100)</f>
        <v>4.8999999999999998E-4</v>
      </c>
      <c r="R185" s="85">
        <f t="shared" si="149"/>
        <v>9.7999999999999997E-4</v>
      </c>
      <c r="S185" s="85">
        <f t="shared" si="149"/>
        <v>1.47E-3</v>
      </c>
      <c r="T185" s="84">
        <f t="shared" ref="T185:AC185" si="150">+S185-(0.711/100)</f>
        <v>-5.64E-3</v>
      </c>
      <c r="U185" s="84">
        <f t="shared" si="150"/>
        <v>-1.2750000000000001E-2</v>
      </c>
      <c r="V185" s="84">
        <f t="shared" si="150"/>
        <v>-1.9860000000000003E-2</v>
      </c>
      <c r="W185" s="84">
        <f t="shared" si="150"/>
        <v>-2.6970000000000001E-2</v>
      </c>
      <c r="X185" s="84">
        <f t="shared" si="150"/>
        <v>-3.4079999999999999E-2</v>
      </c>
      <c r="Y185" s="84">
        <f t="shared" si="150"/>
        <v>-4.1189999999999997E-2</v>
      </c>
      <c r="Z185" s="84">
        <f t="shared" si="150"/>
        <v>-4.8299999999999996E-2</v>
      </c>
      <c r="AA185" s="84">
        <f t="shared" si="150"/>
        <v>-5.5409999999999994E-2</v>
      </c>
      <c r="AB185" s="84">
        <f t="shared" si="150"/>
        <v>-6.2519999999999992E-2</v>
      </c>
      <c r="AC185" s="84">
        <f t="shared" si="150"/>
        <v>-6.9629999999999997E-2</v>
      </c>
    </row>
    <row r="186" spans="1:29" x14ac:dyDescent="0.25">
      <c r="A186" s="86" t="s">
        <v>20</v>
      </c>
      <c r="B186" s="54" t="s">
        <v>6</v>
      </c>
      <c r="C186" s="54"/>
      <c r="D186" s="60">
        <v>390</v>
      </c>
      <c r="E186" s="84">
        <f t="shared" si="145"/>
        <v>390</v>
      </c>
      <c r="F186" s="60">
        <v>390</v>
      </c>
      <c r="G186" s="84">
        <f t="shared" si="146"/>
        <v>390</v>
      </c>
      <c r="H186" s="60">
        <v>390</v>
      </c>
      <c r="I186" s="84">
        <f t="shared" si="147"/>
        <v>232.50749999999999</v>
      </c>
      <c r="J186" s="60">
        <v>75.015000000000001</v>
      </c>
      <c r="K186" s="84">
        <f t="shared" si="148"/>
        <v>75.240000000000009</v>
      </c>
      <c r="L186" s="60">
        <v>75.465000000000003</v>
      </c>
      <c r="M186" s="60">
        <v>527.66999999999996</v>
      </c>
      <c r="N186" s="60">
        <v>527.66999999999996</v>
      </c>
      <c r="O186" s="60">
        <v>802.49</v>
      </c>
      <c r="P186" s="60">
        <v>802.49</v>
      </c>
      <c r="Q186" s="85">
        <f t="shared" si="149"/>
        <v>802.49049000000002</v>
      </c>
      <c r="R186" s="85">
        <f t="shared" si="149"/>
        <v>802.49098000000004</v>
      </c>
      <c r="S186" s="85">
        <f t="shared" si="149"/>
        <v>802.49147000000005</v>
      </c>
      <c r="T186" s="84">
        <f t="shared" ref="T186:AC186" si="151">+S186-(0.711/100)</f>
        <v>802.48436000000004</v>
      </c>
      <c r="U186" s="84">
        <f t="shared" si="151"/>
        <v>802.47725000000003</v>
      </c>
      <c r="V186" s="84">
        <f t="shared" si="151"/>
        <v>802.47014000000001</v>
      </c>
      <c r="W186" s="84">
        <f t="shared" si="151"/>
        <v>802.46303</v>
      </c>
      <c r="X186" s="84">
        <f t="shared" si="151"/>
        <v>802.45591999999999</v>
      </c>
      <c r="Y186" s="84">
        <f t="shared" si="151"/>
        <v>802.44880999999998</v>
      </c>
      <c r="Z186" s="84">
        <f t="shared" si="151"/>
        <v>802.44169999999997</v>
      </c>
      <c r="AA186" s="84">
        <f t="shared" si="151"/>
        <v>802.43458999999996</v>
      </c>
      <c r="AB186" s="84">
        <f t="shared" si="151"/>
        <v>802.42747999999995</v>
      </c>
      <c r="AC186" s="84">
        <f t="shared" si="151"/>
        <v>802.42036999999993</v>
      </c>
    </row>
    <row r="187" spans="1:29" x14ac:dyDescent="0.25">
      <c r="A187" s="86" t="s">
        <v>21</v>
      </c>
      <c r="B187" s="54" t="s">
        <v>6</v>
      </c>
      <c r="C187" s="54"/>
      <c r="D187" s="60">
        <v>42.464999999999996</v>
      </c>
      <c r="E187" s="84">
        <f t="shared" si="145"/>
        <v>42.464999999999996</v>
      </c>
      <c r="F187" s="60">
        <v>42.464999999999996</v>
      </c>
      <c r="G187" s="84">
        <f t="shared" si="146"/>
        <v>42.464999999999996</v>
      </c>
      <c r="H187" s="60">
        <v>42.464999999999996</v>
      </c>
      <c r="I187" s="84">
        <f t="shared" si="147"/>
        <v>54.825000000000003</v>
      </c>
      <c r="J187" s="60">
        <v>67.185000000000002</v>
      </c>
      <c r="K187" s="84">
        <f t="shared" si="148"/>
        <v>89.032499999999999</v>
      </c>
      <c r="L187" s="60">
        <v>110.88</v>
      </c>
      <c r="M187" s="60">
        <v>59.4</v>
      </c>
      <c r="N187" s="60">
        <v>59.4</v>
      </c>
      <c r="O187" s="60">
        <v>123.44</v>
      </c>
      <c r="P187" s="60">
        <v>123.44</v>
      </c>
      <c r="Q187" s="85">
        <f t="shared" si="149"/>
        <v>123.44049</v>
      </c>
      <c r="R187" s="85">
        <f t="shared" si="149"/>
        <v>123.44098</v>
      </c>
      <c r="S187" s="85">
        <f t="shared" si="149"/>
        <v>123.44147</v>
      </c>
      <c r="T187" s="84">
        <f t="shared" ref="T187:AC187" si="152">+S187-(0.711/100)</f>
        <v>123.43436</v>
      </c>
      <c r="U187" s="84">
        <f t="shared" si="152"/>
        <v>123.42725</v>
      </c>
      <c r="V187" s="84">
        <f t="shared" si="152"/>
        <v>123.42014</v>
      </c>
      <c r="W187" s="84">
        <f t="shared" si="152"/>
        <v>123.41303000000001</v>
      </c>
      <c r="X187" s="84">
        <f t="shared" si="152"/>
        <v>123.40592000000001</v>
      </c>
      <c r="Y187" s="84">
        <f t="shared" si="152"/>
        <v>123.39881000000001</v>
      </c>
      <c r="Z187" s="84">
        <f t="shared" si="152"/>
        <v>123.39170000000001</v>
      </c>
      <c r="AA187" s="84">
        <f t="shared" si="152"/>
        <v>123.38459000000002</v>
      </c>
      <c r="AB187" s="84">
        <f t="shared" si="152"/>
        <v>123.37748000000002</v>
      </c>
      <c r="AC187" s="84">
        <f t="shared" si="152"/>
        <v>123.37037000000002</v>
      </c>
    </row>
    <row r="188" spans="1:29" x14ac:dyDescent="0.25">
      <c r="A188" s="86" t="s">
        <v>22</v>
      </c>
      <c r="B188" s="54" t="s">
        <v>6</v>
      </c>
      <c r="C188" s="54"/>
      <c r="D188" s="60">
        <v>51.254999999999995</v>
      </c>
      <c r="E188" s="84">
        <f t="shared" si="145"/>
        <v>51.254999999999995</v>
      </c>
      <c r="F188" s="60">
        <v>51.254999999999995</v>
      </c>
      <c r="G188" s="84">
        <f t="shared" si="146"/>
        <v>51.254999999999995</v>
      </c>
      <c r="H188" s="60">
        <v>51.254999999999995</v>
      </c>
      <c r="I188" s="84">
        <f t="shared" si="147"/>
        <v>48.959999999999994</v>
      </c>
      <c r="J188" s="60">
        <v>46.664999999999992</v>
      </c>
      <c r="K188" s="84">
        <f t="shared" si="148"/>
        <v>61.717499999999994</v>
      </c>
      <c r="L188" s="60">
        <v>76.77</v>
      </c>
      <c r="M188" s="60">
        <v>99.45</v>
      </c>
      <c r="N188" s="60">
        <v>99.45</v>
      </c>
      <c r="O188" s="60">
        <v>138.56</v>
      </c>
      <c r="P188" s="60">
        <v>138.56</v>
      </c>
      <c r="Q188" s="85">
        <f t="shared" si="149"/>
        <v>138.56049000000002</v>
      </c>
      <c r="R188" s="85">
        <f t="shared" si="149"/>
        <v>138.56098000000003</v>
      </c>
      <c r="S188" s="85">
        <f t="shared" si="149"/>
        <v>138.56147000000004</v>
      </c>
      <c r="T188" s="84">
        <f t="shared" ref="T188:AC188" si="153">+S188-(0.711/100)</f>
        <v>138.55436000000003</v>
      </c>
      <c r="U188" s="84">
        <f t="shared" si="153"/>
        <v>138.54725000000002</v>
      </c>
      <c r="V188" s="84">
        <f t="shared" si="153"/>
        <v>138.54014000000001</v>
      </c>
      <c r="W188" s="84">
        <f t="shared" si="153"/>
        <v>138.53303</v>
      </c>
      <c r="X188" s="84">
        <f t="shared" si="153"/>
        <v>138.52591999999999</v>
      </c>
      <c r="Y188" s="84">
        <f t="shared" si="153"/>
        <v>138.51880999999997</v>
      </c>
      <c r="Z188" s="84">
        <f t="shared" si="153"/>
        <v>138.51169999999996</v>
      </c>
      <c r="AA188" s="84">
        <f t="shared" si="153"/>
        <v>138.50458999999995</v>
      </c>
      <c r="AB188" s="84">
        <f t="shared" si="153"/>
        <v>138.49747999999994</v>
      </c>
      <c r="AC188" s="84">
        <f t="shared" si="153"/>
        <v>138.49036999999993</v>
      </c>
    </row>
    <row r="189" spans="1:29" x14ac:dyDescent="0.25">
      <c r="A189" s="86" t="s">
        <v>23</v>
      </c>
      <c r="B189" s="54" t="s">
        <v>6</v>
      </c>
      <c r="C189" s="54"/>
      <c r="D189" s="60">
        <v>18.059999999999999</v>
      </c>
      <c r="E189" s="84">
        <f t="shared" si="145"/>
        <v>18.059999999999999</v>
      </c>
      <c r="F189" s="60">
        <v>18.059999999999999</v>
      </c>
      <c r="G189" s="84">
        <f t="shared" si="146"/>
        <v>18.059999999999999</v>
      </c>
      <c r="H189" s="60">
        <v>18.059999999999999</v>
      </c>
      <c r="I189" s="84">
        <f t="shared" si="147"/>
        <v>21.2925</v>
      </c>
      <c r="J189" s="60">
        <v>24.525000000000002</v>
      </c>
      <c r="K189" s="84">
        <f t="shared" si="148"/>
        <v>28.17</v>
      </c>
      <c r="L189" s="60">
        <v>31.814999999999998</v>
      </c>
      <c r="M189" s="60">
        <v>39.65</v>
      </c>
      <c r="N189" s="60">
        <v>39.65</v>
      </c>
      <c r="O189" s="60">
        <v>0.54</v>
      </c>
      <c r="P189" s="60">
        <v>0.54</v>
      </c>
      <c r="Q189" s="85">
        <f t="shared" si="149"/>
        <v>0.54049000000000003</v>
      </c>
      <c r="R189" s="85">
        <f t="shared" si="149"/>
        <v>0.54098000000000002</v>
      </c>
      <c r="S189" s="85">
        <f t="shared" si="149"/>
        <v>0.54147000000000001</v>
      </c>
      <c r="T189" s="84">
        <f t="shared" ref="T189:AC189" si="154">+S189-(0.711/100)</f>
        <v>0.53436000000000006</v>
      </c>
      <c r="U189" s="84">
        <f t="shared" si="154"/>
        <v>0.52725000000000011</v>
      </c>
      <c r="V189" s="84">
        <f t="shared" si="154"/>
        <v>0.52014000000000016</v>
      </c>
      <c r="W189" s="84">
        <f t="shared" si="154"/>
        <v>0.51303000000000021</v>
      </c>
      <c r="X189" s="84">
        <f t="shared" si="154"/>
        <v>0.50592000000000026</v>
      </c>
      <c r="Y189" s="84">
        <f t="shared" si="154"/>
        <v>0.49881000000000025</v>
      </c>
      <c r="Z189" s="84">
        <f t="shared" si="154"/>
        <v>0.49170000000000025</v>
      </c>
      <c r="AA189" s="84">
        <f t="shared" si="154"/>
        <v>0.48459000000000024</v>
      </c>
      <c r="AB189" s="84">
        <f t="shared" si="154"/>
        <v>0.47748000000000024</v>
      </c>
      <c r="AC189" s="84">
        <f t="shared" si="154"/>
        <v>0.47037000000000023</v>
      </c>
    </row>
    <row r="190" spans="1:29" ht="22.5" x14ac:dyDescent="0.25">
      <c r="A190" s="86" t="s">
        <v>24</v>
      </c>
      <c r="B190" s="54" t="s">
        <v>6</v>
      </c>
      <c r="C190" s="54"/>
      <c r="D190" s="60">
        <v>102.55500000000001</v>
      </c>
      <c r="E190" s="84">
        <f t="shared" si="145"/>
        <v>102.55500000000001</v>
      </c>
      <c r="F190" s="60">
        <v>102.55500000000001</v>
      </c>
      <c r="G190" s="84">
        <f t="shared" si="146"/>
        <v>102.55500000000001</v>
      </c>
      <c r="H190" s="60">
        <v>102.55500000000001</v>
      </c>
      <c r="I190" s="84">
        <f t="shared" si="147"/>
        <v>107.23500000000001</v>
      </c>
      <c r="J190" s="60">
        <v>111.91500000000001</v>
      </c>
      <c r="K190" s="84">
        <f t="shared" si="148"/>
        <v>157.9725</v>
      </c>
      <c r="L190" s="60">
        <v>204.03</v>
      </c>
      <c r="M190" s="60">
        <v>300.74</v>
      </c>
      <c r="N190" s="60">
        <v>300.74</v>
      </c>
      <c r="O190" s="60">
        <v>861.98</v>
      </c>
      <c r="P190" s="60">
        <v>861.98</v>
      </c>
      <c r="Q190" s="85">
        <f t="shared" si="149"/>
        <v>861.98049000000003</v>
      </c>
      <c r="R190" s="85">
        <f t="shared" si="149"/>
        <v>861.98098000000005</v>
      </c>
      <c r="S190" s="85">
        <f t="shared" si="149"/>
        <v>861.98147000000006</v>
      </c>
      <c r="T190" s="84">
        <f t="shared" ref="T190:AC190" si="155">+S190-(0.711/100)</f>
        <v>861.97436000000005</v>
      </c>
      <c r="U190" s="84">
        <f t="shared" si="155"/>
        <v>861.96725000000004</v>
      </c>
      <c r="V190" s="84">
        <f t="shared" si="155"/>
        <v>861.96014000000002</v>
      </c>
      <c r="W190" s="84">
        <f t="shared" si="155"/>
        <v>861.95303000000001</v>
      </c>
      <c r="X190" s="84">
        <f t="shared" si="155"/>
        <v>861.94592</v>
      </c>
      <c r="Y190" s="84">
        <f t="shared" si="155"/>
        <v>861.93880999999999</v>
      </c>
      <c r="Z190" s="84">
        <f t="shared" si="155"/>
        <v>861.93169999999998</v>
      </c>
      <c r="AA190" s="84">
        <f t="shared" si="155"/>
        <v>861.92458999999997</v>
      </c>
      <c r="AB190" s="84">
        <f t="shared" si="155"/>
        <v>861.91747999999995</v>
      </c>
      <c r="AC190" s="84">
        <f t="shared" si="155"/>
        <v>861.91036999999994</v>
      </c>
    </row>
    <row r="191" spans="1:29" x14ac:dyDescent="0.25">
      <c r="A191" s="86" t="s">
        <v>25</v>
      </c>
      <c r="B191" s="54" t="s">
        <v>6</v>
      </c>
      <c r="C191" s="54"/>
      <c r="D191" s="60">
        <v>30.825000000000003</v>
      </c>
      <c r="E191" s="84">
        <f t="shared" si="145"/>
        <v>30.825000000000003</v>
      </c>
      <c r="F191" s="60">
        <v>30.825000000000003</v>
      </c>
      <c r="G191" s="84">
        <f t="shared" si="146"/>
        <v>30.825000000000003</v>
      </c>
      <c r="H191" s="60">
        <v>30.825000000000003</v>
      </c>
      <c r="I191" s="84">
        <f t="shared" si="147"/>
        <v>22.770000000000003</v>
      </c>
      <c r="J191" s="60">
        <v>14.715</v>
      </c>
      <c r="K191" s="84">
        <f t="shared" si="148"/>
        <v>18.09</v>
      </c>
      <c r="L191" s="60">
        <v>21.465</v>
      </c>
      <c r="M191" s="60">
        <v>33.979999999999997</v>
      </c>
      <c r="N191" s="60">
        <v>33.979999999999997</v>
      </c>
      <c r="O191" s="60">
        <v>201.56</v>
      </c>
      <c r="P191" s="60">
        <v>201.56</v>
      </c>
      <c r="Q191" s="85">
        <f t="shared" si="149"/>
        <v>201.56049000000002</v>
      </c>
      <c r="R191" s="85">
        <f t="shared" si="149"/>
        <v>201.56098000000003</v>
      </c>
      <c r="S191" s="85">
        <f t="shared" si="149"/>
        <v>201.56147000000004</v>
      </c>
      <c r="T191" s="84">
        <f t="shared" ref="T191:AC191" si="156">+S191-(0.711/100)</f>
        <v>201.55436000000003</v>
      </c>
      <c r="U191" s="84">
        <f t="shared" si="156"/>
        <v>201.54725000000002</v>
      </c>
      <c r="V191" s="84">
        <f t="shared" si="156"/>
        <v>201.54014000000001</v>
      </c>
      <c r="W191" s="84">
        <f t="shared" si="156"/>
        <v>201.53303</v>
      </c>
      <c r="X191" s="84">
        <f t="shared" si="156"/>
        <v>201.52591999999999</v>
      </c>
      <c r="Y191" s="84">
        <f t="shared" si="156"/>
        <v>201.51880999999997</v>
      </c>
      <c r="Z191" s="84">
        <f t="shared" si="156"/>
        <v>201.51169999999996</v>
      </c>
      <c r="AA191" s="84">
        <f t="shared" si="156"/>
        <v>201.50458999999995</v>
      </c>
      <c r="AB191" s="84">
        <f t="shared" si="156"/>
        <v>201.49747999999994</v>
      </c>
      <c r="AC191" s="84">
        <f t="shared" si="156"/>
        <v>201.49036999999993</v>
      </c>
    </row>
    <row r="192" spans="1:29" x14ac:dyDescent="0.25">
      <c r="A192" s="86" t="s">
        <v>26</v>
      </c>
      <c r="B192" s="54" t="s">
        <v>6</v>
      </c>
      <c r="C192" s="54"/>
      <c r="D192" s="60">
        <v>33.630000000000003</v>
      </c>
      <c r="E192" s="84">
        <f t="shared" si="145"/>
        <v>33.630000000000003</v>
      </c>
      <c r="F192" s="60">
        <v>33.630000000000003</v>
      </c>
      <c r="G192" s="84">
        <f t="shared" si="146"/>
        <v>33.630000000000003</v>
      </c>
      <c r="H192" s="60">
        <v>33.630000000000003</v>
      </c>
      <c r="I192" s="84">
        <f t="shared" si="147"/>
        <v>20.842500000000001</v>
      </c>
      <c r="J192" s="60">
        <v>8.0549999999999997</v>
      </c>
      <c r="K192" s="84">
        <f t="shared" si="148"/>
        <v>11.6775</v>
      </c>
      <c r="L192" s="60">
        <v>15.3</v>
      </c>
      <c r="M192" s="60">
        <v>2210.7199999999998</v>
      </c>
      <c r="N192" s="60">
        <v>2210.7199999999998</v>
      </c>
      <c r="O192" s="60">
        <v>78.709999999999994</v>
      </c>
      <c r="P192" s="60">
        <v>78.709999999999994</v>
      </c>
      <c r="Q192" s="85">
        <f t="shared" si="149"/>
        <v>78.710489999999993</v>
      </c>
      <c r="R192" s="85">
        <f t="shared" si="149"/>
        <v>78.710979999999992</v>
      </c>
      <c r="S192" s="85">
        <f t="shared" si="149"/>
        <v>78.711469999999991</v>
      </c>
      <c r="T192" s="84">
        <f t="shared" ref="T192:AC192" si="157">+S192-(0.711/100)</f>
        <v>78.704359999999994</v>
      </c>
      <c r="U192" s="84">
        <f t="shared" si="157"/>
        <v>78.697249999999997</v>
      </c>
      <c r="V192" s="84">
        <f t="shared" si="157"/>
        <v>78.69014</v>
      </c>
      <c r="W192" s="84">
        <f t="shared" si="157"/>
        <v>78.683030000000002</v>
      </c>
      <c r="X192" s="84">
        <f t="shared" si="157"/>
        <v>78.675920000000005</v>
      </c>
      <c r="Y192" s="84">
        <f t="shared" si="157"/>
        <v>78.668810000000008</v>
      </c>
      <c r="Z192" s="84">
        <f t="shared" si="157"/>
        <v>78.66170000000001</v>
      </c>
      <c r="AA192" s="84">
        <f t="shared" si="157"/>
        <v>78.654590000000013</v>
      </c>
      <c r="AB192" s="84">
        <f t="shared" si="157"/>
        <v>78.647480000000016</v>
      </c>
      <c r="AC192" s="84">
        <f t="shared" si="157"/>
        <v>78.640370000000019</v>
      </c>
    </row>
    <row r="193" spans="1:29" x14ac:dyDescent="0.25">
      <c r="A193" s="86" t="s">
        <v>27</v>
      </c>
      <c r="B193" s="54" t="s">
        <v>6</v>
      </c>
      <c r="C193" s="54"/>
      <c r="D193" s="60">
        <v>1.83</v>
      </c>
      <c r="E193" s="84">
        <f t="shared" si="145"/>
        <v>1.83</v>
      </c>
      <c r="F193" s="60">
        <v>1.83</v>
      </c>
      <c r="G193" s="84">
        <f t="shared" si="146"/>
        <v>1.83</v>
      </c>
      <c r="H193" s="60">
        <v>1.83</v>
      </c>
      <c r="I193" s="84">
        <f t="shared" si="147"/>
        <v>2.58</v>
      </c>
      <c r="J193" s="60">
        <v>3.33</v>
      </c>
      <c r="K193" s="84">
        <f t="shared" si="148"/>
        <v>4.6575000000000006</v>
      </c>
      <c r="L193" s="60">
        <v>5.9850000000000003</v>
      </c>
      <c r="M193" s="60">
        <v>6.53</v>
      </c>
      <c r="N193" s="60">
        <v>6.53</v>
      </c>
      <c r="O193" s="60">
        <v>13.23</v>
      </c>
      <c r="P193" s="60">
        <v>13.23</v>
      </c>
      <c r="Q193" s="85">
        <f t="shared" si="149"/>
        <v>13.23049</v>
      </c>
      <c r="R193" s="85">
        <f t="shared" si="149"/>
        <v>13.230979999999999</v>
      </c>
      <c r="S193" s="85">
        <f t="shared" si="149"/>
        <v>13.231469999999998</v>
      </c>
      <c r="T193" s="84">
        <f t="shared" ref="T193:AC193" si="158">+S193-(0.711/100)</f>
        <v>13.224359999999997</v>
      </c>
      <c r="U193" s="84">
        <f t="shared" si="158"/>
        <v>13.217249999999996</v>
      </c>
      <c r="V193" s="84">
        <f t="shared" si="158"/>
        <v>13.210139999999996</v>
      </c>
      <c r="W193" s="84">
        <f t="shared" si="158"/>
        <v>13.203029999999995</v>
      </c>
      <c r="X193" s="84">
        <f t="shared" si="158"/>
        <v>13.195919999999994</v>
      </c>
      <c r="Y193" s="84">
        <f t="shared" si="158"/>
        <v>13.188809999999993</v>
      </c>
      <c r="Z193" s="84">
        <f t="shared" si="158"/>
        <v>13.181699999999992</v>
      </c>
      <c r="AA193" s="84">
        <f t="shared" si="158"/>
        <v>13.174589999999991</v>
      </c>
      <c r="AB193" s="84">
        <f t="shared" si="158"/>
        <v>13.167479999999991</v>
      </c>
      <c r="AC193" s="84">
        <f t="shared" si="158"/>
        <v>13.16036999999999</v>
      </c>
    </row>
    <row r="194" spans="1:29" x14ac:dyDescent="0.25">
      <c r="A194" s="86" t="s">
        <v>28</v>
      </c>
      <c r="B194" s="54" t="s">
        <v>6</v>
      </c>
      <c r="C194" s="54"/>
      <c r="D194" s="60">
        <v>20.58</v>
      </c>
      <c r="E194" s="84">
        <f t="shared" si="145"/>
        <v>20.58</v>
      </c>
      <c r="F194" s="60">
        <v>20.58</v>
      </c>
      <c r="G194" s="84">
        <f t="shared" si="146"/>
        <v>20.58</v>
      </c>
      <c r="H194" s="60">
        <v>20.58</v>
      </c>
      <c r="I194" s="84">
        <f t="shared" si="147"/>
        <v>44.92</v>
      </c>
      <c r="J194" s="60">
        <v>69.260000000000005</v>
      </c>
      <c r="K194" s="84">
        <f t="shared" si="148"/>
        <v>122.875</v>
      </c>
      <c r="L194" s="60">
        <v>176.49</v>
      </c>
      <c r="M194" s="60">
        <v>53.46</v>
      </c>
      <c r="N194" s="60">
        <v>53.46</v>
      </c>
      <c r="O194" s="60">
        <v>10.98</v>
      </c>
      <c r="P194" s="60">
        <v>10.98</v>
      </c>
      <c r="Q194" s="85">
        <f t="shared" si="149"/>
        <v>10.98049</v>
      </c>
      <c r="R194" s="85">
        <f t="shared" si="149"/>
        <v>10.980979999999999</v>
      </c>
      <c r="S194" s="85">
        <f t="shared" si="149"/>
        <v>10.981469999999998</v>
      </c>
      <c r="T194" s="84">
        <f t="shared" ref="T194:AC194" si="159">+S194-(0.711/100)</f>
        <v>10.974359999999997</v>
      </c>
      <c r="U194" s="84">
        <f t="shared" si="159"/>
        <v>10.967249999999996</v>
      </c>
      <c r="V194" s="84">
        <f t="shared" si="159"/>
        <v>10.960139999999996</v>
      </c>
      <c r="W194" s="84">
        <f t="shared" si="159"/>
        <v>10.953029999999995</v>
      </c>
      <c r="X194" s="84">
        <f t="shared" si="159"/>
        <v>10.945919999999994</v>
      </c>
      <c r="Y194" s="84">
        <f t="shared" si="159"/>
        <v>10.938809999999993</v>
      </c>
      <c r="Z194" s="84">
        <f t="shared" si="159"/>
        <v>10.931699999999992</v>
      </c>
      <c r="AA194" s="84">
        <f t="shared" si="159"/>
        <v>10.924589999999991</v>
      </c>
      <c r="AB194" s="84">
        <f t="shared" si="159"/>
        <v>10.917479999999991</v>
      </c>
      <c r="AC194" s="84">
        <f t="shared" si="159"/>
        <v>10.91036999999999</v>
      </c>
    </row>
    <row r="195" spans="1:29" x14ac:dyDescent="0.25">
      <c r="A195" s="56" t="s">
        <v>19</v>
      </c>
      <c r="B195" s="54" t="s">
        <v>6</v>
      </c>
      <c r="C195" s="54"/>
      <c r="D195" s="60">
        <v>9692.42</v>
      </c>
      <c r="E195" s="84">
        <f t="shared" si="145"/>
        <v>9692.42</v>
      </c>
      <c r="F195" s="60">
        <v>9692.42</v>
      </c>
      <c r="G195" s="84">
        <f t="shared" si="146"/>
        <v>9692.42</v>
      </c>
      <c r="H195" s="60">
        <v>9692.42</v>
      </c>
      <c r="I195" s="84">
        <f t="shared" si="147"/>
        <v>6006.2650000000003</v>
      </c>
      <c r="J195" s="60">
        <v>2320.11</v>
      </c>
      <c r="K195" s="84">
        <f t="shared" si="148"/>
        <v>8269.5550000000003</v>
      </c>
      <c r="L195" s="60">
        <v>14219</v>
      </c>
      <c r="M195" s="60">
        <v>3174.03</v>
      </c>
      <c r="N195" s="60">
        <v>3174.03</v>
      </c>
      <c r="O195" s="60">
        <v>11997.5</v>
      </c>
      <c r="P195" s="60">
        <v>11997.5</v>
      </c>
      <c r="Q195" s="85">
        <f t="shared" si="149"/>
        <v>11997.50049</v>
      </c>
      <c r="R195" s="85">
        <f t="shared" si="149"/>
        <v>11997.500980000001</v>
      </c>
      <c r="S195" s="85">
        <f t="shared" si="149"/>
        <v>11997.501470000001</v>
      </c>
      <c r="T195" s="84">
        <f t="shared" ref="T195:AC195" si="160">+S195-(0.711/100)</f>
        <v>11997.494360000001</v>
      </c>
      <c r="U195" s="84">
        <f t="shared" si="160"/>
        <v>11997.48725</v>
      </c>
      <c r="V195" s="84">
        <f t="shared" si="160"/>
        <v>11997.48014</v>
      </c>
      <c r="W195" s="84">
        <f t="shared" si="160"/>
        <v>11997.473029999999</v>
      </c>
      <c r="X195" s="84">
        <f t="shared" si="160"/>
        <v>11997.465919999999</v>
      </c>
      <c r="Y195" s="84">
        <f t="shared" si="160"/>
        <v>11997.458809999998</v>
      </c>
      <c r="Z195" s="84">
        <f t="shared" si="160"/>
        <v>11997.451699999998</v>
      </c>
      <c r="AA195" s="84">
        <f t="shared" si="160"/>
        <v>11997.444589999997</v>
      </c>
      <c r="AB195" s="84">
        <f t="shared" si="160"/>
        <v>11997.437479999997</v>
      </c>
      <c r="AC195" s="84">
        <f t="shared" si="160"/>
        <v>11997.430369999996</v>
      </c>
    </row>
    <row r="196" spans="1:29" x14ac:dyDescent="0.25">
      <c r="A196" s="56" t="s">
        <v>4</v>
      </c>
      <c r="B196" s="54" t="s">
        <v>6</v>
      </c>
      <c r="C196" s="54"/>
      <c r="D196" s="60">
        <v>614.61</v>
      </c>
      <c r="E196" s="84">
        <f t="shared" si="145"/>
        <v>614.61</v>
      </c>
      <c r="F196" s="60">
        <v>614.61</v>
      </c>
      <c r="G196" s="84">
        <f t="shared" si="146"/>
        <v>614.61</v>
      </c>
      <c r="H196" s="60">
        <v>614.61</v>
      </c>
      <c r="I196" s="84">
        <f t="shared" si="147"/>
        <v>481.88499999999999</v>
      </c>
      <c r="J196" s="60">
        <v>349.16</v>
      </c>
      <c r="K196" s="84">
        <f t="shared" si="148"/>
        <v>314.82500000000005</v>
      </c>
      <c r="L196" s="60">
        <v>280.49</v>
      </c>
      <c r="M196" s="60">
        <v>230.99</v>
      </c>
      <c r="N196" s="60">
        <v>230.99</v>
      </c>
      <c r="O196" s="60">
        <v>1935.81</v>
      </c>
      <c r="P196" s="60">
        <v>1935.81</v>
      </c>
      <c r="Q196" s="85">
        <f t="shared" si="149"/>
        <v>1935.8104899999998</v>
      </c>
      <c r="R196" s="85">
        <f t="shared" si="149"/>
        <v>1935.8109799999997</v>
      </c>
      <c r="S196" s="85">
        <f t="shared" si="149"/>
        <v>1935.8114699999996</v>
      </c>
      <c r="T196" s="84">
        <f t="shared" ref="T196:AC196" si="161">+S196-(0.711/100)</f>
        <v>1935.8043599999996</v>
      </c>
      <c r="U196" s="84">
        <f t="shared" si="161"/>
        <v>1935.7972499999996</v>
      </c>
      <c r="V196" s="84">
        <f t="shared" si="161"/>
        <v>1935.7901399999996</v>
      </c>
      <c r="W196" s="84">
        <f t="shared" si="161"/>
        <v>1935.7830299999996</v>
      </c>
      <c r="X196" s="84">
        <f t="shared" si="161"/>
        <v>1935.7759199999996</v>
      </c>
      <c r="Y196" s="84">
        <f t="shared" si="161"/>
        <v>1935.7688099999996</v>
      </c>
      <c r="Z196" s="84">
        <f t="shared" si="161"/>
        <v>1935.7616999999996</v>
      </c>
      <c r="AA196" s="84">
        <f t="shared" si="161"/>
        <v>1935.7545899999996</v>
      </c>
      <c r="AB196" s="84">
        <f t="shared" si="161"/>
        <v>1935.7474799999995</v>
      </c>
      <c r="AC196" s="84">
        <f t="shared" si="161"/>
        <v>1935.7403699999995</v>
      </c>
    </row>
    <row r="197" spans="1:29" x14ac:dyDescent="0.25">
      <c r="A197" s="56" t="s">
        <v>5</v>
      </c>
      <c r="B197" s="54" t="s">
        <v>6</v>
      </c>
      <c r="C197" s="54"/>
      <c r="D197" s="60">
        <v>275.76</v>
      </c>
      <c r="E197" s="84">
        <f t="shared" si="145"/>
        <v>275.76</v>
      </c>
      <c r="F197" s="60">
        <v>275.76</v>
      </c>
      <c r="G197" s="84">
        <f t="shared" si="146"/>
        <v>275.76</v>
      </c>
      <c r="H197" s="60">
        <v>275.76</v>
      </c>
      <c r="I197" s="84">
        <f t="shared" si="147"/>
        <v>261.45</v>
      </c>
      <c r="J197" s="60">
        <v>247.14</v>
      </c>
      <c r="K197" s="84">
        <f t="shared" si="148"/>
        <v>345.35500000000002</v>
      </c>
      <c r="L197" s="60">
        <v>443.57</v>
      </c>
      <c r="M197" s="60">
        <v>95151.11</v>
      </c>
      <c r="N197" s="60">
        <v>95151.11</v>
      </c>
      <c r="O197" s="60">
        <v>494.06</v>
      </c>
      <c r="P197" s="60">
        <v>494.06</v>
      </c>
      <c r="Q197" s="85">
        <f t="shared" si="149"/>
        <v>494.06049000000002</v>
      </c>
      <c r="R197" s="85">
        <f t="shared" si="149"/>
        <v>494.06098000000003</v>
      </c>
      <c r="S197" s="85">
        <f t="shared" si="149"/>
        <v>494.06147000000004</v>
      </c>
      <c r="T197" s="84">
        <f t="shared" ref="T197:AC197" si="162">+S197-(0.711/100)</f>
        <v>494.05436000000003</v>
      </c>
      <c r="U197" s="84">
        <f t="shared" si="162"/>
        <v>494.04725000000002</v>
      </c>
      <c r="V197" s="84">
        <f t="shared" si="162"/>
        <v>494.04014000000001</v>
      </c>
      <c r="W197" s="84">
        <f t="shared" si="162"/>
        <v>494.03303</v>
      </c>
      <c r="X197" s="84">
        <f t="shared" si="162"/>
        <v>494.02591999999999</v>
      </c>
      <c r="Y197" s="84">
        <f t="shared" si="162"/>
        <v>494.01880999999997</v>
      </c>
      <c r="Z197" s="84">
        <f t="shared" si="162"/>
        <v>494.01169999999996</v>
      </c>
      <c r="AA197" s="84">
        <f t="shared" si="162"/>
        <v>494.00458999999995</v>
      </c>
      <c r="AB197" s="84">
        <f t="shared" si="162"/>
        <v>493.99747999999994</v>
      </c>
      <c r="AC197" s="84">
        <f t="shared" si="162"/>
        <v>493.99036999999993</v>
      </c>
    </row>
    <row r="198" spans="1:29" x14ac:dyDescent="0.25">
      <c r="A198" s="56" t="s">
        <v>29</v>
      </c>
      <c r="B198" s="54" t="s">
        <v>6</v>
      </c>
      <c r="C198" s="54"/>
      <c r="D198" s="60">
        <v>223.995</v>
      </c>
      <c r="E198" s="84">
        <f t="shared" si="145"/>
        <v>223.995</v>
      </c>
      <c r="F198" s="60">
        <v>223.995</v>
      </c>
      <c r="G198" s="84">
        <f t="shared" si="146"/>
        <v>223.995</v>
      </c>
      <c r="H198" s="60">
        <v>223.995</v>
      </c>
      <c r="I198" s="84">
        <f t="shared" si="147"/>
        <v>174.42750000000001</v>
      </c>
      <c r="J198" s="60">
        <v>124.86</v>
      </c>
      <c r="K198" s="84">
        <f t="shared" si="148"/>
        <v>436.92</v>
      </c>
      <c r="L198" s="60">
        <v>748.98</v>
      </c>
      <c r="M198" s="60">
        <v>871.12</v>
      </c>
      <c r="N198" s="60">
        <v>871.12</v>
      </c>
      <c r="O198" s="60">
        <v>2832.75</v>
      </c>
      <c r="P198" s="60">
        <v>2832.75</v>
      </c>
      <c r="Q198" s="85">
        <f t="shared" si="149"/>
        <v>2832.7504899999999</v>
      </c>
      <c r="R198" s="85">
        <f t="shared" si="149"/>
        <v>2832.7509799999998</v>
      </c>
      <c r="S198" s="85">
        <f t="shared" si="149"/>
        <v>2832.7514699999997</v>
      </c>
      <c r="T198" s="84">
        <f t="shared" ref="T198:AC198" si="163">+S198-(0.711/100)</f>
        <v>2832.7443599999997</v>
      </c>
      <c r="U198" s="84">
        <f t="shared" si="163"/>
        <v>2832.7372499999997</v>
      </c>
      <c r="V198" s="84">
        <f t="shared" si="163"/>
        <v>2832.7301399999997</v>
      </c>
      <c r="W198" s="84">
        <f t="shared" si="163"/>
        <v>2832.7230299999997</v>
      </c>
      <c r="X198" s="84">
        <f t="shared" si="163"/>
        <v>2832.7159199999996</v>
      </c>
      <c r="Y198" s="84">
        <f t="shared" si="163"/>
        <v>2832.7088099999996</v>
      </c>
      <c r="Z198" s="84">
        <f t="shared" si="163"/>
        <v>2832.7016999999996</v>
      </c>
      <c r="AA198" s="84">
        <f t="shared" si="163"/>
        <v>2832.6945899999996</v>
      </c>
      <c r="AB198" s="84">
        <f t="shared" si="163"/>
        <v>2832.6874799999996</v>
      </c>
      <c r="AC198" s="84">
        <f t="shared" si="163"/>
        <v>2832.6803699999996</v>
      </c>
    </row>
    <row r="200" spans="1:29" x14ac:dyDescent="0.25">
      <c r="A200" s="86" t="s">
        <v>18</v>
      </c>
      <c r="B200" s="54" t="s">
        <v>29</v>
      </c>
      <c r="C200" s="54"/>
      <c r="D200" s="60">
        <v>0.42</v>
      </c>
      <c r="E200" s="84">
        <f t="shared" ref="E200:E213" si="164">+(D200+F200)/2</f>
        <v>0.42</v>
      </c>
      <c r="F200" s="60">
        <v>0.42</v>
      </c>
      <c r="G200" s="84">
        <f t="shared" ref="G200:G213" si="165">+(F200+H200)/2</f>
        <v>0.42</v>
      </c>
      <c r="H200" s="60">
        <v>0.42</v>
      </c>
      <c r="I200" s="84">
        <f t="shared" ref="I200:I213" si="166">+(H200+J200)/2</f>
        <v>18.772500000000001</v>
      </c>
      <c r="J200" s="60">
        <v>37.125</v>
      </c>
      <c r="K200" s="84">
        <f t="shared" ref="K200:K213" si="167">+(J200+L200)/2</f>
        <v>28.372500000000002</v>
      </c>
      <c r="L200" s="60">
        <v>19.62</v>
      </c>
      <c r="M200" s="60">
        <v>8.3699999999999992</v>
      </c>
      <c r="N200" s="60">
        <v>8.3699999999999992</v>
      </c>
      <c r="O200" s="60">
        <v>0.72</v>
      </c>
      <c r="P200" s="60">
        <v>0.72</v>
      </c>
      <c r="Q200" s="85">
        <f t="shared" ref="Q200:S213" si="168">+P200+(0.049/100)</f>
        <v>0.72048999999999996</v>
      </c>
      <c r="R200" s="85">
        <f t="shared" si="168"/>
        <v>0.72097999999999995</v>
      </c>
      <c r="S200" s="85">
        <f t="shared" si="168"/>
        <v>0.72146999999999994</v>
      </c>
      <c r="T200" s="84">
        <f t="shared" ref="T200:AC200" si="169">+S200-(0.711/100)</f>
        <v>0.71435999999999999</v>
      </c>
      <c r="U200" s="84">
        <f t="shared" si="169"/>
        <v>0.70725000000000005</v>
      </c>
      <c r="V200" s="84">
        <f t="shared" si="169"/>
        <v>0.7001400000000001</v>
      </c>
      <c r="W200" s="84">
        <f t="shared" si="169"/>
        <v>0.69303000000000015</v>
      </c>
      <c r="X200" s="84">
        <f t="shared" si="169"/>
        <v>0.6859200000000002</v>
      </c>
      <c r="Y200" s="84">
        <f t="shared" si="169"/>
        <v>0.67881000000000025</v>
      </c>
      <c r="Z200" s="84">
        <f t="shared" si="169"/>
        <v>0.6717000000000003</v>
      </c>
      <c r="AA200" s="84">
        <f t="shared" si="169"/>
        <v>0.66459000000000035</v>
      </c>
      <c r="AB200" s="84">
        <f t="shared" si="169"/>
        <v>0.6574800000000004</v>
      </c>
      <c r="AC200" s="84">
        <f t="shared" si="169"/>
        <v>0.65037000000000045</v>
      </c>
    </row>
    <row r="201" spans="1:29" x14ac:dyDescent="0.25">
      <c r="A201" s="86" t="s">
        <v>20</v>
      </c>
      <c r="B201" s="54" t="s">
        <v>29</v>
      </c>
      <c r="C201" s="54"/>
      <c r="D201" s="60">
        <v>497.68499999999995</v>
      </c>
      <c r="E201" s="84">
        <f t="shared" si="164"/>
        <v>497.68499999999995</v>
      </c>
      <c r="F201" s="60">
        <v>497.68499999999995</v>
      </c>
      <c r="G201" s="84">
        <f t="shared" si="165"/>
        <v>497.68499999999995</v>
      </c>
      <c r="H201" s="60">
        <v>497.68499999999995</v>
      </c>
      <c r="I201" s="84">
        <f t="shared" si="166"/>
        <v>486.75749999999994</v>
      </c>
      <c r="J201" s="60">
        <v>475.83</v>
      </c>
      <c r="K201" s="84">
        <f t="shared" si="167"/>
        <v>299.45249999999999</v>
      </c>
      <c r="L201" s="60">
        <v>123.075</v>
      </c>
      <c r="M201" s="60">
        <v>87.35</v>
      </c>
      <c r="N201" s="60">
        <v>87.35</v>
      </c>
      <c r="O201" s="60">
        <v>13.32</v>
      </c>
      <c r="P201" s="60">
        <v>13.32</v>
      </c>
      <c r="Q201" s="85">
        <f t="shared" si="168"/>
        <v>13.320489999999999</v>
      </c>
      <c r="R201" s="85">
        <f t="shared" si="168"/>
        <v>13.320979999999999</v>
      </c>
      <c r="S201" s="85">
        <f t="shared" si="168"/>
        <v>13.321469999999998</v>
      </c>
      <c r="T201" s="84">
        <f t="shared" ref="T201:AC201" si="170">+S201-(0.711/100)</f>
        <v>13.314359999999997</v>
      </c>
      <c r="U201" s="84">
        <f t="shared" si="170"/>
        <v>13.307249999999996</v>
      </c>
      <c r="V201" s="84">
        <f t="shared" si="170"/>
        <v>13.300139999999995</v>
      </c>
      <c r="W201" s="84">
        <f t="shared" si="170"/>
        <v>13.293029999999995</v>
      </c>
      <c r="X201" s="84">
        <f t="shared" si="170"/>
        <v>13.285919999999994</v>
      </c>
      <c r="Y201" s="84">
        <f t="shared" si="170"/>
        <v>13.278809999999993</v>
      </c>
      <c r="Z201" s="84">
        <f t="shared" si="170"/>
        <v>13.271699999999992</v>
      </c>
      <c r="AA201" s="84">
        <f t="shared" si="170"/>
        <v>13.264589999999991</v>
      </c>
      <c r="AB201" s="84">
        <f t="shared" si="170"/>
        <v>13.25747999999999</v>
      </c>
      <c r="AC201" s="84">
        <f t="shared" si="170"/>
        <v>13.25036999999999</v>
      </c>
    </row>
    <row r="202" spans="1:29" x14ac:dyDescent="0.25">
      <c r="A202" s="86" t="s">
        <v>21</v>
      </c>
      <c r="B202" s="54" t="s">
        <v>29</v>
      </c>
      <c r="C202" s="54"/>
      <c r="D202" s="60">
        <v>52.04999999999999</v>
      </c>
      <c r="E202" s="84">
        <f t="shared" si="164"/>
        <v>52.04999999999999</v>
      </c>
      <c r="F202" s="60">
        <v>52.04999999999999</v>
      </c>
      <c r="G202" s="84">
        <f t="shared" si="165"/>
        <v>52.04999999999999</v>
      </c>
      <c r="H202" s="60">
        <v>52.04999999999999</v>
      </c>
      <c r="I202" s="84">
        <f t="shared" si="166"/>
        <v>244.83750000000001</v>
      </c>
      <c r="J202" s="60">
        <v>437.625</v>
      </c>
      <c r="K202" s="84">
        <f t="shared" si="167"/>
        <v>332.03250000000003</v>
      </c>
      <c r="L202" s="60">
        <v>226.44</v>
      </c>
      <c r="M202" s="60">
        <v>220.41</v>
      </c>
      <c r="N202" s="60">
        <v>220.41</v>
      </c>
      <c r="O202" s="60">
        <v>38.299999999999997</v>
      </c>
      <c r="P202" s="60">
        <v>38.299999999999997</v>
      </c>
      <c r="Q202" s="85">
        <f t="shared" si="168"/>
        <v>38.300489999999996</v>
      </c>
      <c r="R202" s="85">
        <f t="shared" si="168"/>
        <v>38.300979999999996</v>
      </c>
      <c r="S202" s="85">
        <f t="shared" si="168"/>
        <v>38.301469999999995</v>
      </c>
      <c r="T202" s="84">
        <f t="shared" ref="T202:AC202" si="171">+S202-(0.711/100)</f>
        <v>38.294359999999998</v>
      </c>
      <c r="U202" s="84">
        <f t="shared" si="171"/>
        <v>38.28725</v>
      </c>
      <c r="V202" s="84">
        <f t="shared" si="171"/>
        <v>38.280140000000003</v>
      </c>
      <c r="W202" s="84">
        <f t="shared" si="171"/>
        <v>38.273030000000006</v>
      </c>
      <c r="X202" s="84">
        <f t="shared" si="171"/>
        <v>38.265920000000008</v>
      </c>
      <c r="Y202" s="84">
        <f t="shared" si="171"/>
        <v>38.258810000000011</v>
      </c>
      <c r="Z202" s="84">
        <f t="shared" si="171"/>
        <v>38.251700000000014</v>
      </c>
      <c r="AA202" s="84">
        <f t="shared" si="171"/>
        <v>38.244590000000017</v>
      </c>
      <c r="AB202" s="84">
        <f t="shared" si="171"/>
        <v>38.237480000000019</v>
      </c>
      <c r="AC202" s="84">
        <f t="shared" si="171"/>
        <v>38.230370000000022</v>
      </c>
    </row>
    <row r="203" spans="1:29" x14ac:dyDescent="0.25">
      <c r="A203" s="86" t="s">
        <v>22</v>
      </c>
      <c r="B203" s="54" t="s">
        <v>29</v>
      </c>
      <c r="C203" s="54"/>
      <c r="D203" s="60">
        <v>22.185000000000002</v>
      </c>
      <c r="E203" s="84">
        <f t="shared" si="164"/>
        <v>22.185000000000002</v>
      </c>
      <c r="F203" s="60">
        <v>22.185000000000002</v>
      </c>
      <c r="G203" s="84">
        <f t="shared" si="165"/>
        <v>22.185000000000002</v>
      </c>
      <c r="H203" s="60">
        <v>22.185000000000002</v>
      </c>
      <c r="I203" s="84">
        <f t="shared" si="166"/>
        <v>63.247500000000002</v>
      </c>
      <c r="J203" s="60">
        <v>104.31</v>
      </c>
      <c r="K203" s="84">
        <f t="shared" si="167"/>
        <v>125.86499999999999</v>
      </c>
      <c r="L203" s="60">
        <v>147.41999999999999</v>
      </c>
      <c r="M203" s="60">
        <v>49.95</v>
      </c>
      <c r="N203" s="60">
        <v>49.95</v>
      </c>
      <c r="O203" s="60">
        <v>62.06</v>
      </c>
      <c r="P203" s="60">
        <v>62.06</v>
      </c>
      <c r="Q203" s="85">
        <f t="shared" si="168"/>
        <v>62.060490000000001</v>
      </c>
      <c r="R203" s="85">
        <f t="shared" si="168"/>
        <v>62.060980000000001</v>
      </c>
      <c r="S203" s="85">
        <f t="shared" si="168"/>
        <v>62.06147</v>
      </c>
      <c r="T203" s="84">
        <f t="shared" ref="T203:AC203" si="172">+S203-(0.711/100)</f>
        <v>62.054360000000003</v>
      </c>
      <c r="U203" s="84">
        <f t="shared" si="172"/>
        <v>62.047250000000005</v>
      </c>
      <c r="V203" s="84">
        <f t="shared" si="172"/>
        <v>62.040140000000008</v>
      </c>
      <c r="W203" s="84">
        <f t="shared" si="172"/>
        <v>62.033030000000011</v>
      </c>
      <c r="X203" s="84">
        <f t="shared" si="172"/>
        <v>62.025920000000013</v>
      </c>
      <c r="Y203" s="84">
        <f t="shared" si="172"/>
        <v>62.018810000000016</v>
      </c>
      <c r="Z203" s="84">
        <f t="shared" si="172"/>
        <v>62.011700000000019</v>
      </c>
      <c r="AA203" s="84">
        <f t="shared" si="172"/>
        <v>62.004590000000022</v>
      </c>
      <c r="AB203" s="84">
        <f t="shared" si="172"/>
        <v>61.997480000000024</v>
      </c>
      <c r="AC203" s="84">
        <f t="shared" si="172"/>
        <v>61.990370000000027</v>
      </c>
    </row>
    <row r="204" spans="1:29" x14ac:dyDescent="0.25">
      <c r="A204" s="86" t="s">
        <v>23</v>
      </c>
      <c r="B204" s="54" t="s">
        <v>29</v>
      </c>
      <c r="C204" s="54"/>
      <c r="D204" s="60">
        <v>76.410000000000011</v>
      </c>
      <c r="E204" s="84">
        <f t="shared" si="164"/>
        <v>76.410000000000011</v>
      </c>
      <c r="F204" s="60">
        <v>76.410000000000011</v>
      </c>
      <c r="G204" s="84">
        <f t="shared" si="165"/>
        <v>76.410000000000011</v>
      </c>
      <c r="H204" s="60">
        <v>76.410000000000011</v>
      </c>
      <c r="I204" s="84">
        <f t="shared" si="166"/>
        <v>147.91500000000002</v>
      </c>
      <c r="J204" s="60">
        <v>219.42000000000002</v>
      </c>
      <c r="K204" s="84">
        <f t="shared" si="167"/>
        <v>177.32249999999999</v>
      </c>
      <c r="L204" s="60">
        <v>135.22499999999999</v>
      </c>
      <c r="M204" s="60">
        <v>102.15</v>
      </c>
      <c r="N204" s="60">
        <v>102.15</v>
      </c>
      <c r="O204" s="60">
        <v>7.34</v>
      </c>
      <c r="P204" s="60">
        <v>7.34</v>
      </c>
      <c r="Q204" s="85">
        <f t="shared" si="168"/>
        <v>7.34049</v>
      </c>
      <c r="R204" s="85">
        <f t="shared" si="168"/>
        <v>7.3409800000000001</v>
      </c>
      <c r="S204" s="85">
        <f t="shared" si="168"/>
        <v>7.3414700000000002</v>
      </c>
      <c r="T204" s="84">
        <f t="shared" ref="T204:AC204" si="173">+S204-(0.711/100)</f>
        <v>7.3343600000000002</v>
      </c>
      <c r="U204" s="84">
        <f t="shared" si="173"/>
        <v>7.3272500000000003</v>
      </c>
      <c r="V204" s="84">
        <f t="shared" si="173"/>
        <v>7.3201400000000003</v>
      </c>
      <c r="W204" s="84">
        <f t="shared" si="173"/>
        <v>7.3130300000000004</v>
      </c>
      <c r="X204" s="84">
        <f t="shared" si="173"/>
        <v>7.3059200000000004</v>
      </c>
      <c r="Y204" s="84">
        <f t="shared" si="173"/>
        <v>7.2988100000000005</v>
      </c>
      <c r="Z204" s="84">
        <f t="shared" si="173"/>
        <v>7.2917000000000005</v>
      </c>
      <c r="AA204" s="84">
        <f t="shared" si="173"/>
        <v>7.2845900000000006</v>
      </c>
      <c r="AB204" s="84">
        <f t="shared" si="173"/>
        <v>7.2774800000000006</v>
      </c>
      <c r="AC204" s="84">
        <f t="shared" si="173"/>
        <v>7.2703700000000007</v>
      </c>
    </row>
    <row r="205" spans="1:29" ht="22.5" x14ac:dyDescent="0.25">
      <c r="A205" s="86" t="s">
        <v>24</v>
      </c>
      <c r="B205" s="54" t="s">
        <v>29</v>
      </c>
      <c r="C205" s="54"/>
      <c r="D205" s="60">
        <v>64.304999999999993</v>
      </c>
      <c r="E205" s="84">
        <f t="shared" si="164"/>
        <v>64.304999999999993</v>
      </c>
      <c r="F205" s="60">
        <v>64.304999999999993</v>
      </c>
      <c r="G205" s="84">
        <f t="shared" si="165"/>
        <v>64.304999999999993</v>
      </c>
      <c r="H205" s="60">
        <v>64.304999999999993</v>
      </c>
      <c r="I205" s="84">
        <f t="shared" si="166"/>
        <v>285.27749999999997</v>
      </c>
      <c r="J205" s="60">
        <v>506.25</v>
      </c>
      <c r="K205" s="84">
        <f t="shared" si="167"/>
        <v>589.18499999999995</v>
      </c>
      <c r="L205" s="60">
        <v>672.11999999999989</v>
      </c>
      <c r="M205" s="60">
        <v>582.98</v>
      </c>
      <c r="N205" s="60">
        <v>582.98</v>
      </c>
      <c r="O205" s="60">
        <v>170.37</v>
      </c>
      <c r="P205" s="60">
        <v>170.37</v>
      </c>
      <c r="Q205" s="85">
        <f t="shared" si="168"/>
        <v>170.37049000000002</v>
      </c>
      <c r="R205" s="85">
        <f t="shared" si="168"/>
        <v>170.37098000000003</v>
      </c>
      <c r="S205" s="85">
        <f t="shared" si="168"/>
        <v>170.37147000000004</v>
      </c>
      <c r="T205" s="84">
        <f t="shared" ref="T205:AC205" si="174">+S205-(0.711/100)</f>
        <v>170.36436000000003</v>
      </c>
      <c r="U205" s="84">
        <f t="shared" si="174"/>
        <v>170.35725000000002</v>
      </c>
      <c r="V205" s="84">
        <f t="shared" si="174"/>
        <v>170.35014000000001</v>
      </c>
      <c r="W205" s="84">
        <f t="shared" si="174"/>
        <v>170.34303</v>
      </c>
      <c r="X205" s="84">
        <f t="shared" si="174"/>
        <v>170.33591999999999</v>
      </c>
      <c r="Y205" s="84">
        <f t="shared" si="174"/>
        <v>170.32880999999998</v>
      </c>
      <c r="Z205" s="84">
        <f t="shared" si="174"/>
        <v>170.32169999999996</v>
      </c>
      <c r="AA205" s="84">
        <f t="shared" si="174"/>
        <v>170.31458999999995</v>
      </c>
      <c r="AB205" s="84">
        <f t="shared" si="174"/>
        <v>170.30747999999994</v>
      </c>
      <c r="AC205" s="84">
        <f t="shared" si="174"/>
        <v>170.30036999999993</v>
      </c>
    </row>
    <row r="206" spans="1:29" x14ac:dyDescent="0.25">
      <c r="A206" s="86" t="s">
        <v>25</v>
      </c>
      <c r="B206" s="54" t="s">
        <v>29</v>
      </c>
      <c r="C206" s="54"/>
      <c r="D206" s="60">
        <v>17.655000000000001</v>
      </c>
      <c r="E206" s="84">
        <f t="shared" si="164"/>
        <v>17.655000000000001</v>
      </c>
      <c r="F206" s="60">
        <v>17.655000000000001</v>
      </c>
      <c r="G206" s="84">
        <f t="shared" si="165"/>
        <v>17.655000000000001</v>
      </c>
      <c r="H206" s="60">
        <v>17.655000000000001</v>
      </c>
      <c r="I206" s="84">
        <f t="shared" si="166"/>
        <v>32.362499999999997</v>
      </c>
      <c r="J206" s="60">
        <v>47.07</v>
      </c>
      <c r="K206" s="84">
        <f t="shared" si="167"/>
        <v>62.617499999999993</v>
      </c>
      <c r="L206" s="60">
        <v>78.164999999999978</v>
      </c>
      <c r="M206" s="60">
        <v>73.22</v>
      </c>
      <c r="N206" s="60">
        <v>73.22</v>
      </c>
      <c r="O206" s="60">
        <v>3.38</v>
      </c>
      <c r="P206" s="60">
        <v>3.38</v>
      </c>
      <c r="Q206" s="85">
        <f t="shared" si="168"/>
        <v>3.38049</v>
      </c>
      <c r="R206" s="85">
        <f t="shared" si="168"/>
        <v>3.3809800000000001</v>
      </c>
      <c r="S206" s="85">
        <f t="shared" si="168"/>
        <v>3.3814700000000002</v>
      </c>
      <c r="T206" s="84">
        <f t="shared" ref="T206:AC206" si="175">+S206-(0.711/100)</f>
        <v>3.3743600000000002</v>
      </c>
      <c r="U206" s="84">
        <f t="shared" si="175"/>
        <v>3.3672500000000003</v>
      </c>
      <c r="V206" s="84">
        <f t="shared" si="175"/>
        <v>3.3601400000000003</v>
      </c>
      <c r="W206" s="84">
        <f t="shared" si="175"/>
        <v>3.3530300000000004</v>
      </c>
      <c r="X206" s="84">
        <f t="shared" si="175"/>
        <v>3.3459200000000004</v>
      </c>
      <c r="Y206" s="84">
        <f t="shared" si="175"/>
        <v>3.3388100000000005</v>
      </c>
      <c r="Z206" s="84">
        <f t="shared" si="175"/>
        <v>3.3317000000000005</v>
      </c>
      <c r="AA206" s="84">
        <f t="shared" si="175"/>
        <v>3.3245900000000006</v>
      </c>
      <c r="AB206" s="84">
        <f t="shared" si="175"/>
        <v>3.3174800000000007</v>
      </c>
      <c r="AC206" s="84">
        <f t="shared" si="175"/>
        <v>3.3103700000000007</v>
      </c>
    </row>
    <row r="207" spans="1:29" x14ac:dyDescent="0.25">
      <c r="A207" s="86" t="s">
        <v>26</v>
      </c>
      <c r="B207" s="54" t="s">
        <v>29</v>
      </c>
      <c r="C207" s="54"/>
      <c r="D207" s="60">
        <v>71.250000000000014</v>
      </c>
      <c r="E207" s="84">
        <f t="shared" si="164"/>
        <v>71.250000000000014</v>
      </c>
      <c r="F207" s="60">
        <v>71.250000000000014</v>
      </c>
      <c r="G207" s="84">
        <f t="shared" si="165"/>
        <v>71.250000000000014</v>
      </c>
      <c r="H207" s="60">
        <v>71.250000000000014</v>
      </c>
      <c r="I207" s="84">
        <f t="shared" si="166"/>
        <v>133.34249999999997</v>
      </c>
      <c r="J207" s="60">
        <v>195.43499999999995</v>
      </c>
      <c r="K207" s="84">
        <f t="shared" si="167"/>
        <v>191.65499999999997</v>
      </c>
      <c r="L207" s="60">
        <v>187.87500000000003</v>
      </c>
      <c r="M207" s="60">
        <v>191.3</v>
      </c>
      <c r="N207" s="60">
        <v>191.3</v>
      </c>
      <c r="O207" s="60">
        <v>19.940000000000001</v>
      </c>
      <c r="P207" s="60">
        <v>19.940000000000001</v>
      </c>
      <c r="Q207" s="85">
        <f t="shared" si="168"/>
        <v>19.94049</v>
      </c>
      <c r="R207" s="85">
        <f t="shared" si="168"/>
        <v>19.94098</v>
      </c>
      <c r="S207" s="85">
        <f t="shared" si="168"/>
        <v>19.941469999999999</v>
      </c>
      <c r="T207" s="84">
        <f t="shared" ref="T207:AC207" si="176">+S207-(0.711/100)</f>
        <v>19.934359999999998</v>
      </c>
      <c r="U207" s="84">
        <f t="shared" si="176"/>
        <v>19.927249999999997</v>
      </c>
      <c r="V207" s="84">
        <f t="shared" si="176"/>
        <v>19.920139999999996</v>
      </c>
      <c r="W207" s="84">
        <f t="shared" si="176"/>
        <v>19.913029999999996</v>
      </c>
      <c r="X207" s="84">
        <f t="shared" si="176"/>
        <v>19.905919999999995</v>
      </c>
      <c r="Y207" s="84">
        <f t="shared" si="176"/>
        <v>19.898809999999994</v>
      </c>
      <c r="Z207" s="84">
        <f t="shared" si="176"/>
        <v>19.891699999999993</v>
      </c>
      <c r="AA207" s="84">
        <f t="shared" si="176"/>
        <v>19.884589999999992</v>
      </c>
      <c r="AB207" s="84">
        <f t="shared" si="176"/>
        <v>19.877479999999991</v>
      </c>
      <c r="AC207" s="84">
        <f t="shared" si="176"/>
        <v>19.870369999999991</v>
      </c>
    </row>
    <row r="208" spans="1:29" x14ac:dyDescent="0.25">
      <c r="A208" s="86" t="s">
        <v>27</v>
      </c>
      <c r="B208" s="54" t="s">
        <v>29</v>
      </c>
      <c r="C208" s="54"/>
      <c r="D208" s="60">
        <v>1.6050000000000002</v>
      </c>
      <c r="E208" s="84">
        <f t="shared" si="164"/>
        <v>1.6050000000000002</v>
      </c>
      <c r="F208" s="60">
        <v>1.6050000000000002</v>
      </c>
      <c r="G208" s="84">
        <f t="shared" si="165"/>
        <v>1.6050000000000002</v>
      </c>
      <c r="H208" s="60">
        <v>1.6050000000000002</v>
      </c>
      <c r="I208" s="84">
        <f t="shared" si="166"/>
        <v>6.7424999999999997</v>
      </c>
      <c r="J208" s="60">
        <v>11.879999999999999</v>
      </c>
      <c r="K208" s="84">
        <f t="shared" si="167"/>
        <v>9.3149999999999995</v>
      </c>
      <c r="L208" s="60">
        <v>6.75</v>
      </c>
      <c r="M208" s="60">
        <v>8.5500000000000007</v>
      </c>
      <c r="N208" s="60">
        <v>8.5500000000000007</v>
      </c>
      <c r="O208" s="60">
        <v>9.6300000000000008</v>
      </c>
      <c r="P208" s="60">
        <v>9.6300000000000008</v>
      </c>
      <c r="Q208" s="85">
        <f t="shared" si="168"/>
        <v>9.63049</v>
      </c>
      <c r="R208" s="85">
        <f t="shared" si="168"/>
        <v>9.6309799999999992</v>
      </c>
      <c r="S208" s="85">
        <f t="shared" si="168"/>
        <v>9.6314699999999984</v>
      </c>
      <c r="T208" s="84">
        <f t="shared" ref="T208:AC208" si="177">+S208-(0.711/100)</f>
        <v>9.6243599999999976</v>
      </c>
      <c r="U208" s="84">
        <f t="shared" si="177"/>
        <v>9.6172499999999967</v>
      </c>
      <c r="V208" s="84">
        <f t="shared" si="177"/>
        <v>9.6101399999999959</v>
      </c>
      <c r="W208" s="84">
        <f t="shared" si="177"/>
        <v>9.6030299999999951</v>
      </c>
      <c r="X208" s="84">
        <f t="shared" si="177"/>
        <v>9.5959199999999942</v>
      </c>
      <c r="Y208" s="84">
        <f t="shared" si="177"/>
        <v>9.5888099999999934</v>
      </c>
      <c r="Z208" s="84">
        <f t="shared" si="177"/>
        <v>9.5816999999999926</v>
      </c>
      <c r="AA208" s="84">
        <f t="shared" si="177"/>
        <v>9.5745899999999917</v>
      </c>
      <c r="AB208" s="84">
        <f t="shared" si="177"/>
        <v>9.5674799999999909</v>
      </c>
      <c r="AC208" s="84">
        <f t="shared" si="177"/>
        <v>9.56036999999999</v>
      </c>
    </row>
    <row r="209" spans="1:29" x14ac:dyDescent="0.25">
      <c r="A209" s="86" t="s">
        <v>28</v>
      </c>
      <c r="B209" s="54" t="s">
        <v>29</v>
      </c>
      <c r="C209" s="54"/>
      <c r="D209" s="60">
        <v>34.950000000000003</v>
      </c>
      <c r="E209" s="84">
        <f t="shared" si="164"/>
        <v>34.950000000000003</v>
      </c>
      <c r="F209" s="60">
        <v>34.950000000000003</v>
      </c>
      <c r="G209" s="84">
        <f t="shared" si="165"/>
        <v>34.950000000000003</v>
      </c>
      <c r="H209" s="60">
        <v>34.950000000000003</v>
      </c>
      <c r="I209" s="84">
        <f t="shared" si="166"/>
        <v>105.4725</v>
      </c>
      <c r="J209" s="60">
        <v>175.995</v>
      </c>
      <c r="K209" s="84">
        <f t="shared" si="167"/>
        <v>180.22750000000002</v>
      </c>
      <c r="L209" s="60">
        <v>184.46</v>
      </c>
      <c r="M209" s="60">
        <v>7.38</v>
      </c>
      <c r="N209" s="60">
        <v>7.38</v>
      </c>
      <c r="O209" s="60">
        <v>10.35</v>
      </c>
      <c r="P209" s="60">
        <v>10.35</v>
      </c>
      <c r="Q209" s="85">
        <f t="shared" si="168"/>
        <v>10.350489999999999</v>
      </c>
      <c r="R209" s="85">
        <f t="shared" si="168"/>
        <v>10.350979999999998</v>
      </c>
      <c r="S209" s="85">
        <f t="shared" si="168"/>
        <v>10.351469999999997</v>
      </c>
      <c r="T209" s="84">
        <f t="shared" ref="T209:AC209" si="178">+S209-(0.711/100)</f>
        <v>10.344359999999996</v>
      </c>
      <c r="U209" s="84">
        <f t="shared" si="178"/>
        <v>10.337249999999996</v>
      </c>
      <c r="V209" s="84">
        <f t="shared" si="178"/>
        <v>10.330139999999995</v>
      </c>
      <c r="W209" s="84">
        <f t="shared" si="178"/>
        <v>10.323029999999994</v>
      </c>
      <c r="X209" s="84">
        <f t="shared" si="178"/>
        <v>10.315919999999993</v>
      </c>
      <c r="Y209" s="84">
        <f t="shared" si="178"/>
        <v>10.308809999999992</v>
      </c>
      <c r="Z209" s="84">
        <f t="shared" si="178"/>
        <v>10.301699999999991</v>
      </c>
      <c r="AA209" s="84">
        <f t="shared" si="178"/>
        <v>10.294589999999991</v>
      </c>
      <c r="AB209" s="84">
        <f t="shared" si="178"/>
        <v>10.28747999999999</v>
      </c>
      <c r="AC209" s="84">
        <f t="shared" si="178"/>
        <v>10.280369999999989</v>
      </c>
    </row>
    <row r="210" spans="1:29" x14ac:dyDescent="0.25">
      <c r="A210" s="56" t="s">
        <v>19</v>
      </c>
      <c r="B210" s="54" t="s">
        <v>29</v>
      </c>
      <c r="C210" s="54"/>
      <c r="D210" s="60">
        <v>3381.8250000000003</v>
      </c>
      <c r="E210" s="84">
        <f t="shared" si="164"/>
        <v>3381.8250000000003</v>
      </c>
      <c r="F210" s="60">
        <v>3381.8250000000003</v>
      </c>
      <c r="G210" s="84">
        <f t="shared" si="165"/>
        <v>3381.8250000000003</v>
      </c>
      <c r="H210" s="60">
        <v>3381.8250000000003</v>
      </c>
      <c r="I210" s="84">
        <f t="shared" si="166"/>
        <v>2758.6950000000002</v>
      </c>
      <c r="J210" s="60">
        <v>2135.5650000000001</v>
      </c>
      <c r="K210" s="84">
        <f t="shared" si="167"/>
        <v>3725.7825000000003</v>
      </c>
      <c r="L210" s="60">
        <v>5316</v>
      </c>
      <c r="M210" s="60">
        <v>196.43</v>
      </c>
      <c r="N210" s="60">
        <v>196.43</v>
      </c>
      <c r="O210" s="60">
        <v>2343.11</v>
      </c>
      <c r="P210" s="60">
        <v>2343.11</v>
      </c>
      <c r="Q210" s="85">
        <f t="shared" si="168"/>
        <v>2343.11049</v>
      </c>
      <c r="R210" s="85">
        <f t="shared" si="168"/>
        <v>2343.1109799999999</v>
      </c>
      <c r="S210" s="85">
        <f t="shared" si="168"/>
        <v>2343.1114699999998</v>
      </c>
      <c r="T210" s="84">
        <f t="shared" ref="T210:AC210" si="179">+S210-(0.711/100)</f>
        <v>2343.1043599999998</v>
      </c>
      <c r="U210" s="84">
        <f t="shared" si="179"/>
        <v>2343.0972499999998</v>
      </c>
      <c r="V210" s="84">
        <f t="shared" si="179"/>
        <v>2343.0901399999998</v>
      </c>
      <c r="W210" s="84">
        <f t="shared" si="179"/>
        <v>2343.0830299999998</v>
      </c>
      <c r="X210" s="84">
        <f t="shared" si="179"/>
        <v>2343.0759199999998</v>
      </c>
      <c r="Y210" s="84">
        <f t="shared" si="179"/>
        <v>2343.0688099999998</v>
      </c>
      <c r="Z210" s="84">
        <f t="shared" si="179"/>
        <v>2343.0616999999997</v>
      </c>
      <c r="AA210" s="84">
        <f t="shared" si="179"/>
        <v>2343.0545899999997</v>
      </c>
      <c r="AB210" s="84">
        <f t="shared" si="179"/>
        <v>2343.0474799999997</v>
      </c>
      <c r="AC210" s="84">
        <f t="shared" si="179"/>
        <v>2343.0403699999997</v>
      </c>
    </row>
    <row r="211" spans="1:29" x14ac:dyDescent="0.25">
      <c r="A211" s="56" t="s">
        <v>4</v>
      </c>
      <c r="B211" s="54" t="s">
        <v>29</v>
      </c>
      <c r="C211" s="54"/>
      <c r="D211" s="60">
        <v>1159.8499999999999</v>
      </c>
      <c r="E211" s="84">
        <f t="shared" si="164"/>
        <v>1159.8499999999999</v>
      </c>
      <c r="F211" s="60">
        <v>1159.8499999999999</v>
      </c>
      <c r="G211" s="84">
        <f t="shared" si="165"/>
        <v>1159.8499999999999</v>
      </c>
      <c r="H211" s="60">
        <v>1159.8499999999999</v>
      </c>
      <c r="I211" s="84">
        <f t="shared" si="166"/>
        <v>1791.19</v>
      </c>
      <c r="J211" s="60">
        <v>2422.5300000000002</v>
      </c>
      <c r="K211" s="84">
        <f t="shared" si="167"/>
        <v>1698.5050000000001</v>
      </c>
      <c r="L211" s="60">
        <v>974.48</v>
      </c>
      <c r="M211" s="60">
        <v>464.04</v>
      </c>
      <c r="N211" s="60">
        <v>464.04</v>
      </c>
      <c r="O211" s="60">
        <v>465.71</v>
      </c>
      <c r="P211" s="60">
        <v>465.71</v>
      </c>
      <c r="Q211" s="85">
        <f t="shared" si="168"/>
        <v>465.71048999999999</v>
      </c>
      <c r="R211" s="85">
        <f t="shared" si="168"/>
        <v>465.71098000000001</v>
      </c>
      <c r="S211" s="85">
        <f t="shared" si="168"/>
        <v>465.71147000000002</v>
      </c>
      <c r="T211" s="84">
        <f t="shared" ref="T211:AC211" si="180">+S211-(0.711/100)</f>
        <v>465.70436000000001</v>
      </c>
      <c r="U211" s="84">
        <f t="shared" si="180"/>
        <v>465.69725</v>
      </c>
      <c r="V211" s="84">
        <f t="shared" si="180"/>
        <v>465.69013999999999</v>
      </c>
      <c r="W211" s="84">
        <f t="shared" si="180"/>
        <v>465.68302999999997</v>
      </c>
      <c r="X211" s="84">
        <f t="shared" si="180"/>
        <v>465.67591999999996</v>
      </c>
      <c r="Y211" s="84">
        <f t="shared" si="180"/>
        <v>465.66880999999995</v>
      </c>
      <c r="Z211" s="84">
        <f t="shared" si="180"/>
        <v>465.66169999999994</v>
      </c>
      <c r="AA211" s="84">
        <f t="shared" si="180"/>
        <v>465.65458999999993</v>
      </c>
      <c r="AB211" s="84">
        <f t="shared" si="180"/>
        <v>465.64747999999992</v>
      </c>
      <c r="AC211" s="84">
        <f t="shared" si="180"/>
        <v>465.6403699999999</v>
      </c>
    </row>
    <row r="212" spans="1:29" x14ac:dyDescent="0.25">
      <c r="A212" s="56" t="s">
        <v>5</v>
      </c>
      <c r="B212" s="54" t="s">
        <v>29</v>
      </c>
      <c r="C212" s="54"/>
      <c r="D212" s="60">
        <v>1795.99</v>
      </c>
      <c r="E212" s="84">
        <f t="shared" si="164"/>
        <v>1795.99</v>
      </c>
      <c r="F212" s="60">
        <v>1795.99</v>
      </c>
      <c r="G212" s="84">
        <f t="shared" si="165"/>
        <v>1795.99</v>
      </c>
      <c r="H212" s="60">
        <v>1795.99</v>
      </c>
      <c r="I212" s="84">
        <f t="shared" si="166"/>
        <v>1414.6399999999999</v>
      </c>
      <c r="J212" s="60">
        <v>1033.29</v>
      </c>
      <c r="K212" s="84">
        <f t="shared" si="167"/>
        <v>2623.5</v>
      </c>
      <c r="L212" s="60">
        <v>4213.71</v>
      </c>
      <c r="M212" s="60">
        <v>26.96</v>
      </c>
      <c r="N212" s="60">
        <v>26.96</v>
      </c>
      <c r="O212" s="60">
        <v>341.55</v>
      </c>
      <c r="P212" s="60">
        <v>341.55</v>
      </c>
      <c r="Q212" s="85">
        <f t="shared" si="168"/>
        <v>341.55049000000002</v>
      </c>
      <c r="R212" s="85">
        <f t="shared" si="168"/>
        <v>341.55098000000004</v>
      </c>
      <c r="S212" s="85">
        <f t="shared" si="168"/>
        <v>341.55147000000005</v>
      </c>
      <c r="T212" s="84">
        <f t="shared" ref="T212:AC212" si="181">+S212-(0.711/100)</f>
        <v>341.54436000000004</v>
      </c>
      <c r="U212" s="84">
        <f t="shared" si="181"/>
        <v>341.53725000000003</v>
      </c>
      <c r="V212" s="84">
        <f t="shared" si="181"/>
        <v>341.53014000000002</v>
      </c>
      <c r="W212" s="84">
        <f t="shared" si="181"/>
        <v>341.52303000000001</v>
      </c>
      <c r="X212" s="84">
        <f t="shared" si="181"/>
        <v>341.51591999999999</v>
      </c>
      <c r="Y212" s="84">
        <f t="shared" si="181"/>
        <v>341.50880999999998</v>
      </c>
      <c r="Z212" s="84">
        <f t="shared" si="181"/>
        <v>341.50169999999997</v>
      </c>
      <c r="AA212" s="84">
        <f t="shared" si="181"/>
        <v>341.49458999999996</v>
      </c>
      <c r="AB212" s="84">
        <f t="shared" si="181"/>
        <v>341.48747999999995</v>
      </c>
      <c r="AC212" s="84">
        <f t="shared" si="181"/>
        <v>341.48036999999994</v>
      </c>
    </row>
    <row r="213" spans="1:29" x14ac:dyDescent="0.25">
      <c r="A213" s="56" t="s">
        <v>6</v>
      </c>
      <c r="B213" s="54" t="s">
        <v>29</v>
      </c>
      <c r="C213" s="54"/>
      <c r="D213" s="60">
        <v>0</v>
      </c>
      <c r="E213" s="84">
        <f t="shared" si="164"/>
        <v>0</v>
      </c>
      <c r="F213" s="60">
        <v>0</v>
      </c>
      <c r="G213" s="84">
        <f t="shared" si="165"/>
        <v>0</v>
      </c>
      <c r="H213" s="60">
        <v>0</v>
      </c>
      <c r="I213" s="84">
        <f t="shared" si="166"/>
        <v>0</v>
      </c>
      <c r="J213" s="60">
        <v>0</v>
      </c>
      <c r="K213" s="84">
        <f t="shared" si="167"/>
        <v>0</v>
      </c>
      <c r="L213" s="60">
        <v>0</v>
      </c>
      <c r="M213" s="60">
        <v>0</v>
      </c>
      <c r="N213" s="60">
        <v>0</v>
      </c>
      <c r="O213" s="60">
        <v>0</v>
      </c>
      <c r="P213" s="60">
        <v>0</v>
      </c>
      <c r="Q213" s="85">
        <f t="shared" si="168"/>
        <v>4.8999999999999998E-4</v>
      </c>
      <c r="R213" s="85">
        <f t="shared" si="168"/>
        <v>9.7999999999999997E-4</v>
      </c>
      <c r="S213" s="85">
        <f t="shared" si="168"/>
        <v>1.47E-3</v>
      </c>
      <c r="T213" s="84">
        <f t="shared" ref="T213:AC213" si="182">+S213-(0.711/100)</f>
        <v>-5.64E-3</v>
      </c>
      <c r="U213" s="84">
        <f t="shared" si="182"/>
        <v>-1.2750000000000001E-2</v>
      </c>
      <c r="V213" s="84">
        <f t="shared" si="182"/>
        <v>-1.9860000000000003E-2</v>
      </c>
      <c r="W213" s="84">
        <f t="shared" si="182"/>
        <v>-2.6970000000000001E-2</v>
      </c>
      <c r="X213" s="84">
        <f t="shared" si="182"/>
        <v>-3.4079999999999999E-2</v>
      </c>
      <c r="Y213" s="84">
        <f t="shared" si="182"/>
        <v>-4.1189999999999997E-2</v>
      </c>
      <c r="Z213" s="84">
        <f t="shared" si="182"/>
        <v>-4.8299999999999996E-2</v>
      </c>
      <c r="AA213" s="84">
        <f t="shared" si="182"/>
        <v>-5.5409999999999994E-2</v>
      </c>
      <c r="AB213" s="84">
        <f t="shared" si="182"/>
        <v>-6.2519999999999992E-2</v>
      </c>
      <c r="AC213" s="84">
        <f t="shared" si="182"/>
        <v>-6.9629999999999997E-2</v>
      </c>
    </row>
    <row r="214" spans="1:29" x14ac:dyDescent="0.25">
      <c r="A214" s="214"/>
      <c r="B214" s="215"/>
      <c r="C214" s="215"/>
      <c r="D214" s="115"/>
      <c r="E214" s="216"/>
      <c r="F214" s="115"/>
      <c r="G214" s="216"/>
      <c r="H214" s="115"/>
      <c r="I214" s="216"/>
      <c r="J214" s="115"/>
      <c r="K214" s="216"/>
      <c r="L214" s="115"/>
      <c r="M214" s="115"/>
      <c r="N214" s="115"/>
      <c r="O214" s="115"/>
      <c r="P214" s="115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</row>
    <row r="216" spans="1:29" x14ac:dyDescent="0.25">
      <c r="A216" s="1" t="s">
        <v>105</v>
      </c>
      <c r="B216" s="65" t="s">
        <v>106</v>
      </c>
      <c r="C216" s="65"/>
      <c r="D216" s="1">
        <v>2010</v>
      </c>
      <c r="E216" s="1">
        <v>2011</v>
      </c>
      <c r="F216" s="1">
        <v>2012</v>
      </c>
      <c r="G216" s="1">
        <v>2013</v>
      </c>
      <c r="H216" s="1">
        <v>2014</v>
      </c>
      <c r="I216" s="1">
        <v>2015</v>
      </c>
      <c r="J216" s="1">
        <v>2016</v>
      </c>
      <c r="K216" s="1">
        <v>2017</v>
      </c>
      <c r="L216" s="1">
        <v>2018</v>
      </c>
      <c r="M216" s="1">
        <v>2019</v>
      </c>
      <c r="N216" s="1">
        <v>2020</v>
      </c>
      <c r="O216" s="1">
        <v>2021</v>
      </c>
      <c r="P216" s="1">
        <v>2022</v>
      </c>
      <c r="Q216" s="1">
        <v>2023</v>
      </c>
      <c r="R216" s="1">
        <v>2024</v>
      </c>
      <c r="S216" s="1">
        <v>2025</v>
      </c>
      <c r="T216" s="1">
        <v>2026</v>
      </c>
      <c r="U216" s="1">
        <v>2027</v>
      </c>
      <c r="V216" s="1">
        <v>2028</v>
      </c>
      <c r="W216" s="1">
        <v>2029</v>
      </c>
      <c r="X216" s="1">
        <v>2030</v>
      </c>
      <c r="Y216" s="1">
        <v>2031</v>
      </c>
      <c r="Z216" s="1">
        <v>2032</v>
      </c>
      <c r="AA216" s="1">
        <v>2033</v>
      </c>
      <c r="AB216" s="1">
        <v>2034</v>
      </c>
      <c r="AC216" s="1">
        <v>2035</v>
      </c>
    </row>
    <row r="217" spans="1:29" x14ac:dyDescent="0.25">
      <c r="A217" s="54" t="s">
        <v>19</v>
      </c>
      <c r="B217" s="86" t="s">
        <v>18</v>
      </c>
      <c r="C217" s="86"/>
      <c r="D217" s="84">
        <f t="shared" ref="D217:P217" si="183">+D96</f>
        <v>35.450349455211686</v>
      </c>
      <c r="E217" s="84">
        <f t="shared" si="183"/>
        <v>35.450349455211686</v>
      </c>
      <c r="F217" s="84">
        <f t="shared" si="183"/>
        <v>35.450349455211686</v>
      </c>
      <c r="G217" s="84">
        <f t="shared" si="183"/>
        <v>35.450349455211686</v>
      </c>
      <c r="H217" s="84">
        <f t="shared" si="183"/>
        <v>35.450349455211686</v>
      </c>
      <c r="I217" s="84">
        <f t="shared" si="183"/>
        <v>27.971301260442953</v>
      </c>
      <c r="J217" s="84">
        <f t="shared" si="183"/>
        <v>20.492253065674223</v>
      </c>
      <c r="K217" s="84">
        <f t="shared" si="183"/>
        <v>26.145300649667249</v>
      </c>
      <c r="L217" s="84">
        <f t="shared" si="183"/>
        <v>31.798348233660274</v>
      </c>
      <c r="M217" s="84">
        <f t="shared" si="183"/>
        <v>5.2465438706970549</v>
      </c>
      <c r="N217" s="84">
        <f t="shared" si="183"/>
        <v>5.2465438706970549</v>
      </c>
      <c r="O217" s="84">
        <f t="shared" si="183"/>
        <v>5.8147838288109819</v>
      </c>
      <c r="P217" s="84">
        <f t="shared" si="183"/>
        <v>5.8147838288109819</v>
      </c>
      <c r="Q217" s="84">
        <f t="shared" ref="Q217:S225" si="184">+P217-(0.049/100)</f>
        <v>5.8142938288109818</v>
      </c>
      <c r="R217" s="84">
        <f t="shared" si="184"/>
        <v>5.8138038288109817</v>
      </c>
      <c r="S217" s="84">
        <f t="shared" si="184"/>
        <v>5.8133138288109816</v>
      </c>
      <c r="T217" s="84">
        <f t="shared" ref="T217:AC217" si="185">+S217+(0.711/100)</f>
        <v>5.8204238288109815</v>
      </c>
      <c r="U217" s="84">
        <f t="shared" si="185"/>
        <v>5.8275338288109815</v>
      </c>
      <c r="V217" s="84">
        <f t="shared" si="185"/>
        <v>5.8346438288109814</v>
      </c>
      <c r="W217" s="84">
        <f t="shared" si="185"/>
        <v>5.8417538288109814</v>
      </c>
      <c r="X217" s="84">
        <f t="shared" si="185"/>
        <v>5.8488638288109813</v>
      </c>
      <c r="Y217" s="84">
        <f t="shared" si="185"/>
        <v>5.8559738288109813</v>
      </c>
      <c r="Z217" s="84">
        <f t="shared" si="185"/>
        <v>5.8630838288109812</v>
      </c>
      <c r="AA217" s="84">
        <f t="shared" si="185"/>
        <v>5.8701938288109812</v>
      </c>
      <c r="AB217" s="84">
        <f t="shared" si="185"/>
        <v>5.8773038288109811</v>
      </c>
      <c r="AC217" s="84">
        <f t="shared" si="185"/>
        <v>5.8844138288109811</v>
      </c>
    </row>
    <row r="218" spans="1:29" x14ac:dyDescent="0.25">
      <c r="A218" s="54" t="s">
        <v>19</v>
      </c>
      <c r="B218" s="86" t="s">
        <v>20</v>
      </c>
      <c r="C218" s="86"/>
      <c r="D218" s="84">
        <f t="shared" ref="D218:P218" si="186">+D97</f>
        <v>346.1792516375865</v>
      </c>
      <c r="E218" s="84">
        <f t="shared" si="186"/>
        <v>346.1792516375865</v>
      </c>
      <c r="F218" s="84">
        <f t="shared" si="186"/>
        <v>346.1792516375865</v>
      </c>
      <c r="G218" s="84">
        <f t="shared" si="186"/>
        <v>346.1792516375865</v>
      </c>
      <c r="H218" s="84">
        <f t="shared" si="186"/>
        <v>346.1792516375865</v>
      </c>
      <c r="I218" s="84">
        <f t="shared" si="186"/>
        <v>273.14495587422419</v>
      </c>
      <c r="J218" s="84">
        <f t="shared" si="186"/>
        <v>200.11066011086183</v>
      </c>
      <c r="K218" s="84">
        <f t="shared" si="186"/>
        <v>255.31372050863939</v>
      </c>
      <c r="L218" s="84">
        <f t="shared" si="186"/>
        <v>310.51678090641695</v>
      </c>
      <c r="M218" s="84">
        <f t="shared" si="186"/>
        <v>51.23347608001253</v>
      </c>
      <c r="N218" s="84">
        <f t="shared" si="186"/>
        <v>51.23347608001253</v>
      </c>
      <c r="O218" s="84">
        <f t="shared" si="186"/>
        <v>56.78244489057338</v>
      </c>
      <c r="P218" s="84">
        <f t="shared" si="186"/>
        <v>56.78244489057338</v>
      </c>
      <c r="Q218" s="84">
        <f t="shared" si="184"/>
        <v>56.781954890573381</v>
      </c>
      <c r="R218" s="84">
        <f t="shared" si="184"/>
        <v>56.781464890573382</v>
      </c>
      <c r="S218" s="84">
        <f t="shared" si="184"/>
        <v>56.780974890573383</v>
      </c>
      <c r="T218" s="84">
        <f t="shared" ref="T218:AC218" si="187">+S218+(0.711/100)</f>
        <v>56.78808489057338</v>
      </c>
      <c r="U218" s="84">
        <f t="shared" si="187"/>
        <v>56.795194890573377</v>
      </c>
      <c r="V218" s="84">
        <f t="shared" si="187"/>
        <v>56.802304890573375</v>
      </c>
      <c r="W218" s="84">
        <f t="shared" si="187"/>
        <v>56.809414890573372</v>
      </c>
      <c r="X218" s="84">
        <f t="shared" si="187"/>
        <v>56.816524890573369</v>
      </c>
      <c r="Y218" s="84">
        <f t="shared" si="187"/>
        <v>56.823634890573366</v>
      </c>
      <c r="Z218" s="84">
        <f t="shared" si="187"/>
        <v>56.830744890573364</v>
      </c>
      <c r="AA218" s="84">
        <f t="shared" si="187"/>
        <v>56.837854890573361</v>
      </c>
      <c r="AB218" s="84">
        <f t="shared" si="187"/>
        <v>56.844964890573358</v>
      </c>
      <c r="AC218" s="84">
        <f t="shared" si="187"/>
        <v>56.852074890573356</v>
      </c>
    </row>
    <row r="219" spans="1:29" x14ac:dyDescent="0.25">
      <c r="A219" s="54" t="s">
        <v>19</v>
      </c>
      <c r="B219" s="86" t="s">
        <v>21</v>
      </c>
      <c r="C219" s="86"/>
      <c r="D219" s="84">
        <f t="shared" ref="D219:P219" si="188">+D98</f>
        <v>3310.1998640493071</v>
      </c>
      <c r="E219" s="84">
        <f t="shared" si="188"/>
        <v>3310.1998640493071</v>
      </c>
      <c r="F219" s="84">
        <f t="shared" si="188"/>
        <v>3310.1998640493071</v>
      </c>
      <c r="G219" s="84">
        <f t="shared" si="188"/>
        <v>3310.1998640493071</v>
      </c>
      <c r="H219" s="84">
        <f t="shared" si="188"/>
        <v>3310.1998640493071</v>
      </c>
      <c r="I219" s="84">
        <f t="shared" si="188"/>
        <v>2611.8387844548711</v>
      </c>
      <c r="J219" s="84">
        <f t="shared" si="188"/>
        <v>1913.4777048604346</v>
      </c>
      <c r="K219" s="84">
        <f t="shared" si="188"/>
        <v>2441.3347678109649</v>
      </c>
      <c r="L219" s="84">
        <f t="shared" si="188"/>
        <v>2969.1918307614956</v>
      </c>
      <c r="M219" s="84">
        <f t="shared" si="188"/>
        <v>489.89950943789398</v>
      </c>
      <c r="N219" s="84">
        <f t="shared" si="188"/>
        <v>489.89950943789398</v>
      </c>
      <c r="O219" s="84">
        <f t="shared" si="188"/>
        <v>542.95929195068879</v>
      </c>
      <c r="P219" s="84">
        <f t="shared" si="188"/>
        <v>542.95929195068879</v>
      </c>
      <c r="Q219" s="84">
        <f t="shared" si="184"/>
        <v>542.95880195068878</v>
      </c>
      <c r="R219" s="84">
        <f t="shared" si="184"/>
        <v>542.95831195068877</v>
      </c>
      <c r="S219" s="84">
        <f t="shared" si="184"/>
        <v>542.95782195068875</v>
      </c>
      <c r="T219" s="84">
        <f t="shared" ref="T219:AC219" si="189">+S219+(0.711/100)</f>
        <v>542.96493195068877</v>
      </c>
      <c r="U219" s="84">
        <f t="shared" si="189"/>
        <v>542.97204195068878</v>
      </c>
      <c r="V219" s="84">
        <f t="shared" si="189"/>
        <v>542.97915195068879</v>
      </c>
      <c r="W219" s="84">
        <f t="shared" si="189"/>
        <v>542.9862619506888</v>
      </c>
      <c r="X219" s="84">
        <f t="shared" si="189"/>
        <v>542.99337195068881</v>
      </c>
      <c r="Y219" s="84">
        <f t="shared" si="189"/>
        <v>543.00048195068882</v>
      </c>
      <c r="Z219" s="84">
        <f t="shared" si="189"/>
        <v>543.00759195068883</v>
      </c>
      <c r="AA219" s="84">
        <f t="shared" si="189"/>
        <v>543.01470195068885</v>
      </c>
      <c r="AB219" s="84">
        <f t="shared" si="189"/>
        <v>543.02181195068886</v>
      </c>
      <c r="AC219" s="84">
        <f t="shared" si="189"/>
        <v>543.02892195068887</v>
      </c>
    </row>
    <row r="220" spans="1:29" x14ac:dyDescent="0.25">
      <c r="A220" s="54" t="s">
        <v>19</v>
      </c>
      <c r="B220" s="86" t="s">
        <v>22</v>
      </c>
      <c r="C220" s="86"/>
      <c r="D220" s="84">
        <f t="shared" ref="D220:P220" si="190">+D99</f>
        <v>1345.5748980235817</v>
      </c>
      <c r="E220" s="84">
        <f t="shared" si="190"/>
        <v>1345.5748980235817</v>
      </c>
      <c r="F220" s="84">
        <f t="shared" si="190"/>
        <v>1345.5748980235817</v>
      </c>
      <c r="G220" s="84">
        <f t="shared" si="190"/>
        <v>1345.5748980235817</v>
      </c>
      <c r="H220" s="84">
        <f t="shared" si="190"/>
        <v>1345.5748980235817</v>
      </c>
      <c r="I220" s="84">
        <f t="shared" si="190"/>
        <v>1061.6956227373435</v>
      </c>
      <c r="J220" s="84">
        <f t="shared" si="190"/>
        <v>777.81634745110512</v>
      </c>
      <c r="K220" s="84">
        <f t="shared" si="190"/>
        <v>992.3868395125196</v>
      </c>
      <c r="L220" s="84">
        <f t="shared" si="190"/>
        <v>1206.9573315739342</v>
      </c>
      <c r="M220" s="84">
        <f t="shared" si="190"/>
        <v>199.14099133800156</v>
      </c>
      <c r="N220" s="84">
        <f t="shared" si="190"/>
        <v>199.14099133800156</v>
      </c>
      <c r="O220" s="84">
        <f t="shared" si="190"/>
        <v>220.70945075920093</v>
      </c>
      <c r="P220" s="84">
        <f t="shared" si="190"/>
        <v>220.70945075920093</v>
      </c>
      <c r="Q220" s="84">
        <f t="shared" si="184"/>
        <v>220.70896075920092</v>
      </c>
      <c r="R220" s="84">
        <f t="shared" si="184"/>
        <v>220.70847075920091</v>
      </c>
      <c r="S220" s="84">
        <f t="shared" si="184"/>
        <v>220.70798075920089</v>
      </c>
      <c r="T220" s="84">
        <f t="shared" ref="T220:AC220" si="191">+S220+(0.711/100)</f>
        <v>220.7150907592009</v>
      </c>
      <c r="U220" s="84">
        <f t="shared" si="191"/>
        <v>220.72220075920092</v>
      </c>
      <c r="V220" s="84">
        <f t="shared" si="191"/>
        <v>220.72931075920093</v>
      </c>
      <c r="W220" s="84">
        <f t="shared" si="191"/>
        <v>220.73642075920094</v>
      </c>
      <c r="X220" s="84">
        <f t="shared" si="191"/>
        <v>220.74353075920095</v>
      </c>
      <c r="Y220" s="84">
        <f t="shared" si="191"/>
        <v>220.75064075920096</v>
      </c>
      <c r="Z220" s="84">
        <f t="shared" si="191"/>
        <v>220.75775075920097</v>
      </c>
      <c r="AA220" s="84">
        <f t="shared" si="191"/>
        <v>220.76486075920099</v>
      </c>
      <c r="AB220" s="84">
        <f t="shared" si="191"/>
        <v>220.771970759201</v>
      </c>
      <c r="AC220" s="84">
        <f t="shared" si="191"/>
        <v>220.77908075920101</v>
      </c>
    </row>
    <row r="221" spans="1:29" x14ac:dyDescent="0.25">
      <c r="A221" s="54" t="s">
        <v>19</v>
      </c>
      <c r="B221" s="86" t="s">
        <v>23</v>
      </c>
      <c r="C221" s="86"/>
      <c r="D221" s="84">
        <f t="shared" ref="D221:P221" si="192">+D100</f>
        <v>926.66258971003924</v>
      </c>
      <c r="E221" s="84">
        <f t="shared" si="192"/>
        <v>926.66258971003924</v>
      </c>
      <c r="F221" s="84">
        <f t="shared" si="192"/>
        <v>926.66258971003924</v>
      </c>
      <c r="G221" s="84">
        <f t="shared" si="192"/>
        <v>926.66258971003924</v>
      </c>
      <c r="H221" s="84">
        <f t="shared" si="192"/>
        <v>926.66258971003924</v>
      </c>
      <c r="I221" s="84">
        <f t="shared" si="192"/>
        <v>731.16228364149924</v>
      </c>
      <c r="J221" s="84">
        <f t="shared" si="192"/>
        <v>535.66197757295924</v>
      </c>
      <c r="K221" s="84">
        <f t="shared" si="192"/>
        <v>683.43111932868112</v>
      </c>
      <c r="L221" s="84">
        <f t="shared" si="192"/>
        <v>831.20026108440311</v>
      </c>
      <c r="M221" s="84">
        <f t="shared" si="192"/>
        <v>137.14324414177867</v>
      </c>
      <c r="N221" s="84">
        <f t="shared" si="192"/>
        <v>137.14324414177867</v>
      </c>
      <c r="O221" s="84">
        <f t="shared" si="192"/>
        <v>151.99688364758509</v>
      </c>
      <c r="P221" s="84">
        <f t="shared" si="192"/>
        <v>151.99688364758509</v>
      </c>
      <c r="Q221" s="84">
        <f t="shared" si="184"/>
        <v>151.99639364758508</v>
      </c>
      <c r="R221" s="84">
        <f t="shared" si="184"/>
        <v>151.99590364758507</v>
      </c>
      <c r="S221" s="84">
        <f t="shared" si="184"/>
        <v>151.99541364758505</v>
      </c>
      <c r="T221" s="84">
        <f t="shared" ref="T221:AC221" si="193">+S221+(0.711/100)</f>
        <v>152.00252364758506</v>
      </c>
      <c r="U221" s="84">
        <f t="shared" si="193"/>
        <v>152.00963364758508</v>
      </c>
      <c r="V221" s="84">
        <f t="shared" si="193"/>
        <v>152.01674364758509</v>
      </c>
      <c r="W221" s="84">
        <f t="shared" si="193"/>
        <v>152.0238536475851</v>
      </c>
      <c r="X221" s="84">
        <f t="shared" si="193"/>
        <v>152.03096364758511</v>
      </c>
      <c r="Y221" s="84">
        <f t="shared" si="193"/>
        <v>152.03807364758512</v>
      </c>
      <c r="Z221" s="84">
        <f t="shared" si="193"/>
        <v>152.04518364758513</v>
      </c>
      <c r="AA221" s="84">
        <f t="shared" si="193"/>
        <v>152.05229364758515</v>
      </c>
      <c r="AB221" s="84">
        <f t="shared" si="193"/>
        <v>152.05940364758516</v>
      </c>
      <c r="AC221" s="84">
        <f t="shared" si="193"/>
        <v>152.06651364758517</v>
      </c>
    </row>
    <row r="222" spans="1:29" x14ac:dyDescent="0.25">
      <c r="A222" s="54" t="s">
        <v>19</v>
      </c>
      <c r="B222" s="86" t="s">
        <v>24</v>
      </c>
      <c r="C222" s="86"/>
      <c r="D222" s="84">
        <f t="shared" ref="D222:P222" si="194">+D101</f>
        <v>6780.8508624532096</v>
      </c>
      <c r="E222" s="84">
        <f t="shared" si="194"/>
        <v>6780.8508624532096</v>
      </c>
      <c r="F222" s="84">
        <f t="shared" si="194"/>
        <v>6780.8508624532096</v>
      </c>
      <c r="G222" s="84">
        <f t="shared" si="194"/>
        <v>6780.8508624532096</v>
      </c>
      <c r="H222" s="84">
        <f t="shared" si="194"/>
        <v>6780.8508624532096</v>
      </c>
      <c r="I222" s="84">
        <f t="shared" si="194"/>
        <v>5350.277929289332</v>
      </c>
      <c r="J222" s="84">
        <f t="shared" si="194"/>
        <v>3919.7049961254538</v>
      </c>
      <c r="K222" s="84">
        <f t="shared" si="194"/>
        <v>5001.0052702972998</v>
      </c>
      <c r="L222" s="84">
        <f t="shared" si="194"/>
        <v>6082.3055444691454</v>
      </c>
      <c r="M222" s="84">
        <f t="shared" si="194"/>
        <v>1003.5452986284897</v>
      </c>
      <c r="N222" s="84">
        <f t="shared" si="194"/>
        <v>1003.5452986284897</v>
      </c>
      <c r="O222" s="84">
        <f t="shared" si="194"/>
        <v>1112.2367634312643</v>
      </c>
      <c r="P222" s="84">
        <f t="shared" si="194"/>
        <v>1112.2367634312643</v>
      </c>
      <c r="Q222" s="84">
        <f t="shared" si="184"/>
        <v>1112.2362734312644</v>
      </c>
      <c r="R222" s="84">
        <f t="shared" si="184"/>
        <v>1112.2357834312645</v>
      </c>
      <c r="S222" s="84">
        <f t="shared" si="184"/>
        <v>1112.2352934312646</v>
      </c>
      <c r="T222" s="84">
        <f t="shared" ref="T222:AC222" si="195">+S222+(0.711/100)</f>
        <v>1112.2424034312646</v>
      </c>
      <c r="U222" s="84">
        <f t="shared" si="195"/>
        <v>1112.2495134312646</v>
      </c>
      <c r="V222" s="84">
        <f t="shared" si="195"/>
        <v>1112.2566234312646</v>
      </c>
      <c r="W222" s="84">
        <f t="shared" si="195"/>
        <v>1112.2637334312647</v>
      </c>
      <c r="X222" s="84">
        <f t="shared" si="195"/>
        <v>1112.2708434312647</v>
      </c>
      <c r="Y222" s="84">
        <f t="shared" si="195"/>
        <v>1112.2779534312647</v>
      </c>
      <c r="Z222" s="84">
        <f t="shared" si="195"/>
        <v>1112.2850634312647</v>
      </c>
      <c r="AA222" s="84">
        <f t="shared" si="195"/>
        <v>1112.2921734312647</v>
      </c>
      <c r="AB222" s="84">
        <f t="shared" si="195"/>
        <v>1112.2992834312647</v>
      </c>
      <c r="AC222" s="84">
        <f t="shared" si="195"/>
        <v>1112.3063934312647</v>
      </c>
    </row>
    <row r="223" spans="1:29" x14ac:dyDescent="0.25">
      <c r="A223" s="54" t="s">
        <v>19</v>
      </c>
      <c r="B223" s="86" t="s">
        <v>25</v>
      </c>
      <c r="C223" s="86"/>
      <c r="D223" s="84">
        <f t="shared" ref="D223:P223" si="196">+D102</f>
        <v>751.26524843634377</v>
      </c>
      <c r="E223" s="84">
        <f t="shared" si="196"/>
        <v>751.26524843634377</v>
      </c>
      <c r="F223" s="84">
        <f t="shared" si="196"/>
        <v>751.26524843634377</v>
      </c>
      <c r="G223" s="84">
        <f t="shared" si="196"/>
        <v>751.26524843634377</v>
      </c>
      <c r="H223" s="84">
        <f t="shared" si="196"/>
        <v>751.26524843634377</v>
      </c>
      <c r="I223" s="84">
        <f t="shared" si="196"/>
        <v>592.76895470561192</v>
      </c>
      <c r="J223" s="84">
        <f t="shared" si="196"/>
        <v>434.27266097488018</v>
      </c>
      <c r="K223" s="84">
        <f t="shared" si="196"/>
        <v>554.07227544628665</v>
      </c>
      <c r="L223" s="84">
        <f t="shared" si="196"/>
        <v>673.87188991769301</v>
      </c>
      <c r="M223" s="84">
        <f t="shared" si="196"/>
        <v>111.18497123508436</v>
      </c>
      <c r="N223" s="84">
        <f t="shared" si="196"/>
        <v>111.18497123508436</v>
      </c>
      <c r="O223" s="84">
        <f t="shared" si="196"/>
        <v>123.227135554036</v>
      </c>
      <c r="P223" s="84">
        <f t="shared" si="196"/>
        <v>123.227135554036</v>
      </c>
      <c r="Q223" s="84">
        <f t="shared" si="184"/>
        <v>123.226645554036</v>
      </c>
      <c r="R223" s="84">
        <f t="shared" si="184"/>
        <v>123.226155554036</v>
      </c>
      <c r="S223" s="84">
        <f t="shared" si="184"/>
        <v>123.225665554036</v>
      </c>
      <c r="T223" s="84">
        <f t="shared" ref="T223:AC223" si="197">+S223+(0.711/100)</f>
        <v>123.232775554036</v>
      </c>
      <c r="U223" s="84">
        <f t="shared" si="197"/>
        <v>123.23988555403599</v>
      </c>
      <c r="V223" s="84">
        <f t="shared" si="197"/>
        <v>123.24699555403599</v>
      </c>
      <c r="W223" s="84">
        <f t="shared" si="197"/>
        <v>123.25410555403599</v>
      </c>
      <c r="X223" s="84">
        <f t="shared" si="197"/>
        <v>123.26121555403599</v>
      </c>
      <c r="Y223" s="84">
        <f t="shared" si="197"/>
        <v>123.26832555403598</v>
      </c>
      <c r="Z223" s="84">
        <f t="shared" si="197"/>
        <v>123.27543555403598</v>
      </c>
      <c r="AA223" s="84">
        <f t="shared" si="197"/>
        <v>123.28254555403598</v>
      </c>
      <c r="AB223" s="84">
        <f t="shared" si="197"/>
        <v>123.28965555403597</v>
      </c>
      <c r="AC223" s="84">
        <f t="shared" si="197"/>
        <v>123.29676555403597</v>
      </c>
    </row>
    <row r="224" spans="1:29" x14ac:dyDescent="0.25">
      <c r="A224" s="54" t="s">
        <v>19</v>
      </c>
      <c r="B224" s="86" t="s">
        <v>26</v>
      </c>
      <c r="C224" s="86"/>
      <c r="D224" s="84">
        <f t="shared" ref="D224:P224" si="198">+D103</f>
        <v>186.57832370711517</v>
      </c>
      <c r="E224" s="84">
        <f t="shared" si="198"/>
        <v>186.57832370711517</v>
      </c>
      <c r="F224" s="84">
        <f t="shared" si="198"/>
        <v>186.57832370711517</v>
      </c>
      <c r="G224" s="84">
        <f t="shared" si="198"/>
        <v>186.57832370711517</v>
      </c>
      <c r="H224" s="84">
        <f t="shared" si="198"/>
        <v>186.57832370711517</v>
      </c>
      <c r="I224" s="84">
        <f t="shared" si="198"/>
        <v>147.21543175966983</v>
      </c>
      <c r="J224" s="84">
        <f t="shared" si="198"/>
        <v>107.85253981222448</v>
      </c>
      <c r="K224" s="84">
        <f t="shared" si="198"/>
        <v>137.60502908995471</v>
      </c>
      <c r="L224" s="84">
        <f t="shared" si="198"/>
        <v>167.35751836768497</v>
      </c>
      <c r="M224" s="84">
        <f t="shared" si="198"/>
        <v>27.613024291544345</v>
      </c>
      <c r="N224" s="84">
        <f t="shared" si="198"/>
        <v>27.613024291544345</v>
      </c>
      <c r="O224" s="84">
        <f t="shared" si="198"/>
        <v>30.603721434946163</v>
      </c>
      <c r="P224" s="84">
        <f t="shared" si="198"/>
        <v>30.603721434946163</v>
      </c>
      <c r="Q224" s="84">
        <f t="shared" si="184"/>
        <v>30.603231434946164</v>
      </c>
      <c r="R224" s="84">
        <f t="shared" si="184"/>
        <v>30.602741434946164</v>
      </c>
      <c r="S224" s="84">
        <f t="shared" si="184"/>
        <v>30.602251434946165</v>
      </c>
      <c r="T224" s="84">
        <f t="shared" ref="T224:AC224" si="199">+S224+(0.711/100)</f>
        <v>30.609361434946166</v>
      </c>
      <c r="U224" s="84">
        <f t="shared" si="199"/>
        <v>30.616471434946167</v>
      </c>
      <c r="V224" s="84">
        <f t="shared" si="199"/>
        <v>30.623581434946168</v>
      </c>
      <c r="W224" s="84">
        <f t="shared" si="199"/>
        <v>30.630691434946169</v>
      </c>
      <c r="X224" s="84">
        <f t="shared" si="199"/>
        <v>30.637801434946169</v>
      </c>
      <c r="Y224" s="84">
        <f t="shared" si="199"/>
        <v>30.64491143494617</v>
      </c>
      <c r="Z224" s="84">
        <f t="shared" si="199"/>
        <v>30.652021434946171</v>
      </c>
      <c r="AA224" s="84">
        <f t="shared" si="199"/>
        <v>30.659131434946172</v>
      </c>
      <c r="AB224" s="84">
        <f t="shared" si="199"/>
        <v>30.666241434946173</v>
      </c>
      <c r="AC224" s="84">
        <f t="shared" si="199"/>
        <v>30.673351434946174</v>
      </c>
    </row>
    <row r="225" spans="1:29" x14ac:dyDescent="0.25">
      <c r="A225" s="54" t="s">
        <v>19</v>
      </c>
      <c r="B225" s="86" t="s">
        <v>27</v>
      </c>
      <c r="C225" s="86"/>
      <c r="D225" s="84">
        <f t="shared" ref="D225:P225" si="200">+D104</f>
        <v>780.23861252760332</v>
      </c>
      <c r="E225" s="84">
        <f t="shared" si="200"/>
        <v>780.23861252760332</v>
      </c>
      <c r="F225" s="84">
        <f t="shared" si="200"/>
        <v>780.23861252760332</v>
      </c>
      <c r="G225" s="84">
        <f t="shared" si="200"/>
        <v>780.23861252760332</v>
      </c>
      <c r="H225" s="84">
        <f t="shared" si="200"/>
        <v>780.23861252760332</v>
      </c>
      <c r="I225" s="84">
        <f t="shared" si="200"/>
        <v>615.62973627700433</v>
      </c>
      <c r="J225" s="84">
        <f t="shared" si="200"/>
        <v>451.02086002640527</v>
      </c>
      <c r="K225" s="84">
        <f t="shared" si="200"/>
        <v>575.44067735598594</v>
      </c>
      <c r="L225" s="84">
        <f t="shared" si="200"/>
        <v>699.86049468556666</v>
      </c>
      <c r="M225" s="84">
        <f t="shared" si="200"/>
        <v>115.47294097649757</v>
      </c>
      <c r="N225" s="84">
        <f t="shared" si="200"/>
        <v>115.47294097649757</v>
      </c>
      <c r="O225" s="84">
        <f t="shared" si="200"/>
        <v>127.97952450289418</v>
      </c>
      <c r="P225" s="84">
        <f t="shared" si="200"/>
        <v>127.97952450289418</v>
      </c>
      <c r="Q225" s="84">
        <f t="shared" si="184"/>
        <v>127.97903450289418</v>
      </c>
      <c r="R225" s="84">
        <f t="shared" si="184"/>
        <v>127.97854450289418</v>
      </c>
      <c r="S225" s="84">
        <f t="shared" si="184"/>
        <v>127.97805450289418</v>
      </c>
      <c r="T225" s="84">
        <f t="shared" ref="T225:AC225" si="201">+S225+(0.711/100)</f>
        <v>127.98516450289418</v>
      </c>
      <c r="U225" s="84">
        <f t="shared" si="201"/>
        <v>127.99227450289418</v>
      </c>
      <c r="V225" s="84">
        <f t="shared" si="201"/>
        <v>127.99938450289417</v>
      </c>
      <c r="W225" s="84">
        <f t="shared" si="201"/>
        <v>128.00649450289418</v>
      </c>
      <c r="X225" s="84">
        <f t="shared" si="201"/>
        <v>128.0136045028942</v>
      </c>
      <c r="Y225" s="84">
        <f t="shared" si="201"/>
        <v>128.02071450289421</v>
      </c>
      <c r="Z225" s="84">
        <f t="shared" si="201"/>
        <v>128.02782450289422</v>
      </c>
      <c r="AA225" s="84">
        <f t="shared" si="201"/>
        <v>128.03493450289423</v>
      </c>
      <c r="AB225" s="84">
        <f t="shared" si="201"/>
        <v>128.04204450289424</v>
      </c>
      <c r="AC225" s="84">
        <f t="shared" si="201"/>
        <v>128.04915450289425</v>
      </c>
    </row>
    <row r="227" spans="1:29" x14ac:dyDescent="0.25">
      <c r="A227" s="1" t="s">
        <v>105</v>
      </c>
      <c r="B227" s="65" t="s">
        <v>106</v>
      </c>
      <c r="C227" s="65"/>
      <c r="D227" s="1">
        <v>2010</v>
      </c>
      <c r="E227" s="1">
        <v>2011</v>
      </c>
      <c r="F227" s="1">
        <v>2012</v>
      </c>
      <c r="G227" s="1">
        <v>2013</v>
      </c>
      <c r="H227" s="1">
        <v>2014</v>
      </c>
      <c r="I227" s="1">
        <v>2015</v>
      </c>
      <c r="J227" s="1">
        <v>2016</v>
      </c>
      <c r="K227" s="1">
        <v>2017</v>
      </c>
      <c r="L227" s="1">
        <v>2018</v>
      </c>
      <c r="M227" s="1">
        <v>2019</v>
      </c>
      <c r="N227" s="1">
        <v>2020</v>
      </c>
      <c r="O227" s="1">
        <v>2021</v>
      </c>
      <c r="P227" s="1">
        <v>2022</v>
      </c>
      <c r="Q227" s="1">
        <v>2023</v>
      </c>
      <c r="R227" s="1">
        <v>2024</v>
      </c>
      <c r="S227" s="1">
        <v>2025</v>
      </c>
      <c r="T227" s="1">
        <v>2026</v>
      </c>
      <c r="U227" s="1">
        <v>2027</v>
      </c>
      <c r="V227" s="1">
        <v>2028</v>
      </c>
      <c r="W227" s="1">
        <v>2029</v>
      </c>
      <c r="X227" s="1">
        <v>2030</v>
      </c>
      <c r="Y227" s="1">
        <v>2031</v>
      </c>
      <c r="Z227" s="1">
        <v>2032</v>
      </c>
      <c r="AA227" s="1">
        <v>2033</v>
      </c>
      <c r="AB227" s="1">
        <v>2034</v>
      </c>
      <c r="AC227" s="1">
        <v>2035</v>
      </c>
    </row>
    <row r="228" spans="1:29" x14ac:dyDescent="0.25">
      <c r="A228" s="54" t="s">
        <v>5</v>
      </c>
      <c r="B228" s="86" t="s">
        <v>18</v>
      </c>
      <c r="C228" s="86"/>
      <c r="D228" s="84">
        <f t="shared" ref="D228:P228" si="202">+D107</f>
        <v>9.069093063975886E-2</v>
      </c>
      <c r="E228" s="84">
        <f t="shared" si="202"/>
        <v>9.069093063975886E-2</v>
      </c>
      <c r="F228" s="84">
        <f t="shared" si="202"/>
        <v>9.069093063975886E-2</v>
      </c>
      <c r="G228" s="84">
        <f t="shared" si="202"/>
        <v>9.069093063975886E-2</v>
      </c>
      <c r="H228" s="84">
        <f t="shared" si="202"/>
        <v>9.069093063975886E-2</v>
      </c>
      <c r="I228" s="84">
        <f t="shared" si="202"/>
        <v>9.5911786917128747E-2</v>
      </c>
      <c r="J228" s="84">
        <f t="shared" si="202"/>
        <v>0.10113264319449865</v>
      </c>
      <c r="K228" s="84">
        <f t="shared" si="202"/>
        <v>7.2515977918304483E-2</v>
      </c>
      <c r="L228" s="84">
        <f t="shared" si="202"/>
        <v>4.3899312642110298E-2</v>
      </c>
      <c r="M228" s="84">
        <f t="shared" si="202"/>
        <v>4.899761360780485E-2</v>
      </c>
      <c r="N228" s="84">
        <f t="shared" si="202"/>
        <v>4.899761360780485E-2</v>
      </c>
      <c r="O228" s="84">
        <f t="shared" si="202"/>
        <v>2.9780940737110004E-2</v>
      </c>
      <c r="P228" s="84">
        <f t="shared" si="202"/>
        <v>2.9780940737110004E-2</v>
      </c>
      <c r="Q228" s="84">
        <f t="shared" ref="Q228:S236" si="203">+P228-(0.049/100)</f>
        <v>2.9290940737110003E-2</v>
      </c>
      <c r="R228" s="84">
        <f t="shared" si="203"/>
        <v>2.8800940737110002E-2</v>
      </c>
      <c r="S228" s="84">
        <f t="shared" si="203"/>
        <v>2.8310940737110001E-2</v>
      </c>
      <c r="T228" s="84">
        <f t="shared" ref="T228:AC228" si="204">+S228+(0.711/100)</f>
        <v>3.5420940737110003E-2</v>
      </c>
      <c r="U228" s="84">
        <f t="shared" si="204"/>
        <v>4.2530940737110001E-2</v>
      </c>
      <c r="V228" s="84">
        <f t="shared" si="204"/>
        <v>4.9640940737109999E-2</v>
      </c>
      <c r="W228" s="84">
        <f t="shared" si="204"/>
        <v>5.6750940737109998E-2</v>
      </c>
      <c r="X228" s="84">
        <f t="shared" si="204"/>
        <v>6.3860940737110003E-2</v>
      </c>
      <c r="Y228" s="84">
        <f t="shared" si="204"/>
        <v>7.0970940737110008E-2</v>
      </c>
      <c r="Z228" s="84">
        <f t="shared" si="204"/>
        <v>7.8080940737110013E-2</v>
      </c>
      <c r="AA228" s="84">
        <f t="shared" si="204"/>
        <v>8.5190940737110019E-2</v>
      </c>
      <c r="AB228" s="84">
        <f t="shared" si="204"/>
        <v>9.2300940737110024E-2</v>
      </c>
      <c r="AC228" s="84">
        <f t="shared" si="204"/>
        <v>9.9410940737110029E-2</v>
      </c>
    </row>
    <row r="229" spans="1:29" x14ac:dyDescent="0.25">
      <c r="A229" s="54" t="s">
        <v>5</v>
      </c>
      <c r="B229" s="86" t="s">
        <v>20</v>
      </c>
      <c r="C229" s="86"/>
      <c r="D229" s="84">
        <f t="shared" ref="D229:P229" si="205">+D108</f>
        <v>0.88561379455097156</v>
      </c>
      <c r="E229" s="84">
        <f t="shared" si="205"/>
        <v>0.88561379455097156</v>
      </c>
      <c r="F229" s="84">
        <f t="shared" si="205"/>
        <v>0.88561379455097156</v>
      </c>
      <c r="G229" s="84">
        <f t="shared" si="205"/>
        <v>0.88561379455097156</v>
      </c>
      <c r="H229" s="84">
        <f t="shared" si="205"/>
        <v>0.88561379455097156</v>
      </c>
      <c r="I229" s="84">
        <f t="shared" si="205"/>
        <v>0.93659642650755437</v>
      </c>
      <c r="J229" s="84">
        <f t="shared" si="205"/>
        <v>0.9875790584641374</v>
      </c>
      <c r="K229" s="84">
        <f t="shared" si="205"/>
        <v>0.7081320030213647</v>
      </c>
      <c r="L229" s="84">
        <f t="shared" si="205"/>
        <v>0.42868494757859188</v>
      </c>
      <c r="M229" s="84">
        <f t="shared" si="205"/>
        <v>0.47847080413713294</v>
      </c>
      <c r="N229" s="84">
        <f t="shared" si="205"/>
        <v>0.47847080413713294</v>
      </c>
      <c r="O229" s="84">
        <f t="shared" si="205"/>
        <v>0.29081642172417038</v>
      </c>
      <c r="P229" s="84">
        <f t="shared" si="205"/>
        <v>0.29081642172417038</v>
      </c>
      <c r="Q229" s="84">
        <f t="shared" si="203"/>
        <v>0.29032642172417039</v>
      </c>
      <c r="R229" s="84">
        <f t="shared" si="203"/>
        <v>0.2898364217241704</v>
      </c>
      <c r="S229" s="84">
        <f t="shared" si="203"/>
        <v>0.28934642172417041</v>
      </c>
      <c r="T229" s="84">
        <f t="shared" ref="T229:AC229" si="206">+S229+(0.711/100)</f>
        <v>0.29645642172417042</v>
      </c>
      <c r="U229" s="84">
        <f t="shared" si="206"/>
        <v>0.30356642172417042</v>
      </c>
      <c r="V229" s="84">
        <f t="shared" si="206"/>
        <v>0.31067642172417043</v>
      </c>
      <c r="W229" s="84">
        <f t="shared" si="206"/>
        <v>0.31778642172417043</v>
      </c>
      <c r="X229" s="84">
        <f t="shared" si="206"/>
        <v>0.32489642172417044</v>
      </c>
      <c r="Y229" s="84">
        <f t="shared" si="206"/>
        <v>0.33200642172417044</v>
      </c>
      <c r="Z229" s="84">
        <f t="shared" si="206"/>
        <v>0.33911642172417045</v>
      </c>
      <c r="AA229" s="84">
        <f t="shared" si="206"/>
        <v>0.34622642172417045</v>
      </c>
      <c r="AB229" s="84">
        <f t="shared" si="206"/>
        <v>0.35333642172417046</v>
      </c>
      <c r="AC229" s="84">
        <f t="shared" si="206"/>
        <v>0.36044642172417046</v>
      </c>
    </row>
    <row r="230" spans="1:29" x14ac:dyDescent="0.25">
      <c r="A230" s="54" t="s">
        <v>5</v>
      </c>
      <c r="B230" s="86" t="s">
        <v>21</v>
      </c>
      <c r="C230" s="86"/>
      <c r="D230" s="84">
        <f t="shared" ref="D230:P230" si="207">+D109</f>
        <v>8.4683257256326048</v>
      </c>
      <c r="E230" s="84">
        <f t="shared" si="207"/>
        <v>8.4683257256326048</v>
      </c>
      <c r="F230" s="84">
        <f t="shared" si="207"/>
        <v>8.4683257256326048</v>
      </c>
      <c r="G230" s="84">
        <f t="shared" si="207"/>
        <v>8.4683257256326048</v>
      </c>
      <c r="H230" s="84">
        <f t="shared" si="207"/>
        <v>8.4683257256326048</v>
      </c>
      <c r="I230" s="84">
        <f t="shared" si="207"/>
        <v>8.9558266390271299</v>
      </c>
      <c r="J230" s="84">
        <f t="shared" si="207"/>
        <v>9.4433275524216551</v>
      </c>
      <c r="K230" s="84">
        <f t="shared" si="207"/>
        <v>6.7712274754821786</v>
      </c>
      <c r="L230" s="84">
        <f t="shared" si="207"/>
        <v>4.0991273985427013</v>
      </c>
      <c r="M230" s="84">
        <f t="shared" si="207"/>
        <v>4.5751846285242097</v>
      </c>
      <c r="N230" s="84">
        <f t="shared" si="207"/>
        <v>4.5751846285242097</v>
      </c>
      <c r="O230" s="84">
        <f t="shared" si="207"/>
        <v>2.7808150693631393</v>
      </c>
      <c r="P230" s="84">
        <f t="shared" si="207"/>
        <v>2.7808150693631393</v>
      </c>
      <c r="Q230" s="84">
        <f t="shared" si="203"/>
        <v>2.7803250693631392</v>
      </c>
      <c r="R230" s="84">
        <f t="shared" si="203"/>
        <v>2.7798350693631391</v>
      </c>
      <c r="S230" s="84">
        <f t="shared" si="203"/>
        <v>2.779345069363139</v>
      </c>
      <c r="T230" s="84">
        <f t="shared" ref="T230:AC230" si="208">+S230+(0.711/100)</f>
        <v>2.7864550693631389</v>
      </c>
      <c r="U230" s="84">
        <f t="shared" si="208"/>
        <v>2.7935650693631389</v>
      </c>
      <c r="V230" s="84">
        <f t="shared" si="208"/>
        <v>2.8006750693631388</v>
      </c>
      <c r="W230" s="84">
        <f t="shared" si="208"/>
        <v>2.8077850693631388</v>
      </c>
      <c r="X230" s="84">
        <f t="shared" si="208"/>
        <v>2.8148950693631387</v>
      </c>
      <c r="Y230" s="84">
        <f t="shared" si="208"/>
        <v>2.8220050693631387</v>
      </c>
      <c r="Z230" s="84">
        <f t="shared" si="208"/>
        <v>2.8291150693631386</v>
      </c>
      <c r="AA230" s="84">
        <f t="shared" si="208"/>
        <v>2.8362250693631386</v>
      </c>
      <c r="AB230" s="84">
        <f t="shared" si="208"/>
        <v>2.8433350693631385</v>
      </c>
      <c r="AC230" s="84">
        <f t="shared" si="208"/>
        <v>2.8504450693631385</v>
      </c>
    </row>
    <row r="231" spans="1:29" x14ac:dyDescent="0.25">
      <c r="A231" s="54" t="s">
        <v>5</v>
      </c>
      <c r="B231" s="86" t="s">
        <v>22</v>
      </c>
      <c r="C231" s="86"/>
      <c r="D231" s="84">
        <f t="shared" ref="D231:P231" si="209">+D110</f>
        <v>3.4423197971978516</v>
      </c>
      <c r="E231" s="84">
        <f t="shared" si="209"/>
        <v>3.4423197971978516</v>
      </c>
      <c r="F231" s="84">
        <f t="shared" si="209"/>
        <v>3.4423197971978516</v>
      </c>
      <c r="G231" s="84">
        <f t="shared" si="209"/>
        <v>3.4423197971978516</v>
      </c>
      <c r="H231" s="84">
        <f t="shared" si="209"/>
        <v>3.4423197971978516</v>
      </c>
      <c r="I231" s="84">
        <f t="shared" si="209"/>
        <v>3.6404857747122139</v>
      </c>
      <c r="J231" s="84">
        <f t="shared" si="209"/>
        <v>3.8386517522265771</v>
      </c>
      <c r="K231" s="84">
        <f t="shared" si="209"/>
        <v>2.7524603027053631</v>
      </c>
      <c r="L231" s="84">
        <f t="shared" si="209"/>
        <v>1.6662688531841492</v>
      </c>
      <c r="M231" s="84">
        <f t="shared" si="209"/>
        <v>1.8597830471887851</v>
      </c>
      <c r="N231" s="84">
        <f t="shared" si="209"/>
        <v>1.8597830471887851</v>
      </c>
      <c r="O231" s="84">
        <f t="shared" si="209"/>
        <v>1.1303833928636189</v>
      </c>
      <c r="P231" s="84">
        <f t="shared" si="209"/>
        <v>1.1303833928636189</v>
      </c>
      <c r="Q231" s="84">
        <f t="shared" si="203"/>
        <v>1.1298933928636188</v>
      </c>
      <c r="R231" s="84">
        <f t="shared" si="203"/>
        <v>1.1294033928636187</v>
      </c>
      <c r="S231" s="84">
        <f t="shared" si="203"/>
        <v>1.1289133928636186</v>
      </c>
      <c r="T231" s="84">
        <f t="shared" ref="T231:AC231" si="210">+S231+(0.711/100)</f>
        <v>1.1360233928636185</v>
      </c>
      <c r="U231" s="84">
        <f t="shared" si="210"/>
        <v>1.1431333928636185</v>
      </c>
      <c r="V231" s="84">
        <f t="shared" si="210"/>
        <v>1.1502433928636184</v>
      </c>
      <c r="W231" s="84">
        <f t="shared" si="210"/>
        <v>1.1573533928636184</v>
      </c>
      <c r="X231" s="84">
        <f t="shared" si="210"/>
        <v>1.1644633928636183</v>
      </c>
      <c r="Y231" s="84">
        <f t="shared" si="210"/>
        <v>1.1715733928636183</v>
      </c>
      <c r="Z231" s="84">
        <f t="shared" si="210"/>
        <v>1.1786833928636182</v>
      </c>
      <c r="AA231" s="84">
        <f t="shared" si="210"/>
        <v>1.1857933928636182</v>
      </c>
      <c r="AB231" s="84">
        <f t="shared" si="210"/>
        <v>1.1929033928636181</v>
      </c>
      <c r="AC231" s="84">
        <f t="shared" si="210"/>
        <v>1.2000133928636181</v>
      </c>
    </row>
    <row r="232" spans="1:29" x14ac:dyDescent="0.25">
      <c r="A232" s="54" t="s">
        <v>5</v>
      </c>
      <c r="B232" s="86" t="s">
        <v>23</v>
      </c>
      <c r="C232" s="86"/>
      <c r="D232" s="84">
        <f t="shared" ref="D232:P232" si="211">+D111</f>
        <v>2.3706365082812315</v>
      </c>
      <c r="E232" s="84">
        <f t="shared" si="211"/>
        <v>2.3706365082812315</v>
      </c>
      <c r="F232" s="84">
        <f t="shared" si="211"/>
        <v>2.3706365082812315</v>
      </c>
      <c r="G232" s="84">
        <f t="shared" si="211"/>
        <v>2.3706365082812315</v>
      </c>
      <c r="H232" s="84">
        <f t="shared" si="211"/>
        <v>2.3706365082812315</v>
      </c>
      <c r="I232" s="84">
        <f t="shared" si="211"/>
        <v>2.5071082856498532</v>
      </c>
      <c r="J232" s="84">
        <f t="shared" si="211"/>
        <v>2.6435800630184758</v>
      </c>
      <c r="K232" s="84">
        <f t="shared" si="211"/>
        <v>1.8955481377702765</v>
      </c>
      <c r="L232" s="84">
        <f t="shared" si="211"/>
        <v>1.1475162125220773</v>
      </c>
      <c r="M232" s="84">
        <f t="shared" si="211"/>
        <v>1.2807844270416706</v>
      </c>
      <c r="N232" s="84">
        <f t="shared" si="211"/>
        <v>1.2807844270416706</v>
      </c>
      <c r="O232" s="84">
        <f t="shared" si="211"/>
        <v>0.77846577231397196</v>
      </c>
      <c r="P232" s="84">
        <f t="shared" si="211"/>
        <v>0.77846577231397196</v>
      </c>
      <c r="Q232" s="84">
        <f t="shared" si="203"/>
        <v>0.77797577231397197</v>
      </c>
      <c r="R232" s="84">
        <f t="shared" si="203"/>
        <v>0.77748577231397198</v>
      </c>
      <c r="S232" s="84">
        <f t="shared" si="203"/>
        <v>0.77699577231397199</v>
      </c>
      <c r="T232" s="84">
        <f t="shared" ref="T232:AC232" si="212">+S232+(0.711/100)</f>
        <v>0.78410577231397194</v>
      </c>
      <c r="U232" s="84">
        <f t="shared" si="212"/>
        <v>0.79121577231397189</v>
      </c>
      <c r="V232" s="84">
        <f t="shared" si="212"/>
        <v>0.79832577231397184</v>
      </c>
      <c r="W232" s="84">
        <f t="shared" si="212"/>
        <v>0.80543577231397179</v>
      </c>
      <c r="X232" s="84">
        <f t="shared" si="212"/>
        <v>0.81254577231397174</v>
      </c>
      <c r="Y232" s="84">
        <f t="shared" si="212"/>
        <v>0.81965577231397169</v>
      </c>
      <c r="Z232" s="84">
        <f t="shared" si="212"/>
        <v>0.82676577231397164</v>
      </c>
      <c r="AA232" s="84">
        <f t="shared" si="212"/>
        <v>0.83387577231397159</v>
      </c>
      <c r="AB232" s="84">
        <f t="shared" si="212"/>
        <v>0.84098577231397154</v>
      </c>
      <c r="AC232" s="84">
        <f t="shared" si="212"/>
        <v>0.84809577231397149</v>
      </c>
    </row>
    <row r="233" spans="1:29" x14ac:dyDescent="0.25">
      <c r="A233" s="54" t="s">
        <v>5</v>
      </c>
      <c r="B233" s="86" t="s">
        <v>24</v>
      </c>
      <c r="C233" s="86"/>
      <c r="D233" s="84">
        <f t="shared" ref="D233:P233" si="213">+D112</f>
        <v>17.347125901318453</v>
      </c>
      <c r="E233" s="84">
        <f t="shared" si="213"/>
        <v>17.347125901318453</v>
      </c>
      <c r="F233" s="84">
        <f t="shared" si="213"/>
        <v>17.347125901318453</v>
      </c>
      <c r="G233" s="84">
        <f t="shared" si="213"/>
        <v>17.347125901318453</v>
      </c>
      <c r="H233" s="84">
        <f t="shared" si="213"/>
        <v>17.347125901318453</v>
      </c>
      <c r="I233" s="84">
        <f t="shared" si="213"/>
        <v>18.3457577437457</v>
      </c>
      <c r="J233" s="84">
        <f t="shared" si="213"/>
        <v>19.344389586172955</v>
      </c>
      <c r="K233" s="84">
        <f t="shared" si="213"/>
        <v>13.870668102446119</v>
      </c>
      <c r="L233" s="84">
        <f t="shared" si="213"/>
        <v>8.3969466187192836</v>
      </c>
      <c r="M233" s="84">
        <f t="shared" si="213"/>
        <v>9.3721363991177249</v>
      </c>
      <c r="N233" s="84">
        <f t="shared" si="213"/>
        <v>9.3721363991177249</v>
      </c>
      <c r="O233" s="84">
        <f t="shared" si="213"/>
        <v>5.6964210730005185</v>
      </c>
      <c r="P233" s="84">
        <f t="shared" si="213"/>
        <v>5.6964210730005185</v>
      </c>
      <c r="Q233" s="84">
        <f t="shared" si="203"/>
        <v>5.6959310730005184</v>
      </c>
      <c r="R233" s="84">
        <f t="shared" si="203"/>
        <v>5.6954410730005183</v>
      </c>
      <c r="S233" s="84">
        <f t="shared" si="203"/>
        <v>5.6949510730005182</v>
      </c>
      <c r="T233" s="84">
        <f t="shared" ref="T233:AC233" si="214">+S233+(0.711/100)</f>
        <v>5.7020610730005181</v>
      </c>
      <c r="U233" s="84">
        <f t="shared" si="214"/>
        <v>5.7091710730005181</v>
      </c>
      <c r="V233" s="84">
        <f t="shared" si="214"/>
        <v>5.716281073000518</v>
      </c>
      <c r="W233" s="84">
        <f t="shared" si="214"/>
        <v>5.723391073000518</v>
      </c>
      <c r="X233" s="84">
        <f t="shared" si="214"/>
        <v>5.7305010730005179</v>
      </c>
      <c r="Y233" s="84">
        <f t="shared" si="214"/>
        <v>5.7376110730005179</v>
      </c>
      <c r="Z233" s="84">
        <f t="shared" si="214"/>
        <v>5.7447210730005178</v>
      </c>
      <c r="AA233" s="84">
        <f t="shared" si="214"/>
        <v>5.7518310730005178</v>
      </c>
      <c r="AB233" s="84">
        <f t="shared" si="214"/>
        <v>5.7589410730005177</v>
      </c>
      <c r="AC233" s="84">
        <f t="shared" si="214"/>
        <v>5.7660510730005177</v>
      </c>
    </row>
    <row r="234" spans="1:29" x14ac:dyDescent="0.25">
      <c r="A234" s="54" t="s">
        <v>5</v>
      </c>
      <c r="B234" s="86" t="s">
        <v>25</v>
      </c>
      <c r="C234" s="86"/>
      <c r="D234" s="84">
        <f t="shared" ref="D234:P234" si="215">+D113</f>
        <v>1.9219258931165539</v>
      </c>
      <c r="E234" s="84">
        <f t="shared" si="215"/>
        <v>1.9219258931165539</v>
      </c>
      <c r="F234" s="84">
        <f t="shared" si="215"/>
        <v>1.9219258931165539</v>
      </c>
      <c r="G234" s="84">
        <f t="shared" si="215"/>
        <v>1.9219258931165539</v>
      </c>
      <c r="H234" s="84">
        <f t="shared" si="215"/>
        <v>1.9219258931165539</v>
      </c>
      <c r="I234" s="84">
        <f t="shared" si="215"/>
        <v>2.0325664918283985</v>
      </c>
      <c r="J234" s="84">
        <f t="shared" si="215"/>
        <v>2.1432070905402436</v>
      </c>
      <c r="K234" s="84">
        <f t="shared" si="215"/>
        <v>1.536761555347385</v>
      </c>
      <c r="L234" s="84">
        <f t="shared" si="215"/>
        <v>0.93031602015452641</v>
      </c>
      <c r="M234" s="84">
        <f t="shared" si="215"/>
        <v>1.038359421713511</v>
      </c>
      <c r="N234" s="84">
        <f t="shared" si="215"/>
        <v>1.038359421713511</v>
      </c>
      <c r="O234" s="84">
        <f t="shared" si="215"/>
        <v>0.63111890814503058</v>
      </c>
      <c r="P234" s="84">
        <f t="shared" si="215"/>
        <v>0.63111890814503058</v>
      </c>
      <c r="Q234" s="84">
        <f t="shared" si="203"/>
        <v>0.63062890814503059</v>
      </c>
      <c r="R234" s="84">
        <f t="shared" si="203"/>
        <v>0.6301389081450306</v>
      </c>
      <c r="S234" s="84">
        <f t="shared" si="203"/>
        <v>0.62964890814503061</v>
      </c>
      <c r="T234" s="84">
        <f t="shared" ref="T234:AC234" si="216">+S234+(0.711/100)</f>
        <v>0.63675890814503056</v>
      </c>
      <c r="U234" s="84">
        <f t="shared" si="216"/>
        <v>0.64386890814503051</v>
      </c>
      <c r="V234" s="84">
        <f t="shared" si="216"/>
        <v>0.65097890814503045</v>
      </c>
      <c r="W234" s="84">
        <f t="shared" si="216"/>
        <v>0.6580889081450304</v>
      </c>
      <c r="X234" s="84">
        <f t="shared" si="216"/>
        <v>0.66519890814503035</v>
      </c>
      <c r="Y234" s="84">
        <f t="shared" si="216"/>
        <v>0.6723089081450303</v>
      </c>
      <c r="Z234" s="84">
        <f t="shared" si="216"/>
        <v>0.67941890814503025</v>
      </c>
      <c r="AA234" s="84">
        <f t="shared" si="216"/>
        <v>0.6865289081450302</v>
      </c>
      <c r="AB234" s="84">
        <f t="shared" si="216"/>
        <v>0.69363890814503015</v>
      </c>
      <c r="AC234" s="84">
        <f t="shared" si="216"/>
        <v>0.7007489081450301</v>
      </c>
    </row>
    <row r="235" spans="1:29" x14ac:dyDescent="0.25">
      <c r="A235" s="54" t="s">
        <v>5</v>
      </c>
      <c r="B235" s="86" t="s">
        <v>26</v>
      </c>
      <c r="C235" s="86"/>
      <c r="D235" s="84">
        <f t="shared" ref="D235:P235" si="217">+D114</f>
        <v>0.4773143868604896</v>
      </c>
      <c r="E235" s="84">
        <f t="shared" si="217"/>
        <v>0.4773143868604896</v>
      </c>
      <c r="F235" s="84">
        <f t="shared" si="217"/>
        <v>0.4773143868604896</v>
      </c>
      <c r="G235" s="84">
        <f t="shared" si="217"/>
        <v>0.4773143868604896</v>
      </c>
      <c r="H235" s="84">
        <f t="shared" si="217"/>
        <v>0.4773143868604896</v>
      </c>
      <c r="I235" s="84">
        <f t="shared" si="217"/>
        <v>0.50479221507705285</v>
      </c>
      <c r="J235" s="84">
        <f t="shared" si="217"/>
        <v>0.53227004329361616</v>
      </c>
      <c r="K235" s="84">
        <f t="shared" si="217"/>
        <v>0.38165800365588065</v>
      </c>
      <c r="L235" s="84">
        <f t="shared" si="217"/>
        <v>0.23104596401814509</v>
      </c>
      <c r="M235" s="84">
        <f t="shared" si="217"/>
        <v>0.25787877279300503</v>
      </c>
      <c r="N235" s="84">
        <f t="shared" si="217"/>
        <v>0.25787877279300503</v>
      </c>
      <c r="O235" s="84">
        <f t="shared" si="217"/>
        <v>0.15673972433391753</v>
      </c>
      <c r="P235" s="84">
        <f t="shared" si="217"/>
        <v>0.15673972433391753</v>
      </c>
      <c r="Q235" s="84">
        <f t="shared" si="203"/>
        <v>0.15624972433391754</v>
      </c>
      <c r="R235" s="84">
        <f t="shared" si="203"/>
        <v>0.15575972433391755</v>
      </c>
      <c r="S235" s="84">
        <f t="shared" si="203"/>
        <v>0.15526972433391756</v>
      </c>
      <c r="T235" s="84">
        <f t="shared" ref="T235:AC235" si="218">+S235+(0.711/100)</f>
        <v>0.16237972433391756</v>
      </c>
      <c r="U235" s="84">
        <f t="shared" si="218"/>
        <v>0.16948972433391757</v>
      </c>
      <c r="V235" s="84">
        <f t="shared" si="218"/>
        <v>0.17659972433391757</v>
      </c>
      <c r="W235" s="84">
        <f t="shared" si="218"/>
        <v>0.18370972433391758</v>
      </c>
      <c r="X235" s="84">
        <f t="shared" si="218"/>
        <v>0.19081972433391758</v>
      </c>
      <c r="Y235" s="84">
        <f t="shared" si="218"/>
        <v>0.19792972433391759</v>
      </c>
      <c r="Z235" s="84">
        <f t="shared" si="218"/>
        <v>0.20503972433391759</v>
      </c>
      <c r="AA235" s="84">
        <f t="shared" si="218"/>
        <v>0.2121497243339176</v>
      </c>
      <c r="AB235" s="84">
        <f t="shared" si="218"/>
        <v>0.2192597243339176</v>
      </c>
      <c r="AC235" s="84">
        <f t="shared" si="218"/>
        <v>0.22636972433391761</v>
      </c>
    </row>
    <row r="236" spans="1:29" x14ac:dyDescent="0.25">
      <c r="A236" s="54" t="s">
        <v>5</v>
      </c>
      <c r="B236" s="86" t="s">
        <v>27</v>
      </c>
      <c r="C236" s="86"/>
      <c r="D236" s="84">
        <f t="shared" ref="D236:P236" si="219">+D115</f>
        <v>1.9960470624020827</v>
      </c>
      <c r="E236" s="84">
        <f t="shared" si="219"/>
        <v>1.9960470624020827</v>
      </c>
      <c r="F236" s="84">
        <f t="shared" si="219"/>
        <v>1.9960470624020827</v>
      </c>
      <c r="G236" s="84">
        <f t="shared" si="219"/>
        <v>1.9960470624020827</v>
      </c>
      <c r="H236" s="84">
        <f t="shared" si="219"/>
        <v>1.9960470624020827</v>
      </c>
      <c r="I236" s="84">
        <f t="shared" si="219"/>
        <v>2.110954636534959</v>
      </c>
      <c r="J236" s="84">
        <f t="shared" si="219"/>
        <v>2.2258622106678358</v>
      </c>
      <c r="K236" s="84">
        <f t="shared" si="219"/>
        <v>1.5960284416531247</v>
      </c>
      <c r="L236" s="84">
        <f t="shared" si="219"/>
        <v>0.96619467263841352</v>
      </c>
      <c r="M236" s="84">
        <f t="shared" si="219"/>
        <v>1.0784048858761521</v>
      </c>
      <c r="N236" s="84">
        <f t="shared" si="219"/>
        <v>1.0784048858761521</v>
      </c>
      <c r="O236" s="84">
        <f t="shared" si="219"/>
        <v>0.65545869751852182</v>
      </c>
      <c r="P236" s="84">
        <f t="shared" si="219"/>
        <v>0.65545869751852182</v>
      </c>
      <c r="Q236" s="84">
        <f t="shared" si="203"/>
        <v>0.65496869751852183</v>
      </c>
      <c r="R236" s="84">
        <f t="shared" si="203"/>
        <v>0.65447869751852183</v>
      </c>
      <c r="S236" s="84">
        <f t="shared" si="203"/>
        <v>0.65398869751852184</v>
      </c>
      <c r="T236" s="84">
        <f t="shared" ref="T236:AC236" si="220">+S236+(0.711/100)</f>
        <v>0.66109869751852179</v>
      </c>
      <c r="U236" s="84">
        <f t="shared" si="220"/>
        <v>0.66820869751852174</v>
      </c>
      <c r="V236" s="84">
        <f t="shared" si="220"/>
        <v>0.67531869751852169</v>
      </c>
      <c r="W236" s="84">
        <f t="shared" si="220"/>
        <v>0.68242869751852164</v>
      </c>
      <c r="X236" s="84">
        <f t="shared" si="220"/>
        <v>0.68953869751852159</v>
      </c>
      <c r="Y236" s="84">
        <f t="shared" si="220"/>
        <v>0.69664869751852154</v>
      </c>
      <c r="Z236" s="84">
        <f t="shared" si="220"/>
        <v>0.70375869751852149</v>
      </c>
      <c r="AA236" s="84">
        <f t="shared" si="220"/>
        <v>0.71086869751852144</v>
      </c>
      <c r="AB236" s="84">
        <f t="shared" si="220"/>
        <v>0.71797869751852139</v>
      </c>
      <c r="AC236" s="84">
        <f t="shared" si="220"/>
        <v>0.72508869751852134</v>
      </c>
    </row>
    <row r="238" spans="1:29" x14ac:dyDescent="0.25">
      <c r="A238" s="1" t="s">
        <v>105</v>
      </c>
      <c r="B238" s="65" t="s">
        <v>106</v>
      </c>
      <c r="C238" s="65"/>
      <c r="D238" s="1">
        <v>2010</v>
      </c>
      <c r="E238" s="1">
        <v>2011</v>
      </c>
      <c r="F238" s="1">
        <v>2012</v>
      </c>
      <c r="G238" s="1">
        <v>2013</v>
      </c>
      <c r="H238" s="1">
        <v>2014</v>
      </c>
      <c r="I238" s="1">
        <v>2015</v>
      </c>
      <c r="J238" s="1">
        <v>2016</v>
      </c>
      <c r="K238" s="1">
        <v>2017</v>
      </c>
      <c r="L238" s="1">
        <v>2018</v>
      </c>
      <c r="M238" s="1">
        <v>2019</v>
      </c>
      <c r="N238" s="1">
        <v>2020</v>
      </c>
      <c r="O238" s="1">
        <v>2021</v>
      </c>
      <c r="P238" s="1">
        <v>2022</v>
      </c>
      <c r="Q238" s="1">
        <v>2023</v>
      </c>
      <c r="R238" s="1">
        <v>2024</v>
      </c>
      <c r="S238" s="1">
        <v>2025</v>
      </c>
      <c r="T238" s="1">
        <v>2026</v>
      </c>
      <c r="U238" s="1">
        <v>2027</v>
      </c>
      <c r="V238" s="1">
        <v>2028</v>
      </c>
      <c r="W238" s="1">
        <v>2029</v>
      </c>
      <c r="X238" s="1">
        <v>2030</v>
      </c>
      <c r="Y238" s="1">
        <v>2031</v>
      </c>
      <c r="Z238" s="1">
        <v>2032</v>
      </c>
      <c r="AA238" s="1">
        <v>2033</v>
      </c>
      <c r="AB238" s="1">
        <v>2034</v>
      </c>
      <c r="AC238" s="1">
        <v>2035</v>
      </c>
    </row>
    <row r="239" spans="1:29" x14ac:dyDescent="0.25">
      <c r="A239" s="54" t="s">
        <v>6</v>
      </c>
      <c r="B239" s="86" t="s">
        <v>18</v>
      </c>
      <c r="C239" s="86"/>
      <c r="D239" s="84">
        <f t="shared" ref="D239:P239" si="221">+D118</f>
        <v>0</v>
      </c>
      <c r="E239" s="84" t="e">
        <f t="shared" si="221"/>
        <v>#VALUE!</v>
      </c>
      <c r="F239" s="84">
        <f t="shared" si="221"/>
        <v>0</v>
      </c>
      <c r="G239" s="84" t="e">
        <f t="shared" si="221"/>
        <v>#VALUE!</v>
      </c>
      <c r="H239" s="84">
        <f t="shared" si="221"/>
        <v>0</v>
      </c>
      <c r="I239" s="84" t="e">
        <f t="shared" si="221"/>
        <v>#VALUE!</v>
      </c>
      <c r="J239" s="84">
        <f t="shared" si="221"/>
        <v>0</v>
      </c>
      <c r="K239" s="84" t="e">
        <f t="shared" si="221"/>
        <v>#VALUE!</v>
      </c>
      <c r="L239" s="84">
        <f t="shared" si="221"/>
        <v>0.43259573915164978</v>
      </c>
      <c r="M239" s="84">
        <f t="shared" si="221"/>
        <v>0.131036139243284</v>
      </c>
      <c r="N239" s="84">
        <f t="shared" si="221"/>
        <v>0.131036139243284</v>
      </c>
      <c r="O239" s="84">
        <f t="shared" si="221"/>
        <v>0</v>
      </c>
      <c r="P239" s="84">
        <f t="shared" si="221"/>
        <v>0</v>
      </c>
      <c r="Q239" s="84">
        <f t="shared" ref="Q239:S247" si="222">+P239-(0.049/100)</f>
        <v>-4.8999999999999998E-4</v>
      </c>
      <c r="R239" s="84">
        <f t="shared" si="222"/>
        <v>-9.7999999999999997E-4</v>
      </c>
      <c r="S239" s="84">
        <f t="shared" si="222"/>
        <v>-1.47E-3</v>
      </c>
      <c r="T239" s="84">
        <f t="shared" ref="T239:AC239" si="223">+S239+(0.711/100)</f>
        <v>5.64E-3</v>
      </c>
      <c r="U239" s="84">
        <f t="shared" si="223"/>
        <v>1.2750000000000001E-2</v>
      </c>
      <c r="V239" s="84">
        <f t="shared" si="223"/>
        <v>1.9860000000000003E-2</v>
      </c>
      <c r="W239" s="84">
        <f t="shared" si="223"/>
        <v>2.6970000000000001E-2</v>
      </c>
      <c r="X239" s="84">
        <f t="shared" si="223"/>
        <v>3.4079999999999999E-2</v>
      </c>
      <c r="Y239" s="84">
        <f t="shared" si="223"/>
        <v>4.1189999999999997E-2</v>
      </c>
      <c r="Z239" s="84">
        <f t="shared" si="223"/>
        <v>4.8299999999999996E-2</v>
      </c>
      <c r="AA239" s="84">
        <f t="shared" si="223"/>
        <v>5.5409999999999994E-2</v>
      </c>
      <c r="AB239" s="84">
        <f t="shared" si="223"/>
        <v>6.2519999999999992E-2</v>
      </c>
      <c r="AC239" s="84">
        <f t="shared" si="223"/>
        <v>6.9629999999999997E-2</v>
      </c>
    </row>
    <row r="240" spans="1:29" x14ac:dyDescent="0.25">
      <c r="A240" s="54" t="s">
        <v>6</v>
      </c>
      <c r="B240" s="86" t="s">
        <v>20</v>
      </c>
      <c r="C240" s="86"/>
      <c r="D240" s="84">
        <f t="shared" ref="D240:P240" si="224">+D119</f>
        <v>0</v>
      </c>
      <c r="E240" s="84" t="e">
        <f t="shared" si="224"/>
        <v>#VALUE!</v>
      </c>
      <c r="F240" s="84">
        <f t="shared" si="224"/>
        <v>0</v>
      </c>
      <c r="G240" s="84" t="e">
        <f t="shared" si="224"/>
        <v>#VALUE!</v>
      </c>
      <c r="H240" s="84">
        <f t="shared" si="224"/>
        <v>0</v>
      </c>
      <c r="I240" s="84" t="e">
        <f t="shared" si="224"/>
        <v>#VALUE!</v>
      </c>
      <c r="J240" s="84">
        <f t="shared" si="224"/>
        <v>0</v>
      </c>
      <c r="K240" s="84" t="e">
        <f t="shared" si="224"/>
        <v>#VALUE!</v>
      </c>
      <c r="L240" s="84">
        <f t="shared" si="224"/>
        <v>4.224377800008134</v>
      </c>
      <c r="M240" s="84">
        <f t="shared" si="224"/>
        <v>1.2795922555863497</v>
      </c>
      <c r="N240" s="84">
        <f t="shared" si="224"/>
        <v>1.2795922555863497</v>
      </c>
      <c r="O240" s="84">
        <f t="shared" si="224"/>
        <v>0</v>
      </c>
      <c r="P240" s="84">
        <f t="shared" si="224"/>
        <v>0</v>
      </c>
      <c r="Q240" s="84">
        <f t="shared" si="222"/>
        <v>-4.8999999999999998E-4</v>
      </c>
      <c r="R240" s="84">
        <f t="shared" si="222"/>
        <v>-9.7999999999999997E-4</v>
      </c>
      <c r="S240" s="84">
        <f t="shared" si="222"/>
        <v>-1.47E-3</v>
      </c>
      <c r="T240" s="84">
        <f t="shared" ref="T240:AC240" si="225">+S240+(0.711/100)</f>
        <v>5.64E-3</v>
      </c>
      <c r="U240" s="84">
        <f t="shared" si="225"/>
        <v>1.2750000000000001E-2</v>
      </c>
      <c r="V240" s="84">
        <f t="shared" si="225"/>
        <v>1.9860000000000003E-2</v>
      </c>
      <c r="W240" s="84">
        <f t="shared" si="225"/>
        <v>2.6970000000000001E-2</v>
      </c>
      <c r="X240" s="84">
        <f t="shared" si="225"/>
        <v>3.4079999999999999E-2</v>
      </c>
      <c r="Y240" s="84">
        <f t="shared" si="225"/>
        <v>4.1189999999999997E-2</v>
      </c>
      <c r="Z240" s="84">
        <f t="shared" si="225"/>
        <v>4.8299999999999996E-2</v>
      </c>
      <c r="AA240" s="84">
        <f t="shared" si="225"/>
        <v>5.5409999999999994E-2</v>
      </c>
      <c r="AB240" s="84">
        <f t="shared" si="225"/>
        <v>6.2519999999999992E-2</v>
      </c>
      <c r="AC240" s="84">
        <f t="shared" si="225"/>
        <v>6.9629999999999997E-2</v>
      </c>
    </row>
    <row r="241" spans="1:29" x14ac:dyDescent="0.25">
      <c r="A241" s="54" t="s">
        <v>6</v>
      </c>
      <c r="B241" s="86" t="s">
        <v>21</v>
      </c>
      <c r="C241" s="86"/>
      <c r="D241" s="84">
        <f t="shared" ref="D241:P241" si="226">+D120</f>
        <v>0</v>
      </c>
      <c r="E241" s="84" t="e">
        <f t="shared" si="226"/>
        <v>#VALUE!</v>
      </c>
      <c r="F241" s="84">
        <f t="shared" si="226"/>
        <v>0</v>
      </c>
      <c r="G241" s="84" t="e">
        <f t="shared" si="226"/>
        <v>#VALUE!</v>
      </c>
      <c r="H241" s="84">
        <f t="shared" si="226"/>
        <v>0</v>
      </c>
      <c r="I241" s="84" t="e">
        <f t="shared" si="226"/>
        <v>#VALUE!</v>
      </c>
      <c r="J241" s="84">
        <f t="shared" si="226"/>
        <v>0</v>
      </c>
      <c r="K241" s="84" t="e">
        <f t="shared" si="226"/>
        <v>#VALUE!</v>
      </c>
      <c r="L241" s="84">
        <f t="shared" si="226"/>
        <v>40.39391371126753</v>
      </c>
      <c r="M241" s="84">
        <f t="shared" si="226"/>
        <v>12.235586305197812</v>
      </c>
      <c r="N241" s="84">
        <f t="shared" si="226"/>
        <v>12.235586305197812</v>
      </c>
      <c r="O241" s="84">
        <f t="shared" si="226"/>
        <v>0</v>
      </c>
      <c r="P241" s="84">
        <f t="shared" si="226"/>
        <v>0</v>
      </c>
      <c r="Q241" s="84">
        <f t="shared" si="222"/>
        <v>-4.8999999999999998E-4</v>
      </c>
      <c r="R241" s="84">
        <f t="shared" si="222"/>
        <v>-9.7999999999999997E-4</v>
      </c>
      <c r="S241" s="84">
        <f t="shared" si="222"/>
        <v>-1.47E-3</v>
      </c>
      <c r="T241" s="84">
        <f t="shared" ref="T241:AC241" si="227">+S241+(0.711/100)</f>
        <v>5.64E-3</v>
      </c>
      <c r="U241" s="84">
        <f t="shared" si="227"/>
        <v>1.2750000000000001E-2</v>
      </c>
      <c r="V241" s="84">
        <f t="shared" si="227"/>
        <v>1.9860000000000003E-2</v>
      </c>
      <c r="W241" s="84">
        <f t="shared" si="227"/>
        <v>2.6970000000000001E-2</v>
      </c>
      <c r="X241" s="84">
        <f t="shared" si="227"/>
        <v>3.4079999999999999E-2</v>
      </c>
      <c r="Y241" s="84">
        <f t="shared" si="227"/>
        <v>4.1189999999999997E-2</v>
      </c>
      <c r="Z241" s="84">
        <f t="shared" si="227"/>
        <v>4.8299999999999996E-2</v>
      </c>
      <c r="AA241" s="84">
        <f t="shared" si="227"/>
        <v>5.5409999999999994E-2</v>
      </c>
      <c r="AB241" s="84">
        <f t="shared" si="227"/>
        <v>6.2519999999999992E-2</v>
      </c>
      <c r="AC241" s="84">
        <f t="shared" si="227"/>
        <v>6.9629999999999997E-2</v>
      </c>
    </row>
    <row r="242" spans="1:29" x14ac:dyDescent="0.25">
      <c r="A242" s="54" t="s">
        <v>6</v>
      </c>
      <c r="B242" s="86" t="s">
        <v>22</v>
      </c>
      <c r="C242" s="86"/>
      <c r="D242" s="84">
        <f t="shared" ref="D242:P242" si="228">+D121</f>
        <v>0</v>
      </c>
      <c r="E242" s="84" t="e">
        <f t="shared" si="228"/>
        <v>#VALUE!</v>
      </c>
      <c r="F242" s="84">
        <f t="shared" si="228"/>
        <v>0</v>
      </c>
      <c r="G242" s="84" t="e">
        <f t="shared" si="228"/>
        <v>#VALUE!</v>
      </c>
      <c r="H242" s="84">
        <f t="shared" si="228"/>
        <v>0</v>
      </c>
      <c r="I242" s="84" t="e">
        <f t="shared" si="228"/>
        <v>#VALUE!</v>
      </c>
      <c r="J242" s="84">
        <f t="shared" si="228"/>
        <v>0</v>
      </c>
      <c r="K242" s="84" t="e">
        <f t="shared" si="228"/>
        <v>#VALUE!</v>
      </c>
      <c r="L242" s="84">
        <f t="shared" si="228"/>
        <v>16.419865432633753</v>
      </c>
      <c r="M242" s="84">
        <f t="shared" si="228"/>
        <v>4.973686928599923</v>
      </c>
      <c r="N242" s="84">
        <f t="shared" si="228"/>
        <v>4.973686928599923</v>
      </c>
      <c r="O242" s="84">
        <f t="shared" si="228"/>
        <v>0</v>
      </c>
      <c r="P242" s="84">
        <f t="shared" si="228"/>
        <v>0</v>
      </c>
      <c r="Q242" s="84">
        <f t="shared" si="222"/>
        <v>-4.8999999999999998E-4</v>
      </c>
      <c r="R242" s="84">
        <f t="shared" si="222"/>
        <v>-9.7999999999999997E-4</v>
      </c>
      <c r="S242" s="84">
        <f t="shared" si="222"/>
        <v>-1.47E-3</v>
      </c>
      <c r="T242" s="84">
        <f t="shared" ref="T242:AC242" si="229">+S242+(0.711/100)</f>
        <v>5.64E-3</v>
      </c>
      <c r="U242" s="84">
        <f t="shared" si="229"/>
        <v>1.2750000000000001E-2</v>
      </c>
      <c r="V242" s="84">
        <f t="shared" si="229"/>
        <v>1.9860000000000003E-2</v>
      </c>
      <c r="W242" s="84">
        <f t="shared" si="229"/>
        <v>2.6970000000000001E-2</v>
      </c>
      <c r="X242" s="84">
        <f t="shared" si="229"/>
        <v>3.4079999999999999E-2</v>
      </c>
      <c r="Y242" s="84">
        <f t="shared" si="229"/>
        <v>4.1189999999999997E-2</v>
      </c>
      <c r="Z242" s="84">
        <f t="shared" si="229"/>
        <v>4.8299999999999996E-2</v>
      </c>
      <c r="AA242" s="84">
        <f t="shared" si="229"/>
        <v>5.5409999999999994E-2</v>
      </c>
      <c r="AB242" s="84">
        <f t="shared" si="229"/>
        <v>6.2519999999999992E-2</v>
      </c>
      <c r="AC242" s="84">
        <f t="shared" si="229"/>
        <v>6.9629999999999997E-2</v>
      </c>
    </row>
    <row r="243" spans="1:29" x14ac:dyDescent="0.25">
      <c r="A243" s="54" t="s">
        <v>6</v>
      </c>
      <c r="B243" s="86" t="s">
        <v>23</v>
      </c>
      <c r="C243" s="86"/>
      <c r="D243" s="84">
        <f t="shared" ref="D243:P243" si="230">+D122</f>
        <v>0</v>
      </c>
      <c r="E243" s="84" t="e">
        <f t="shared" si="230"/>
        <v>#VALUE!</v>
      </c>
      <c r="F243" s="84">
        <f t="shared" si="230"/>
        <v>0</v>
      </c>
      <c r="G243" s="84" t="e">
        <f t="shared" si="230"/>
        <v>#VALUE!</v>
      </c>
      <c r="H243" s="84">
        <f t="shared" si="230"/>
        <v>0</v>
      </c>
      <c r="I243" s="84" t="e">
        <f t="shared" si="230"/>
        <v>#VALUE!</v>
      </c>
      <c r="J243" s="84">
        <f t="shared" si="230"/>
        <v>0</v>
      </c>
      <c r="K243" s="84" t="e">
        <f t="shared" si="230"/>
        <v>#VALUE!</v>
      </c>
      <c r="L243" s="84">
        <f t="shared" si="230"/>
        <v>11.307936144501475</v>
      </c>
      <c r="M243" s="84">
        <f t="shared" si="230"/>
        <v>3.4252493981814767</v>
      </c>
      <c r="N243" s="84">
        <f t="shared" si="230"/>
        <v>3.4252493981814767</v>
      </c>
      <c r="O243" s="84">
        <f t="shared" si="230"/>
        <v>0</v>
      </c>
      <c r="P243" s="84">
        <f t="shared" si="230"/>
        <v>0</v>
      </c>
      <c r="Q243" s="84">
        <f t="shared" si="222"/>
        <v>-4.8999999999999998E-4</v>
      </c>
      <c r="R243" s="84">
        <f t="shared" si="222"/>
        <v>-9.7999999999999997E-4</v>
      </c>
      <c r="S243" s="84">
        <f t="shared" si="222"/>
        <v>-1.47E-3</v>
      </c>
      <c r="T243" s="84">
        <f t="shared" ref="T243:AC243" si="231">+S243+(0.711/100)</f>
        <v>5.64E-3</v>
      </c>
      <c r="U243" s="84">
        <f t="shared" si="231"/>
        <v>1.2750000000000001E-2</v>
      </c>
      <c r="V243" s="84">
        <f t="shared" si="231"/>
        <v>1.9860000000000003E-2</v>
      </c>
      <c r="W243" s="84">
        <f t="shared" si="231"/>
        <v>2.6970000000000001E-2</v>
      </c>
      <c r="X243" s="84">
        <f t="shared" si="231"/>
        <v>3.4079999999999999E-2</v>
      </c>
      <c r="Y243" s="84">
        <f t="shared" si="231"/>
        <v>4.1189999999999997E-2</v>
      </c>
      <c r="Z243" s="84">
        <f t="shared" si="231"/>
        <v>4.8299999999999996E-2</v>
      </c>
      <c r="AA243" s="84">
        <f t="shared" si="231"/>
        <v>5.5409999999999994E-2</v>
      </c>
      <c r="AB243" s="84">
        <f t="shared" si="231"/>
        <v>6.2519999999999992E-2</v>
      </c>
      <c r="AC243" s="84">
        <f t="shared" si="231"/>
        <v>6.9629999999999997E-2</v>
      </c>
    </row>
    <row r="244" spans="1:29" x14ac:dyDescent="0.25">
      <c r="A244" s="54" t="s">
        <v>6</v>
      </c>
      <c r="B244" s="86" t="s">
        <v>24</v>
      </c>
      <c r="C244" s="86"/>
      <c r="D244" s="84">
        <f t="shared" ref="D244:P244" si="232">+D123</f>
        <v>0</v>
      </c>
      <c r="E244" s="84" t="e">
        <f t="shared" si="232"/>
        <v>#VALUE!</v>
      </c>
      <c r="F244" s="84">
        <f t="shared" si="232"/>
        <v>0</v>
      </c>
      <c r="G244" s="84" t="e">
        <f t="shared" si="232"/>
        <v>#VALUE!</v>
      </c>
      <c r="H244" s="84">
        <f t="shared" si="232"/>
        <v>0</v>
      </c>
      <c r="I244" s="84" t="e">
        <f t="shared" si="232"/>
        <v>#VALUE!</v>
      </c>
      <c r="J244" s="84">
        <f t="shared" si="232"/>
        <v>0</v>
      </c>
      <c r="K244" s="84" t="e">
        <f t="shared" si="232"/>
        <v>#VALUE!</v>
      </c>
      <c r="L244" s="84">
        <f t="shared" si="232"/>
        <v>82.745790549289026</v>
      </c>
      <c r="M244" s="84">
        <f t="shared" si="232"/>
        <v>25.064252721202283</v>
      </c>
      <c r="N244" s="84">
        <f t="shared" si="232"/>
        <v>25.064252721202283</v>
      </c>
      <c r="O244" s="84">
        <f t="shared" si="232"/>
        <v>0</v>
      </c>
      <c r="P244" s="84">
        <f t="shared" si="232"/>
        <v>0</v>
      </c>
      <c r="Q244" s="84">
        <f t="shared" si="222"/>
        <v>-4.8999999999999998E-4</v>
      </c>
      <c r="R244" s="84">
        <f t="shared" si="222"/>
        <v>-9.7999999999999997E-4</v>
      </c>
      <c r="S244" s="84">
        <f t="shared" si="222"/>
        <v>-1.47E-3</v>
      </c>
      <c r="T244" s="84">
        <f t="shared" ref="T244:AC244" si="233">+S244+(0.711/100)</f>
        <v>5.64E-3</v>
      </c>
      <c r="U244" s="84">
        <f t="shared" si="233"/>
        <v>1.2750000000000001E-2</v>
      </c>
      <c r="V244" s="84">
        <f t="shared" si="233"/>
        <v>1.9860000000000003E-2</v>
      </c>
      <c r="W244" s="84">
        <f t="shared" si="233"/>
        <v>2.6970000000000001E-2</v>
      </c>
      <c r="X244" s="84">
        <f t="shared" si="233"/>
        <v>3.4079999999999999E-2</v>
      </c>
      <c r="Y244" s="84">
        <f t="shared" si="233"/>
        <v>4.1189999999999997E-2</v>
      </c>
      <c r="Z244" s="84">
        <f t="shared" si="233"/>
        <v>4.8299999999999996E-2</v>
      </c>
      <c r="AA244" s="84">
        <f t="shared" si="233"/>
        <v>5.5409999999999994E-2</v>
      </c>
      <c r="AB244" s="84">
        <f t="shared" si="233"/>
        <v>6.2519999999999992E-2</v>
      </c>
      <c r="AC244" s="84">
        <f t="shared" si="233"/>
        <v>6.9629999999999997E-2</v>
      </c>
    </row>
    <row r="245" spans="1:29" x14ac:dyDescent="0.25">
      <c r="A245" s="54" t="s">
        <v>6</v>
      </c>
      <c r="B245" s="86" t="s">
        <v>25</v>
      </c>
      <c r="C245" s="86"/>
      <c r="D245" s="84">
        <f t="shared" ref="D245:P245" si="234">+D124</f>
        <v>0</v>
      </c>
      <c r="E245" s="84" t="e">
        <f t="shared" si="234"/>
        <v>#VALUE!</v>
      </c>
      <c r="F245" s="84">
        <f t="shared" si="234"/>
        <v>0</v>
      </c>
      <c r="G245" s="84" t="e">
        <f t="shared" si="234"/>
        <v>#VALUE!</v>
      </c>
      <c r="H245" s="84">
        <f t="shared" si="234"/>
        <v>0</v>
      </c>
      <c r="I245" s="84" t="e">
        <f t="shared" si="234"/>
        <v>#VALUE!</v>
      </c>
      <c r="J245" s="84">
        <f t="shared" si="234"/>
        <v>0</v>
      </c>
      <c r="K245" s="84" t="e">
        <f t="shared" si="234"/>
        <v>#VALUE!</v>
      </c>
      <c r="L245" s="84">
        <f t="shared" si="234"/>
        <v>9.1675865101659628</v>
      </c>
      <c r="M245" s="84">
        <f t="shared" si="234"/>
        <v>2.7769231958381342</v>
      </c>
      <c r="N245" s="84">
        <f t="shared" si="234"/>
        <v>2.7769231958381342</v>
      </c>
      <c r="O245" s="84">
        <f t="shared" si="234"/>
        <v>0</v>
      </c>
      <c r="P245" s="84">
        <f t="shared" si="234"/>
        <v>0</v>
      </c>
      <c r="Q245" s="84">
        <f t="shared" si="222"/>
        <v>-4.8999999999999998E-4</v>
      </c>
      <c r="R245" s="84">
        <f t="shared" si="222"/>
        <v>-9.7999999999999997E-4</v>
      </c>
      <c r="S245" s="84">
        <f t="shared" si="222"/>
        <v>-1.47E-3</v>
      </c>
      <c r="T245" s="84">
        <f t="shared" ref="T245:AC245" si="235">+S245+(0.711/100)</f>
        <v>5.64E-3</v>
      </c>
      <c r="U245" s="84">
        <f t="shared" si="235"/>
        <v>1.2750000000000001E-2</v>
      </c>
      <c r="V245" s="84">
        <f t="shared" si="235"/>
        <v>1.9860000000000003E-2</v>
      </c>
      <c r="W245" s="84">
        <f t="shared" si="235"/>
        <v>2.6970000000000001E-2</v>
      </c>
      <c r="X245" s="84">
        <f t="shared" si="235"/>
        <v>3.4079999999999999E-2</v>
      </c>
      <c r="Y245" s="84">
        <f t="shared" si="235"/>
        <v>4.1189999999999997E-2</v>
      </c>
      <c r="Z245" s="84">
        <f t="shared" si="235"/>
        <v>4.8299999999999996E-2</v>
      </c>
      <c r="AA245" s="84">
        <f t="shared" si="235"/>
        <v>5.5409999999999994E-2</v>
      </c>
      <c r="AB245" s="84">
        <f t="shared" si="235"/>
        <v>6.2519999999999992E-2</v>
      </c>
      <c r="AC245" s="84">
        <f t="shared" si="235"/>
        <v>6.9629999999999997E-2</v>
      </c>
    </row>
    <row r="246" spans="1:29" x14ac:dyDescent="0.25">
      <c r="A246" s="54" t="s">
        <v>6</v>
      </c>
      <c r="B246" s="86" t="s">
        <v>26</v>
      </c>
      <c r="C246" s="86"/>
      <c r="D246" s="84">
        <f t="shared" ref="D246:P246" si="236">+D125</f>
        <v>0</v>
      </c>
      <c r="E246" s="84" t="e">
        <f t="shared" si="236"/>
        <v>#VALUE!</v>
      </c>
      <c r="F246" s="84">
        <f t="shared" si="236"/>
        <v>0</v>
      </c>
      <c r="G246" s="84" t="e">
        <f t="shared" si="236"/>
        <v>#VALUE!</v>
      </c>
      <c r="H246" s="84">
        <f t="shared" si="236"/>
        <v>0</v>
      </c>
      <c r="I246" s="84" t="e">
        <f t="shared" si="236"/>
        <v>#VALUE!</v>
      </c>
      <c r="J246" s="84">
        <f t="shared" si="236"/>
        <v>0</v>
      </c>
      <c r="K246" s="84" t="e">
        <f t="shared" si="236"/>
        <v>#VALUE!</v>
      </c>
      <c r="L246" s="84">
        <f t="shared" si="236"/>
        <v>2.2767896253245357</v>
      </c>
      <c r="M246" s="84">
        <f t="shared" si="236"/>
        <v>0.68965478706923711</v>
      </c>
      <c r="N246" s="84">
        <f t="shared" si="236"/>
        <v>0.68965478706923711</v>
      </c>
      <c r="O246" s="84">
        <f t="shared" si="236"/>
        <v>0</v>
      </c>
      <c r="P246" s="84">
        <f t="shared" si="236"/>
        <v>0</v>
      </c>
      <c r="Q246" s="84">
        <f t="shared" si="222"/>
        <v>-4.8999999999999998E-4</v>
      </c>
      <c r="R246" s="84">
        <f t="shared" si="222"/>
        <v>-9.7999999999999997E-4</v>
      </c>
      <c r="S246" s="84">
        <f t="shared" si="222"/>
        <v>-1.47E-3</v>
      </c>
      <c r="T246" s="84">
        <f t="shared" ref="T246:AC246" si="237">+S246+(0.711/100)</f>
        <v>5.64E-3</v>
      </c>
      <c r="U246" s="84">
        <f t="shared" si="237"/>
        <v>1.2750000000000001E-2</v>
      </c>
      <c r="V246" s="84">
        <f t="shared" si="237"/>
        <v>1.9860000000000003E-2</v>
      </c>
      <c r="W246" s="84">
        <f t="shared" si="237"/>
        <v>2.6970000000000001E-2</v>
      </c>
      <c r="X246" s="84">
        <f t="shared" si="237"/>
        <v>3.4079999999999999E-2</v>
      </c>
      <c r="Y246" s="84">
        <f t="shared" si="237"/>
        <v>4.1189999999999997E-2</v>
      </c>
      <c r="Z246" s="84">
        <f t="shared" si="237"/>
        <v>4.8299999999999996E-2</v>
      </c>
      <c r="AA246" s="84">
        <f t="shared" si="237"/>
        <v>5.5409999999999994E-2</v>
      </c>
      <c r="AB246" s="84">
        <f t="shared" si="237"/>
        <v>6.2519999999999992E-2</v>
      </c>
      <c r="AC246" s="84">
        <f t="shared" si="237"/>
        <v>6.9629999999999997E-2</v>
      </c>
    </row>
    <row r="247" spans="1:29" x14ac:dyDescent="0.25">
      <c r="A247" s="54" t="s">
        <v>6</v>
      </c>
      <c r="B247" s="86" t="s">
        <v>27</v>
      </c>
      <c r="C247" s="86"/>
      <c r="D247" s="84">
        <f t="shared" ref="D247:P247" si="238">+D126</f>
        <v>0</v>
      </c>
      <c r="E247" s="84" t="e">
        <f t="shared" si="238"/>
        <v>#VALUE!</v>
      </c>
      <c r="F247" s="84">
        <f t="shared" si="238"/>
        <v>0</v>
      </c>
      <c r="G247" s="84" t="e">
        <f t="shared" si="238"/>
        <v>#VALUE!</v>
      </c>
      <c r="H247" s="84">
        <f t="shared" si="238"/>
        <v>0</v>
      </c>
      <c r="I247" s="84" t="e">
        <f t="shared" si="238"/>
        <v>#VALUE!</v>
      </c>
      <c r="J247" s="84">
        <f t="shared" si="238"/>
        <v>0</v>
      </c>
      <c r="K247" s="84" t="e">
        <f t="shared" si="238"/>
        <v>#VALUE!</v>
      </c>
      <c r="L247" s="84">
        <f t="shared" si="238"/>
        <v>9.521144487657935</v>
      </c>
      <c r="M247" s="84">
        <f t="shared" si="238"/>
        <v>2.8840182690814955</v>
      </c>
      <c r="N247" s="84">
        <f t="shared" si="238"/>
        <v>2.8840182690814955</v>
      </c>
      <c r="O247" s="84">
        <f t="shared" si="238"/>
        <v>0</v>
      </c>
      <c r="P247" s="84">
        <f t="shared" si="238"/>
        <v>0</v>
      </c>
      <c r="Q247" s="84">
        <f t="shared" si="222"/>
        <v>-4.8999999999999998E-4</v>
      </c>
      <c r="R247" s="84">
        <f t="shared" si="222"/>
        <v>-9.7999999999999997E-4</v>
      </c>
      <c r="S247" s="84">
        <f t="shared" si="222"/>
        <v>-1.47E-3</v>
      </c>
      <c r="T247" s="84">
        <f t="shared" ref="T247:AC247" si="239">+S247+(0.711/100)</f>
        <v>5.64E-3</v>
      </c>
      <c r="U247" s="84">
        <f t="shared" si="239"/>
        <v>1.2750000000000001E-2</v>
      </c>
      <c r="V247" s="84">
        <f t="shared" si="239"/>
        <v>1.9860000000000003E-2</v>
      </c>
      <c r="W247" s="84">
        <f t="shared" si="239"/>
        <v>2.6970000000000001E-2</v>
      </c>
      <c r="X247" s="84">
        <f t="shared" si="239"/>
        <v>3.4079999999999999E-2</v>
      </c>
      <c r="Y247" s="84">
        <f t="shared" si="239"/>
        <v>4.1189999999999997E-2</v>
      </c>
      <c r="Z247" s="84">
        <f t="shared" si="239"/>
        <v>4.8299999999999996E-2</v>
      </c>
      <c r="AA247" s="84">
        <f t="shared" si="239"/>
        <v>5.5409999999999994E-2</v>
      </c>
      <c r="AB247" s="84">
        <f t="shared" si="239"/>
        <v>6.2519999999999992E-2</v>
      </c>
      <c r="AC247" s="84">
        <f t="shared" si="239"/>
        <v>6.9629999999999997E-2</v>
      </c>
    </row>
    <row r="249" spans="1:29" x14ac:dyDescent="0.25">
      <c r="A249" s="1" t="s">
        <v>105</v>
      </c>
      <c r="B249" s="65" t="s">
        <v>106</v>
      </c>
      <c r="C249" s="65"/>
      <c r="D249" s="1">
        <v>2010</v>
      </c>
      <c r="E249" s="1">
        <v>2011</v>
      </c>
      <c r="F249" s="1">
        <v>2012</v>
      </c>
      <c r="G249" s="1">
        <v>2013</v>
      </c>
      <c r="H249" s="1">
        <v>2014</v>
      </c>
      <c r="I249" s="1">
        <v>2015</v>
      </c>
      <c r="J249" s="1">
        <v>2016</v>
      </c>
      <c r="K249" s="1">
        <v>2017</v>
      </c>
      <c r="L249" s="1">
        <v>2018</v>
      </c>
      <c r="M249" s="1">
        <v>2019</v>
      </c>
      <c r="N249" s="1">
        <v>2020</v>
      </c>
      <c r="O249" s="1">
        <v>2021</v>
      </c>
      <c r="P249" s="1">
        <v>2022</v>
      </c>
      <c r="Q249" s="1">
        <v>2023</v>
      </c>
      <c r="R249" s="1">
        <v>2024</v>
      </c>
      <c r="S249" s="1">
        <v>2025</v>
      </c>
      <c r="T249" s="1">
        <v>2026</v>
      </c>
      <c r="U249" s="1">
        <v>2027</v>
      </c>
      <c r="V249" s="1">
        <v>2028</v>
      </c>
      <c r="W249" s="1">
        <v>2029</v>
      </c>
      <c r="X249" s="1">
        <v>2030</v>
      </c>
      <c r="Y249" s="1">
        <v>2031</v>
      </c>
      <c r="Z249" s="1">
        <v>2032</v>
      </c>
      <c r="AA249" s="1">
        <v>2033</v>
      </c>
      <c r="AB249" s="1">
        <v>2034</v>
      </c>
      <c r="AC249" s="1">
        <v>2035</v>
      </c>
    </row>
    <row r="250" spans="1:29" x14ac:dyDescent="0.25">
      <c r="A250" s="54" t="s">
        <v>113</v>
      </c>
      <c r="B250" s="86" t="s">
        <v>18</v>
      </c>
      <c r="C250" s="86"/>
      <c r="D250" s="84">
        <f t="shared" ref="D250:P250" si="240">+D129</f>
        <v>1.9608849868055968E-2</v>
      </c>
      <c r="E250" s="84">
        <f t="shared" si="240"/>
        <v>1.9608849868055968E-2</v>
      </c>
      <c r="F250" s="84">
        <f t="shared" si="240"/>
        <v>1.9608849868055968E-2</v>
      </c>
      <c r="G250" s="84">
        <f t="shared" si="240"/>
        <v>1.9608849868055968E-2</v>
      </c>
      <c r="H250" s="84">
        <f t="shared" si="240"/>
        <v>1.9608849868055968E-2</v>
      </c>
      <c r="I250" s="84">
        <f t="shared" si="240"/>
        <v>3.8212746180374069E-2</v>
      </c>
      <c r="J250" s="84">
        <f t="shared" si="240"/>
        <v>5.6816642492692165E-2</v>
      </c>
      <c r="K250" s="84">
        <f t="shared" si="240"/>
        <v>0.25447384916269633</v>
      </c>
      <c r="L250" s="84">
        <f t="shared" si="240"/>
        <v>0.45213105583270052</v>
      </c>
      <c r="M250" s="84">
        <f t="shared" si="240"/>
        <v>1.808916400328163E-2</v>
      </c>
      <c r="N250" s="84">
        <f t="shared" si="240"/>
        <v>1.808916400328163E-2</v>
      </c>
      <c r="O250" s="84">
        <f t="shared" si="240"/>
        <v>9.3644513651134784E-2</v>
      </c>
      <c r="P250" s="84">
        <f t="shared" si="240"/>
        <v>9.3644513651134784E-2</v>
      </c>
      <c r="Q250" s="84">
        <f t="shared" ref="Q250:S258" si="241">+P250-(0.049/100)</f>
        <v>9.3154513651134779E-2</v>
      </c>
      <c r="R250" s="84">
        <f t="shared" si="241"/>
        <v>9.2664513651134775E-2</v>
      </c>
      <c r="S250" s="84">
        <f t="shared" si="241"/>
        <v>9.2174513651134771E-2</v>
      </c>
      <c r="T250" s="84">
        <f t="shared" ref="T250:AC250" si="242">+S250+(0.711/100)</f>
        <v>9.9284513651134776E-2</v>
      </c>
      <c r="U250" s="84">
        <f t="shared" si="242"/>
        <v>0.10639451365113478</v>
      </c>
      <c r="V250" s="84">
        <f t="shared" si="242"/>
        <v>0.11350451365113479</v>
      </c>
      <c r="W250" s="84">
        <f t="shared" si="242"/>
        <v>0.12061451365113479</v>
      </c>
      <c r="X250" s="84">
        <f t="shared" si="242"/>
        <v>0.1277245136511348</v>
      </c>
      <c r="Y250" s="84">
        <f t="shared" si="242"/>
        <v>0.1348345136511348</v>
      </c>
      <c r="Z250" s="84">
        <f t="shared" si="242"/>
        <v>0.14194451365113481</v>
      </c>
      <c r="AA250" s="84">
        <f t="shared" si="242"/>
        <v>0.14905451365113481</v>
      </c>
      <c r="AB250" s="84">
        <f t="shared" si="242"/>
        <v>0.15616451365113482</v>
      </c>
      <c r="AC250" s="84">
        <f t="shared" si="242"/>
        <v>0.16327451365113482</v>
      </c>
    </row>
    <row r="251" spans="1:29" x14ac:dyDescent="0.25">
      <c r="A251" s="54" t="s">
        <v>113</v>
      </c>
      <c r="B251" s="86" t="s">
        <v>20</v>
      </c>
      <c r="C251" s="86"/>
      <c r="D251" s="84">
        <f t="shared" ref="D251:P251" si="243">+D130</f>
        <v>0.19148406368669654</v>
      </c>
      <c r="E251" s="84">
        <f t="shared" si="243"/>
        <v>0.19148406368669654</v>
      </c>
      <c r="F251" s="84">
        <f t="shared" si="243"/>
        <v>0.19148406368669654</v>
      </c>
      <c r="G251" s="84">
        <f t="shared" si="243"/>
        <v>0.19148406368669654</v>
      </c>
      <c r="H251" s="84">
        <f t="shared" si="243"/>
        <v>0.19148406368669654</v>
      </c>
      <c r="I251" s="84">
        <f t="shared" si="243"/>
        <v>0.37315456910944989</v>
      </c>
      <c r="J251" s="84">
        <f t="shared" si="243"/>
        <v>0.5548250745322032</v>
      </c>
      <c r="K251" s="84">
        <f t="shared" si="243"/>
        <v>2.4849844364941047</v>
      </c>
      <c r="L251" s="84">
        <f t="shared" si="243"/>
        <v>4.4151437984560058</v>
      </c>
      <c r="M251" s="84">
        <f t="shared" si="243"/>
        <v>0.17664404875097756</v>
      </c>
      <c r="N251" s="84">
        <f t="shared" si="243"/>
        <v>0.17664404875097756</v>
      </c>
      <c r="O251" s="84">
        <f t="shared" si="243"/>
        <v>0.91445608164378012</v>
      </c>
      <c r="P251" s="84">
        <f t="shared" si="243"/>
        <v>0.91445608164378012</v>
      </c>
      <c r="Q251" s="84">
        <f t="shared" si="241"/>
        <v>0.91396608164378013</v>
      </c>
      <c r="R251" s="84">
        <f t="shared" si="241"/>
        <v>0.91347608164378014</v>
      </c>
      <c r="S251" s="84">
        <f t="shared" si="241"/>
        <v>0.91298608164378015</v>
      </c>
      <c r="T251" s="84">
        <f t="shared" ref="T251:AC251" si="244">+S251+(0.711/100)</f>
        <v>0.92009608164378009</v>
      </c>
      <c r="U251" s="84">
        <f t="shared" si="244"/>
        <v>0.92720608164378004</v>
      </c>
      <c r="V251" s="84">
        <f t="shared" si="244"/>
        <v>0.93431608164377999</v>
      </c>
      <c r="W251" s="84">
        <f t="shared" si="244"/>
        <v>0.94142608164377994</v>
      </c>
      <c r="X251" s="84">
        <f t="shared" si="244"/>
        <v>0.94853608164377989</v>
      </c>
      <c r="Y251" s="84">
        <f t="shared" si="244"/>
        <v>0.95564608164377984</v>
      </c>
      <c r="Z251" s="84">
        <f t="shared" si="244"/>
        <v>0.96275608164377979</v>
      </c>
      <c r="AA251" s="84">
        <f t="shared" si="244"/>
        <v>0.96986608164377974</v>
      </c>
      <c r="AB251" s="84">
        <f t="shared" si="244"/>
        <v>0.97697608164377969</v>
      </c>
      <c r="AC251" s="84">
        <f t="shared" si="244"/>
        <v>0.98408608164377964</v>
      </c>
    </row>
    <row r="252" spans="1:29" x14ac:dyDescent="0.25">
      <c r="A252" s="54" t="s">
        <v>113</v>
      </c>
      <c r="B252" s="86" t="s">
        <v>21</v>
      </c>
      <c r="C252" s="86"/>
      <c r="D252" s="84">
        <f t="shared" ref="D252:P252" si="245">+D131</f>
        <v>1.8309893460827253</v>
      </c>
      <c r="E252" s="84">
        <f t="shared" si="245"/>
        <v>1.8309893460827253</v>
      </c>
      <c r="F252" s="84">
        <f t="shared" si="245"/>
        <v>1.8309893460827253</v>
      </c>
      <c r="G252" s="84">
        <f t="shared" si="245"/>
        <v>1.8309893460827253</v>
      </c>
      <c r="H252" s="84">
        <f t="shared" si="245"/>
        <v>1.8309893460827253</v>
      </c>
      <c r="I252" s="84">
        <f t="shared" si="245"/>
        <v>3.5681404881787109</v>
      </c>
      <c r="J252" s="84">
        <f t="shared" si="245"/>
        <v>5.3052916302746969</v>
      </c>
      <c r="K252" s="84">
        <f t="shared" si="245"/>
        <v>23.761664238788569</v>
      </c>
      <c r="L252" s="84">
        <f t="shared" si="245"/>
        <v>42.218036847302443</v>
      </c>
      <c r="M252" s="84">
        <f t="shared" si="245"/>
        <v>1.6890876717613141</v>
      </c>
      <c r="N252" s="84">
        <f t="shared" si="245"/>
        <v>1.6890876717613141</v>
      </c>
      <c r="O252" s="84">
        <f t="shared" si="245"/>
        <v>8.7441184958863154</v>
      </c>
      <c r="P252" s="84">
        <f t="shared" si="245"/>
        <v>8.7441184958863154</v>
      </c>
      <c r="Q252" s="84">
        <f t="shared" si="241"/>
        <v>8.7436284958863162</v>
      </c>
      <c r="R252" s="84">
        <f t="shared" si="241"/>
        <v>8.743138495886317</v>
      </c>
      <c r="S252" s="84">
        <f t="shared" si="241"/>
        <v>8.7426484958863178</v>
      </c>
      <c r="T252" s="84">
        <f t="shared" ref="T252:AC252" si="246">+S252+(0.711/100)</f>
        <v>8.7497584958863186</v>
      </c>
      <c r="U252" s="84">
        <f t="shared" si="246"/>
        <v>8.7568684958863194</v>
      </c>
      <c r="V252" s="84">
        <f t="shared" si="246"/>
        <v>8.7639784958863203</v>
      </c>
      <c r="W252" s="84">
        <f t="shared" si="246"/>
        <v>8.7710884958863211</v>
      </c>
      <c r="X252" s="84">
        <f t="shared" si="246"/>
        <v>8.778198495886322</v>
      </c>
      <c r="Y252" s="84">
        <f t="shared" si="246"/>
        <v>8.7853084958863228</v>
      </c>
      <c r="Z252" s="84">
        <f t="shared" si="246"/>
        <v>8.7924184958863236</v>
      </c>
      <c r="AA252" s="84">
        <f t="shared" si="246"/>
        <v>8.7995284958863245</v>
      </c>
      <c r="AB252" s="84">
        <f t="shared" si="246"/>
        <v>8.8066384958863253</v>
      </c>
      <c r="AC252" s="84">
        <f t="shared" si="246"/>
        <v>8.8137484958863261</v>
      </c>
    </row>
    <row r="253" spans="1:29" x14ac:dyDescent="0.25">
      <c r="A253" s="54" t="s">
        <v>113</v>
      </c>
      <c r="B253" s="86" t="s">
        <v>22</v>
      </c>
      <c r="C253" s="86"/>
      <c r="D253" s="84">
        <f t="shared" ref="D253:P253" si="247">+D132</f>
        <v>0.74428536155629221</v>
      </c>
      <c r="E253" s="84">
        <f t="shared" si="247"/>
        <v>0.74428536155629221</v>
      </c>
      <c r="F253" s="84">
        <f t="shared" si="247"/>
        <v>0.74428536155629221</v>
      </c>
      <c r="G253" s="84">
        <f t="shared" si="247"/>
        <v>0.74428536155629221</v>
      </c>
      <c r="H253" s="84">
        <f t="shared" si="247"/>
        <v>0.74428536155629221</v>
      </c>
      <c r="I253" s="84">
        <f t="shared" si="247"/>
        <v>1.4504260983328245</v>
      </c>
      <c r="J253" s="84">
        <f t="shared" si="247"/>
        <v>2.1565668351093565</v>
      </c>
      <c r="K253" s="84">
        <f t="shared" si="247"/>
        <v>9.658963279596783</v>
      </c>
      <c r="L253" s="84">
        <f t="shared" si="247"/>
        <v>17.161359724084207</v>
      </c>
      <c r="M253" s="84">
        <f t="shared" si="247"/>
        <v>0.68660324603567957</v>
      </c>
      <c r="N253" s="84">
        <f t="shared" si="247"/>
        <v>0.68660324603567957</v>
      </c>
      <c r="O253" s="84">
        <f t="shared" si="247"/>
        <v>3.5544277797822676</v>
      </c>
      <c r="P253" s="84">
        <f t="shared" si="247"/>
        <v>3.5544277797822676</v>
      </c>
      <c r="Q253" s="84">
        <f t="shared" si="241"/>
        <v>3.5539377797822675</v>
      </c>
      <c r="R253" s="84">
        <f t="shared" si="241"/>
        <v>3.5534477797822674</v>
      </c>
      <c r="S253" s="84">
        <f t="shared" si="241"/>
        <v>3.5529577797822673</v>
      </c>
      <c r="T253" s="84">
        <f t="shared" ref="T253:AC253" si="248">+S253+(0.711/100)</f>
        <v>3.5600677797822673</v>
      </c>
      <c r="U253" s="84">
        <f t="shared" si="248"/>
        <v>3.5671777797822672</v>
      </c>
      <c r="V253" s="84">
        <f t="shared" si="248"/>
        <v>3.5742877797822672</v>
      </c>
      <c r="W253" s="84">
        <f t="shared" si="248"/>
        <v>3.5813977797822671</v>
      </c>
      <c r="X253" s="84">
        <f t="shared" si="248"/>
        <v>3.5885077797822671</v>
      </c>
      <c r="Y253" s="84">
        <f t="shared" si="248"/>
        <v>3.595617779782267</v>
      </c>
      <c r="Z253" s="84">
        <f t="shared" si="248"/>
        <v>3.602727779782267</v>
      </c>
      <c r="AA253" s="84">
        <f t="shared" si="248"/>
        <v>3.6098377797822669</v>
      </c>
      <c r="AB253" s="84">
        <f t="shared" si="248"/>
        <v>3.6169477797822669</v>
      </c>
      <c r="AC253" s="84">
        <f t="shared" si="248"/>
        <v>3.6240577797822668</v>
      </c>
    </row>
    <row r="254" spans="1:29" x14ac:dyDescent="0.25">
      <c r="A254" s="54" t="s">
        <v>113</v>
      </c>
      <c r="B254" s="86" t="s">
        <v>23</v>
      </c>
      <c r="C254" s="86"/>
      <c r="D254" s="84">
        <f t="shared" ref="D254:P254" si="249">+D133</f>
        <v>0.51257005584459059</v>
      </c>
      <c r="E254" s="84">
        <f t="shared" si="249"/>
        <v>0.51257005584459059</v>
      </c>
      <c r="F254" s="84">
        <f t="shared" si="249"/>
        <v>0.51257005584459059</v>
      </c>
      <c r="G254" s="84">
        <f t="shared" si="249"/>
        <v>0.51257005584459059</v>
      </c>
      <c r="H254" s="84">
        <f t="shared" si="249"/>
        <v>0.51257005584459059</v>
      </c>
      <c r="I254" s="84">
        <f t="shared" si="249"/>
        <v>0.99887089632714587</v>
      </c>
      <c r="J254" s="84">
        <f t="shared" si="249"/>
        <v>1.4851717368097013</v>
      </c>
      <c r="K254" s="84">
        <f t="shared" si="249"/>
        <v>6.6518778997231749</v>
      </c>
      <c r="L254" s="84">
        <f t="shared" si="249"/>
        <v>11.818584062636647</v>
      </c>
      <c r="M254" s="84">
        <f t="shared" si="249"/>
        <v>0.47284587651663479</v>
      </c>
      <c r="N254" s="84">
        <f t="shared" si="249"/>
        <v>0.47284587651663479</v>
      </c>
      <c r="O254" s="84">
        <f t="shared" si="249"/>
        <v>2.4478423729428229</v>
      </c>
      <c r="P254" s="84">
        <f t="shared" si="249"/>
        <v>2.4478423729428229</v>
      </c>
      <c r="Q254" s="84">
        <f t="shared" si="241"/>
        <v>2.4473523729428228</v>
      </c>
      <c r="R254" s="84">
        <f t="shared" si="241"/>
        <v>2.4468623729428227</v>
      </c>
      <c r="S254" s="84">
        <f t="shared" si="241"/>
        <v>2.4463723729428226</v>
      </c>
      <c r="T254" s="84">
        <f t="shared" ref="T254:AC254" si="250">+S254+(0.711/100)</f>
        <v>2.4534823729428226</v>
      </c>
      <c r="U254" s="84">
        <f t="shared" si="250"/>
        <v>2.4605923729428225</v>
      </c>
      <c r="V254" s="84">
        <f t="shared" si="250"/>
        <v>2.4677023729428225</v>
      </c>
      <c r="W254" s="84">
        <f t="shared" si="250"/>
        <v>2.4748123729428224</v>
      </c>
      <c r="X254" s="84">
        <f t="shared" si="250"/>
        <v>2.4819223729428224</v>
      </c>
      <c r="Y254" s="84">
        <f t="shared" si="250"/>
        <v>2.4890323729428223</v>
      </c>
      <c r="Z254" s="84">
        <f t="shared" si="250"/>
        <v>2.4961423729428223</v>
      </c>
      <c r="AA254" s="84">
        <f t="shared" si="250"/>
        <v>2.5032523729428222</v>
      </c>
      <c r="AB254" s="84">
        <f t="shared" si="250"/>
        <v>2.5103623729428222</v>
      </c>
      <c r="AC254" s="84">
        <f t="shared" si="250"/>
        <v>2.5174723729428221</v>
      </c>
    </row>
    <row r="255" spans="1:29" x14ac:dyDescent="0.25">
      <c r="A255" s="54" t="s">
        <v>113</v>
      </c>
      <c r="B255" s="86" t="s">
        <v>24</v>
      </c>
      <c r="C255" s="86"/>
      <c r="D255" s="84">
        <f t="shared" ref="D255:P255" si="251">+D134</f>
        <v>3.750729924609395</v>
      </c>
      <c r="E255" s="84">
        <f t="shared" si="251"/>
        <v>3.750729924609395</v>
      </c>
      <c r="F255" s="84">
        <f t="shared" si="251"/>
        <v>3.750729924609395</v>
      </c>
      <c r="G255" s="84">
        <f t="shared" si="251"/>
        <v>3.750729924609395</v>
      </c>
      <c r="H255" s="84">
        <f t="shared" si="251"/>
        <v>3.750729924609395</v>
      </c>
      <c r="I255" s="84">
        <f t="shared" si="251"/>
        <v>7.3092349405825585</v>
      </c>
      <c r="J255" s="84">
        <f t="shared" si="251"/>
        <v>10.867739956555722</v>
      </c>
      <c r="K255" s="84">
        <f t="shared" si="251"/>
        <v>48.675097596618428</v>
      </c>
      <c r="L255" s="84">
        <f t="shared" si="251"/>
        <v>86.482455236681133</v>
      </c>
      <c r="M255" s="84">
        <f t="shared" si="251"/>
        <v>3.4600483554521668</v>
      </c>
      <c r="N255" s="84">
        <f t="shared" si="251"/>
        <v>3.4600483554521668</v>
      </c>
      <c r="O255" s="84">
        <f t="shared" si="251"/>
        <v>17.912079596212742</v>
      </c>
      <c r="P255" s="84">
        <f t="shared" si="251"/>
        <v>17.912079596212742</v>
      </c>
      <c r="Q255" s="84">
        <f t="shared" si="241"/>
        <v>17.911589596212742</v>
      </c>
      <c r="R255" s="84">
        <f t="shared" si="241"/>
        <v>17.911099596212743</v>
      </c>
      <c r="S255" s="84">
        <f t="shared" si="241"/>
        <v>17.910609596212744</v>
      </c>
      <c r="T255" s="84">
        <f t="shared" ref="T255:AC255" si="252">+S255+(0.711/100)</f>
        <v>17.917719596212745</v>
      </c>
      <c r="U255" s="84">
        <f t="shared" si="252"/>
        <v>17.924829596212746</v>
      </c>
      <c r="V255" s="84">
        <f t="shared" si="252"/>
        <v>17.931939596212747</v>
      </c>
      <c r="W255" s="84">
        <f t="shared" si="252"/>
        <v>17.939049596212747</v>
      </c>
      <c r="X255" s="84">
        <f t="shared" si="252"/>
        <v>17.946159596212748</v>
      </c>
      <c r="Y255" s="84">
        <f t="shared" si="252"/>
        <v>17.953269596212749</v>
      </c>
      <c r="Z255" s="84">
        <f t="shared" si="252"/>
        <v>17.96037959621275</v>
      </c>
      <c r="AA255" s="84">
        <f t="shared" si="252"/>
        <v>17.967489596212751</v>
      </c>
      <c r="AB255" s="84">
        <f t="shared" si="252"/>
        <v>17.974599596212752</v>
      </c>
      <c r="AC255" s="84">
        <f t="shared" si="252"/>
        <v>17.981709596212752</v>
      </c>
    </row>
    <row r="256" spans="1:29" x14ac:dyDescent="0.25">
      <c r="A256" s="54" t="s">
        <v>113</v>
      </c>
      <c r="B256" s="86" t="s">
        <v>25</v>
      </c>
      <c r="C256" s="86"/>
      <c r="D256" s="84">
        <f t="shared" ref="D256:P256" si="253">+D135</f>
        <v>0.41555154445763326</v>
      </c>
      <c r="E256" s="84">
        <f t="shared" si="253"/>
        <v>0.41555154445763326</v>
      </c>
      <c r="F256" s="84">
        <f t="shared" si="253"/>
        <v>0.41555154445763326</v>
      </c>
      <c r="G256" s="84">
        <f t="shared" si="253"/>
        <v>0.41555154445763326</v>
      </c>
      <c r="H256" s="84">
        <f t="shared" si="253"/>
        <v>0.41555154445763326</v>
      </c>
      <c r="I256" s="84">
        <f t="shared" si="253"/>
        <v>0.80980607226181278</v>
      </c>
      <c r="J256" s="84">
        <f t="shared" si="253"/>
        <v>1.2040606000659924</v>
      </c>
      <c r="K256" s="84">
        <f t="shared" si="253"/>
        <v>5.3928201681989361</v>
      </c>
      <c r="L256" s="84">
        <f t="shared" si="253"/>
        <v>9.5815797363318786</v>
      </c>
      <c r="M256" s="84">
        <f t="shared" si="253"/>
        <v>0.38334629976216666</v>
      </c>
      <c r="N256" s="84">
        <f t="shared" si="253"/>
        <v>0.38334629976216666</v>
      </c>
      <c r="O256" s="84">
        <f t="shared" si="253"/>
        <v>1.9845183445004848</v>
      </c>
      <c r="P256" s="84">
        <f t="shared" si="253"/>
        <v>1.9845183445004848</v>
      </c>
      <c r="Q256" s="84">
        <f t="shared" si="241"/>
        <v>1.9840283445004847</v>
      </c>
      <c r="R256" s="84">
        <f t="shared" si="241"/>
        <v>1.9835383445004846</v>
      </c>
      <c r="S256" s="84">
        <f t="shared" si="241"/>
        <v>1.9830483445004845</v>
      </c>
      <c r="T256" s="84">
        <f t="shared" ref="T256:AC256" si="254">+S256+(0.711/100)</f>
        <v>1.9901583445004845</v>
      </c>
      <c r="U256" s="84">
        <f t="shared" si="254"/>
        <v>1.9972683445004844</v>
      </c>
      <c r="V256" s="84">
        <f t="shared" si="254"/>
        <v>2.0043783445004846</v>
      </c>
      <c r="W256" s="84">
        <f t="shared" si="254"/>
        <v>2.0114883445004845</v>
      </c>
      <c r="X256" s="84">
        <f t="shared" si="254"/>
        <v>2.0185983445004845</v>
      </c>
      <c r="Y256" s="84">
        <f t="shared" si="254"/>
        <v>2.0257083445004844</v>
      </c>
      <c r="Z256" s="84">
        <f t="shared" si="254"/>
        <v>2.0328183445004844</v>
      </c>
      <c r="AA256" s="84">
        <f t="shared" si="254"/>
        <v>2.0399283445004843</v>
      </c>
      <c r="AB256" s="84">
        <f t="shared" si="254"/>
        <v>2.0470383445004843</v>
      </c>
      <c r="AC256" s="84">
        <f t="shared" si="254"/>
        <v>2.0541483445004842</v>
      </c>
    </row>
    <row r="257" spans="1:29" x14ac:dyDescent="0.25">
      <c r="A257" s="54" t="s">
        <v>113</v>
      </c>
      <c r="B257" s="86" t="s">
        <v>26</v>
      </c>
      <c r="C257" s="86"/>
      <c r="D257" s="84">
        <f t="shared" ref="D257:P257" si="255">+D136</f>
        <v>0.10320311067253829</v>
      </c>
      <c r="E257" s="84">
        <f t="shared" si="255"/>
        <v>0.10320311067253829</v>
      </c>
      <c r="F257" s="84">
        <f t="shared" si="255"/>
        <v>0.10320311067253829</v>
      </c>
      <c r="G257" s="84">
        <f t="shared" si="255"/>
        <v>0.10320311067253829</v>
      </c>
      <c r="H257" s="84">
        <f t="shared" si="255"/>
        <v>0.10320311067253829</v>
      </c>
      <c r="I257" s="84">
        <f t="shared" si="255"/>
        <v>0.20111706192310899</v>
      </c>
      <c r="J257" s="84">
        <f t="shared" si="255"/>
        <v>0.29903101317367969</v>
      </c>
      <c r="K257" s="84">
        <f t="shared" si="255"/>
        <v>1.3393183687528658</v>
      </c>
      <c r="L257" s="84">
        <f t="shared" si="255"/>
        <v>2.3796057243320519</v>
      </c>
      <c r="M257" s="84">
        <f t="shared" si="255"/>
        <v>9.5204869595416575E-2</v>
      </c>
      <c r="N257" s="84">
        <f t="shared" si="255"/>
        <v>9.5204869595416575E-2</v>
      </c>
      <c r="O257" s="84">
        <f t="shared" si="255"/>
        <v>0.49285935540554066</v>
      </c>
      <c r="P257" s="84">
        <f t="shared" si="255"/>
        <v>0.49285935540554066</v>
      </c>
      <c r="Q257" s="84">
        <f t="shared" si="241"/>
        <v>0.49236935540554067</v>
      </c>
      <c r="R257" s="84">
        <f t="shared" si="241"/>
        <v>0.49187935540554067</v>
      </c>
      <c r="S257" s="84">
        <f t="shared" si="241"/>
        <v>0.49138935540554068</v>
      </c>
      <c r="T257" s="84">
        <f t="shared" ref="T257:AC257" si="256">+S257+(0.711/100)</f>
        <v>0.49849935540554069</v>
      </c>
      <c r="U257" s="84">
        <f t="shared" si="256"/>
        <v>0.50560935540554064</v>
      </c>
      <c r="V257" s="84">
        <f t="shared" si="256"/>
        <v>0.51271935540554059</v>
      </c>
      <c r="W257" s="84">
        <f t="shared" si="256"/>
        <v>0.51982935540554054</v>
      </c>
      <c r="X257" s="84">
        <f t="shared" si="256"/>
        <v>0.52693935540554049</v>
      </c>
      <c r="Y257" s="84">
        <f t="shared" si="256"/>
        <v>0.53404935540554044</v>
      </c>
      <c r="Z257" s="84">
        <f t="shared" si="256"/>
        <v>0.54115935540554039</v>
      </c>
      <c r="AA257" s="84">
        <f t="shared" si="256"/>
        <v>0.54826935540554034</v>
      </c>
      <c r="AB257" s="84">
        <f t="shared" si="256"/>
        <v>0.55537935540554029</v>
      </c>
      <c r="AC257" s="84">
        <f t="shared" si="256"/>
        <v>0.56248935540554024</v>
      </c>
    </row>
    <row r="258" spans="1:29" x14ac:dyDescent="0.25">
      <c r="A258" s="54" t="s">
        <v>113</v>
      </c>
      <c r="B258" s="86" t="s">
        <v>27</v>
      </c>
      <c r="C258" s="86"/>
      <c r="D258" s="84">
        <f t="shared" ref="D258:P258" si="257">+D137</f>
        <v>0.43157774322207193</v>
      </c>
      <c r="E258" s="84">
        <f t="shared" si="257"/>
        <v>0.43157774322207193</v>
      </c>
      <c r="F258" s="84">
        <f t="shared" si="257"/>
        <v>0.43157774322207193</v>
      </c>
      <c r="G258" s="84">
        <f t="shared" si="257"/>
        <v>0.43157774322207193</v>
      </c>
      <c r="H258" s="84">
        <f t="shared" si="257"/>
        <v>0.43157774322207193</v>
      </c>
      <c r="I258" s="84">
        <f t="shared" si="257"/>
        <v>0.84103712710401268</v>
      </c>
      <c r="J258" s="84">
        <f t="shared" si="257"/>
        <v>1.2504965109859534</v>
      </c>
      <c r="K258" s="84">
        <f t="shared" si="257"/>
        <v>5.6008001626644388</v>
      </c>
      <c r="L258" s="84">
        <f t="shared" si="257"/>
        <v>9.9511038143429236</v>
      </c>
      <c r="M258" s="84">
        <f t="shared" si="257"/>
        <v>0.39813046812236136</v>
      </c>
      <c r="N258" s="84">
        <f t="shared" si="257"/>
        <v>0.39813046812236136</v>
      </c>
      <c r="O258" s="84">
        <f t="shared" si="257"/>
        <v>2.0610534599749073</v>
      </c>
      <c r="P258" s="84">
        <f t="shared" si="257"/>
        <v>2.0610534599749073</v>
      </c>
      <c r="Q258" s="84">
        <f t="shared" si="241"/>
        <v>2.0605634599749072</v>
      </c>
      <c r="R258" s="84">
        <f t="shared" si="241"/>
        <v>2.0600734599749071</v>
      </c>
      <c r="S258" s="84">
        <f t="shared" si="241"/>
        <v>2.059583459974907</v>
      </c>
      <c r="T258" s="84">
        <f t="shared" ref="T258:AC258" si="258">+S258+(0.711/100)</f>
        <v>2.0666934599749069</v>
      </c>
      <c r="U258" s="84">
        <f t="shared" si="258"/>
        <v>2.0738034599749069</v>
      </c>
      <c r="V258" s="84">
        <f t="shared" si="258"/>
        <v>2.0809134599749068</v>
      </c>
      <c r="W258" s="84">
        <f t="shared" si="258"/>
        <v>2.0880234599749068</v>
      </c>
      <c r="X258" s="84">
        <f t="shared" si="258"/>
        <v>2.0951334599749067</v>
      </c>
      <c r="Y258" s="84">
        <f t="shared" si="258"/>
        <v>2.1022434599749067</v>
      </c>
      <c r="Z258" s="84">
        <f t="shared" si="258"/>
        <v>2.1093534599749066</v>
      </c>
      <c r="AA258" s="84">
        <f t="shared" si="258"/>
        <v>2.1164634599749066</v>
      </c>
      <c r="AB258" s="84">
        <f t="shared" si="258"/>
        <v>2.1235734599749065</v>
      </c>
      <c r="AC258" s="84">
        <f t="shared" si="258"/>
        <v>2.1306834599749065</v>
      </c>
    </row>
    <row r="259" spans="1:29" ht="15.6" customHeight="1" x14ac:dyDescent="0.25"/>
    <row r="260" spans="1:29" x14ac:dyDescent="0.25">
      <c r="A260" s="81" t="s">
        <v>116</v>
      </c>
    </row>
    <row r="261" spans="1:29" x14ac:dyDescent="0.25">
      <c r="A261" s="1" t="s">
        <v>105</v>
      </c>
      <c r="B261" s="65" t="s">
        <v>106</v>
      </c>
      <c r="C261" s="65"/>
      <c r="D261" s="1">
        <v>2010</v>
      </c>
      <c r="E261" s="1">
        <v>2011</v>
      </c>
      <c r="F261" s="1">
        <v>2012</v>
      </c>
      <c r="G261" s="1">
        <v>2013</v>
      </c>
      <c r="H261" s="1">
        <v>2014</v>
      </c>
      <c r="I261" s="1">
        <v>2015</v>
      </c>
      <c r="J261" s="1">
        <v>2016</v>
      </c>
      <c r="K261" s="1">
        <v>2017</v>
      </c>
      <c r="L261" s="1">
        <v>2018</v>
      </c>
      <c r="M261" s="1">
        <v>2019</v>
      </c>
      <c r="N261" s="1">
        <v>2020</v>
      </c>
      <c r="O261" s="1">
        <v>2021</v>
      </c>
      <c r="P261" s="1">
        <v>2022</v>
      </c>
      <c r="Q261" s="1">
        <v>2023</v>
      </c>
      <c r="R261" s="1">
        <v>2024</v>
      </c>
      <c r="S261" s="1">
        <v>2025</v>
      </c>
      <c r="T261" s="1">
        <v>2026</v>
      </c>
      <c r="U261" s="1">
        <v>2027</v>
      </c>
      <c r="V261" s="1">
        <v>2028</v>
      </c>
      <c r="W261" s="1">
        <v>2029</v>
      </c>
      <c r="X261" s="1">
        <v>2030</v>
      </c>
      <c r="Y261" s="1">
        <v>2031</v>
      </c>
      <c r="Z261" s="1">
        <v>2032</v>
      </c>
      <c r="AA261" s="1">
        <v>2033</v>
      </c>
      <c r="AB261" s="1">
        <v>2034</v>
      </c>
      <c r="AC261" s="1">
        <v>2035</v>
      </c>
    </row>
    <row r="262" spans="1:29" x14ac:dyDescent="0.25">
      <c r="A262" s="86" t="s">
        <v>18</v>
      </c>
      <c r="B262" s="54" t="s">
        <v>19</v>
      </c>
      <c r="C262" s="54"/>
      <c r="D262" s="84">
        <v>2921.6550000000002</v>
      </c>
      <c r="E262" s="84">
        <f t="shared" ref="E262:E275" si="259">+(D262+F262)/2</f>
        <v>2921.6550000000002</v>
      </c>
      <c r="F262" s="84">
        <v>2921.6550000000002</v>
      </c>
      <c r="G262" s="84">
        <f t="shared" ref="G262:G275" si="260">+(F262+H262)/2</f>
        <v>2921.6550000000002</v>
      </c>
      <c r="H262" s="84">
        <v>2921.6550000000002</v>
      </c>
      <c r="I262" s="84">
        <f t="shared" ref="I262:I275" si="261">+(H262+J262)/2</f>
        <v>2044.4325000000001</v>
      </c>
      <c r="J262" s="84">
        <v>1167.21</v>
      </c>
      <c r="K262" s="84">
        <f t="shared" ref="K262:K275" si="262">+(J262+L262)/2</f>
        <v>1052.55</v>
      </c>
      <c r="L262" s="84">
        <v>937.89</v>
      </c>
      <c r="M262" s="84">
        <v>3382.92</v>
      </c>
      <c r="N262" s="84">
        <v>3382.92</v>
      </c>
      <c r="O262" s="84">
        <v>2392.92</v>
      </c>
      <c r="P262" s="84">
        <v>2392.92</v>
      </c>
      <c r="Q262" s="84">
        <f t="shared" ref="Q262:S275" si="263">+P262+(0.049/100)</f>
        <v>2392.92049</v>
      </c>
      <c r="R262" s="84">
        <f t="shared" si="263"/>
        <v>2392.9209799999999</v>
      </c>
      <c r="S262" s="84">
        <f t="shared" si="263"/>
        <v>2392.9214699999998</v>
      </c>
      <c r="T262" s="84">
        <f t="shared" ref="T262:AC262" si="264">+S262-(0.711/100)</f>
        <v>2392.9143599999998</v>
      </c>
      <c r="U262" s="84">
        <f t="shared" si="264"/>
        <v>2392.9072499999997</v>
      </c>
      <c r="V262" s="84">
        <f t="shared" si="264"/>
        <v>2392.9001399999997</v>
      </c>
      <c r="W262" s="84">
        <f t="shared" si="264"/>
        <v>2392.8930299999997</v>
      </c>
      <c r="X262" s="84">
        <f t="shared" si="264"/>
        <v>2392.8859199999997</v>
      </c>
      <c r="Y262" s="84">
        <f t="shared" si="264"/>
        <v>2392.8788099999997</v>
      </c>
      <c r="Z262" s="84">
        <f t="shared" si="264"/>
        <v>2392.8716999999997</v>
      </c>
      <c r="AA262" s="84">
        <f t="shared" si="264"/>
        <v>2392.8645899999997</v>
      </c>
      <c r="AB262" s="84">
        <f t="shared" si="264"/>
        <v>2392.8574799999997</v>
      </c>
      <c r="AC262" s="84">
        <f t="shared" si="264"/>
        <v>2392.8503699999997</v>
      </c>
    </row>
    <row r="263" spans="1:29" x14ac:dyDescent="0.25">
      <c r="A263" s="86" t="s">
        <v>20</v>
      </c>
      <c r="B263" s="54" t="s">
        <v>19</v>
      </c>
      <c r="C263" s="54"/>
      <c r="D263" s="84">
        <v>14129.010000000007</v>
      </c>
      <c r="E263" s="84">
        <f t="shared" si="259"/>
        <v>14129.010000000007</v>
      </c>
      <c r="F263" s="84">
        <v>14129.010000000007</v>
      </c>
      <c r="G263" s="84">
        <f t="shared" si="260"/>
        <v>14129.010000000007</v>
      </c>
      <c r="H263" s="84">
        <v>14129.010000000007</v>
      </c>
      <c r="I263" s="84">
        <f t="shared" si="261"/>
        <v>13915.642500000002</v>
      </c>
      <c r="J263" s="84">
        <v>13702.274999999998</v>
      </c>
      <c r="K263" s="84">
        <f t="shared" si="262"/>
        <v>11871.967499999999</v>
      </c>
      <c r="L263" s="84">
        <v>10041.66</v>
      </c>
      <c r="M263" s="84">
        <v>11193.21</v>
      </c>
      <c r="N263" s="84">
        <v>11193.21</v>
      </c>
      <c r="O263" s="84">
        <v>14441.400000000001</v>
      </c>
      <c r="P263" s="84">
        <v>14441.400000000001</v>
      </c>
      <c r="Q263" s="84">
        <f t="shared" si="263"/>
        <v>14441.400490000002</v>
      </c>
      <c r="R263" s="84">
        <f t="shared" si="263"/>
        <v>14441.400980000002</v>
      </c>
      <c r="S263" s="84">
        <f t="shared" si="263"/>
        <v>14441.401470000003</v>
      </c>
      <c r="T263" s="84">
        <f t="shared" ref="T263:AC263" si="265">+S263-(0.711/100)</f>
        <v>14441.394360000002</v>
      </c>
      <c r="U263" s="84">
        <f t="shared" si="265"/>
        <v>14441.387250000002</v>
      </c>
      <c r="V263" s="84">
        <f t="shared" si="265"/>
        <v>14441.380140000001</v>
      </c>
      <c r="W263" s="84">
        <f t="shared" si="265"/>
        <v>14441.373030000001</v>
      </c>
      <c r="X263" s="84">
        <f t="shared" si="265"/>
        <v>14441.36592</v>
      </c>
      <c r="Y263" s="84">
        <f t="shared" si="265"/>
        <v>14441.35881</v>
      </c>
      <c r="Z263" s="84">
        <f t="shared" si="265"/>
        <v>14441.351699999999</v>
      </c>
      <c r="AA263" s="84">
        <f t="shared" si="265"/>
        <v>14441.344589999999</v>
      </c>
      <c r="AB263" s="84">
        <f t="shared" si="265"/>
        <v>14441.337479999998</v>
      </c>
      <c r="AC263" s="84">
        <f t="shared" si="265"/>
        <v>14441.330369999998</v>
      </c>
    </row>
    <row r="264" spans="1:29" x14ac:dyDescent="0.25">
      <c r="A264" s="86" t="s">
        <v>21</v>
      </c>
      <c r="B264" s="54" t="s">
        <v>19</v>
      </c>
      <c r="C264" s="54"/>
      <c r="D264" s="84">
        <v>13631.910000000002</v>
      </c>
      <c r="E264" s="84">
        <f t="shared" si="259"/>
        <v>13631.910000000002</v>
      </c>
      <c r="F264" s="84">
        <v>13631.910000000002</v>
      </c>
      <c r="G264" s="84">
        <f t="shared" si="260"/>
        <v>13631.910000000002</v>
      </c>
      <c r="H264" s="84">
        <v>13631.910000000002</v>
      </c>
      <c r="I264" s="84">
        <f t="shared" si="261"/>
        <v>13444.094999999999</v>
      </c>
      <c r="J264" s="84">
        <v>13256.279999999997</v>
      </c>
      <c r="K264" s="84">
        <f t="shared" si="262"/>
        <v>12232.394999999999</v>
      </c>
      <c r="L264" s="84">
        <v>11208.51</v>
      </c>
      <c r="M264" s="84">
        <v>11090.66</v>
      </c>
      <c r="N264" s="84">
        <v>11090.66</v>
      </c>
      <c r="O264" s="84">
        <v>8753.94</v>
      </c>
      <c r="P264" s="84">
        <v>8753.94</v>
      </c>
      <c r="Q264" s="84">
        <f t="shared" si="263"/>
        <v>8753.9404900000009</v>
      </c>
      <c r="R264" s="84">
        <f t="shared" si="263"/>
        <v>8753.9409800000012</v>
      </c>
      <c r="S264" s="84">
        <f t="shared" si="263"/>
        <v>8753.9414700000016</v>
      </c>
      <c r="T264" s="84">
        <f t="shared" ref="T264:AC264" si="266">+S264-(0.711/100)</f>
        <v>8753.9343600000011</v>
      </c>
      <c r="U264" s="84">
        <f t="shared" si="266"/>
        <v>8753.9272500000006</v>
      </c>
      <c r="V264" s="84">
        <f t="shared" si="266"/>
        <v>8753.9201400000002</v>
      </c>
      <c r="W264" s="84">
        <f t="shared" si="266"/>
        <v>8753.9130299999997</v>
      </c>
      <c r="X264" s="84">
        <f t="shared" si="266"/>
        <v>8753.9059199999992</v>
      </c>
      <c r="Y264" s="84">
        <f t="shared" si="266"/>
        <v>8753.8988099999988</v>
      </c>
      <c r="Z264" s="84">
        <f t="shared" si="266"/>
        <v>8753.8916999999983</v>
      </c>
      <c r="AA264" s="84">
        <f t="shared" si="266"/>
        <v>8753.8845899999978</v>
      </c>
      <c r="AB264" s="84">
        <f t="shared" si="266"/>
        <v>8753.8774799999974</v>
      </c>
      <c r="AC264" s="84">
        <f t="shared" si="266"/>
        <v>8753.8703699999969</v>
      </c>
    </row>
    <row r="265" spans="1:29" x14ac:dyDescent="0.25">
      <c r="A265" s="86" t="s">
        <v>22</v>
      </c>
      <c r="B265" s="54" t="s">
        <v>19</v>
      </c>
      <c r="C265" s="54"/>
      <c r="D265" s="84">
        <v>19148.415000000001</v>
      </c>
      <c r="E265" s="84">
        <f t="shared" si="259"/>
        <v>19148.415000000001</v>
      </c>
      <c r="F265" s="84">
        <v>19148.415000000001</v>
      </c>
      <c r="G265" s="84">
        <f t="shared" si="260"/>
        <v>19148.415000000001</v>
      </c>
      <c r="H265" s="84">
        <v>19148.415000000001</v>
      </c>
      <c r="I265" s="84">
        <f t="shared" si="261"/>
        <v>15017.677500000002</v>
      </c>
      <c r="J265" s="84">
        <v>10886.94</v>
      </c>
      <c r="K265" s="84">
        <f t="shared" si="262"/>
        <v>10514.34</v>
      </c>
      <c r="L265" s="84">
        <v>10141.74</v>
      </c>
      <c r="M265" s="84">
        <v>8861.5349999999999</v>
      </c>
      <c r="N265" s="84">
        <v>8861.5349999999999</v>
      </c>
      <c r="O265" s="84">
        <v>11154.645</v>
      </c>
      <c r="P265" s="84">
        <v>11154.645</v>
      </c>
      <c r="Q265" s="84">
        <f t="shared" si="263"/>
        <v>11154.645490000001</v>
      </c>
      <c r="R265" s="84">
        <f t="shared" si="263"/>
        <v>11154.645980000001</v>
      </c>
      <c r="S265" s="84">
        <f t="shared" si="263"/>
        <v>11154.646470000002</v>
      </c>
      <c r="T265" s="84">
        <f t="shared" ref="T265:AC265" si="267">+S265-(0.711/100)</f>
        <v>11154.639360000001</v>
      </c>
      <c r="U265" s="84">
        <f t="shared" si="267"/>
        <v>11154.632250000001</v>
      </c>
      <c r="V265" s="84">
        <f t="shared" si="267"/>
        <v>11154.62514</v>
      </c>
      <c r="W265" s="84">
        <f t="shared" si="267"/>
        <v>11154.61803</v>
      </c>
      <c r="X265" s="84">
        <f t="shared" si="267"/>
        <v>11154.610919999999</v>
      </c>
      <c r="Y265" s="84">
        <f t="shared" si="267"/>
        <v>11154.603809999999</v>
      </c>
      <c r="Z265" s="84">
        <f t="shared" si="267"/>
        <v>11154.596699999998</v>
      </c>
      <c r="AA265" s="84">
        <f t="shared" si="267"/>
        <v>11154.589589999998</v>
      </c>
      <c r="AB265" s="84">
        <f t="shared" si="267"/>
        <v>11154.582479999997</v>
      </c>
      <c r="AC265" s="84">
        <f t="shared" si="267"/>
        <v>11154.575369999997</v>
      </c>
    </row>
    <row r="266" spans="1:29" x14ac:dyDescent="0.25">
      <c r="A266" s="86" t="s">
        <v>23</v>
      </c>
      <c r="B266" s="54" t="s">
        <v>19</v>
      </c>
      <c r="C266" s="54"/>
      <c r="D266" s="84">
        <v>2543.9550000000004</v>
      </c>
      <c r="E266" s="84">
        <f t="shared" si="259"/>
        <v>2543.9550000000004</v>
      </c>
      <c r="F266" s="84">
        <v>2543.9550000000004</v>
      </c>
      <c r="G266" s="84">
        <f t="shared" si="260"/>
        <v>2543.9550000000004</v>
      </c>
      <c r="H266" s="84">
        <v>2543.9550000000004</v>
      </c>
      <c r="I266" s="84">
        <f t="shared" si="261"/>
        <v>2740.3950000000004</v>
      </c>
      <c r="J266" s="84">
        <v>2936.835</v>
      </c>
      <c r="K266" s="84">
        <f t="shared" si="262"/>
        <v>2619.4974999999999</v>
      </c>
      <c r="L266" s="84">
        <v>2302.16</v>
      </c>
      <c r="M266" s="84">
        <v>3169.13</v>
      </c>
      <c r="N266" s="84">
        <v>3169.13</v>
      </c>
      <c r="O266" s="84">
        <v>1357.29</v>
      </c>
      <c r="P266" s="84">
        <v>1357.29</v>
      </c>
      <c r="Q266" s="84">
        <f t="shared" si="263"/>
        <v>1357.2904899999999</v>
      </c>
      <c r="R266" s="84">
        <f t="shared" si="263"/>
        <v>1357.2909799999998</v>
      </c>
      <c r="S266" s="84">
        <f t="shared" si="263"/>
        <v>1357.2914699999997</v>
      </c>
      <c r="T266" s="84">
        <f t="shared" ref="T266:AC266" si="268">+S266-(0.711/100)</f>
        <v>1357.2843599999997</v>
      </c>
      <c r="U266" s="84">
        <f t="shared" si="268"/>
        <v>1357.2772499999996</v>
      </c>
      <c r="V266" s="84">
        <f t="shared" si="268"/>
        <v>1357.2701399999996</v>
      </c>
      <c r="W266" s="84">
        <f t="shared" si="268"/>
        <v>1357.2630299999996</v>
      </c>
      <c r="X266" s="84">
        <f t="shared" si="268"/>
        <v>1357.2559199999996</v>
      </c>
      <c r="Y266" s="84">
        <f t="shared" si="268"/>
        <v>1357.2488099999996</v>
      </c>
      <c r="Z266" s="84">
        <f t="shared" si="268"/>
        <v>1357.2416999999996</v>
      </c>
      <c r="AA266" s="84">
        <f t="shared" si="268"/>
        <v>1357.2345899999996</v>
      </c>
      <c r="AB266" s="84">
        <f t="shared" si="268"/>
        <v>1357.2274799999996</v>
      </c>
      <c r="AC266" s="84">
        <f t="shared" si="268"/>
        <v>1357.2203699999995</v>
      </c>
    </row>
    <row r="267" spans="1:29" ht="22.5" x14ac:dyDescent="0.25">
      <c r="A267" s="86" t="s">
        <v>24</v>
      </c>
      <c r="B267" s="54" t="s">
        <v>19</v>
      </c>
      <c r="C267" s="54"/>
      <c r="D267" s="84">
        <v>22227.494999999999</v>
      </c>
      <c r="E267" s="84">
        <f t="shared" si="259"/>
        <v>22227.494999999999</v>
      </c>
      <c r="F267" s="84">
        <v>22227.494999999999</v>
      </c>
      <c r="G267" s="84">
        <f t="shared" si="260"/>
        <v>22227.494999999999</v>
      </c>
      <c r="H267" s="84">
        <v>22227.494999999999</v>
      </c>
      <c r="I267" s="84">
        <f t="shared" si="261"/>
        <v>24651.502500000002</v>
      </c>
      <c r="J267" s="84">
        <v>27075.510000000002</v>
      </c>
      <c r="K267" s="84">
        <f t="shared" si="262"/>
        <v>25636.365000000002</v>
      </c>
      <c r="L267" s="84">
        <v>24197.22</v>
      </c>
      <c r="M267" s="84">
        <v>26998.74</v>
      </c>
      <c r="N267" s="84">
        <v>26998.74</v>
      </c>
      <c r="O267" s="84">
        <v>28947.375</v>
      </c>
      <c r="P267" s="84">
        <v>28947.375</v>
      </c>
      <c r="Q267" s="84">
        <f t="shared" si="263"/>
        <v>28947.375489999999</v>
      </c>
      <c r="R267" s="84">
        <f t="shared" si="263"/>
        <v>28947.375979999997</v>
      </c>
      <c r="S267" s="84">
        <f t="shared" si="263"/>
        <v>28947.376469999996</v>
      </c>
      <c r="T267" s="84">
        <f t="shared" ref="T267:AC267" si="269">+S267-(0.711/100)</f>
        <v>28947.369359999997</v>
      </c>
      <c r="U267" s="84">
        <f t="shared" si="269"/>
        <v>28947.362249999998</v>
      </c>
      <c r="V267" s="84">
        <f t="shared" si="269"/>
        <v>28947.35514</v>
      </c>
      <c r="W267" s="84">
        <f t="shared" si="269"/>
        <v>28947.348030000001</v>
      </c>
      <c r="X267" s="84">
        <f t="shared" si="269"/>
        <v>28947.340920000002</v>
      </c>
      <c r="Y267" s="84">
        <f t="shared" si="269"/>
        <v>28947.333810000004</v>
      </c>
      <c r="Z267" s="84">
        <f t="shared" si="269"/>
        <v>28947.326700000005</v>
      </c>
      <c r="AA267" s="84">
        <f t="shared" si="269"/>
        <v>28947.319590000006</v>
      </c>
      <c r="AB267" s="84">
        <f t="shared" si="269"/>
        <v>28947.312480000008</v>
      </c>
      <c r="AC267" s="84">
        <f t="shared" si="269"/>
        <v>28947.305370000009</v>
      </c>
    </row>
    <row r="268" spans="1:29" x14ac:dyDescent="0.25">
      <c r="A268" s="86" t="s">
        <v>25</v>
      </c>
      <c r="B268" s="54" t="s">
        <v>19</v>
      </c>
      <c r="C268" s="54"/>
      <c r="D268" s="84">
        <v>19344.36</v>
      </c>
      <c r="E268" s="84">
        <f t="shared" si="259"/>
        <v>19344.36</v>
      </c>
      <c r="F268" s="84">
        <v>19344.36</v>
      </c>
      <c r="G268" s="84">
        <f t="shared" si="260"/>
        <v>19344.36</v>
      </c>
      <c r="H268" s="84">
        <v>19344.36</v>
      </c>
      <c r="I268" s="84">
        <f t="shared" si="261"/>
        <v>19871.79</v>
      </c>
      <c r="J268" s="84">
        <v>20399.220000000005</v>
      </c>
      <c r="K268" s="84">
        <f t="shared" si="262"/>
        <v>19175.940000000002</v>
      </c>
      <c r="L268" s="84">
        <v>17952.66</v>
      </c>
      <c r="M268" s="84">
        <v>16612.38</v>
      </c>
      <c r="N268" s="84">
        <v>16612.38</v>
      </c>
      <c r="O268" s="84">
        <v>23323.995000000003</v>
      </c>
      <c r="P268" s="84">
        <v>23323.995000000003</v>
      </c>
      <c r="Q268" s="84">
        <f t="shared" si="263"/>
        <v>23323.995490000001</v>
      </c>
      <c r="R268" s="84">
        <f t="shared" si="263"/>
        <v>23323.99598</v>
      </c>
      <c r="S268" s="84">
        <f t="shared" si="263"/>
        <v>23323.996469999998</v>
      </c>
      <c r="T268" s="84">
        <f t="shared" ref="T268:AC268" si="270">+S268-(0.711/100)</f>
        <v>23323.98936</v>
      </c>
      <c r="U268" s="84">
        <f t="shared" si="270"/>
        <v>23323.982250000001</v>
      </c>
      <c r="V268" s="84">
        <f t="shared" si="270"/>
        <v>23323.975140000002</v>
      </c>
      <c r="W268" s="84">
        <f t="shared" si="270"/>
        <v>23323.968030000004</v>
      </c>
      <c r="X268" s="84">
        <f t="shared" si="270"/>
        <v>23323.960920000005</v>
      </c>
      <c r="Y268" s="84">
        <f t="shared" si="270"/>
        <v>23323.953810000006</v>
      </c>
      <c r="Z268" s="84">
        <f t="shared" si="270"/>
        <v>23323.946700000008</v>
      </c>
      <c r="AA268" s="84">
        <f t="shared" si="270"/>
        <v>23323.939590000009</v>
      </c>
      <c r="AB268" s="84">
        <f t="shared" si="270"/>
        <v>23323.93248000001</v>
      </c>
      <c r="AC268" s="84">
        <f t="shared" si="270"/>
        <v>23323.925370000012</v>
      </c>
    </row>
    <row r="269" spans="1:29" x14ac:dyDescent="0.25">
      <c r="A269" s="86" t="s">
        <v>26</v>
      </c>
      <c r="B269" s="54" t="s">
        <v>19</v>
      </c>
      <c r="C269" s="54"/>
      <c r="D269" s="84">
        <v>363.52500000000009</v>
      </c>
      <c r="E269" s="84">
        <f t="shared" si="259"/>
        <v>363.52500000000009</v>
      </c>
      <c r="F269" s="84">
        <v>363.52500000000009</v>
      </c>
      <c r="G269" s="84">
        <f t="shared" si="260"/>
        <v>363.52500000000009</v>
      </c>
      <c r="H269" s="84">
        <v>363.52500000000009</v>
      </c>
      <c r="I269" s="84">
        <f t="shared" si="261"/>
        <v>561.31500000000028</v>
      </c>
      <c r="J269" s="84">
        <v>759.10500000000059</v>
      </c>
      <c r="K269" s="84">
        <f t="shared" si="262"/>
        <v>538.24750000000029</v>
      </c>
      <c r="L269" s="84">
        <v>317.39</v>
      </c>
      <c r="M269" s="84">
        <v>137.97</v>
      </c>
      <c r="N269" s="84">
        <v>137.97</v>
      </c>
      <c r="O269" s="84">
        <v>329.58</v>
      </c>
      <c r="P269" s="84">
        <v>329.58</v>
      </c>
      <c r="Q269" s="84">
        <f t="shared" si="263"/>
        <v>329.58049</v>
      </c>
      <c r="R269" s="84">
        <f t="shared" si="263"/>
        <v>329.58098000000001</v>
      </c>
      <c r="S269" s="84">
        <f t="shared" si="263"/>
        <v>329.58147000000002</v>
      </c>
      <c r="T269" s="84">
        <f t="shared" ref="T269:AC269" si="271">+S269-(0.711/100)</f>
        <v>329.57436000000001</v>
      </c>
      <c r="U269" s="84">
        <f t="shared" si="271"/>
        <v>329.56725</v>
      </c>
      <c r="V269" s="84">
        <f t="shared" si="271"/>
        <v>329.56013999999999</v>
      </c>
      <c r="W269" s="84">
        <f t="shared" si="271"/>
        <v>329.55302999999998</v>
      </c>
      <c r="X269" s="84">
        <f t="shared" si="271"/>
        <v>329.54591999999997</v>
      </c>
      <c r="Y269" s="84">
        <f t="shared" si="271"/>
        <v>329.53880999999996</v>
      </c>
      <c r="Z269" s="84">
        <f t="shared" si="271"/>
        <v>329.53169999999994</v>
      </c>
      <c r="AA269" s="84">
        <f t="shared" si="271"/>
        <v>329.52458999999993</v>
      </c>
      <c r="AB269" s="84">
        <f t="shared" si="271"/>
        <v>329.51747999999992</v>
      </c>
      <c r="AC269" s="84">
        <f t="shared" si="271"/>
        <v>329.51036999999991</v>
      </c>
    </row>
    <row r="270" spans="1:29" x14ac:dyDescent="0.25">
      <c r="A270" s="86" t="s">
        <v>27</v>
      </c>
      <c r="B270" s="54" t="s">
        <v>19</v>
      </c>
      <c r="C270" s="54"/>
      <c r="D270" s="84">
        <v>423.67500000000001</v>
      </c>
      <c r="E270" s="84">
        <f t="shared" si="259"/>
        <v>423.67500000000001</v>
      </c>
      <c r="F270" s="84">
        <v>423.67500000000001</v>
      </c>
      <c r="G270" s="84">
        <f t="shared" si="260"/>
        <v>423.67500000000001</v>
      </c>
      <c r="H270" s="84">
        <v>423.67500000000001</v>
      </c>
      <c r="I270" s="84">
        <f t="shared" si="261"/>
        <v>506.65499999999997</v>
      </c>
      <c r="J270" s="84">
        <v>589.63499999999999</v>
      </c>
      <c r="K270" s="84">
        <f t="shared" si="262"/>
        <v>463.27499999999998</v>
      </c>
      <c r="L270" s="84">
        <v>336.91500000000002</v>
      </c>
      <c r="M270" s="84">
        <v>621.04999999999995</v>
      </c>
      <c r="N270" s="84">
        <v>621.04999999999995</v>
      </c>
      <c r="O270" s="84">
        <v>667.8900000000001</v>
      </c>
      <c r="P270" s="84">
        <v>667.8900000000001</v>
      </c>
      <c r="Q270" s="84">
        <f t="shared" si="263"/>
        <v>667.89049000000011</v>
      </c>
      <c r="R270" s="84">
        <f t="shared" si="263"/>
        <v>667.89098000000013</v>
      </c>
      <c r="S270" s="84">
        <f t="shared" si="263"/>
        <v>667.89147000000014</v>
      </c>
      <c r="T270" s="84">
        <f t="shared" ref="T270:AC270" si="272">+S270-(0.711/100)</f>
        <v>667.88436000000013</v>
      </c>
      <c r="U270" s="84">
        <f t="shared" si="272"/>
        <v>667.87725000000012</v>
      </c>
      <c r="V270" s="84">
        <f t="shared" si="272"/>
        <v>667.87014000000011</v>
      </c>
      <c r="W270" s="84">
        <f t="shared" si="272"/>
        <v>667.86303000000009</v>
      </c>
      <c r="X270" s="84">
        <f t="shared" si="272"/>
        <v>667.85592000000008</v>
      </c>
      <c r="Y270" s="84">
        <f t="shared" si="272"/>
        <v>667.84881000000007</v>
      </c>
      <c r="Z270" s="84">
        <f t="shared" si="272"/>
        <v>667.84170000000006</v>
      </c>
      <c r="AA270" s="84">
        <f t="shared" si="272"/>
        <v>667.83459000000005</v>
      </c>
      <c r="AB270" s="84">
        <f t="shared" si="272"/>
        <v>667.82748000000004</v>
      </c>
      <c r="AC270" s="84">
        <f t="shared" si="272"/>
        <v>667.82037000000003</v>
      </c>
    </row>
    <row r="271" spans="1:29" x14ac:dyDescent="0.25">
      <c r="A271" s="86" t="s">
        <v>28</v>
      </c>
      <c r="B271" s="54" t="s">
        <v>19</v>
      </c>
      <c r="C271" s="54"/>
      <c r="D271" s="84">
        <v>2300.9850000000001</v>
      </c>
      <c r="E271" s="84">
        <f t="shared" si="259"/>
        <v>2300.9850000000001</v>
      </c>
      <c r="F271" s="84">
        <v>2300.9850000000001</v>
      </c>
      <c r="G271" s="84">
        <f t="shared" si="260"/>
        <v>2300.9850000000001</v>
      </c>
      <c r="H271" s="84">
        <v>2300.9850000000001</v>
      </c>
      <c r="I271" s="84">
        <f t="shared" si="261"/>
        <v>6718.8375000000005</v>
      </c>
      <c r="J271" s="84">
        <v>11136.69</v>
      </c>
      <c r="K271" s="84">
        <f t="shared" si="262"/>
        <v>9869.0625</v>
      </c>
      <c r="L271" s="84">
        <v>8601.4349999999995</v>
      </c>
      <c r="M271" s="84">
        <v>1903.73</v>
      </c>
      <c r="N271" s="84">
        <v>1903.73</v>
      </c>
      <c r="O271" s="84">
        <v>5155.1099999999997</v>
      </c>
      <c r="P271" s="84">
        <v>5155.1099999999997</v>
      </c>
      <c r="Q271" s="84">
        <f t="shared" si="263"/>
        <v>5155.11049</v>
      </c>
      <c r="R271" s="84">
        <f t="shared" si="263"/>
        <v>5155.1109800000004</v>
      </c>
      <c r="S271" s="84">
        <f t="shared" si="263"/>
        <v>5155.1114700000007</v>
      </c>
      <c r="T271" s="84">
        <f t="shared" ref="T271:AC271" si="273">+S271-(0.711/100)</f>
        <v>5155.1043600000012</v>
      </c>
      <c r="U271" s="84">
        <f t="shared" si="273"/>
        <v>5155.0972500000016</v>
      </c>
      <c r="V271" s="84">
        <f t="shared" si="273"/>
        <v>5155.0901400000021</v>
      </c>
      <c r="W271" s="84">
        <f t="shared" si="273"/>
        <v>5155.0830300000025</v>
      </c>
      <c r="X271" s="84">
        <f t="shared" si="273"/>
        <v>5155.075920000003</v>
      </c>
      <c r="Y271" s="84">
        <f t="shared" si="273"/>
        <v>5155.0688100000034</v>
      </c>
      <c r="Z271" s="84">
        <f t="shared" si="273"/>
        <v>5155.0617000000038</v>
      </c>
      <c r="AA271" s="84">
        <f t="shared" si="273"/>
        <v>5155.0545900000043</v>
      </c>
      <c r="AB271" s="84">
        <f t="shared" si="273"/>
        <v>5155.0474800000047</v>
      </c>
      <c r="AC271" s="84">
        <f t="shared" si="273"/>
        <v>5155.0403700000052</v>
      </c>
    </row>
    <row r="272" spans="1:29" x14ac:dyDescent="0.25">
      <c r="A272" s="56" t="s">
        <v>4</v>
      </c>
      <c r="B272" s="54" t="s">
        <v>19</v>
      </c>
      <c r="C272" s="54"/>
      <c r="D272" s="84">
        <v>24385.99</v>
      </c>
      <c r="E272" s="84">
        <f t="shared" si="259"/>
        <v>24385.99</v>
      </c>
      <c r="F272" s="84">
        <v>24385.99</v>
      </c>
      <c r="G272" s="84">
        <f t="shared" si="260"/>
        <v>24385.99</v>
      </c>
      <c r="H272" s="84">
        <v>24385.99</v>
      </c>
      <c r="I272" s="84">
        <f t="shared" si="261"/>
        <v>38966.805</v>
      </c>
      <c r="J272" s="84">
        <v>53547.62</v>
      </c>
      <c r="K272" s="84">
        <f t="shared" si="262"/>
        <v>34203.535000000003</v>
      </c>
      <c r="L272" s="84">
        <v>14859.45</v>
      </c>
      <c r="M272" s="84">
        <v>32440.31</v>
      </c>
      <c r="N272" s="84">
        <v>32440.31</v>
      </c>
      <c r="O272" s="84">
        <v>23216.04</v>
      </c>
      <c r="P272" s="84">
        <v>23216.04</v>
      </c>
      <c r="Q272" s="84">
        <f t="shared" si="263"/>
        <v>23216.040489999999</v>
      </c>
      <c r="R272" s="84">
        <f t="shared" si="263"/>
        <v>23216.040979999998</v>
      </c>
      <c r="S272" s="84">
        <f t="shared" si="263"/>
        <v>23216.041469999996</v>
      </c>
      <c r="T272" s="84">
        <f t="shared" ref="T272:AC272" si="274">+S272-(0.711/100)</f>
        <v>23216.034359999998</v>
      </c>
      <c r="U272" s="84">
        <f t="shared" si="274"/>
        <v>23216.027249999999</v>
      </c>
      <c r="V272" s="84">
        <f t="shared" si="274"/>
        <v>23216.020140000001</v>
      </c>
      <c r="W272" s="84">
        <f t="shared" si="274"/>
        <v>23216.013030000002</v>
      </c>
      <c r="X272" s="84">
        <f t="shared" si="274"/>
        <v>23216.005920000003</v>
      </c>
      <c r="Y272" s="84">
        <f t="shared" si="274"/>
        <v>23215.998810000005</v>
      </c>
      <c r="Z272" s="84">
        <f t="shared" si="274"/>
        <v>23215.991700000006</v>
      </c>
      <c r="AA272" s="84">
        <f t="shared" si="274"/>
        <v>23215.984590000007</v>
      </c>
      <c r="AB272" s="84">
        <f t="shared" si="274"/>
        <v>23215.977480000009</v>
      </c>
      <c r="AC272" s="84">
        <f t="shared" si="274"/>
        <v>23215.97037000001</v>
      </c>
    </row>
    <row r="273" spans="1:29" x14ac:dyDescent="0.25">
      <c r="A273" s="56" t="s">
        <v>5</v>
      </c>
      <c r="B273" s="54" t="s">
        <v>19</v>
      </c>
      <c r="C273" s="54"/>
      <c r="D273" s="84">
        <v>8319.99</v>
      </c>
      <c r="E273" s="84">
        <f t="shared" si="259"/>
        <v>8319.99</v>
      </c>
      <c r="F273" s="84">
        <v>8319.99</v>
      </c>
      <c r="G273" s="84">
        <f t="shared" si="260"/>
        <v>8319.99</v>
      </c>
      <c r="H273" s="84">
        <v>8319.99</v>
      </c>
      <c r="I273" s="84">
        <f t="shared" si="261"/>
        <v>9268.2150000000001</v>
      </c>
      <c r="J273" s="84">
        <v>10216.44</v>
      </c>
      <c r="K273" s="84">
        <f t="shared" si="262"/>
        <v>8473.6149999999998</v>
      </c>
      <c r="L273" s="84">
        <v>6730.79</v>
      </c>
      <c r="M273" s="84">
        <v>795.38</v>
      </c>
      <c r="N273" s="84">
        <v>795.38</v>
      </c>
      <c r="O273" s="84">
        <v>2562.98</v>
      </c>
      <c r="P273" s="84">
        <v>2562.98</v>
      </c>
      <c r="Q273" s="84">
        <f t="shared" si="263"/>
        <v>2562.9804899999999</v>
      </c>
      <c r="R273" s="84">
        <f t="shared" si="263"/>
        <v>2562.9809799999998</v>
      </c>
      <c r="S273" s="84">
        <f t="shared" si="263"/>
        <v>2562.9814699999997</v>
      </c>
      <c r="T273" s="84">
        <f t="shared" ref="T273:AC273" si="275">+S273-(0.711/100)</f>
        <v>2562.9743599999997</v>
      </c>
      <c r="U273" s="84">
        <f t="shared" si="275"/>
        <v>2562.9672499999997</v>
      </c>
      <c r="V273" s="84">
        <f t="shared" si="275"/>
        <v>2562.9601399999997</v>
      </c>
      <c r="W273" s="84">
        <f t="shared" si="275"/>
        <v>2562.9530299999997</v>
      </c>
      <c r="X273" s="84">
        <f t="shared" si="275"/>
        <v>2562.9459199999997</v>
      </c>
      <c r="Y273" s="84">
        <f t="shared" si="275"/>
        <v>2562.9388099999996</v>
      </c>
      <c r="Z273" s="84">
        <f t="shared" si="275"/>
        <v>2562.9316999999996</v>
      </c>
      <c r="AA273" s="84">
        <f t="shared" si="275"/>
        <v>2562.9245899999996</v>
      </c>
      <c r="AB273" s="84">
        <f t="shared" si="275"/>
        <v>2562.9174799999996</v>
      </c>
      <c r="AC273" s="84">
        <f t="shared" si="275"/>
        <v>2562.9103699999996</v>
      </c>
    </row>
    <row r="274" spans="1:29" x14ac:dyDescent="0.25">
      <c r="A274" s="56" t="s">
        <v>6</v>
      </c>
      <c r="B274" s="54" t="s">
        <v>19</v>
      </c>
      <c r="C274" s="54"/>
      <c r="D274" s="84">
        <v>0</v>
      </c>
      <c r="E274" s="84">
        <f t="shared" si="259"/>
        <v>0</v>
      </c>
      <c r="F274" s="84">
        <v>0</v>
      </c>
      <c r="G274" s="84">
        <f t="shared" si="260"/>
        <v>0</v>
      </c>
      <c r="H274" s="84">
        <v>0</v>
      </c>
      <c r="I274" s="84">
        <f t="shared" si="261"/>
        <v>0</v>
      </c>
      <c r="J274" s="84">
        <v>0</v>
      </c>
      <c r="K274" s="84">
        <f t="shared" si="262"/>
        <v>0</v>
      </c>
      <c r="L274" s="84">
        <v>0</v>
      </c>
      <c r="M274" s="84">
        <v>0</v>
      </c>
      <c r="N274" s="84">
        <v>0</v>
      </c>
      <c r="O274" s="84">
        <v>262.35000000000002</v>
      </c>
      <c r="P274" s="84">
        <v>262.35000000000002</v>
      </c>
      <c r="Q274" s="84">
        <f t="shared" si="263"/>
        <v>262.35049000000004</v>
      </c>
      <c r="R274" s="84">
        <f t="shared" si="263"/>
        <v>262.35098000000005</v>
      </c>
      <c r="S274" s="84">
        <f t="shared" si="263"/>
        <v>262.35147000000006</v>
      </c>
      <c r="T274" s="84">
        <f t="shared" ref="T274:AC274" si="276">+S274-(0.711/100)</f>
        <v>262.34436000000005</v>
      </c>
      <c r="U274" s="84">
        <f t="shared" si="276"/>
        <v>262.33725000000004</v>
      </c>
      <c r="V274" s="84">
        <f t="shared" si="276"/>
        <v>262.33014000000003</v>
      </c>
      <c r="W274" s="84">
        <f t="shared" si="276"/>
        <v>262.32303000000002</v>
      </c>
      <c r="X274" s="84">
        <f t="shared" si="276"/>
        <v>262.31592000000001</v>
      </c>
      <c r="Y274" s="84">
        <f t="shared" si="276"/>
        <v>262.30880999999999</v>
      </c>
      <c r="Z274" s="84">
        <f t="shared" si="276"/>
        <v>262.30169999999998</v>
      </c>
      <c r="AA274" s="84">
        <f t="shared" si="276"/>
        <v>262.29458999999997</v>
      </c>
      <c r="AB274" s="84">
        <f t="shared" si="276"/>
        <v>262.28747999999996</v>
      </c>
      <c r="AC274" s="84">
        <f t="shared" si="276"/>
        <v>262.28036999999995</v>
      </c>
    </row>
    <row r="275" spans="1:29" x14ac:dyDescent="0.25">
      <c r="A275" s="56" t="s">
        <v>29</v>
      </c>
      <c r="B275" s="54" t="s">
        <v>19</v>
      </c>
      <c r="C275" s="54"/>
      <c r="D275" s="84">
        <v>1280.52</v>
      </c>
      <c r="E275" s="84">
        <f t="shared" si="259"/>
        <v>1280.52</v>
      </c>
      <c r="F275" s="84">
        <v>1280.52</v>
      </c>
      <c r="G275" s="84">
        <f t="shared" si="260"/>
        <v>1280.52</v>
      </c>
      <c r="H275" s="84">
        <v>1280.52</v>
      </c>
      <c r="I275" s="84">
        <f t="shared" si="261"/>
        <v>5254.8525</v>
      </c>
      <c r="J275" s="84">
        <v>9229.1849999999995</v>
      </c>
      <c r="K275" s="84">
        <f t="shared" si="262"/>
        <v>5389.7874999999995</v>
      </c>
      <c r="L275" s="84">
        <v>1550.39</v>
      </c>
      <c r="M275" s="84">
        <v>608.72</v>
      </c>
      <c r="N275" s="84">
        <v>608.72</v>
      </c>
      <c r="O275" s="84">
        <v>3363.16</v>
      </c>
      <c r="P275" s="84">
        <v>3363.16</v>
      </c>
      <c r="Q275" s="84">
        <f t="shared" si="263"/>
        <v>3363.1604899999998</v>
      </c>
      <c r="R275" s="84">
        <f t="shared" si="263"/>
        <v>3363.1609799999997</v>
      </c>
      <c r="S275" s="84">
        <f t="shared" si="263"/>
        <v>3363.1614699999996</v>
      </c>
      <c r="T275" s="84">
        <f t="shared" ref="T275:AC275" si="277">+S275-(0.711/100)</f>
        <v>3363.1543599999995</v>
      </c>
      <c r="U275" s="84">
        <f t="shared" si="277"/>
        <v>3363.1472499999995</v>
      </c>
      <c r="V275" s="84">
        <f t="shared" si="277"/>
        <v>3363.1401399999995</v>
      </c>
      <c r="W275" s="84">
        <f t="shared" si="277"/>
        <v>3363.1330299999995</v>
      </c>
      <c r="X275" s="84">
        <f t="shared" si="277"/>
        <v>3363.1259199999995</v>
      </c>
      <c r="Y275" s="84">
        <f t="shared" si="277"/>
        <v>3363.1188099999995</v>
      </c>
      <c r="Z275" s="84">
        <f t="shared" si="277"/>
        <v>3363.1116999999995</v>
      </c>
      <c r="AA275" s="84">
        <f t="shared" si="277"/>
        <v>3363.1045899999995</v>
      </c>
      <c r="AB275" s="84">
        <f t="shared" si="277"/>
        <v>3363.0974799999995</v>
      </c>
      <c r="AC275" s="84">
        <f t="shared" si="277"/>
        <v>3363.0903699999994</v>
      </c>
    </row>
    <row r="277" spans="1:29" x14ac:dyDescent="0.25">
      <c r="A277" s="86" t="s">
        <v>18</v>
      </c>
      <c r="B277" s="54" t="s">
        <v>4</v>
      </c>
      <c r="C277" s="54"/>
      <c r="D277" s="60">
        <v>0</v>
      </c>
      <c r="E277" s="84">
        <f t="shared" ref="E277:E289" si="278">+(D277+F277)/2</f>
        <v>0</v>
      </c>
      <c r="F277" s="60">
        <v>0</v>
      </c>
      <c r="G277" s="84">
        <f t="shared" ref="G277:G289" si="279">+(F277+H277)/2</f>
        <v>0</v>
      </c>
      <c r="H277" s="60">
        <v>0</v>
      </c>
      <c r="I277" s="84">
        <f t="shared" ref="I277:I289" si="280">+(H277+J277)/2</f>
        <v>0</v>
      </c>
      <c r="J277" s="60">
        <v>0</v>
      </c>
      <c r="K277" s="84">
        <f t="shared" ref="K277:K289" si="281">+(J277+L277)/2</f>
        <v>80.887500000000003</v>
      </c>
      <c r="L277" s="60">
        <v>161.77500000000001</v>
      </c>
      <c r="M277" s="60">
        <v>23.94</v>
      </c>
      <c r="N277" s="60">
        <v>23.94</v>
      </c>
      <c r="O277" s="60">
        <v>1.62</v>
      </c>
      <c r="P277" s="60">
        <v>1.62</v>
      </c>
      <c r="Q277" s="84">
        <f t="shared" ref="Q277:S289" si="282">+P277+(0.049/100)</f>
        <v>1.6204900000000002</v>
      </c>
      <c r="R277" s="84">
        <f t="shared" si="282"/>
        <v>1.6209800000000003</v>
      </c>
      <c r="S277" s="84">
        <f t="shared" si="282"/>
        <v>1.6214700000000004</v>
      </c>
      <c r="T277" s="84">
        <f t="shared" ref="T277:AC277" si="283">+S277-(0.711/100)</f>
        <v>1.6143600000000005</v>
      </c>
      <c r="U277" s="84">
        <f t="shared" si="283"/>
        <v>1.6072500000000005</v>
      </c>
      <c r="V277" s="84">
        <f t="shared" si="283"/>
        <v>1.6001400000000006</v>
      </c>
      <c r="W277" s="84">
        <f t="shared" si="283"/>
        <v>1.5930300000000006</v>
      </c>
      <c r="X277" s="84">
        <f t="shared" si="283"/>
        <v>1.5859200000000007</v>
      </c>
      <c r="Y277" s="84">
        <f t="shared" si="283"/>
        <v>1.5788100000000007</v>
      </c>
      <c r="Z277" s="84">
        <f t="shared" si="283"/>
        <v>1.5717000000000008</v>
      </c>
      <c r="AA277" s="84">
        <f t="shared" si="283"/>
        <v>1.5645900000000008</v>
      </c>
      <c r="AB277" s="84">
        <f t="shared" si="283"/>
        <v>1.5574800000000009</v>
      </c>
      <c r="AC277" s="84">
        <f t="shared" si="283"/>
        <v>1.5503700000000009</v>
      </c>
    </row>
    <row r="278" spans="1:29" x14ac:dyDescent="0.25">
      <c r="A278" s="86" t="s">
        <v>20</v>
      </c>
      <c r="B278" s="54" t="s">
        <v>4</v>
      </c>
      <c r="C278" s="54"/>
      <c r="D278" s="60">
        <v>0</v>
      </c>
      <c r="E278" s="84">
        <f t="shared" si="278"/>
        <v>0</v>
      </c>
      <c r="F278" s="60">
        <v>0</v>
      </c>
      <c r="G278" s="84">
        <f t="shared" si="279"/>
        <v>0</v>
      </c>
      <c r="H278" s="60">
        <v>0</v>
      </c>
      <c r="I278" s="84">
        <f t="shared" si="280"/>
        <v>0</v>
      </c>
      <c r="J278" s="60">
        <v>0</v>
      </c>
      <c r="K278" s="84">
        <f t="shared" si="281"/>
        <v>303.09750000000003</v>
      </c>
      <c r="L278" s="60">
        <v>606.19500000000005</v>
      </c>
      <c r="M278" s="60">
        <v>194.535</v>
      </c>
      <c r="N278" s="60">
        <v>194.535</v>
      </c>
      <c r="O278" s="60">
        <v>465.88499999999999</v>
      </c>
      <c r="P278" s="60">
        <v>465.88499999999999</v>
      </c>
      <c r="Q278" s="84">
        <f t="shared" si="282"/>
        <v>465.88549</v>
      </c>
      <c r="R278" s="84">
        <f t="shared" si="282"/>
        <v>465.88598000000002</v>
      </c>
      <c r="S278" s="84">
        <f t="shared" si="282"/>
        <v>465.88647000000003</v>
      </c>
      <c r="T278" s="84">
        <f t="shared" ref="T278:AC278" si="284">+S278-(0.711/100)</f>
        <v>465.87936000000002</v>
      </c>
      <c r="U278" s="84">
        <f t="shared" si="284"/>
        <v>465.87225000000001</v>
      </c>
      <c r="V278" s="84">
        <f t="shared" si="284"/>
        <v>465.86514</v>
      </c>
      <c r="W278" s="84">
        <f t="shared" si="284"/>
        <v>465.85802999999999</v>
      </c>
      <c r="X278" s="84">
        <f t="shared" si="284"/>
        <v>465.85091999999997</v>
      </c>
      <c r="Y278" s="84">
        <f t="shared" si="284"/>
        <v>465.84380999999996</v>
      </c>
      <c r="Z278" s="84">
        <f t="shared" si="284"/>
        <v>465.83669999999995</v>
      </c>
      <c r="AA278" s="84">
        <f t="shared" si="284"/>
        <v>465.82958999999994</v>
      </c>
      <c r="AB278" s="84">
        <f t="shared" si="284"/>
        <v>465.82247999999993</v>
      </c>
      <c r="AC278" s="84">
        <f t="shared" si="284"/>
        <v>465.81536999999992</v>
      </c>
    </row>
    <row r="279" spans="1:29" x14ac:dyDescent="0.25">
      <c r="A279" s="86" t="s">
        <v>21</v>
      </c>
      <c r="B279" s="54" t="s">
        <v>4</v>
      </c>
      <c r="C279" s="54"/>
      <c r="D279" s="60">
        <v>0</v>
      </c>
      <c r="E279" s="84">
        <f t="shared" si="278"/>
        <v>0</v>
      </c>
      <c r="F279" s="60">
        <v>0</v>
      </c>
      <c r="G279" s="84">
        <f t="shared" si="279"/>
        <v>0</v>
      </c>
      <c r="H279" s="60">
        <v>0</v>
      </c>
      <c r="I279" s="84">
        <f t="shared" si="280"/>
        <v>0</v>
      </c>
      <c r="J279" s="60">
        <v>0</v>
      </c>
      <c r="K279" s="84">
        <f t="shared" si="281"/>
        <v>195.88499999999999</v>
      </c>
      <c r="L279" s="60">
        <v>391.77</v>
      </c>
      <c r="M279" s="60">
        <v>846.23</v>
      </c>
      <c r="N279" s="60">
        <v>846.23</v>
      </c>
      <c r="O279" s="60">
        <v>79.11</v>
      </c>
      <c r="P279" s="60">
        <v>79.11</v>
      </c>
      <c r="Q279" s="84">
        <f t="shared" si="282"/>
        <v>79.110489999999999</v>
      </c>
      <c r="R279" s="84">
        <f t="shared" si="282"/>
        <v>79.110979999999998</v>
      </c>
      <c r="S279" s="84">
        <f t="shared" si="282"/>
        <v>79.111469999999997</v>
      </c>
      <c r="T279" s="84">
        <f t="shared" ref="T279:AC279" si="285">+S279-(0.711/100)</f>
        <v>79.10436</v>
      </c>
      <c r="U279" s="84">
        <f t="shared" si="285"/>
        <v>79.097250000000003</v>
      </c>
      <c r="V279" s="84">
        <f t="shared" si="285"/>
        <v>79.090140000000005</v>
      </c>
      <c r="W279" s="84">
        <f t="shared" si="285"/>
        <v>79.083030000000008</v>
      </c>
      <c r="X279" s="84">
        <f t="shared" si="285"/>
        <v>79.075920000000011</v>
      </c>
      <c r="Y279" s="84">
        <f t="shared" si="285"/>
        <v>79.068810000000013</v>
      </c>
      <c r="Z279" s="84">
        <f t="shared" si="285"/>
        <v>79.061700000000016</v>
      </c>
      <c r="AA279" s="84">
        <f t="shared" si="285"/>
        <v>79.054590000000019</v>
      </c>
      <c r="AB279" s="84">
        <f t="shared" si="285"/>
        <v>79.047480000000022</v>
      </c>
      <c r="AC279" s="84">
        <f t="shared" si="285"/>
        <v>79.040370000000024</v>
      </c>
    </row>
    <row r="280" spans="1:29" x14ac:dyDescent="0.25">
      <c r="A280" s="86" t="s">
        <v>22</v>
      </c>
      <c r="B280" s="54" t="s">
        <v>4</v>
      </c>
      <c r="C280" s="54"/>
      <c r="D280" s="60">
        <v>0</v>
      </c>
      <c r="E280" s="84">
        <f t="shared" si="278"/>
        <v>0</v>
      </c>
      <c r="F280" s="60">
        <v>0</v>
      </c>
      <c r="G280" s="84">
        <f t="shared" si="279"/>
        <v>0</v>
      </c>
      <c r="H280" s="60">
        <v>0</v>
      </c>
      <c r="I280" s="84">
        <f t="shared" si="280"/>
        <v>0</v>
      </c>
      <c r="J280" s="60">
        <v>0</v>
      </c>
      <c r="K280" s="84">
        <f t="shared" si="281"/>
        <v>34.042499999999997</v>
      </c>
      <c r="L280" s="60">
        <v>68.084999999999994</v>
      </c>
      <c r="M280" s="60">
        <v>149.94</v>
      </c>
      <c r="N280" s="60">
        <v>149.94</v>
      </c>
      <c r="O280" s="60">
        <v>20.925000000000001</v>
      </c>
      <c r="P280" s="60">
        <v>20.925000000000001</v>
      </c>
      <c r="Q280" s="84">
        <f t="shared" si="282"/>
        <v>20.92549</v>
      </c>
      <c r="R280" s="84">
        <f t="shared" si="282"/>
        <v>20.925979999999999</v>
      </c>
      <c r="S280" s="84">
        <f t="shared" si="282"/>
        <v>20.926469999999998</v>
      </c>
      <c r="T280" s="84">
        <f t="shared" ref="T280:AC280" si="286">+S280-(0.711/100)</f>
        <v>20.919359999999998</v>
      </c>
      <c r="U280" s="84">
        <f t="shared" si="286"/>
        <v>20.912249999999997</v>
      </c>
      <c r="V280" s="84">
        <f t="shared" si="286"/>
        <v>20.905139999999996</v>
      </c>
      <c r="W280" s="84">
        <f t="shared" si="286"/>
        <v>20.898029999999995</v>
      </c>
      <c r="X280" s="84">
        <f t="shared" si="286"/>
        <v>20.890919999999994</v>
      </c>
      <c r="Y280" s="84">
        <f t="shared" si="286"/>
        <v>20.883809999999993</v>
      </c>
      <c r="Z280" s="84">
        <f t="shared" si="286"/>
        <v>20.876699999999992</v>
      </c>
      <c r="AA280" s="84">
        <f t="shared" si="286"/>
        <v>20.869589999999992</v>
      </c>
      <c r="AB280" s="84">
        <f t="shared" si="286"/>
        <v>20.862479999999991</v>
      </c>
      <c r="AC280" s="84">
        <f t="shared" si="286"/>
        <v>20.85536999999999</v>
      </c>
    </row>
    <row r="281" spans="1:29" x14ac:dyDescent="0.25">
      <c r="A281" s="86" t="s">
        <v>23</v>
      </c>
      <c r="B281" s="54" t="s">
        <v>4</v>
      </c>
      <c r="C281" s="54"/>
      <c r="D281" s="60">
        <v>0</v>
      </c>
      <c r="E281" s="84">
        <f t="shared" si="278"/>
        <v>0</v>
      </c>
      <c r="F281" s="60">
        <v>0</v>
      </c>
      <c r="G281" s="84">
        <f t="shared" si="279"/>
        <v>0</v>
      </c>
      <c r="H281" s="60">
        <v>0</v>
      </c>
      <c r="I281" s="84">
        <f t="shared" si="280"/>
        <v>0</v>
      </c>
      <c r="J281" s="60">
        <v>0</v>
      </c>
      <c r="K281" s="84">
        <f t="shared" si="281"/>
        <v>191.20500000000001</v>
      </c>
      <c r="L281" s="60">
        <v>382.41</v>
      </c>
      <c r="M281" s="60">
        <v>1335.29</v>
      </c>
      <c r="N281" s="60">
        <v>1335.29</v>
      </c>
      <c r="O281" s="60">
        <v>40.46</v>
      </c>
      <c r="P281" s="60">
        <v>40.46</v>
      </c>
      <c r="Q281" s="84">
        <f t="shared" si="282"/>
        <v>40.46049</v>
      </c>
      <c r="R281" s="84">
        <f t="shared" si="282"/>
        <v>40.460979999999999</v>
      </c>
      <c r="S281" s="84">
        <f t="shared" si="282"/>
        <v>40.461469999999998</v>
      </c>
      <c r="T281" s="84">
        <f t="shared" ref="T281:AC281" si="287">+S281-(0.711/100)</f>
        <v>40.454360000000001</v>
      </c>
      <c r="U281" s="84">
        <f t="shared" si="287"/>
        <v>40.447250000000004</v>
      </c>
      <c r="V281" s="84">
        <f t="shared" si="287"/>
        <v>40.440140000000007</v>
      </c>
      <c r="W281" s="84">
        <f t="shared" si="287"/>
        <v>40.433030000000009</v>
      </c>
      <c r="X281" s="84">
        <f t="shared" si="287"/>
        <v>40.425920000000012</v>
      </c>
      <c r="Y281" s="84">
        <f t="shared" si="287"/>
        <v>40.418810000000015</v>
      </c>
      <c r="Z281" s="84">
        <f t="shared" si="287"/>
        <v>40.411700000000017</v>
      </c>
      <c r="AA281" s="84">
        <f t="shared" si="287"/>
        <v>40.40459000000002</v>
      </c>
      <c r="AB281" s="84">
        <f t="shared" si="287"/>
        <v>40.397480000000023</v>
      </c>
      <c r="AC281" s="84">
        <f t="shared" si="287"/>
        <v>40.390370000000026</v>
      </c>
    </row>
    <row r="282" spans="1:29" ht="22.5" x14ac:dyDescent="0.25">
      <c r="A282" s="86" t="s">
        <v>24</v>
      </c>
      <c r="B282" s="54" t="s">
        <v>4</v>
      </c>
      <c r="C282" s="54"/>
      <c r="D282" s="60">
        <v>0</v>
      </c>
      <c r="E282" s="84">
        <f t="shared" si="278"/>
        <v>0</v>
      </c>
      <c r="F282" s="60">
        <v>0</v>
      </c>
      <c r="G282" s="84">
        <f t="shared" si="279"/>
        <v>0</v>
      </c>
      <c r="H282" s="60">
        <v>0</v>
      </c>
      <c r="I282" s="84">
        <f t="shared" si="280"/>
        <v>0</v>
      </c>
      <c r="J282" s="60">
        <v>0</v>
      </c>
      <c r="K282" s="84">
        <f t="shared" si="281"/>
        <v>20.317499999999999</v>
      </c>
      <c r="L282" s="60">
        <v>40.634999999999998</v>
      </c>
      <c r="M282" s="60">
        <v>342.85500000000002</v>
      </c>
      <c r="N282" s="60">
        <v>342.85500000000002</v>
      </c>
      <c r="O282" s="60">
        <v>19.754999999999999</v>
      </c>
      <c r="P282" s="60">
        <v>19.754999999999999</v>
      </c>
      <c r="Q282" s="84">
        <f t="shared" si="282"/>
        <v>19.755489999999998</v>
      </c>
      <c r="R282" s="84">
        <f t="shared" si="282"/>
        <v>19.755979999999997</v>
      </c>
      <c r="S282" s="84">
        <f t="shared" si="282"/>
        <v>19.756469999999997</v>
      </c>
      <c r="T282" s="84">
        <f t="shared" ref="T282:AC282" si="288">+S282-(0.711/100)</f>
        <v>19.749359999999996</v>
      </c>
      <c r="U282" s="84">
        <f t="shared" si="288"/>
        <v>19.742249999999995</v>
      </c>
      <c r="V282" s="84">
        <f t="shared" si="288"/>
        <v>19.735139999999994</v>
      </c>
      <c r="W282" s="84">
        <f t="shared" si="288"/>
        <v>19.728029999999993</v>
      </c>
      <c r="X282" s="84">
        <f t="shared" si="288"/>
        <v>19.720919999999992</v>
      </c>
      <c r="Y282" s="84">
        <f t="shared" si="288"/>
        <v>19.713809999999992</v>
      </c>
      <c r="Z282" s="84">
        <f t="shared" si="288"/>
        <v>19.706699999999991</v>
      </c>
      <c r="AA282" s="84">
        <f t="shared" si="288"/>
        <v>19.69958999999999</v>
      </c>
      <c r="AB282" s="84">
        <f t="shared" si="288"/>
        <v>19.692479999999989</v>
      </c>
      <c r="AC282" s="84">
        <f t="shared" si="288"/>
        <v>19.685369999999988</v>
      </c>
    </row>
    <row r="283" spans="1:29" x14ac:dyDescent="0.25">
      <c r="A283" s="86" t="s">
        <v>25</v>
      </c>
      <c r="B283" s="54" t="s">
        <v>4</v>
      </c>
      <c r="C283" s="54"/>
      <c r="D283" s="60">
        <v>0</v>
      </c>
      <c r="E283" s="84">
        <f t="shared" si="278"/>
        <v>0</v>
      </c>
      <c r="F283" s="60">
        <v>0</v>
      </c>
      <c r="G283" s="84">
        <f t="shared" si="279"/>
        <v>0</v>
      </c>
      <c r="H283" s="60">
        <v>0</v>
      </c>
      <c r="I283" s="84">
        <f t="shared" si="280"/>
        <v>0</v>
      </c>
      <c r="J283" s="60">
        <v>0</v>
      </c>
      <c r="K283" s="84">
        <f t="shared" si="281"/>
        <v>65.227500000000006</v>
      </c>
      <c r="L283" s="60">
        <v>130.45500000000001</v>
      </c>
      <c r="M283" s="60">
        <v>582.12</v>
      </c>
      <c r="N283" s="60">
        <v>582.12</v>
      </c>
      <c r="O283" s="60">
        <v>37.395000000000003</v>
      </c>
      <c r="P283" s="60">
        <v>37.395000000000003</v>
      </c>
      <c r="Q283" s="84">
        <f t="shared" si="282"/>
        <v>37.395490000000002</v>
      </c>
      <c r="R283" s="84">
        <f t="shared" si="282"/>
        <v>37.395980000000002</v>
      </c>
      <c r="S283" s="84">
        <f t="shared" si="282"/>
        <v>37.396470000000001</v>
      </c>
      <c r="T283" s="84">
        <f t="shared" ref="T283:AC283" si="289">+S283-(0.711/100)</f>
        <v>37.389360000000003</v>
      </c>
      <c r="U283" s="84">
        <f t="shared" si="289"/>
        <v>37.382250000000006</v>
      </c>
      <c r="V283" s="84">
        <f t="shared" si="289"/>
        <v>37.375140000000009</v>
      </c>
      <c r="W283" s="84">
        <f t="shared" si="289"/>
        <v>37.368030000000012</v>
      </c>
      <c r="X283" s="84">
        <f t="shared" si="289"/>
        <v>37.360920000000014</v>
      </c>
      <c r="Y283" s="84">
        <f t="shared" si="289"/>
        <v>37.353810000000017</v>
      </c>
      <c r="Z283" s="84">
        <f t="shared" si="289"/>
        <v>37.34670000000002</v>
      </c>
      <c r="AA283" s="84">
        <f t="shared" si="289"/>
        <v>37.339590000000022</v>
      </c>
      <c r="AB283" s="84">
        <f t="shared" si="289"/>
        <v>37.332480000000025</v>
      </c>
      <c r="AC283" s="84">
        <f t="shared" si="289"/>
        <v>37.325370000000028</v>
      </c>
    </row>
    <row r="284" spans="1:29" x14ac:dyDescent="0.25">
      <c r="A284" s="86" t="s">
        <v>26</v>
      </c>
      <c r="B284" s="54" t="s">
        <v>4</v>
      </c>
      <c r="C284" s="54"/>
      <c r="D284" s="60">
        <v>0</v>
      </c>
      <c r="E284" s="84">
        <f t="shared" si="278"/>
        <v>0</v>
      </c>
      <c r="F284" s="60">
        <v>0</v>
      </c>
      <c r="G284" s="84">
        <f t="shared" si="279"/>
        <v>0</v>
      </c>
      <c r="H284" s="60">
        <v>0</v>
      </c>
      <c r="I284" s="84">
        <f t="shared" si="280"/>
        <v>0</v>
      </c>
      <c r="J284" s="60">
        <v>0</v>
      </c>
      <c r="K284" s="84">
        <f t="shared" si="281"/>
        <v>8.7524999999999995</v>
      </c>
      <c r="L284" s="60">
        <v>17.504999999999999</v>
      </c>
      <c r="M284" s="60">
        <v>102.69</v>
      </c>
      <c r="N284" s="60">
        <v>102.69</v>
      </c>
      <c r="O284" s="60">
        <v>140.76</v>
      </c>
      <c r="P284" s="60">
        <v>140.76</v>
      </c>
      <c r="Q284" s="84">
        <f t="shared" si="282"/>
        <v>140.76049</v>
      </c>
      <c r="R284" s="84">
        <f t="shared" si="282"/>
        <v>140.76098000000002</v>
      </c>
      <c r="S284" s="84">
        <f t="shared" si="282"/>
        <v>140.76147000000003</v>
      </c>
      <c r="T284" s="84">
        <f t="shared" ref="T284:AC284" si="290">+S284-(0.711/100)</f>
        <v>140.75436000000002</v>
      </c>
      <c r="U284" s="84">
        <f t="shared" si="290"/>
        <v>140.74725000000001</v>
      </c>
      <c r="V284" s="84">
        <f t="shared" si="290"/>
        <v>140.74014</v>
      </c>
      <c r="W284" s="84">
        <f t="shared" si="290"/>
        <v>140.73302999999999</v>
      </c>
      <c r="X284" s="84">
        <f t="shared" si="290"/>
        <v>140.72591999999997</v>
      </c>
      <c r="Y284" s="84">
        <f t="shared" si="290"/>
        <v>140.71880999999996</v>
      </c>
      <c r="Z284" s="84">
        <f t="shared" si="290"/>
        <v>140.71169999999995</v>
      </c>
      <c r="AA284" s="84">
        <f t="shared" si="290"/>
        <v>140.70458999999994</v>
      </c>
      <c r="AB284" s="84">
        <f t="shared" si="290"/>
        <v>140.69747999999993</v>
      </c>
      <c r="AC284" s="84">
        <f t="shared" si="290"/>
        <v>140.69036999999992</v>
      </c>
    </row>
    <row r="285" spans="1:29" x14ac:dyDescent="0.25">
      <c r="A285" s="86" t="s">
        <v>27</v>
      </c>
      <c r="B285" s="54" t="s">
        <v>4</v>
      </c>
      <c r="C285" s="54"/>
      <c r="D285" s="60">
        <v>0</v>
      </c>
      <c r="E285" s="84">
        <f t="shared" si="278"/>
        <v>0</v>
      </c>
      <c r="F285" s="60">
        <v>0</v>
      </c>
      <c r="G285" s="84">
        <f t="shared" si="279"/>
        <v>0</v>
      </c>
      <c r="H285" s="60">
        <v>0</v>
      </c>
      <c r="I285" s="84">
        <f t="shared" si="280"/>
        <v>0</v>
      </c>
      <c r="J285" s="60">
        <v>0</v>
      </c>
      <c r="K285" s="84">
        <f t="shared" si="281"/>
        <v>0.87749999999999995</v>
      </c>
      <c r="L285" s="60">
        <v>1.7549999999999999</v>
      </c>
      <c r="M285" s="60">
        <v>23.535</v>
      </c>
      <c r="N285" s="60">
        <v>23.535</v>
      </c>
      <c r="O285" s="60">
        <v>0.36</v>
      </c>
      <c r="P285" s="60">
        <v>0.36</v>
      </c>
      <c r="Q285" s="84">
        <f t="shared" si="282"/>
        <v>0.36048999999999998</v>
      </c>
      <c r="R285" s="84">
        <f t="shared" si="282"/>
        <v>0.36097999999999997</v>
      </c>
      <c r="S285" s="84">
        <f t="shared" si="282"/>
        <v>0.36146999999999996</v>
      </c>
      <c r="T285" s="84">
        <f t="shared" ref="T285:AC285" si="291">+S285-(0.711/100)</f>
        <v>0.35435999999999995</v>
      </c>
      <c r="U285" s="84">
        <f t="shared" si="291"/>
        <v>0.34724999999999995</v>
      </c>
      <c r="V285" s="84">
        <f t="shared" si="291"/>
        <v>0.34013999999999994</v>
      </c>
      <c r="W285" s="84">
        <f t="shared" si="291"/>
        <v>0.33302999999999994</v>
      </c>
      <c r="X285" s="84">
        <f t="shared" si="291"/>
        <v>0.32591999999999993</v>
      </c>
      <c r="Y285" s="84">
        <f t="shared" si="291"/>
        <v>0.31880999999999993</v>
      </c>
      <c r="Z285" s="84">
        <f t="shared" si="291"/>
        <v>0.31169999999999992</v>
      </c>
      <c r="AA285" s="84">
        <f t="shared" si="291"/>
        <v>0.30458999999999992</v>
      </c>
      <c r="AB285" s="84">
        <f t="shared" si="291"/>
        <v>0.29747999999999991</v>
      </c>
      <c r="AC285" s="84">
        <f t="shared" si="291"/>
        <v>0.29036999999999991</v>
      </c>
    </row>
    <row r="286" spans="1:29" x14ac:dyDescent="0.25">
      <c r="A286" s="86" t="s">
        <v>28</v>
      </c>
      <c r="B286" s="54" t="s">
        <v>4</v>
      </c>
      <c r="C286" s="54"/>
      <c r="D286" s="60">
        <v>1629.99</v>
      </c>
      <c r="E286" s="84">
        <f t="shared" si="278"/>
        <v>1629.99</v>
      </c>
      <c r="F286" s="60">
        <v>1629.99</v>
      </c>
      <c r="G286" s="84">
        <f t="shared" si="279"/>
        <v>1629.99</v>
      </c>
      <c r="H286" s="60">
        <v>1629.99</v>
      </c>
      <c r="I286" s="84">
        <f t="shared" si="280"/>
        <v>869.76</v>
      </c>
      <c r="J286" s="60">
        <v>109.53</v>
      </c>
      <c r="K286" s="84">
        <f t="shared" si="281"/>
        <v>2240.5724999999998</v>
      </c>
      <c r="L286" s="60">
        <v>4371.6149999999998</v>
      </c>
      <c r="M286" s="60">
        <v>236.75</v>
      </c>
      <c r="N286" s="60">
        <v>236.75</v>
      </c>
      <c r="O286" s="60">
        <v>431.1</v>
      </c>
      <c r="P286" s="60">
        <v>431.1</v>
      </c>
      <c r="Q286" s="84">
        <f t="shared" si="282"/>
        <v>431.10049000000004</v>
      </c>
      <c r="R286" s="84">
        <f t="shared" si="282"/>
        <v>431.10098000000005</v>
      </c>
      <c r="S286" s="84">
        <f t="shared" si="282"/>
        <v>431.10147000000006</v>
      </c>
      <c r="T286" s="84">
        <f t="shared" ref="T286:AC286" si="292">+S286-(0.711/100)</f>
        <v>431.09436000000005</v>
      </c>
      <c r="U286" s="84">
        <f t="shared" si="292"/>
        <v>431.08725000000004</v>
      </c>
      <c r="V286" s="84">
        <f t="shared" si="292"/>
        <v>431.08014000000003</v>
      </c>
      <c r="W286" s="84">
        <f t="shared" si="292"/>
        <v>431.07303000000002</v>
      </c>
      <c r="X286" s="84">
        <f t="shared" si="292"/>
        <v>431.06592000000001</v>
      </c>
      <c r="Y286" s="84">
        <f t="shared" si="292"/>
        <v>431.05880999999999</v>
      </c>
      <c r="Z286" s="84">
        <f t="shared" si="292"/>
        <v>431.05169999999998</v>
      </c>
      <c r="AA286" s="84">
        <f t="shared" si="292"/>
        <v>431.04458999999997</v>
      </c>
      <c r="AB286" s="84">
        <f t="shared" si="292"/>
        <v>431.03747999999996</v>
      </c>
      <c r="AC286" s="84">
        <f t="shared" si="292"/>
        <v>431.03036999999995</v>
      </c>
    </row>
    <row r="287" spans="1:29" x14ac:dyDescent="0.25">
      <c r="A287" s="56" t="s">
        <v>19</v>
      </c>
      <c r="B287" s="54" t="s">
        <v>4</v>
      </c>
      <c r="C287" s="54"/>
      <c r="D287" s="60">
        <v>66529.460000000006</v>
      </c>
      <c r="E287" s="84">
        <f t="shared" si="278"/>
        <v>66529.460000000006</v>
      </c>
      <c r="F287" s="60">
        <v>66529.460000000006</v>
      </c>
      <c r="G287" s="84">
        <f t="shared" si="279"/>
        <v>66529.460000000006</v>
      </c>
      <c r="H287" s="60">
        <v>66529.460000000006</v>
      </c>
      <c r="I287" s="84">
        <f t="shared" si="280"/>
        <v>44241.83</v>
      </c>
      <c r="J287" s="60">
        <v>21954.2</v>
      </c>
      <c r="K287" s="84">
        <f t="shared" si="281"/>
        <v>19003.055</v>
      </c>
      <c r="L287" s="60">
        <v>16051.91</v>
      </c>
      <c r="M287" s="60">
        <v>3245.4</v>
      </c>
      <c r="N287" s="60">
        <v>3245.4</v>
      </c>
      <c r="O287" s="60">
        <v>10864.71</v>
      </c>
      <c r="P287" s="60">
        <v>10864.71</v>
      </c>
      <c r="Q287" s="84">
        <f t="shared" si="282"/>
        <v>10864.710489999999</v>
      </c>
      <c r="R287" s="84">
        <f t="shared" si="282"/>
        <v>10864.71098</v>
      </c>
      <c r="S287" s="84">
        <f t="shared" si="282"/>
        <v>10864.71147</v>
      </c>
      <c r="T287" s="84">
        <f t="shared" ref="T287:AC287" si="293">+S287-(0.711/100)</f>
        <v>10864.70436</v>
      </c>
      <c r="U287" s="84">
        <f t="shared" si="293"/>
        <v>10864.697249999999</v>
      </c>
      <c r="V287" s="84">
        <f t="shared" si="293"/>
        <v>10864.690139999999</v>
      </c>
      <c r="W287" s="84">
        <f t="shared" si="293"/>
        <v>10864.683029999998</v>
      </c>
      <c r="X287" s="84">
        <f t="shared" si="293"/>
        <v>10864.675919999998</v>
      </c>
      <c r="Y287" s="84">
        <f t="shared" si="293"/>
        <v>10864.668809999997</v>
      </c>
      <c r="Z287" s="84">
        <f t="shared" si="293"/>
        <v>10864.661699999997</v>
      </c>
      <c r="AA287" s="84">
        <f t="shared" si="293"/>
        <v>10864.654589999996</v>
      </c>
      <c r="AB287" s="84">
        <f t="shared" si="293"/>
        <v>10864.647479999996</v>
      </c>
      <c r="AC287" s="84">
        <f t="shared" si="293"/>
        <v>10864.640369999996</v>
      </c>
    </row>
    <row r="288" spans="1:29" x14ac:dyDescent="0.25">
      <c r="A288" s="56" t="s">
        <v>5</v>
      </c>
      <c r="B288" s="54" t="s">
        <v>4</v>
      </c>
      <c r="C288" s="54"/>
      <c r="D288" s="60">
        <v>12.48</v>
      </c>
      <c r="E288" s="84">
        <f t="shared" si="278"/>
        <v>12.48</v>
      </c>
      <c r="F288" s="60">
        <v>12.48</v>
      </c>
      <c r="G288" s="84">
        <f t="shared" si="279"/>
        <v>12.48</v>
      </c>
      <c r="H288" s="60">
        <v>12.48</v>
      </c>
      <c r="I288" s="84">
        <f t="shared" si="280"/>
        <v>1375.4549999999999</v>
      </c>
      <c r="J288" s="60">
        <v>2738.43</v>
      </c>
      <c r="K288" s="84">
        <f t="shared" si="281"/>
        <v>1722.3525</v>
      </c>
      <c r="L288" s="60">
        <v>706.27499999999998</v>
      </c>
      <c r="M288" s="60">
        <v>104.13</v>
      </c>
      <c r="N288" s="60">
        <v>104.13</v>
      </c>
      <c r="O288" s="60">
        <v>2137.0100000000002</v>
      </c>
      <c r="P288" s="60">
        <v>2137.0100000000002</v>
      </c>
      <c r="Q288" s="84">
        <f t="shared" si="282"/>
        <v>2137.0104900000001</v>
      </c>
      <c r="R288" s="84">
        <f t="shared" si="282"/>
        <v>2137.01098</v>
      </c>
      <c r="S288" s="84">
        <f t="shared" si="282"/>
        <v>2137.0114699999999</v>
      </c>
      <c r="T288" s="84">
        <f t="shared" ref="T288:AC288" si="294">+S288-(0.711/100)</f>
        <v>2137.0043599999999</v>
      </c>
      <c r="U288" s="84">
        <f t="shared" si="294"/>
        <v>2136.9972499999999</v>
      </c>
      <c r="V288" s="84">
        <f t="shared" si="294"/>
        <v>2136.9901399999999</v>
      </c>
      <c r="W288" s="84">
        <f t="shared" si="294"/>
        <v>2136.9830299999999</v>
      </c>
      <c r="X288" s="84">
        <f t="shared" si="294"/>
        <v>2136.9759199999999</v>
      </c>
      <c r="Y288" s="84">
        <f t="shared" si="294"/>
        <v>2136.9688099999998</v>
      </c>
      <c r="Z288" s="84">
        <f t="shared" si="294"/>
        <v>2136.9616999999998</v>
      </c>
      <c r="AA288" s="84">
        <f t="shared" si="294"/>
        <v>2136.9545899999998</v>
      </c>
      <c r="AB288" s="84">
        <f t="shared" si="294"/>
        <v>2136.9474799999998</v>
      </c>
      <c r="AC288" s="84">
        <f t="shared" si="294"/>
        <v>2136.9403699999998</v>
      </c>
    </row>
    <row r="289" spans="1:29" x14ac:dyDescent="0.25">
      <c r="A289" s="56" t="s">
        <v>29</v>
      </c>
      <c r="B289" s="54" t="s">
        <v>4</v>
      </c>
      <c r="C289" s="54"/>
      <c r="D289" s="60">
        <v>3687.21</v>
      </c>
      <c r="E289" s="84">
        <f t="shared" si="278"/>
        <v>3687.21</v>
      </c>
      <c r="F289" s="60">
        <v>3687.21</v>
      </c>
      <c r="G289" s="84">
        <f t="shared" si="279"/>
        <v>3687.21</v>
      </c>
      <c r="H289" s="60">
        <v>3687.21</v>
      </c>
      <c r="I289" s="84">
        <f t="shared" si="280"/>
        <v>4063.3449999999998</v>
      </c>
      <c r="J289" s="60">
        <v>4439.4799999999996</v>
      </c>
      <c r="K289" s="84">
        <f t="shared" si="281"/>
        <v>3868.1124999999997</v>
      </c>
      <c r="L289" s="60">
        <v>3296.7449999999999</v>
      </c>
      <c r="M289" s="60">
        <v>370.94</v>
      </c>
      <c r="N289" s="60">
        <v>370.94</v>
      </c>
      <c r="O289" s="60">
        <v>2590.52</v>
      </c>
      <c r="P289" s="60">
        <v>2590.52</v>
      </c>
      <c r="Q289" s="84">
        <f t="shared" si="282"/>
        <v>2590.5204899999999</v>
      </c>
      <c r="R289" s="84">
        <f t="shared" si="282"/>
        <v>2590.5209799999998</v>
      </c>
      <c r="S289" s="84">
        <f t="shared" si="282"/>
        <v>2590.5214699999997</v>
      </c>
      <c r="T289" s="84">
        <f t="shared" ref="T289:AC289" si="295">+S289-(0.711/100)</f>
        <v>2590.5143599999997</v>
      </c>
      <c r="U289" s="84">
        <f t="shared" si="295"/>
        <v>2590.5072499999997</v>
      </c>
      <c r="V289" s="84">
        <f t="shared" si="295"/>
        <v>2590.5001399999996</v>
      </c>
      <c r="W289" s="84">
        <f t="shared" si="295"/>
        <v>2590.4930299999996</v>
      </c>
      <c r="X289" s="84">
        <f t="shared" si="295"/>
        <v>2590.4859199999996</v>
      </c>
      <c r="Y289" s="84">
        <f t="shared" si="295"/>
        <v>2590.4788099999996</v>
      </c>
      <c r="Z289" s="84">
        <f t="shared" si="295"/>
        <v>2590.4716999999996</v>
      </c>
      <c r="AA289" s="84">
        <f t="shared" si="295"/>
        <v>2590.4645899999996</v>
      </c>
      <c r="AB289" s="84">
        <f t="shared" si="295"/>
        <v>2590.4574799999996</v>
      </c>
      <c r="AC289" s="84">
        <f t="shared" si="295"/>
        <v>2590.4503699999996</v>
      </c>
    </row>
    <row r="290" spans="1:29" x14ac:dyDescent="0.25">
      <c r="E290" s="84"/>
      <c r="G290" s="84"/>
      <c r="I290" s="84"/>
      <c r="K290" s="84"/>
      <c r="Q290" s="84"/>
      <c r="T290" s="84">
        <f t="shared" ref="T290:AC290" si="296">+S290-(0.711/100)</f>
        <v>-7.11E-3</v>
      </c>
      <c r="U290" s="84">
        <f t="shared" si="296"/>
        <v>-1.422E-2</v>
      </c>
      <c r="V290" s="84">
        <f t="shared" si="296"/>
        <v>-2.1330000000000002E-2</v>
      </c>
      <c r="W290" s="84">
        <f t="shared" si="296"/>
        <v>-2.844E-2</v>
      </c>
      <c r="X290" s="84">
        <f t="shared" si="296"/>
        <v>-3.5549999999999998E-2</v>
      </c>
      <c r="Y290" s="84">
        <f t="shared" si="296"/>
        <v>-4.2659999999999997E-2</v>
      </c>
      <c r="Z290" s="84">
        <f t="shared" si="296"/>
        <v>-4.9769999999999995E-2</v>
      </c>
      <c r="AA290" s="84">
        <f t="shared" si="296"/>
        <v>-5.6879999999999993E-2</v>
      </c>
      <c r="AB290" s="84">
        <f t="shared" si="296"/>
        <v>-6.3989999999999991E-2</v>
      </c>
      <c r="AC290" s="84">
        <f t="shared" si="296"/>
        <v>-7.1099999999999997E-2</v>
      </c>
    </row>
    <row r="291" spans="1:29" x14ac:dyDescent="0.25">
      <c r="A291" s="86" t="s">
        <v>18</v>
      </c>
      <c r="B291" s="54" t="s">
        <v>5</v>
      </c>
      <c r="C291" s="54"/>
      <c r="D291" s="60">
        <v>0</v>
      </c>
      <c r="E291" s="84">
        <f t="shared" ref="E291:E303" si="297">+(D291+F291)/2</f>
        <v>0</v>
      </c>
      <c r="F291" s="60">
        <v>0</v>
      </c>
      <c r="G291" s="84">
        <f t="shared" ref="G291:G303" si="298">+(F291+H291)/2</f>
        <v>0</v>
      </c>
      <c r="H291" s="60">
        <v>0</v>
      </c>
      <c r="I291" s="84">
        <f t="shared" ref="I291:I303" si="299">+(H291+J291)/2</f>
        <v>0</v>
      </c>
      <c r="J291" s="60">
        <v>0</v>
      </c>
      <c r="K291" s="84">
        <f t="shared" ref="K291:K303" si="300">+(J291+L291)/2</f>
        <v>0</v>
      </c>
      <c r="L291" s="60">
        <v>0</v>
      </c>
      <c r="M291" s="60">
        <v>57.06</v>
      </c>
      <c r="N291" s="60">
        <v>57.06</v>
      </c>
      <c r="O291" s="60">
        <v>9.1349999999999998</v>
      </c>
      <c r="P291" s="60">
        <v>9.1349999999999998</v>
      </c>
      <c r="Q291" s="85">
        <f t="shared" ref="Q291:S303" si="301">+P291+(0.049/100)</f>
        <v>9.135489999999999</v>
      </c>
      <c r="R291" s="85">
        <f t="shared" si="301"/>
        <v>9.1359799999999982</v>
      </c>
      <c r="S291" s="85">
        <f t="shared" si="301"/>
        <v>9.1364699999999974</v>
      </c>
      <c r="T291" s="84">
        <f t="shared" ref="T291:AC291" si="302">+S291-(0.711/100)</f>
        <v>9.1293599999999966</v>
      </c>
      <c r="U291" s="84">
        <f t="shared" si="302"/>
        <v>9.1222499999999958</v>
      </c>
      <c r="V291" s="84">
        <f t="shared" si="302"/>
        <v>9.1151399999999949</v>
      </c>
      <c r="W291" s="84">
        <f t="shared" si="302"/>
        <v>9.1080299999999941</v>
      </c>
      <c r="X291" s="84">
        <f t="shared" si="302"/>
        <v>9.1009199999999932</v>
      </c>
      <c r="Y291" s="84">
        <f t="shared" si="302"/>
        <v>9.0938099999999924</v>
      </c>
      <c r="Z291" s="84">
        <f t="shared" si="302"/>
        <v>9.0866999999999916</v>
      </c>
      <c r="AA291" s="84">
        <f t="shared" si="302"/>
        <v>9.0795899999999907</v>
      </c>
      <c r="AB291" s="84">
        <f t="shared" si="302"/>
        <v>9.0724799999999899</v>
      </c>
      <c r="AC291" s="84">
        <f t="shared" si="302"/>
        <v>9.065369999999989</v>
      </c>
    </row>
    <row r="292" spans="1:29" x14ac:dyDescent="0.25">
      <c r="A292" s="86" t="s">
        <v>20</v>
      </c>
      <c r="B292" s="54" t="s">
        <v>5</v>
      </c>
      <c r="C292" s="54"/>
      <c r="D292" s="60">
        <v>185.4</v>
      </c>
      <c r="E292" s="84">
        <f t="shared" si="297"/>
        <v>185.4</v>
      </c>
      <c r="F292" s="60">
        <v>185.4</v>
      </c>
      <c r="G292" s="84">
        <f t="shared" si="298"/>
        <v>185.4</v>
      </c>
      <c r="H292" s="60">
        <v>185.4</v>
      </c>
      <c r="I292" s="84">
        <f t="shared" si="299"/>
        <v>190.50749999999999</v>
      </c>
      <c r="J292" s="60">
        <v>195.61499999999998</v>
      </c>
      <c r="K292" s="84">
        <f t="shared" si="300"/>
        <v>133.49250000000001</v>
      </c>
      <c r="L292" s="60">
        <v>71.37</v>
      </c>
      <c r="M292" s="60">
        <v>97.2</v>
      </c>
      <c r="N292" s="60">
        <v>97.2</v>
      </c>
      <c r="O292" s="60">
        <v>20.34</v>
      </c>
      <c r="P292" s="60">
        <v>20.34</v>
      </c>
      <c r="Q292" s="85">
        <f t="shared" si="301"/>
        <v>20.340489999999999</v>
      </c>
      <c r="R292" s="85">
        <f t="shared" si="301"/>
        <v>20.340979999999998</v>
      </c>
      <c r="S292" s="85">
        <f t="shared" si="301"/>
        <v>20.341469999999997</v>
      </c>
      <c r="T292" s="84">
        <f t="shared" ref="T292:AC292" si="303">+S292-(0.711/100)</f>
        <v>20.334359999999997</v>
      </c>
      <c r="U292" s="84">
        <f t="shared" si="303"/>
        <v>20.327249999999996</v>
      </c>
      <c r="V292" s="84">
        <f t="shared" si="303"/>
        <v>20.320139999999995</v>
      </c>
      <c r="W292" s="84">
        <f t="shared" si="303"/>
        <v>20.313029999999994</v>
      </c>
      <c r="X292" s="84">
        <f t="shared" si="303"/>
        <v>20.305919999999993</v>
      </c>
      <c r="Y292" s="84">
        <f t="shared" si="303"/>
        <v>20.298809999999992</v>
      </c>
      <c r="Z292" s="84">
        <f t="shared" si="303"/>
        <v>20.291699999999992</v>
      </c>
      <c r="AA292" s="84">
        <f t="shared" si="303"/>
        <v>20.284589999999991</v>
      </c>
      <c r="AB292" s="84">
        <f t="shared" si="303"/>
        <v>20.27747999999999</v>
      </c>
      <c r="AC292" s="84">
        <f t="shared" si="303"/>
        <v>20.270369999999989</v>
      </c>
    </row>
    <row r="293" spans="1:29" x14ac:dyDescent="0.25">
      <c r="A293" s="86" t="s">
        <v>21</v>
      </c>
      <c r="B293" s="54" t="s">
        <v>5</v>
      </c>
      <c r="C293" s="54"/>
      <c r="D293" s="60">
        <v>0</v>
      </c>
      <c r="E293" s="84">
        <f t="shared" si="297"/>
        <v>0</v>
      </c>
      <c r="F293" s="60">
        <v>0</v>
      </c>
      <c r="G293" s="84">
        <f t="shared" si="298"/>
        <v>0</v>
      </c>
      <c r="H293" s="60">
        <v>0</v>
      </c>
      <c r="I293" s="84">
        <f t="shared" si="299"/>
        <v>0</v>
      </c>
      <c r="J293" s="60">
        <v>0</v>
      </c>
      <c r="K293" s="84">
        <f t="shared" si="300"/>
        <v>0.5625</v>
      </c>
      <c r="L293" s="60">
        <v>1.125</v>
      </c>
      <c r="M293" s="60">
        <v>731.3</v>
      </c>
      <c r="N293" s="60">
        <v>731.3</v>
      </c>
      <c r="O293" s="60">
        <v>460.125</v>
      </c>
      <c r="P293" s="60">
        <v>460.125</v>
      </c>
      <c r="Q293" s="85">
        <f t="shared" si="301"/>
        <v>460.12549000000001</v>
      </c>
      <c r="R293" s="85">
        <f t="shared" si="301"/>
        <v>460.12598000000003</v>
      </c>
      <c r="S293" s="85">
        <f t="shared" si="301"/>
        <v>460.12647000000004</v>
      </c>
      <c r="T293" s="84">
        <f t="shared" ref="T293:AC293" si="304">+S293-(0.711/100)</f>
        <v>460.11936000000003</v>
      </c>
      <c r="U293" s="84">
        <f t="shared" si="304"/>
        <v>460.11225000000002</v>
      </c>
      <c r="V293" s="84">
        <f t="shared" si="304"/>
        <v>460.10514000000001</v>
      </c>
      <c r="W293" s="84">
        <f t="shared" si="304"/>
        <v>460.09802999999999</v>
      </c>
      <c r="X293" s="84">
        <f t="shared" si="304"/>
        <v>460.09091999999998</v>
      </c>
      <c r="Y293" s="84">
        <f t="shared" si="304"/>
        <v>460.08380999999997</v>
      </c>
      <c r="Z293" s="84">
        <f t="shared" si="304"/>
        <v>460.07669999999996</v>
      </c>
      <c r="AA293" s="84">
        <f t="shared" si="304"/>
        <v>460.06958999999995</v>
      </c>
      <c r="AB293" s="84">
        <f t="shared" si="304"/>
        <v>460.06247999999994</v>
      </c>
      <c r="AC293" s="84">
        <f t="shared" si="304"/>
        <v>460.05536999999993</v>
      </c>
    </row>
    <row r="294" spans="1:29" x14ac:dyDescent="0.25">
      <c r="A294" s="86" t="s">
        <v>22</v>
      </c>
      <c r="B294" s="54" t="s">
        <v>5</v>
      </c>
      <c r="C294" s="54"/>
      <c r="D294" s="60">
        <v>0</v>
      </c>
      <c r="E294" s="84">
        <f t="shared" si="297"/>
        <v>0</v>
      </c>
      <c r="F294" s="60">
        <v>0</v>
      </c>
      <c r="G294" s="84">
        <f t="shared" si="298"/>
        <v>0</v>
      </c>
      <c r="H294" s="60">
        <v>0</v>
      </c>
      <c r="I294" s="84">
        <f t="shared" si="299"/>
        <v>0</v>
      </c>
      <c r="J294" s="60">
        <v>0</v>
      </c>
      <c r="K294" s="84">
        <f t="shared" si="300"/>
        <v>2.2949999999999999</v>
      </c>
      <c r="L294" s="60">
        <v>4.59</v>
      </c>
      <c r="M294" s="60">
        <v>237.2</v>
      </c>
      <c r="N294" s="60">
        <v>237.2</v>
      </c>
      <c r="O294" s="60">
        <v>950.44500000000005</v>
      </c>
      <c r="P294" s="60">
        <v>950.44500000000005</v>
      </c>
      <c r="Q294" s="85">
        <f t="shared" si="301"/>
        <v>950.44549000000006</v>
      </c>
      <c r="R294" s="85">
        <f t="shared" si="301"/>
        <v>950.44598000000008</v>
      </c>
      <c r="S294" s="85">
        <f t="shared" si="301"/>
        <v>950.44647000000009</v>
      </c>
      <c r="T294" s="84">
        <f t="shared" ref="T294:AC294" si="305">+S294-(0.711/100)</f>
        <v>950.43936000000008</v>
      </c>
      <c r="U294" s="84">
        <f t="shared" si="305"/>
        <v>950.43225000000007</v>
      </c>
      <c r="V294" s="84">
        <f t="shared" si="305"/>
        <v>950.42514000000006</v>
      </c>
      <c r="W294" s="84">
        <f t="shared" si="305"/>
        <v>950.41803000000004</v>
      </c>
      <c r="X294" s="84">
        <f t="shared" si="305"/>
        <v>950.41092000000003</v>
      </c>
      <c r="Y294" s="84">
        <f t="shared" si="305"/>
        <v>950.40381000000002</v>
      </c>
      <c r="Z294" s="84">
        <f t="shared" si="305"/>
        <v>950.39670000000001</v>
      </c>
      <c r="AA294" s="84">
        <f t="shared" si="305"/>
        <v>950.38959</v>
      </c>
      <c r="AB294" s="84">
        <f t="shared" si="305"/>
        <v>950.38247999999999</v>
      </c>
      <c r="AC294" s="84">
        <f t="shared" si="305"/>
        <v>950.37536999999998</v>
      </c>
    </row>
    <row r="295" spans="1:29" x14ac:dyDescent="0.25">
      <c r="A295" s="86" t="s">
        <v>23</v>
      </c>
      <c r="B295" s="54" t="s">
        <v>5</v>
      </c>
      <c r="C295" s="54"/>
      <c r="D295" s="60">
        <v>0</v>
      </c>
      <c r="E295" s="84">
        <f t="shared" si="297"/>
        <v>0</v>
      </c>
      <c r="F295" s="60">
        <v>0</v>
      </c>
      <c r="G295" s="84">
        <f t="shared" si="298"/>
        <v>0</v>
      </c>
      <c r="H295" s="60">
        <v>0</v>
      </c>
      <c r="I295" s="84">
        <f t="shared" si="299"/>
        <v>0</v>
      </c>
      <c r="J295" s="60">
        <v>0</v>
      </c>
      <c r="K295" s="84">
        <f t="shared" si="300"/>
        <v>0</v>
      </c>
      <c r="L295" s="60">
        <v>0</v>
      </c>
      <c r="M295" s="60">
        <v>54.77</v>
      </c>
      <c r="N295" s="60">
        <v>54.77</v>
      </c>
      <c r="O295" s="60">
        <v>25.56</v>
      </c>
      <c r="P295" s="60">
        <v>25.56</v>
      </c>
      <c r="Q295" s="85">
        <f t="shared" si="301"/>
        <v>25.560489999999998</v>
      </c>
      <c r="R295" s="85">
        <f t="shared" si="301"/>
        <v>25.560979999999997</v>
      </c>
      <c r="S295" s="85">
        <f t="shared" si="301"/>
        <v>25.561469999999996</v>
      </c>
      <c r="T295" s="84">
        <f t="shared" ref="T295:AC295" si="306">+S295-(0.711/100)</f>
        <v>25.554359999999996</v>
      </c>
      <c r="U295" s="84">
        <f t="shared" si="306"/>
        <v>25.547249999999995</v>
      </c>
      <c r="V295" s="84">
        <f t="shared" si="306"/>
        <v>25.540139999999994</v>
      </c>
      <c r="W295" s="84">
        <f t="shared" si="306"/>
        <v>25.533029999999993</v>
      </c>
      <c r="X295" s="84">
        <f t="shared" si="306"/>
        <v>25.525919999999992</v>
      </c>
      <c r="Y295" s="84">
        <f t="shared" si="306"/>
        <v>25.518809999999991</v>
      </c>
      <c r="Z295" s="84">
        <f t="shared" si="306"/>
        <v>25.51169999999999</v>
      </c>
      <c r="AA295" s="84">
        <f t="shared" si="306"/>
        <v>25.50458999999999</v>
      </c>
      <c r="AB295" s="84">
        <f t="shared" si="306"/>
        <v>25.497479999999989</v>
      </c>
      <c r="AC295" s="84">
        <f t="shared" si="306"/>
        <v>25.490369999999988</v>
      </c>
    </row>
    <row r="296" spans="1:29" ht="22.5" x14ac:dyDescent="0.25">
      <c r="A296" s="86" t="s">
        <v>24</v>
      </c>
      <c r="B296" s="54" t="s">
        <v>5</v>
      </c>
      <c r="C296" s="54"/>
      <c r="D296" s="60">
        <v>0</v>
      </c>
      <c r="E296" s="84">
        <f t="shared" si="297"/>
        <v>0</v>
      </c>
      <c r="F296" s="60">
        <v>0</v>
      </c>
      <c r="G296" s="84">
        <f t="shared" si="298"/>
        <v>0</v>
      </c>
      <c r="H296" s="60">
        <v>0</v>
      </c>
      <c r="I296" s="84">
        <f t="shared" si="299"/>
        <v>0</v>
      </c>
      <c r="J296" s="60">
        <v>0</v>
      </c>
      <c r="K296" s="84">
        <f t="shared" si="300"/>
        <v>0</v>
      </c>
      <c r="L296" s="60">
        <v>0</v>
      </c>
      <c r="M296" s="60">
        <v>3041.91</v>
      </c>
      <c r="N296" s="60">
        <v>3041.91</v>
      </c>
      <c r="O296" s="60">
        <v>5179.95</v>
      </c>
      <c r="P296" s="60">
        <v>5179.95</v>
      </c>
      <c r="Q296" s="85">
        <f t="shared" si="301"/>
        <v>5179.9504900000002</v>
      </c>
      <c r="R296" s="85">
        <f t="shared" si="301"/>
        <v>5179.9509800000005</v>
      </c>
      <c r="S296" s="85">
        <f t="shared" si="301"/>
        <v>5179.9514700000009</v>
      </c>
      <c r="T296" s="84">
        <f t="shared" ref="T296:AC296" si="307">+S296-(0.711/100)</f>
        <v>5179.9443600000013</v>
      </c>
      <c r="U296" s="84">
        <f t="shared" si="307"/>
        <v>5179.9372500000018</v>
      </c>
      <c r="V296" s="84">
        <f t="shared" si="307"/>
        <v>5179.9301400000022</v>
      </c>
      <c r="W296" s="84">
        <f t="shared" si="307"/>
        <v>5179.9230300000027</v>
      </c>
      <c r="X296" s="84">
        <f t="shared" si="307"/>
        <v>5179.9159200000031</v>
      </c>
      <c r="Y296" s="84">
        <f t="shared" si="307"/>
        <v>5179.9088100000035</v>
      </c>
      <c r="Z296" s="84">
        <f t="shared" si="307"/>
        <v>5179.901700000004</v>
      </c>
      <c r="AA296" s="84">
        <f t="shared" si="307"/>
        <v>5179.8945900000044</v>
      </c>
      <c r="AB296" s="84">
        <f t="shared" si="307"/>
        <v>5179.8874800000049</v>
      </c>
      <c r="AC296" s="84">
        <f t="shared" si="307"/>
        <v>5179.8803700000053</v>
      </c>
    </row>
    <row r="297" spans="1:29" x14ac:dyDescent="0.25">
      <c r="A297" s="86" t="s">
        <v>25</v>
      </c>
      <c r="B297" s="54" t="s">
        <v>5</v>
      </c>
      <c r="C297" s="54"/>
      <c r="D297" s="60">
        <v>23.204999999999998</v>
      </c>
      <c r="E297" s="84">
        <f t="shared" si="297"/>
        <v>23.204999999999998</v>
      </c>
      <c r="F297" s="60">
        <v>23.204999999999998</v>
      </c>
      <c r="G297" s="84">
        <f t="shared" si="298"/>
        <v>23.204999999999998</v>
      </c>
      <c r="H297" s="60">
        <v>23.204999999999998</v>
      </c>
      <c r="I297" s="84">
        <f t="shared" si="299"/>
        <v>53.52000000000001</v>
      </c>
      <c r="J297" s="60">
        <v>83.835000000000022</v>
      </c>
      <c r="K297" s="84">
        <f t="shared" si="300"/>
        <v>61.627500000000012</v>
      </c>
      <c r="L297" s="60">
        <v>39.42</v>
      </c>
      <c r="M297" s="60">
        <v>17.149999999999999</v>
      </c>
      <c r="N297" s="60">
        <v>17.149999999999999</v>
      </c>
      <c r="O297" s="60">
        <v>69.3</v>
      </c>
      <c r="P297" s="60">
        <v>69.3</v>
      </c>
      <c r="Q297" s="85">
        <f t="shared" si="301"/>
        <v>69.300489999999996</v>
      </c>
      <c r="R297" s="85">
        <f t="shared" si="301"/>
        <v>69.300979999999996</v>
      </c>
      <c r="S297" s="85">
        <f t="shared" si="301"/>
        <v>69.301469999999995</v>
      </c>
      <c r="T297" s="84">
        <f t="shared" ref="T297:AC297" si="308">+S297-(0.711/100)</f>
        <v>69.294359999999998</v>
      </c>
      <c r="U297" s="84">
        <f t="shared" si="308"/>
        <v>69.28725</v>
      </c>
      <c r="V297" s="84">
        <f t="shared" si="308"/>
        <v>69.280140000000003</v>
      </c>
      <c r="W297" s="84">
        <f t="shared" si="308"/>
        <v>69.273030000000006</v>
      </c>
      <c r="X297" s="84">
        <f t="shared" si="308"/>
        <v>69.265920000000008</v>
      </c>
      <c r="Y297" s="84">
        <f t="shared" si="308"/>
        <v>69.258810000000011</v>
      </c>
      <c r="Z297" s="84">
        <f t="shared" si="308"/>
        <v>69.251700000000014</v>
      </c>
      <c r="AA297" s="84">
        <f t="shared" si="308"/>
        <v>69.244590000000017</v>
      </c>
      <c r="AB297" s="84">
        <f t="shared" si="308"/>
        <v>69.237480000000019</v>
      </c>
      <c r="AC297" s="84">
        <f t="shared" si="308"/>
        <v>69.230370000000022</v>
      </c>
    </row>
    <row r="298" spans="1:29" x14ac:dyDescent="0.25">
      <c r="A298" s="86" t="s">
        <v>26</v>
      </c>
      <c r="B298" s="54" t="s">
        <v>5</v>
      </c>
      <c r="C298" s="54"/>
      <c r="D298" s="60">
        <v>709.14</v>
      </c>
      <c r="E298" s="84">
        <f t="shared" si="297"/>
        <v>709.14</v>
      </c>
      <c r="F298" s="60">
        <v>709.14</v>
      </c>
      <c r="G298" s="84">
        <f t="shared" si="298"/>
        <v>709.14</v>
      </c>
      <c r="H298" s="60">
        <v>709.14</v>
      </c>
      <c r="I298" s="84">
        <f t="shared" si="299"/>
        <v>809.33999999999992</v>
      </c>
      <c r="J298" s="60">
        <v>909.54</v>
      </c>
      <c r="K298" s="84">
        <f t="shared" si="300"/>
        <v>947.43000000000006</v>
      </c>
      <c r="L298" s="60">
        <v>985.32</v>
      </c>
      <c r="M298" s="60">
        <v>719.15</v>
      </c>
      <c r="N298" s="60">
        <v>719.15</v>
      </c>
      <c r="O298" s="60">
        <v>48.15</v>
      </c>
      <c r="P298" s="60">
        <v>48.15</v>
      </c>
      <c r="Q298" s="85">
        <f t="shared" si="301"/>
        <v>48.150489999999998</v>
      </c>
      <c r="R298" s="85">
        <f t="shared" si="301"/>
        <v>48.150979999999997</v>
      </c>
      <c r="S298" s="85">
        <f t="shared" si="301"/>
        <v>48.151469999999996</v>
      </c>
      <c r="T298" s="84">
        <f t="shared" ref="T298:AC298" si="309">+S298-(0.711/100)</f>
        <v>48.144359999999999</v>
      </c>
      <c r="U298" s="84">
        <f t="shared" si="309"/>
        <v>48.137250000000002</v>
      </c>
      <c r="V298" s="84">
        <f t="shared" si="309"/>
        <v>48.130140000000004</v>
      </c>
      <c r="W298" s="84">
        <f t="shared" si="309"/>
        <v>48.123030000000007</v>
      </c>
      <c r="X298" s="84">
        <f t="shared" si="309"/>
        <v>48.11592000000001</v>
      </c>
      <c r="Y298" s="84">
        <f t="shared" si="309"/>
        <v>48.108810000000013</v>
      </c>
      <c r="Z298" s="84">
        <f t="shared" si="309"/>
        <v>48.101700000000015</v>
      </c>
      <c r="AA298" s="84">
        <f t="shared" si="309"/>
        <v>48.094590000000018</v>
      </c>
      <c r="AB298" s="84">
        <f t="shared" si="309"/>
        <v>48.087480000000021</v>
      </c>
      <c r="AC298" s="84">
        <f t="shared" si="309"/>
        <v>48.080370000000023</v>
      </c>
    </row>
    <row r="299" spans="1:29" x14ac:dyDescent="0.25">
      <c r="A299" s="86" t="s">
        <v>27</v>
      </c>
      <c r="B299" s="54" t="s">
        <v>5</v>
      </c>
      <c r="C299" s="54"/>
      <c r="D299" s="60">
        <v>0</v>
      </c>
      <c r="E299" s="84">
        <f t="shared" si="297"/>
        <v>0</v>
      </c>
      <c r="F299" s="60">
        <v>0</v>
      </c>
      <c r="G299" s="84">
        <f t="shared" si="298"/>
        <v>0</v>
      </c>
      <c r="H299" s="60">
        <v>0</v>
      </c>
      <c r="I299" s="84">
        <f t="shared" si="299"/>
        <v>0</v>
      </c>
      <c r="J299" s="60">
        <v>0</v>
      </c>
      <c r="K299" s="84">
        <f t="shared" si="300"/>
        <v>0</v>
      </c>
      <c r="L299" s="60">
        <v>0</v>
      </c>
      <c r="M299" s="60">
        <v>552.78</v>
      </c>
      <c r="N299" s="60">
        <v>552.78</v>
      </c>
      <c r="O299" s="60">
        <v>234.63</v>
      </c>
      <c r="P299" s="60">
        <v>234.63</v>
      </c>
      <c r="Q299" s="85">
        <f t="shared" si="301"/>
        <v>234.63049000000001</v>
      </c>
      <c r="R299" s="85">
        <f t="shared" si="301"/>
        <v>234.63098000000002</v>
      </c>
      <c r="S299" s="85">
        <f t="shared" si="301"/>
        <v>234.63147000000004</v>
      </c>
      <c r="T299" s="84">
        <f t="shared" ref="T299:AC299" si="310">+S299-(0.711/100)</f>
        <v>234.62436000000002</v>
      </c>
      <c r="U299" s="84">
        <f t="shared" si="310"/>
        <v>234.61725000000001</v>
      </c>
      <c r="V299" s="84">
        <f t="shared" si="310"/>
        <v>234.61014</v>
      </c>
      <c r="W299" s="84">
        <f t="shared" si="310"/>
        <v>234.60302999999999</v>
      </c>
      <c r="X299" s="84">
        <f t="shared" si="310"/>
        <v>234.59591999999998</v>
      </c>
      <c r="Y299" s="84">
        <f t="shared" si="310"/>
        <v>234.58880999999997</v>
      </c>
      <c r="Z299" s="84">
        <f t="shared" si="310"/>
        <v>234.58169999999996</v>
      </c>
      <c r="AA299" s="84">
        <f t="shared" si="310"/>
        <v>234.57458999999994</v>
      </c>
      <c r="AB299" s="84">
        <f t="shared" si="310"/>
        <v>234.56747999999993</v>
      </c>
      <c r="AC299" s="84">
        <f t="shared" si="310"/>
        <v>234.56036999999992</v>
      </c>
    </row>
    <row r="300" spans="1:29" x14ac:dyDescent="0.25">
      <c r="A300" s="86" t="s">
        <v>28</v>
      </c>
      <c r="B300" s="54" t="s">
        <v>5</v>
      </c>
      <c r="C300" s="54"/>
      <c r="D300" s="60">
        <v>0</v>
      </c>
      <c r="E300" s="84">
        <f t="shared" si="297"/>
        <v>0</v>
      </c>
      <c r="F300" s="60">
        <v>0</v>
      </c>
      <c r="G300" s="84">
        <f t="shared" si="298"/>
        <v>0</v>
      </c>
      <c r="H300" s="60">
        <v>0</v>
      </c>
      <c r="I300" s="84">
        <f t="shared" si="299"/>
        <v>54.81</v>
      </c>
      <c r="J300" s="60">
        <v>109.62</v>
      </c>
      <c r="K300" s="84">
        <f t="shared" si="300"/>
        <v>63.765000000000001</v>
      </c>
      <c r="L300" s="60">
        <v>17.91</v>
      </c>
      <c r="M300" s="60">
        <v>18.989999999999998</v>
      </c>
      <c r="N300" s="60">
        <v>18.989999999999998</v>
      </c>
      <c r="O300" s="60">
        <v>7.2</v>
      </c>
      <c r="P300" s="60">
        <v>7.2</v>
      </c>
      <c r="Q300" s="85">
        <f t="shared" si="301"/>
        <v>7.2004900000000003</v>
      </c>
      <c r="R300" s="85">
        <f t="shared" si="301"/>
        <v>7.2009800000000004</v>
      </c>
      <c r="S300" s="85">
        <f t="shared" si="301"/>
        <v>7.2014700000000005</v>
      </c>
      <c r="T300" s="84">
        <f t="shared" ref="T300:AC300" si="311">+S300-(0.711/100)</f>
        <v>7.1943600000000005</v>
      </c>
      <c r="U300" s="84">
        <f t="shared" si="311"/>
        <v>7.1872500000000006</v>
      </c>
      <c r="V300" s="84">
        <f t="shared" si="311"/>
        <v>7.1801400000000006</v>
      </c>
      <c r="W300" s="84">
        <f t="shared" si="311"/>
        <v>7.1730300000000007</v>
      </c>
      <c r="X300" s="84">
        <f t="shared" si="311"/>
        <v>7.1659200000000007</v>
      </c>
      <c r="Y300" s="84">
        <f t="shared" si="311"/>
        <v>7.1588100000000008</v>
      </c>
      <c r="Z300" s="84">
        <f t="shared" si="311"/>
        <v>7.1517000000000008</v>
      </c>
      <c r="AA300" s="84">
        <f t="shared" si="311"/>
        <v>7.1445900000000009</v>
      </c>
      <c r="AB300" s="84">
        <f t="shared" si="311"/>
        <v>7.1374800000000009</v>
      </c>
      <c r="AC300" s="84">
        <f t="shared" si="311"/>
        <v>7.130370000000001</v>
      </c>
    </row>
    <row r="301" spans="1:29" x14ac:dyDescent="0.25">
      <c r="A301" s="56" t="s">
        <v>19</v>
      </c>
      <c r="B301" s="54" t="s">
        <v>5</v>
      </c>
      <c r="C301" s="54"/>
      <c r="D301" s="60">
        <v>7739.04</v>
      </c>
      <c r="E301" s="84">
        <f t="shared" si="297"/>
        <v>7739.04</v>
      </c>
      <c r="F301" s="60">
        <v>7739.04</v>
      </c>
      <c r="G301" s="84">
        <f t="shared" si="298"/>
        <v>7739.04</v>
      </c>
      <c r="H301" s="60">
        <v>7739.04</v>
      </c>
      <c r="I301" s="84">
        <f t="shared" si="299"/>
        <v>7635.75</v>
      </c>
      <c r="J301" s="60">
        <v>7532.46</v>
      </c>
      <c r="K301" s="84">
        <f t="shared" si="300"/>
        <v>7934.3799999999992</v>
      </c>
      <c r="L301" s="60">
        <v>8336.2999999999993</v>
      </c>
      <c r="M301" s="60">
        <v>7082.69</v>
      </c>
      <c r="N301" s="60">
        <v>7082.69</v>
      </c>
      <c r="O301" s="60">
        <v>1511.69</v>
      </c>
      <c r="P301" s="60">
        <v>1511.69</v>
      </c>
      <c r="Q301" s="85">
        <f t="shared" si="301"/>
        <v>1511.69049</v>
      </c>
      <c r="R301" s="85">
        <f t="shared" si="301"/>
        <v>1511.6909799999999</v>
      </c>
      <c r="S301" s="85">
        <f t="shared" si="301"/>
        <v>1511.6914699999998</v>
      </c>
      <c r="T301" s="84">
        <f t="shared" ref="T301:AC301" si="312">+S301-(0.711/100)</f>
        <v>1511.6843599999997</v>
      </c>
      <c r="U301" s="84">
        <f t="shared" si="312"/>
        <v>1511.6772499999997</v>
      </c>
      <c r="V301" s="84">
        <f t="shared" si="312"/>
        <v>1511.6701399999997</v>
      </c>
      <c r="W301" s="84">
        <f t="shared" si="312"/>
        <v>1511.6630299999997</v>
      </c>
      <c r="X301" s="84">
        <f t="shared" si="312"/>
        <v>1511.6559199999997</v>
      </c>
      <c r="Y301" s="84">
        <f t="shared" si="312"/>
        <v>1511.6488099999997</v>
      </c>
      <c r="Z301" s="84">
        <f t="shared" si="312"/>
        <v>1511.6416999999997</v>
      </c>
      <c r="AA301" s="84">
        <f t="shared" si="312"/>
        <v>1511.6345899999997</v>
      </c>
      <c r="AB301" s="84">
        <f t="shared" si="312"/>
        <v>1511.6274799999997</v>
      </c>
      <c r="AC301" s="84">
        <f t="shared" si="312"/>
        <v>1511.6203699999996</v>
      </c>
    </row>
    <row r="302" spans="1:29" x14ac:dyDescent="0.25">
      <c r="A302" s="56" t="s">
        <v>4</v>
      </c>
      <c r="B302" s="54" t="s">
        <v>5</v>
      </c>
      <c r="C302" s="54"/>
      <c r="D302" s="60">
        <v>420.255</v>
      </c>
      <c r="E302" s="84">
        <f t="shared" si="297"/>
        <v>420.255</v>
      </c>
      <c r="F302" s="60">
        <v>420.255</v>
      </c>
      <c r="G302" s="84">
        <f t="shared" si="298"/>
        <v>420.255</v>
      </c>
      <c r="H302" s="60">
        <v>420.255</v>
      </c>
      <c r="I302" s="84">
        <f t="shared" si="299"/>
        <v>654.66250000000002</v>
      </c>
      <c r="J302" s="60">
        <v>889.07</v>
      </c>
      <c r="K302" s="84">
        <f t="shared" si="300"/>
        <v>530.35</v>
      </c>
      <c r="L302" s="60">
        <v>171.63</v>
      </c>
      <c r="M302" s="60">
        <v>1057.5899999999999</v>
      </c>
      <c r="N302" s="60">
        <v>1057.5899999999999</v>
      </c>
      <c r="O302" s="60">
        <v>137.47999999999999</v>
      </c>
      <c r="P302" s="60">
        <v>137.47999999999999</v>
      </c>
      <c r="Q302" s="85">
        <f t="shared" si="301"/>
        <v>137.48049</v>
      </c>
      <c r="R302" s="85">
        <f t="shared" si="301"/>
        <v>137.48098000000002</v>
      </c>
      <c r="S302" s="85">
        <f t="shared" si="301"/>
        <v>137.48147000000003</v>
      </c>
      <c r="T302" s="84">
        <f t="shared" ref="T302:AC302" si="313">+S302-(0.711/100)</f>
        <v>137.47436000000002</v>
      </c>
      <c r="U302" s="84">
        <f t="shared" si="313"/>
        <v>137.46725000000001</v>
      </c>
      <c r="V302" s="84">
        <f t="shared" si="313"/>
        <v>137.46014</v>
      </c>
      <c r="W302" s="84">
        <f t="shared" si="313"/>
        <v>137.45302999999998</v>
      </c>
      <c r="X302" s="84">
        <f t="shared" si="313"/>
        <v>137.44591999999997</v>
      </c>
      <c r="Y302" s="84">
        <f t="shared" si="313"/>
        <v>137.43880999999996</v>
      </c>
      <c r="Z302" s="84">
        <f t="shared" si="313"/>
        <v>137.43169999999995</v>
      </c>
      <c r="AA302" s="84">
        <f t="shared" si="313"/>
        <v>137.42458999999994</v>
      </c>
      <c r="AB302" s="84">
        <f t="shared" si="313"/>
        <v>137.41747999999993</v>
      </c>
      <c r="AC302" s="84">
        <f t="shared" si="313"/>
        <v>137.41036999999992</v>
      </c>
    </row>
    <row r="303" spans="1:29" x14ac:dyDescent="0.25">
      <c r="A303" s="56" t="s">
        <v>29</v>
      </c>
      <c r="B303" s="54" t="s">
        <v>5</v>
      </c>
      <c r="C303" s="54"/>
      <c r="D303" s="60">
        <v>1846.79</v>
      </c>
      <c r="E303" s="84">
        <f t="shared" si="297"/>
        <v>1846.79</v>
      </c>
      <c r="F303" s="60">
        <v>1846.79</v>
      </c>
      <c r="G303" s="84">
        <f t="shared" si="298"/>
        <v>1846.79</v>
      </c>
      <c r="H303" s="60">
        <v>1846.79</v>
      </c>
      <c r="I303" s="84">
        <f t="shared" si="299"/>
        <v>2744.6800000000003</v>
      </c>
      <c r="J303" s="60">
        <v>3642.57</v>
      </c>
      <c r="K303" s="84">
        <f t="shared" si="300"/>
        <v>2664.2049999999999</v>
      </c>
      <c r="L303" s="60">
        <v>1685.84</v>
      </c>
      <c r="M303" s="60">
        <v>3312.72</v>
      </c>
      <c r="N303" s="60">
        <v>3312.72</v>
      </c>
      <c r="O303" s="60">
        <v>218.03</v>
      </c>
      <c r="P303" s="60">
        <v>218.03</v>
      </c>
      <c r="Q303" s="85">
        <f t="shared" si="301"/>
        <v>218.03049000000001</v>
      </c>
      <c r="R303" s="85">
        <f t="shared" si="301"/>
        <v>218.03098000000003</v>
      </c>
      <c r="S303" s="85">
        <f t="shared" si="301"/>
        <v>218.03147000000004</v>
      </c>
      <c r="T303" s="84">
        <f t="shared" ref="T303:AC303" si="314">+S303-(0.711/100)</f>
        <v>218.02436000000003</v>
      </c>
      <c r="U303" s="84">
        <f t="shared" si="314"/>
        <v>218.01725000000002</v>
      </c>
      <c r="V303" s="84">
        <f t="shared" si="314"/>
        <v>218.01014000000001</v>
      </c>
      <c r="W303" s="84">
        <f t="shared" si="314"/>
        <v>218.00303</v>
      </c>
      <c r="X303" s="84">
        <f t="shared" si="314"/>
        <v>217.99591999999998</v>
      </c>
      <c r="Y303" s="84">
        <f t="shared" si="314"/>
        <v>217.98880999999997</v>
      </c>
      <c r="Z303" s="84">
        <f t="shared" si="314"/>
        <v>217.98169999999996</v>
      </c>
      <c r="AA303" s="84">
        <f t="shared" si="314"/>
        <v>217.97458999999995</v>
      </c>
      <c r="AB303" s="84">
        <f t="shared" si="314"/>
        <v>217.96747999999994</v>
      </c>
      <c r="AC303" s="84">
        <f t="shared" si="314"/>
        <v>217.96036999999993</v>
      </c>
    </row>
    <row r="304" spans="1:29" x14ac:dyDescent="0.25">
      <c r="T304" s="84">
        <f t="shared" ref="T304:AC304" si="315">+S304-(0.711/100)</f>
        <v>-7.11E-3</v>
      </c>
      <c r="U304" s="84">
        <f t="shared" si="315"/>
        <v>-1.422E-2</v>
      </c>
      <c r="V304" s="84">
        <f t="shared" si="315"/>
        <v>-2.1330000000000002E-2</v>
      </c>
      <c r="W304" s="84">
        <f t="shared" si="315"/>
        <v>-2.844E-2</v>
      </c>
      <c r="X304" s="84">
        <f t="shared" si="315"/>
        <v>-3.5549999999999998E-2</v>
      </c>
      <c r="Y304" s="84">
        <f t="shared" si="315"/>
        <v>-4.2659999999999997E-2</v>
      </c>
      <c r="Z304" s="84">
        <f t="shared" si="315"/>
        <v>-4.9769999999999995E-2</v>
      </c>
      <c r="AA304" s="84">
        <f t="shared" si="315"/>
        <v>-5.6879999999999993E-2</v>
      </c>
      <c r="AB304" s="84">
        <f t="shared" si="315"/>
        <v>-6.3989999999999991E-2</v>
      </c>
      <c r="AC304" s="84">
        <f t="shared" si="315"/>
        <v>-7.1099999999999997E-2</v>
      </c>
    </row>
    <row r="305" spans="1:29" x14ac:dyDescent="0.25">
      <c r="A305" s="86" t="s">
        <v>18</v>
      </c>
      <c r="B305" s="54" t="s">
        <v>6</v>
      </c>
      <c r="C305" s="54"/>
      <c r="D305" s="60">
        <v>0</v>
      </c>
      <c r="E305" s="84">
        <f t="shared" ref="E305:E318" si="316">+(D305+F305)/2</f>
        <v>0</v>
      </c>
      <c r="F305" s="60">
        <v>0</v>
      </c>
      <c r="G305" s="84">
        <f t="shared" ref="G305:G318" si="317">+(F305+H305)/2</f>
        <v>0</v>
      </c>
      <c r="H305" s="60">
        <v>0</v>
      </c>
      <c r="I305" s="84">
        <f t="shared" ref="I305:I318" si="318">+(H305+J305)/2</f>
        <v>0</v>
      </c>
      <c r="J305" s="60">
        <v>0</v>
      </c>
      <c r="K305" s="84">
        <f t="shared" ref="K305:K318" si="319">+(J305+L305)/2</f>
        <v>5.1974999999999998</v>
      </c>
      <c r="L305" s="60">
        <v>10.395</v>
      </c>
      <c r="M305" s="60">
        <v>7.52</v>
      </c>
      <c r="N305" s="60">
        <v>7.52</v>
      </c>
      <c r="O305" s="60">
        <v>0</v>
      </c>
      <c r="P305" s="60">
        <v>0</v>
      </c>
      <c r="Q305" s="85">
        <f t="shared" ref="Q305:S318" si="320">+P305+(0.049/100)</f>
        <v>4.8999999999999998E-4</v>
      </c>
      <c r="R305" s="85">
        <f t="shared" si="320"/>
        <v>9.7999999999999997E-4</v>
      </c>
      <c r="S305" s="85">
        <f t="shared" si="320"/>
        <v>1.47E-3</v>
      </c>
      <c r="T305" s="84">
        <f t="shared" ref="T305:AC305" si="321">+S305-(0.711/100)</f>
        <v>-5.64E-3</v>
      </c>
      <c r="U305" s="84">
        <f t="shared" si="321"/>
        <v>-1.2750000000000001E-2</v>
      </c>
      <c r="V305" s="84">
        <f t="shared" si="321"/>
        <v>-1.9860000000000003E-2</v>
      </c>
      <c r="W305" s="84">
        <f t="shared" si="321"/>
        <v>-2.6970000000000001E-2</v>
      </c>
      <c r="X305" s="84">
        <f t="shared" si="321"/>
        <v>-3.4079999999999999E-2</v>
      </c>
      <c r="Y305" s="84">
        <f t="shared" si="321"/>
        <v>-4.1189999999999997E-2</v>
      </c>
      <c r="Z305" s="84">
        <f t="shared" si="321"/>
        <v>-4.8299999999999996E-2</v>
      </c>
      <c r="AA305" s="84">
        <f t="shared" si="321"/>
        <v>-5.5409999999999994E-2</v>
      </c>
      <c r="AB305" s="84">
        <f t="shared" si="321"/>
        <v>-6.2519999999999992E-2</v>
      </c>
      <c r="AC305" s="84">
        <f t="shared" si="321"/>
        <v>-6.9629999999999997E-2</v>
      </c>
    </row>
    <row r="306" spans="1:29" x14ac:dyDescent="0.25">
      <c r="A306" s="86" t="s">
        <v>20</v>
      </c>
      <c r="B306" s="54" t="s">
        <v>6</v>
      </c>
      <c r="C306" s="54"/>
      <c r="D306" s="60">
        <v>390</v>
      </c>
      <c r="E306" s="84">
        <f t="shared" si="316"/>
        <v>390</v>
      </c>
      <c r="F306" s="60">
        <v>390</v>
      </c>
      <c r="G306" s="84">
        <f t="shared" si="317"/>
        <v>390</v>
      </c>
      <c r="H306" s="60">
        <v>390</v>
      </c>
      <c r="I306" s="84">
        <f t="shared" si="318"/>
        <v>232.50749999999999</v>
      </c>
      <c r="J306" s="60">
        <v>75.015000000000001</v>
      </c>
      <c r="K306" s="84">
        <f t="shared" si="319"/>
        <v>75.240000000000009</v>
      </c>
      <c r="L306" s="60">
        <v>75.465000000000003</v>
      </c>
      <c r="M306" s="60">
        <v>527.66999999999996</v>
      </c>
      <c r="N306" s="60">
        <v>527.66999999999996</v>
      </c>
      <c r="O306" s="60">
        <v>802.49</v>
      </c>
      <c r="P306" s="60">
        <v>802.49</v>
      </c>
      <c r="Q306" s="85">
        <f t="shared" si="320"/>
        <v>802.49049000000002</v>
      </c>
      <c r="R306" s="85">
        <f t="shared" si="320"/>
        <v>802.49098000000004</v>
      </c>
      <c r="S306" s="85">
        <f t="shared" si="320"/>
        <v>802.49147000000005</v>
      </c>
      <c r="T306" s="84">
        <f t="shared" ref="T306:AC306" si="322">+S306-(0.711/100)</f>
        <v>802.48436000000004</v>
      </c>
      <c r="U306" s="84">
        <f t="shared" si="322"/>
        <v>802.47725000000003</v>
      </c>
      <c r="V306" s="84">
        <f t="shared" si="322"/>
        <v>802.47014000000001</v>
      </c>
      <c r="W306" s="84">
        <f t="shared" si="322"/>
        <v>802.46303</v>
      </c>
      <c r="X306" s="84">
        <f t="shared" si="322"/>
        <v>802.45591999999999</v>
      </c>
      <c r="Y306" s="84">
        <f t="shared" si="322"/>
        <v>802.44880999999998</v>
      </c>
      <c r="Z306" s="84">
        <f t="shared" si="322"/>
        <v>802.44169999999997</v>
      </c>
      <c r="AA306" s="84">
        <f t="shared" si="322"/>
        <v>802.43458999999996</v>
      </c>
      <c r="AB306" s="84">
        <f t="shared" si="322"/>
        <v>802.42747999999995</v>
      </c>
      <c r="AC306" s="84">
        <f t="shared" si="322"/>
        <v>802.42036999999993</v>
      </c>
    </row>
    <row r="307" spans="1:29" x14ac:dyDescent="0.25">
      <c r="A307" s="86" t="s">
        <v>21</v>
      </c>
      <c r="B307" s="54" t="s">
        <v>6</v>
      </c>
      <c r="C307" s="54"/>
      <c r="D307" s="60">
        <v>42.464999999999996</v>
      </c>
      <c r="E307" s="84">
        <f t="shared" si="316"/>
        <v>42.464999999999996</v>
      </c>
      <c r="F307" s="60">
        <v>42.464999999999996</v>
      </c>
      <c r="G307" s="84">
        <f t="shared" si="317"/>
        <v>42.464999999999996</v>
      </c>
      <c r="H307" s="60">
        <v>42.464999999999996</v>
      </c>
      <c r="I307" s="84">
        <f t="shared" si="318"/>
        <v>54.825000000000003</v>
      </c>
      <c r="J307" s="60">
        <v>67.185000000000002</v>
      </c>
      <c r="K307" s="84">
        <f t="shared" si="319"/>
        <v>89.032499999999999</v>
      </c>
      <c r="L307" s="60">
        <v>110.88</v>
      </c>
      <c r="M307" s="60">
        <v>59.4</v>
      </c>
      <c r="N307" s="60">
        <v>59.4</v>
      </c>
      <c r="O307" s="60">
        <v>123.44</v>
      </c>
      <c r="P307" s="60">
        <v>123.44</v>
      </c>
      <c r="Q307" s="85">
        <f t="shared" si="320"/>
        <v>123.44049</v>
      </c>
      <c r="R307" s="85">
        <f t="shared" si="320"/>
        <v>123.44098</v>
      </c>
      <c r="S307" s="85">
        <f t="shared" si="320"/>
        <v>123.44147</v>
      </c>
      <c r="T307" s="84">
        <f t="shared" ref="T307:AC307" si="323">+S307-(0.711/100)</f>
        <v>123.43436</v>
      </c>
      <c r="U307" s="84">
        <f t="shared" si="323"/>
        <v>123.42725</v>
      </c>
      <c r="V307" s="84">
        <f t="shared" si="323"/>
        <v>123.42014</v>
      </c>
      <c r="W307" s="84">
        <f t="shared" si="323"/>
        <v>123.41303000000001</v>
      </c>
      <c r="X307" s="84">
        <f t="shared" si="323"/>
        <v>123.40592000000001</v>
      </c>
      <c r="Y307" s="84">
        <f t="shared" si="323"/>
        <v>123.39881000000001</v>
      </c>
      <c r="Z307" s="84">
        <f t="shared" si="323"/>
        <v>123.39170000000001</v>
      </c>
      <c r="AA307" s="84">
        <f t="shared" si="323"/>
        <v>123.38459000000002</v>
      </c>
      <c r="AB307" s="84">
        <f t="shared" si="323"/>
        <v>123.37748000000002</v>
      </c>
      <c r="AC307" s="84">
        <f t="shared" si="323"/>
        <v>123.37037000000002</v>
      </c>
    </row>
    <row r="308" spans="1:29" x14ac:dyDescent="0.25">
      <c r="A308" s="86" t="s">
        <v>22</v>
      </c>
      <c r="B308" s="54" t="s">
        <v>6</v>
      </c>
      <c r="C308" s="54"/>
      <c r="D308" s="60">
        <v>51.254999999999995</v>
      </c>
      <c r="E308" s="84">
        <f t="shared" si="316"/>
        <v>51.254999999999995</v>
      </c>
      <c r="F308" s="60">
        <v>51.254999999999995</v>
      </c>
      <c r="G308" s="84">
        <f t="shared" si="317"/>
        <v>51.254999999999995</v>
      </c>
      <c r="H308" s="60">
        <v>51.254999999999995</v>
      </c>
      <c r="I308" s="84">
        <f t="shared" si="318"/>
        <v>48.959999999999994</v>
      </c>
      <c r="J308" s="60">
        <v>46.664999999999992</v>
      </c>
      <c r="K308" s="84">
        <f t="shared" si="319"/>
        <v>61.717499999999994</v>
      </c>
      <c r="L308" s="60">
        <v>76.77</v>
      </c>
      <c r="M308" s="60">
        <v>99.45</v>
      </c>
      <c r="N308" s="60">
        <v>99.45</v>
      </c>
      <c r="O308" s="60">
        <v>138.56</v>
      </c>
      <c r="P308" s="60">
        <v>138.56</v>
      </c>
      <c r="Q308" s="85">
        <f t="shared" si="320"/>
        <v>138.56049000000002</v>
      </c>
      <c r="R308" s="85">
        <f t="shared" si="320"/>
        <v>138.56098000000003</v>
      </c>
      <c r="S308" s="85">
        <f t="shared" si="320"/>
        <v>138.56147000000004</v>
      </c>
      <c r="T308" s="84">
        <f t="shared" ref="T308:AC308" si="324">+S308-(0.711/100)</f>
        <v>138.55436000000003</v>
      </c>
      <c r="U308" s="84">
        <f t="shared" si="324"/>
        <v>138.54725000000002</v>
      </c>
      <c r="V308" s="84">
        <f t="shared" si="324"/>
        <v>138.54014000000001</v>
      </c>
      <c r="W308" s="84">
        <f t="shared" si="324"/>
        <v>138.53303</v>
      </c>
      <c r="X308" s="84">
        <f t="shared" si="324"/>
        <v>138.52591999999999</v>
      </c>
      <c r="Y308" s="84">
        <f t="shared" si="324"/>
        <v>138.51880999999997</v>
      </c>
      <c r="Z308" s="84">
        <f t="shared" si="324"/>
        <v>138.51169999999996</v>
      </c>
      <c r="AA308" s="84">
        <f t="shared" si="324"/>
        <v>138.50458999999995</v>
      </c>
      <c r="AB308" s="84">
        <f t="shared" si="324"/>
        <v>138.49747999999994</v>
      </c>
      <c r="AC308" s="84">
        <f t="shared" si="324"/>
        <v>138.49036999999993</v>
      </c>
    </row>
    <row r="309" spans="1:29" x14ac:dyDescent="0.25">
      <c r="A309" s="86" t="s">
        <v>23</v>
      </c>
      <c r="B309" s="54" t="s">
        <v>6</v>
      </c>
      <c r="C309" s="54"/>
      <c r="D309" s="60">
        <v>18.059999999999999</v>
      </c>
      <c r="E309" s="84">
        <f t="shared" si="316"/>
        <v>18.059999999999999</v>
      </c>
      <c r="F309" s="60">
        <v>18.059999999999999</v>
      </c>
      <c r="G309" s="84">
        <f t="shared" si="317"/>
        <v>18.059999999999999</v>
      </c>
      <c r="H309" s="60">
        <v>18.059999999999999</v>
      </c>
      <c r="I309" s="84">
        <f t="shared" si="318"/>
        <v>21.2925</v>
      </c>
      <c r="J309" s="60">
        <v>24.525000000000002</v>
      </c>
      <c r="K309" s="84">
        <f t="shared" si="319"/>
        <v>28.17</v>
      </c>
      <c r="L309" s="60">
        <v>31.814999999999998</v>
      </c>
      <c r="M309" s="60">
        <v>39.65</v>
      </c>
      <c r="N309" s="60">
        <v>39.65</v>
      </c>
      <c r="O309" s="60">
        <v>0.54</v>
      </c>
      <c r="P309" s="60">
        <v>0.54</v>
      </c>
      <c r="Q309" s="85">
        <f t="shared" si="320"/>
        <v>0.54049000000000003</v>
      </c>
      <c r="R309" s="85">
        <f t="shared" si="320"/>
        <v>0.54098000000000002</v>
      </c>
      <c r="S309" s="85">
        <f t="shared" si="320"/>
        <v>0.54147000000000001</v>
      </c>
      <c r="T309" s="84">
        <f t="shared" ref="T309:AC309" si="325">+S309-(0.711/100)</f>
        <v>0.53436000000000006</v>
      </c>
      <c r="U309" s="84">
        <f t="shared" si="325"/>
        <v>0.52725000000000011</v>
      </c>
      <c r="V309" s="84">
        <f t="shared" si="325"/>
        <v>0.52014000000000016</v>
      </c>
      <c r="W309" s="84">
        <f t="shared" si="325"/>
        <v>0.51303000000000021</v>
      </c>
      <c r="X309" s="84">
        <f t="shared" si="325"/>
        <v>0.50592000000000026</v>
      </c>
      <c r="Y309" s="84">
        <f t="shared" si="325"/>
        <v>0.49881000000000025</v>
      </c>
      <c r="Z309" s="84">
        <f t="shared" si="325"/>
        <v>0.49170000000000025</v>
      </c>
      <c r="AA309" s="84">
        <f t="shared" si="325"/>
        <v>0.48459000000000024</v>
      </c>
      <c r="AB309" s="84">
        <f t="shared" si="325"/>
        <v>0.47748000000000024</v>
      </c>
      <c r="AC309" s="84">
        <f t="shared" si="325"/>
        <v>0.47037000000000023</v>
      </c>
    </row>
    <row r="310" spans="1:29" ht="22.5" x14ac:dyDescent="0.25">
      <c r="A310" s="86" t="s">
        <v>24</v>
      </c>
      <c r="B310" s="54" t="s">
        <v>6</v>
      </c>
      <c r="C310" s="54"/>
      <c r="D310" s="60">
        <v>102.55500000000001</v>
      </c>
      <c r="E310" s="84">
        <f t="shared" si="316"/>
        <v>102.55500000000001</v>
      </c>
      <c r="F310" s="60">
        <v>102.55500000000001</v>
      </c>
      <c r="G310" s="84">
        <f t="shared" si="317"/>
        <v>102.55500000000001</v>
      </c>
      <c r="H310" s="60">
        <v>102.55500000000001</v>
      </c>
      <c r="I310" s="84">
        <f t="shared" si="318"/>
        <v>107.23500000000001</v>
      </c>
      <c r="J310" s="60">
        <v>111.91500000000001</v>
      </c>
      <c r="K310" s="84">
        <f t="shared" si="319"/>
        <v>157.9725</v>
      </c>
      <c r="L310" s="60">
        <v>204.03</v>
      </c>
      <c r="M310" s="60">
        <v>300.74</v>
      </c>
      <c r="N310" s="60">
        <v>300.74</v>
      </c>
      <c r="O310" s="60">
        <v>861.98</v>
      </c>
      <c r="P310" s="60">
        <v>861.98</v>
      </c>
      <c r="Q310" s="85">
        <f t="shared" si="320"/>
        <v>861.98049000000003</v>
      </c>
      <c r="R310" s="85">
        <f t="shared" si="320"/>
        <v>861.98098000000005</v>
      </c>
      <c r="S310" s="85">
        <f t="shared" si="320"/>
        <v>861.98147000000006</v>
      </c>
      <c r="T310" s="84">
        <f t="shared" ref="T310:AC310" si="326">+S310-(0.711/100)</f>
        <v>861.97436000000005</v>
      </c>
      <c r="U310" s="84">
        <f t="shared" si="326"/>
        <v>861.96725000000004</v>
      </c>
      <c r="V310" s="84">
        <f t="shared" si="326"/>
        <v>861.96014000000002</v>
      </c>
      <c r="W310" s="84">
        <f t="shared" si="326"/>
        <v>861.95303000000001</v>
      </c>
      <c r="X310" s="84">
        <f t="shared" si="326"/>
        <v>861.94592</v>
      </c>
      <c r="Y310" s="84">
        <f t="shared" si="326"/>
        <v>861.93880999999999</v>
      </c>
      <c r="Z310" s="84">
        <f t="shared" si="326"/>
        <v>861.93169999999998</v>
      </c>
      <c r="AA310" s="84">
        <f t="shared" si="326"/>
        <v>861.92458999999997</v>
      </c>
      <c r="AB310" s="84">
        <f t="shared" si="326"/>
        <v>861.91747999999995</v>
      </c>
      <c r="AC310" s="84">
        <f t="shared" si="326"/>
        <v>861.91036999999994</v>
      </c>
    </row>
    <row r="311" spans="1:29" x14ac:dyDescent="0.25">
      <c r="A311" s="86" t="s">
        <v>25</v>
      </c>
      <c r="B311" s="54" t="s">
        <v>6</v>
      </c>
      <c r="C311" s="54"/>
      <c r="D311" s="60">
        <v>30.825000000000003</v>
      </c>
      <c r="E311" s="84">
        <f t="shared" si="316"/>
        <v>30.825000000000003</v>
      </c>
      <c r="F311" s="60">
        <v>30.825000000000003</v>
      </c>
      <c r="G311" s="84">
        <f t="shared" si="317"/>
        <v>30.825000000000003</v>
      </c>
      <c r="H311" s="60">
        <v>30.825000000000003</v>
      </c>
      <c r="I311" s="84">
        <f t="shared" si="318"/>
        <v>22.770000000000003</v>
      </c>
      <c r="J311" s="60">
        <v>14.715</v>
      </c>
      <c r="K311" s="84">
        <f t="shared" si="319"/>
        <v>18.09</v>
      </c>
      <c r="L311" s="60">
        <v>21.465</v>
      </c>
      <c r="M311" s="60">
        <v>33.979999999999997</v>
      </c>
      <c r="N311" s="60">
        <v>33.979999999999997</v>
      </c>
      <c r="O311" s="60">
        <v>201.56</v>
      </c>
      <c r="P311" s="60">
        <v>201.56</v>
      </c>
      <c r="Q311" s="85">
        <f t="shared" si="320"/>
        <v>201.56049000000002</v>
      </c>
      <c r="R311" s="85">
        <f t="shared" si="320"/>
        <v>201.56098000000003</v>
      </c>
      <c r="S311" s="85">
        <f t="shared" si="320"/>
        <v>201.56147000000004</v>
      </c>
      <c r="T311" s="84">
        <f t="shared" ref="T311:AC311" si="327">+S311-(0.711/100)</f>
        <v>201.55436000000003</v>
      </c>
      <c r="U311" s="84">
        <f t="shared" si="327"/>
        <v>201.54725000000002</v>
      </c>
      <c r="V311" s="84">
        <f t="shared" si="327"/>
        <v>201.54014000000001</v>
      </c>
      <c r="W311" s="84">
        <f t="shared" si="327"/>
        <v>201.53303</v>
      </c>
      <c r="X311" s="84">
        <f t="shared" si="327"/>
        <v>201.52591999999999</v>
      </c>
      <c r="Y311" s="84">
        <f t="shared" si="327"/>
        <v>201.51880999999997</v>
      </c>
      <c r="Z311" s="84">
        <f t="shared" si="327"/>
        <v>201.51169999999996</v>
      </c>
      <c r="AA311" s="84">
        <f t="shared" si="327"/>
        <v>201.50458999999995</v>
      </c>
      <c r="AB311" s="84">
        <f t="shared" si="327"/>
        <v>201.49747999999994</v>
      </c>
      <c r="AC311" s="84">
        <f t="shared" si="327"/>
        <v>201.49036999999993</v>
      </c>
    </row>
    <row r="312" spans="1:29" x14ac:dyDescent="0.25">
      <c r="A312" s="86" t="s">
        <v>26</v>
      </c>
      <c r="B312" s="54" t="s">
        <v>6</v>
      </c>
      <c r="C312" s="54"/>
      <c r="D312" s="60">
        <v>33.630000000000003</v>
      </c>
      <c r="E312" s="84">
        <f t="shared" si="316"/>
        <v>33.630000000000003</v>
      </c>
      <c r="F312" s="60">
        <v>33.630000000000003</v>
      </c>
      <c r="G312" s="84">
        <f t="shared" si="317"/>
        <v>33.630000000000003</v>
      </c>
      <c r="H312" s="60">
        <v>33.630000000000003</v>
      </c>
      <c r="I312" s="84">
        <f t="shared" si="318"/>
        <v>20.842500000000001</v>
      </c>
      <c r="J312" s="60">
        <v>8.0549999999999997</v>
      </c>
      <c r="K312" s="84">
        <f t="shared" si="319"/>
        <v>11.6775</v>
      </c>
      <c r="L312" s="60">
        <v>15.3</v>
      </c>
      <c r="M312" s="60">
        <v>2210.7199999999998</v>
      </c>
      <c r="N312" s="60">
        <v>2210.7199999999998</v>
      </c>
      <c r="O312" s="60">
        <v>78.709999999999994</v>
      </c>
      <c r="P312" s="60">
        <v>78.709999999999994</v>
      </c>
      <c r="Q312" s="85">
        <f t="shared" si="320"/>
        <v>78.710489999999993</v>
      </c>
      <c r="R312" s="85">
        <f t="shared" si="320"/>
        <v>78.710979999999992</v>
      </c>
      <c r="S312" s="85">
        <f t="shared" si="320"/>
        <v>78.711469999999991</v>
      </c>
      <c r="T312" s="84">
        <f t="shared" ref="T312:AC312" si="328">+S312-(0.711/100)</f>
        <v>78.704359999999994</v>
      </c>
      <c r="U312" s="84">
        <f t="shared" si="328"/>
        <v>78.697249999999997</v>
      </c>
      <c r="V312" s="84">
        <f t="shared" si="328"/>
        <v>78.69014</v>
      </c>
      <c r="W312" s="84">
        <f t="shared" si="328"/>
        <v>78.683030000000002</v>
      </c>
      <c r="X312" s="84">
        <f t="shared" si="328"/>
        <v>78.675920000000005</v>
      </c>
      <c r="Y312" s="84">
        <f t="shared" si="328"/>
        <v>78.668810000000008</v>
      </c>
      <c r="Z312" s="84">
        <f t="shared" si="328"/>
        <v>78.66170000000001</v>
      </c>
      <c r="AA312" s="84">
        <f t="shared" si="328"/>
        <v>78.654590000000013</v>
      </c>
      <c r="AB312" s="84">
        <f t="shared" si="328"/>
        <v>78.647480000000016</v>
      </c>
      <c r="AC312" s="84">
        <f t="shared" si="328"/>
        <v>78.640370000000019</v>
      </c>
    </row>
    <row r="313" spans="1:29" x14ac:dyDescent="0.25">
      <c r="A313" s="86" t="s">
        <v>27</v>
      </c>
      <c r="B313" s="54" t="s">
        <v>6</v>
      </c>
      <c r="C313" s="54"/>
      <c r="D313" s="60">
        <v>1.83</v>
      </c>
      <c r="E313" s="84">
        <f t="shared" si="316"/>
        <v>1.83</v>
      </c>
      <c r="F313" s="60">
        <v>1.83</v>
      </c>
      <c r="G313" s="84">
        <f t="shared" si="317"/>
        <v>1.83</v>
      </c>
      <c r="H313" s="60">
        <v>1.83</v>
      </c>
      <c r="I313" s="84">
        <f t="shared" si="318"/>
        <v>2.58</v>
      </c>
      <c r="J313" s="60">
        <v>3.33</v>
      </c>
      <c r="K313" s="84">
        <f t="shared" si="319"/>
        <v>4.6575000000000006</v>
      </c>
      <c r="L313" s="60">
        <v>5.9850000000000003</v>
      </c>
      <c r="M313" s="60">
        <v>6.53</v>
      </c>
      <c r="N313" s="60">
        <v>6.53</v>
      </c>
      <c r="O313" s="60">
        <v>13.23</v>
      </c>
      <c r="P313" s="60">
        <v>13.23</v>
      </c>
      <c r="Q313" s="85">
        <f t="shared" si="320"/>
        <v>13.23049</v>
      </c>
      <c r="R313" s="85">
        <f t="shared" si="320"/>
        <v>13.230979999999999</v>
      </c>
      <c r="S313" s="85">
        <f t="shared" si="320"/>
        <v>13.231469999999998</v>
      </c>
      <c r="T313" s="84">
        <f t="shared" ref="T313:AC313" si="329">+S313-(0.711/100)</f>
        <v>13.224359999999997</v>
      </c>
      <c r="U313" s="84">
        <f t="shared" si="329"/>
        <v>13.217249999999996</v>
      </c>
      <c r="V313" s="84">
        <f t="shared" si="329"/>
        <v>13.210139999999996</v>
      </c>
      <c r="W313" s="84">
        <f t="shared" si="329"/>
        <v>13.203029999999995</v>
      </c>
      <c r="X313" s="84">
        <f t="shared" si="329"/>
        <v>13.195919999999994</v>
      </c>
      <c r="Y313" s="84">
        <f t="shared" si="329"/>
        <v>13.188809999999993</v>
      </c>
      <c r="Z313" s="84">
        <f t="shared" si="329"/>
        <v>13.181699999999992</v>
      </c>
      <c r="AA313" s="84">
        <f t="shared" si="329"/>
        <v>13.174589999999991</v>
      </c>
      <c r="AB313" s="84">
        <f t="shared" si="329"/>
        <v>13.167479999999991</v>
      </c>
      <c r="AC313" s="84">
        <f t="shared" si="329"/>
        <v>13.16036999999999</v>
      </c>
    </row>
    <row r="314" spans="1:29" x14ac:dyDescent="0.25">
      <c r="A314" s="86" t="s">
        <v>28</v>
      </c>
      <c r="B314" s="54" t="s">
        <v>6</v>
      </c>
      <c r="C314" s="54"/>
      <c r="D314" s="60">
        <v>20.58</v>
      </c>
      <c r="E314" s="84">
        <f t="shared" si="316"/>
        <v>20.58</v>
      </c>
      <c r="F314" s="60">
        <v>20.58</v>
      </c>
      <c r="G314" s="84">
        <f t="shared" si="317"/>
        <v>20.58</v>
      </c>
      <c r="H314" s="60">
        <v>20.58</v>
      </c>
      <c r="I314" s="84">
        <f t="shared" si="318"/>
        <v>44.92</v>
      </c>
      <c r="J314" s="60">
        <v>69.260000000000005</v>
      </c>
      <c r="K314" s="84">
        <f t="shared" si="319"/>
        <v>122.875</v>
      </c>
      <c r="L314" s="60">
        <v>176.49</v>
      </c>
      <c r="M314" s="60">
        <v>53.46</v>
      </c>
      <c r="N314" s="60">
        <v>53.46</v>
      </c>
      <c r="O314" s="60">
        <v>10.98</v>
      </c>
      <c r="P314" s="60">
        <v>10.98</v>
      </c>
      <c r="Q314" s="85">
        <f t="shared" si="320"/>
        <v>10.98049</v>
      </c>
      <c r="R314" s="85">
        <f t="shared" si="320"/>
        <v>10.980979999999999</v>
      </c>
      <c r="S314" s="85">
        <f t="shared" si="320"/>
        <v>10.981469999999998</v>
      </c>
      <c r="T314" s="84">
        <f t="shared" ref="T314:AC314" si="330">+S314-(0.711/100)</f>
        <v>10.974359999999997</v>
      </c>
      <c r="U314" s="84">
        <f t="shared" si="330"/>
        <v>10.967249999999996</v>
      </c>
      <c r="V314" s="84">
        <f t="shared" si="330"/>
        <v>10.960139999999996</v>
      </c>
      <c r="W314" s="84">
        <f t="shared" si="330"/>
        <v>10.953029999999995</v>
      </c>
      <c r="X314" s="84">
        <f t="shared" si="330"/>
        <v>10.945919999999994</v>
      </c>
      <c r="Y314" s="84">
        <f t="shared" si="330"/>
        <v>10.938809999999993</v>
      </c>
      <c r="Z314" s="84">
        <f t="shared" si="330"/>
        <v>10.931699999999992</v>
      </c>
      <c r="AA314" s="84">
        <f t="shared" si="330"/>
        <v>10.924589999999991</v>
      </c>
      <c r="AB314" s="84">
        <f t="shared" si="330"/>
        <v>10.917479999999991</v>
      </c>
      <c r="AC314" s="84">
        <f t="shared" si="330"/>
        <v>10.91036999999999</v>
      </c>
    </row>
    <row r="315" spans="1:29" x14ac:dyDescent="0.25">
      <c r="A315" s="56" t="s">
        <v>19</v>
      </c>
      <c r="B315" s="54" t="s">
        <v>6</v>
      </c>
      <c r="C315" s="54"/>
      <c r="D315" s="60">
        <v>9692.42</v>
      </c>
      <c r="E315" s="84">
        <f t="shared" si="316"/>
        <v>9692.42</v>
      </c>
      <c r="F315" s="60">
        <v>9692.42</v>
      </c>
      <c r="G315" s="84">
        <f t="shared" si="317"/>
        <v>9692.42</v>
      </c>
      <c r="H315" s="60">
        <v>9692.42</v>
      </c>
      <c r="I315" s="84">
        <f t="shared" si="318"/>
        <v>6006.2650000000003</v>
      </c>
      <c r="J315" s="60">
        <v>2320.11</v>
      </c>
      <c r="K315" s="84">
        <f t="shared" si="319"/>
        <v>8269.5550000000003</v>
      </c>
      <c r="L315" s="60">
        <v>14219</v>
      </c>
      <c r="M315" s="60">
        <v>3174.03</v>
      </c>
      <c r="N315" s="60">
        <v>3174.03</v>
      </c>
      <c r="O315" s="60">
        <v>11997.5</v>
      </c>
      <c r="P315" s="60">
        <v>11997.5</v>
      </c>
      <c r="Q315" s="85">
        <f t="shared" si="320"/>
        <v>11997.50049</v>
      </c>
      <c r="R315" s="85">
        <f t="shared" si="320"/>
        <v>11997.500980000001</v>
      </c>
      <c r="S315" s="85">
        <f t="shared" si="320"/>
        <v>11997.501470000001</v>
      </c>
      <c r="T315" s="84">
        <f t="shared" ref="T315:AC315" si="331">+S315-(0.711/100)</f>
        <v>11997.494360000001</v>
      </c>
      <c r="U315" s="84">
        <f t="shared" si="331"/>
        <v>11997.48725</v>
      </c>
      <c r="V315" s="84">
        <f t="shared" si="331"/>
        <v>11997.48014</v>
      </c>
      <c r="W315" s="84">
        <f t="shared" si="331"/>
        <v>11997.473029999999</v>
      </c>
      <c r="X315" s="84">
        <f t="shared" si="331"/>
        <v>11997.465919999999</v>
      </c>
      <c r="Y315" s="84">
        <f t="shared" si="331"/>
        <v>11997.458809999998</v>
      </c>
      <c r="Z315" s="84">
        <f t="shared" si="331"/>
        <v>11997.451699999998</v>
      </c>
      <c r="AA315" s="84">
        <f t="shared" si="331"/>
        <v>11997.444589999997</v>
      </c>
      <c r="AB315" s="84">
        <f t="shared" si="331"/>
        <v>11997.437479999997</v>
      </c>
      <c r="AC315" s="84">
        <f t="shared" si="331"/>
        <v>11997.430369999996</v>
      </c>
    </row>
    <row r="316" spans="1:29" x14ac:dyDescent="0.25">
      <c r="A316" s="56" t="s">
        <v>4</v>
      </c>
      <c r="B316" s="54" t="s">
        <v>6</v>
      </c>
      <c r="C316" s="54"/>
      <c r="D316" s="60">
        <v>614.61</v>
      </c>
      <c r="E316" s="84">
        <f t="shared" si="316"/>
        <v>614.61</v>
      </c>
      <c r="F316" s="60">
        <v>614.61</v>
      </c>
      <c r="G316" s="84">
        <f t="shared" si="317"/>
        <v>614.61</v>
      </c>
      <c r="H316" s="60">
        <v>614.61</v>
      </c>
      <c r="I316" s="84">
        <f t="shared" si="318"/>
        <v>481.88499999999999</v>
      </c>
      <c r="J316" s="60">
        <v>349.16</v>
      </c>
      <c r="K316" s="84">
        <f t="shared" si="319"/>
        <v>314.82500000000005</v>
      </c>
      <c r="L316" s="60">
        <v>280.49</v>
      </c>
      <c r="M316" s="60">
        <v>230.99</v>
      </c>
      <c r="N316" s="60">
        <v>230.99</v>
      </c>
      <c r="O316" s="60">
        <v>1935.81</v>
      </c>
      <c r="P316" s="60">
        <v>1935.81</v>
      </c>
      <c r="Q316" s="85">
        <f t="shared" si="320"/>
        <v>1935.8104899999998</v>
      </c>
      <c r="R316" s="85">
        <f t="shared" si="320"/>
        <v>1935.8109799999997</v>
      </c>
      <c r="S316" s="85">
        <f t="shared" si="320"/>
        <v>1935.8114699999996</v>
      </c>
      <c r="T316" s="84">
        <f t="shared" ref="T316:AC316" si="332">+S316-(0.711/100)</f>
        <v>1935.8043599999996</v>
      </c>
      <c r="U316" s="84">
        <f t="shared" si="332"/>
        <v>1935.7972499999996</v>
      </c>
      <c r="V316" s="84">
        <f t="shared" si="332"/>
        <v>1935.7901399999996</v>
      </c>
      <c r="W316" s="84">
        <f t="shared" si="332"/>
        <v>1935.7830299999996</v>
      </c>
      <c r="X316" s="84">
        <f t="shared" si="332"/>
        <v>1935.7759199999996</v>
      </c>
      <c r="Y316" s="84">
        <f t="shared" si="332"/>
        <v>1935.7688099999996</v>
      </c>
      <c r="Z316" s="84">
        <f t="shared" si="332"/>
        <v>1935.7616999999996</v>
      </c>
      <c r="AA316" s="84">
        <f t="shared" si="332"/>
        <v>1935.7545899999996</v>
      </c>
      <c r="AB316" s="84">
        <f t="shared" si="332"/>
        <v>1935.7474799999995</v>
      </c>
      <c r="AC316" s="84">
        <f t="shared" si="332"/>
        <v>1935.7403699999995</v>
      </c>
    </row>
    <row r="317" spans="1:29" x14ac:dyDescent="0.25">
      <c r="A317" s="56" t="s">
        <v>5</v>
      </c>
      <c r="B317" s="54" t="s">
        <v>6</v>
      </c>
      <c r="C317" s="54"/>
      <c r="D317" s="60">
        <v>275.76</v>
      </c>
      <c r="E317" s="84">
        <f t="shared" si="316"/>
        <v>275.76</v>
      </c>
      <c r="F317" s="60">
        <v>275.76</v>
      </c>
      <c r="G317" s="84">
        <f t="shared" si="317"/>
        <v>275.76</v>
      </c>
      <c r="H317" s="60">
        <v>275.76</v>
      </c>
      <c r="I317" s="84">
        <f t="shared" si="318"/>
        <v>261.45</v>
      </c>
      <c r="J317" s="60">
        <v>247.14</v>
      </c>
      <c r="K317" s="84">
        <f t="shared" si="319"/>
        <v>345.35500000000002</v>
      </c>
      <c r="L317" s="60">
        <v>443.57</v>
      </c>
      <c r="M317" s="60">
        <v>95151.11</v>
      </c>
      <c r="N317" s="60">
        <v>95151.11</v>
      </c>
      <c r="O317" s="60">
        <v>494.06</v>
      </c>
      <c r="P317" s="60">
        <v>494.06</v>
      </c>
      <c r="Q317" s="85">
        <f t="shared" si="320"/>
        <v>494.06049000000002</v>
      </c>
      <c r="R317" s="85">
        <f t="shared" si="320"/>
        <v>494.06098000000003</v>
      </c>
      <c r="S317" s="85">
        <f t="shared" si="320"/>
        <v>494.06147000000004</v>
      </c>
      <c r="T317" s="84">
        <f t="shared" ref="T317:AC317" si="333">+S317-(0.711/100)</f>
        <v>494.05436000000003</v>
      </c>
      <c r="U317" s="84">
        <f t="shared" si="333"/>
        <v>494.04725000000002</v>
      </c>
      <c r="V317" s="84">
        <f t="shared" si="333"/>
        <v>494.04014000000001</v>
      </c>
      <c r="W317" s="84">
        <f t="shared" si="333"/>
        <v>494.03303</v>
      </c>
      <c r="X317" s="84">
        <f t="shared" si="333"/>
        <v>494.02591999999999</v>
      </c>
      <c r="Y317" s="84">
        <f t="shared" si="333"/>
        <v>494.01880999999997</v>
      </c>
      <c r="Z317" s="84">
        <f t="shared" si="333"/>
        <v>494.01169999999996</v>
      </c>
      <c r="AA317" s="84">
        <f t="shared" si="333"/>
        <v>494.00458999999995</v>
      </c>
      <c r="AB317" s="84">
        <f t="shared" si="333"/>
        <v>493.99747999999994</v>
      </c>
      <c r="AC317" s="84">
        <f t="shared" si="333"/>
        <v>493.99036999999993</v>
      </c>
    </row>
    <row r="318" spans="1:29" x14ac:dyDescent="0.25">
      <c r="A318" s="56" t="s">
        <v>29</v>
      </c>
      <c r="B318" s="54" t="s">
        <v>6</v>
      </c>
      <c r="C318" s="54"/>
      <c r="D318" s="60">
        <v>223.995</v>
      </c>
      <c r="E318" s="84">
        <f t="shared" si="316"/>
        <v>223.995</v>
      </c>
      <c r="F318" s="60">
        <v>223.995</v>
      </c>
      <c r="G318" s="84">
        <f t="shared" si="317"/>
        <v>223.995</v>
      </c>
      <c r="H318" s="60">
        <v>223.995</v>
      </c>
      <c r="I318" s="84">
        <f t="shared" si="318"/>
        <v>174.42750000000001</v>
      </c>
      <c r="J318" s="60">
        <v>124.86</v>
      </c>
      <c r="K318" s="84">
        <f t="shared" si="319"/>
        <v>436.92</v>
      </c>
      <c r="L318" s="60">
        <v>748.98</v>
      </c>
      <c r="M318" s="60">
        <v>871.12</v>
      </c>
      <c r="N318" s="60">
        <v>871.12</v>
      </c>
      <c r="O318" s="60">
        <v>2832.75</v>
      </c>
      <c r="P318" s="60">
        <v>2832.75</v>
      </c>
      <c r="Q318" s="85">
        <f t="shared" si="320"/>
        <v>2832.7504899999999</v>
      </c>
      <c r="R318" s="85">
        <f t="shared" si="320"/>
        <v>2832.7509799999998</v>
      </c>
      <c r="S318" s="85">
        <f t="shared" si="320"/>
        <v>2832.7514699999997</v>
      </c>
      <c r="T318" s="84">
        <f t="shared" ref="T318:AC318" si="334">+S318-(0.711/100)</f>
        <v>2832.7443599999997</v>
      </c>
      <c r="U318" s="84">
        <f t="shared" si="334"/>
        <v>2832.7372499999997</v>
      </c>
      <c r="V318" s="84">
        <f t="shared" si="334"/>
        <v>2832.7301399999997</v>
      </c>
      <c r="W318" s="84">
        <f t="shared" si="334"/>
        <v>2832.7230299999997</v>
      </c>
      <c r="X318" s="84">
        <f t="shared" si="334"/>
        <v>2832.7159199999996</v>
      </c>
      <c r="Y318" s="84">
        <f t="shared" si="334"/>
        <v>2832.7088099999996</v>
      </c>
      <c r="Z318" s="84">
        <f t="shared" si="334"/>
        <v>2832.7016999999996</v>
      </c>
      <c r="AA318" s="84">
        <f t="shared" si="334"/>
        <v>2832.6945899999996</v>
      </c>
      <c r="AB318" s="84">
        <f t="shared" si="334"/>
        <v>2832.6874799999996</v>
      </c>
      <c r="AC318" s="84">
        <f t="shared" si="334"/>
        <v>2832.6803699999996</v>
      </c>
    </row>
    <row r="320" spans="1:29" x14ac:dyDescent="0.25">
      <c r="A320" s="86" t="s">
        <v>18</v>
      </c>
      <c r="B320" s="54" t="s">
        <v>29</v>
      </c>
      <c r="C320" s="54"/>
      <c r="D320" s="60">
        <v>0.42</v>
      </c>
      <c r="E320" s="84">
        <f t="shared" ref="E320:E333" si="335">+(D320+F320)/2</f>
        <v>0.42</v>
      </c>
      <c r="F320" s="60">
        <v>0.42</v>
      </c>
      <c r="G320" s="84">
        <f t="shared" ref="G320:G333" si="336">+(F320+H320)/2</f>
        <v>0.42</v>
      </c>
      <c r="H320" s="60">
        <v>0.42</v>
      </c>
      <c r="I320" s="84">
        <f t="shared" ref="I320:I333" si="337">+(H320+J320)/2</f>
        <v>18.772500000000001</v>
      </c>
      <c r="J320" s="60">
        <v>37.125</v>
      </c>
      <c r="K320" s="84">
        <f t="shared" ref="K320:K333" si="338">+(J320+L320)/2</f>
        <v>28.372500000000002</v>
      </c>
      <c r="L320" s="60">
        <v>19.62</v>
      </c>
      <c r="M320" s="60">
        <v>8.3699999999999992</v>
      </c>
      <c r="N320" s="60">
        <v>8.3699999999999992</v>
      </c>
      <c r="O320" s="60">
        <v>0.72</v>
      </c>
      <c r="P320" s="60">
        <v>0.72</v>
      </c>
      <c r="Q320" s="85">
        <f t="shared" ref="Q320:S333" si="339">+P320+(0.049/100)</f>
        <v>0.72048999999999996</v>
      </c>
      <c r="R320" s="85">
        <f t="shared" si="339"/>
        <v>0.72097999999999995</v>
      </c>
      <c r="S320" s="85">
        <f t="shared" si="339"/>
        <v>0.72146999999999994</v>
      </c>
      <c r="T320" s="84">
        <f t="shared" ref="T320:AC320" si="340">+S320-(0.711/100)</f>
        <v>0.71435999999999999</v>
      </c>
      <c r="U320" s="84">
        <f t="shared" si="340"/>
        <v>0.70725000000000005</v>
      </c>
      <c r="V320" s="84">
        <f t="shared" si="340"/>
        <v>0.7001400000000001</v>
      </c>
      <c r="W320" s="84">
        <f t="shared" si="340"/>
        <v>0.69303000000000015</v>
      </c>
      <c r="X320" s="84">
        <f t="shared" si="340"/>
        <v>0.6859200000000002</v>
      </c>
      <c r="Y320" s="84">
        <f t="shared" si="340"/>
        <v>0.67881000000000025</v>
      </c>
      <c r="Z320" s="84">
        <f t="shared" si="340"/>
        <v>0.6717000000000003</v>
      </c>
      <c r="AA320" s="84">
        <f t="shared" si="340"/>
        <v>0.66459000000000035</v>
      </c>
      <c r="AB320" s="84">
        <f t="shared" si="340"/>
        <v>0.6574800000000004</v>
      </c>
      <c r="AC320" s="84">
        <f t="shared" si="340"/>
        <v>0.65037000000000045</v>
      </c>
    </row>
    <row r="321" spans="1:29" x14ac:dyDescent="0.25">
      <c r="A321" s="86" t="s">
        <v>20</v>
      </c>
      <c r="B321" s="54" t="s">
        <v>29</v>
      </c>
      <c r="C321" s="54"/>
      <c r="D321" s="60">
        <v>497.68499999999995</v>
      </c>
      <c r="E321" s="84">
        <f t="shared" si="335"/>
        <v>497.68499999999995</v>
      </c>
      <c r="F321" s="60">
        <v>497.68499999999995</v>
      </c>
      <c r="G321" s="84">
        <f t="shared" si="336"/>
        <v>497.68499999999995</v>
      </c>
      <c r="H321" s="60">
        <v>497.68499999999995</v>
      </c>
      <c r="I321" s="84">
        <f t="shared" si="337"/>
        <v>486.75749999999994</v>
      </c>
      <c r="J321" s="60">
        <v>475.83</v>
      </c>
      <c r="K321" s="84">
        <f t="shared" si="338"/>
        <v>299.45249999999999</v>
      </c>
      <c r="L321" s="60">
        <v>123.075</v>
      </c>
      <c r="M321" s="60">
        <v>87.35</v>
      </c>
      <c r="N321" s="60">
        <v>87.35</v>
      </c>
      <c r="O321" s="60">
        <v>13.32</v>
      </c>
      <c r="P321" s="60">
        <v>13.32</v>
      </c>
      <c r="Q321" s="85">
        <f t="shared" si="339"/>
        <v>13.320489999999999</v>
      </c>
      <c r="R321" s="85">
        <f t="shared" si="339"/>
        <v>13.320979999999999</v>
      </c>
      <c r="S321" s="85">
        <f t="shared" si="339"/>
        <v>13.321469999999998</v>
      </c>
      <c r="T321" s="84">
        <f t="shared" ref="T321:AC321" si="341">+S321-(0.711/100)</f>
        <v>13.314359999999997</v>
      </c>
      <c r="U321" s="84">
        <f t="shared" si="341"/>
        <v>13.307249999999996</v>
      </c>
      <c r="V321" s="84">
        <f t="shared" si="341"/>
        <v>13.300139999999995</v>
      </c>
      <c r="W321" s="84">
        <f t="shared" si="341"/>
        <v>13.293029999999995</v>
      </c>
      <c r="X321" s="84">
        <f t="shared" si="341"/>
        <v>13.285919999999994</v>
      </c>
      <c r="Y321" s="84">
        <f t="shared" si="341"/>
        <v>13.278809999999993</v>
      </c>
      <c r="Z321" s="84">
        <f t="shared" si="341"/>
        <v>13.271699999999992</v>
      </c>
      <c r="AA321" s="84">
        <f t="shared" si="341"/>
        <v>13.264589999999991</v>
      </c>
      <c r="AB321" s="84">
        <f t="shared" si="341"/>
        <v>13.25747999999999</v>
      </c>
      <c r="AC321" s="84">
        <f t="shared" si="341"/>
        <v>13.25036999999999</v>
      </c>
    </row>
    <row r="322" spans="1:29" x14ac:dyDescent="0.25">
      <c r="A322" s="86" t="s">
        <v>21</v>
      </c>
      <c r="B322" s="54" t="s">
        <v>29</v>
      </c>
      <c r="C322" s="54"/>
      <c r="D322" s="60">
        <v>52.04999999999999</v>
      </c>
      <c r="E322" s="84">
        <f t="shared" si="335"/>
        <v>52.04999999999999</v>
      </c>
      <c r="F322" s="60">
        <v>52.04999999999999</v>
      </c>
      <c r="G322" s="84">
        <f t="shared" si="336"/>
        <v>52.04999999999999</v>
      </c>
      <c r="H322" s="60">
        <v>52.04999999999999</v>
      </c>
      <c r="I322" s="84">
        <f t="shared" si="337"/>
        <v>244.83750000000001</v>
      </c>
      <c r="J322" s="60">
        <v>437.625</v>
      </c>
      <c r="K322" s="84">
        <f t="shared" si="338"/>
        <v>332.03250000000003</v>
      </c>
      <c r="L322" s="60">
        <v>226.44</v>
      </c>
      <c r="M322" s="60">
        <v>220.41</v>
      </c>
      <c r="N322" s="60">
        <v>220.41</v>
      </c>
      <c r="O322" s="60">
        <v>38.299999999999997</v>
      </c>
      <c r="P322" s="60">
        <v>38.299999999999997</v>
      </c>
      <c r="Q322" s="85">
        <f t="shared" si="339"/>
        <v>38.300489999999996</v>
      </c>
      <c r="R322" s="85">
        <f t="shared" si="339"/>
        <v>38.300979999999996</v>
      </c>
      <c r="S322" s="85">
        <f t="shared" si="339"/>
        <v>38.301469999999995</v>
      </c>
      <c r="T322" s="84">
        <f t="shared" ref="T322:AC322" si="342">+S322-(0.711/100)</f>
        <v>38.294359999999998</v>
      </c>
      <c r="U322" s="84">
        <f t="shared" si="342"/>
        <v>38.28725</v>
      </c>
      <c r="V322" s="84">
        <f t="shared" si="342"/>
        <v>38.280140000000003</v>
      </c>
      <c r="W322" s="84">
        <f t="shared" si="342"/>
        <v>38.273030000000006</v>
      </c>
      <c r="X322" s="84">
        <f t="shared" si="342"/>
        <v>38.265920000000008</v>
      </c>
      <c r="Y322" s="84">
        <f t="shared" si="342"/>
        <v>38.258810000000011</v>
      </c>
      <c r="Z322" s="84">
        <f t="shared" si="342"/>
        <v>38.251700000000014</v>
      </c>
      <c r="AA322" s="84">
        <f t="shared" si="342"/>
        <v>38.244590000000017</v>
      </c>
      <c r="AB322" s="84">
        <f t="shared" si="342"/>
        <v>38.237480000000019</v>
      </c>
      <c r="AC322" s="84">
        <f t="shared" si="342"/>
        <v>38.230370000000022</v>
      </c>
    </row>
    <row r="323" spans="1:29" x14ac:dyDescent="0.25">
      <c r="A323" s="86" t="s">
        <v>22</v>
      </c>
      <c r="B323" s="54" t="s">
        <v>29</v>
      </c>
      <c r="C323" s="54"/>
      <c r="D323" s="60">
        <v>22.185000000000002</v>
      </c>
      <c r="E323" s="84">
        <f t="shared" si="335"/>
        <v>22.185000000000002</v>
      </c>
      <c r="F323" s="60">
        <v>22.185000000000002</v>
      </c>
      <c r="G323" s="84">
        <f t="shared" si="336"/>
        <v>22.185000000000002</v>
      </c>
      <c r="H323" s="60">
        <v>22.185000000000002</v>
      </c>
      <c r="I323" s="84">
        <f t="shared" si="337"/>
        <v>63.247500000000002</v>
      </c>
      <c r="J323" s="60">
        <v>104.31</v>
      </c>
      <c r="K323" s="84">
        <f t="shared" si="338"/>
        <v>125.86499999999999</v>
      </c>
      <c r="L323" s="60">
        <v>147.41999999999999</v>
      </c>
      <c r="M323" s="60">
        <v>49.95</v>
      </c>
      <c r="N323" s="60">
        <v>49.95</v>
      </c>
      <c r="O323" s="60">
        <v>62.06</v>
      </c>
      <c r="P323" s="60">
        <v>62.06</v>
      </c>
      <c r="Q323" s="85">
        <f t="shared" si="339"/>
        <v>62.060490000000001</v>
      </c>
      <c r="R323" s="85">
        <f t="shared" si="339"/>
        <v>62.060980000000001</v>
      </c>
      <c r="S323" s="85">
        <f t="shared" si="339"/>
        <v>62.06147</v>
      </c>
      <c r="T323" s="84">
        <f t="shared" ref="T323:AC323" si="343">+S323-(0.711/100)</f>
        <v>62.054360000000003</v>
      </c>
      <c r="U323" s="84">
        <f t="shared" si="343"/>
        <v>62.047250000000005</v>
      </c>
      <c r="V323" s="84">
        <f t="shared" si="343"/>
        <v>62.040140000000008</v>
      </c>
      <c r="W323" s="84">
        <f t="shared" si="343"/>
        <v>62.033030000000011</v>
      </c>
      <c r="X323" s="84">
        <f t="shared" si="343"/>
        <v>62.025920000000013</v>
      </c>
      <c r="Y323" s="84">
        <f t="shared" si="343"/>
        <v>62.018810000000016</v>
      </c>
      <c r="Z323" s="84">
        <f t="shared" si="343"/>
        <v>62.011700000000019</v>
      </c>
      <c r="AA323" s="84">
        <f t="shared" si="343"/>
        <v>62.004590000000022</v>
      </c>
      <c r="AB323" s="84">
        <f t="shared" si="343"/>
        <v>61.997480000000024</v>
      </c>
      <c r="AC323" s="84">
        <f t="shared" si="343"/>
        <v>61.990370000000027</v>
      </c>
    </row>
    <row r="324" spans="1:29" x14ac:dyDescent="0.25">
      <c r="A324" s="86" t="s">
        <v>23</v>
      </c>
      <c r="B324" s="54" t="s">
        <v>29</v>
      </c>
      <c r="C324" s="54"/>
      <c r="D324" s="60">
        <v>76.410000000000011</v>
      </c>
      <c r="E324" s="84">
        <f t="shared" si="335"/>
        <v>76.410000000000011</v>
      </c>
      <c r="F324" s="60">
        <v>76.410000000000011</v>
      </c>
      <c r="G324" s="84">
        <f t="shared" si="336"/>
        <v>76.410000000000011</v>
      </c>
      <c r="H324" s="60">
        <v>76.410000000000011</v>
      </c>
      <c r="I324" s="84">
        <f t="shared" si="337"/>
        <v>147.91500000000002</v>
      </c>
      <c r="J324" s="60">
        <v>219.42000000000002</v>
      </c>
      <c r="K324" s="84">
        <f t="shared" si="338"/>
        <v>177.32249999999999</v>
      </c>
      <c r="L324" s="60">
        <v>135.22499999999999</v>
      </c>
      <c r="M324" s="60">
        <v>102.15</v>
      </c>
      <c r="N324" s="60">
        <v>102.15</v>
      </c>
      <c r="O324" s="60">
        <v>7.34</v>
      </c>
      <c r="P324" s="60">
        <v>7.34</v>
      </c>
      <c r="Q324" s="85">
        <f t="shared" si="339"/>
        <v>7.34049</v>
      </c>
      <c r="R324" s="85">
        <f t="shared" si="339"/>
        <v>7.3409800000000001</v>
      </c>
      <c r="S324" s="85">
        <f t="shared" si="339"/>
        <v>7.3414700000000002</v>
      </c>
      <c r="T324" s="84">
        <f t="shared" ref="T324:AC324" si="344">+S324-(0.711/100)</f>
        <v>7.3343600000000002</v>
      </c>
      <c r="U324" s="84">
        <f t="shared" si="344"/>
        <v>7.3272500000000003</v>
      </c>
      <c r="V324" s="84">
        <f t="shared" si="344"/>
        <v>7.3201400000000003</v>
      </c>
      <c r="W324" s="84">
        <f t="shared" si="344"/>
        <v>7.3130300000000004</v>
      </c>
      <c r="X324" s="84">
        <f t="shared" si="344"/>
        <v>7.3059200000000004</v>
      </c>
      <c r="Y324" s="84">
        <f t="shared" si="344"/>
        <v>7.2988100000000005</v>
      </c>
      <c r="Z324" s="84">
        <f t="shared" si="344"/>
        <v>7.2917000000000005</v>
      </c>
      <c r="AA324" s="84">
        <f t="shared" si="344"/>
        <v>7.2845900000000006</v>
      </c>
      <c r="AB324" s="84">
        <f t="shared" si="344"/>
        <v>7.2774800000000006</v>
      </c>
      <c r="AC324" s="84">
        <f t="shared" si="344"/>
        <v>7.2703700000000007</v>
      </c>
    </row>
    <row r="325" spans="1:29" ht="22.5" x14ac:dyDescent="0.25">
      <c r="A325" s="86" t="s">
        <v>24</v>
      </c>
      <c r="B325" s="54" t="s">
        <v>29</v>
      </c>
      <c r="C325" s="54"/>
      <c r="D325" s="60">
        <v>64.304999999999993</v>
      </c>
      <c r="E325" s="84">
        <f t="shared" si="335"/>
        <v>64.304999999999993</v>
      </c>
      <c r="F325" s="60">
        <v>64.304999999999993</v>
      </c>
      <c r="G325" s="84">
        <f t="shared" si="336"/>
        <v>64.304999999999993</v>
      </c>
      <c r="H325" s="60">
        <v>64.304999999999993</v>
      </c>
      <c r="I325" s="84">
        <f t="shared" si="337"/>
        <v>285.27749999999997</v>
      </c>
      <c r="J325" s="60">
        <v>506.25</v>
      </c>
      <c r="K325" s="84">
        <f t="shared" si="338"/>
        <v>589.18499999999995</v>
      </c>
      <c r="L325" s="60">
        <v>672.11999999999989</v>
      </c>
      <c r="M325" s="60">
        <v>582.98</v>
      </c>
      <c r="N325" s="60">
        <v>582.98</v>
      </c>
      <c r="O325" s="60">
        <v>170.37</v>
      </c>
      <c r="P325" s="60">
        <v>170.37</v>
      </c>
      <c r="Q325" s="85">
        <f t="shared" si="339"/>
        <v>170.37049000000002</v>
      </c>
      <c r="R325" s="85">
        <f t="shared" si="339"/>
        <v>170.37098000000003</v>
      </c>
      <c r="S325" s="85">
        <f t="shared" si="339"/>
        <v>170.37147000000004</v>
      </c>
      <c r="T325" s="84">
        <f t="shared" ref="T325:AC325" si="345">+S325-(0.711/100)</f>
        <v>170.36436000000003</v>
      </c>
      <c r="U325" s="84">
        <f t="shared" si="345"/>
        <v>170.35725000000002</v>
      </c>
      <c r="V325" s="84">
        <f t="shared" si="345"/>
        <v>170.35014000000001</v>
      </c>
      <c r="W325" s="84">
        <f t="shared" si="345"/>
        <v>170.34303</v>
      </c>
      <c r="X325" s="84">
        <f t="shared" si="345"/>
        <v>170.33591999999999</v>
      </c>
      <c r="Y325" s="84">
        <f t="shared" si="345"/>
        <v>170.32880999999998</v>
      </c>
      <c r="Z325" s="84">
        <f t="shared" si="345"/>
        <v>170.32169999999996</v>
      </c>
      <c r="AA325" s="84">
        <f t="shared" si="345"/>
        <v>170.31458999999995</v>
      </c>
      <c r="AB325" s="84">
        <f t="shared" si="345"/>
        <v>170.30747999999994</v>
      </c>
      <c r="AC325" s="84">
        <f t="shared" si="345"/>
        <v>170.30036999999993</v>
      </c>
    </row>
    <row r="326" spans="1:29" x14ac:dyDescent="0.25">
      <c r="A326" s="86" t="s">
        <v>25</v>
      </c>
      <c r="B326" s="54" t="s">
        <v>29</v>
      </c>
      <c r="C326" s="54"/>
      <c r="D326" s="60">
        <v>17.655000000000001</v>
      </c>
      <c r="E326" s="84">
        <f t="shared" si="335"/>
        <v>17.655000000000001</v>
      </c>
      <c r="F326" s="60">
        <v>17.655000000000001</v>
      </c>
      <c r="G326" s="84">
        <f t="shared" si="336"/>
        <v>17.655000000000001</v>
      </c>
      <c r="H326" s="60">
        <v>17.655000000000001</v>
      </c>
      <c r="I326" s="84">
        <f t="shared" si="337"/>
        <v>32.362499999999997</v>
      </c>
      <c r="J326" s="60">
        <v>47.07</v>
      </c>
      <c r="K326" s="84">
        <f t="shared" si="338"/>
        <v>62.617499999999993</v>
      </c>
      <c r="L326" s="60">
        <v>78.164999999999978</v>
      </c>
      <c r="M326" s="60">
        <v>73.22</v>
      </c>
      <c r="N326" s="60">
        <v>73.22</v>
      </c>
      <c r="O326" s="60">
        <v>3.38</v>
      </c>
      <c r="P326" s="60">
        <v>3.38</v>
      </c>
      <c r="Q326" s="85">
        <f t="shared" si="339"/>
        <v>3.38049</v>
      </c>
      <c r="R326" s="85">
        <f t="shared" si="339"/>
        <v>3.3809800000000001</v>
      </c>
      <c r="S326" s="85">
        <f t="shared" si="339"/>
        <v>3.3814700000000002</v>
      </c>
      <c r="T326" s="84">
        <f t="shared" ref="T326:AC326" si="346">+S326-(0.711/100)</f>
        <v>3.3743600000000002</v>
      </c>
      <c r="U326" s="84">
        <f t="shared" si="346"/>
        <v>3.3672500000000003</v>
      </c>
      <c r="V326" s="84">
        <f t="shared" si="346"/>
        <v>3.3601400000000003</v>
      </c>
      <c r="W326" s="84">
        <f t="shared" si="346"/>
        <v>3.3530300000000004</v>
      </c>
      <c r="X326" s="84">
        <f t="shared" si="346"/>
        <v>3.3459200000000004</v>
      </c>
      <c r="Y326" s="84">
        <f t="shared" si="346"/>
        <v>3.3388100000000005</v>
      </c>
      <c r="Z326" s="84">
        <f t="shared" si="346"/>
        <v>3.3317000000000005</v>
      </c>
      <c r="AA326" s="84">
        <f t="shared" si="346"/>
        <v>3.3245900000000006</v>
      </c>
      <c r="AB326" s="84">
        <f t="shared" si="346"/>
        <v>3.3174800000000007</v>
      </c>
      <c r="AC326" s="84">
        <f t="shared" si="346"/>
        <v>3.3103700000000007</v>
      </c>
    </row>
    <row r="327" spans="1:29" x14ac:dyDescent="0.25">
      <c r="A327" s="86" t="s">
        <v>26</v>
      </c>
      <c r="B327" s="54" t="s">
        <v>29</v>
      </c>
      <c r="C327" s="54"/>
      <c r="D327" s="60">
        <v>71.250000000000014</v>
      </c>
      <c r="E327" s="84">
        <f t="shared" si="335"/>
        <v>71.250000000000014</v>
      </c>
      <c r="F327" s="60">
        <v>71.250000000000014</v>
      </c>
      <c r="G327" s="84">
        <f t="shared" si="336"/>
        <v>71.250000000000014</v>
      </c>
      <c r="H327" s="60">
        <v>71.250000000000014</v>
      </c>
      <c r="I327" s="84">
        <f t="shared" si="337"/>
        <v>133.34249999999997</v>
      </c>
      <c r="J327" s="60">
        <v>195.43499999999995</v>
      </c>
      <c r="K327" s="84">
        <f t="shared" si="338"/>
        <v>191.65499999999997</v>
      </c>
      <c r="L327" s="60">
        <v>187.87500000000003</v>
      </c>
      <c r="M327" s="60">
        <v>191.3</v>
      </c>
      <c r="N327" s="60">
        <v>191.3</v>
      </c>
      <c r="O327" s="60">
        <v>19.940000000000001</v>
      </c>
      <c r="P327" s="60">
        <v>19.940000000000001</v>
      </c>
      <c r="Q327" s="85">
        <f t="shared" si="339"/>
        <v>19.94049</v>
      </c>
      <c r="R327" s="85">
        <f t="shared" si="339"/>
        <v>19.94098</v>
      </c>
      <c r="S327" s="85">
        <f t="shared" si="339"/>
        <v>19.941469999999999</v>
      </c>
      <c r="T327" s="84">
        <f t="shared" ref="T327:AC327" si="347">+S327-(0.711/100)</f>
        <v>19.934359999999998</v>
      </c>
      <c r="U327" s="84">
        <f t="shared" si="347"/>
        <v>19.927249999999997</v>
      </c>
      <c r="V327" s="84">
        <f t="shared" si="347"/>
        <v>19.920139999999996</v>
      </c>
      <c r="W327" s="84">
        <f t="shared" si="347"/>
        <v>19.913029999999996</v>
      </c>
      <c r="X327" s="84">
        <f t="shared" si="347"/>
        <v>19.905919999999995</v>
      </c>
      <c r="Y327" s="84">
        <f t="shared" si="347"/>
        <v>19.898809999999994</v>
      </c>
      <c r="Z327" s="84">
        <f t="shared" si="347"/>
        <v>19.891699999999993</v>
      </c>
      <c r="AA327" s="84">
        <f t="shared" si="347"/>
        <v>19.884589999999992</v>
      </c>
      <c r="AB327" s="84">
        <f t="shared" si="347"/>
        <v>19.877479999999991</v>
      </c>
      <c r="AC327" s="84">
        <f t="shared" si="347"/>
        <v>19.870369999999991</v>
      </c>
    </row>
    <row r="328" spans="1:29" x14ac:dyDescent="0.25">
      <c r="A328" s="86" t="s">
        <v>27</v>
      </c>
      <c r="B328" s="54" t="s">
        <v>29</v>
      </c>
      <c r="C328" s="54"/>
      <c r="D328" s="60">
        <v>1.6050000000000002</v>
      </c>
      <c r="E328" s="84">
        <f t="shared" si="335"/>
        <v>1.6050000000000002</v>
      </c>
      <c r="F328" s="60">
        <v>1.6050000000000002</v>
      </c>
      <c r="G328" s="84">
        <f t="shared" si="336"/>
        <v>1.6050000000000002</v>
      </c>
      <c r="H328" s="60">
        <v>1.6050000000000002</v>
      </c>
      <c r="I328" s="84">
        <f t="shared" si="337"/>
        <v>6.7424999999999997</v>
      </c>
      <c r="J328" s="60">
        <v>11.879999999999999</v>
      </c>
      <c r="K328" s="84">
        <f t="shared" si="338"/>
        <v>9.3149999999999995</v>
      </c>
      <c r="L328" s="60">
        <v>6.75</v>
      </c>
      <c r="M328" s="60">
        <v>8.5500000000000007</v>
      </c>
      <c r="N328" s="60">
        <v>8.5500000000000007</v>
      </c>
      <c r="O328" s="60">
        <v>9.6300000000000008</v>
      </c>
      <c r="P328" s="60">
        <v>9.6300000000000008</v>
      </c>
      <c r="Q328" s="85">
        <f t="shared" si="339"/>
        <v>9.63049</v>
      </c>
      <c r="R328" s="85">
        <f t="shared" si="339"/>
        <v>9.6309799999999992</v>
      </c>
      <c r="S328" s="85">
        <f t="shared" si="339"/>
        <v>9.6314699999999984</v>
      </c>
      <c r="T328" s="84">
        <f t="shared" ref="T328:AC328" si="348">+S328-(0.711/100)</f>
        <v>9.6243599999999976</v>
      </c>
      <c r="U328" s="84">
        <f t="shared" si="348"/>
        <v>9.6172499999999967</v>
      </c>
      <c r="V328" s="84">
        <f t="shared" si="348"/>
        <v>9.6101399999999959</v>
      </c>
      <c r="W328" s="84">
        <f t="shared" si="348"/>
        <v>9.6030299999999951</v>
      </c>
      <c r="X328" s="84">
        <f t="shared" si="348"/>
        <v>9.5959199999999942</v>
      </c>
      <c r="Y328" s="84">
        <f t="shared" si="348"/>
        <v>9.5888099999999934</v>
      </c>
      <c r="Z328" s="84">
        <f t="shared" si="348"/>
        <v>9.5816999999999926</v>
      </c>
      <c r="AA328" s="84">
        <f t="shared" si="348"/>
        <v>9.5745899999999917</v>
      </c>
      <c r="AB328" s="84">
        <f t="shared" si="348"/>
        <v>9.5674799999999909</v>
      </c>
      <c r="AC328" s="84">
        <f t="shared" si="348"/>
        <v>9.56036999999999</v>
      </c>
    </row>
    <row r="329" spans="1:29" x14ac:dyDescent="0.25">
      <c r="A329" s="86" t="s">
        <v>28</v>
      </c>
      <c r="B329" s="54" t="s">
        <v>29</v>
      </c>
      <c r="C329" s="54"/>
      <c r="D329" s="60">
        <v>34.950000000000003</v>
      </c>
      <c r="E329" s="84">
        <f t="shared" si="335"/>
        <v>34.950000000000003</v>
      </c>
      <c r="F329" s="60">
        <v>34.950000000000003</v>
      </c>
      <c r="G329" s="84">
        <f t="shared" si="336"/>
        <v>34.950000000000003</v>
      </c>
      <c r="H329" s="60">
        <v>34.950000000000003</v>
      </c>
      <c r="I329" s="84">
        <f t="shared" si="337"/>
        <v>105.4725</v>
      </c>
      <c r="J329" s="60">
        <v>175.995</v>
      </c>
      <c r="K329" s="84">
        <f t="shared" si="338"/>
        <v>180.22750000000002</v>
      </c>
      <c r="L329" s="60">
        <v>184.46</v>
      </c>
      <c r="M329" s="60">
        <v>7.38</v>
      </c>
      <c r="N329" s="60">
        <v>7.38</v>
      </c>
      <c r="O329" s="60">
        <v>10.35</v>
      </c>
      <c r="P329" s="60">
        <v>10.35</v>
      </c>
      <c r="Q329" s="85">
        <f t="shared" si="339"/>
        <v>10.350489999999999</v>
      </c>
      <c r="R329" s="85">
        <f t="shared" si="339"/>
        <v>10.350979999999998</v>
      </c>
      <c r="S329" s="85">
        <f t="shared" si="339"/>
        <v>10.351469999999997</v>
      </c>
      <c r="T329" s="84">
        <f t="shared" ref="T329:AC329" si="349">+S329-(0.711/100)</f>
        <v>10.344359999999996</v>
      </c>
      <c r="U329" s="84">
        <f t="shared" si="349"/>
        <v>10.337249999999996</v>
      </c>
      <c r="V329" s="84">
        <f t="shared" si="349"/>
        <v>10.330139999999995</v>
      </c>
      <c r="W329" s="84">
        <f t="shared" si="349"/>
        <v>10.323029999999994</v>
      </c>
      <c r="X329" s="84">
        <f t="shared" si="349"/>
        <v>10.315919999999993</v>
      </c>
      <c r="Y329" s="84">
        <f t="shared" si="349"/>
        <v>10.308809999999992</v>
      </c>
      <c r="Z329" s="84">
        <f t="shared" si="349"/>
        <v>10.301699999999991</v>
      </c>
      <c r="AA329" s="84">
        <f t="shared" si="349"/>
        <v>10.294589999999991</v>
      </c>
      <c r="AB329" s="84">
        <f t="shared" si="349"/>
        <v>10.28747999999999</v>
      </c>
      <c r="AC329" s="84">
        <f t="shared" si="349"/>
        <v>10.280369999999989</v>
      </c>
    </row>
    <row r="330" spans="1:29" x14ac:dyDescent="0.25">
      <c r="A330" s="56" t="s">
        <v>19</v>
      </c>
      <c r="B330" s="54" t="s">
        <v>29</v>
      </c>
      <c r="C330" s="54"/>
      <c r="D330" s="60">
        <v>3381.8250000000003</v>
      </c>
      <c r="E330" s="84">
        <f t="shared" si="335"/>
        <v>3381.8250000000003</v>
      </c>
      <c r="F330" s="60">
        <v>3381.8250000000003</v>
      </c>
      <c r="G330" s="84">
        <f t="shared" si="336"/>
        <v>3381.8250000000003</v>
      </c>
      <c r="H330" s="60">
        <v>3381.8250000000003</v>
      </c>
      <c r="I330" s="84">
        <f t="shared" si="337"/>
        <v>2758.6950000000002</v>
      </c>
      <c r="J330" s="60">
        <v>2135.5650000000001</v>
      </c>
      <c r="K330" s="84">
        <f t="shared" si="338"/>
        <v>3725.7825000000003</v>
      </c>
      <c r="L330" s="60">
        <v>5316</v>
      </c>
      <c r="M330" s="60">
        <v>196.43</v>
      </c>
      <c r="N330" s="60">
        <v>196.43</v>
      </c>
      <c r="O330" s="60">
        <v>2343.11</v>
      </c>
      <c r="P330" s="60">
        <v>2343.11</v>
      </c>
      <c r="Q330" s="85">
        <f t="shared" si="339"/>
        <v>2343.11049</v>
      </c>
      <c r="R330" s="85">
        <f t="shared" si="339"/>
        <v>2343.1109799999999</v>
      </c>
      <c r="S330" s="85">
        <f t="shared" si="339"/>
        <v>2343.1114699999998</v>
      </c>
      <c r="T330" s="84">
        <f t="shared" ref="T330:AC330" si="350">+S330-(0.711/100)</f>
        <v>2343.1043599999998</v>
      </c>
      <c r="U330" s="84">
        <f t="shared" si="350"/>
        <v>2343.0972499999998</v>
      </c>
      <c r="V330" s="84">
        <f t="shared" si="350"/>
        <v>2343.0901399999998</v>
      </c>
      <c r="W330" s="84">
        <f t="shared" si="350"/>
        <v>2343.0830299999998</v>
      </c>
      <c r="X330" s="84">
        <f t="shared" si="350"/>
        <v>2343.0759199999998</v>
      </c>
      <c r="Y330" s="84">
        <f t="shared" si="350"/>
        <v>2343.0688099999998</v>
      </c>
      <c r="Z330" s="84">
        <f t="shared" si="350"/>
        <v>2343.0616999999997</v>
      </c>
      <c r="AA330" s="84">
        <f t="shared" si="350"/>
        <v>2343.0545899999997</v>
      </c>
      <c r="AB330" s="84">
        <f t="shared" si="350"/>
        <v>2343.0474799999997</v>
      </c>
      <c r="AC330" s="84">
        <f t="shared" si="350"/>
        <v>2343.0403699999997</v>
      </c>
    </row>
    <row r="331" spans="1:29" x14ac:dyDescent="0.25">
      <c r="A331" s="56" t="s">
        <v>4</v>
      </c>
      <c r="B331" s="54" t="s">
        <v>29</v>
      </c>
      <c r="C331" s="54"/>
      <c r="D331" s="60">
        <v>1159.8499999999999</v>
      </c>
      <c r="E331" s="84">
        <f t="shared" si="335"/>
        <v>1159.8499999999999</v>
      </c>
      <c r="F331" s="60">
        <v>1159.8499999999999</v>
      </c>
      <c r="G331" s="84">
        <f t="shared" si="336"/>
        <v>1159.8499999999999</v>
      </c>
      <c r="H331" s="60">
        <v>1159.8499999999999</v>
      </c>
      <c r="I331" s="84">
        <f t="shared" si="337"/>
        <v>1791.19</v>
      </c>
      <c r="J331" s="60">
        <v>2422.5300000000002</v>
      </c>
      <c r="K331" s="84">
        <f t="shared" si="338"/>
        <v>1698.5050000000001</v>
      </c>
      <c r="L331" s="60">
        <v>974.48</v>
      </c>
      <c r="M331" s="60">
        <v>464.04</v>
      </c>
      <c r="N331" s="60">
        <v>464.04</v>
      </c>
      <c r="O331" s="60">
        <v>465.71</v>
      </c>
      <c r="P331" s="60">
        <v>465.71</v>
      </c>
      <c r="Q331" s="85">
        <f t="shared" si="339"/>
        <v>465.71048999999999</v>
      </c>
      <c r="R331" s="85">
        <f t="shared" si="339"/>
        <v>465.71098000000001</v>
      </c>
      <c r="S331" s="85">
        <f t="shared" si="339"/>
        <v>465.71147000000002</v>
      </c>
      <c r="T331" s="84">
        <f t="shared" ref="T331:AC331" si="351">+S331-(0.711/100)</f>
        <v>465.70436000000001</v>
      </c>
      <c r="U331" s="84">
        <f t="shared" si="351"/>
        <v>465.69725</v>
      </c>
      <c r="V331" s="84">
        <f t="shared" si="351"/>
        <v>465.69013999999999</v>
      </c>
      <c r="W331" s="84">
        <f t="shared" si="351"/>
        <v>465.68302999999997</v>
      </c>
      <c r="X331" s="84">
        <f t="shared" si="351"/>
        <v>465.67591999999996</v>
      </c>
      <c r="Y331" s="84">
        <f t="shared" si="351"/>
        <v>465.66880999999995</v>
      </c>
      <c r="Z331" s="84">
        <f t="shared" si="351"/>
        <v>465.66169999999994</v>
      </c>
      <c r="AA331" s="84">
        <f t="shared" si="351"/>
        <v>465.65458999999993</v>
      </c>
      <c r="AB331" s="84">
        <f t="shared" si="351"/>
        <v>465.64747999999992</v>
      </c>
      <c r="AC331" s="84">
        <f t="shared" si="351"/>
        <v>465.6403699999999</v>
      </c>
    </row>
    <row r="332" spans="1:29" x14ac:dyDescent="0.25">
      <c r="A332" s="56" t="s">
        <v>5</v>
      </c>
      <c r="B332" s="54" t="s">
        <v>29</v>
      </c>
      <c r="C332" s="54"/>
      <c r="D332" s="60">
        <v>1795.99</v>
      </c>
      <c r="E332" s="84">
        <f t="shared" si="335"/>
        <v>1795.99</v>
      </c>
      <c r="F332" s="60">
        <v>1795.99</v>
      </c>
      <c r="G332" s="84">
        <f t="shared" si="336"/>
        <v>1795.99</v>
      </c>
      <c r="H332" s="60">
        <v>1795.99</v>
      </c>
      <c r="I332" s="84">
        <f t="shared" si="337"/>
        <v>1414.6399999999999</v>
      </c>
      <c r="J332" s="60">
        <v>1033.29</v>
      </c>
      <c r="K332" s="84">
        <f t="shared" si="338"/>
        <v>2623.5</v>
      </c>
      <c r="L332" s="60">
        <v>4213.71</v>
      </c>
      <c r="M332" s="60">
        <v>26.96</v>
      </c>
      <c r="N332" s="60">
        <v>26.96</v>
      </c>
      <c r="O332" s="60">
        <v>341.55</v>
      </c>
      <c r="P332" s="60">
        <v>341.55</v>
      </c>
      <c r="Q332" s="85">
        <f t="shared" si="339"/>
        <v>341.55049000000002</v>
      </c>
      <c r="R332" s="85">
        <f t="shared" si="339"/>
        <v>341.55098000000004</v>
      </c>
      <c r="S332" s="85">
        <f t="shared" si="339"/>
        <v>341.55147000000005</v>
      </c>
      <c r="T332" s="84">
        <f t="shared" ref="T332:AC332" si="352">+S332-(0.711/100)</f>
        <v>341.54436000000004</v>
      </c>
      <c r="U332" s="84">
        <f t="shared" si="352"/>
        <v>341.53725000000003</v>
      </c>
      <c r="V332" s="84">
        <f t="shared" si="352"/>
        <v>341.53014000000002</v>
      </c>
      <c r="W332" s="84">
        <f t="shared" si="352"/>
        <v>341.52303000000001</v>
      </c>
      <c r="X332" s="84">
        <f t="shared" si="352"/>
        <v>341.51591999999999</v>
      </c>
      <c r="Y332" s="84">
        <f t="shared" si="352"/>
        <v>341.50880999999998</v>
      </c>
      <c r="Z332" s="84">
        <f t="shared" si="352"/>
        <v>341.50169999999997</v>
      </c>
      <c r="AA332" s="84">
        <f t="shared" si="352"/>
        <v>341.49458999999996</v>
      </c>
      <c r="AB332" s="84">
        <f t="shared" si="352"/>
        <v>341.48747999999995</v>
      </c>
      <c r="AC332" s="84">
        <f t="shared" si="352"/>
        <v>341.48036999999994</v>
      </c>
    </row>
    <row r="333" spans="1:29" x14ac:dyDescent="0.25">
      <c r="A333" s="56" t="s">
        <v>6</v>
      </c>
      <c r="B333" s="54" t="s">
        <v>29</v>
      </c>
      <c r="C333" s="54"/>
      <c r="D333" s="60">
        <v>0</v>
      </c>
      <c r="E333" s="84">
        <f t="shared" si="335"/>
        <v>0</v>
      </c>
      <c r="F333" s="60">
        <v>0</v>
      </c>
      <c r="G333" s="84">
        <f t="shared" si="336"/>
        <v>0</v>
      </c>
      <c r="H333" s="60">
        <v>0</v>
      </c>
      <c r="I333" s="84">
        <f t="shared" si="337"/>
        <v>0</v>
      </c>
      <c r="J333" s="60">
        <v>0</v>
      </c>
      <c r="K333" s="84">
        <f t="shared" si="338"/>
        <v>0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85">
        <f t="shared" si="339"/>
        <v>4.8999999999999998E-4</v>
      </c>
      <c r="R333" s="85">
        <f t="shared" si="339"/>
        <v>9.7999999999999997E-4</v>
      </c>
      <c r="S333" s="85">
        <f t="shared" si="339"/>
        <v>1.47E-3</v>
      </c>
      <c r="T333" s="84">
        <f t="shared" ref="T333:AC333" si="353">+S333-(0.711/100)</f>
        <v>-5.64E-3</v>
      </c>
      <c r="U333" s="84">
        <f t="shared" si="353"/>
        <v>-1.2750000000000001E-2</v>
      </c>
      <c r="V333" s="84">
        <f t="shared" si="353"/>
        <v>-1.9860000000000003E-2</v>
      </c>
      <c r="W333" s="84">
        <f t="shared" si="353"/>
        <v>-2.6970000000000001E-2</v>
      </c>
      <c r="X333" s="84">
        <f t="shared" si="353"/>
        <v>-3.4079999999999999E-2</v>
      </c>
      <c r="Y333" s="84">
        <f t="shared" si="353"/>
        <v>-4.1189999999999997E-2</v>
      </c>
      <c r="Z333" s="84">
        <f t="shared" si="353"/>
        <v>-4.8299999999999996E-2</v>
      </c>
      <c r="AA333" s="84">
        <f t="shared" si="353"/>
        <v>-5.5409999999999994E-2</v>
      </c>
      <c r="AB333" s="84">
        <f t="shared" si="353"/>
        <v>-6.2519999999999992E-2</v>
      </c>
      <c r="AC333" s="84">
        <f t="shared" si="353"/>
        <v>-6.9629999999999997E-2</v>
      </c>
    </row>
    <row r="334" spans="1:29" x14ac:dyDescent="0.25">
      <c r="A334" s="214"/>
      <c r="B334" s="215"/>
      <c r="C334" s="215"/>
      <c r="D334" s="115"/>
      <c r="E334" s="216"/>
      <c r="F334" s="115"/>
      <c r="G334" s="216"/>
      <c r="H334" s="115"/>
      <c r="I334" s="216"/>
      <c r="J334" s="115"/>
      <c r="K334" s="216"/>
      <c r="L334" s="115"/>
      <c r="M334" s="115"/>
      <c r="N334" s="115"/>
      <c r="O334" s="115"/>
      <c r="P334" s="115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</row>
    <row r="336" spans="1:29" x14ac:dyDescent="0.25">
      <c r="A336" s="1" t="s">
        <v>105</v>
      </c>
      <c r="B336" s="65" t="s">
        <v>106</v>
      </c>
      <c r="C336" s="65"/>
      <c r="D336" s="1">
        <v>2010</v>
      </c>
      <c r="E336" s="1">
        <v>2011</v>
      </c>
      <c r="F336" s="1">
        <v>2012</v>
      </c>
      <c r="G336" s="1">
        <v>2013</v>
      </c>
      <c r="H336" s="1">
        <v>2014</v>
      </c>
      <c r="I336" s="1">
        <v>2015</v>
      </c>
      <c r="J336" s="1">
        <v>2016</v>
      </c>
      <c r="K336" s="1">
        <v>2017</v>
      </c>
      <c r="L336" s="1">
        <v>2018</v>
      </c>
      <c r="M336" s="1">
        <v>2019</v>
      </c>
      <c r="N336" s="1">
        <v>2020</v>
      </c>
      <c r="O336" s="1">
        <v>2021</v>
      </c>
      <c r="P336" s="1">
        <v>2022</v>
      </c>
      <c r="Q336" s="1">
        <v>2023</v>
      </c>
      <c r="R336" s="1">
        <v>2024</v>
      </c>
      <c r="S336" s="1">
        <v>2025</v>
      </c>
      <c r="T336" s="1">
        <v>2026</v>
      </c>
      <c r="U336" s="1">
        <v>2027</v>
      </c>
      <c r="V336" s="1">
        <v>2028</v>
      </c>
      <c r="W336" s="1">
        <v>2029</v>
      </c>
      <c r="X336" s="1">
        <v>2030</v>
      </c>
      <c r="Y336" s="1">
        <v>2031</v>
      </c>
      <c r="Z336" s="1">
        <v>2032</v>
      </c>
      <c r="AA336" s="1">
        <v>2033</v>
      </c>
      <c r="AB336" s="1">
        <v>2034</v>
      </c>
      <c r="AC336" s="1">
        <v>2035</v>
      </c>
    </row>
    <row r="337" spans="1:29" x14ac:dyDescent="0.25">
      <c r="A337" s="54" t="s">
        <v>19</v>
      </c>
      <c r="B337" s="86" t="s">
        <v>18</v>
      </c>
      <c r="C337" s="86"/>
      <c r="D337" s="84">
        <f t="shared" ref="D337:P337" si="354">+D217</f>
        <v>35.450349455211686</v>
      </c>
      <c r="E337" s="84">
        <f t="shared" si="354"/>
        <v>35.450349455211686</v>
      </c>
      <c r="F337" s="84">
        <f t="shared" si="354"/>
        <v>35.450349455211686</v>
      </c>
      <c r="G337" s="84">
        <f t="shared" si="354"/>
        <v>35.450349455211686</v>
      </c>
      <c r="H337" s="84">
        <f t="shared" si="354"/>
        <v>35.450349455211686</v>
      </c>
      <c r="I337" s="84">
        <f t="shared" si="354"/>
        <v>27.971301260442953</v>
      </c>
      <c r="J337" s="84">
        <f t="shared" si="354"/>
        <v>20.492253065674223</v>
      </c>
      <c r="K337" s="84">
        <f t="shared" si="354"/>
        <v>26.145300649667249</v>
      </c>
      <c r="L337" s="84">
        <f t="shared" si="354"/>
        <v>31.798348233660274</v>
      </c>
      <c r="M337" s="84">
        <f t="shared" si="354"/>
        <v>5.2465438706970549</v>
      </c>
      <c r="N337" s="84">
        <f t="shared" si="354"/>
        <v>5.2465438706970549</v>
      </c>
      <c r="O337" s="84">
        <f t="shared" si="354"/>
        <v>5.8147838288109819</v>
      </c>
      <c r="P337" s="84">
        <f t="shared" si="354"/>
        <v>5.8147838288109819</v>
      </c>
      <c r="Q337" s="84">
        <f t="shared" ref="Q337:S345" si="355">+P337-(0.049/100)</f>
        <v>5.8142938288109818</v>
      </c>
      <c r="R337" s="84">
        <f t="shared" si="355"/>
        <v>5.8138038288109817</v>
      </c>
      <c r="S337" s="84">
        <f t="shared" si="355"/>
        <v>5.8133138288109816</v>
      </c>
      <c r="T337" s="84">
        <f t="shared" ref="T337:AC337" si="356">+S337+(0.711/100)</f>
        <v>5.8204238288109815</v>
      </c>
      <c r="U337" s="84">
        <f t="shared" si="356"/>
        <v>5.8275338288109815</v>
      </c>
      <c r="V337" s="84">
        <f t="shared" si="356"/>
        <v>5.8346438288109814</v>
      </c>
      <c r="W337" s="84">
        <f t="shared" si="356"/>
        <v>5.8417538288109814</v>
      </c>
      <c r="X337" s="84">
        <f t="shared" si="356"/>
        <v>5.8488638288109813</v>
      </c>
      <c r="Y337" s="84">
        <f t="shared" si="356"/>
        <v>5.8559738288109813</v>
      </c>
      <c r="Z337" s="84">
        <f t="shared" si="356"/>
        <v>5.8630838288109812</v>
      </c>
      <c r="AA337" s="84">
        <f t="shared" si="356"/>
        <v>5.8701938288109812</v>
      </c>
      <c r="AB337" s="84">
        <f t="shared" si="356"/>
        <v>5.8773038288109811</v>
      </c>
      <c r="AC337" s="84">
        <f t="shared" si="356"/>
        <v>5.8844138288109811</v>
      </c>
    </row>
    <row r="338" spans="1:29" x14ac:dyDescent="0.25">
      <c r="A338" s="54" t="s">
        <v>19</v>
      </c>
      <c r="B338" s="86" t="s">
        <v>20</v>
      </c>
      <c r="C338" s="86"/>
      <c r="D338" s="84">
        <f t="shared" ref="D338:P338" si="357">+D218</f>
        <v>346.1792516375865</v>
      </c>
      <c r="E338" s="84">
        <f t="shared" si="357"/>
        <v>346.1792516375865</v>
      </c>
      <c r="F338" s="84">
        <f t="shared" si="357"/>
        <v>346.1792516375865</v>
      </c>
      <c r="G338" s="84">
        <f t="shared" si="357"/>
        <v>346.1792516375865</v>
      </c>
      <c r="H338" s="84">
        <f t="shared" si="357"/>
        <v>346.1792516375865</v>
      </c>
      <c r="I338" s="84">
        <f t="shared" si="357"/>
        <v>273.14495587422419</v>
      </c>
      <c r="J338" s="84">
        <f t="shared" si="357"/>
        <v>200.11066011086183</v>
      </c>
      <c r="K338" s="84">
        <f t="shared" si="357"/>
        <v>255.31372050863939</v>
      </c>
      <c r="L338" s="84">
        <f t="shared" si="357"/>
        <v>310.51678090641695</v>
      </c>
      <c r="M338" s="84">
        <f t="shared" si="357"/>
        <v>51.23347608001253</v>
      </c>
      <c r="N338" s="84">
        <f t="shared" si="357"/>
        <v>51.23347608001253</v>
      </c>
      <c r="O338" s="84">
        <f t="shared" si="357"/>
        <v>56.78244489057338</v>
      </c>
      <c r="P338" s="84">
        <f t="shared" si="357"/>
        <v>56.78244489057338</v>
      </c>
      <c r="Q338" s="84">
        <f t="shared" si="355"/>
        <v>56.781954890573381</v>
      </c>
      <c r="R338" s="84">
        <f t="shared" si="355"/>
        <v>56.781464890573382</v>
      </c>
      <c r="S338" s="84">
        <f t="shared" si="355"/>
        <v>56.780974890573383</v>
      </c>
      <c r="T338" s="84">
        <f t="shared" ref="T338:AC338" si="358">+S338+(0.711/100)</f>
        <v>56.78808489057338</v>
      </c>
      <c r="U338" s="84">
        <f t="shared" si="358"/>
        <v>56.795194890573377</v>
      </c>
      <c r="V338" s="84">
        <f t="shared" si="358"/>
        <v>56.802304890573375</v>
      </c>
      <c r="W338" s="84">
        <f t="shared" si="358"/>
        <v>56.809414890573372</v>
      </c>
      <c r="X338" s="84">
        <f t="shared" si="358"/>
        <v>56.816524890573369</v>
      </c>
      <c r="Y338" s="84">
        <f t="shared" si="358"/>
        <v>56.823634890573366</v>
      </c>
      <c r="Z338" s="84">
        <f t="shared" si="358"/>
        <v>56.830744890573364</v>
      </c>
      <c r="AA338" s="84">
        <f t="shared" si="358"/>
        <v>56.837854890573361</v>
      </c>
      <c r="AB338" s="84">
        <f t="shared" si="358"/>
        <v>56.844964890573358</v>
      </c>
      <c r="AC338" s="84">
        <f t="shared" si="358"/>
        <v>56.852074890573356</v>
      </c>
    </row>
    <row r="339" spans="1:29" x14ac:dyDescent="0.25">
      <c r="A339" s="54" t="s">
        <v>19</v>
      </c>
      <c r="B339" s="86" t="s">
        <v>21</v>
      </c>
      <c r="C339" s="86"/>
      <c r="D339" s="84">
        <f t="shared" ref="D339:P339" si="359">+D219</f>
        <v>3310.1998640493071</v>
      </c>
      <c r="E339" s="84">
        <f t="shared" si="359"/>
        <v>3310.1998640493071</v>
      </c>
      <c r="F339" s="84">
        <f t="shared" si="359"/>
        <v>3310.1998640493071</v>
      </c>
      <c r="G339" s="84">
        <f t="shared" si="359"/>
        <v>3310.1998640493071</v>
      </c>
      <c r="H339" s="84">
        <f t="shared" si="359"/>
        <v>3310.1998640493071</v>
      </c>
      <c r="I339" s="84">
        <f t="shared" si="359"/>
        <v>2611.8387844548711</v>
      </c>
      <c r="J339" s="84">
        <f t="shared" si="359"/>
        <v>1913.4777048604346</v>
      </c>
      <c r="K339" s="84">
        <f t="shared" si="359"/>
        <v>2441.3347678109649</v>
      </c>
      <c r="L339" s="84">
        <f t="shared" si="359"/>
        <v>2969.1918307614956</v>
      </c>
      <c r="M339" s="84">
        <f t="shared" si="359"/>
        <v>489.89950943789398</v>
      </c>
      <c r="N339" s="84">
        <f t="shared" si="359"/>
        <v>489.89950943789398</v>
      </c>
      <c r="O339" s="84">
        <f t="shared" si="359"/>
        <v>542.95929195068879</v>
      </c>
      <c r="P339" s="84">
        <f t="shared" si="359"/>
        <v>542.95929195068879</v>
      </c>
      <c r="Q339" s="84">
        <f t="shared" si="355"/>
        <v>542.95880195068878</v>
      </c>
      <c r="R339" s="84">
        <f t="shared" si="355"/>
        <v>542.95831195068877</v>
      </c>
      <c r="S339" s="84">
        <f t="shared" si="355"/>
        <v>542.95782195068875</v>
      </c>
      <c r="T339" s="84">
        <f t="shared" ref="T339:AC339" si="360">+S339+(0.711/100)</f>
        <v>542.96493195068877</v>
      </c>
      <c r="U339" s="84">
        <f t="shared" si="360"/>
        <v>542.97204195068878</v>
      </c>
      <c r="V339" s="84">
        <f t="shared" si="360"/>
        <v>542.97915195068879</v>
      </c>
      <c r="W339" s="84">
        <f t="shared" si="360"/>
        <v>542.9862619506888</v>
      </c>
      <c r="X339" s="84">
        <f t="shared" si="360"/>
        <v>542.99337195068881</v>
      </c>
      <c r="Y339" s="84">
        <f t="shared" si="360"/>
        <v>543.00048195068882</v>
      </c>
      <c r="Z339" s="84">
        <f t="shared" si="360"/>
        <v>543.00759195068883</v>
      </c>
      <c r="AA339" s="84">
        <f t="shared" si="360"/>
        <v>543.01470195068885</v>
      </c>
      <c r="AB339" s="84">
        <f t="shared" si="360"/>
        <v>543.02181195068886</v>
      </c>
      <c r="AC339" s="84">
        <f t="shared" si="360"/>
        <v>543.02892195068887</v>
      </c>
    </row>
    <row r="340" spans="1:29" x14ac:dyDescent="0.25">
      <c r="A340" s="54" t="s">
        <v>19</v>
      </c>
      <c r="B340" s="86" t="s">
        <v>22</v>
      </c>
      <c r="C340" s="86"/>
      <c r="D340" s="84">
        <f t="shared" ref="D340:P340" si="361">+D220</f>
        <v>1345.5748980235817</v>
      </c>
      <c r="E340" s="84">
        <f t="shared" si="361"/>
        <v>1345.5748980235817</v>
      </c>
      <c r="F340" s="84">
        <f t="shared" si="361"/>
        <v>1345.5748980235817</v>
      </c>
      <c r="G340" s="84">
        <f t="shared" si="361"/>
        <v>1345.5748980235817</v>
      </c>
      <c r="H340" s="84">
        <f t="shared" si="361"/>
        <v>1345.5748980235817</v>
      </c>
      <c r="I340" s="84">
        <f t="shared" si="361"/>
        <v>1061.6956227373435</v>
      </c>
      <c r="J340" s="84">
        <f t="shared" si="361"/>
        <v>777.81634745110512</v>
      </c>
      <c r="K340" s="84">
        <f t="shared" si="361"/>
        <v>992.3868395125196</v>
      </c>
      <c r="L340" s="84">
        <f t="shared" si="361"/>
        <v>1206.9573315739342</v>
      </c>
      <c r="M340" s="84">
        <f t="shared" si="361"/>
        <v>199.14099133800156</v>
      </c>
      <c r="N340" s="84">
        <f t="shared" si="361"/>
        <v>199.14099133800156</v>
      </c>
      <c r="O340" s="84">
        <f t="shared" si="361"/>
        <v>220.70945075920093</v>
      </c>
      <c r="P340" s="84">
        <f t="shared" si="361"/>
        <v>220.70945075920093</v>
      </c>
      <c r="Q340" s="84">
        <f t="shared" si="355"/>
        <v>220.70896075920092</v>
      </c>
      <c r="R340" s="84">
        <f t="shared" si="355"/>
        <v>220.70847075920091</v>
      </c>
      <c r="S340" s="84">
        <f t="shared" si="355"/>
        <v>220.70798075920089</v>
      </c>
      <c r="T340" s="84">
        <f t="shared" ref="T340:AC340" si="362">+S340+(0.711/100)</f>
        <v>220.7150907592009</v>
      </c>
      <c r="U340" s="84">
        <f t="shared" si="362"/>
        <v>220.72220075920092</v>
      </c>
      <c r="V340" s="84">
        <f t="shared" si="362"/>
        <v>220.72931075920093</v>
      </c>
      <c r="W340" s="84">
        <f t="shared" si="362"/>
        <v>220.73642075920094</v>
      </c>
      <c r="X340" s="84">
        <f t="shared" si="362"/>
        <v>220.74353075920095</v>
      </c>
      <c r="Y340" s="84">
        <f t="shared" si="362"/>
        <v>220.75064075920096</v>
      </c>
      <c r="Z340" s="84">
        <f t="shared" si="362"/>
        <v>220.75775075920097</v>
      </c>
      <c r="AA340" s="84">
        <f t="shared" si="362"/>
        <v>220.76486075920099</v>
      </c>
      <c r="AB340" s="84">
        <f t="shared" si="362"/>
        <v>220.771970759201</v>
      </c>
      <c r="AC340" s="84">
        <f t="shared" si="362"/>
        <v>220.77908075920101</v>
      </c>
    </row>
    <row r="341" spans="1:29" x14ac:dyDescent="0.25">
      <c r="A341" s="54" t="s">
        <v>19</v>
      </c>
      <c r="B341" s="86" t="s">
        <v>23</v>
      </c>
      <c r="C341" s="86"/>
      <c r="D341" s="84">
        <f t="shared" ref="D341:P341" si="363">+D221</f>
        <v>926.66258971003924</v>
      </c>
      <c r="E341" s="84">
        <f t="shared" si="363"/>
        <v>926.66258971003924</v>
      </c>
      <c r="F341" s="84">
        <f t="shared" si="363"/>
        <v>926.66258971003924</v>
      </c>
      <c r="G341" s="84">
        <f t="shared" si="363"/>
        <v>926.66258971003924</v>
      </c>
      <c r="H341" s="84">
        <f t="shared" si="363"/>
        <v>926.66258971003924</v>
      </c>
      <c r="I341" s="84">
        <f t="shared" si="363"/>
        <v>731.16228364149924</v>
      </c>
      <c r="J341" s="84">
        <f t="shared" si="363"/>
        <v>535.66197757295924</v>
      </c>
      <c r="K341" s="84">
        <f t="shared" si="363"/>
        <v>683.43111932868112</v>
      </c>
      <c r="L341" s="84">
        <f t="shared" si="363"/>
        <v>831.20026108440311</v>
      </c>
      <c r="M341" s="84">
        <f t="shared" si="363"/>
        <v>137.14324414177867</v>
      </c>
      <c r="N341" s="84">
        <f t="shared" si="363"/>
        <v>137.14324414177867</v>
      </c>
      <c r="O341" s="84">
        <f t="shared" si="363"/>
        <v>151.99688364758509</v>
      </c>
      <c r="P341" s="84">
        <f t="shared" si="363"/>
        <v>151.99688364758509</v>
      </c>
      <c r="Q341" s="84">
        <f t="shared" si="355"/>
        <v>151.99639364758508</v>
      </c>
      <c r="R341" s="84">
        <f t="shared" si="355"/>
        <v>151.99590364758507</v>
      </c>
      <c r="S341" s="84">
        <f t="shared" si="355"/>
        <v>151.99541364758505</v>
      </c>
      <c r="T341" s="84">
        <f t="shared" ref="T341:AC341" si="364">+S341+(0.711/100)</f>
        <v>152.00252364758506</v>
      </c>
      <c r="U341" s="84">
        <f t="shared" si="364"/>
        <v>152.00963364758508</v>
      </c>
      <c r="V341" s="84">
        <f t="shared" si="364"/>
        <v>152.01674364758509</v>
      </c>
      <c r="W341" s="84">
        <f t="shared" si="364"/>
        <v>152.0238536475851</v>
      </c>
      <c r="X341" s="84">
        <f t="shared" si="364"/>
        <v>152.03096364758511</v>
      </c>
      <c r="Y341" s="84">
        <f t="shared" si="364"/>
        <v>152.03807364758512</v>
      </c>
      <c r="Z341" s="84">
        <f t="shared" si="364"/>
        <v>152.04518364758513</v>
      </c>
      <c r="AA341" s="84">
        <f t="shared" si="364"/>
        <v>152.05229364758515</v>
      </c>
      <c r="AB341" s="84">
        <f t="shared" si="364"/>
        <v>152.05940364758516</v>
      </c>
      <c r="AC341" s="84">
        <f t="shared" si="364"/>
        <v>152.06651364758517</v>
      </c>
    </row>
    <row r="342" spans="1:29" x14ac:dyDescent="0.25">
      <c r="A342" s="54" t="s">
        <v>19</v>
      </c>
      <c r="B342" s="86" t="s">
        <v>24</v>
      </c>
      <c r="C342" s="86"/>
      <c r="D342" s="84">
        <f t="shared" ref="D342:P342" si="365">+D222</f>
        <v>6780.8508624532096</v>
      </c>
      <c r="E342" s="84">
        <f t="shared" si="365"/>
        <v>6780.8508624532096</v>
      </c>
      <c r="F342" s="84">
        <f t="shared" si="365"/>
        <v>6780.8508624532096</v>
      </c>
      <c r="G342" s="84">
        <f t="shared" si="365"/>
        <v>6780.8508624532096</v>
      </c>
      <c r="H342" s="84">
        <f t="shared" si="365"/>
        <v>6780.8508624532096</v>
      </c>
      <c r="I342" s="84">
        <f t="shared" si="365"/>
        <v>5350.277929289332</v>
      </c>
      <c r="J342" s="84">
        <f t="shared" si="365"/>
        <v>3919.7049961254538</v>
      </c>
      <c r="K342" s="84">
        <f t="shared" si="365"/>
        <v>5001.0052702972998</v>
      </c>
      <c r="L342" s="84">
        <f t="shared" si="365"/>
        <v>6082.3055444691454</v>
      </c>
      <c r="M342" s="84">
        <f t="shared" si="365"/>
        <v>1003.5452986284897</v>
      </c>
      <c r="N342" s="84">
        <f t="shared" si="365"/>
        <v>1003.5452986284897</v>
      </c>
      <c r="O342" s="84">
        <f t="shared" si="365"/>
        <v>1112.2367634312643</v>
      </c>
      <c r="P342" s="84">
        <f t="shared" si="365"/>
        <v>1112.2367634312643</v>
      </c>
      <c r="Q342" s="84">
        <f t="shared" si="355"/>
        <v>1112.2362734312644</v>
      </c>
      <c r="R342" s="84">
        <f t="shared" si="355"/>
        <v>1112.2357834312645</v>
      </c>
      <c r="S342" s="84">
        <f t="shared" si="355"/>
        <v>1112.2352934312646</v>
      </c>
      <c r="T342" s="84">
        <f t="shared" ref="T342:AC342" si="366">+S342+(0.711/100)</f>
        <v>1112.2424034312646</v>
      </c>
      <c r="U342" s="84">
        <f t="shared" si="366"/>
        <v>1112.2495134312646</v>
      </c>
      <c r="V342" s="84">
        <f t="shared" si="366"/>
        <v>1112.2566234312646</v>
      </c>
      <c r="W342" s="84">
        <f t="shared" si="366"/>
        <v>1112.2637334312647</v>
      </c>
      <c r="X342" s="84">
        <f t="shared" si="366"/>
        <v>1112.2708434312647</v>
      </c>
      <c r="Y342" s="84">
        <f t="shared" si="366"/>
        <v>1112.2779534312647</v>
      </c>
      <c r="Z342" s="84">
        <f t="shared" si="366"/>
        <v>1112.2850634312647</v>
      </c>
      <c r="AA342" s="84">
        <f t="shared" si="366"/>
        <v>1112.2921734312647</v>
      </c>
      <c r="AB342" s="84">
        <f t="shared" si="366"/>
        <v>1112.2992834312647</v>
      </c>
      <c r="AC342" s="84">
        <f t="shared" si="366"/>
        <v>1112.3063934312647</v>
      </c>
    </row>
    <row r="343" spans="1:29" x14ac:dyDescent="0.25">
      <c r="A343" s="54" t="s">
        <v>19</v>
      </c>
      <c r="B343" s="86" t="s">
        <v>25</v>
      </c>
      <c r="C343" s="86"/>
      <c r="D343" s="84">
        <f t="shared" ref="D343:P343" si="367">+D223</f>
        <v>751.26524843634377</v>
      </c>
      <c r="E343" s="84">
        <f t="shared" si="367"/>
        <v>751.26524843634377</v>
      </c>
      <c r="F343" s="84">
        <f t="shared" si="367"/>
        <v>751.26524843634377</v>
      </c>
      <c r="G343" s="84">
        <f t="shared" si="367"/>
        <v>751.26524843634377</v>
      </c>
      <c r="H343" s="84">
        <f t="shared" si="367"/>
        <v>751.26524843634377</v>
      </c>
      <c r="I343" s="84">
        <f t="shared" si="367"/>
        <v>592.76895470561192</v>
      </c>
      <c r="J343" s="84">
        <f t="shared" si="367"/>
        <v>434.27266097488018</v>
      </c>
      <c r="K343" s="84">
        <f t="shared" si="367"/>
        <v>554.07227544628665</v>
      </c>
      <c r="L343" s="84">
        <f t="shared" si="367"/>
        <v>673.87188991769301</v>
      </c>
      <c r="M343" s="84">
        <f t="shared" si="367"/>
        <v>111.18497123508436</v>
      </c>
      <c r="N343" s="84">
        <f t="shared" si="367"/>
        <v>111.18497123508436</v>
      </c>
      <c r="O343" s="84">
        <f t="shared" si="367"/>
        <v>123.227135554036</v>
      </c>
      <c r="P343" s="84">
        <f t="shared" si="367"/>
        <v>123.227135554036</v>
      </c>
      <c r="Q343" s="84">
        <f t="shared" si="355"/>
        <v>123.226645554036</v>
      </c>
      <c r="R343" s="84">
        <f t="shared" si="355"/>
        <v>123.226155554036</v>
      </c>
      <c r="S343" s="84">
        <f t="shared" si="355"/>
        <v>123.225665554036</v>
      </c>
      <c r="T343" s="84">
        <f t="shared" ref="T343:AC343" si="368">+S343+(0.711/100)</f>
        <v>123.232775554036</v>
      </c>
      <c r="U343" s="84">
        <f t="shared" si="368"/>
        <v>123.23988555403599</v>
      </c>
      <c r="V343" s="84">
        <f t="shared" si="368"/>
        <v>123.24699555403599</v>
      </c>
      <c r="W343" s="84">
        <f t="shared" si="368"/>
        <v>123.25410555403599</v>
      </c>
      <c r="X343" s="84">
        <f t="shared" si="368"/>
        <v>123.26121555403599</v>
      </c>
      <c r="Y343" s="84">
        <f t="shared" si="368"/>
        <v>123.26832555403598</v>
      </c>
      <c r="Z343" s="84">
        <f t="shared" si="368"/>
        <v>123.27543555403598</v>
      </c>
      <c r="AA343" s="84">
        <f t="shared" si="368"/>
        <v>123.28254555403598</v>
      </c>
      <c r="AB343" s="84">
        <f t="shared" si="368"/>
        <v>123.28965555403597</v>
      </c>
      <c r="AC343" s="84">
        <f t="shared" si="368"/>
        <v>123.29676555403597</v>
      </c>
    </row>
    <row r="344" spans="1:29" x14ac:dyDescent="0.25">
      <c r="A344" s="54" t="s">
        <v>19</v>
      </c>
      <c r="B344" s="86" t="s">
        <v>26</v>
      </c>
      <c r="C344" s="86"/>
      <c r="D344" s="84">
        <f t="shared" ref="D344:P344" si="369">+D224</f>
        <v>186.57832370711517</v>
      </c>
      <c r="E344" s="84">
        <f t="shared" si="369"/>
        <v>186.57832370711517</v>
      </c>
      <c r="F344" s="84">
        <f t="shared" si="369"/>
        <v>186.57832370711517</v>
      </c>
      <c r="G344" s="84">
        <f t="shared" si="369"/>
        <v>186.57832370711517</v>
      </c>
      <c r="H344" s="84">
        <f t="shared" si="369"/>
        <v>186.57832370711517</v>
      </c>
      <c r="I344" s="84">
        <f t="shared" si="369"/>
        <v>147.21543175966983</v>
      </c>
      <c r="J344" s="84">
        <f t="shared" si="369"/>
        <v>107.85253981222448</v>
      </c>
      <c r="K344" s="84">
        <f t="shared" si="369"/>
        <v>137.60502908995471</v>
      </c>
      <c r="L344" s="84">
        <f t="shared" si="369"/>
        <v>167.35751836768497</v>
      </c>
      <c r="M344" s="84">
        <f t="shared" si="369"/>
        <v>27.613024291544345</v>
      </c>
      <c r="N344" s="84">
        <f t="shared" si="369"/>
        <v>27.613024291544345</v>
      </c>
      <c r="O344" s="84">
        <f t="shared" si="369"/>
        <v>30.603721434946163</v>
      </c>
      <c r="P344" s="84">
        <f t="shared" si="369"/>
        <v>30.603721434946163</v>
      </c>
      <c r="Q344" s="84">
        <f t="shared" si="355"/>
        <v>30.603231434946164</v>
      </c>
      <c r="R344" s="84">
        <f t="shared" si="355"/>
        <v>30.602741434946164</v>
      </c>
      <c r="S344" s="84">
        <f t="shared" si="355"/>
        <v>30.602251434946165</v>
      </c>
      <c r="T344" s="84">
        <f t="shared" ref="T344:AC344" si="370">+S344+(0.711/100)</f>
        <v>30.609361434946166</v>
      </c>
      <c r="U344" s="84">
        <f t="shared" si="370"/>
        <v>30.616471434946167</v>
      </c>
      <c r="V344" s="84">
        <f t="shared" si="370"/>
        <v>30.623581434946168</v>
      </c>
      <c r="W344" s="84">
        <f t="shared" si="370"/>
        <v>30.630691434946169</v>
      </c>
      <c r="X344" s="84">
        <f t="shared" si="370"/>
        <v>30.637801434946169</v>
      </c>
      <c r="Y344" s="84">
        <f t="shared" si="370"/>
        <v>30.64491143494617</v>
      </c>
      <c r="Z344" s="84">
        <f t="shared" si="370"/>
        <v>30.652021434946171</v>
      </c>
      <c r="AA344" s="84">
        <f t="shared" si="370"/>
        <v>30.659131434946172</v>
      </c>
      <c r="AB344" s="84">
        <f t="shared" si="370"/>
        <v>30.666241434946173</v>
      </c>
      <c r="AC344" s="84">
        <f t="shared" si="370"/>
        <v>30.673351434946174</v>
      </c>
    </row>
    <row r="345" spans="1:29" x14ac:dyDescent="0.25">
      <c r="A345" s="54" t="s">
        <v>19</v>
      </c>
      <c r="B345" s="86" t="s">
        <v>27</v>
      </c>
      <c r="C345" s="86"/>
      <c r="D345" s="84">
        <f t="shared" ref="D345:P345" si="371">+D225</f>
        <v>780.23861252760332</v>
      </c>
      <c r="E345" s="84">
        <f t="shared" si="371"/>
        <v>780.23861252760332</v>
      </c>
      <c r="F345" s="84">
        <f t="shared" si="371"/>
        <v>780.23861252760332</v>
      </c>
      <c r="G345" s="84">
        <f t="shared" si="371"/>
        <v>780.23861252760332</v>
      </c>
      <c r="H345" s="84">
        <f t="shared" si="371"/>
        <v>780.23861252760332</v>
      </c>
      <c r="I345" s="84">
        <f t="shared" si="371"/>
        <v>615.62973627700433</v>
      </c>
      <c r="J345" s="84">
        <f t="shared" si="371"/>
        <v>451.02086002640527</v>
      </c>
      <c r="K345" s="84">
        <f t="shared" si="371"/>
        <v>575.44067735598594</v>
      </c>
      <c r="L345" s="84">
        <f t="shared" si="371"/>
        <v>699.86049468556666</v>
      </c>
      <c r="M345" s="84">
        <f t="shared" si="371"/>
        <v>115.47294097649757</v>
      </c>
      <c r="N345" s="84">
        <f t="shared" si="371"/>
        <v>115.47294097649757</v>
      </c>
      <c r="O345" s="84">
        <f t="shared" si="371"/>
        <v>127.97952450289418</v>
      </c>
      <c r="P345" s="84">
        <f t="shared" si="371"/>
        <v>127.97952450289418</v>
      </c>
      <c r="Q345" s="84">
        <f t="shared" si="355"/>
        <v>127.97903450289418</v>
      </c>
      <c r="R345" s="84">
        <f t="shared" si="355"/>
        <v>127.97854450289418</v>
      </c>
      <c r="S345" s="84">
        <f t="shared" si="355"/>
        <v>127.97805450289418</v>
      </c>
      <c r="T345" s="84">
        <f t="shared" ref="T345:AC345" si="372">+S345+(0.711/100)</f>
        <v>127.98516450289418</v>
      </c>
      <c r="U345" s="84">
        <f t="shared" si="372"/>
        <v>127.99227450289418</v>
      </c>
      <c r="V345" s="84">
        <f t="shared" si="372"/>
        <v>127.99938450289417</v>
      </c>
      <c r="W345" s="84">
        <f t="shared" si="372"/>
        <v>128.00649450289418</v>
      </c>
      <c r="X345" s="84">
        <f t="shared" si="372"/>
        <v>128.0136045028942</v>
      </c>
      <c r="Y345" s="84">
        <f t="shared" si="372"/>
        <v>128.02071450289421</v>
      </c>
      <c r="Z345" s="84">
        <f t="shared" si="372"/>
        <v>128.02782450289422</v>
      </c>
      <c r="AA345" s="84">
        <f t="shared" si="372"/>
        <v>128.03493450289423</v>
      </c>
      <c r="AB345" s="84">
        <f t="shared" si="372"/>
        <v>128.04204450289424</v>
      </c>
      <c r="AC345" s="84">
        <f t="shared" si="372"/>
        <v>128.04915450289425</v>
      </c>
    </row>
    <row r="347" spans="1:29" x14ac:dyDescent="0.25">
      <c r="A347" s="1" t="s">
        <v>105</v>
      </c>
      <c r="B347" s="65" t="s">
        <v>106</v>
      </c>
      <c r="C347" s="65"/>
      <c r="D347" s="1">
        <v>2010</v>
      </c>
      <c r="E347" s="1">
        <v>2011</v>
      </c>
      <c r="F347" s="1">
        <v>2012</v>
      </c>
      <c r="G347" s="1">
        <v>2013</v>
      </c>
      <c r="H347" s="1">
        <v>2014</v>
      </c>
      <c r="I347" s="1">
        <v>2015</v>
      </c>
      <c r="J347" s="1">
        <v>2016</v>
      </c>
      <c r="K347" s="1">
        <v>2017</v>
      </c>
      <c r="L347" s="1">
        <v>2018</v>
      </c>
      <c r="M347" s="1">
        <v>2019</v>
      </c>
      <c r="N347" s="1">
        <v>2020</v>
      </c>
      <c r="O347" s="1">
        <v>2021</v>
      </c>
      <c r="P347" s="1">
        <v>2022</v>
      </c>
      <c r="Q347" s="1">
        <v>2023</v>
      </c>
      <c r="R347" s="1">
        <v>2024</v>
      </c>
      <c r="S347" s="1">
        <v>2025</v>
      </c>
      <c r="T347" s="1">
        <v>2026</v>
      </c>
      <c r="U347" s="1">
        <v>2027</v>
      </c>
      <c r="V347" s="1">
        <v>2028</v>
      </c>
      <c r="W347" s="1">
        <v>2029</v>
      </c>
      <c r="X347" s="1">
        <v>2030</v>
      </c>
      <c r="Y347" s="1">
        <v>2031</v>
      </c>
      <c r="Z347" s="1">
        <v>2032</v>
      </c>
      <c r="AA347" s="1">
        <v>2033</v>
      </c>
      <c r="AB347" s="1">
        <v>2034</v>
      </c>
      <c r="AC347" s="1">
        <v>2035</v>
      </c>
    </row>
    <row r="348" spans="1:29" x14ac:dyDescent="0.25">
      <c r="A348" s="54" t="s">
        <v>5</v>
      </c>
      <c r="B348" s="86" t="s">
        <v>18</v>
      </c>
      <c r="C348" s="86"/>
      <c r="D348" s="84">
        <f t="shared" ref="D348:P348" si="373">+D228</f>
        <v>9.069093063975886E-2</v>
      </c>
      <c r="E348" s="84">
        <f t="shared" si="373"/>
        <v>9.069093063975886E-2</v>
      </c>
      <c r="F348" s="84">
        <f t="shared" si="373"/>
        <v>9.069093063975886E-2</v>
      </c>
      <c r="G348" s="84">
        <f t="shared" si="373"/>
        <v>9.069093063975886E-2</v>
      </c>
      <c r="H348" s="84">
        <f t="shared" si="373"/>
        <v>9.069093063975886E-2</v>
      </c>
      <c r="I348" s="84">
        <f t="shared" si="373"/>
        <v>9.5911786917128747E-2</v>
      </c>
      <c r="J348" s="84">
        <f t="shared" si="373"/>
        <v>0.10113264319449865</v>
      </c>
      <c r="K348" s="84">
        <f t="shared" si="373"/>
        <v>7.2515977918304483E-2</v>
      </c>
      <c r="L348" s="84">
        <f t="shared" si="373"/>
        <v>4.3899312642110298E-2</v>
      </c>
      <c r="M348" s="84">
        <f t="shared" si="373"/>
        <v>4.899761360780485E-2</v>
      </c>
      <c r="N348" s="84">
        <f t="shared" si="373"/>
        <v>4.899761360780485E-2</v>
      </c>
      <c r="O348" s="84">
        <f t="shared" si="373"/>
        <v>2.9780940737110004E-2</v>
      </c>
      <c r="P348" s="84">
        <f t="shared" si="373"/>
        <v>2.9780940737110004E-2</v>
      </c>
      <c r="Q348" s="84">
        <f t="shared" ref="Q348:S356" si="374">+P348-(0.049/100)</f>
        <v>2.9290940737110003E-2</v>
      </c>
      <c r="R348" s="84">
        <f t="shared" si="374"/>
        <v>2.8800940737110002E-2</v>
      </c>
      <c r="S348" s="84">
        <f t="shared" si="374"/>
        <v>2.8310940737110001E-2</v>
      </c>
      <c r="T348" s="84">
        <f t="shared" ref="T348:AC348" si="375">+S348+(0.711/100)</f>
        <v>3.5420940737110003E-2</v>
      </c>
      <c r="U348" s="84">
        <f t="shared" si="375"/>
        <v>4.2530940737110001E-2</v>
      </c>
      <c r="V348" s="84">
        <f t="shared" si="375"/>
        <v>4.9640940737109999E-2</v>
      </c>
      <c r="W348" s="84">
        <f t="shared" si="375"/>
        <v>5.6750940737109998E-2</v>
      </c>
      <c r="X348" s="84">
        <f t="shared" si="375"/>
        <v>6.3860940737110003E-2</v>
      </c>
      <c r="Y348" s="84">
        <f t="shared" si="375"/>
        <v>7.0970940737110008E-2</v>
      </c>
      <c r="Z348" s="84">
        <f t="shared" si="375"/>
        <v>7.8080940737110013E-2</v>
      </c>
      <c r="AA348" s="84">
        <f t="shared" si="375"/>
        <v>8.5190940737110019E-2</v>
      </c>
      <c r="AB348" s="84">
        <f t="shared" si="375"/>
        <v>9.2300940737110024E-2</v>
      </c>
      <c r="AC348" s="84">
        <f t="shared" si="375"/>
        <v>9.9410940737110029E-2</v>
      </c>
    </row>
    <row r="349" spans="1:29" x14ac:dyDescent="0.25">
      <c r="A349" s="54" t="s">
        <v>5</v>
      </c>
      <c r="B349" s="86" t="s">
        <v>20</v>
      </c>
      <c r="C349" s="86"/>
      <c r="D349" s="84">
        <f t="shared" ref="D349:P349" si="376">+D229</f>
        <v>0.88561379455097156</v>
      </c>
      <c r="E349" s="84">
        <f t="shared" si="376"/>
        <v>0.88561379455097156</v>
      </c>
      <c r="F349" s="84">
        <f t="shared" si="376"/>
        <v>0.88561379455097156</v>
      </c>
      <c r="G349" s="84">
        <f t="shared" si="376"/>
        <v>0.88561379455097156</v>
      </c>
      <c r="H349" s="84">
        <f t="shared" si="376"/>
        <v>0.88561379455097156</v>
      </c>
      <c r="I349" s="84">
        <f t="shared" si="376"/>
        <v>0.93659642650755437</v>
      </c>
      <c r="J349" s="84">
        <f t="shared" si="376"/>
        <v>0.9875790584641374</v>
      </c>
      <c r="K349" s="84">
        <f t="shared" si="376"/>
        <v>0.7081320030213647</v>
      </c>
      <c r="L349" s="84">
        <f t="shared" si="376"/>
        <v>0.42868494757859188</v>
      </c>
      <c r="M349" s="84">
        <f t="shared" si="376"/>
        <v>0.47847080413713294</v>
      </c>
      <c r="N349" s="84">
        <f t="shared" si="376"/>
        <v>0.47847080413713294</v>
      </c>
      <c r="O349" s="84">
        <f t="shared" si="376"/>
        <v>0.29081642172417038</v>
      </c>
      <c r="P349" s="84">
        <f t="shared" si="376"/>
        <v>0.29081642172417038</v>
      </c>
      <c r="Q349" s="84">
        <f t="shared" si="374"/>
        <v>0.29032642172417039</v>
      </c>
      <c r="R349" s="84">
        <f t="shared" si="374"/>
        <v>0.2898364217241704</v>
      </c>
      <c r="S349" s="84">
        <f t="shared" si="374"/>
        <v>0.28934642172417041</v>
      </c>
      <c r="T349" s="84">
        <f t="shared" ref="T349:AC349" si="377">+S349+(0.711/100)</f>
        <v>0.29645642172417042</v>
      </c>
      <c r="U349" s="84">
        <f t="shared" si="377"/>
        <v>0.30356642172417042</v>
      </c>
      <c r="V349" s="84">
        <f t="shared" si="377"/>
        <v>0.31067642172417043</v>
      </c>
      <c r="W349" s="84">
        <f t="shared" si="377"/>
        <v>0.31778642172417043</v>
      </c>
      <c r="X349" s="84">
        <f t="shared" si="377"/>
        <v>0.32489642172417044</v>
      </c>
      <c r="Y349" s="84">
        <f t="shared" si="377"/>
        <v>0.33200642172417044</v>
      </c>
      <c r="Z349" s="84">
        <f t="shared" si="377"/>
        <v>0.33911642172417045</v>
      </c>
      <c r="AA349" s="84">
        <f t="shared" si="377"/>
        <v>0.34622642172417045</v>
      </c>
      <c r="AB349" s="84">
        <f t="shared" si="377"/>
        <v>0.35333642172417046</v>
      </c>
      <c r="AC349" s="84">
        <f t="shared" si="377"/>
        <v>0.36044642172417046</v>
      </c>
    </row>
    <row r="350" spans="1:29" x14ac:dyDescent="0.25">
      <c r="A350" s="54" t="s">
        <v>5</v>
      </c>
      <c r="B350" s="86" t="s">
        <v>21</v>
      </c>
      <c r="C350" s="86"/>
      <c r="D350" s="84">
        <f t="shared" ref="D350:P350" si="378">+D230</f>
        <v>8.4683257256326048</v>
      </c>
      <c r="E350" s="84">
        <f t="shared" si="378"/>
        <v>8.4683257256326048</v>
      </c>
      <c r="F350" s="84">
        <f t="shared" si="378"/>
        <v>8.4683257256326048</v>
      </c>
      <c r="G350" s="84">
        <f t="shared" si="378"/>
        <v>8.4683257256326048</v>
      </c>
      <c r="H350" s="84">
        <f t="shared" si="378"/>
        <v>8.4683257256326048</v>
      </c>
      <c r="I350" s="84">
        <f t="shared" si="378"/>
        <v>8.9558266390271299</v>
      </c>
      <c r="J350" s="84">
        <f t="shared" si="378"/>
        <v>9.4433275524216551</v>
      </c>
      <c r="K350" s="84">
        <f t="shared" si="378"/>
        <v>6.7712274754821786</v>
      </c>
      <c r="L350" s="84">
        <f t="shared" si="378"/>
        <v>4.0991273985427013</v>
      </c>
      <c r="M350" s="84">
        <f t="shared" si="378"/>
        <v>4.5751846285242097</v>
      </c>
      <c r="N350" s="84">
        <f t="shared" si="378"/>
        <v>4.5751846285242097</v>
      </c>
      <c r="O350" s="84">
        <f t="shared" si="378"/>
        <v>2.7808150693631393</v>
      </c>
      <c r="P350" s="84">
        <f t="shared" si="378"/>
        <v>2.7808150693631393</v>
      </c>
      <c r="Q350" s="84">
        <f t="shared" si="374"/>
        <v>2.7803250693631392</v>
      </c>
      <c r="R350" s="84">
        <f t="shared" si="374"/>
        <v>2.7798350693631391</v>
      </c>
      <c r="S350" s="84">
        <f t="shared" si="374"/>
        <v>2.779345069363139</v>
      </c>
      <c r="T350" s="84">
        <f t="shared" ref="T350:AC350" si="379">+S350+(0.711/100)</f>
        <v>2.7864550693631389</v>
      </c>
      <c r="U350" s="84">
        <f t="shared" si="379"/>
        <v>2.7935650693631389</v>
      </c>
      <c r="V350" s="84">
        <f t="shared" si="379"/>
        <v>2.8006750693631388</v>
      </c>
      <c r="W350" s="84">
        <f t="shared" si="379"/>
        <v>2.8077850693631388</v>
      </c>
      <c r="X350" s="84">
        <f t="shared" si="379"/>
        <v>2.8148950693631387</v>
      </c>
      <c r="Y350" s="84">
        <f t="shared" si="379"/>
        <v>2.8220050693631387</v>
      </c>
      <c r="Z350" s="84">
        <f t="shared" si="379"/>
        <v>2.8291150693631386</v>
      </c>
      <c r="AA350" s="84">
        <f t="shared" si="379"/>
        <v>2.8362250693631386</v>
      </c>
      <c r="AB350" s="84">
        <f t="shared" si="379"/>
        <v>2.8433350693631385</v>
      </c>
      <c r="AC350" s="84">
        <f t="shared" si="379"/>
        <v>2.8504450693631385</v>
      </c>
    </row>
    <row r="351" spans="1:29" x14ac:dyDescent="0.25">
      <c r="A351" s="54" t="s">
        <v>5</v>
      </c>
      <c r="B351" s="86" t="s">
        <v>22</v>
      </c>
      <c r="C351" s="86"/>
      <c r="D351" s="84">
        <f t="shared" ref="D351:P351" si="380">+D231</f>
        <v>3.4423197971978516</v>
      </c>
      <c r="E351" s="84">
        <f t="shared" si="380"/>
        <v>3.4423197971978516</v>
      </c>
      <c r="F351" s="84">
        <f t="shared" si="380"/>
        <v>3.4423197971978516</v>
      </c>
      <c r="G351" s="84">
        <f t="shared" si="380"/>
        <v>3.4423197971978516</v>
      </c>
      <c r="H351" s="84">
        <f t="shared" si="380"/>
        <v>3.4423197971978516</v>
      </c>
      <c r="I351" s="84">
        <f t="shared" si="380"/>
        <v>3.6404857747122139</v>
      </c>
      <c r="J351" s="84">
        <f t="shared" si="380"/>
        <v>3.8386517522265771</v>
      </c>
      <c r="K351" s="84">
        <f t="shared" si="380"/>
        <v>2.7524603027053631</v>
      </c>
      <c r="L351" s="84">
        <f t="shared" si="380"/>
        <v>1.6662688531841492</v>
      </c>
      <c r="M351" s="84">
        <f t="shared" si="380"/>
        <v>1.8597830471887851</v>
      </c>
      <c r="N351" s="84">
        <f t="shared" si="380"/>
        <v>1.8597830471887851</v>
      </c>
      <c r="O351" s="84">
        <f t="shared" si="380"/>
        <v>1.1303833928636189</v>
      </c>
      <c r="P351" s="84">
        <f t="shared" si="380"/>
        <v>1.1303833928636189</v>
      </c>
      <c r="Q351" s="84">
        <f t="shared" si="374"/>
        <v>1.1298933928636188</v>
      </c>
      <c r="R351" s="84">
        <f t="shared" si="374"/>
        <v>1.1294033928636187</v>
      </c>
      <c r="S351" s="84">
        <f t="shared" si="374"/>
        <v>1.1289133928636186</v>
      </c>
      <c r="T351" s="84">
        <f t="shared" ref="T351:AC351" si="381">+S351+(0.711/100)</f>
        <v>1.1360233928636185</v>
      </c>
      <c r="U351" s="84">
        <f t="shared" si="381"/>
        <v>1.1431333928636185</v>
      </c>
      <c r="V351" s="84">
        <f t="shared" si="381"/>
        <v>1.1502433928636184</v>
      </c>
      <c r="W351" s="84">
        <f t="shared" si="381"/>
        <v>1.1573533928636184</v>
      </c>
      <c r="X351" s="84">
        <f t="shared" si="381"/>
        <v>1.1644633928636183</v>
      </c>
      <c r="Y351" s="84">
        <f t="shared" si="381"/>
        <v>1.1715733928636183</v>
      </c>
      <c r="Z351" s="84">
        <f t="shared" si="381"/>
        <v>1.1786833928636182</v>
      </c>
      <c r="AA351" s="84">
        <f t="shared" si="381"/>
        <v>1.1857933928636182</v>
      </c>
      <c r="AB351" s="84">
        <f t="shared" si="381"/>
        <v>1.1929033928636181</v>
      </c>
      <c r="AC351" s="84">
        <f t="shared" si="381"/>
        <v>1.2000133928636181</v>
      </c>
    </row>
    <row r="352" spans="1:29" x14ac:dyDescent="0.25">
      <c r="A352" s="54" t="s">
        <v>5</v>
      </c>
      <c r="B352" s="86" t="s">
        <v>23</v>
      </c>
      <c r="C352" s="86"/>
      <c r="D352" s="84">
        <f t="shared" ref="D352:P352" si="382">+D232</f>
        <v>2.3706365082812315</v>
      </c>
      <c r="E352" s="84">
        <f t="shared" si="382"/>
        <v>2.3706365082812315</v>
      </c>
      <c r="F352" s="84">
        <f t="shared" si="382"/>
        <v>2.3706365082812315</v>
      </c>
      <c r="G352" s="84">
        <f t="shared" si="382"/>
        <v>2.3706365082812315</v>
      </c>
      <c r="H352" s="84">
        <f t="shared" si="382"/>
        <v>2.3706365082812315</v>
      </c>
      <c r="I352" s="84">
        <f t="shared" si="382"/>
        <v>2.5071082856498532</v>
      </c>
      <c r="J352" s="84">
        <f t="shared" si="382"/>
        <v>2.6435800630184758</v>
      </c>
      <c r="K352" s="84">
        <f t="shared" si="382"/>
        <v>1.8955481377702765</v>
      </c>
      <c r="L352" s="84">
        <f t="shared" si="382"/>
        <v>1.1475162125220773</v>
      </c>
      <c r="M352" s="84">
        <f t="shared" si="382"/>
        <v>1.2807844270416706</v>
      </c>
      <c r="N352" s="84">
        <f t="shared" si="382"/>
        <v>1.2807844270416706</v>
      </c>
      <c r="O352" s="84">
        <f t="shared" si="382"/>
        <v>0.77846577231397196</v>
      </c>
      <c r="P352" s="84">
        <f t="shared" si="382"/>
        <v>0.77846577231397196</v>
      </c>
      <c r="Q352" s="84">
        <f t="shared" si="374"/>
        <v>0.77797577231397197</v>
      </c>
      <c r="R352" s="84">
        <f t="shared" si="374"/>
        <v>0.77748577231397198</v>
      </c>
      <c r="S352" s="84">
        <f t="shared" si="374"/>
        <v>0.77699577231397199</v>
      </c>
      <c r="T352" s="84">
        <f t="shared" ref="T352:AC352" si="383">+S352+(0.711/100)</f>
        <v>0.78410577231397194</v>
      </c>
      <c r="U352" s="84">
        <f t="shared" si="383"/>
        <v>0.79121577231397189</v>
      </c>
      <c r="V352" s="84">
        <f t="shared" si="383"/>
        <v>0.79832577231397184</v>
      </c>
      <c r="W352" s="84">
        <f t="shared" si="383"/>
        <v>0.80543577231397179</v>
      </c>
      <c r="X352" s="84">
        <f t="shared" si="383"/>
        <v>0.81254577231397174</v>
      </c>
      <c r="Y352" s="84">
        <f t="shared" si="383"/>
        <v>0.81965577231397169</v>
      </c>
      <c r="Z352" s="84">
        <f t="shared" si="383"/>
        <v>0.82676577231397164</v>
      </c>
      <c r="AA352" s="84">
        <f t="shared" si="383"/>
        <v>0.83387577231397159</v>
      </c>
      <c r="AB352" s="84">
        <f t="shared" si="383"/>
        <v>0.84098577231397154</v>
      </c>
      <c r="AC352" s="84">
        <f t="shared" si="383"/>
        <v>0.84809577231397149</v>
      </c>
    </row>
    <row r="353" spans="1:29" x14ac:dyDescent="0.25">
      <c r="A353" s="54" t="s">
        <v>5</v>
      </c>
      <c r="B353" s="86" t="s">
        <v>24</v>
      </c>
      <c r="C353" s="86"/>
      <c r="D353" s="84">
        <f t="shared" ref="D353:P353" si="384">+D233</f>
        <v>17.347125901318453</v>
      </c>
      <c r="E353" s="84">
        <f t="shared" si="384"/>
        <v>17.347125901318453</v>
      </c>
      <c r="F353" s="84">
        <f t="shared" si="384"/>
        <v>17.347125901318453</v>
      </c>
      <c r="G353" s="84">
        <f t="shared" si="384"/>
        <v>17.347125901318453</v>
      </c>
      <c r="H353" s="84">
        <f t="shared" si="384"/>
        <v>17.347125901318453</v>
      </c>
      <c r="I353" s="84">
        <f t="shared" si="384"/>
        <v>18.3457577437457</v>
      </c>
      <c r="J353" s="84">
        <f t="shared" si="384"/>
        <v>19.344389586172955</v>
      </c>
      <c r="K353" s="84">
        <f t="shared" si="384"/>
        <v>13.870668102446119</v>
      </c>
      <c r="L353" s="84">
        <f t="shared" si="384"/>
        <v>8.3969466187192836</v>
      </c>
      <c r="M353" s="84">
        <f t="shared" si="384"/>
        <v>9.3721363991177249</v>
      </c>
      <c r="N353" s="84">
        <f t="shared" si="384"/>
        <v>9.3721363991177249</v>
      </c>
      <c r="O353" s="84">
        <f t="shared" si="384"/>
        <v>5.6964210730005185</v>
      </c>
      <c r="P353" s="84">
        <f t="shared" si="384"/>
        <v>5.6964210730005185</v>
      </c>
      <c r="Q353" s="84">
        <f t="shared" si="374"/>
        <v>5.6959310730005184</v>
      </c>
      <c r="R353" s="84">
        <f t="shared" si="374"/>
        <v>5.6954410730005183</v>
      </c>
      <c r="S353" s="84">
        <f t="shared" si="374"/>
        <v>5.6949510730005182</v>
      </c>
      <c r="T353" s="84">
        <f t="shared" ref="T353:AC353" si="385">+S353+(0.711/100)</f>
        <v>5.7020610730005181</v>
      </c>
      <c r="U353" s="84">
        <f t="shared" si="385"/>
        <v>5.7091710730005181</v>
      </c>
      <c r="V353" s="84">
        <f t="shared" si="385"/>
        <v>5.716281073000518</v>
      </c>
      <c r="W353" s="84">
        <f t="shared" si="385"/>
        <v>5.723391073000518</v>
      </c>
      <c r="X353" s="84">
        <f t="shared" si="385"/>
        <v>5.7305010730005179</v>
      </c>
      <c r="Y353" s="84">
        <f t="shared" si="385"/>
        <v>5.7376110730005179</v>
      </c>
      <c r="Z353" s="84">
        <f t="shared" si="385"/>
        <v>5.7447210730005178</v>
      </c>
      <c r="AA353" s="84">
        <f t="shared" si="385"/>
        <v>5.7518310730005178</v>
      </c>
      <c r="AB353" s="84">
        <f t="shared" si="385"/>
        <v>5.7589410730005177</v>
      </c>
      <c r="AC353" s="84">
        <f t="shared" si="385"/>
        <v>5.7660510730005177</v>
      </c>
    </row>
    <row r="354" spans="1:29" x14ac:dyDescent="0.25">
      <c r="A354" s="54" t="s">
        <v>5</v>
      </c>
      <c r="B354" s="86" t="s">
        <v>25</v>
      </c>
      <c r="C354" s="86"/>
      <c r="D354" s="84">
        <f t="shared" ref="D354:P354" si="386">+D234</f>
        <v>1.9219258931165539</v>
      </c>
      <c r="E354" s="84">
        <f t="shared" si="386"/>
        <v>1.9219258931165539</v>
      </c>
      <c r="F354" s="84">
        <f t="shared" si="386"/>
        <v>1.9219258931165539</v>
      </c>
      <c r="G354" s="84">
        <f t="shared" si="386"/>
        <v>1.9219258931165539</v>
      </c>
      <c r="H354" s="84">
        <f t="shared" si="386"/>
        <v>1.9219258931165539</v>
      </c>
      <c r="I354" s="84">
        <f t="shared" si="386"/>
        <v>2.0325664918283985</v>
      </c>
      <c r="J354" s="84">
        <f t="shared" si="386"/>
        <v>2.1432070905402436</v>
      </c>
      <c r="K354" s="84">
        <f t="shared" si="386"/>
        <v>1.536761555347385</v>
      </c>
      <c r="L354" s="84">
        <f t="shared" si="386"/>
        <v>0.93031602015452641</v>
      </c>
      <c r="M354" s="84">
        <f t="shared" si="386"/>
        <v>1.038359421713511</v>
      </c>
      <c r="N354" s="84">
        <f t="shared" si="386"/>
        <v>1.038359421713511</v>
      </c>
      <c r="O354" s="84">
        <f t="shared" si="386"/>
        <v>0.63111890814503058</v>
      </c>
      <c r="P354" s="84">
        <f t="shared" si="386"/>
        <v>0.63111890814503058</v>
      </c>
      <c r="Q354" s="84">
        <f t="shared" si="374"/>
        <v>0.63062890814503059</v>
      </c>
      <c r="R354" s="84">
        <f t="shared" si="374"/>
        <v>0.6301389081450306</v>
      </c>
      <c r="S354" s="84">
        <f t="shared" si="374"/>
        <v>0.62964890814503061</v>
      </c>
      <c r="T354" s="84">
        <f t="shared" ref="T354:AC354" si="387">+S354+(0.711/100)</f>
        <v>0.63675890814503056</v>
      </c>
      <c r="U354" s="84">
        <f t="shared" si="387"/>
        <v>0.64386890814503051</v>
      </c>
      <c r="V354" s="84">
        <f t="shared" si="387"/>
        <v>0.65097890814503045</v>
      </c>
      <c r="W354" s="84">
        <f t="shared" si="387"/>
        <v>0.6580889081450304</v>
      </c>
      <c r="X354" s="84">
        <f t="shared" si="387"/>
        <v>0.66519890814503035</v>
      </c>
      <c r="Y354" s="84">
        <f t="shared" si="387"/>
        <v>0.6723089081450303</v>
      </c>
      <c r="Z354" s="84">
        <f t="shared" si="387"/>
        <v>0.67941890814503025</v>
      </c>
      <c r="AA354" s="84">
        <f t="shared" si="387"/>
        <v>0.6865289081450302</v>
      </c>
      <c r="AB354" s="84">
        <f t="shared" si="387"/>
        <v>0.69363890814503015</v>
      </c>
      <c r="AC354" s="84">
        <f t="shared" si="387"/>
        <v>0.7007489081450301</v>
      </c>
    </row>
    <row r="355" spans="1:29" x14ac:dyDescent="0.25">
      <c r="A355" s="54" t="s">
        <v>5</v>
      </c>
      <c r="B355" s="86" t="s">
        <v>26</v>
      </c>
      <c r="C355" s="86"/>
      <c r="D355" s="84">
        <f t="shared" ref="D355:P355" si="388">+D235</f>
        <v>0.4773143868604896</v>
      </c>
      <c r="E355" s="84">
        <f t="shared" si="388"/>
        <v>0.4773143868604896</v>
      </c>
      <c r="F355" s="84">
        <f t="shared" si="388"/>
        <v>0.4773143868604896</v>
      </c>
      <c r="G355" s="84">
        <f t="shared" si="388"/>
        <v>0.4773143868604896</v>
      </c>
      <c r="H355" s="84">
        <f t="shared" si="388"/>
        <v>0.4773143868604896</v>
      </c>
      <c r="I355" s="84">
        <f t="shared" si="388"/>
        <v>0.50479221507705285</v>
      </c>
      <c r="J355" s="84">
        <f t="shared" si="388"/>
        <v>0.53227004329361616</v>
      </c>
      <c r="K355" s="84">
        <f t="shared" si="388"/>
        <v>0.38165800365588065</v>
      </c>
      <c r="L355" s="84">
        <f t="shared" si="388"/>
        <v>0.23104596401814509</v>
      </c>
      <c r="M355" s="84">
        <f t="shared" si="388"/>
        <v>0.25787877279300503</v>
      </c>
      <c r="N355" s="84">
        <f t="shared" si="388"/>
        <v>0.25787877279300503</v>
      </c>
      <c r="O355" s="84">
        <f t="shared" si="388"/>
        <v>0.15673972433391753</v>
      </c>
      <c r="P355" s="84">
        <f t="shared" si="388"/>
        <v>0.15673972433391753</v>
      </c>
      <c r="Q355" s="84">
        <f t="shared" si="374"/>
        <v>0.15624972433391754</v>
      </c>
      <c r="R355" s="84">
        <f t="shared" si="374"/>
        <v>0.15575972433391755</v>
      </c>
      <c r="S355" s="84">
        <f t="shared" si="374"/>
        <v>0.15526972433391756</v>
      </c>
      <c r="T355" s="84">
        <f t="shared" ref="T355:AC355" si="389">+S355+(0.711/100)</f>
        <v>0.16237972433391756</v>
      </c>
      <c r="U355" s="84">
        <f t="shared" si="389"/>
        <v>0.16948972433391757</v>
      </c>
      <c r="V355" s="84">
        <f t="shared" si="389"/>
        <v>0.17659972433391757</v>
      </c>
      <c r="W355" s="84">
        <f t="shared" si="389"/>
        <v>0.18370972433391758</v>
      </c>
      <c r="X355" s="84">
        <f t="shared" si="389"/>
        <v>0.19081972433391758</v>
      </c>
      <c r="Y355" s="84">
        <f t="shared" si="389"/>
        <v>0.19792972433391759</v>
      </c>
      <c r="Z355" s="84">
        <f t="shared" si="389"/>
        <v>0.20503972433391759</v>
      </c>
      <c r="AA355" s="84">
        <f t="shared" si="389"/>
        <v>0.2121497243339176</v>
      </c>
      <c r="AB355" s="84">
        <f t="shared" si="389"/>
        <v>0.2192597243339176</v>
      </c>
      <c r="AC355" s="84">
        <f t="shared" si="389"/>
        <v>0.22636972433391761</v>
      </c>
    </row>
    <row r="356" spans="1:29" x14ac:dyDescent="0.25">
      <c r="A356" s="54" t="s">
        <v>5</v>
      </c>
      <c r="B356" s="86" t="s">
        <v>27</v>
      </c>
      <c r="C356" s="86"/>
      <c r="D356" s="84">
        <f t="shared" ref="D356:P356" si="390">+D236</f>
        <v>1.9960470624020827</v>
      </c>
      <c r="E356" s="84">
        <f t="shared" si="390"/>
        <v>1.9960470624020827</v>
      </c>
      <c r="F356" s="84">
        <f t="shared" si="390"/>
        <v>1.9960470624020827</v>
      </c>
      <c r="G356" s="84">
        <f t="shared" si="390"/>
        <v>1.9960470624020827</v>
      </c>
      <c r="H356" s="84">
        <f t="shared" si="390"/>
        <v>1.9960470624020827</v>
      </c>
      <c r="I356" s="84">
        <f t="shared" si="390"/>
        <v>2.110954636534959</v>
      </c>
      <c r="J356" s="84">
        <f t="shared" si="390"/>
        <v>2.2258622106678358</v>
      </c>
      <c r="K356" s="84">
        <f t="shared" si="390"/>
        <v>1.5960284416531247</v>
      </c>
      <c r="L356" s="84">
        <f t="shared" si="390"/>
        <v>0.96619467263841352</v>
      </c>
      <c r="M356" s="84">
        <f t="shared" si="390"/>
        <v>1.0784048858761521</v>
      </c>
      <c r="N356" s="84">
        <f t="shared" si="390"/>
        <v>1.0784048858761521</v>
      </c>
      <c r="O356" s="84">
        <f t="shared" si="390"/>
        <v>0.65545869751852182</v>
      </c>
      <c r="P356" s="84">
        <f t="shared" si="390"/>
        <v>0.65545869751852182</v>
      </c>
      <c r="Q356" s="84">
        <f t="shared" si="374"/>
        <v>0.65496869751852183</v>
      </c>
      <c r="R356" s="84">
        <f t="shared" si="374"/>
        <v>0.65447869751852183</v>
      </c>
      <c r="S356" s="84">
        <f t="shared" si="374"/>
        <v>0.65398869751852184</v>
      </c>
      <c r="T356" s="84">
        <f t="shared" ref="T356:AC356" si="391">+S356+(0.711/100)</f>
        <v>0.66109869751852179</v>
      </c>
      <c r="U356" s="84">
        <f t="shared" si="391"/>
        <v>0.66820869751852174</v>
      </c>
      <c r="V356" s="84">
        <f t="shared" si="391"/>
        <v>0.67531869751852169</v>
      </c>
      <c r="W356" s="84">
        <f t="shared" si="391"/>
        <v>0.68242869751852164</v>
      </c>
      <c r="X356" s="84">
        <f t="shared" si="391"/>
        <v>0.68953869751852159</v>
      </c>
      <c r="Y356" s="84">
        <f t="shared" si="391"/>
        <v>0.69664869751852154</v>
      </c>
      <c r="Z356" s="84">
        <f t="shared" si="391"/>
        <v>0.70375869751852149</v>
      </c>
      <c r="AA356" s="84">
        <f t="shared" si="391"/>
        <v>0.71086869751852144</v>
      </c>
      <c r="AB356" s="84">
        <f t="shared" si="391"/>
        <v>0.71797869751852139</v>
      </c>
      <c r="AC356" s="84">
        <f t="shared" si="391"/>
        <v>0.72508869751852134</v>
      </c>
    </row>
    <row r="358" spans="1:29" x14ac:dyDescent="0.25">
      <c r="A358" s="1" t="s">
        <v>105</v>
      </c>
      <c r="B358" s="65" t="s">
        <v>106</v>
      </c>
      <c r="C358" s="65"/>
      <c r="D358" s="1">
        <v>2010</v>
      </c>
      <c r="E358" s="1">
        <v>2011</v>
      </c>
      <c r="F358" s="1">
        <v>2012</v>
      </c>
      <c r="G358" s="1">
        <v>2013</v>
      </c>
      <c r="H358" s="1">
        <v>2014</v>
      </c>
      <c r="I358" s="1">
        <v>2015</v>
      </c>
      <c r="J358" s="1">
        <v>2016</v>
      </c>
      <c r="K358" s="1">
        <v>2017</v>
      </c>
      <c r="L358" s="1">
        <v>2018</v>
      </c>
      <c r="M358" s="1">
        <v>2019</v>
      </c>
      <c r="N358" s="1">
        <v>2020</v>
      </c>
      <c r="O358" s="1">
        <v>2021</v>
      </c>
      <c r="P358" s="1">
        <v>2022</v>
      </c>
      <c r="Q358" s="1">
        <v>2023</v>
      </c>
      <c r="R358" s="1">
        <v>2024</v>
      </c>
      <c r="S358" s="1">
        <v>2025</v>
      </c>
      <c r="T358" s="1">
        <v>2026</v>
      </c>
      <c r="U358" s="1">
        <v>2027</v>
      </c>
      <c r="V358" s="1">
        <v>2028</v>
      </c>
      <c r="W358" s="1">
        <v>2029</v>
      </c>
      <c r="X358" s="1">
        <v>2030</v>
      </c>
      <c r="Y358" s="1">
        <v>2031</v>
      </c>
      <c r="Z358" s="1">
        <v>2032</v>
      </c>
      <c r="AA358" s="1">
        <v>2033</v>
      </c>
      <c r="AB358" s="1">
        <v>2034</v>
      </c>
      <c r="AC358" s="1">
        <v>2035</v>
      </c>
    </row>
    <row r="359" spans="1:29" x14ac:dyDescent="0.25">
      <c r="A359" s="54" t="s">
        <v>6</v>
      </c>
      <c r="B359" s="86" t="s">
        <v>18</v>
      </c>
      <c r="C359" s="86"/>
      <c r="D359" s="84">
        <f t="shared" ref="D359:P359" si="392">+D239</f>
        <v>0</v>
      </c>
      <c r="E359" s="84" t="e">
        <f t="shared" si="392"/>
        <v>#VALUE!</v>
      </c>
      <c r="F359" s="84">
        <f t="shared" si="392"/>
        <v>0</v>
      </c>
      <c r="G359" s="84" t="e">
        <f t="shared" si="392"/>
        <v>#VALUE!</v>
      </c>
      <c r="H359" s="84">
        <f t="shared" si="392"/>
        <v>0</v>
      </c>
      <c r="I359" s="84" t="e">
        <f t="shared" si="392"/>
        <v>#VALUE!</v>
      </c>
      <c r="J359" s="84">
        <f t="shared" si="392"/>
        <v>0</v>
      </c>
      <c r="K359" s="84" t="e">
        <f t="shared" si="392"/>
        <v>#VALUE!</v>
      </c>
      <c r="L359" s="84">
        <f t="shared" si="392"/>
        <v>0.43259573915164978</v>
      </c>
      <c r="M359" s="84">
        <f t="shared" si="392"/>
        <v>0.131036139243284</v>
      </c>
      <c r="N359" s="84">
        <f t="shared" si="392"/>
        <v>0.131036139243284</v>
      </c>
      <c r="O359" s="84">
        <f t="shared" si="392"/>
        <v>0</v>
      </c>
      <c r="P359" s="84">
        <f t="shared" si="392"/>
        <v>0</v>
      </c>
      <c r="Q359" s="84">
        <f t="shared" ref="Q359:S367" si="393">+P359-(0.049/100)</f>
        <v>-4.8999999999999998E-4</v>
      </c>
      <c r="R359" s="84">
        <f t="shared" si="393"/>
        <v>-9.7999999999999997E-4</v>
      </c>
      <c r="S359" s="84">
        <f t="shared" si="393"/>
        <v>-1.47E-3</v>
      </c>
      <c r="T359" s="84">
        <f t="shared" ref="T359:AC359" si="394">+S359+(0.711/100)</f>
        <v>5.64E-3</v>
      </c>
      <c r="U359" s="84">
        <f t="shared" si="394"/>
        <v>1.2750000000000001E-2</v>
      </c>
      <c r="V359" s="84">
        <f t="shared" si="394"/>
        <v>1.9860000000000003E-2</v>
      </c>
      <c r="W359" s="84">
        <f t="shared" si="394"/>
        <v>2.6970000000000001E-2</v>
      </c>
      <c r="X359" s="84">
        <f t="shared" si="394"/>
        <v>3.4079999999999999E-2</v>
      </c>
      <c r="Y359" s="84">
        <f t="shared" si="394"/>
        <v>4.1189999999999997E-2</v>
      </c>
      <c r="Z359" s="84">
        <f t="shared" si="394"/>
        <v>4.8299999999999996E-2</v>
      </c>
      <c r="AA359" s="84">
        <f t="shared" si="394"/>
        <v>5.5409999999999994E-2</v>
      </c>
      <c r="AB359" s="84">
        <f t="shared" si="394"/>
        <v>6.2519999999999992E-2</v>
      </c>
      <c r="AC359" s="84">
        <f t="shared" si="394"/>
        <v>6.9629999999999997E-2</v>
      </c>
    </row>
    <row r="360" spans="1:29" x14ac:dyDescent="0.25">
      <c r="A360" s="54" t="s">
        <v>6</v>
      </c>
      <c r="B360" s="86" t="s">
        <v>20</v>
      </c>
      <c r="C360" s="86"/>
      <c r="D360" s="84">
        <f t="shared" ref="D360:P360" si="395">+D240</f>
        <v>0</v>
      </c>
      <c r="E360" s="84" t="e">
        <f t="shared" si="395"/>
        <v>#VALUE!</v>
      </c>
      <c r="F360" s="84">
        <f t="shared" si="395"/>
        <v>0</v>
      </c>
      <c r="G360" s="84" t="e">
        <f t="shared" si="395"/>
        <v>#VALUE!</v>
      </c>
      <c r="H360" s="84">
        <f t="shared" si="395"/>
        <v>0</v>
      </c>
      <c r="I360" s="84" t="e">
        <f t="shared" si="395"/>
        <v>#VALUE!</v>
      </c>
      <c r="J360" s="84">
        <f t="shared" si="395"/>
        <v>0</v>
      </c>
      <c r="K360" s="84" t="e">
        <f t="shared" si="395"/>
        <v>#VALUE!</v>
      </c>
      <c r="L360" s="84">
        <f t="shared" si="395"/>
        <v>4.224377800008134</v>
      </c>
      <c r="M360" s="84">
        <f t="shared" si="395"/>
        <v>1.2795922555863497</v>
      </c>
      <c r="N360" s="84">
        <f t="shared" si="395"/>
        <v>1.2795922555863497</v>
      </c>
      <c r="O360" s="84">
        <f t="shared" si="395"/>
        <v>0</v>
      </c>
      <c r="P360" s="84">
        <f t="shared" si="395"/>
        <v>0</v>
      </c>
      <c r="Q360" s="84">
        <f t="shared" si="393"/>
        <v>-4.8999999999999998E-4</v>
      </c>
      <c r="R360" s="84">
        <f t="shared" si="393"/>
        <v>-9.7999999999999997E-4</v>
      </c>
      <c r="S360" s="84">
        <f t="shared" si="393"/>
        <v>-1.47E-3</v>
      </c>
      <c r="T360" s="84">
        <f t="shared" ref="T360:AC360" si="396">+S360+(0.711/100)</f>
        <v>5.64E-3</v>
      </c>
      <c r="U360" s="84">
        <f t="shared" si="396"/>
        <v>1.2750000000000001E-2</v>
      </c>
      <c r="V360" s="84">
        <f t="shared" si="396"/>
        <v>1.9860000000000003E-2</v>
      </c>
      <c r="W360" s="84">
        <f t="shared" si="396"/>
        <v>2.6970000000000001E-2</v>
      </c>
      <c r="X360" s="84">
        <f t="shared" si="396"/>
        <v>3.4079999999999999E-2</v>
      </c>
      <c r="Y360" s="84">
        <f t="shared" si="396"/>
        <v>4.1189999999999997E-2</v>
      </c>
      <c r="Z360" s="84">
        <f t="shared" si="396"/>
        <v>4.8299999999999996E-2</v>
      </c>
      <c r="AA360" s="84">
        <f t="shared" si="396"/>
        <v>5.5409999999999994E-2</v>
      </c>
      <c r="AB360" s="84">
        <f t="shared" si="396"/>
        <v>6.2519999999999992E-2</v>
      </c>
      <c r="AC360" s="84">
        <f t="shared" si="396"/>
        <v>6.9629999999999997E-2</v>
      </c>
    </row>
    <row r="361" spans="1:29" x14ac:dyDescent="0.25">
      <c r="A361" s="54" t="s">
        <v>6</v>
      </c>
      <c r="B361" s="86" t="s">
        <v>21</v>
      </c>
      <c r="C361" s="86"/>
      <c r="D361" s="84">
        <f t="shared" ref="D361:P361" si="397">+D241</f>
        <v>0</v>
      </c>
      <c r="E361" s="84" t="e">
        <f t="shared" si="397"/>
        <v>#VALUE!</v>
      </c>
      <c r="F361" s="84">
        <f t="shared" si="397"/>
        <v>0</v>
      </c>
      <c r="G361" s="84" t="e">
        <f t="shared" si="397"/>
        <v>#VALUE!</v>
      </c>
      <c r="H361" s="84">
        <f t="shared" si="397"/>
        <v>0</v>
      </c>
      <c r="I361" s="84" t="e">
        <f t="shared" si="397"/>
        <v>#VALUE!</v>
      </c>
      <c r="J361" s="84">
        <f t="shared" si="397"/>
        <v>0</v>
      </c>
      <c r="K361" s="84" t="e">
        <f t="shared" si="397"/>
        <v>#VALUE!</v>
      </c>
      <c r="L361" s="84">
        <f t="shared" si="397"/>
        <v>40.39391371126753</v>
      </c>
      <c r="M361" s="84">
        <f t="shared" si="397"/>
        <v>12.235586305197812</v>
      </c>
      <c r="N361" s="84">
        <f t="shared" si="397"/>
        <v>12.235586305197812</v>
      </c>
      <c r="O361" s="84">
        <f t="shared" si="397"/>
        <v>0</v>
      </c>
      <c r="P361" s="84">
        <f t="shared" si="397"/>
        <v>0</v>
      </c>
      <c r="Q361" s="84">
        <f t="shared" si="393"/>
        <v>-4.8999999999999998E-4</v>
      </c>
      <c r="R361" s="84">
        <f t="shared" si="393"/>
        <v>-9.7999999999999997E-4</v>
      </c>
      <c r="S361" s="84">
        <f t="shared" si="393"/>
        <v>-1.47E-3</v>
      </c>
      <c r="T361" s="84">
        <f t="shared" ref="T361:AC361" si="398">+S361+(0.711/100)</f>
        <v>5.64E-3</v>
      </c>
      <c r="U361" s="84">
        <f t="shared" si="398"/>
        <v>1.2750000000000001E-2</v>
      </c>
      <c r="V361" s="84">
        <f t="shared" si="398"/>
        <v>1.9860000000000003E-2</v>
      </c>
      <c r="W361" s="84">
        <f t="shared" si="398"/>
        <v>2.6970000000000001E-2</v>
      </c>
      <c r="X361" s="84">
        <f t="shared" si="398"/>
        <v>3.4079999999999999E-2</v>
      </c>
      <c r="Y361" s="84">
        <f t="shared" si="398"/>
        <v>4.1189999999999997E-2</v>
      </c>
      <c r="Z361" s="84">
        <f t="shared" si="398"/>
        <v>4.8299999999999996E-2</v>
      </c>
      <c r="AA361" s="84">
        <f t="shared" si="398"/>
        <v>5.5409999999999994E-2</v>
      </c>
      <c r="AB361" s="84">
        <f t="shared" si="398"/>
        <v>6.2519999999999992E-2</v>
      </c>
      <c r="AC361" s="84">
        <f t="shared" si="398"/>
        <v>6.9629999999999997E-2</v>
      </c>
    </row>
    <row r="362" spans="1:29" x14ac:dyDescent="0.25">
      <c r="A362" s="54" t="s">
        <v>6</v>
      </c>
      <c r="B362" s="86" t="s">
        <v>22</v>
      </c>
      <c r="C362" s="86"/>
      <c r="D362" s="84">
        <f t="shared" ref="D362:P362" si="399">+D242</f>
        <v>0</v>
      </c>
      <c r="E362" s="84" t="e">
        <f t="shared" si="399"/>
        <v>#VALUE!</v>
      </c>
      <c r="F362" s="84">
        <f t="shared" si="399"/>
        <v>0</v>
      </c>
      <c r="G362" s="84" t="e">
        <f t="shared" si="399"/>
        <v>#VALUE!</v>
      </c>
      <c r="H362" s="84">
        <f t="shared" si="399"/>
        <v>0</v>
      </c>
      <c r="I362" s="84" t="e">
        <f t="shared" si="399"/>
        <v>#VALUE!</v>
      </c>
      <c r="J362" s="84">
        <f t="shared" si="399"/>
        <v>0</v>
      </c>
      <c r="K362" s="84" t="e">
        <f t="shared" si="399"/>
        <v>#VALUE!</v>
      </c>
      <c r="L362" s="84">
        <f t="shared" si="399"/>
        <v>16.419865432633753</v>
      </c>
      <c r="M362" s="84">
        <f t="shared" si="399"/>
        <v>4.973686928599923</v>
      </c>
      <c r="N362" s="84">
        <f t="shared" si="399"/>
        <v>4.973686928599923</v>
      </c>
      <c r="O362" s="84">
        <f t="shared" si="399"/>
        <v>0</v>
      </c>
      <c r="P362" s="84">
        <f t="shared" si="399"/>
        <v>0</v>
      </c>
      <c r="Q362" s="84">
        <f t="shared" si="393"/>
        <v>-4.8999999999999998E-4</v>
      </c>
      <c r="R362" s="84">
        <f t="shared" si="393"/>
        <v>-9.7999999999999997E-4</v>
      </c>
      <c r="S362" s="84">
        <f t="shared" si="393"/>
        <v>-1.47E-3</v>
      </c>
      <c r="T362" s="84">
        <f t="shared" ref="T362:AC362" si="400">+S362+(0.711/100)</f>
        <v>5.64E-3</v>
      </c>
      <c r="U362" s="84">
        <f t="shared" si="400"/>
        <v>1.2750000000000001E-2</v>
      </c>
      <c r="V362" s="84">
        <f t="shared" si="400"/>
        <v>1.9860000000000003E-2</v>
      </c>
      <c r="W362" s="84">
        <f t="shared" si="400"/>
        <v>2.6970000000000001E-2</v>
      </c>
      <c r="X362" s="84">
        <f t="shared" si="400"/>
        <v>3.4079999999999999E-2</v>
      </c>
      <c r="Y362" s="84">
        <f t="shared" si="400"/>
        <v>4.1189999999999997E-2</v>
      </c>
      <c r="Z362" s="84">
        <f t="shared" si="400"/>
        <v>4.8299999999999996E-2</v>
      </c>
      <c r="AA362" s="84">
        <f t="shared" si="400"/>
        <v>5.5409999999999994E-2</v>
      </c>
      <c r="AB362" s="84">
        <f t="shared" si="400"/>
        <v>6.2519999999999992E-2</v>
      </c>
      <c r="AC362" s="84">
        <f t="shared" si="400"/>
        <v>6.9629999999999997E-2</v>
      </c>
    </row>
    <row r="363" spans="1:29" x14ac:dyDescent="0.25">
      <c r="A363" s="54" t="s">
        <v>6</v>
      </c>
      <c r="B363" s="86" t="s">
        <v>23</v>
      </c>
      <c r="C363" s="86"/>
      <c r="D363" s="84">
        <f t="shared" ref="D363:P363" si="401">+D243</f>
        <v>0</v>
      </c>
      <c r="E363" s="84" t="e">
        <f t="shared" si="401"/>
        <v>#VALUE!</v>
      </c>
      <c r="F363" s="84">
        <f t="shared" si="401"/>
        <v>0</v>
      </c>
      <c r="G363" s="84" t="e">
        <f t="shared" si="401"/>
        <v>#VALUE!</v>
      </c>
      <c r="H363" s="84">
        <f t="shared" si="401"/>
        <v>0</v>
      </c>
      <c r="I363" s="84" t="e">
        <f t="shared" si="401"/>
        <v>#VALUE!</v>
      </c>
      <c r="J363" s="84">
        <f t="shared" si="401"/>
        <v>0</v>
      </c>
      <c r="K363" s="84" t="e">
        <f t="shared" si="401"/>
        <v>#VALUE!</v>
      </c>
      <c r="L363" s="84">
        <f t="shared" si="401"/>
        <v>11.307936144501475</v>
      </c>
      <c r="M363" s="84">
        <f t="shared" si="401"/>
        <v>3.4252493981814767</v>
      </c>
      <c r="N363" s="84">
        <f t="shared" si="401"/>
        <v>3.4252493981814767</v>
      </c>
      <c r="O363" s="84">
        <f t="shared" si="401"/>
        <v>0</v>
      </c>
      <c r="P363" s="84">
        <f t="shared" si="401"/>
        <v>0</v>
      </c>
      <c r="Q363" s="84">
        <f t="shared" si="393"/>
        <v>-4.8999999999999998E-4</v>
      </c>
      <c r="R363" s="84">
        <f t="shared" si="393"/>
        <v>-9.7999999999999997E-4</v>
      </c>
      <c r="S363" s="84">
        <f t="shared" si="393"/>
        <v>-1.47E-3</v>
      </c>
      <c r="T363" s="84">
        <f t="shared" ref="T363:AC363" si="402">+S363+(0.711/100)</f>
        <v>5.64E-3</v>
      </c>
      <c r="U363" s="84">
        <f t="shared" si="402"/>
        <v>1.2750000000000001E-2</v>
      </c>
      <c r="V363" s="84">
        <f t="shared" si="402"/>
        <v>1.9860000000000003E-2</v>
      </c>
      <c r="W363" s="84">
        <f t="shared" si="402"/>
        <v>2.6970000000000001E-2</v>
      </c>
      <c r="X363" s="84">
        <f t="shared" si="402"/>
        <v>3.4079999999999999E-2</v>
      </c>
      <c r="Y363" s="84">
        <f t="shared" si="402"/>
        <v>4.1189999999999997E-2</v>
      </c>
      <c r="Z363" s="84">
        <f t="shared" si="402"/>
        <v>4.8299999999999996E-2</v>
      </c>
      <c r="AA363" s="84">
        <f t="shared" si="402"/>
        <v>5.5409999999999994E-2</v>
      </c>
      <c r="AB363" s="84">
        <f t="shared" si="402"/>
        <v>6.2519999999999992E-2</v>
      </c>
      <c r="AC363" s="84">
        <f t="shared" si="402"/>
        <v>6.9629999999999997E-2</v>
      </c>
    </row>
    <row r="364" spans="1:29" x14ac:dyDescent="0.25">
      <c r="A364" s="54" t="s">
        <v>6</v>
      </c>
      <c r="B364" s="86" t="s">
        <v>24</v>
      </c>
      <c r="C364" s="86"/>
      <c r="D364" s="84">
        <f t="shared" ref="D364:P364" si="403">+D244</f>
        <v>0</v>
      </c>
      <c r="E364" s="84" t="e">
        <f t="shared" si="403"/>
        <v>#VALUE!</v>
      </c>
      <c r="F364" s="84">
        <f t="shared" si="403"/>
        <v>0</v>
      </c>
      <c r="G364" s="84" t="e">
        <f t="shared" si="403"/>
        <v>#VALUE!</v>
      </c>
      <c r="H364" s="84">
        <f t="shared" si="403"/>
        <v>0</v>
      </c>
      <c r="I364" s="84" t="e">
        <f t="shared" si="403"/>
        <v>#VALUE!</v>
      </c>
      <c r="J364" s="84">
        <f t="shared" si="403"/>
        <v>0</v>
      </c>
      <c r="K364" s="84" t="e">
        <f t="shared" si="403"/>
        <v>#VALUE!</v>
      </c>
      <c r="L364" s="84">
        <f t="shared" si="403"/>
        <v>82.745790549289026</v>
      </c>
      <c r="M364" s="84">
        <f t="shared" si="403"/>
        <v>25.064252721202283</v>
      </c>
      <c r="N364" s="84">
        <f t="shared" si="403"/>
        <v>25.064252721202283</v>
      </c>
      <c r="O364" s="84">
        <f t="shared" si="403"/>
        <v>0</v>
      </c>
      <c r="P364" s="84">
        <f t="shared" si="403"/>
        <v>0</v>
      </c>
      <c r="Q364" s="84">
        <f t="shared" si="393"/>
        <v>-4.8999999999999998E-4</v>
      </c>
      <c r="R364" s="84">
        <f t="shared" si="393"/>
        <v>-9.7999999999999997E-4</v>
      </c>
      <c r="S364" s="84">
        <f t="shared" si="393"/>
        <v>-1.47E-3</v>
      </c>
      <c r="T364" s="84">
        <f t="shared" ref="T364:AC364" si="404">+S364+(0.711/100)</f>
        <v>5.64E-3</v>
      </c>
      <c r="U364" s="84">
        <f t="shared" si="404"/>
        <v>1.2750000000000001E-2</v>
      </c>
      <c r="V364" s="84">
        <f t="shared" si="404"/>
        <v>1.9860000000000003E-2</v>
      </c>
      <c r="W364" s="84">
        <f t="shared" si="404"/>
        <v>2.6970000000000001E-2</v>
      </c>
      <c r="X364" s="84">
        <f t="shared" si="404"/>
        <v>3.4079999999999999E-2</v>
      </c>
      <c r="Y364" s="84">
        <f t="shared" si="404"/>
        <v>4.1189999999999997E-2</v>
      </c>
      <c r="Z364" s="84">
        <f t="shared" si="404"/>
        <v>4.8299999999999996E-2</v>
      </c>
      <c r="AA364" s="84">
        <f t="shared" si="404"/>
        <v>5.5409999999999994E-2</v>
      </c>
      <c r="AB364" s="84">
        <f t="shared" si="404"/>
        <v>6.2519999999999992E-2</v>
      </c>
      <c r="AC364" s="84">
        <f t="shared" si="404"/>
        <v>6.9629999999999997E-2</v>
      </c>
    </row>
    <row r="365" spans="1:29" x14ac:dyDescent="0.25">
      <c r="A365" s="54" t="s">
        <v>6</v>
      </c>
      <c r="B365" s="86" t="s">
        <v>25</v>
      </c>
      <c r="C365" s="86"/>
      <c r="D365" s="84">
        <f t="shared" ref="D365:P365" si="405">+D245</f>
        <v>0</v>
      </c>
      <c r="E365" s="84" t="e">
        <f t="shared" si="405"/>
        <v>#VALUE!</v>
      </c>
      <c r="F365" s="84">
        <f t="shared" si="405"/>
        <v>0</v>
      </c>
      <c r="G365" s="84" t="e">
        <f t="shared" si="405"/>
        <v>#VALUE!</v>
      </c>
      <c r="H365" s="84">
        <f t="shared" si="405"/>
        <v>0</v>
      </c>
      <c r="I365" s="84" t="e">
        <f t="shared" si="405"/>
        <v>#VALUE!</v>
      </c>
      <c r="J365" s="84">
        <f t="shared" si="405"/>
        <v>0</v>
      </c>
      <c r="K365" s="84" t="e">
        <f t="shared" si="405"/>
        <v>#VALUE!</v>
      </c>
      <c r="L365" s="84">
        <f t="shared" si="405"/>
        <v>9.1675865101659628</v>
      </c>
      <c r="M365" s="84">
        <f t="shared" si="405"/>
        <v>2.7769231958381342</v>
      </c>
      <c r="N365" s="84">
        <f t="shared" si="405"/>
        <v>2.7769231958381342</v>
      </c>
      <c r="O365" s="84">
        <f t="shared" si="405"/>
        <v>0</v>
      </c>
      <c r="P365" s="84">
        <f t="shared" si="405"/>
        <v>0</v>
      </c>
      <c r="Q365" s="84">
        <f t="shared" si="393"/>
        <v>-4.8999999999999998E-4</v>
      </c>
      <c r="R365" s="84">
        <f t="shared" si="393"/>
        <v>-9.7999999999999997E-4</v>
      </c>
      <c r="S365" s="84">
        <f t="shared" si="393"/>
        <v>-1.47E-3</v>
      </c>
      <c r="T365" s="84">
        <f t="shared" ref="T365:AC365" si="406">+S365+(0.711/100)</f>
        <v>5.64E-3</v>
      </c>
      <c r="U365" s="84">
        <f t="shared" si="406"/>
        <v>1.2750000000000001E-2</v>
      </c>
      <c r="V365" s="84">
        <f t="shared" si="406"/>
        <v>1.9860000000000003E-2</v>
      </c>
      <c r="W365" s="84">
        <f t="shared" si="406"/>
        <v>2.6970000000000001E-2</v>
      </c>
      <c r="X365" s="84">
        <f t="shared" si="406"/>
        <v>3.4079999999999999E-2</v>
      </c>
      <c r="Y365" s="84">
        <f t="shared" si="406"/>
        <v>4.1189999999999997E-2</v>
      </c>
      <c r="Z365" s="84">
        <f t="shared" si="406"/>
        <v>4.8299999999999996E-2</v>
      </c>
      <c r="AA365" s="84">
        <f t="shared" si="406"/>
        <v>5.5409999999999994E-2</v>
      </c>
      <c r="AB365" s="84">
        <f t="shared" si="406"/>
        <v>6.2519999999999992E-2</v>
      </c>
      <c r="AC365" s="84">
        <f t="shared" si="406"/>
        <v>6.9629999999999997E-2</v>
      </c>
    </row>
    <row r="366" spans="1:29" x14ac:dyDescent="0.25">
      <c r="A366" s="54" t="s">
        <v>6</v>
      </c>
      <c r="B366" s="86" t="s">
        <v>26</v>
      </c>
      <c r="C366" s="86"/>
      <c r="D366" s="84">
        <f t="shared" ref="D366:P366" si="407">+D246</f>
        <v>0</v>
      </c>
      <c r="E366" s="84" t="e">
        <f t="shared" si="407"/>
        <v>#VALUE!</v>
      </c>
      <c r="F366" s="84">
        <f t="shared" si="407"/>
        <v>0</v>
      </c>
      <c r="G366" s="84" t="e">
        <f t="shared" si="407"/>
        <v>#VALUE!</v>
      </c>
      <c r="H366" s="84">
        <f t="shared" si="407"/>
        <v>0</v>
      </c>
      <c r="I366" s="84" t="e">
        <f t="shared" si="407"/>
        <v>#VALUE!</v>
      </c>
      <c r="J366" s="84">
        <f t="shared" si="407"/>
        <v>0</v>
      </c>
      <c r="K366" s="84" t="e">
        <f t="shared" si="407"/>
        <v>#VALUE!</v>
      </c>
      <c r="L366" s="84">
        <f t="shared" si="407"/>
        <v>2.2767896253245357</v>
      </c>
      <c r="M366" s="84">
        <f t="shared" si="407"/>
        <v>0.68965478706923711</v>
      </c>
      <c r="N366" s="84">
        <f t="shared" si="407"/>
        <v>0.68965478706923711</v>
      </c>
      <c r="O366" s="84">
        <f t="shared" si="407"/>
        <v>0</v>
      </c>
      <c r="P366" s="84">
        <f t="shared" si="407"/>
        <v>0</v>
      </c>
      <c r="Q366" s="84">
        <f t="shared" si="393"/>
        <v>-4.8999999999999998E-4</v>
      </c>
      <c r="R366" s="84">
        <f t="shared" si="393"/>
        <v>-9.7999999999999997E-4</v>
      </c>
      <c r="S366" s="84">
        <f t="shared" si="393"/>
        <v>-1.47E-3</v>
      </c>
      <c r="T366" s="84">
        <f t="shared" ref="T366:AC366" si="408">+S366+(0.711/100)</f>
        <v>5.64E-3</v>
      </c>
      <c r="U366" s="84">
        <f t="shared" si="408"/>
        <v>1.2750000000000001E-2</v>
      </c>
      <c r="V366" s="84">
        <f t="shared" si="408"/>
        <v>1.9860000000000003E-2</v>
      </c>
      <c r="W366" s="84">
        <f t="shared" si="408"/>
        <v>2.6970000000000001E-2</v>
      </c>
      <c r="X366" s="84">
        <f t="shared" si="408"/>
        <v>3.4079999999999999E-2</v>
      </c>
      <c r="Y366" s="84">
        <f t="shared" si="408"/>
        <v>4.1189999999999997E-2</v>
      </c>
      <c r="Z366" s="84">
        <f t="shared" si="408"/>
        <v>4.8299999999999996E-2</v>
      </c>
      <c r="AA366" s="84">
        <f t="shared" si="408"/>
        <v>5.5409999999999994E-2</v>
      </c>
      <c r="AB366" s="84">
        <f t="shared" si="408"/>
        <v>6.2519999999999992E-2</v>
      </c>
      <c r="AC366" s="84">
        <f t="shared" si="408"/>
        <v>6.9629999999999997E-2</v>
      </c>
    </row>
    <row r="367" spans="1:29" x14ac:dyDescent="0.25">
      <c r="A367" s="54" t="s">
        <v>6</v>
      </c>
      <c r="B367" s="86" t="s">
        <v>27</v>
      </c>
      <c r="C367" s="86"/>
      <c r="D367" s="84">
        <f t="shared" ref="D367:P367" si="409">+D247</f>
        <v>0</v>
      </c>
      <c r="E367" s="84" t="e">
        <f t="shared" si="409"/>
        <v>#VALUE!</v>
      </c>
      <c r="F367" s="84">
        <f t="shared" si="409"/>
        <v>0</v>
      </c>
      <c r="G367" s="84" t="e">
        <f t="shared" si="409"/>
        <v>#VALUE!</v>
      </c>
      <c r="H367" s="84">
        <f t="shared" si="409"/>
        <v>0</v>
      </c>
      <c r="I367" s="84" t="e">
        <f t="shared" si="409"/>
        <v>#VALUE!</v>
      </c>
      <c r="J367" s="84">
        <f t="shared" si="409"/>
        <v>0</v>
      </c>
      <c r="K367" s="84" t="e">
        <f t="shared" si="409"/>
        <v>#VALUE!</v>
      </c>
      <c r="L367" s="84">
        <f t="shared" si="409"/>
        <v>9.521144487657935</v>
      </c>
      <c r="M367" s="84">
        <f t="shared" si="409"/>
        <v>2.8840182690814955</v>
      </c>
      <c r="N367" s="84">
        <f t="shared" si="409"/>
        <v>2.8840182690814955</v>
      </c>
      <c r="O367" s="84">
        <f t="shared" si="409"/>
        <v>0</v>
      </c>
      <c r="P367" s="84">
        <f t="shared" si="409"/>
        <v>0</v>
      </c>
      <c r="Q367" s="84">
        <f t="shared" si="393"/>
        <v>-4.8999999999999998E-4</v>
      </c>
      <c r="R367" s="84">
        <f t="shared" si="393"/>
        <v>-9.7999999999999997E-4</v>
      </c>
      <c r="S367" s="84">
        <f t="shared" si="393"/>
        <v>-1.47E-3</v>
      </c>
      <c r="T367" s="84">
        <f t="shared" ref="T367:AC367" si="410">+S367+(0.711/100)</f>
        <v>5.64E-3</v>
      </c>
      <c r="U367" s="84">
        <f t="shared" si="410"/>
        <v>1.2750000000000001E-2</v>
      </c>
      <c r="V367" s="84">
        <f t="shared" si="410"/>
        <v>1.9860000000000003E-2</v>
      </c>
      <c r="W367" s="84">
        <f t="shared" si="410"/>
        <v>2.6970000000000001E-2</v>
      </c>
      <c r="X367" s="84">
        <f t="shared" si="410"/>
        <v>3.4079999999999999E-2</v>
      </c>
      <c r="Y367" s="84">
        <f t="shared" si="410"/>
        <v>4.1189999999999997E-2</v>
      </c>
      <c r="Z367" s="84">
        <f t="shared" si="410"/>
        <v>4.8299999999999996E-2</v>
      </c>
      <c r="AA367" s="84">
        <f t="shared" si="410"/>
        <v>5.5409999999999994E-2</v>
      </c>
      <c r="AB367" s="84">
        <f t="shared" si="410"/>
        <v>6.2519999999999992E-2</v>
      </c>
      <c r="AC367" s="84">
        <f t="shared" si="410"/>
        <v>6.9629999999999997E-2</v>
      </c>
    </row>
    <row r="369" spans="1:29" x14ac:dyDescent="0.25">
      <c r="A369" s="1" t="s">
        <v>105</v>
      </c>
      <c r="B369" s="65" t="s">
        <v>106</v>
      </c>
      <c r="C369" s="65"/>
      <c r="D369" s="1">
        <v>2010</v>
      </c>
      <c r="E369" s="1">
        <v>2011</v>
      </c>
      <c r="F369" s="1">
        <v>2012</v>
      </c>
      <c r="G369" s="1">
        <v>2013</v>
      </c>
      <c r="H369" s="1">
        <v>2014</v>
      </c>
      <c r="I369" s="1">
        <v>2015</v>
      </c>
      <c r="J369" s="1">
        <v>2016</v>
      </c>
      <c r="K369" s="1">
        <v>2017</v>
      </c>
      <c r="L369" s="1">
        <v>2018</v>
      </c>
      <c r="M369" s="1">
        <v>2019</v>
      </c>
      <c r="N369" s="1">
        <v>2020</v>
      </c>
      <c r="O369" s="1">
        <v>2021</v>
      </c>
      <c r="P369" s="1">
        <v>2022</v>
      </c>
      <c r="Q369" s="1">
        <v>2023</v>
      </c>
      <c r="R369" s="1">
        <v>2024</v>
      </c>
      <c r="S369" s="1">
        <v>2025</v>
      </c>
      <c r="T369" s="1">
        <v>2026</v>
      </c>
      <c r="U369" s="1">
        <v>2027</v>
      </c>
      <c r="V369" s="1">
        <v>2028</v>
      </c>
      <c r="W369" s="1">
        <v>2029</v>
      </c>
      <c r="X369" s="1">
        <v>2030</v>
      </c>
      <c r="Y369" s="1">
        <v>2031</v>
      </c>
      <c r="Z369" s="1">
        <v>2032</v>
      </c>
      <c r="AA369" s="1">
        <v>2033</v>
      </c>
      <c r="AB369" s="1">
        <v>2034</v>
      </c>
      <c r="AC369" s="1">
        <v>2035</v>
      </c>
    </row>
    <row r="370" spans="1:29" x14ac:dyDescent="0.25">
      <c r="A370" s="54" t="s">
        <v>113</v>
      </c>
      <c r="B370" s="86" t="s">
        <v>18</v>
      </c>
      <c r="C370" s="86"/>
      <c r="D370" s="84">
        <f t="shared" ref="D370:P370" si="411">+D250</f>
        <v>1.9608849868055968E-2</v>
      </c>
      <c r="E370" s="84">
        <f t="shared" si="411"/>
        <v>1.9608849868055968E-2</v>
      </c>
      <c r="F370" s="84">
        <f t="shared" si="411"/>
        <v>1.9608849868055968E-2</v>
      </c>
      <c r="G370" s="84">
        <f t="shared" si="411"/>
        <v>1.9608849868055968E-2</v>
      </c>
      <c r="H370" s="84">
        <f t="shared" si="411"/>
        <v>1.9608849868055968E-2</v>
      </c>
      <c r="I370" s="84">
        <f t="shared" si="411"/>
        <v>3.8212746180374069E-2</v>
      </c>
      <c r="J370" s="84">
        <f t="shared" si="411"/>
        <v>5.6816642492692165E-2</v>
      </c>
      <c r="K370" s="84">
        <f t="shared" si="411"/>
        <v>0.25447384916269633</v>
      </c>
      <c r="L370" s="84">
        <f t="shared" si="411"/>
        <v>0.45213105583270052</v>
      </c>
      <c r="M370" s="84">
        <f t="shared" si="411"/>
        <v>1.808916400328163E-2</v>
      </c>
      <c r="N370" s="84">
        <f t="shared" si="411"/>
        <v>1.808916400328163E-2</v>
      </c>
      <c r="O370" s="84">
        <f t="shared" si="411"/>
        <v>9.3644513651134784E-2</v>
      </c>
      <c r="P370" s="84">
        <f t="shared" si="411"/>
        <v>9.3644513651134784E-2</v>
      </c>
      <c r="Q370" s="84">
        <f t="shared" ref="Q370:S378" si="412">+P370-(0.049/100)</f>
        <v>9.3154513651134779E-2</v>
      </c>
      <c r="R370" s="84">
        <f t="shared" si="412"/>
        <v>9.2664513651134775E-2</v>
      </c>
      <c r="S370" s="84">
        <f t="shared" si="412"/>
        <v>9.2174513651134771E-2</v>
      </c>
      <c r="T370" s="84">
        <f t="shared" ref="T370:AC370" si="413">+S370+(0.711/100)</f>
        <v>9.9284513651134776E-2</v>
      </c>
      <c r="U370" s="84">
        <f t="shared" si="413"/>
        <v>0.10639451365113478</v>
      </c>
      <c r="V370" s="84">
        <f t="shared" si="413"/>
        <v>0.11350451365113479</v>
      </c>
      <c r="W370" s="84">
        <f t="shared" si="413"/>
        <v>0.12061451365113479</v>
      </c>
      <c r="X370" s="84">
        <f t="shared" si="413"/>
        <v>0.1277245136511348</v>
      </c>
      <c r="Y370" s="84">
        <f t="shared" si="413"/>
        <v>0.1348345136511348</v>
      </c>
      <c r="Z370" s="84">
        <f t="shared" si="413"/>
        <v>0.14194451365113481</v>
      </c>
      <c r="AA370" s="84">
        <f t="shared" si="413"/>
        <v>0.14905451365113481</v>
      </c>
      <c r="AB370" s="84">
        <f t="shared" si="413"/>
        <v>0.15616451365113482</v>
      </c>
      <c r="AC370" s="84">
        <f t="shared" si="413"/>
        <v>0.16327451365113482</v>
      </c>
    </row>
    <row r="371" spans="1:29" x14ac:dyDescent="0.25">
      <c r="A371" s="54" t="s">
        <v>113</v>
      </c>
      <c r="B371" s="86" t="s">
        <v>20</v>
      </c>
      <c r="C371" s="86"/>
      <c r="D371" s="84">
        <f t="shared" ref="D371:P371" si="414">+D251</f>
        <v>0.19148406368669654</v>
      </c>
      <c r="E371" s="84">
        <f t="shared" si="414"/>
        <v>0.19148406368669654</v>
      </c>
      <c r="F371" s="84">
        <f t="shared" si="414"/>
        <v>0.19148406368669654</v>
      </c>
      <c r="G371" s="84">
        <f t="shared" si="414"/>
        <v>0.19148406368669654</v>
      </c>
      <c r="H371" s="84">
        <f t="shared" si="414"/>
        <v>0.19148406368669654</v>
      </c>
      <c r="I371" s="84">
        <f t="shared" si="414"/>
        <v>0.37315456910944989</v>
      </c>
      <c r="J371" s="84">
        <f t="shared" si="414"/>
        <v>0.5548250745322032</v>
      </c>
      <c r="K371" s="84">
        <f t="shared" si="414"/>
        <v>2.4849844364941047</v>
      </c>
      <c r="L371" s="84">
        <f t="shared" si="414"/>
        <v>4.4151437984560058</v>
      </c>
      <c r="M371" s="84">
        <f t="shared" si="414"/>
        <v>0.17664404875097756</v>
      </c>
      <c r="N371" s="84">
        <f t="shared" si="414"/>
        <v>0.17664404875097756</v>
      </c>
      <c r="O371" s="84">
        <f t="shared" si="414"/>
        <v>0.91445608164378012</v>
      </c>
      <c r="P371" s="84">
        <f t="shared" si="414"/>
        <v>0.91445608164378012</v>
      </c>
      <c r="Q371" s="84">
        <f t="shared" si="412"/>
        <v>0.91396608164378013</v>
      </c>
      <c r="R371" s="84">
        <f t="shared" si="412"/>
        <v>0.91347608164378014</v>
      </c>
      <c r="S371" s="84">
        <f t="shared" si="412"/>
        <v>0.91298608164378015</v>
      </c>
      <c r="T371" s="84">
        <f t="shared" ref="T371:AC371" si="415">+S371+(0.711/100)</f>
        <v>0.92009608164378009</v>
      </c>
      <c r="U371" s="84">
        <f t="shared" si="415"/>
        <v>0.92720608164378004</v>
      </c>
      <c r="V371" s="84">
        <f t="shared" si="415"/>
        <v>0.93431608164377999</v>
      </c>
      <c r="W371" s="84">
        <f t="shared" si="415"/>
        <v>0.94142608164377994</v>
      </c>
      <c r="X371" s="84">
        <f t="shared" si="415"/>
        <v>0.94853608164377989</v>
      </c>
      <c r="Y371" s="84">
        <f t="shared" si="415"/>
        <v>0.95564608164377984</v>
      </c>
      <c r="Z371" s="84">
        <f t="shared" si="415"/>
        <v>0.96275608164377979</v>
      </c>
      <c r="AA371" s="84">
        <f t="shared" si="415"/>
        <v>0.96986608164377974</v>
      </c>
      <c r="AB371" s="84">
        <f t="shared" si="415"/>
        <v>0.97697608164377969</v>
      </c>
      <c r="AC371" s="84">
        <f t="shared" si="415"/>
        <v>0.98408608164377964</v>
      </c>
    </row>
    <row r="372" spans="1:29" x14ac:dyDescent="0.25">
      <c r="A372" s="54" t="s">
        <v>113</v>
      </c>
      <c r="B372" s="86" t="s">
        <v>21</v>
      </c>
      <c r="C372" s="86"/>
      <c r="D372" s="84">
        <f t="shared" ref="D372:P372" si="416">+D252</f>
        <v>1.8309893460827253</v>
      </c>
      <c r="E372" s="84">
        <f t="shared" si="416"/>
        <v>1.8309893460827253</v>
      </c>
      <c r="F372" s="84">
        <f t="shared" si="416"/>
        <v>1.8309893460827253</v>
      </c>
      <c r="G372" s="84">
        <f t="shared" si="416"/>
        <v>1.8309893460827253</v>
      </c>
      <c r="H372" s="84">
        <f t="shared" si="416"/>
        <v>1.8309893460827253</v>
      </c>
      <c r="I372" s="84">
        <f t="shared" si="416"/>
        <v>3.5681404881787109</v>
      </c>
      <c r="J372" s="84">
        <f t="shared" si="416"/>
        <v>5.3052916302746969</v>
      </c>
      <c r="K372" s="84">
        <f t="shared" si="416"/>
        <v>23.761664238788569</v>
      </c>
      <c r="L372" s="84">
        <f t="shared" si="416"/>
        <v>42.218036847302443</v>
      </c>
      <c r="M372" s="84">
        <f t="shared" si="416"/>
        <v>1.6890876717613141</v>
      </c>
      <c r="N372" s="84">
        <f t="shared" si="416"/>
        <v>1.6890876717613141</v>
      </c>
      <c r="O372" s="84">
        <f t="shared" si="416"/>
        <v>8.7441184958863154</v>
      </c>
      <c r="P372" s="84">
        <f t="shared" si="416"/>
        <v>8.7441184958863154</v>
      </c>
      <c r="Q372" s="84">
        <f t="shared" si="412"/>
        <v>8.7436284958863162</v>
      </c>
      <c r="R372" s="84">
        <f t="shared" si="412"/>
        <v>8.743138495886317</v>
      </c>
      <c r="S372" s="84">
        <f t="shared" si="412"/>
        <v>8.7426484958863178</v>
      </c>
      <c r="T372" s="84">
        <f t="shared" ref="T372:AC372" si="417">+S372+(0.711/100)</f>
        <v>8.7497584958863186</v>
      </c>
      <c r="U372" s="84">
        <f t="shared" si="417"/>
        <v>8.7568684958863194</v>
      </c>
      <c r="V372" s="84">
        <f t="shared" si="417"/>
        <v>8.7639784958863203</v>
      </c>
      <c r="W372" s="84">
        <f t="shared" si="417"/>
        <v>8.7710884958863211</v>
      </c>
      <c r="X372" s="84">
        <f t="shared" si="417"/>
        <v>8.778198495886322</v>
      </c>
      <c r="Y372" s="84">
        <f t="shared" si="417"/>
        <v>8.7853084958863228</v>
      </c>
      <c r="Z372" s="84">
        <f t="shared" si="417"/>
        <v>8.7924184958863236</v>
      </c>
      <c r="AA372" s="84">
        <f t="shared" si="417"/>
        <v>8.7995284958863245</v>
      </c>
      <c r="AB372" s="84">
        <f t="shared" si="417"/>
        <v>8.8066384958863253</v>
      </c>
      <c r="AC372" s="84">
        <f t="shared" si="417"/>
        <v>8.8137484958863261</v>
      </c>
    </row>
    <row r="373" spans="1:29" x14ac:dyDescent="0.25">
      <c r="A373" s="54" t="s">
        <v>113</v>
      </c>
      <c r="B373" s="86" t="s">
        <v>22</v>
      </c>
      <c r="C373" s="86"/>
      <c r="D373" s="84">
        <f t="shared" ref="D373:P373" si="418">+D253</f>
        <v>0.74428536155629221</v>
      </c>
      <c r="E373" s="84">
        <f t="shared" si="418"/>
        <v>0.74428536155629221</v>
      </c>
      <c r="F373" s="84">
        <f t="shared" si="418"/>
        <v>0.74428536155629221</v>
      </c>
      <c r="G373" s="84">
        <f t="shared" si="418"/>
        <v>0.74428536155629221</v>
      </c>
      <c r="H373" s="84">
        <f t="shared" si="418"/>
        <v>0.74428536155629221</v>
      </c>
      <c r="I373" s="84">
        <f t="shared" si="418"/>
        <v>1.4504260983328245</v>
      </c>
      <c r="J373" s="84">
        <f t="shared" si="418"/>
        <v>2.1565668351093565</v>
      </c>
      <c r="K373" s="84">
        <f t="shared" si="418"/>
        <v>9.658963279596783</v>
      </c>
      <c r="L373" s="84">
        <f t="shared" si="418"/>
        <v>17.161359724084207</v>
      </c>
      <c r="M373" s="84">
        <f t="shared" si="418"/>
        <v>0.68660324603567957</v>
      </c>
      <c r="N373" s="84">
        <f t="shared" si="418"/>
        <v>0.68660324603567957</v>
      </c>
      <c r="O373" s="84">
        <f t="shared" si="418"/>
        <v>3.5544277797822676</v>
      </c>
      <c r="P373" s="84">
        <f t="shared" si="418"/>
        <v>3.5544277797822676</v>
      </c>
      <c r="Q373" s="84">
        <f t="shared" si="412"/>
        <v>3.5539377797822675</v>
      </c>
      <c r="R373" s="84">
        <f t="shared" si="412"/>
        <v>3.5534477797822674</v>
      </c>
      <c r="S373" s="84">
        <f t="shared" si="412"/>
        <v>3.5529577797822673</v>
      </c>
      <c r="T373" s="84">
        <f t="shared" ref="T373:AC373" si="419">+S373+(0.711/100)</f>
        <v>3.5600677797822673</v>
      </c>
      <c r="U373" s="84">
        <f t="shared" si="419"/>
        <v>3.5671777797822672</v>
      </c>
      <c r="V373" s="84">
        <f t="shared" si="419"/>
        <v>3.5742877797822672</v>
      </c>
      <c r="W373" s="84">
        <f t="shared" si="419"/>
        <v>3.5813977797822671</v>
      </c>
      <c r="X373" s="84">
        <f t="shared" si="419"/>
        <v>3.5885077797822671</v>
      </c>
      <c r="Y373" s="84">
        <f t="shared" si="419"/>
        <v>3.595617779782267</v>
      </c>
      <c r="Z373" s="84">
        <f t="shared" si="419"/>
        <v>3.602727779782267</v>
      </c>
      <c r="AA373" s="84">
        <f t="shared" si="419"/>
        <v>3.6098377797822669</v>
      </c>
      <c r="AB373" s="84">
        <f t="shared" si="419"/>
        <v>3.6169477797822669</v>
      </c>
      <c r="AC373" s="84">
        <f t="shared" si="419"/>
        <v>3.6240577797822668</v>
      </c>
    </row>
    <row r="374" spans="1:29" x14ac:dyDescent="0.25">
      <c r="A374" s="54" t="s">
        <v>113</v>
      </c>
      <c r="B374" s="86" t="s">
        <v>23</v>
      </c>
      <c r="C374" s="86"/>
      <c r="D374" s="84">
        <f t="shared" ref="D374:P374" si="420">+D254</f>
        <v>0.51257005584459059</v>
      </c>
      <c r="E374" s="84">
        <f t="shared" si="420"/>
        <v>0.51257005584459059</v>
      </c>
      <c r="F374" s="84">
        <f t="shared" si="420"/>
        <v>0.51257005584459059</v>
      </c>
      <c r="G374" s="84">
        <f t="shared" si="420"/>
        <v>0.51257005584459059</v>
      </c>
      <c r="H374" s="84">
        <f t="shared" si="420"/>
        <v>0.51257005584459059</v>
      </c>
      <c r="I374" s="84">
        <f t="shared" si="420"/>
        <v>0.99887089632714587</v>
      </c>
      <c r="J374" s="84">
        <f t="shared" si="420"/>
        <v>1.4851717368097013</v>
      </c>
      <c r="K374" s="84">
        <f t="shared" si="420"/>
        <v>6.6518778997231749</v>
      </c>
      <c r="L374" s="84">
        <f t="shared" si="420"/>
        <v>11.818584062636647</v>
      </c>
      <c r="M374" s="84">
        <f t="shared" si="420"/>
        <v>0.47284587651663479</v>
      </c>
      <c r="N374" s="84">
        <f t="shared" si="420"/>
        <v>0.47284587651663479</v>
      </c>
      <c r="O374" s="84">
        <f t="shared" si="420"/>
        <v>2.4478423729428229</v>
      </c>
      <c r="P374" s="84">
        <f t="shared" si="420"/>
        <v>2.4478423729428229</v>
      </c>
      <c r="Q374" s="84">
        <f t="shared" si="412"/>
        <v>2.4473523729428228</v>
      </c>
      <c r="R374" s="84">
        <f t="shared" si="412"/>
        <v>2.4468623729428227</v>
      </c>
      <c r="S374" s="84">
        <f t="shared" si="412"/>
        <v>2.4463723729428226</v>
      </c>
      <c r="T374" s="84">
        <f t="shared" ref="T374:AC374" si="421">+S374+(0.711/100)</f>
        <v>2.4534823729428226</v>
      </c>
      <c r="U374" s="84">
        <f t="shared" si="421"/>
        <v>2.4605923729428225</v>
      </c>
      <c r="V374" s="84">
        <f t="shared" si="421"/>
        <v>2.4677023729428225</v>
      </c>
      <c r="W374" s="84">
        <f t="shared" si="421"/>
        <v>2.4748123729428224</v>
      </c>
      <c r="X374" s="84">
        <f t="shared" si="421"/>
        <v>2.4819223729428224</v>
      </c>
      <c r="Y374" s="84">
        <f t="shared" si="421"/>
        <v>2.4890323729428223</v>
      </c>
      <c r="Z374" s="84">
        <f t="shared" si="421"/>
        <v>2.4961423729428223</v>
      </c>
      <c r="AA374" s="84">
        <f t="shared" si="421"/>
        <v>2.5032523729428222</v>
      </c>
      <c r="AB374" s="84">
        <f t="shared" si="421"/>
        <v>2.5103623729428222</v>
      </c>
      <c r="AC374" s="84">
        <f t="shared" si="421"/>
        <v>2.5174723729428221</v>
      </c>
    </row>
    <row r="375" spans="1:29" x14ac:dyDescent="0.25">
      <c r="A375" s="54" t="s">
        <v>113</v>
      </c>
      <c r="B375" s="86" t="s">
        <v>24</v>
      </c>
      <c r="C375" s="86"/>
      <c r="D375" s="84">
        <f t="shared" ref="D375:P375" si="422">+D255</f>
        <v>3.750729924609395</v>
      </c>
      <c r="E375" s="84">
        <f t="shared" si="422"/>
        <v>3.750729924609395</v>
      </c>
      <c r="F375" s="84">
        <f t="shared" si="422"/>
        <v>3.750729924609395</v>
      </c>
      <c r="G375" s="84">
        <f t="shared" si="422"/>
        <v>3.750729924609395</v>
      </c>
      <c r="H375" s="84">
        <f t="shared" si="422"/>
        <v>3.750729924609395</v>
      </c>
      <c r="I375" s="84">
        <f t="shared" si="422"/>
        <v>7.3092349405825585</v>
      </c>
      <c r="J375" s="84">
        <f t="shared" si="422"/>
        <v>10.867739956555722</v>
      </c>
      <c r="K375" s="84">
        <f t="shared" si="422"/>
        <v>48.675097596618428</v>
      </c>
      <c r="L375" s="84">
        <f t="shared" si="422"/>
        <v>86.482455236681133</v>
      </c>
      <c r="M375" s="84">
        <f t="shared" si="422"/>
        <v>3.4600483554521668</v>
      </c>
      <c r="N375" s="84">
        <f t="shared" si="422"/>
        <v>3.4600483554521668</v>
      </c>
      <c r="O375" s="84">
        <f t="shared" si="422"/>
        <v>17.912079596212742</v>
      </c>
      <c r="P375" s="84">
        <f t="shared" si="422"/>
        <v>17.912079596212742</v>
      </c>
      <c r="Q375" s="84">
        <f t="shared" si="412"/>
        <v>17.911589596212742</v>
      </c>
      <c r="R375" s="84">
        <f t="shared" si="412"/>
        <v>17.911099596212743</v>
      </c>
      <c r="S375" s="84">
        <f t="shared" si="412"/>
        <v>17.910609596212744</v>
      </c>
      <c r="T375" s="84">
        <f t="shared" ref="T375:AC375" si="423">+S375+(0.711/100)</f>
        <v>17.917719596212745</v>
      </c>
      <c r="U375" s="84">
        <f t="shared" si="423"/>
        <v>17.924829596212746</v>
      </c>
      <c r="V375" s="84">
        <f t="shared" si="423"/>
        <v>17.931939596212747</v>
      </c>
      <c r="W375" s="84">
        <f t="shared" si="423"/>
        <v>17.939049596212747</v>
      </c>
      <c r="X375" s="84">
        <f t="shared" si="423"/>
        <v>17.946159596212748</v>
      </c>
      <c r="Y375" s="84">
        <f t="shared" si="423"/>
        <v>17.953269596212749</v>
      </c>
      <c r="Z375" s="84">
        <f t="shared" si="423"/>
        <v>17.96037959621275</v>
      </c>
      <c r="AA375" s="84">
        <f t="shared" si="423"/>
        <v>17.967489596212751</v>
      </c>
      <c r="AB375" s="84">
        <f t="shared" si="423"/>
        <v>17.974599596212752</v>
      </c>
      <c r="AC375" s="84">
        <f t="shared" si="423"/>
        <v>17.981709596212752</v>
      </c>
    </row>
    <row r="376" spans="1:29" x14ac:dyDescent="0.25">
      <c r="A376" s="54" t="s">
        <v>113</v>
      </c>
      <c r="B376" s="86" t="s">
        <v>25</v>
      </c>
      <c r="C376" s="86"/>
      <c r="D376" s="84">
        <f t="shared" ref="D376:P376" si="424">+D256</f>
        <v>0.41555154445763326</v>
      </c>
      <c r="E376" s="84">
        <f t="shared" si="424"/>
        <v>0.41555154445763326</v>
      </c>
      <c r="F376" s="84">
        <f t="shared" si="424"/>
        <v>0.41555154445763326</v>
      </c>
      <c r="G376" s="84">
        <f t="shared" si="424"/>
        <v>0.41555154445763326</v>
      </c>
      <c r="H376" s="84">
        <f t="shared" si="424"/>
        <v>0.41555154445763326</v>
      </c>
      <c r="I376" s="84">
        <f t="shared" si="424"/>
        <v>0.80980607226181278</v>
      </c>
      <c r="J376" s="84">
        <f t="shared" si="424"/>
        <v>1.2040606000659924</v>
      </c>
      <c r="K376" s="84">
        <f t="shared" si="424"/>
        <v>5.3928201681989361</v>
      </c>
      <c r="L376" s="84">
        <f t="shared" si="424"/>
        <v>9.5815797363318786</v>
      </c>
      <c r="M376" s="84">
        <f t="shared" si="424"/>
        <v>0.38334629976216666</v>
      </c>
      <c r="N376" s="84">
        <f t="shared" si="424"/>
        <v>0.38334629976216666</v>
      </c>
      <c r="O376" s="84">
        <f t="shared" si="424"/>
        <v>1.9845183445004848</v>
      </c>
      <c r="P376" s="84">
        <f t="shared" si="424"/>
        <v>1.9845183445004848</v>
      </c>
      <c r="Q376" s="84">
        <f t="shared" si="412"/>
        <v>1.9840283445004847</v>
      </c>
      <c r="R376" s="84">
        <f t="shared" si="412"/>
        <v>1.9835383445004846</v>
      </c>
      <c r="S376" s="84">
        <f t="shared" si="412"/>
        <v>1.9830483445004845</v>
      </c>
      <c r="T376" s="84">
        <f t="shared" ref="T376:AC376" si="425">+S376+(0.711/100)</f>
        <v>1.9901583445004845</v>
      </c>
      <c r="U376" s="84">
        <f t="shared" si="425"/>
        <v>1.9972683445004844</v>
      </c>
      <c r="V376" s="84">
        <f t="shared" si="425"/>
        <v>2.0043783445004846</v>
      </c>
      <c r="W376" s="84">
        <f t="shared" si="425"/>
        <v>2.0114883445004845</v>
      </c>
      <c r="X376" s="84">
        <f t="shared" si="425"/>
        <v>2.0185983445004845</v>
      </c>
      <c r="Y376" s="84">
        <f t="shared" si="425"/>
        <v>2.0257083445004844</v>
      </c>
      <c r="Z376" s="84">
        <f t="shared" si="425"/>
        <v>2.0328183445004844</v>
      </c>
      <c r="AA376" s="84">
        <f t="shared" si="425"/>
        <v>2.0399283445004843</v>
      </c>
      <c r="AB376" s="84">
        <f t="shared" si="425"/>
        <v>2.0470383445004843</v>
      </c>
      <c r="AC376" s="84">
        <f t="shared" si="425"/>
        <v>2.0541483445004842</v>
      </c>
    </row>
    <row r="377" spans="1:29" x14ac:dyDescent="0.25">
      <c r="A377" s="54" t="s">
        <v>113</v>
      </c>
      <c r="B377" s="86" t="s">
        <v>26</v>
      </c>
      <c r="C377" s="86"/>
      <c r="D377" s="84">
        <f t="shared" ref="D377:P377" si="426">+D257</f>
        <v>0.10320311067253829</v>
      </c>
      <c r="E377" s="84">
        <f t="shared" si="426"/>
        <v>0.10320311067253829</v>
      </c>
      <c r="F377" s="84">
        <f t="shared" si="426"/>
        <v>0.10320311067253829</v>
      </c>
      <c r="G377" s="84">
        <f t="shared" si="426"/>
        <v>0.10320311067253829</v>
      </c>
      <c r="H377" s="84">
        <f t="shared" si="426"/>
        <v>0.10320311067253829</v>
      </c>
      <c r="I377" s="84">
        <f t="shared" si="426"/>
        <v>0.20111706192310899</v>
      </c>
      <c r="J377" s="84">
        <f t="shared" si="426"/>
        <v>0.29903101317367969</v>
      </c>
      <c r="K377" s="84">
        <f t="shared" si="426"/>
        <v>1.3393183687528658</v>
      </c>
      <c r="L377" s="84">
        <f t="shared" si="426"/>
        <v>2.3796057243320519</v>
      </c>
      <c r="M377" s="84">
        <f t="shared" si="426"/>
        <v>9.5204869595416575E-2</v>
      </c>
      <c r="N377" s="84">
        <f t="shared" si="426"/>
        <v>9.5204869595416575E-2</v>
      </c>
      <c r="O377" s="84">
        <f t="shared" si="426"/>
        <v>0.49285935540554066</v>
      </c>
      <c r="P377" s="84">
        <f t="shared" si="426"/>
        <v>0.49285935540554066</v>
      </c>
      <c r="Q377" s="84">
        <f t="shared" si="412"/>
        <v>0.49236935540554067</v>
      </c>
      <c r="R377" s="84">
        <f t="shared" si="412"/>
        <v>0.49187935540554067</v>
      </c>
      <c r="S377" s="84">
        <f t="shared" si="412"/>
        <v>0.49138935540554068</v>
      </c>
      <c r="T377" s="84">
        <f t="shared" ref="T377:AC377" si="427">+S377+(0.711/100)</f>
        <v>0.49849935540554069</v>
      </c>
      <c r="U377" s="84">
        <f t="shared" si="427"/>
        <v>0.50560935540554064</v>
      </c>
      <c r="V377" s="84">
        <f t="shared" si="427"/>
        <v>0.51271935540554059</v>
      </c>
      <c r="W377" s="84">
        <f t="shared" si="427"/>
        <v>0.51982935540554054</v>
      </c>
      <c r="X377" s="84">
        <f t="shared" si="427"/>
        <v>0.52693935540554049</v>
      </c>
      <c r="Y377" s="84">
        <f t="shared" si="427"/>
        <v>0.53404935540554044</v>
      </c>
      <c r="Z377" s="84">
        <f t="shared" si="427"/>
        <v>0.54115935540554039</v>
      </c>
      <c r="AA377" s="84">
        <f t="shared" si="427"/>
        <v>0.54826935540554034</v>
      </c>
      <c r="AB377" s="84">
        <f t="shared" si="427"/>
        <v>0.55537935540554029</v>
      </c>
      <c r="AC377" s="84">
        <f t="shared" si="427"/>
        <v>0.56248935540554024</v>
      </c>
    </row>
    <row r="378" spans="1:29" x14ac:dyDescent="0.25">
      <c r="A378" s="54" t="s">
        <v>113</v>
      </c>
      <c r="B378" s="86" t="s">
        <v>27</v>
      </c>
      <c r="C378" s="86"/>
      <c r="D378" s="84">
        <f t="shared" ref="D378:P378" si="428">+D258</f>
        <v>0.43157774322207193</v>
      </c>
      <c r="E378" s="84">
        <f t="shared" si="428"/>
        <v>0.43157774322207193</v>
      </c>
      <c r="F378" s="84">
        <f t="shared" si="428"/>
        <v>0.43157774322207193</v>
      </c>
      <c r="G378" s="84">
        <f t="shared" si="428"/>
        <v>0.43157774322207193</v>
      </c>
      <c r="H378" s="84">
        <f t="shared" si="428"/>
        <v>0.43157774322207193</v>
      </c>
      <c r="I378" s="84">
        <f t="shared" si="428"/>
        <v>0.84103712710401268</v>
      </c>
      <c r="J378" s="84">
        <f t="shared" si="428"/>
        <v>1.2504965109859534</v>
      </c>
      <c r="K378" s="84">
        <f t="shared" si="428"/>
        <v>5.6008001626644388</v>
      </c>
      <c r="L378" s="84">
        <f t="shared" si="428"/>
        <v>9.9511038143429236</v>
      </c>
      <c r="M378" s="84">
        <f t="shared" si="428"/>
        <v>0.39813046812236136</v>
      </c>
      <c r="N378" s="84">
        <f t="shared" si="428"/>
        <v>0.39813046812236136</v>
      </c>
      <c r="O378" s="84">
        <f t="shared" si="428"/>
        <v>2.0610534599749073</v>
      </c>
      <c r="P378" s="84">
        <f t="shared" si="428"/>
        <v>2.0610534599749073</v>
      </c>
      <c r="Q378" s="84">
        <f t="shared" si="412"/>
        <v>2.0605634599749072</v>
      </c>
      <c r="R378" s="84">
        <f t="shared" si="412"/>
        <v>2.0600734599749071</v>
      </c>
      <c r="S378" s="84">
        <f t="shared" si="412"/>
        <v>2.059583459974907</v>
      </c>
      <c r="T378" s="84">
        <f t="shared" ref="T378:AC378" si="429">+S378+(0.711/100)</f>
        <v>2.0666934599749069</v>
      </c>
      <c r="U378" s="84">
        <f t="shared" si="429"/>
        <v>2.0738034599749069</v>
      </c>
      <c r="V378" s="84">
        <f t="shared" si="429"/>
        <v>2.0809134599749068</v>
      </c>
      <c r="W378" s="84">
        <f t="shared" si="429"/>
        <v>2.0880234599749068</v>
      </c>
      <c r="X378" s="84">
        <f t="shared" si="429"/>
        <v>2.0951334599749067</v>
      </c>
      <c r="Y378" s="84">
        <f t="shared" si="429"/>
        <v>2.1022434599749067</v>
      </c>
      <c r="Z378" s="84">
        <f t="shared" si="429"/>
        <v>2.1093534599749066</v>
      </c>
      <c r="AA378" s="84">
        <f t="shared" si="429"/>
        <v>2.1164634599749066</v>
      </c>
      <c r="AB378" s="84">
        <f t="shared" si="429"/>
        <v>2.1235734599749065</v>
      </c>
      <c r="AC378" s="84">
        <f t="shared" si="429"/>
        <v>2.1306834599749065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ED80-2C64-46DF-AE24-23A1D0194EAA}">
  <sheetPr>
    <tabColor rgb="FF00B050"/>
  </sheetPr>
  <dimension ref="A1:AC378"/>
  <sheetViews>
    <sheetView zoomScale="115" zoomScaleNormal="115" workbookViewId="0">
      <selection activeCell="B30" sqref="B30"/>
    </sheetView>
  </sheetViews>
  <sheetFormatPr defaultColWidth="8.85546875" defaultRowHeight="15" x14ac:dyDescent="0.25"/>
  <cols>
    <col min="1" max="1" width="32.5703125" customWidth="1"/>
    <col min="2" max="3" width="42.42578125" style="64" customWidth="1"/>
    <col min="4" max="15" width="10.7109375" bestFit="1" customWidth="1"/>
    <col min="16" max="16" width="11.85546875" bestFit="1" customWidth="1"/>
    <col min="17" max="17" width="10.42578125" customWidth="1"/>
    <col min="18" max="18" width="12.140625" customWidth="1"/>
    <col min="19" max="19" width="10.7109375" customWidth="1"/>
    <col min="20" max="20" width="11.140625" customWidth="1"/>
    <col min="21" max="22" width="10.7109375" customWidth="1"/>
    <col min="23" max="24" width="10.42578125" customWidth="1"/>
    <col min="25" max="25" width="10.28515625" customWidth="1"/>
    <col min="26" max="26" width="10.42578125" customWidth="1"/>
    <col min="27" max="29" width="10.28515625" customWidth="1"/>
  </cols>
  <sheetData>
    <row r="1" spans="1:29" s="72" customFormat="1" x14ac:dyDescent="0.25">
      <c r="A1" s="154" t="s">
        <v>101</v>
      </c>
      <c r="B1" s="155" t="s">
        <v>86</v>
      </c>
      <c r="C1" s="155"/>
      <c r="D1" s="155">
        <v>2010</v>
      </c>
      <c r="E1" s="155">
        <v>2011</v>
      </c>
      <c r="F1" s="155">
        <v>2012</v>
      </c>
      <c r="G1" s="155">
        <v>2013</v>
      </c>
      <c r="H1" s="155">
        <v>2014</v>
      </c>
      <c r="I1" s="155">
        <v>2015</v>
      </c>
      <c r="J1" s="155">
        <v>2016</v>
      </c>
      <c r="K1" s="155">
        <v>2017</v>
      </c>
      <c r="L1" s="155">
        <v>2018</v>
      </c>
      <c r="M1" s="155">
        <v>2019</v>
      </c>
      <c r="N1" s="155">
        <v>2020</v>
      </c>
      <c r="O1" s="155">
        <v>2021</v>
      </c>
      <c r="P1" s="155">
        <v>2022</v>
      </c>
      <c r="Q1" s="155">
        <v>2023</v>
      </c>
      <c r="R1" s="155">
        <v>2024</v>
      </c>
      <c r="S1" s="155">
        <v>2025</v>
      </c>
      <c r="T1" s="155">
        <v>2026</v>
      </c>
      <c r="U1" s="155">
        <v>2027</v>
      </c>
      <c r="V1" s="155">
        <v>2028</v>
      </c>
      <c r="W1" s="155">
        <v>2029</v>
      </c>
      <c r="X1" s="155">
        <v>2030</v>
      </c>
      <c r="Y1" s="155">
        <v>2031</v>
      </c>
      <c r="Z1" s="155">
        <v>2032</v>
      </c>
      <c r="AA1" s="155">
        <v>2033</v>
      </c>
      <c r="AB1" s="155">
        <v>2034</v>
      </c>
      <c r="AC1" s="156">
        <v>2035</v>
      </c>
    </row>
    <row r="2" spans="1:29" s="70" customFormat="1" x14ac:dyDescent="0.25">
      <c r="A2" s="145" t="s">
        <v>102</v>
      </c>
      <c r="B2" s="71" t="s">
        <v>104</v>
      </c>
      <c r="C2" s="71"/>
      <c r="D2" s="75">
        <v>0</v>
      </c>
      <c r="E2" s="75">
        <v>0</v>
      </c>
      <c r="F2" s="75">
        <v>0</v>
      </c>
      <c r="G2" s="75">
        <v>0</v>
      </c>
      <c r="H2" s="75">
        <v>0</v>
      </c>
      <c r="I2" s="75">
        <v>0</v>
      </c>
      <c r="J2" s="75">
        <v>0</v>
      </c>
      <c r="K2" s="75">
        <v>0</v>
      </c>
      <c r="L2" s="75">
        <v>0</v>
      </c>
      <c r="M2" s="75">
        <v>0</v>
      </c>
      <c r="N2" s="75">
        <v>0</v>
      </c>
      <c r="O2" s="75">
        <v>0</v>
      </c>
      <c r="P2" s="75">
        <v>0</v>
      </c>
      <c r="Q2" s="75">
        <v>0</v>
      </c>
      <c r="R2" s="75">
        <v>0</v>
      </c>
      <c r="S2" s="75">
        <v>0</v>
      </c>
      <c r="T2" s="157">
        <f>+(Medidas!B22+Medidas!B32)/1000</f>
        <v>0.27500000000000002</v>
      </c>
      <c r="U2" s="157">
        <f>+(Medidas!C22+Medidas!C32)/1000</f>
        <v>0.27368000000000003</v>
      </c>
      <c r="V2" s="157">
        <f>+(Medidas!D22+Medidas!D32)/1000</f>
        <v>0.27236633599999999</v>
      </c>
      <c r="W2" s="157">
        <f>+(Medidas!E22+Medidas!E32)/1000</f>
        <v>0.27105897758719999</v>
      </c>
      <c r="X2" s="157">
        <f>+(Medidas!F22+Medidas!F32)/1000</f>
        <v>0.26975789449478144</v>
      </c>
      <c r="Y2" s="157">
        <f>+(Medidas!G22+Medidas!G32)/1000</f>
        <v>0.26846305660120651</v>
      </c>
      <c r="Z2" s="157">
        <f>+(Medidas!H22+Medidas!H32)/1000</f>
        <v>0.26717443392952073</v>
      </c>
      <c r="AA2" s="157">
        <f>+(Medidas!I22+Medidas!I32)/1000</f>
        <v>0.26589199664665897</v>
      </c>
      <c r="AB2" s="157">
        <f>+(Medidas!J22+Medidas!J32)/1000</f>
        <v>0.26461571506275505</v>
      </c>
      <c r="AC2" s="158">
        <f>+(Medidas!K22+Medidas!K32)/1000</f>
        <v>0.26334555963045381</v>
      </c>
    </row>
    <row r="3" spans="1:29" s="70" customFormat="1" ht="15.75" thickBot="1" x14ac:dyDescent="0.3">
      <c r="A3" s="147" t="s">
        <v>103</v>
      </c>
      <c r="B3" s="148" t="s">
        <v>92</v>
      </c>
      <c r="C3" s="148"/>
      <c r="D3" s="149">
        <v>0</v>
      </c>
      <c r="E3" s="149">
        <v>0</v>
      </c>
      <c r="F3" s="149">
        <v>0</v>
      </c>
      <c r="G3" s="149">
        <v>0</v>
      </c>
      <c r="H3" s="149">
        <v>0</v>
      </c>
      <c r="I3" s="149">
        <v>0</v>
      </c>
      <c r="J3" s="149">
        <v>0</v>
      </c>
      <c r="K3" s="149">
        <v>0</v>
      </c>
      <c r="L3" s="149">
        <v>0</v>
      </c>
      <c r="M3" s="149">
        <v>0</v>
      </c>
      <c r="N3" s="149">
        <v>0</v>
      </c>
      <c r="O3" s="149">
        <v>0</v>
      </c>
      <c r="P3" s="149">
        <v>0</v>
      </c>
      <c r="Q3" s="149">
        <v>0</v>
      </c>
      <c r="R3" s="149">
        <v>0</v>
      </c>
      <c r="S3" s="149">
        <v>0</v>
      </c>
      <c r="T3" s="149">
        <f>+Medidas!B27/1000</f>
        <v>0.08</v>
      </c>
      <c r="U3" s="149">
        <f>+Medidas!C27/1000</f>
        <v>7.9616000000000006E-2</v>
      </c>
      <c r="V3" s="149">
        <f>+Medidas!D27/1000</f>
        <v>7.9233843200000001E-2</v>
      </c>
      <c r="W3" s="149">
        <f>+Medidas!E27/1000</f>
        <v>7.8853520752639988E-2</v>
      </c>
      <c r="X3" s="149">
        <f>+Medidas!F27/1000</f>
        <v>7.847502385302732E-2</v>
      </c>
      <c r="Y3" s="149">
        <f>+Medidas!G27/1000</f>
        <v>7.8098343738532791E-2</v>
      </c>
      <c r="Z3" s="149">
        <f>+Medidas!H27/1000</f>
        <v>7.7723471688587842E-2</v>
      </c>
      <c r="AA3" s="149">
        <f>+Medidas!I27/1000</f>
        <v>7.7350399024482611E-2</v>
      </c>
      <c r="AB3" s="149">
        <f>+Medidas!J27/1000</f>
        <v>7.6979117109165107E-2</v>
      </c>
      <c r="AC3" s="150">
        <f>+Medidas!K27/1000</f>
        <v>7.6609617347041109E-2</v>
      </c>
    </row>
    <row r="5" spans="1:29" ht="15.75" thickBot="1" x14ac:dyDescent="0.3"/>
    <row r="6" spans="1:29" s="72" customFormat="1" ht="15.75" thickBot="1" x14ac:dyDescent="0.3">
      <c r="A6" s="151" t="s">
        <v>97</v>
      </c>
      <c r="B6" s="152" t="s">
        <v>86</v>
      </c>
      <c r="C6" s="152"/>
      <c r="D6" s="152">
        <v>2010</v>
      </c>
      <c r="E6" s="152">
        <v>2011</v>
      </c>
      <c r="F6" s="152">
        <v>2012</v>
      </c>
      <c r="G6" s="152">
        <v>2013</v>
      </c>
      <c r="H6" s="152">
        <v>2014</v>
      </c>
      <c r="I6" s="152">
        <v>2015</v>
      </c>
      <c r="J6" s="152">
        <v>2016</v>
      </c>
      <c r="K6" s="152">
        <v>2017</v>
      </c>
      <c r="L6" s="152">
        <v>2018</v>
      </c>
      <c r="M6" s="152">
        <v>2019</v>
      </c>
      <c r="N6" s="152">
        <v>2020</v>
      </c>
      <c r="O6" s="152">
        <v>2021</v>
      </c>
      <c r="P6" s="152">
        <v>2022</v>
      </c>
      <c r="Q6" s="152">
        <v>2023</v>
      </c>
      <c r="R6" s="152">
        <v>2024</v>
      </c>
      <c r="S6" s="152">
        <v>2025</v>
      </c>
      <c r="T6" s="152">
        <v>2026</v>
      </c>
      <c r="U6" s="152">
        <v>2027</v>
      </c>
      <c r="V6" s="152">
        <v>2028</v>
      </c>
      <c r="W6" s="152">
        <v>2029</v>
      </c>
      <c r="X6" s="152">
        <v>2030</v>
      </c>
      <c r="Y6" s="152">
        <v>2031</v>
      </c>
      <c r="Z6" s="152">
        <v>2032</v>
      </c>
      <c r="AA6" s="152">
        <v>2033</v>
      </c>
      <c r="AB6" s="152">
        <v>2034</v>
      </c>
      <c r="AC6" s="153">
        <v>2035</v>
      </c>
    </row>
    <row r="7" spans="1:29" s="70" customFormat="1" x14ac:dyDescent="0.25">
      <c r="A7" s="141" t="s">
        <v>76</v>
      </c>
      <c r="B7" s="142" t="s">
        <v>87</v>
      </c>
      <c r="C7" s="142"/>
      <c r="D7" s="143">
        <v>0</v>
      </c>
      <c r="E7" s="143">
        <v>0</v>
      </c>
      <c r="F7" s="143">
        <v>0</v>
      </c>
      <c r="G7" s="143">
        <v>0</v>
      </c>
      <c r="H7" s="143">
        <v>0</v>
      </c>
      <c r="I7" s="143">
        <v>0</v>
      </c>
      <c r="J7" s="143">
        <v>0</v>
      </c>
      <c r="K7" s="143">
        <v>0</v>
      </c>
      <c r="L7" s="143">
        <v>0</v>
      </c>
      <c r="M7" s="143">
        <v>0</v>
      </c>
      <c r="N7" s="143">
        <v>0</v>
      </c>
      <c r="O7" s="143">
        <v>0</v>
      </c>
      <c r="P7" s="143">
        <v>0</v>
      </c>
      <c r="Q7" s="143">
        <v>0</v>
      </c>
      <c r="R7" s="143">
        <v>0</v>
      </c>
      <c r="S7" s="143">
        <v>0</v>
      </c>
      <c r="T7" s="143">
        <f>+Medidas!B37/1000</f>
        <v>54.629208942999995</v>
      </c>
      <c r="U7" s="143">
        <f>+Medidas!C37/1000</f>
        <v>54.514487604219703</v>
      </c>
      <c r="V7" s="143">
        <f>+Medidas!D37/1000</f>
        <v>54.400007180250839</v>
      </c>
      <c r="W7" s="143">
        <f>+Medidas!E37/1000</f>
        <v>54.285767165172317</v>
      </c>
      <c r="X7" s="143">
        <f>+Medidas!F37/1000</f>
        <v>54.171767054125453</v>
      </c>
      <c r="Y7" s="143">
        <f>+Medidas!G37/1000</f>
        <v>54.058006343311789</v>
      </c>
      <c r="Z7" s="143">
        <f>+Medidas!H37/1000</f>
        <v>53.944484529990831</v>
      </c>
      <c r="AA7" s="143">
        <f>+Medidas!I37/1000</f>
        <v>53.831201112477849</v>
      </c>
      <c r="AB7" s="143">
        <f>+Medidas!J37/1000</f>
        <v>53.718155590141649</v>
      </c>
      <c r="AC7" s="144">
        <f>+Medidas!K37/1000</f>
        <v>53.605347463402353</v>
      </c>
    </row>
    <row r="8" spans="1:29" s="70" customFormat="1" x14ac:dyDescent="0.25">
      <c r="A8" s="145" t="s">
        <v>77</v>
      </c>
      <c r="B8" s="71" t="s">
        <v>88</v>
      </c>
      <c r="C8" s="71"/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f>+(Medidas!B49+Medidas!B72)/1000</f>
        <v>3.684441500923926</v>
      </c>
      <c r="U8" s="75">
        <f>+(Medidas!C49+Medidas!C72)/1000</f>
        <v>3.6840368365785054</v>
      </c>
      <c r="V8" s="75">
        <f>+(Medidas!D49+Medidas!D72)/1000</f>
        <v>3.6836322395431553</v>
      </c>
      <c r="W8" s="75">
        <f>+(Medidas!E49+Medidas!E72)/1000</f>
        <v>3.6832277097279849</v>
      </c>
      <c r="X8" s="75">
        <f>+(Medidas!F49+Medidas!F72)/1000</f>
        <v>3.6828232470434008</v>
      </c>
      <c r="Y8" s="75">
        <f>+(Medidas!G49+Medidas!G72)/1000</f>
        <v>3.6824188514001084</v>
      </c>
      <c r="Z8" s="75">
        <f>+(Medidas!H49+Medidas!H72)/1000</f>
        <v>3.6820145227091099</v>
      </c>
      <c r="AA8" s="75">
        <f>+(Medidas!I49+Medidas!I72)/1000</f>
        <v>3.681610260881703</v>
      </c>
      <c r="AB8" s="75">
        <f>+(Medidas!J49+Medidas!J72)/1000</f>
        <v>3.6812060658294792</v>
      </c>
      <c r="AC8" s="146">
        <f>+(Medidas!K49+Medidas!K72)/1000</f>
        <v>3.680801937464325</v>
      </c>
    </row>
    <row r="9" spans="1:29" s="70" customFormat="1" x14ac:dyDescent="0.25">
      <c r="A9" s="145" t="s">
        <v>78</v>
      </c>
      <c r="B9" s="71" t="s">
        <v>89</v>
      </c>
      <c r="C9" s="71"/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f>+(Medidas!B52+Medidas!B87)/1000</f>
        <v>21.778430961543133</v>
      </c>
      <c r="U9" s="75">
        <f>+(Medidas!C52+Medidas!C87)/1000</f>
        <v>21.704635624911063</v>
      </c>
      <c r="V9" s="75">
        <f>+(Medidas!D52+Medidas!D87)/1000</f>
        <v>21.631098309606656</v>
      </c>
      <c r="W9" s="75">
        <f>+(Medidas!E52+Medidas!E87)/1000</f>
        <v>21.5578181125836</v>
      </c>
      <c r="X9" s="75">
        <f>+(Medidas!F52+Medidas!F87)/1000</f>
        <v>21.484794133956246</v>
      </c>
      <c r="Y9" s="75">
        <f>+(Medidas!G52+Medidas!G87)/1000</f>
        <v>21.412025476988532</v>
      </c>
      <c r="Z9" s="75">
        <f>+(Medidas!H52+Medidas!H87)/1000</f>
        <v>21.339511248082975</v>
      </c>
      <c r="AA9" s="75">
        <f>+(Medidas!I52+Medidas!I87)/1000</f>
        <v>21.267250556769678</v>
      </c>
      <c r="AB9" s="75">
        <f>+(Medidas!J52+Medidas!J87)/1000</f>
        <v>21.195242515695391</v>
      </c>
      <c r="AC9" s="146">
        <f>+(Medidas!K52+Medidas!K87)/1000</f>
        <v>21.123486240612586</v>
      </c>
    </row>
    <row r="10" spans="1:29" s="70" customFormat="1" x14ac:dyDescent="0.25">
      <c r="A10" s="145" t="s">
        <v>79</v>
      </c>
      <c r="B10" s="71" t="s">
        <v>90</v>
      </c>
      <c r="C10" s="71"/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f>+Medidas!B57/1000</f>
        <v>0.11095741391407672</v>
      </c>
      <c r="U10" s="75">
        <f>+Medidas!C57/1000</f>
        <v>0.11094543051337401</v>
      </c>
      <c r="V10" s="75">
        <f>+Medidas!D57/1000</f>
        <v>0.11093344840687856</v>
      </c>
      <c r="W10" s="75">
        <f>+Medidas!E57/1000</f>
        <v>0.11092146759445064</v>
      </c>
      <c r="X10" s="75">
        <f>+Medidas!F57/1000</f>
        <v>0.11090948807595044</v>
      </c>
      <c r="Y10" s="75">
        <f>+Medidas!G57/1000</f>
        <v>0.11089750985123822</v>
      </c>
      <c r="Z10" s="75">
        <f>+Medidas!H57/1000</f>
        <v>0.11088553292017429</v>
      </c>
      <c r="AA10" s="75">
        <f>+Medidas!I57/1000</f>
        <v>0.11087355728261891</v>
      </c>
      <c r="AB10" s="75">
        <f>+Medidas!J57/1000</f>
        <v>0.11086158293843239</v>
      </c>
      <c r="AC10" s="146">
        <f>+Medidas!K57/1000</f>
        <v>0.11084960988747504</v>
      </c>
    </row>
    <row r="11" spans="1:29" s="70" customFormat="1" x14ac:dyDescent="0.25">
      <c r="A11" s="145" t="s">
        <v>80</v>
      </c>
      <c r="B11" s="71" t="s">
        <v>91</v>
      </c>
      <c r="C11" s="71"/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f>+Medidas!B62/1000</f>
        <v>1.6887862513844032</v>
      </c>
      <c r="U11" s="75">
        <f>+Medidas!C62/1000</f>
        <v>1.6886038624692536</v>
      </c>
      <c r="V11" s="75">
        <f>+Medidas!D62/1000</f>
        <v>1.6884214932521069</v>
      </c>
      <c r="W11" s="75">
        <f>+Medidas!E62/1000</f>
        <v>1.6882391437308359</v>
      </c>
      <c r="X11" s="75">
        <f>+Medidas!F62/1000</f>
        <v>1.688056813903313</v>
      </c>
      <c r="Y11" s="75">
        <f>+Medidas!G62/1000</f>
        <v>1.6878745037674114</v>
      </c>
      <c r="Z11" s="75">
        <f>+Medidas!H62/1000</f>
        <v>1.6876922133210046</v>
      </c>
      <c r="AA11" s="75">
        <f>+Medidas!I62/1000</f>
        <v>1.687509942561966</v>
      </c>
      <c r="AB11" s="75">
        <f>+Medidas!J62/1000</f>
        <v>1.6873276914881692</v>
      </c>
      <c r="AC11" s="146">
        <f>+Medidas!K62/1000</f>
        <v>1.6871454600974884</v>
      </c>
    </row>
    <row r="12" spans="1:29" s="70" customFormat="1" x14ac:dyDescent="0.25">
      <c r="A12" s="145" t="s">
        <v>81</v>
      </c>
      <c r="B12" s="71" t="s">
        <v>92</v>
      </c>
      <c r="C12" s="71"/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f>+Medidas!B67/1000</f>
        <v>2.7183111448104702</v>
      </c>
      <c r="U12" s="75">
        <f>+Medidas!C67/1000</f>
        <v>2.7180175672068305</v>
      </c>
      <c r="V12" s="75">
        <f>+Medidas!D67/1000</f>
        <v>2.7177240213095719</v>
      </c>
      <c r="W12" s="75">
        <f>+Medidas!E67/1000</f>
        <v>2.7174305071152709</v>
      </c>
      <c r="X12" s="75">
        <f>+Medidas!F67/1000</f>
        <v>2.7171370246205022</v>
      </c>
      <c r="Y12" s="75">
        <f>+Medidas!G67/1000</f>
        <v>2.7168435738218437</v>
      </c>
      <c r="Z12" s="75">
        <f>+Medidas!H67/1000</f>
        <v>2.716550154715871</v>
      </c>
      <c r="AA12" s="75">
        <f>+Medidas!I67/1000</f>
        <v>2.7162567672991615</v>
      </c>
      <c r="AB12" s="75">
        <f>+Medidas!J67/1000</f>
        <v>2.7159634115682936</v>
      </c>
      <c r="AC12" s="146">
        <f>+Medidas!K67/1000</f>
        <v>2.7156700875198441</v>
      </c>
    </row>
    <row r="13" spans="1:29" s="70" customFormat="1" x14ac:dyDescent="0.25">
      <c r="A13" s="145" t="s">
        <v>82</v>
      </c>
      <c r="B13" s="71" t="s">
        <v>93</v>
      </c>
      <c r="C13" s="71"/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f>+Medidas!B77/1000</f>
        <v>0.36617914538683949</v>
      </c>
      <c r="U13" s="75">
        <f>+Medidas!C77/1000</f>
        <v>0.3661395980391377</v>
      </c>
      <c r="V13" s="75">
        <f>+Medidas!D77/1000</f>
        <v>0.36610005496254944</v>
      </c>
      <c r="W13" s="75">
        <f>+Medidas!E77/1000</f>
        <v>0.3660605161566135</v>
      </c>
      <c r="X13" s="75">
        <f>+Medidas!F77/1000</f>
        <v>0.3660209816208686</v>
      </c>
      <c r="Y13" s="75">
        <f>+Medidas!G77/1000</f>
        <v>0.36598145135485355</v>
      </c>
      <c r="Z13" s="75">
        <f>+Medidas!H77/1000</f>
        <v>0.36594192535810727</v>
      </c>
      <c r="AA13" s="75">
        <f>+Medidas!I77/1000</f>
        <v>0.36590240363016857</v>
      </c>
      <c r="AB13" s="75">
        <f>+Medidas!J77/1000</f>
        <v>0.36586288617057655</v>
      </c>
      <c r="AC13" s="146">
        <f>+Medidas!K77/1000</f>
        <v>0.36582337297887013</v>
      </c>
    </row>
    <row r="14" spans="1:29" s="70" customFormat="1" x14ac:dyDescent="0.25">
      <c r="A14" s="145" t="s">
        <v>83</v>
      </c>
      <c r="B14" s="71" t="s">
        <v>94</v>
      </c>
      <c r="C14" s="71"/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f>+Medidas!B92/1000</f>
        <v>1.3635047053613696</v>
      </c>
      <c r="U14" s="75">
        <f>+Medidas!C92/1000</f>
        <v>1.3633574468531906</v>
      </c>
      <c r="V14" s="75">
        <f>+Medidas!D92/1000</f>
        <v>1.3632102042489305</v>
      </c>
      <c r="W14" s="75">
        <f>+Medidas!E92/1000</f>
        <v>1.3630629775468717</v>
      </c>
      <c r="X14" s="75">
        <f>+Medidas!F92/1000</f>
        <v>1.3629157667452967</v>
      </c>
      <c r="Y14" s="75">
        <f>+Medidas!G92/1000</f>
        <v>1.3627685718424882</v>
      </c>
      <c r="Z14" s="75">
        <f>+Medidas!H92/1000</f>
        <v>1.3626213928367292</v>
      </c>
      <c r="AA14" s="75">
        <f>+Medidas!I92/1000</f>
        <v>1.3624742297263028</v>
      </c>
      <c r="AB14" s="75">
        <f>+Medidas!J92/1000</f>
        <v>1.3623270825094924</v>
      </c>
      <c r="AC14" s="146">
        <f>+Medidas!K92/1000</f>
        <v>1.3621799511845814</v>
      </c>
    </row>
    <row r="15" spans="1:29" s="70" customFormat="1" x14ac:dyDescent="0.25">
      <c r="A15" s="145" t="s">
        <v>84</v>
      </c>
      <c r="B15" s="71" t="s">
        <v>95</v>
      </c>
      <c r="C15" s="71"/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f>+Medidas!B42/1000</f>
        <v>39.664720974399998</v>
      </c>
      <c r="U15" s="75">
        <f>+Medidas!C42/1000</f>
        <v>39.581425060353759</v>
      </c>
      <c r="V15" s="75">
        <f>+Medidas!D42/1000</f>
        <v>39.49830406772702</v>
      </c>
      <c r="W15" s="75">
        <f>+Medidas!E42/1000</f>
        <v>39.41535762918479</v>
      </c>
      <c r="X15" s="75">
        <f>+Medidas!F42/1000</f>
        <v>39.3325853781635</v>
      </c>
      <c r="Y15" s="75">
        <f>+Medidas!G42/1000</f>
        <v>39.249986948869356</v>
      </c>
      <c r="Z15" s="75">
        <f>+Medidas!H42/1000</f>
        <v>39.16756197627673</v>
      </c>
      <c r="AA15" s="75">
        <f>+Medidas!I42/1000</f>
        <v>39.085310096126548</v>
      </c>
      <c r="AB15" s="75">
        <f>+Medidas!J42/1000</f>
        <v>39.003230944924688</v>
      </c>
      <c r="AC15" s="146">
        <f>+Medidas!K42/1000</f>
        <v>38.921324159940347</v>
      </c>
    </row>
    <row r="16" spans="1:29" s="70" customFormat="1" ht="15.75" thickBot="1" x14ac:dyDescent="0.3">
      <c r="A16" s="147" t="s">
        <v>85</v>
      </c>
      <c r="B16" s="148" t="s">
        <v>96</v>
      </c>
      <c r="C16" s="148"/>
      <c r="D16" s="149">
        <v>0</v>
      </c>
      <c r="E16" s="149">
        <v>0</v>
      </c>
      <c r="F16" s="149">
        <v>0</v>
      </c>
      <c r="G16" s="149">
        <v>0</v>
      </c>
      <c r="H16" s="149">
        <v>0</v>
      </c>
      <c r="I16" s="149">
        <v>0</v>
      </c>
      <c r="J16" s="149">
        <v>0</v>
      </c>
      <c r="K16" s="149">
        <v>0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0</v>
      </c>
      <c r="R16" s="149">
        <v>0</v>
      </c>
      <c r="S16" s="149">
        <v>0</v>
      </c>
      <c r="T16" s="149">
        <v>3</v>
      </c>
      <c r="U16" s="149">
        <v>3</v>
      </c>
      <c r="V16" s="149">
        <v>3</v>
      </c>
      <c r="W16" s="149">
        <v>3</v>
      </c>
      <c r="X16" s="149">
        <v>0</v>
      </c>
      <c r="Y16" s="149">
        <v>0</v>
      </c>
      <c r="Z16" s="149">
        <v>0</v>
      </c>
      <c r="AA16" s="149">
        <v>0</v>
      </c>
      <c r="AB16" s="149">
        <v>0</v>
      </c>
      <c r="AC16" s="150">
        <v>0</v>
      </c>
    </row>
    <row r="17" spans="1:29" s="70" customFormat="1" x14ac:dyDescent="0.25">
      <c r="A17" s="71"/>
      <c r="B17" s="71"/>
      <c r="C17" s="71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9" spans="1:29" x14ac:dyDescent="0.25">
      <c r="A19" s="81" t="s">
        <v>114</v>
      </c>
    </row>
    <row r="20" spans="1:29" x14ac:dyDescent="0.25">
      <c r="A20" s="1" t="s">
        <v>105</v>
      </c>
      <c r="B20" s="65" t="s">
        <v>106</v>
      </c>
      <c r="C20" s="1" t="s">
        <v>223</v>
      </c>
      <c r="D20" s="1">
        <v>2010</v>
      </c>
      <c r="E20" s="1">
        <v>2011</v>
      </c>
      <c r="F20" s="1">
        <v>2012</v>
      </c>
      <c r="G20" s="1">
        <v>2013</v>
      </c>
      <c r="H20" s="1">
        <v>2014</v>
      </c>
      <c r="I20" s="1">
        <v>2015</v>
      </c>
      <c r="J20" s="1">
        <v>2016</v>
      </c>
      <c r="K20" s="1">
        <v>2017</v>
      </c>
      <c r="L20" s="1">
        <v>2018</v>
      </c>
      <c r="M20" s="1">
        <v>2019</v>
      </c>
      <c r="N20" s="1">
        <v>2020</v>
      </c>
      <c r="O20" s="1">
        <v>2021</v>
      </c>
      <c r="P20" s="1">
        <v>2022</v>
      </c>
      <c r="Q20" s="1">
        <v>2023</v>
      </c>
      <c r="R20" s="1">
        <v>2024</v>
      </c>
      <c r="S20" s="1">
        <v>2025</v>
      </c>
      <c r="T20" s="1">
        <v>2026</v>
      </c>
      <c r="U20" s="1">
        <v>2027</v>
      </c>
      <c r="V20" s="1">
        <v>2028</v>
      </c>
      <c r="W20" s="1">
        <v>2029</v>
      </c>
      <c r="X20" s="1">
        <v>2030</v>
      </c>
      <c r="Y20" s="1">
        <v>2031</v>
      </c>
      <c r="Z20" s="1">
        <v>2032</v>
      </c>
      <c r="AA20" s="1">
        <v>2033</v>
      </c>
      <c r="AB20" s="1">
        <v>2034</v>
      </c>
      <c r="AC20" s="1">
        <v>2035</v>
      </c>
    </row>
    <row r="21" spans="1:29" x14ac:dyDescent="0.25">
      <c r="A21" s="173" t="s">
        <v>227</v>
      </c>
      <c r="B21" s="173" t="s">
        <v>228</v>
      </c>
      <c r="C21" s="175">
        <f>+SUM(P22:P30)/(SUM(P22:P30)+SUM(P37:P45)+SUM(P51:P59)+SUM(P65:P73)+SUM(P80:P88))</f>
        <v>0.89825376915175037</v>
      </c>
      <c r="D21" s="177">
        <f t="shared" ref="D21:P21" si="0">+SUM(D22:D30)</f>
        <v>94734.000000000015</v>
      </c>
      <c r="E21" s="177">
        <f t="shared" si="0"/>
        <v>94734.000000000015</v>
      </c>
      <c r="F21" s="177">
        <f t="shared" si="0"/>
        <v>94734.000000000015</v>
      </c>
      <c r="G21" s="177">
        <f t="shared" si="0"/>
        <v>94734.000000000015</v>
      </c>
      <c r="H21" s="177">
        <f t="shared" si="0"/>
        <v>94734.000000000015</v>
      </c>
      <c r="I21" s="177">
        <f t="shared" si="0"/>
        <v>92753.505000000005</v>
      </c>
      <c r="J21" s="177">
        <f t="shared" si="0"/>
        <v>90773.00999999998</v>
      </c>
      <c r="K21" s="177">
        <f t="shared" si="0"/>
        <v>84104.577499999999</v>
      </c>
      <c r="L21" s="177">
        <f t="shared" si="0"/>
        <v>77436.14499999999</v>
      </c>
      <c r="M21" s="177">
        <f t="shared" si="0"/>
        <v>82067.595000000001</v>
      </c>
      <c r="N21" s="177">
        <f t="shared" si="0"/>
        <v>82067.595000000001</v>
      </c>
      <c r="O21" s="177">
        <f t="shared" si="0"/>
        <v>91369.035000000003</v>
      </c>
      <c r="P21" s="177">
        <f t="shared" si="0"/>
        <v>91369.035000000003</v>
      </c>
      <c r="Q21" s="177">
        <f>+Coberturas!O50*-1000</f>
        <v>95.39213655000276</v>
      </c>
      <c r="R21" s="177">
        <f>+Coberturas!P50*-1000</f>
        <v>94.690734103091017</v>
      </c>
      <c r="S21" s="177">
        <f>+Coberturas!Q50*-1000</f>
        <v>93.979332343376882</v>
      </c>
      <c r="T21" s="177">
        <f>+Coberturas!R50*1000</f>
        <v>88.61616479318036</v>
      </c>
      <c r="U21" s="177">
        <f>+Coberturas!S50*-1000</f>
        <v>45.065108990153021</v>
      </c>
      <c r="V21" s="177">
        <f>+Coberturas!T50*-1000</f>
        <v>44.37377479994575</v>
      </c>
      <c r="W21" s="177">
        <f>+Coberturas!U50*-1000</f>
        <v>43.702441258596082</v>
      </c>
      <c r="X21" s="177">
        <f>+Coberturas!V50*-1000</f>
        <v>43.031108365777982</v>
      </c>
      <c r="Y21" s="177">
        <f>+Coberturas!W50*-1000</f>
        <v>42.359826121180959</v>
      </c>
      <c r="Z21" s="177">
        <f>+Coberturas!X50*-1000</f>
        <v>41.698494524478519</v>
      </c>
      <c r="AA21" s="177">
        <f>+Coberturas!Y50*-1000</f>
        <v>41.037153575363845</v>
      </c>
      <c r="AB21" s="177">
        <f>+Coberturas!Z50*-1000</f>
        <v>40.395833273514654</v>
      </c>
      <c r="AC21" s="177">
        <f>+Coberturas!AA50*-1000</f>
        <v>39.734543618604221</v>
      </c>
    </row>
    <row r="22" spans="1:29" x14ac:dyDescent="0.25">
      <c r="A22" s="192" t="s">
        <v>18</v>
      </c>
      <c r="B22" s="54" t="s">
        <v>19</v>
      </c>
      <c r="C22" s="176">
        <f t="shared" ref="C22:C30" si="1">+P22/SUM(P$22:P$30)</f>
        <v>2.6189616646383536E-2</v>
      </c>
      <c r="D22" s="84">
        <v>2921.6550000000002</v>
      </c>
      <c r="E22" s="84">
        <f t="shared" ref="E22:E35" si="2">+(D22+F22)/2</f>
        <v>2921.6550000000002</v>
      </c>
      <c r="F22" s="84">
        <v>2921.6550000000002</v>
      </c>
      <c r="G22" s="84">
        <f t="shared" ref="G22:G35" si="3">+(F22+H22)/2</f>
        <v>2921.6550000000002</v>
      </c>
      <c r="H22" s="84">
        <v>2921.6550000000002</v>
      </c>
      <c r="I22" s="84">
        <f t="shared" ref="I22:I35" si="4">+(H22+J22)/2</f>
        <v>2044.4325000000001</v>
      </c>
      <c r="J22" s="84">
        <v>1167.21</v>
      </c>
      <c r="K22" s="84">
        <f t="shared" ref="K22:K35" si="5">+(J22+L22)/2</f>
        <v>1052.55</v>
      </c>
      <c r="L22" s="84">
        <v>937.89</v>
      </c>
      <c r="M22" s="84">
        <v>3382.92</v>
      </c>
      <c r="N22" s="84">
        <v>3382.92</v>
      </c>
      <c r="O22" s="84">
        <v>2392.92</v>
      </c>
      <c r="P22" s="84">
        <v>2392.92</v>
      </c>
      <c r="Q22" s="178">
        <f t="shared" ref="Q22:AC30" si="6">+Q$21*$C$21*$C22</f>
        <v>2.2440925588984011</v>
      </c>
      <c r="R22" s="178">
        <f t="shared" si="6"/>
        <v>2.2275921211387053</v>
      </c>
      <c r="S22" s="178">
        <f t="shared" si="6"/>
        <v>2.2108564503266264</v>
      </c>
      <c r="T22" s="178">
        <f t="shared" si="6"/>
        <v>2.0846883527579902</v>
      </c>
      <c r="U22" s="178">
        <f t="shared" si="6"/>
        <v>1.06015316784248</v>
      </c>
      <c r="V22" s="178">
        <f t="shared" si="6"/>
        <v>1.0438895850350758</v>
      </c>
      <c r="W22" s="178">
        <f t="shared" si="6"/>
        <v>1.0280965159293007</v>
      </c>
      <c r="X22" s="178">
        <f t="shared" si="6"/>
        <v>1.0123034620801805</v>
      </c>
      <c r="Y22" s="178">
        <f t="shared" si="6"/>
        <v>0.99651159972650349</v>
      </c>
      <c r="Z22" s="178">
        <f t="shared" si="6"/>
        <v>0.98095382558705535</v>
      </c>
      <c r="AA22" s="178">
        <f t="shared" si="6"/>
        <v>0.96539583143284013</v>
      </c>
      <c r="AB22" s="178">
        <f t="shared" si="6"/>
        <v>0.95030882144123707</v>
      </c>
      <c r="AC22" s="178">
        <f t="shared" si="6"/>
        <v>0.93475203397916884</v>
      </c>
    </row>
    <row r="23" spans="1:29" x14ac:dyDescent="0.25">
      <c r="A23" s="192" t="s">
        <v>20</v>
      </c>
      <c r="B23" s="54" t="s">
        <v>19</v>
      </c>
      <c r="C23" s="176">
        <f t="shared" si="1"/>
        <v>0.15805573518424487</v>
      </c>
      <c r="D23" s="84">
        <v>14129.010000000007</v>
      </c>
      <c r="E23" s="84">
        <f t="shared" si="2"/>
        <v>14129.010000000007</v>
      </c>
      <c r="F23" s="84">
        <v>14129.010000000007</v>
      </c>
      <c r="G23" s="84">
        <f t="shared" si="3"/>
        <v>14129.010000000007</v>
      </c>
      <c r="H23" s="84">
        <v>14129.010000000007</v>
      </c>
      <c r="I23" s="84">
        <f t="shared" si="4"/>
        <v>13915.642500000002</v>
      </c>
      <c r="J23" s="84">
        <v>13702.274999999998</v>
      </c>
      <c r="K23" s="84">
        <f t="shared" si="5"/>
        <v>11871.967499999999</v>
      </c>
      <c r="L23" s="84">
        <v>10041.66</v>
      </c>
      <c r="M23" s="84">
        <v>11193.21</v>
      </c>
      <c r="N23" s="84">
        <v>11193.21</v>
      </c>
      <c r="O23" s="84">
        <v>14441.400000000001</v>
      </c>
      <c r="P23" s="84">
        <v>14441.400000000001</v>
      </c>
      <c r="Q23" s="178">
        <f t="shared" si="6"/>
        <v>13.543218444442511</v>
      </c>
      <c r="R23" s="178">
        <f t="shared" si="6"/>
        <v>13.443637421314754</v>
      </c>
      <c r="S23" s="178">
        <f t="shared" si="6"/>
        <v>13.342636754152643</v>
      </c>
      <c r="T23" s="178">
        <f t="shared" si="6"/>
        <v>12.581205546996658</v>
      </c>
      <c r="U23" s="178">
        <f t="shared" si="6"/>
        <v>6.3980809881151028</v>
      </c>
      <c r="V23" s="178">
        <f t="shared" si="6"/>
        <v>6.2999293972742691</v>
      </c>
      <c r="W23" s="178">
        <f t="shared" si="6"/>
        <v>6.2046173817517536</v>
      </c>
      <c r="X23" s="178">
        <f t="shared" si="6"/>
        <v>6.1093054583039637</v>
      </c>
      <c r="Y23" s="178">
        <f t="shared" si="6"/>
        <v>6.0140007255948085</v>
      </c>
      <c r="Z23" s="178">
        <f t="shared" si="6"/>
        <v>5.9201087277606037</v>
      </c>
      <c r="AA23" s="178">
        <f t="shared" si="6"/>
        <v>5.8262154021255279</v>
      </c>
      <c r="AB23" s="178">
        <f t="shared" si="6"/>
        <v>5.7351644910659294</v>
      </c>
      <c r="AC23" s="178">
        <f t="shared" si="6"/>
        <v>5.6412784478824074</v>
      </c>
    </row>
    <row r="24" spans="1:29" x14ac:dyDescent="0.25">
      <c r="A24" s="192" t="s">
        <v>21</v>
      </c>
      <c r="B24" s="54" t="s">
        <v>19</v>
      </c>
      <c r="C24" s="176">
        <f t="shared" si="1"/>
        <v>9.5808607369006357E-2</v>
      </c>
      <c r="D24" s="84">
        <v>13631.910000000002</v>
      </c>
      <c r="E24" s="84">
        <f t="shared" si="2"/>
        <v>13631.910000000002</v>
      </c>
      <c r="F24" s="84">
        <v>13631.910000000002</v>
      </c>
      <c r="G24" s="84">
        <f t="shared" si="3"/>
        <v>13631.910000000002</v>
      </c>
      <c r="H24" s="84">
        <v>13631.910000000002</v>
      </c>
      <c r="I24" s="84">
        <f t="shared" si="4"/>
        <v>13444.094999999999</v>
      </c>
      <c r="J24" s="84">
        <v>13256.279999999997</v>
      </c>
      <c r="K24" s="84">
        <f t="shared" si="5"/>
        <v>12232.394999999999</v>
      </c>
      <c r="L24" s="84">
        <v>11208.51</v>
      </c>
      <c r="M24" s="84">
        <v>11090.66</v>
      </c>
      <c r="N24" s="84">
        <v>11090.66</v>
      </c>
      <c r="O24" s="84">
        <v>8753.94</v>
      </c>
      <c r="P24" s="84">
        <v>8753.94</v>
      </c>
      <c r="Q24" s="178">
        <f t="shared" si="6"/>
        <v>8.2094895002938131</v>
      </c>
      <c r="R24" s="178">
        <f t="shared" si="6"/>
        <v>8.1491264952112719</v>
      </c>
      <c r="S24" s="178">
        <f t="shared" si="6"/>
        <v>8.087902944842396</v>
      </c>
      <c r="T24" s="178">
        <f t="shared" si="6"/>
        <v>7.6263463712712003</v>
      </c>
      <c r="U24" s="178">
        <f t="shared" si="6"/>
        <v>3.8783232294029886</v>
      </c>
      <c r="V24" s="178">
        <f t="shared" si="6"/>
        <v>3.8188267029495138</v>
      </c>
      <c r="W24" s="178">
        <f t="shared" si="6"/>
        <v>3.7610514411907392</v>
      </c>
      <c r="X24" s="178">
        <f t="shared" si="6"/>
        <v>3.7032762352448789</v>
      </c>
      <c r="Y24" s="178">
        <f t="shared" si="6"/>
        <v>3.6455053881073449</v>
      </c>
      <c r="Z24" s="178">
        <f t="shared" si="6"/>
        <v>3.5885908981326362</v>
      </c>
      <c r="AA24" s="178">
        <f t="shared" si="6"/>
        <v>3.5316756032851897</v>
      </c>
      <c r="AB24" s="178">
        <f t="shared" si="6"/>
        <v>3.4764832942042787</v>
      </c>
      <c r="AC24" s="178">
        <f t="shared" si="6"/>
        <v>3.4195724137587571</v>
      </c>
    </row>
    <row r="25" spans="1:29" x14ac:dyDescent="0.25">
      <c r="A25" s="192" t="s">
        <v>22</v>
      </c>
      <c r="B25" s="54" t="s">
        <v>19</v>
      </c>
      <c r="C25" s="176">
        <f t="shared" si="1"/>
        <v>0.12208342793595227</v>
      </c>
      <c r="D25" s="84">
        <v>19148.415000000001</v>
      </c>
      <c r="E25" s="84">
        <f t="shared" si="2"/>
        <v>19148.415000000001</v>
      </c>
      <c r="F25" s="84">
        <v>19148.415000000001</v>
      </c>
      <c r="G25" s="84">
        <f t="shared" si="3"/>
        <v>19148.415000000001</v>
      </c>
      <c r="H25" s="84">
        <v>19148.415000000001</v>
      </c>
      <c r="I25" s="84">
        <f t="shared" si="4"/>
        <v>15017.677500000002</v>
      </c>
      <c r="J25" s="84">
        <v>10886.94</v>
      </c>
      <c r="K25" s="84">
        <f t="shared" si="5"/>
        <v>10514.34</v>
      </c>
      <c r="L25" s="84">
        <v>10141.74</v>
      </c>
      <c r="M25" s="84">
        <v>8861.5349999999999</v>
      </c>
      <c r="N25" s="84">
        <v>8861.5349999999999</v>
      </c>
      <c r="O25" s="84">
        <v>11154.645</v>
      </c>
      <c r="P25" s="84">
        <v>11154.645</v>
      </c>
      <c r="Q25" s="178">
        <f t="shared" si="6"/>
        <v>10.460882871827415</v>
      </c>
      <c r="R25" s="178">
        <f t="shared" si="6"/>
        <v>10.383965747329311</v>
      </c>
      <c r="S25" s="178">
        <f t="shared" si="6"/>
        <v>10.305952079197654</v>
      </c>
      <c r="T25" s="178">
        <f t="shared" si="6"/>
        <v>9.7178169394088201</v>
      </c>
      <c r="U25" s="178">
        <f t="shared" si="6"/>
        <v>4.9419254437709084</v>
      </c>
      <c r="V25" s="178">
        <f t="shared" si="6"/>
        <v>4.8661124234255988</v>
      </c>
      <c r="W25" s="178">
        <f t="shared" si="6"/>
        <v>4.7924927122211347</v>
      </c>
      <c r="X25" s="178">
        <f t="shared" si="6"/>
        <v>4.7188730721358745</v>
      </c>
      <c r="Y25" s="178">
        <f t="shared" si="6"/>
        <v>4.6452589862307327</v>
      </c>
      <c r="Z25" s="178">
        <f t="shared" si="6"/>
        <v>4.572736107272922</v>
      </c>
      <c r="AA25" s="178">
        <f t="shared" si="6"/>
        <v>4.5002122027118228</v>
      </c>
      <c r="AB25" s="178">
        <f t="shared" si="6"/>
        <v>4.4298838003549594</v>
      </c>
      <c r="AC25" s="178">
        <f t="shared" si="6"/>
        <v>4.3573655208137199</v>
      </c>
    </row>
    <row r="26" spans="1:29" x14ac:dyDescent="0.25">
      <c r="A26" s="192" t="s">
        <v>23</v>
      </c>
      <c r="B26" s="54" t="s">
        <v>19</v>
      </c>
      <c r="C26" s="176">
        <f t="shared" si="1"/>
        <v>1.4855032670532198E-2</v>
      </c>
      <c r="D26" s="84">
        <v>2543.9550000000004</v>
      </c>
      <c r="E26" s="84">
        <f t="shared" si="2"/>
        <v>2543.9550000000004</v>
      </c>
      <c r="F26" s="84">
        <v>2543.9550000000004</v>
      </c>
      <c r="G26" s="84">
        <f t="shared" si="3"/>
        <v>2543.9550000000004</v>
      </c>
      <c r="H26" s="84">
        <v>2543.9550000000004</v>
      </c>
      <c r="I26" s="84">
        <f t="shared" si="4"/>
        <v>2740.3950000000004</v>
      </c>
      <c r="J26" s="84">
        <v>2936.835</v>
      </c>
      <c r="K26" s="84">
        <f t="shared" si="5"/>
        <v>2619.4974999999999</v>
      </c>
      <c r="L26" s="84">
        <v>2302.16</v>
      </c>
      <c r="M26" s="84">
        <v>3169.13</v>
      </c>
      <c r="N26" s="84">
        <v>3169.13</v>
      </c>
      <c r="O26" s="84">
        <v>1357.29</v>
      </c>
      <c r="P26" s="84">
        <v>1357.29</v>
      </c>
      <c r="Q26" s="178">
        <f t="shared" si="6"/>
        <v>1.2728734722712045</v>
      </c>
      <c r="R26" s="178">
        <f t="shared" si="6"/>
        <v>1.2635142462348732</v>
      </c>
      <c r="S26" s="178">
        <f t="shared" si="6"/>
        <v>1.2540215934773526</v>
      </c>
      <c r="T26" s="178">
        <f t="shared" si="6"/>
        <v>1.1824576894818433</v>
      </c>
      <c r="U26" s="178">
        <f t="shared" si="6"/>
        <v>0.60133029653349035</v>
      </c>
      <c r="V26" s="178">
        <f t="shared" si="6"/>
        <v>0.59210541717744758</v>
      </c>
      <c r="W26" s="178">
        <f t="shared" si="6"/>
        <v>0.58314741826123762</v>
      </c>
      <c r="X26" s="178">
        <f t="shared" si="6"/>
        <v>0.57418942799876638</v>
      </c>
      <c r="Y26" s="178">
        <f t="shared" si="6"/>
        <v>0.5652321135653452</v>
      </c>
      <c r="Z26" s="178">
        <f t="shared" si="6"/>
        <v>0.55640757648858064</v>
      </c>
      <c r="AA26" s="178">
        <f t="shared" si="6"/>
        <v>0.5475829146170702</v>
      </c>
      <c r="AB26" s="178">
        <f t="shared" si="6"/>
        <v>0.53902540003592958</v>
      </c>
      <c r="AC26" s="178">
        <f t="shared" si="6"/>
        <v>0.53020142261320313</v>
      </c>
    </row>
    <row r="27" spans="1:29" ht="22.5" x14ac:dyDescent="0.25">
      <c r="A27" s="192" t="s">
        <v>24</v>
      </c>
      <c r="B27" s="54" t="s">
        <v>19</v>
      </c>
      <c r="C27" s="176">
        <f t="shared" si="1"/>
        <v>0.31681821965176715</v>
      </c>
      <c r="D27" s="84">
        <v>22227.494999999999</v>
      </c>
      <c r="E27" s="84">
        <f t="shared" si="2"/>
        <v>22227.494999999999</v>
      </c>
      <c r="F27" s="84">
        <v>22227.494999999999</v>
      </c>
      <c r="G27" s="84">
        <f t="shared" si="3"/>
        <v>22227.494999999999</v>
      </c>
      <c r="H27" s="84">
        <v>22227.494999999999</v>
      </c>
      <c r="I27" s="84">
        <f t="shared" si="4"/>
        <v>24651.502500000002</v>
      </c>
      <c r="J27" s="84">
        <v>27075.510000000002</v>
      </c>
      <c r="K27" s="84">
        <f t="shared" si="5"/>
        <v>25636.365000000002</v>
      </c>
      <c r="L27" s="84">
        <v>24197.22</v>
      </c>
      <c r="M27" s="84">
        <v>26998.74</v>
      </c>
      <c r="N27" s="84">
        <v>26998.74</v>
      </c>
      <c r="O27" s="84">
        <v>28947.375</v>
      </c>
      <c r="P27" s="84">
        <v>28947.375</v>
      </c>
      <c r="Q27" s="178">
        <f t="shared" si="6"/>
        <v>27.14699565265099</v>
      </c>
      <c r="R27" s="178">
        <f t="shared" si="6"/>
        <v>26.947388327920503</v>
      </c>
      <c r="S27" s="178">
        <f t="shared" si="6"/>
        <v>26.744935367155495</v>
      </c>
      <c r="T27" s="178">
        <f t="shared" si="6"/>
        <v>25.218668198442835</v>
      </c>
      <c r="U27" s="178">
        <f t="shared" si="6"/>
        <v>12.824771119374743</v>
      </c>
      <c r="V27" s="178">
        <f t="shared" si="6"/>
        <v>12.628029050952279</v>
      </c>
      <c r="W27" s="178">
        <f t="shared" si="6"/>
        <v>12.436978830382523</v>
      </c>
      <c r="X27" s="178">
        <f t="shared" si="6"/>
        <v>12.245928794373931</v>
      </c>
      <c r="Y27" s="178">
        <f t="shared" si="6"/>
        <v>12.054893171996138</v>
      </c>
      <c r="Z27" s="178">
        <f t="shared" si="6"/>
        <v>11.866689336439617</v>
      </c>
      <c r="AA27" s="178">
        <f t="shared" si="6"/>
        <v>11.67848283934407</v>
      </c>
      <c r="AB27" s="178">
        <f t="shared" si="6"/>
        <v>11.49597388131134</v>
      </c>
      <c r="AC27" s="178">
        <f t="shared" si="6"/>
        <v>11.307781981682522</v>
      </c>
    </row>
    <row r="28" spans="1:29" x14ac:dyDescent="0.25">
      <c r="A28" s="192" t="s">
        <v>25</v>
      </c>
      <c r="B28" s="54" t="s">
        <v>19</v>
      </c>
      <c r="C28" s="176">
        <f t="shared" si="1"/>
        <v>0.25527242352948132</v>
      </c>
      <c r="D28" s="84">
        <v>19344.36</v>
      </c>
      <c r="E28" s="84">
        <f t="shared" si="2"/>
        <v>19344.36</v>
      </c>
      <c r="F28" s="84">
        <v>19344.36</v>
      </c>
      <c r="G28" s="84">
        <f t="shared" si="3"/>
        <v>19344.36</v>
      </c>
      <c r="H28" s="84">
        <v>19344.36</v>
      </c>
      <c r="I28" s="84">
        <f t="shared" si="4"/>
        <v>19871.79</v>
      </c>
      <c r="J28" s="84">
        <v>20399.220000000005</v>
      </c>
      <c r="K28" s="84">
        <f t="shared" si="5"/>
        <v>19175.940000000002</v>
      </c>
      <c r="L28" s="84">
        <v>17952.66</v>
      </c>
      <c r="M28" s="84">
        <v>16612.38</v>
      </c>
      <c r="N28" s="84">
        <v>16612.38</v>
      </c>
      <c r="O28" s="84">
        <v>23323.995000000003</v>
      </c>
      <c r="P28" s="84">
        <v>23323.995000000003</v>
      </c>
      <c r="Q28" s="178">
        <f t="shared" si="6"/>
        <v>21.873361258748108</v>
      </c>
      <c r="R28" s="178">
        <f t="shared" si="6"/>
        <v>21.712530086872341</v>
      </c>
      <c r="S28" s="178">
        <f t="shared" si="6"/>
        <v>21.549406078404623</v>
      </c>
      <c r="T28" s="178">
        <f t="shared" si="6"/>
        <v>20.319634888038717</v>
      </c>
      <c r="U28" s="178">
        <f t="shared" si="6"/>
        <v>10.333403200270869</v>
      </c>
      <c r="V28" s="178">
        <f t="shared" si="6"/>
        <v>10.174880673783571</v>
      </c>
      <c r="W28" s="178">
        <f t="shared" si="6"/>
        <v>10.020944284410861</v>
      </c>
      <c r="X28" s="178">
        <f t="shared" si="6"/>
        <v>9.8670080437460594</v>
      </c>
      <c r="Y28" s="178">
        <f t="shared" si="6"/>
        <v>9.7130834166888036</v>
      </c>
      <c r="Z28" s="178">
        <f t="shared" si="6"/>
        <v>9.5614404673885272</v>
      </c>
      <c r="AA28" s="178">
        <f t="shared" si="6"/>
        <v>9.409795373585581</v>
      </c>
      <c r="AB28" s="178">
        <f t="shared" si="6"/>
        <v>9.2627410025204817</v>
      </c>
      <c r="AC28" s="178">
        <f t="shared" si="6"/>
        <v>9.1111076704486429</v>
      </c>
    </row>
    <row r="29" spans="1:29" x14ac:dyDescent="0.25">
      <c r="A29" s="192" t="s">
        <v>26</v>
      </c>
      <c r="B29" s="54" t="s">
        <v>19</v>
      </c>
      <c r="C29" s="176">
        <f t="shared" si="1"/>
        <v>3.607130139877257E-3</v>
      </c>
      <c r="D29" s="84">
        <v>363.52500000000009</v>
      </c>
      <c r="E29" s="84">
        <f t="shared" si="2"/>
        <v>363.52500000000009</v>
      </c>
      <c r="F29" s="84">
        <v>363.52500000000009</v>
      </c>
      <c r="G29" s="84">
        <f t="shared" si="3"/>
        <v>363.52500000000009</v>
      </c>
      <c r="H29" s="84">
        <v>363.52500000000009</v>
      </c>
      <c r="I29" s="84">
        <f t="shared" si="4"/>
        <v>561.31500000000028</v>
      </c>
      <c r="J29" s="84">
        <v>759.10500000000059</v>
      </c>
      <c r="K29" s="84">
        <f t="shared" si="5"/>
        <v>538.24750000000029</v>
      </c>
      <c r="L29" s="84">
        <v>317.39</v>
      </c>
      <c r="M29" s="84">
        <v>137.97</v>
      </c>
      <c r="N29" s="84">
        <v>137.97</v>
      </c>
      <c r="O29" s="84">
        <v>329.58</v>
      </c>
      <c r="P29" s="84">
        <v>329.58</v>
      </c>
      <c r="Q29" s="178">
        <f t="shared" si="6"/>
        <v>0.30908180196652418</v>
      </c>
      <c r="R29" s="178">
        <f t="shared" si="6"/>
        <v>0.30680917510192335</v>
      </c>
      <c r="S29" s="178">
        <f t="shared" si="6"/>
        <v>0.30450414928148434</v>
      </c>
      <c r="T29" s="178">
        <f t="shared" si="6"/>
        <v>0.28712685225664814</v>
      </c>
      <c r="U29" s="178">
        <f t="shared" si="6"/>
        <v>0.14601628180529419</v>
      </c>
      <c r="V29" s="178">
        <f t="shared" si="6"/>
        <v>0.14377627728292641</v>
      </c>
      <c r="W29" s="178">
        <f t="shared" si="6"/>
        <v>0.14160107722781329</v>
      </c>
      <c r="X29" s="178">
        <f t="shared" si="6"/>
        <v>0.13942587927401914</v>
      </c>
      <c r="Y29" s="178">
        <f t="shared" si="6"/>
        <v>0.13725084542645014</v>
      </c>
      <c r="Z29" s="178">
        <f t="shared" si="6"/>
        <v>0.13510805285466362</v>
      </c>
      <c r="AA29" s="178">
        <f t="shared" si="6"/>
        <v>0.13296522997995563</v>
      </c>
      <c r="AB29" s="178">
        <f t="shared" si="6"/>
        <v>0.13088727636970851</v>
      </c>
      <c r="AC29" s="178">
        <f t="shared" si="6"/>
        <v>0.12874461969428749</v>
      </c>
    </row>
    <row r="30" spans="1:29" x14ac:dyDescent="0.25">
      <c r="A30" s="192" t="s">
        <v>27</v>
      </c>
      <c r="B30" s="54" t="s">
        <v>19</v>
      </c>
      <c r="C30" s="176">
        <f t="shared" si="1"/>
        <v>7.3098068727550872E-3</v>
      </c>
      <c r="D30" s="84">
        <v>423.67500000000001</v>
      </c>
      <c r="E30" s="84">
        <f t="shared" si="2"/>
        <v>423.67500000000001</v>
      </c>
      <c r="F30" s="84">
        <v>423.67500000000001</v>
      </c>
      <c r="G30" s="84">
        <f t="shared" si="3"/>
        <v>423.67500000000001</v>
      </c>
      <c r="H30" s="84">
        <v>423.67500000000001</v>
      </c>
      <c r="I30" s="84">
        <f t="shared" si="4"/>
        <v>506.65499999999997</v>
      </c>
      <c r="J30" s="84">
        <v>589.63499999999999</v>
      </c>
      <c r="K30" s="84">
        <f t="shared" si="5"/>
        <v>463.27499999999998</v>
      </c>
      <c r="L30" s="84">
        <v>336.91500000000002</v>
      </c>
      <c r="M30" s="84">
        <v>621.04999999999995</v>
      </c>
      <c r="N30" s="84">
        <v>621.04999999999995</v>
      </c>
      <c r="O30" s="84">
        <v>667.8900000000001</v>
      </c>
      <c r="P30" s="84">
        <v>667.8900000000001</v>
      </c>
      <c r="Q30" s="178">
        <f t="shared" si="6"/>
        <v>0.62635064237945837</v>
      </c>
      <c r="R30" s="178">
        <f t="shared" si="6"/>
        <v>0.62174519072402346</v>
      </c>
      <c r="S30" s="178">
        <f t="shared" si="6"/>
        <v>0.61707408296501798</v>
      </c>
      <c r="T30" s="178">
        <f t="shared" si="6"/>
        <v>0.58185919459218627</v>
      </c>
      <c r="U30" s="178">
        <f t="shared" si="6"/>
        <v>0.29590028052350859</v>
      </c>
      <c r="V30" s="178">
        <f t="shared" si="6"/>
        <v>0.29136093766155025</v>
      </c>
      <c r="W30" s="178">
        <f t="shared" si="6"/>
        <v>0.28695292029153541</v>
      </c>
      <c r="X30" s="178">
        <f t="shared" si="6"/>
        <v>0.28254490717981873</v>
      </c>
      <c r="Y30" s="178">
        <f t="shared" si="6"/>
        <v>0.27813722662744034</v>
      </c>
      <c r="Z30" s="178">
        <f t="shared" si="6"/>
        <v>0.2737948826418512</v>
      </c>
      <c r="AA30" s="178">
        <f t="shared" si="6"/>
        <v>0.2694524772477474</v>
      </c>
      <c r="AB30" s="178">
        <f t="shared" si="6"/>
        <v>0.26524152865636458</v>
      </c>
      <c r="AC30" s="178">
        <f t="shared" si="6"/>
        <v>0.26089946006316433</v>
      </c>
    </row>
    <row r="31" spans="1:29" x14ac:dyDescent="0.25">
      <c r="A31" s="186" t="s">
        <v>28</v>
      </c>
      <c r="B31" s="180" t="s">
        <v>19</v>
      </c>
      <c r="C31" s="180"/>
      <c r="D31" s="181">
        <v>2300.9850000000001</v>
      </c>
      <c r="E31" s="181">
        <f t="shared" si="2"/>
        <v>2300.9850000000001</v>
      </c>
      <c r="F31" s="181">
        <v>2300.9850000000001</v>
      </c>
      <c r="G31" s="181">
        <f t="shared" si="3"/>
        <v>2300.9850000000001</v>
      </c>
      <c r="H31" s="181">
        <v>2300.9850000000001</v>
      </c>
      <c r="I31" s="181">
        <f t="shared" si="4"/>
        <v>6718.8375000000005</v>
      </c>
      <c r="J31" s="181">
        <v>11136.69</v>
      </c>
      <c r="K31" s="181">
        <f t="shared" si="5"/>
        <v>9869.0625</v>
      </c>
      <c r="L31" s="181">
        <v>8601.4349999999995</v>
      </c>
      <c r="M31" s="181">
        <v>1903.73</v>
      </c>
      <c r="N31" s="181">
        <v>1903.73</v>
      </c>
      <c r="O31" s="181">
        <v>5155.1099999999997</v>
      </c>
      <c r="P31" s="181">
        <v>5155.1099999999997</v>
      </c>
      <c r="Q31" s="181">
        <f t="shared" ref="Q31:AC31" si="7">+P31</f>
        <v>5155.1099999999997</v>
      </c>
      <c r="R31" s="181">
        <f t="shared" si="7"/>
        <v>5155.1099999999997</v>
      </c>
      <c r="S31" s="181">
        <f t="shared" si="7"/>
        <v>5155.1099999999997</v>
      </c>
      <c r="T31" s="181">
        <f t="shared" si="7"/>
        <v>5155.1099999999997</v>
      </c>
      <c r="U31" s="181">
        <f t="shared" si="7"/>
        <v>5155.1099999999997</v>
      </c>
      <c r="V31" s="181">
        <f t="shared" si="7"/>
        <v>5155.1099999999997</v>
      </c>
      <c r="W31" s="181">
        <f t="shared" si="7"/>
        <v>5155.1099999999997</v>
      </c>
      <c r="X31" s="181">
        <f t="shared" si="7"/>
        <v>5155.1099999999997</v>
      </c>
      <c r="Y31" s="181">
        <f t="shared" si="7"/>
        <v>5155.1099999999997</v>
      </c>
      <c r="Z31" s="181">
        <f t="shared" si="7"/>
        <v>5155.1099999999997</v>
      </c>
      <c r="AA31" s="181">
        <f t="shared" si="7"/>
        <v>5155.1099999999997</v>
      </c>
      <c r="AB31" s="181">
        <f t="shared" si="7"/>
        <v>5155.1099999999997</v>
      </c>
      <c r="AC31" s="181">
        <f t="shared" si="7"/>
        <v>5155.1099999999997</v>
      </c>
    </row>
    <row r="32" spans="1:29" x14ac:dyDescent="0.25">
      <c r="A32" s="182" t="s">
        <v>4</v>
      </c>
      <c r="B32" s="183" t="s">
        <v>19</v>
      </c>
      <c r="C32" s="183"/>
      <c r="D32" s="190">
        <v>24385.99</v>
      </c>
      <c r="E32" s="190">
        <f t="shared" si="2"/>
        <v>24385.99</v>
      </c>
      <c r="F32" s="190">
        <v>24385.99</v>
      </c>
      <c r="G32" s="190">
        <f t="shared" si="3"/>
        <v>24385.99</v>
      </c>
      <c r="H32" s="190">
        <v>24385.99</v>
      </c>
      <c r="I32" s="190">
        <f t="shared" si="4"/>
        <v>38966.805</v>
      </c>
      <c r="J32" s="190">
        <v>53547.62</v>
      </c>
      <c r="K32" s="190">
        <f t="shared" si="5"/>
        <v>34203.535000000003</v>
      </c>
      <c r="L32" s="190">
        <v>14859.45</v>
      </c>
      <c r="M32" s="190">
        <v>32440.31</v>
      </c>
      <c r="N32" s="190">
        <v>32440.31</v>
      </c>
      <c r="O32" s="190">
        <v>23216.04</v>
      </c>
      <c r="P32" s="190">
        <v>23216.04</v>
      </c>
      <c r="Q32" s="185">
        <f t="shared" ref="Q32:AC32" si="8">+P32</f>
        <v>23216.04</v>
      </c>
      <c r="R32" s="185">
        <f t="shared" si="8"/>
        <v>23216.04</v>
      </c>
      <c r="S32" s="185">
        <f t="shared" si="8"/>
        <v>23216.04</v>
      </c>
      <c r="T32" s="185">
        <f t="shared" si="8"/>
        <v>23216.04</v>
      </c>
      <c r="U32" s="185">
        <f t="shared" si="8"/>
        <v>23216.04</v>
      </c>
      <c r="V32" s="185">
        <f t="shared" si="8"/>
        <v>23216.04</v>
      </c>
      <c r="W32" s="185">
        <f t="shared" si="8"/>
        <v>23216.04</v>
      </c>
      <c r="X32" s="185">
        <f t="shared" si="8"/>
        <v>23216.04</v>
      </c>
      <c r="Y32" s="185">
        <f t="shared" si="8"/>
        <v>23216.04</v>
      </c>
      <c r="Z32" s="185">
        <f t="shared" si="8"/>
        <v>23216.04</v>
      </c>
      <c r="AA32" s="185">
        <f t="shared" si="8"/>
        <v>23216.04</v>
      </c>
      <c r="AB32" s="185">
        <f t="shared" si="8"/>
        <v>23216.04</v>
      </c>
      <c r="AC32" s="185">
        <f t="shared" si="8"/>
        <v>23216.04</v>
      </c>
    </row>
    <row r="33" spans="1:29" x14ac:dyDescent="0.25">
      <c r="A33" s="182" t="s">
        <v>5</v>
      </c>
      <c r="B33" s="183" t="s">
        <v>19</v>
      </c>
      <c r="C33" s="183"/>
      <c r="D33" s="191">
        <v>8319.99</v>
      </c>
      <c r="E33" s="191">
        <f t="shared" si="2"/>
        <v>8319.99</v>
      </c>
      <c r="F33" s="191">
        <v>8319.99</v>
      </c>
      <c r="G33" s="191">
        <f t="shared" si="3"/>
        <v>8319.99</v>
      </c>
      <c r="H33" s="191">
        <v>8319.99</v>
      </c>
      <c r="I33" s="191">
        <f t="shared" si="4"/>
        <v>9268.2150000000001</v>
      </c>
      <c r="J33" s="191">
        <v>10216.44</v>
      </c>
      <c r="K33" s="191">
        <f t="shared" si="5"/>
        <v>8473.6149999999998</v>
      </c>
      <c r="L33" s="191">
        <v>6730.79</v>
      </c>
      <c r="M33" s="191">
        <v>795.38</v>
      </c>
      <c r="N33" s="191">
        <v>795.38</v>
      </c>
      <c r="O33" s="191">
        <v>2562.98</v>
      </c>
      <c r="P33" s="191">
        <v>2562.98</v>
      </c>
      <c r="Q33" s="184">
        <f t="shared" ref="Q33:AC33" si="9">+P33</f>
        <v>2562.98</v>
      </c>
      <c r="R33" s="184">
        <f t="shared" si="9"/>
        <v>2562.98</v>
      </c>
      <c r="S33" s="184">
        <f t="shared" si="9"/>
        <v>2562.98</v>
      </c>
      <c r="T33" s="184">
        <f t="shared" si="9"/>
        <v>2562.98</v>
      </c>
      <c r="U33" s="184">
        <f t="shared" si="9"/>
        <v>2562.98</v>
      </c>
      <c r="V33" s="184">
        <f t="shared" si="9"/>
        <v>2562.98</v>
      </c>
      <c r="W33" s="184">
        <f t="shared" si="9"/>
        <v>2562.98</v>
      </c>
      <c r="X33" s="184">
        <f t="shared" si="9"/>
        <v>2562.98</v>
      </c>
      <c r="Y33" s="184">
        <f t="shared" si="9"/>
        <v>2562.98</v>
      </c>
      <c r="Z33" s="184">
        <f t="shared" si="9"/>
        <v>2562.98</v>
      </c>
      <c r="AA33" s="184">
        <f t="shared" si="9"/>
        <v>2562.98</v>
      </c>
      <c r="AB33" s="184">
        <f t="shared" si="9"/>
        <v>2562.98</v>
      </c>
      <c r="AC33" s="184">
        <f t="shared" si="9"/>
        <v>2562.98</v>
      </c>
    </row>
    <row r="34" spans="1:29" x14ac:dyDescent="0.25">
      <c r="A34" s="182" t="s">
        <v>6</v>
      </c>
      <c r="B34" s="183" t="s">
        <v>19</v>
      </c>
      <c r="C34" s="183"/>
      <c r="D34" s="191">
        <v>0</v>
      </c>
      <c r="E34" s="191">
        <f t="shared" si="2"/>
        <v>0</v>
      </c>
      <c r="F34" s="191">
        <v>0</v>
      </c>
      <c r="G34" s="191">
        <f t="shared" si="3"/>
        <v>0</v>
      </c>
      <c r="H34" s="191">
        <v>0</v>
      </c>
      <c r="I34" s="191">
        <f t="shared" si="4"/>
        <v>0</v>
      </c>
      <c r="J34" s="191">
        <v>0</v>
      </c>
      <c r="K34" s="191">
        <f t="shared" si="5"/>
        <v>0</v>
      </c>
      <c r="L34" s="191">
        <v>0</v>
      </c>
      <c r="M34" s="191">
        <v>0</v>
      </c>
      <c r="N34" s="191">
        <v>0</v>
      </c>
      <c r="O34" s="191">
        <v>262.35000000000002</v>
      </c>
      <c r="P34" s="191">
        <v>262.35000000000002</v>
      </c>
      <c r="Q34" s="184">
        <f t="shared" ref="Q34:AC34" si="10">+P34</f>
        <v>262.35000000000002</v>
      </c>
      <c r="R34" s="184">
        <f t="shared" si="10"/>
        <v>262.35000000000002</v>
      </c>
      <c r="S34" s="184">
        <f t="shared" si="10"/>
        <v>262.35000000000002</v>
      </c>
      <c r="T34" s="184">
        <f t="shared" si="10"/>
        <v>262.35000000000002</v>
      </c>
      <c r="U34" s="184">
        <f t="shared" si="10"/>
        <v>262.35000000000002</v>
      </c>
      <c r="V34" s="184">
        <f t="shared" si="10"/>
        <v>262.35000000000002</v>
      </c>
      <c r="W34" s="184">
        <f t="shared" si="10"/>
        <v>262.35000000000002</v>
      </c>
      <c r="X34" s="184">
        <f t="shared" si="10"/>
        <v>262.35000000000002</v>
      </c>
      <c r="Y34" s="184">
        <f t="shared" si="10"/>
        <v>262.35000000000002</v>
      </c>
      <c r="Z34" s="184">
        <f t="shared" si="10"/>
        <v>262.35000000000002</v>
      </c>
      <c r="AA34" s="184">
        <f t="shared" si="10"/>
        <v>262.35000000000002</v>
      </c>
      <c r="AB34" s="184">
        <f t="shared" si="10"/>
        <v>262.35000000000002</v>
      </c>
      <c r="AC34" s="184">
        <f t="shared" si="10"/>
        <v>262.35000000000002</v>
      </c>
    </row>
    <row r="35" spans="1:29" x14ac:dyDescent="0.25">
      <c r="A35" s="182" t="s">
        <v>29</v>
      </c>
      <c r="B35" s="183" t="s">
        <v>19</v>
      </c>
      <c r="C35" s="183"/>
      <c r="D35" s="191">
        <v>1280.52</v>
      </c>
      <c r="E35" s="191">
        <f t="shared" si="2"/>
        <v>1280.52</v>
      </c>
      <c r="F35" s="191">
        <v>1280.52</v>
      </c>
      <c r="G35" s="191">
        <f t="shared" si="3"/>
        <v>1280.52</v>
      </c>
      <c r="H35" s="191">
        <v>1280.52</v>
      </c>
      <c r="I35" s="191">
        <f t="shared" si="4"/>
        <v>5254.8525</v>
      </c>
      <c r="J35" s="191">
        <v>9229.1849999999995</v>
      </c>
      <c r="K35" s="191">
        <f t="shared" si="5"/>
        <v>5389.7874999999995</v>
      </c>
      <c r="L35" s="191">
        <v>1550.39</v>
      </c>
      <c r="M35" s="191">
        <v>608.72</v>
      </c>
      <c r="N35" s="191">
        <v>608.72</v>
      </c>
      <c r="O35" s="191">
        <v>3363.16</v>
      </c>
      <c r="P35" s="191">
        <v>3363.16</v>
      </c>
      <c r="Q35" s="184">
        <f t="shared" ref="Q35:AC35" si="11">+P35</f>
        <v>3363.16</v>
      </c>
      <c r="R35" s="184">
        <f t="shared" si="11"/>
        <v>3363.16</v>
      </c>
      <c r="S35" s="184">
        <f t="shared" si="11"/>
        <v>3363.16</v>
      </c>
      <c r="T35" s="184">
        <f t="shared" si="11"/>
        <v>3363.16</v>
      </c>
      <c r="U35" s="184">
        <f t="shared" si="11"/>
        <v>3363.16</v>
      </c>
      <c r="V35" s="184">
        <f t="shared" si="11"/>
        <v>3363.16</v>
      </c>
      <c r="W35" s="184">
        <f t="shared" si="11"/>
        <v>3363.16</v>
      </c>
      <c r="X35" s="184">
        <f t="shared" si="11"/>
        <v>3363.16</v>
      </c>
      <c r="Y35" s="184">
        <f t="shared" si="11"/>
        <v>3363.16</v>
      </c>
      <c r="Z35" s="184">
        <f t="shared" si="11"/>
        <v>3363.16</v>
      </c>
      <c r="AA35" s="184">
        <f t="shared" si="11"/>
        <v>3363.16</v>
      </c>
      <c r="AB35" s="184">
        <f t="shared" si="11"/>
        <v>3363.16</v>
      </c>
      <c r="AC35" s="184">
        <f t="shared" si="11"/>
        <v>3363.16</v>
      </c>
    </row>
    <row r="36" spans="1:29" x14ac:dyDescent="0.25">
      <c r="A36" s="187"/>
      <c r="B36" s="188"/>
      <c r="C36" s="174">
        <f>+SUM(P$37:P$45)/(SUM(P$22:P$30)+SUM(P$37:P$45)+SUM(P$51:P$59)+SUM(P$65:P$73)+SUM(P$80:P$88))</f>
        <v>7.9264826038053446E-3</v>
      </c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</row>
    <row r="37" spans="1:29" x14ac:dyDescent="0.25">
      <c r="A37" s="86" t="s">
        <v>18</v>
      </c>
      <c r="B37" s="54" t="s">
        <v>4</v>
      </c>
      <c r="C37" s="176">
        <f t="shared" ref="C37:C45" si="12">+P37/SUM(P$37:P$45)</f>
        <v>2.0092524836593201E-3</v>
      </c>
      <c r="D37" s="60">
        <v>0</v>
      </c>
      <c r="E37" s="84">
        <f t="shared" ref="E37:E49" si="13">+(D37+F37)/2</f>
        <v>0</v>
      </c>
      <c r="F37" s="60">
        <v>0</v>
      </c>
      <c r="G37" s="84">
        <f t="shared" ref="G37:G49" si="14">+(F37+H37)/2</f>
        <v>0</v>
      </c>
      <c r="H37" s="60">
        <v>0</v>
      </c>
      <c r="I37" s="84">
        <f t="shared" ref="I37:I49" si="15">+(H37+J37)/2</f>
        <v>0</v>
      </c>
      <c r="J37" s="60">
        <v>0</v>
      </c>
      <c r="K37" s="84">
        <f t="shared" ref="K37:K49" si="16">+(J37+L37)/2</f>
        <v>80.887500000000003</v>
      </c>
      <c r="L37" s="60">
        <v>161.77500000000001</v>
      </c>
      <c r="M37" s="60">
        <v>23.94</v>
      </c>
      <c r="N37" s="60">
        <v>23.94</v>
      </c>
      <c r="O37" s="60">
        <v>1.62</v>
      </c>
      <c r="P37" s="60">
        <v>1.62</v>
      </c>
      <c r="Q37" s="178">
        <f t="shared" ref="Q37:AC45" si="17">+Q$21*$C$36*$C37</f>
        <v>1.5192442477873936E-3</v>
      </c>
      <c r="R37" s="178">
        <f t="shared" si="17"/>
        <v>1.5080734985894646E-3</v>
      </c>
      <c r="S37" s="178">
        <f t="shared" si="17"/>
        <v>1.4967434972874706E-3</v>
      </c>
      <c r="T37" s="178">
        <f t="shared" si="17"/>
        <v>1.4113280558764789E-3</v>
      </c>
      <c r="U37" s="178">
        <f t="shared" si="17"/>
        <v>7.1772066425322093E-4</v>
      </c>
      <c r="V37" s="178">
        <f t="shared" si="17"/>
        <v>7.0671026518095981E-4</v>
      </c>
      <c r="W37" s="178">
        <f t="shared" si="17"/>
        <v>6.9601840253977025E-4</v>
      </c>
      <c r="X37" s="178">
        <f t="shared" si="17"/>
        <v>6.8532655022729221E-4</v>
      </c>
      <c r="Y37" s="178">
        <f t="shared" si="17"/>
        <v>6.7463550455382356E-4</v>
      </c>
      <c r="Z37" s="178">
        <f t="shared" si="17"/>
        <v>6.6410293593226243E-4</v>
      </c>
      <c r="AA37" s="178">
        <f t="shared" si="17"/>
        <v>6.5357021836133294E-4</v>
      </c>
      <c r="AB37" s="178">
        <f t="shared" si="17"/>
        <v>6.4335635572221556E-4</v>
      </c>
      <c r="AC37" s="178">
        <f t="shared" si="17"/>
        <v>6.3282445507842019E-4</v>
      </c>
    </row>
    <row r="38" spans="1:29" x14ac:dyDescent="0.25">
      <c r="A38" s="86" t="s">
        <v>20</v>
      </c>
      <c r="B38" s="54" t="s">
        <v>4</v>
      </c>
      <c r="C38" s="176">
        <f t="shared" si="12"/>
        <v>0.57782752675902616</v>
      </c>
      <c r="D38" s="60">
        <v>0</v>
      </c>
      <c r="E38" s="84">
        <f t="shared" si="13"/>
        <v>0</v>
      </c>
      <c r="F38" s="60">
        <v>0</v>
      </c>
      <c r="G38" s="84">
        <f t="shared" si="14"/>
        <v>0</v>
      </c>
      <c r="H38" s="60">
        <v>0</v>
      </c>
      <c r="I38" s="84">
        <f t="shared" si="15"/>
        <v>0</v>
      </c>
      <c r="J38" s="60">
        <v>0</v>
      </c>
      <c r="K38" s="84">
        <f t="shared" si="16"/>
        <v>303.09750000000003</v>
      </c>
      <c r="L38" s="60">
        <v>606.19500000000005</v>
      </c>
      <c r="M38" s="60">
        <v>194.535</v>
      </c>
      <c r="N38" s="60">
        <v>194.535</v>
      </c>
      <c r="O38" s="60">
        <v>465.88499999999999</v>
      </c>
      <c r="P38" s="60">
        <v>465.88499999999999</v>
      </c>
      <c r="Q38" s="178">
        <f>+Q$21*$C$36*$C38</f>
        <v>0.43690932492619133</v>
      </c>
      <c r="R38" s="178">
        <f t="shared" si="17"/>
        <v>0.4336968036360202</v>
      </c>
      <c r="S38" s="178">
        <f t="shared" si="17"/>
        <v>0.43043848409492175</v>
      </c>
      <c r="T38" s="178">
        <f t="shared" si="17"/>
        <v>0.4058744267358107</v>
      </c>
      <c r="U38" s="178">
        <f t="shared" si="17"/>
        <v>0.20640450102815547</v>
      </c>
      <c r="V38" s="178">
        <f t="shared" si="17"/>
        <v>0.20323809376162436</v>
      </c>
      <c r="W38" s="178">
        <f t="shared" si="17"/>
        <v>0.20016329226372895</v>
      </c>
      <c r="X38" s="178">
        <f t="shared" si="17"/>
        <v>0.1970884937361988</v>
      </c>
      <c r="Y38" s="178">
        <f t="shared" si="17"/>
        <v>0.19401392718460378</v>
      </c>
      <c r="Z38" s="178">
        <f t="shared" si="17"/>
        <v>0.19098493599185315</v>
      </c>
      <c r="AA38" s="178">
        <f t="shared" si="17"/>
        <v>0.18795590196374667</v>
      </c>
      <c r="AB38" s="178">
        <f t="shared" si="17"/>
        <v>0.1850185652997805</v>
      </c>
      <c r="AC38" s="178">
        <f t="shared" si="17"/>
        <v>0.18198976620630233</v>
      </c>
    </row>
    <row r="39" spans="1:29" x14ac:dyDescent="0.25">
      <c r="A39" s="86" t="s">
        <v>21</v>
      </c>
      <c r="B39" s="54" t="s">
        <v>4</v>
      </c>
      <c r="C39" s="176">
        <f t="shared" si="12"/>
        <v>9.8118496285363468E-2</v>
      </c>
      <c r="D39" s="60">
        <v>0</v>
      </c>
      <c r="E39" s="84">
        <f t="shared" si="13"/>
        <v>0</v>
      </c>
      <c r="F39" s="60">
        <v>0</v>
      </c>
      <c r="G39" s="84">
        <f t="shared" si="14"/>
        <v>0</v>
      </c>
      <c r="H39" s="60">
        <v>0</v>
      </c>
      <c r="I39" s="84">
        <f t="shared" si="15"/>
        <v>0</v>
      </c>
      <c r="J39" s="60">
        <v>0</v>
      </c>
      <c r="K39" s="84">
        <f t="shared" si="16"/>
        <v>195.88499999999999</v>
      </c>
      <c r="L39" s="60">
        <v>391.77</v>
      </c>
      <c r="M39" s="60">
        <v>846.23</v>
      </c>
      <c r="N39" s="60">
        <v>846.23</v>
      </c>
      <c r="O39" s="60">
        <v>79.11</v>
      </c>
      <c r="P39" s="60">
        <v>79.11</v>
      </c>
      <c r="Q39" s="178">
        <f t="shared" si="17"/>
        <v>7.4189760766951066E-2</v>
      </c>
      <c r="R39" s="178">
        <f t="shared" si="17"/>
        <v>7.3644255847785528E-2</v>
      </c>
      <c r="S39" s="178">
        <f t="shared" si="17"/>
        <v>7.3090974117538149E-2</v>
      </c>
      <c r="T39" s="178">
        <f t="shared" si="17"/>
        <v>6.8919853395301392E-2</v>
      </c>
      <c r="U39" s="178">
        <f t="shared" si="17"/>
        <v>3.5048692437698953E-2</v>
      </c>
      <c r="V39" s="178">
        <f t="shared" si="17"/>
        <v>3.4511017949670202E-2</v>
      </c>
      <c r="W39" s="178">
        <f t="shared" si="17"/>
        <v>3.3988898657358782E-2</v>
      </c>
      <c r="X39" s="178">
        <f t="shared" si="17"/>
        <v>3.3466779869432771E-2</v>
      </c>
      <c r="Y39" s="178">
        <f t="shared" si="17"/>
        <v>3.2944700472378387E-2</v>
      </c>
      <c r="Z39" s="178">
        <f t="shared" si="17"/>
        <v>3.2430360038025484E-2</v>
      </c>
      <c r="AA39" s="178">
        <f t="shared" si="17"/>
        <v>3.1916012329978427E-2</v>
      </c>
      <c r="AB39" s="178">
        <f t="shared" si="17"/>
        <v>3.1417235371101526E-2</v>
      </c>
      <c r="AC39" s="178">
        <f t="shared" si="17"/>
        <v>3.0902927556329517E-2</v>
      </c>
    </row>
    <row r="40" spans="1:29" x14ac:dyDescent="0.25">
      <c r="A40" s="86" t="s">
        <v>22</v>
      </c>
      <c r="B40" s="54" t="s">
        <v>4</v>
      </c>
      <c r="C40" s="176">
        <f t="shared" si="12"/>
        <v>2.5952844580599554E-2</v>
      </c>
      <c r="D40" s="60">
        <v>0</v>
      </c>
      <c r="E40" s="84">
        <f t="shared" si="13"/>
        <v>0</v>
      </c>
      <c r="F40" s="60">
        <v>0</v>
      </c>
      <c r="G40" s="84">
        <f t="shared" si="14"/>
        <v>0</v>
      </c>
      <c r="H40" s="60">
        <v>0</v>
      </c>
      <c r="I40" s="84">
        <f t="shared" si="15"/>
        <v>0</v>
      </c>
      <c r="J40" s="60">
        <v>0</v>
      </c>
      <c r="K40" s="84">
        <f t="shared" si="16"/>
        <v>34.042499999999997</v>
      </c>
      <c r="L40" s="60">
        <v>68.084999999999994</v>
      </c>
      <c r="M40" s="60">
        <v>149.94</v>
      </c>
      <c r="N40" s="60">
        <v>149.94</v>
      </c>
      <c r="O40" s="60">
        <v>20.925000000000001</v>
      </c>
      <c r="P40" s="60">
        <v>20.925000000000001</v>
      </c>
      <c r="Q40" s="178">
        <f t="shared" si="17"/>
        <v>1.9623571533920504E-2</v>
      </c>
      <c r="R40" s="178">
        <f t="shared" si="17"/>
        <v>1.9479282690113918E-2</v>
      </c>
      <c r="S40" s="178">
        <f t="shared" si="17"/>
        <v>1.9332936839963163E-2</v>
      </c>
      <c r="T40" s="178">
        <f t="shared" si="17"/>
        <v>1.8229654055071189E-2</v>
      </c>
      <c r="U40" s="178">
        <f t="shared" si="17"/>
        <v>9.2705585799374383E-3</v>
      </c>
      <c r="V40" s="178">
        <f t="shared" si="17"/>
        <v>9.1283409252540647E-3</v>
      </c>
      <c r="W40" s="178">
        <f t="shared" si="17"/>
        <v>8.990237699472034E-3</v>
      </c>
      <c r="X40" s="178">
        <f t="shared" si="17"/>
        <v>8.8521346071025256E-3</v>
      </c>
      <c r="Y40" s="178">
        <f t="shared" si="17"/>
        <v>8.714041933820223E-3</v>
      </c>
      <c r="Z40" s="178">
        <f t="shared" si="17"/>
        <v>8.5779962557917238E-3</v>
      </c>
      <c r="AA40" s="178">
        <f t="shared" si="17"/>
        <v>8.4419486538338858E-3</v>
      </c>
      <c r="AB40" s="178">
        <f t="shared" si="17"/>
        <v>8.3100195947452844E-3</v>
      </c>
      <c r="AC40" s="178">
        <f t="shared" si="17"/>
        <v>8.1739825447629273E-3</v>
      </c>
    </row>
    <row r="41" spans="1:29" x14ac:dyDescent="0.25">
      <c r="A41" s="86" t="s">
        <v>23</v>
      </c>
      <c r="B41" s="54" t="s">
        <v>4</v>
      </c>
      <c r="C41" s="176">
        <f t="shared" si="12"/>
        <v>5.0181700919046973E-2</v>
      </c>
      <c r="D41" s="60">
        <v>0</v>
      </c>
      <c r="E41" s="84">
        <f t="shared" si="13"/>
        <v>0</v>
      </c>
      <c r="F41" s="60">
        <v>0</v>
      </c>
      <c r="G41" s="84">
        <f t="shared" si="14"/>
        <v>0</v>
      </c>
      <c r="H41" s="60">
        <v>0</v>
      </c>
      <c r="I41" s="84">
        <f t="shared" si="15"/>
        <v>0</v>
      </c>
      <c r="J41" s="60">
        <v>0</v>
      </c>
      <c r="K41" s="84">
        <f t="shared" si="16"/>
        <v>191.20500000000001</v>
      </c>
      <c r="L41" s="60">
        <v>382.41</v>
      </c>
      <c r="M41" s="60">
        <v>1335.29</v>
      </c>
      <c r="N41" s="60">
        <v>1335.29</v>
      </c>
      <c r="O41" s="60">
        <v>40.46</v>
      </c>
      <c r="P41" s="60">
        <v>40.46</v>
      </c>
      <c r="Q41" s="178">
        <f t="shared" si="17"/>
        <v>3.7943593991035772E-2</v>
      </c>
      <c r="R41" s="178">
        <f t="shared" si="17"/>
        <v>3.7664601082055396E-2</v>
      </c>
      <c r="S41" s="178">
        <f t="shared" si="17"/>
        <v>3.7381630802624112E-2</v>
      </c>
      <c r="T41" s="178">
        <f t="shared" si="17"/>
        <v>3.5248353790594038E-2</v>
      </c>
      <c r="U41" s="178">
        <f t="shared" si="17"/>
        <v>1.7925295108447727E-2</v>
      </c>
      <c r="V41" s="178">
        <f t="shared" si="17"/>
        <v>1.7650306993346687E-2</v>
      </c>
      <c r="W41" s="178">
        <f t="shared" si="17"/>
        <v>1.7383274423925375E-2</v>
      </c>
      <c r="X41" s="178">
        <f t="shared" si="17"/>
        <v>1.7116242112466817E-2</v>
      </c>
      <c r="Y41" s="178">
        <f t="shared" si="17"/>
        <v>1.6849229947066485E-2</v>
      </c>
      <c r="Z41" s="178">
        <f t="shared" si="17"/>
        <v>1.6586175794950211E-2</v>
      </c>
      <c r="AA41" s="178">
        <f t="shared" si="17"/>
        <v>1.6323117922777491E-2</v>
      </c>
      <c r="AB41" s="178">
        <f t="shared" si="17"/>
        <v>1.6068023550938792E-2</v>
      </c>
      <c r="AC41" s="178">
        <f t="shared" si="17"/>
        <v>1.5804986081773383E-2</v>
      </c>
    </row>
    <row r="42" spans="1:29" ht="22.5" x14ac:dyDescent="0.25">
      <c r="A42" s="86" t="s">
        <v>24</v>
      </c>
      <c r="B42" s="54" t="s">
        <v>4</v>
      </c>
      <c r="C42" s="176">
        <f t="shared" si="12"/>
        <v>2.4501717786845598E-2</v>
      </c>
      <c r="D42" s="60">
        <v>0</v>
      </c>
      <c r="E42" s="84">
        <f t="shared" si="13"/>
        <v>0</v>
      </c>
      <c r="F42" s="60">
        <v>0</v>
      </c>
      <c r="G42" s="84">
        <f t="shared" si="14"/>
        <v>0</v>
      </c>
      <c r="H42" s="60">
        <v>0</v>
      </c>
      <c r="I42" s="84">
        <f t="shared" si="15"/>
        <v>0</v>
      </c>
      <c r="J42" s="60">
        <v>0</v>
      </c>
      <c r="K42" s="84">
        <f t="shared" si="16"/>
        <v>20.317499999999999</v>
      </c>
      <c r="L42" s="60">
        <v>40.634999999999998</v>
      </c>
      <c r="M42" s="60">
        <v>342.85500000000002</v>
      </c>
      <c r="N42" s="60">
        <v>342.85500000000002</v>
      </c>
      <c r="O42" s="60">
        <v>19.754999999999999</v>
      </c>
      <c r="P42" s="60">
        <v>19.754999999999999</v>
      </c>
      <c r="Q42" s="178">
        <f t="shared" si="17"/>
        <v>1.8526339577185164E-2</v>
      </c>
      <c r="R42" s="178">
        <f t="shared" si="17"/>
        <v>1.8390118496688194E-2</v>
      </c>
      <c r="S42" s="178">
        <f t="shared" si="17"/>
        <v>1.8251955425255546E-2</v>
      </c>
      <c r="T42" s="178">
        <f t="shared" si="17"/>
        <v>1.7210361570271508E-2</v>
      </c>
      <c r="U42" s="178">
        <f t="shared" si="17"/>
        <v>8.752204766865666E-3</v>
      </c>
      <c r="V42" s="178">
        <f t="shared" si="17"/>
        <v>8.6179390670678147E-3</v>
      </c>
      <c r="W42" s="178">
        <f t="shared" si="17"/>
        <v>8.4875577420821992E-3</v>
      </c>
      <c r="X42" s="178">
        <f t="shared" si="17"/>
        <v>8.3571765430494813E-3</v>
      </c>
      <c r="Y42" s="178">
        <f t="shared" si="17"/>
        <v>8.2268051805313488E-3</v>
      </c>
      <c r="Z42" s="178">
        <f t="shared" si="17"/>
        <v>8.0983663576184219E-3</v>
      </c>
      <c r="AA42" s="178">
        <f t="shared" si="17"/>
        <v>7.9699257183506993E-3</v>
      </c>
      <c r="AB42" s="178">
        <f t="shared" si="17"/>
        <v>7.8453733378347958E-3</v>
      </c>
      <c r="AC42" s="178">
        <f t="shared" si="17"/>
        <v>7.7169426605396239E-3</v>
      </c>
    </row>
    <row r="43" spans="1:29" x14ac:dyDescent="0.25">
      <c r="A43" s="86" t="s">
        <v>25</v>
      </c>
      <c r="B43" s="54" t="s">
        <v>4</v>
      </c>
      <c r="C43" s="176">
        <f t="shared" si="12"/>
        <v>4.6380244831135974E-2</v>
      </c>
      <c r="D43" s="60">
        <v>0</v>
      </c>
      <c r="E43" s="84">
        <f t="shared" si="13"/>
        <v>0</v>
      </c>
      <c r="F43" s="60">
        <v>0</v>
      </c>
      <c r="G43" s="84">
        <f t="shared" si="14"/>
        <v>0</v>
      </c>
      <c r="H43" s="60">
        <v>0</v>
      </c>
      <c r="I43" s="84">
        <f t="shared" si="15"/>
        <v>0</v>
      </c>
      <c r="J43" s="60">
        <v>0</v>
      </c>
      <c r="K43" s="84">
        <f t="shared" si="16"/>
        <v>65.227500000000006</v>
      </c>
      <c r="L43" s="60">
        <v>130.45500000000001</v>
      </c>
      <c r="M43" s="60">
        <v>582.12</v>
      </c>
      <c r="N43" s="60">
        <v>582.12</v>
      </c>
      <c r="O43" s="60">
        <v>37.395000000000003</v>
      </c>
      <c r="P43" s="60">
        <v>37.395000000000003</v>
      </c>
      <c r="Q43" s="178">
        <f t="shared" si="17"/>
        <v>3.5069221386425674E-2</v>
      </c>
      <c r="R43" s="178">
        <f t="shared" si="17"/>
        <v>3.481136325910681E-2</v>
      </c>
      <c r="S43" s="178">
        <f t="shared" si="17"/>
        <v>3.4549829062385781E-2</v>
      </c>
      <c r="T43" s="178">
        <f t="shared" si="17"/>
        <v>3.2578155956482058E-2</v>
      </c>
      <c r="U43" s="178">
        <f t="shared" si="17"/>
        <v>1.6567385333178516E-2</v>
      </c>
      <c r="V43" s="178">
        <f t="shared" si="17"/>
        <v>1.631322862126049E-2</v>
      </c>
      <c r="W43" s="178">
        <f t="shared" si="17"/>
        <v>1.6066424791959698E-2</v>
      </c>
      <c r="X43" s="178">
        <f t="shared" si="17"/>
        <v>1.5819621201079995E-2</v>
      </c>
      <c r="Y43" s="178">
        <f t="shared" si="17"/>
        <v>1.5572836230117428E-2</v>
      </c>
      <c r="Z43" s="178">
        <f t="shared" si="17"/>
        <v>1.5329709437769725E-2</v>
      </c>
      <c r="AA43" s="178">
        <f t="shared" si="17"/>
        <v>1.5086579207174104E-2</v>
      </c>
      <c r="AB43" s="178">
        <f t="shared" si="17"/>
        <v>1.4850809211254475E-2</v>
      </c>
      <c r="AC43" s="178">
        <f t="shared" si="17"/>
        <v>1.4607697838060199E-2</v>
      </c>
    </row>
    <row r="44" spans="1:29" x14ac:dyDescent="0.25">
      <c r="A44" s="86" t="s">
        <v>26</v>
      </c>
      <c r="B44" s="54" t="s">
        <v>4</v>
      </c>
      <c r="C44" s="176">
        <f t="shared" si="12"/>
        <v>0.1745817158023987</v>
      </c>
      <c r="D44" s="60">
        <v>0</v>
      </c>
      <c r="E44" s="84">
        <f t="shared" si="13"/>
        <v>0</v>
      </c>
      <c r="F44" s="60">
        <v>0</v>
      </c>
      <c r="G44" s="84">
        <f t="shared" si="14"/>
        <v>0</v>
      </c>
      <c r="H44" s="60">
        <v>0</v>
      </c>
      <c r="I44" s="84">
        <f t="shared" si="15"/>
        <v>0</v>
      </c>
      <c r="J44" s="60">
        <v>0</v>
      </c>
      <c r="K44" s="84">
        <f t="shared" si="16"/>
        <v>8.7524999999999995</v>
      </c>
      <c r="L44" s="60">
        <v>17.504999999999999</v>
      </c>
      <c r="M44" s="60">
        <v>102.69</v>
      </c>
      <c r="N44" s="60">
        <v>102.69</v>
      </c>
      <c r="O44" s="60">
        <v>140.76</v>
      </c>
      <c r="P44" s="60">
        <v>140.76</v>
      </c>
      <c r="Q44" s="178">
        <f t="shared" si="17"/>
        <v>0.13200544464108244</v>
      </c>
      <c r="R44" s="178">
        <f t="shared" si="17"/>
        <v>0.13103483065521793</v>
      </c>
      <c r="S44" s="178">
        <f t="shared" si="17"/>
        <v>0.130050379430978</v>
      </c>
      <c r="T44" s="178">
        <f t="shared" si="17"/>
        <v>0.12262872663282294</v>
      </c>
      <c r="U44" s="178">
        <f t="shared" si="17"/>
        <v>6.2361951049557642E-2</v>
      </c>
      <c r="V44" s="178">
        <f t="shared" si="17"/>
        <v>6.1405269707945617E-2</v>
      </c>
      <c r="W44" s="178">
        <f t="shared" si="17"/>
        <v>6.047626564290004E-2</v>
      </c>
      <c r="X44" s="178">
        <f t="shared" si="17"/>
        <v>5.954726247530473E-2</v>
      </c>
      <c r="Y44" s="178">
        <f t="shared" si="17"/>
        <v>5.8618329395676676E-2</v>
      </c>
      <c r="Z44" s="178">
        <f t="shared" si="17"/>
        <v>5.770316621100325E-2</v>
      </c>
      <c r="AA44" s="178">
        <f t="shared" si="17"/>
        <v>5.6787990084284708E-2</v>
      </c>
      <c r="AB44" s="178">
        <f t="shared" si="17"/>
        <v>5.5900518908308064E-2</v>
      </c>
      <c r="AC44" s="178">
        <f t="shared" si="17"/>
        <v>5.4985413763480505E-2</v>
      </c>
    </row>
    <row r="45" spans="1:29" x14ac:dyDescent="0.25">
      <c r="A45" s="86" t="s">
        <v>27</v>
      </c>
      <c r="B45" s="54" t="s">
        <v>4</v>
      </c>
      <c r="C45" s="176">
        <f t="shared" si="12"/>
        <v>4.4650055192429333E-4</v>
      </c>
      <c r="D45" s="60">
        <v>0</v>
      </c>
      <c r="E45" s="84">
        <f t="shared" si="13"/>
        <v>0</v>
      </c>
      <c r="F45" s="60">
        <v>0</v>
      </c>
      <c r="G45" s="84">
        <f t="shared" si="14"/>
        <v>0</v>
      </c>
      <c r="H45" s="60">
        <v>0</v>
      </c>
      <c r="I45" s="84">
        <f t="shared" si="15"/>
        <v>0</v>
      </c>
      <c r="J45" s="60">
        <v>0</v>
      </c>
      <c r="K45" s="84">
        <f t="shared" si="16"/>
        <v>0.87749999999999995</v>
      </c>
      <c r="L45" s="60">
        <v>1.7549999999999999</v>
      </c>
      <c r="M45" s="60">
        <v>23.535</v>
      </c>
      <c r="N45" s="60">
        <v>23.535</v>
      </c>
      <c r="O45" s="60">
        <v>0.36</v>
      </c>
      <c r="P45" s="60">
        <v>0.36</v>
      </c>
      <c r="Q45" s="178">
        <f t="shared" si="17"/>
        <v>3.3760983284164303E-4</v>
      </c>
      <c r="R45" s="178">
        <f t="shared" si="17"/>
        <v>3.3512744413099213E-4</v>
      </c>
      <c r="S45" s="178">
        <f t="shared" si="17"/>
        <v>3.3260966606388237E-4</v>
      </c>
      <c r="T45" s="178">
        <f t="shared" si="17"/>
        <v>3.1362845686143972E-4</v>
      </c>
      <c r="U45" s="178">
        <f t="shared" si="17"/>
        <v>1.5949348094516019E-4</v>
      </c>
      <c r="V45" s="178">
        <f t="shared" si="17"/>
        <v>1.5704672559576884E-4</v>
      </c>
      <c r="W45" s="178">
        <f t="shared" si="17"/>
        <v>1.5467075611994894E-4</v>
      </c>
      <c r="X45" s="178">
        <f t="shared" si="17"/>
        <v>1.5229478893939827E-4</v>
      </c>
      <c r="Y45" s="178">
        <f t="shared" si="17"/>
        <v>1.4991900101196079E-4</v>
      </c>
      <c r="Z45" s="178">
        <f t="shared" si="17"/>
        <v>1.4757843020716941E-4</v>
      </c>
      <c r="AA45" s="178">
        <f t="shared" si="17"/>
        <v>1.4523782630251843E-4</v>
      </c>
      <c r="AB45" s="178">
        <f t="shared" si="17"/>
        <v>1.4296807904938123E-4</v>
      </c>
      <c r="AC45" s="178">
        <f t="shared" si="17"/>
        <v>1.4062765668409335E-4</v>
      </c>
    </row>
    <row r="46" spans="1:29" x14ac:dyDescent="0.25">
      <c r="A46" s="186" t="s">
        <v>28</v>
      </c>
      <c r="B46" s="180" t="s">
        <v>4</v>
      </c>
      <c r="C46" s="180"/>
      <c r="D46" s="181">
        <v>1629.99</v>
      </c>
      <c r="E46" s="181">
        <f t="shared" si="13"/>
        <v>1629.99</v>
      </c>
      <c r="F46" s="181">
        <v>1629.99</v>
      </c>
      <c r="G46" s="181">
        <f t="shared" si="14"/>
        <v>1629.99</v>
      </c>
      <c r="H46" s="181">
        <v>1629.99</v>
      </c>
      <c r="I46" s="181">
        <f t="shared" si="15"/>
        <v>869.76</v>
      </c>
      <c r="J46" s="181">
        <v>109.53</v>
      </c>
      <c r="K46" s="181">
        <f t="shared" si="16"/>
        <v>2240.5724999999998</v>
      </c>
      <c r="L46" s="181">
        <v>4371.6149999999998</v>
      </c>
      <c r="M46" s="181">
        <v>236.75</v>
      </c>
      <c r="N46" s="181">
        <v>236.75</v>
      </c>
      <c r="O46" s="181">
        <v>431.1</v>
      </c>
      <c r="P46" s="181">
        <v>431.1</v>
      </c>
      <c r="Q46" s="181">
        <f t="shared" ref="Q46:AC46" si="18">+P46</f>
        <v>431.1</v>
      </c>
      <c r="R46" s="181">
        <f t="shared" si="18"/>
        <v>431.1</v>
      </c>
      <c r="S46" s="181">
        <f t="shared" si="18"/>
        <v>431.1</v>
      </c>
      <c r="T46" s="181">
        <f t="shared" si="18"/>
        <v>431.1</v>
      </c>
      <c r="U46" s="181">
        <f t="shared" si="18"/>
        <v>431.1</v>
      </c>
      <c r="V46" s="181">
        <f t="shared" si="18"/>
        <v>431.1</v>
      </c>
      <c r="W46" s="181">
        <f t="shared" si="18"/>
        <v>431.1</v>
      </c>
      <c r="X46" s="181">
        <f t="shared" si="18"/>
        <v>431.1</v>
      </c>
      <c r="Y46" s="181">
        <f t="shared" si="18"/>
        <v>431.1</v>
      </c>
      <c r="Z46" s="181">
        <f t="shared" si="18"/>
        <v>431.1</v>
      </c>
      <c r="AA46" s="181">
        <f t="shared" si="18"/>
        <v>431.1</v>
      </c>
      <c r="AB46" s="181">
        <f t="shared" si="18"/>
        <v>431.1</v>
      </c>
      <c r="AC46" s="181">
        <f t="shared" si="18"/>
        <v>431.1</v>
      </c>
    </row>
    <row r="47" spans="1:29" x14ac:dyDescent="0.25">
      <c r="A47" s="182" t="s">
        <v>19</v>
      </c>
      <c r="B47" s="183" t="s">
        <v>4</v>
      </c>
      <c r="C47" s="183"/>
      <c r="D47" s="184">
        <v>66529.460000000006</v>
      </c>
      <c r="E47" s="184">
        <f t="shared" si="13"/>
        <v>66529.460000000006</v>
      </c>
      <c r="F47" s="184">
        <v>66529.460000000006</v>
      </c>
      <c r="G47" s="184">
        <f t="shared" si="14"/>
        <v>66529.460000000006</v>
      </c>
      <c r="H47" s="184">
        <v>66529.460000000006</v>
      </c>
      <c r="I47" s="184">
        <f t="shared" si="15"/>
        <v>44241.83</v>
      </c>
      <c r="J47" s="184">
        <v>21954.2</v>
      </c>
      <c r="K47" s="184">
        <f t="shared" si="16"/>
        <v>19003.055</v>
      </c>
      <c r="L47" s="184">
        <v>16051.91</v>
      </c>
      <c r="M47" s="184">
        <v>3245.4</v>
      </c>
      <c r="N47" s="184">
        <v>3245.4</v>
      </c>
      <c r="O47" s="184">
        <v>10864.71</v>
      </c>
      <c r="P47" s="184">
        <v>10864.71</v>
      </c>
      <c r="Q47" s="184">
        <f t="shared" ref="Q47:AC47" si="19">+P47</f>
        <v>10864.71</v>
      </c>
      <c r="R47" s="184">
        <f t="shared" si="19"/>
        <v>10864.71</v>
      </c>
      <c r="S47" s="184">
        <f t="shared" si="19"/>
        <v>10864.71</v>
      </c>
      <c r="T47" s="184">
        <f t="shared" si="19"/>
        <v>10864.71</v>
      </c>
      <c r="U47" s="184">
        <f t="shared" si="19"/>
        <v>10864.71</v>
      </c>
      <c r="V47" s="184">
        <f t="shared" si="19"/>
        <v>10864.71</v>
      </c>
      <c r="W47" s="184">
        <f t="shared" si="19"/>
        <v>10864.71</v>
      </c>
      <c r="X47" s="184">
        <f t="shared" si="19"/>
        <v>10864.71</v>
      </c>
      <c r="Y47" s="184">
        <f t="shared" si="19"/>
        <v>10864.71</v>
      </c>
      <c r="Z47" s="184">
        <f t="shared" si="19"/>
        <v>10864.71</v>
      </c>
      <c r="AA47" s="184">
        <f t="shared" si="19"/>
        <v>10864.71</v>
      </c>
      <c r="AB47" s="184">
        <f t="shared" si="19"/>
        <v>10864.71</v>
      </c>
      <c r="AC47" s="184">
        <f t="shared" si="19"/>
        <v>10864.71</v>
      </c>
    </row>
    <row r="48" spans="1:29" x14ac:dyDescent="0.25">
      <c r="A48" s="182" t="s">
        <v>5</v>
      </c>
      <c r="B48" s="183" t="s">
        <v>4</v>
      </c>
      <c r="C48" s="183"/>
      <c r="D48" s="184">
        <v>12.48</v>
      </c>
      <c r="E48" s="184">
        <f t="shared" si="13"/>
        <v>12.48</v>
      </c>
      <c r="F48" s="184">
        <v>12.48</v>
      </c>
      <c r="G48" s="184">
        <f t="shared" si="14"/>
        <v>12.48</v>
      </c>
      <c r="H48" s="184">
        <v>12.48</v>
      </c>
      <c r="I48" s="184">
        <f t="shared" si="15"/>
        <v>1375.4549999999999</v>
      </c>
      <c r="J48" s="184">
        <v>2738.43</v>
      </c>
      <c r="K48" s="184">
        <f t="shared" si="16"/>
        <v>1722.3525</v>
      </c>
      <c r="L48" s="184">
        <v>706.27499999999998</v>
      </c>
      <c r="M48" s="184">
        <v>104.13</v>
      </c>
      <c r="N48" s="184">
        <v>104.13</v>
      </c>
      <c r="O48" s="184">
        <v>2137.0100000000002</v>
      </c>
      <c r="P48" s="184">
        <v>2137.0100000000002</v>
      </c>
      <c r="Q48" s="184">
        <f t="shared" ref="Q48:AC48" si="20">+P48</f>
        <v>2137.0100000000002</v>
      </c>
      <c r="R48" s="184">
        <f t="shared" si="20"/>
        <v>2137.0100000000002</v>
      </c>
      <c r="S48" s="184">
        <f t="shared" si="20"/>
        <v>2137.0100000000002</v>
      </c>
      <c r="T48" s="184">
        <f t="shared" si="20"/>
        <v>2137.0100000000002</v>
      </c>
      <c r="U48" s="184">
        <f t="shared" si="20"/>
        <v>2137.0100000000002</v>
      </c>
      <c r="V48" s="184">
        <f t="shared" si="20"/>
        <v>2137.0100000000002</v>
      </c>
      <c r="W48" s="184">
        <f t="shared" si="20"/>
        <v>2137.0100000000002</v>
      </c>
      <c r="X48" s="184">
        <f t="shared" si="20"/>
        <v>2137.0100000000002</v>
      </c>
      <c r="Y48" s="184">
        <f t="shared" si="20"/>
        <v>2137.0100000000002</v>
      </c>
      <c r="Z48" s="184">
        <f t="shared" si="20"/>
        <v>2137.0100000000002</v>
      </c>
      <c r="AA48" s="184">
        <f t="shared" si="20"/>
        <v>2137.0100000000002</v>
      </c>
      <c r="AB48" s="184">
        <f t="shared" si="20"/>
        <v>2137.0100000000002</v>
      </c>
      <c r="AC48" s="184">
        <f t="shared" si="20"/>
        <v>2137.0100000000002</v>
      </c>
    </row>
    <row r="49" spans="1:29" x14ac:dyDescent="0.25">
      <c r="A49" s="182" t="s">
        <v>29</v>
      </c>
      <c r="B49" s="183" t="s">
        <v>4</v>
      </c>
      <c r="C49" s="183"/>
      <c r="D49" s="184">
        <v>3687.21</v>
      </c>
      <c r="E49" s="184">
        <f t="shared" si="13"/>
        <v>3687.21</v>
      </c>
      <c r="F49" s="184">
        <v>3687.21</v>
      </c>
      <c r="G49" s="184">
        <f t="shared" si="14"/>
        <v>3687.21</v>
      </c>
      <c r="H49" s="184">
        <v>3687.21</v>
      </c>
      <c r="I49" s="184">
        <f t="shared" si="15"/>
        <v>4063.3449999999998</v>
      </c>
      <c r="J49" s="184">
        <v>4439.4799999999996</v>
      </c>
      <c r="K49" s="184">
        <f t="shared" si="16"/>
        <v>3868.1124999999997</v>
      </c>
      <c r="L49" s="184">
        <v>3296.7449999999999</v>
      </c>
      <c r="M49" s="184">
        <v>370.94</v>
      </c>
      <c r="N49" s="184">
        <v>370.94</v>
      </c>
      <c r="O49" s="184">
        <v>2590.52</v>
      </c>
      <c r="P49" s="184">
        <v>2590.52</v>
      </c>
      <c r="Q49" s="184">
        <f t="shared" ref="Q49:AC49" si="21">+P49</f>
        <v>2590.52</v>
      </c>
      <c r="R49" s="184">
        <f t="shared" si="21"/>
        <v>2590.52</v>
      </c>
      <c r="S49" s="184">
        <f t="shared" si="21"/>
        <v>2590.52</v>
      </c>
      <c r="T49" s="184">
        <f t="shared" si="21"/>
        <v>2590.52</v>
      </c>
      <c r="U49" s="184">
        <f t="shared" si="21"/>
        <v>2590.52</v>
      </c>
      <c r="V49" s="184">
        <f t="shared" si="21"/>
        <v>2590.52</v>
      </c>
      <c r="W49" s="184">
        <f t="shared" si="21"/>
        <v>2590.52</v>
      </c>
      <c r="X49" s="184">
        <f t="shared" si="21"/>
        <v>2590.52</v>
      </c>
      <c r="Y49" s="184">
        <f t="shared" si="21"/>
        <v>2590.52</v>
      </c>
      <c r="Z49" s="184">
        <f t="shared" si="21"/>
        <v>2590.52</v>
      </c>
      <c r="AA49" s="184">
        <f t="shared" si="21"/>
        <v>2590.52</v>
      </c>
      <c r="AB49" s="184">
        <f t="shared" si="21"/>
        <v>2590.52</v>
      </c>
      <c r="AC49" s="184">
        <f t="shared" si="21"/>
        <v>2590.52</v>
      </c>
    </row>
    <row r="50" spans="1:29" x14ac:dyDescent="0.25">
      <c r="A50" s="187"/>
      <c r="B50" s="188"/>
      <c r="C50" s="174">
        <f>+SUM(P$51:P$59)/(SUM(P$22:P$30)+SUM(P$37:P$45)+SUM(P$51:P$59)+SUM(P$65:P$73)+SUM(P$80:P$88))</f>
        <v>6.8794116233122177E-2</v>
      </c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84"/>
    </row>
    <row r="51" spans="1:29" x14ac:dyDescent="0.25">
      <c r="A51" s="192" t="s">
        <v>18</v>
      </c>
      <c r="B51" s="54" t="s">
        <v>5</v>
      </c>
      <c r="C51" s="176">
        <f t="shared" ref="C51:C59" si="22">+P51/SUM(P$51:P$59)</f>
        <v>1.3054410525841944E-3</v>
      </c>
      <c r="D51" s="84">
        <v>0</v>
      </c>
      <c r="E51" s="84">
        <f t="shared" ref="E51:E63" si="23">+(D51+F51)/2</f>
        <v>0</v>
      </c>
      <c r="F51" s="84">
        <v>0</v>
      </c>
      <c r="G51" s="84">
        <f t="shared" ref="G51:G63" si="24">+(F51+H51)/2</f>
        <v>0</v>
      </c>
      <c r="H51" s="84">
        <v>0</v>
      </c>
      <c r="I51" s="84">
        <f t="shared" ref="I51:I63" si="25">+(H51+J51)/2</f>
        <v>0</v>
      </c>
      <c r="J51" s="84">
        <v>0</v>
      </c>
      <c r="K51" s="84">
        <f t="shared" ref="K51:K63" si="26">+(J51+L51)/2</f>
        <v>0</v>
      </c>
      <c r="L51" s="84">
        <v>0</v>
      </c>
      <c r="M51" s="84">
        <v>57.06</v>
      </c>
      <c r="N51" s="84">
        <v>57.06</v>
      </c>
      <c r="O51" s="84">
        <v>9.1349999999999998</v>
      </c>
      <c r="P51" s="84">
        <v>9.1349999999999998</v>
      </c>
      <c r="Q51" s="178">
        <f>+Q$21*$C$50*$C51</f>
        <v>8.5668495083566915E-3</v>
      </c>
      <c r="R51" s="178">
        <f t="shared" ref="Q51:AC59" si="27">+R$21*$C$50*$C51</f>
        <v>8.5038588948239263E-3</v>
      </c>
      <c r="S51" s="178">
        <f t="shared" si="27"/>
        <v>8.4399702763710144E-3</v>
      </c>
      <c r="T51" s="178">
        <f t="shared" si="27"/>
        <v>7.9583220928590333E-3</v>
      </c>
      <c r="U51" s="178">
        <f t="shared" si="27"/>
        <v>4.0471470789834405E-3</v>
      </c>
      <c r="V51" s="178">
        <f t="shared" si="27"/>
        <v>3.9850606619926347E-3</v>
      </c>
      <c r="W51" s="178">
        <f t="shared" si="27"/>
        <v>3.924770436543705E-3</v>
      </c>
      <c r="X51" s="178">
        <f t="shared" si="27"/>
        <v>3.8644802693372313E-3</v>
      </c>
      <c r="Y51" s="178">
        <f t="shared" si="27"/>
        <v>3.8041946506785053E-3</v>
      </c>
      <c r="Z51" s="178">
        <f t="shared" si="27"/>
        <v>3.7448026665069249E-3</v>
      </c>
      <c r="AA51" s="178">
        <f t="shared" si="27"/>
        <v>3.6854098424264053E-3</v>
      </c>
      <c r="AB51" s="178">
        <f t="shared" si="27"/>
        <v>3.6278150058780489E-3</v>
      </c>
      <c r="AC51" s="178">
        <f t="shared" si="27"/>
        <v>3.5684267883588699E-3</v>
      </c>
    </row>
    <row r="52" spans="1:29" x14ac:dyDescent="0.25">
      <c r="A52" s="192" t="s">
        <v>20</v>
      </c>
      <c r="B52" s="54" t="s">
        <v>5</v>
      </c>
      <c r="C52" s="176">
        <f t="shared" si="22"/>
        <v>2.9066963338327876E-3</v>
      </c>
      <c r="D52" s="84">
        <v>185.4</v>
      </c>
      <c r="E52" s="84">
        <f t="shared" si="23"/>
        <v>185.4</v>
      </c>
      <c r="F52" s="84">
        <v>185.4</v>
      </c>
      <c r="G52" s="84">
        <f t="shared" si="24"/>
        <v>185.4</v>
      </c>
      <c r="H52" s="84">
        <v>185.4</v>
      </c>
      <c r="I52" s="84">
        <f t="shared" si="25"/>
        <v>190.50749999999999</v>
      </c>
      <c r="J52" s="84">
        <v>195.61499999999998</v>
      </c>
      <c r="K52" s="84">
        <f t="shared" si="26"/>
        <v>133.49250000000001</v>
      </c>
      <c r="L52" s="84">
        <v>71.37</v>
      </c>
      <c r="M52" s="84">
        <v>97.2</v>
      </c>
      <c r="N52" s="84">
        <v>97.2</v>
      </c>
      <c r="O52" s="84">
        <v>20.34</v>
      </c>
      <c r="P52" s="84">
        <v>20.34</v>
      </c>
      <c r="Q52" s="178">
        <f t="shared" si="27"/>
        <v>1.9074955555552831E-2</v>
      </c>
      <c r="R52" s="178">
        <f t="shared" si="27"/>
        <v>1.8934700593401056E-2</v>
      </c>
      <c r="S52" s="178">
        <f t="shared" si="27"/>
        <v>1.8792446132609351E-2</v>
      </c>
      <c r="T52" s="178">
        <f t="shared" si="27"/>
        <v>1.7720007812671346E-2</v>
      </c>
      <c r="U52" s="178">
        <f t="shared" si="27"/>
        <v>9.0113816734015521E-3</v>
      </c>
      <c r="V52" s="178">
        <f t="shared" si="27"/>
        <v>8.8731399961609406E-3</v>
      </c>
      <c r="W52" s="178">
        <f t="shared" si="27"/>
        <v>8.7388977207771175E-3</v>
      </c>
      <c r="X52" s="178">
        <f t="shared" si="27"/>
        <v>8.6046555750760034E-3</v>
      </c>
      <c r="Y52" s="178">
        <f t="shared" si="27"/>
        <v>8.4704235571757859E-3</v>
      </c>
      <c r="Z52" s="178">
        <f t="shared" si="27"/>
        <v>8.3381813067050746E-3</v>
      </c>
      <c r="AA52" s="178">
        <f t="shared" si="27"/>
        <v>8.2059371860922908E-3</v>
      </c>
      <c r="AB52" s="178">
        <f t="shared" si="27"/>
        <v>8.0776964662900401E-3</v>
      </c>
      <c r="AC52" s="178">
        <f t="shared" si="27"/>
        <v>7.9454626026512765E-3</v>
      </c>
    </row>
    <row r="53" spans="1:29" x14ac:dyDescent="0.25">
      <c r="A53" s="192" t="s">
        <v>21</v>
      </c>
      <c r="B53" s="54" t="s">
        <v>5</v>
      </c>
      <c r="C53" s="176">
        <f t="shared" si="22"/>
        <v>6.5754358436814722E-2</v>
      </c>
      <c r="D53" s="84">
        <v>0</v>
      </c>
      <c r="E53" s="84">
        <f t="shared" si="23"/>
        <v>0</v>
      </c>
      <c r="F53" s="84">
        <v>0</v>
      </c>
      <c r="G53" s="84">
        <f t="shared" si="24"/>
        <v>0</v>
      </c>
      <c r="H53" s="84">
        <v>0</v>
      </c>
      <c r="I53" s="84">
        <f t="shared" si="25"/>
        <v>0</v>
      </c>
      <c r="J53" s="84">
        <v>0</v>
      </c>
      <c r="K53" s="84">
        <f t="shared" si="26"/>
        <v>0.5625</v>
      </c>
      <c r="L53" s="84">
        <v>1.125</v>
      </c>
      <c r="M53" s="84">
        <v>731.3</v>
      </c>
      <c r="N53" s="84">
        <v>731.3</v>
      </c>
      <c r="O53" s="84">
        <v>460.125</v>
      </c>
      <c r="P53" s="84">
        <v>460.125</v>
      </c>
      <c r="Q53" s="178">
        <f t="shared" si="27"/>
        <v>0.43150756760072495</v>
      </c>
      <c r="R53" s="178">
        <f t="shared" si="27"/>
        <v>0.42833476452992436</v>
      </c>
      <c r="S53" s="178">
        <f t="shared" si="27"/>
        <v>0.42511672943789963</v>
      </c>
      <c r="T53" s="178">
        <f t="shared" si="27"/>
        <v>0.4008563714260277</v>
      </c>
      <c r="U53" s="178">
        <f t="shared" si="27"/>
        <v>0.2038526053330329</v>
      </c>
      <c r="V53" s="178">
        <f t="shared" si="27"/>
        <v>0.20072534615209206</v>
      </c>
      <c r="W53" s="178">
        <f t="shared" si="27"/>
        <v>0.1976885601658098</v>
      </c>
      <c r="X53" s="178">
        <f t="shared" si="27"/>
        <v>0.19465177711316844</v>
      </c>
      <c r="Y53" s="178">
        <f t="shared" si="27"/>
        <v>0.1916152231684124</v>
      </c>
      <c r="Z53" s="178">
        <f t="shared" si="27"/>
        <v>0.18862368110853847</v>
      </c>
      <c r="AA53" s="178">
        <f t="shared" si="27"/>
        <v>0.18563209674290637</v>
      </c>
      <c r="AB53" s="178">
        <f t="shared" si="27"/>
        <v>0.18273107603499039</v>
      </c>
      <c r="AC53" s="178">
        <f t="shared" si="27"/>
        <v>0.17973972369935687</v>
      </c>
    </row>
    <row r="54" spans="1:29" x14ac:dyDescent="0.25">
      <c r="A54" s="192" t="s">
        <v>22</v>
      </c>
      <c r="B54" s="54" t="s">
        <v>5</v>
      </c>
      <c r="C54" s="176">
        <f t="shared" si="22"/>
        <v>0.13582374616566883</v>
      </c>
      <c r="D54" s="84">
        <v>0</v>
      </c>
      <c r="E54" s="84">
        <f t="shared" si="23"/>
        <v>0</v>
      </c>
      <c r="F54" s="84">
        <v>0</v>
      </c>
      <c r="G54" s="84">
        <f t="shared" si="24"/>
        <v>0</v>
      </c>
      <c r="H54" s="84">
        <v>0</v>
      </c>
      <c r="I54" s="84">
        <f t="shared" si="25"/>
        <v>0</v>
      </c>
      <c r="J54" s="84">
        <v>0</v>
      </c>
      <c r="K54" s="84">
        <f t="shared" si="26"/>
        <v>2.2949999999999999</v>
      </c>
      <c r="L54" s="84">
        <v>4.59</v>
      </c>
      <c r="M54" s="84">
        <v>237.2</v>
      </c>
      <c r="N54" s="84">
        <v>237.2</v>
      </c>
      <c r="O54" s="84">
        <v>950.44500000000005</v>
      </c>
      <c r="P54" s="84">
        <v>950.44500000000005</v>
      </c>
      <c r="Q54" s="178">
        <f t="shared" si="27"/>
        <v>0.89133215993104287</v>
      </c>
      <c r="R54" s="178">
        <f t="shared" si="27"/>
        <v>0.88477834343633577</v>
      </c>
      <c r="S54" s="178">
        <f t="shared" si="27"/>
        <v>0.87813109461690753</v>
      </c>
      <c r="T54" s="178">
        <f t="shared" si="27"/>
        <v>0.82801832967130873</v>
      </c>
      <c r="U54" s="178">
        <f t="shared" si="27"/>
        <v>0.42108272638034111</v>
      </c>
      <c r="V54" s="178">
        <f t="shared" si="27"/>
        <v>0.41462298641352929</v>
      </c>
      <c r="W54" s="178">
        <f t="shared" si="27"/>
        <v>0.40835013000118031</v>
      </c>
      <c r="X54" s="178">
        <f t="shared" si="27"/>
        <v>0.40207727964862894</v>
      </c>
      <c r="Y54" s="178">
        <f t="shared" si="27"/>
        <v>0.39580490254670303</v>
      </c>
      <c r="Z54" s="178">
        <f t="shared" si="27"/>
        <v>0.38962550305070326</v>
      </c>
      <c r="AA54" s="178">
        <f t="shared" si="27"/>
        <v>0.38344601616693652</v>
      </c>
      <c r="AB54" s="178">
        <f t="shared" si="27"/>
        <v>0.37745359970024767</v>
      </c>
      <c r="AC54" s="178">
        <f t="shared" si="27"/>
        <v>0.3712745921030921</v>
      </c>
    </row>
    <row r="55" spans="1:29" x14ac:dyDescent="0.25">
      <c r="A55" s="192" t="s">
        <v>23</v>
      </c>
      <c r="B55" s="54" t="s">
        <v>5</v>
      </c>
      <c r="C55" s="176">
        <f t="shared" si="22"/>
        <v>3.6526626495951842E-3</v>
      </c>
      <c r="D55" s="84">
        <v>0</v>
      </c>
      <c r="E55" s="84">
        <f t="shared" si="23"/>
        <v>0</v>
      </c>
      <c r="F55" s="84">
        <v>0</v>
      </c>
      <c r="G55" s="84">
        <f t="shared" si="24"/>
        <v>0</v>
      </c>
      <c r="H55" s="84">
        <v>0</v>
      </c>
      <c r="I55" s="84">
        <f t="shared" si="25"/>
        <v>0</v>
      </c>
      <c r="J55" s="84">
        <v>0</v>
      </c>
      <c r="K55" s="84">
        <f t="shared" si="26"/>
        <v>0</v>
      </c>
      <c r="L55" s="84">
        <v>0</v>
      </c>
      <c r="M55" s="84">
        <v>54.77</v>
      </c>
      <c r="N55" s="84">
        <v>54.77</v>
      </c>
      <c r="O55" s="84">
        <v>25.56</v>
      </c>
      <c r="P55" s="84">
        <v>25.56</v>
      </c>
      <c r="Q55" s="178">
        <f t="shared" si="27"/>
        <v>2.3970298131756652E-2</v>
      </c>
      <c r="R55" s="178">
        <f t="shared" si="27"/>
        <v>2.3794048533300444E-2</v>
      </c>
      <c r="S55" s="178">
        <f t="shared" si="27"/>
        <v>2.3615286290535643E-2</v>
      </c>
      <c r="T55" s="178">
        <f t="shared" si="27"/>
        <v>2.2267620437162221E-2</v>
      </c>
      <c r="U55" s="178">
        <f t="shared" si="27"/>
        <v>1.1324037147106374E-2</v>
      </c>
      <c r="V55" s="178">
        <f t="shared" si="27"/>
        <v>1.1150317517299587E-2</v>
      </c>
      <c r="W55" s="178">
        <f t="shared" si="27"/>
        <v>1.0981623684516375E-2</v>
      </c>
      <c r="X55" s="178">
        <f t="shared" si="27"/>
        <v>1.0812930014697276E-2</v>
      </c>
      <c r="Y55" s="178">
        <f t="shared" si="27"/>
        <v>1.0644249071849216E-2</v>
      </c>
      <c r="Z55" s="178">
        <f t="shared" si="27"/>
        <v>1.047806854470903E-2</v>
      </c>
      <c r="AA55" s="178">
        <f t="shared" si="27"/>
        <v>1.0311885667478808E-2</v>
      </c>
      <c r="AB55" s="178">
        <f t="shared" si="27"/>
        <v>1.0150733612506067E-2</v>
      </c>
      <c r="AC55" s="178">
        <f t="shared" si="27"/>
        <v>9.9845636245706297E-3</v>
      </c>
    </row>
    <row r="56" spans="1:29" ht="22.5" x14ac:dyDescent="0.25">
      <c r="A56" s="192" t="s">
        <v>24</v>
      </c>
      <c r="B56" s="54" t="s">
        <v>5</v>
      </c>
      <c r="C56" s="176">
        <f t="shared" si="22"/>
        <v>0.74024295351215086</v>
      </c>
      <c r="D56" s="84">
        <v>0</v>
      </c>
      <c r="E56" s="84">
        <f t="shared" si="23"/>
        <v>0</v>
      </c>
      <c r="F56" s="84">
        <v>0</v>
      </c>
      <c r="G56" s="84">
        <f t="shared" si="24"/>
        <v>0</v>
      </c>
      <c r="H56" s="84">
        <v>0</v>
      </c>
      <c r="I56" s="84">
        <f t="shared" si="25"/>
        <v>0</v>
      </c>
      <c r="J56" s="84">
        <v>0</v>
      </c>
      <c r="K56" s="84">
        <f t="shared" si="26"/>
        <v>0</v>
      </c>
      <c r="L56" s="84">
        <v>0</v>
      </c>
      <c r="M56" s="84">
        <v>3041.91</v>
      </c>
      <c r="N56" s="84">
        <v>3041.91</v>
      </c>
      <c r="O56" s="84">
        <v>5179.95</v>
      </c>
      <c r="P56" s="84">
        <v>5179.95</v>
      </c>
      <c r="Q56" s="178">
        <f t="shared" si="27"/>
        <v>4.8577834823001904</v>
      </c>
      <c r="R56" s="178">
        <f t="shared" si="27"/>
        <v>4.8220650117398138</v>
      </c>
      <c r="S56" s="178">
        <f t="shared" si="27"/>
        <v>4.785837332576687</v>
      </c>
      <c r="T56" s="178">
        <f t="shared" si="27"/>
        <v>4.512721458665041</v>
      </c>
      <c r="U56" s="178">
        <f t="shared" si="27"/>
        <v>2.2949118239496737</v>
      </c>
      <c r="V56" s="178">
        <f t="shared" si="27"/>
        <v>2.2597060729161189</v>
      </c>
      <c r="W56" s="178">
        <f t="shared" si="27"/>
        <v>2.2255188421209158</v>
      </c>
      <c r="X56" s="178">
        <f t="shared" si="27"/>
        <v>2.191331644351767</v>
      </c>
      <c r="Y56" s="178">
        <f t="shared" si="27"/>
        <v>2.1571470258108509</v>
      </c>
      <c r="Z56" s="178">
        <f t="shared" si="27"/>
        <v>2.1234691376434096</v>
      </c>
      <c r="AA56" s="178">
        <f t="shared" si="27"/>
        <v>2.0897907732103622</v>
      </c>
      <c r="AB56" s="178">
        <f t="shared" si="27"/>
        <v>2.0571319474217842</v>
      </c>
      <c r="AC56" s="178">
        <f t="shared" si="27"/>
        <v>2.023456195113249</v>
      </c>
    </row>
    <row r="57" spans="1:29" x14ac:dyDescent="0.25">
      <c r="A57" s="192" t="s">
        <v>25</v>
      </c>
      <c r="B57" s="54" t="s">
        <v>5</v>
      </c>
      <c r="C57" s="176">
        <f t="shared" si="22"/>
        <v>9.9033459161559576E-3</v>
      </c>
      <c r="D57" s="84">
        <v>23.204999999999998</v>
      </c>
      <c r="E57" s="84">
        <f t="shared" si="23"/>
        <v>23.204999999999998</v>
      </c>
      <c r="F57" s="84">
        <v>23.204999999999998</v>
      </c>
      <c r="G57" s="84">
        <f t="shared" si="24"/>
        <v>23.204999999999998</v>
      </c>
      <c r="H57" s="84">
        <v>23.204999999999998</v>
      </c>
      <c r="I57" s="84">
        <f t="shared" si="25"/>
        <v>53.52000000000001</v>
      </c>
      <c r="J57" s="84">
        <v>83.835000000000022</v>
      </c>
      <c r="K57" s="84">
        <f t="shared" si="26"/>
        <v>61.627500000000012</v>
      </c>
      <c r="L57" s="84">
        <v>39.42</v>
      </c>
      <c r="M57" s="84">
        <v>17.149999999999999</v>
      </c>
      <c r="N57" s="84">
        <v>17.149999999999999</v>
      </c>
      <c r="O57" s="84">
        <v>69.3</v>
      </c>
      <c r="P57" s="84">
        <v>69.3</v>
      </c>
      <c r="Q57" s="178">
        <f t="shared" si="27"/>
        <v>6.4989892822016282E-2</v>
      </c>
      <c r="R57" s="178">
        <f t="shared" si="27"/>
        <v>6.451203299521599E-2</v>
      </c>
      <c r="S57" s="178">
        <f t="shared" si="27"/>
        <v>6.4027360717297352E-2</v>
      </c>
      <c r="T57" s="178">
        <f t="shared" si="27"/>
        <v>6.0373477945827154E-2</v>
      </c>
      <c r="U57" s="178">
        <f t="shared" si="27"/>
        <v>3.0702495081943337E-2</v>
      </c>
      <c r="V57" s="178">
        <f t="shared" si="27"/>
        <v>3.0231494677185503E-2</v>
      </c>
      <c r="W57" s="178">
        <f t="shared" si="27"/>
        <v>2.9774120553090175E-2</v>
      </c>
      <c r="X57" s="178">
        <f t="shared" si="27"/>
        <v>2.931674687083417E-2</v>
      </c>
      <c r="Y57" s="178">
        <f t="shared" si="27"/>
        <v>2.8859407694802455E-2</v>
      </c>
      <c r="Z57" s="178">
        <f t="shared" si="27"/>
        <v>2.8408847814880119E-2</v>
      </c>
      <c r="AA57" s="178">
        <f t="shared" si="27"/>
        <v>2.7958281563234797E-2</v>
      </c>
      <c r="AB57" s="178">
        <f t="shared" si="27"/>
        <v>2.7521355217005886E-2</v>
      </c>
      <c r="AC57" s="178">
        <f t="shared" si="27"/>
        <v>2.7070823911687976E-2</v>
      </c>
    </row>
    <row r="58" spans="1:29" x14ac:dyDescent="0.25">
      <c r="A58" s="192" t="s">
        <v>26</v>
      </c>
      <c r="B58" s="54" t="s">
        <v>5</v>
      </c>
      <c r="C58" s="176">
        <f t="shared" si="22"/>
        <v>6.8808961884979708E-3</v>
      </c>
      <c r="D58" s="84">
        <v>709.14</v>
      </c>
      <c r="E58" s="84">
        <f t="shared" si="23"/>
        <v>709.14</v>
      </c>
      <c r="F58" s="84">
        <v>709.14</v>
      </c>
      <c r="G58" s="84">
        <f t="shared" si="24"/>
        <v>709.14</v>
      </c>
      <c r="H58" s="84">
        <v>709.14</v>
      </c>
      <c r="I58" s="84">
        <f t="shared" si="25"/>
        <v>809.33999999999992</v>
      </c>
      <c r="J58" s="84">
        <v>909.54</v>
      </c>
      <c r="K58" s="84">
        <f t="shared" si="26"/>
        <v>947.43000000000006</v>
      </c>
      <c r="L58" s="84">
        <v>985.32</v>
      </c>
      <c r="M58" s="84">
        <v>719.15</v>
      </c>
      <c r="N58" s="84">
        <v>719.15</v>
      </c>
      <c r="O58" s="84">
        <v>48.15</v>
      </c>
      <c r="P58" s="84">
        <v>48.15</v>
      </c>
      <c r="Q58" s="178">
        <f t="shared" si="27"/>
        <v>4.5155315142569749E-2</v>
      </c>
      <c r="R58" s="178">
        <f t="shared" si="27"/>
        <v>4.4823295652520204E-2</v>
      </c>
      <c r="S58" s="178">
        <f t="shared" si="27"/>
        <v>4.4486542836044266E-2</v>
      </c>
      <c r="T58" s="178">
        <f t="shared" si="27"/>
        <v>4.1947806105217568E-2</v>
      </c>
      <c r="U58" s="178">
        <f t="shared" si="27"/>
        <v>2.1332253076415179E-2</v>
      </c>
      <c r="V58" s="178">
        <f t="shared" si="27"/>
        <v>2.1004999548434083E-2</v>
      </c>
      <c r="W58" s="178">
        <f t="shared" si="27"/>
        <v>2.0687213631043175E-2</v>
      </c>
      <c r="X58" s="178">
        <f t="shared" si="27"/>
        <v>2.0369428020644519E-2</v>
      </c>
      <c r="Y58" s="178">
        <f t="shared" si="27"/>
        <v>2.0051666385349758E-2</v>
      </c>
      <c r="Z58" s="178">
        <f t="shared" si="27"/>
        <v>1.9738615040208914E-2</v>
      </c>
      <c r="AA58" s="178">
        <f t="shared" si="27"/>
        <v>1.9425559267961839E-2</v>
      </c>
      <c r="AB58" s="178">
        <f t="shared" si="27"/>
        <v>1.912198057285474E-2</v>
      </c>
      <c r="AC58" s="178">
        <f t="shared" si="27"/>
        <v>1.8808949081497491E-2</v>
      </c>
    </row>
    <row r="59" spans="1:29" x14ac:dyDescent="0.25">
      <c r="A59" s="192" t="s">
        <v>27</v>
      </c>
      <c r="B59" s="54" t="s">
        <v>5</v>
      </c>
      <c r="C59" s="176">
        <f t="shared" si="22"/>
        <v>3.3529899744699457E-2</v>
      </c>
      <c r="D59" s="84">
        <v>0</v>
      </c>
      <c r="E59" s="84">
        <f t="shared" si="23"/>
        <v>0</v>
      </c>
      <c r="F59" s="84">
        <v>0</v>
      </c>
      <c r="G59" s="84">
        <f t="shared" si="24"/>
        <v>0</v>
      </c>
      <c r="H59" s="84">
        <v>0</v>
      </c>
      <c r="I59" s="84">
        <f t="shared" si="25"/>
        <v>0</v>
      </c>
      <c r="J59" s="84">
        <v>0</v>
      </c>
      <c r="K59" s="84">
        <f t="shared" si="26"/>
        <v>0</v>
      </c>
      <c r="L59" s="84">
        <v>0</v>
      </c>
      <c r="M59" s="84">
        <v>552.78</v>
      </c>
      <c r="N59" s="84">
        <v>552.78</v>
      </c>
      <c r="O59" s="84">
        <v>234.63</v>
      </c>
      <c r="P59" s="84">
        <v>234.63</v>
      </c>
      <c r="Q59" s="178">
        <f t="shared" si="27"/>
        <v>0.22003720855454081</v>
      </c>
      <c r="R59" s="178">
        <f t="shared" si="27"/>
        <v>0.21841931171237414</v>
      </c>
      <c r="S59" s="178">
        <f t="shared" si="27"/>
        <v>0.21677834985713532</v>
      </c>
      <c r="T59" s="178">
        <f t="shared" si="27"/>
        <v>0.20440734675944336</v>
      </c>
      <c r="U59" s="178">
        <f t="shared" si="27"/>
        <v>0.10394987620600817</v>
      </c>
      <c r="V59" s="178">
        <f t="shared" si="27"/>
        <v>0.10235520340704235</v>
      </c>
      <c r="W59" s="178">
        <f t="shared" si="27"/>
        <v>0.10080666530117674</v>
      </c>
      <c r="X59" s="178">
        <f t="shared" si="27"/>
        <v>9.9258128691252834E-2</v>
      </c>
      <c r="Y59" s="178">
        <f t="shared" si="27"/>
        <v>9.7709708909545445E-2</v>
      </c>
      <c r="Z59" s="178">
        <f t="shared" si="27"/>
        <v>9.6184241887522684E-2</v>
      </c>
      <c r="AA59" s="178">
        <f t="shared" si="27"/>
        <v>9.4658753292666389E-2</v>
      </c>
      <c r="AB59" s="178">
        <f t="shared" si="27"/>
        <v>9.3179445520434223E-2</v>
      </c>
      <c r="AC59" s="178">
        <f t="shared" si="27"/>
        <v>9.1654075243857866E-2</v>
      </c>
    </row>
    <row r="60" spans="1:29" x14ac:dyDescent="0.25">
      <c r="A60" s="186" t="s">
        <v>28</v>
      </c>
      <c r="B60" s="180" t="s">
        <v>5</v>
      </c>
      <c r="C60" s="180"/>
      <c r="D60" s="181">
        <v>0</v>
      </c>
      <c r="E60" s="181">
        <f t="shared" si="23"/>
        <v>0</v>
      </c>
      <c r="F60" s="181">
        <v>0</v>
      </c>
      <c r="G60" s="181">
        <f t="shared" si="24"/>
        <v>0</v>
      </c>
      <c r="H60" s="181">
        <v>0</v>
      </c>
      <c r="I60" s="181">
        <f t="shared" si="25"/>
        <v>54.81</v>
      </c>
      <c r="J60" s="181">
        <v>109.62</v>
      </c>
      <c r="K60" s="181">
        <f t="shared" si="26"/>
        <v>63.765000000000001</v>
      </c>
      <c r="L60" s="181">
        <v>17.91</v>
      </c>
      <c r="M60" s="181">
        <v>18.989999999999998</v>
      </c>
      <c r="N60" s="181">
        <v>18.989999999999998</v>
      </c>
      <c r="O60" s="181">
        <v>7.2</v>
      </c>
      <c r="P60" s="181">
        <v>7.2</v>
      </c>
      <c r="Q60" s="181">
        <f t="shared" ref="Q60:AC60" si="28">+P60</f>
        <v>7.2</v>
      </c>
      <c r="R60" s="181">
        <f t="shared" si="28"/>
        <v>7.2</v>
      </c>
      <c r="S60" s="181">
        <f t="shared" si="28"/>
        <v>7.2</v>
      </c>
      <c r="T60" s="181">
        <f t="shared" si="28"/>
        <v>7.2</v>
      </c>
      <c r="U60" s="181">
        <f t="shared" si="28"/>
        <v>7.2</v>
      </c>
      <c r="V60" s="181">
        <f t="shared" si="28"/>
        <v>7.2</v>
      </c>
      <c r="W60" s="181">
        <f t="shared" si="28"/>
        <v>7.2</v>
      </c>
      <c r="X60" s="181">
        <f t="shared" si="28"/>
        <v>7.2</v>
      </c>
      <c r="Y60" s="181">
        <f t="shared" si="28"/>
        <v>7.2</v>
      </c>
      <c r="Z60" s="181">
        <f t="shared" si="28"/>
        <v>7.2</v>
      </c>
      <c r="AA60" s="181">
        <f t="shared" si="28"/>
        <v>7.2</v>
      </c>
      <c r="AB60" s="181">
        <f t="shared" si="28"/>
        <v>7.2</v>
      </c>
      <c r="AC60" s="181">
        <f t="shared" si="28"/>
        <v>7.2</v>
      </c>
    </row>
    <row r="61" spans="1:29" x14ac:dyDescent="0.25">
      <c r="A61" s="182" t="s">
        <v>19</v>
      </c>
      <c r="B61" s="183" t="s">
        <v>5</v>
      </c>
      <c r="C61" s="183"/>
      <c r="D61" s="184">
        <v>7739.04</v>
      </c>
      <c r="E61" s="184">
        <f t="shared" si="23"/>
        <v>7739.04</v>
      </c>
      <c r="F61" s="184">
        <v>7739.04</v>
      </c>
      <c r="G61" s="184">
        <f t="shared" si="24"/>
        <v>7739.04</v>
      </c>
      <c r="H61" s="184">
        <v>7739.04</v>
      </c>
      <c r="I61" s="184">
        <f t="shared" si="25"/>
        <v>7635.75</v>
      </c>
      <c r="J61" s="184">
        <v>7532.46</v>
      </c>
      <c r="K61" s="184">
        <f t="shared" si="26"/>
        <v>7934.3799999999992</v>
      </c>
      <c r="L61" s="184">
        <v>8336.2999999999993</v>
      </c>
      <c r="M61" s="184">
        <v>7082.69</v>
      </c>
      <c r="N61" s="184">
        <v>7082.69</v>
      </c>
      <c r="O61" s="184">
        <v>1511.69</v>
      </c>
      <c r="P61" s="184">
        <v>1511.69</v>
      </c>
      <c r="Q61" s="184">
        <f t="shared" ref="Q61:AC61" si="29">+P61</f>
        <v>1511.69</v>
      </c>
      <c r="R61" s="184">
        <f t="shared" si="29"/>
        <v>1511.69</v>
      </c>
      <c r="S61" s="184">
        <f t="shared" si="29"/>
        <v>1511.69</v>
      </c>
      <c r="T61" s="184">
        <f t="shared" si="29"/>
        <v>1511.69</v>
      </c>
      <c r="U61" s="184">
        <f t="shared" si="29"/>
        <v>1511.69</v>
      </c>
      <c r="V61" s="184">
        <f t="shared" si="29"/>
        <v>1511.69</v>
      </c>
      <c r="W61" s="184">
        <f t="shared" si="29"/>
        <v>1511.69</v>
      </c>
      <c r="X61" s="184">
        <f t="shared" si="29"/>
        <v>1511.69</v>
      </c>
      <c r="Y61" s="184">
        <f t="shared" si="29"/>
        <v>1511.69</v>
      </c>
      <c r="Z61" s="184">
        <f t="shared" si="29"/>
        <v>1511.69</v>
      </c>
      <c r="AA61" s="184">
        <f t="shared" si="29"/>
        <v>1511.69</v>
      </c>
      <c r="AB61" s="184">
        <f t="shared" si="29"/>
        <v>1511.69</v>
      </c>
      <c r="AC61" s="184">
        <f t="shared" si="29"/>
        <v>1511.69</v>
      </c>
    </row>
    <row r="62" spans="1:29" x14ac:dyDescent="0.25">
      <c r="A62" s="182" t="s">
        <v>4</v>
      </c>
      <c r="B62" s="183" t="s">
        <v>5</v>
      </c>
      <c r="C62" s="183"/>
      <c r="D62" s="184">
        <v>420.255</v>
      </c>
      <c r="E62" s="184">
        <f t="shared" si="23"/>
        <v>420.255</v>
      </c>
      <c r="F62" s="184">
        <v>420.255</v>
      </c>
      <c r="G62" s="184">
        <f t="shared" si="24"/>
        <v>420.255</v>
      </c>
      <c r="H62" s="184">
        <v>420.255</v>
      </c>
      <c r="I62" s="184">
        <f t="shared" si="25"/>
        <v>654.66250000000002</v>
      </c>
      <c r="J62" s="184">
        <v>889.07</v>
      </c>
      <c r="K62" s="184">
        <f t="shared" si="26"/>
        <v>530.35</v>
      </c>
      <c r="L62" s="184">
        <v>171.63</v>
      </c>
      <c r="M62" s="184">
        <v>1057.5899999999999</v>
      </c>
      <c r="N62" s="184">
        <v>1057.5899999999999</v>
      </c>
      <c r="O62" s="184">
        <v>137.47999999999999</v>
      </c>
      <c r="P62" s="184">
        <v>137.47999999999999</v>
      </c>
      <c r="Q62" s="184">
        <f t="shared" ref="Q62:AC62" si="30">+P62</f>
        <v>137.47999999999999</v>
      </c>
      <c r="R62" s="184">
        <f t="shared" si="30"/>
        <v>137.47999999999999</v>
      </c>
      <c r="S62" s="184">
        <f t="shared" si="30"/>
        <v>137.47999999999999</v>
      </c>
      <c r="T62" s="184">
        <f t="shared" si="30"/>
        <v>137.47999999999999</v>
      </c>
      <c r="U62" s="184">
        <f t="shared" si="30"/>
        <v>137.47999999999999</v>
      </c>
      <c r="V62" s="184">
        <f t="shared" si="30"/>
        <v>137.47999999999999</v>
      </c>
      <c r="W62" s="184">
        <f t="shared" si="30"/>
        <v>137.47999999999999</v>
      </c>
      <c r="X62" s="184">
        <f t="shared" si="30"/>
        <v>137.47999999999999</v>
      </c>
      <c r="Y62" s="184">
        <f t="shared" si="30"/>
        <v>137.47999999999999</v>
      </c>
      <c r="Z62" s="184">
        <f t="shared" si="30"/>
        <v>137.47999999999999</v>
      </c>
      <c r="AA62" s="184">
        <f t="shared" si="30"/>
        <v>137.47999999999999</v>
      </c>
      <c r="AB62" s="184">
        <f t="shared" si="30"/>
        <v>137.47999999999999</v>
      </c>
      <c r="AC62" s="184">
        <f t="shared" si="30"/>
        <v>137.47999999999999</v>
      </c>
    </row>
    <row r="63" spans="1:29" x14ac:dyDescent="0.25">
      <c r="A63" s="182" t="s">
        <v>29</v>
      </c>
      <c r="B63" s="183" t="s">
        <v>5</v>
      </c>
      <c r="C63" s="183"/>
      <c r="D63" s="184">
        <v>1846.79</v>
      </c>
      <c r="E63" s="184">
        <f t="shared" si="23"/>
        <v>1846.79</v>
      </c>
      <c r="F63" s="184">
        <v>1846.79</v>
      </c>
      <c r="G63" s="184">
        <f t="shared" si="24"/>
        <v>1846.79</v>
      </c>
      <c r="H63" s="184">
        <v>1846.79</v>
      </c>
      <c r="I63" s="184">
        <f t="shared" si="25"/>
        <v>2744.6800000000003</v>
      </c>
      <c r="J63" s="184">
        <v>3642.57</v>
      </c>
      <c r="K63" s="184">
        <f t="shared" si="26"/>
        <v>2664.2049999999999</v>
      </c>
      <c r="L63" s="184">
        <v>1685.84</v>
      </c>
      <c r="M63" s="184">
        <v>3312.72</v>
      </c>
      <c r="N63" s="184">
        <v>3312.72</v>
      </c>
      <c r="O63" s="184">
        <v>218.03</v>
      </c>
      <c r="P63" s="184">
        <v>218.03</v>
      </c>
      <c r="Q63" s="184">
        <f t="shared" ref="Q63:AC63" si="31">+P63</f>
        <v>218.03</v>
      </c>
      <c r="R63" s="184">
        <f t="shared" si="31"/>
        <v>218.03</v>
      </c>
      <c r="S63" s="184">
        <f t="shared" si="31"/>
        <v>218.03</v>
      </c>
      <c r="T63" s="184">
        <f t="shared" si="31"/>
        <v>218.03</v>
      </c>
      <c r="U63" s="184">
        <f t="shared" si="31"/>
        <v>218.03</v>
      </c>
      <c r="V63" s="184">
        <f t="shared" si="31"/>
        <v>218.03</v>
      </c>
      <c r="W63" s="184">
        <f t="shared" si="31"/>
        <v>218.03</v>
      </c>
      <c r="X63" s="184">
        <f t="shared" si="31"/>
        <v>218.03</v>
      </c>
      <c r="Y63" s="184">
        <f t="shared" si="31"/>
        <v>218.03</v>
      </c>
      <c r="Z63" s="184">
        <f t="shared" si="31"/>
        <v>218.03</v>
      </c>
      <c r="AA63" s="184">
        <f t="shared" si="31"/>
        <v>218.03</v>
      </c>
      <c r="AB63" s="184">
        <f t="shared" si="31"/>
        <v>218.03</v>
      </c>
      <c r="AC63" s="184">
        <f t="shared" si="31"/>
        <v>218.03</v>
      </c>
    </row>
    <row r="64" spans="1:29" x14ac:dyDescent="0.25">
      <c r="A64" s="187"/>
      <c r="B64" s="188"/>
      <c r="C64" s="174">
        <f>+SUM(P$65:P$73)/(SUM(P$22:P$30)+SUM(P$37:P$45)+SUM(P$51:P$59)+SUM(P$65:P$73)+SUM(P$80:P$88))</f>
        <v>2.1829950124121957E-2</v>
      </c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</row>
    <row r="65" spans="1:29" x14ac:dyDescent="0.25">
      <c r="A65" s="86" t="s">
        <v>18</v>
      </c>
      <c r="B65" s="54" t="s">
        <v>6</v>
      </c>
      <c r="C65" s="176">
        <f t="shared" ref="C65:C73" si="32">+P65/SUM(P$65:P$73)</f>
        <v>0</v>
      </c>
      <c r="D65" s="60">
        <v>0</v>
      </c>
      <c r="E65" s="84">
        <f t="shared" ref="E65:E78" si="33">+(D65+F65)/2</f>
        <v>0</v>
      </c>
      <c r="F65" s="60">
        <v>0</v>
      </c>
      <c r="G65" s="84">
        <f t="shared" ref="G65:G78" si="34">+(F65+H65)/2</f>
        <v>0</v>
      </c>
      <c r="H65" s="60">
        <v>0</v>
      </c>
      <c r="I65" s="84">
        <f t="shared" ref="I65:I78" si="35">+(H65+J65)/2</f>
        <v>0</v>
      </c>
      <c r="J65" s="60">
        <v>0</v>
      </c>
      <c r="K65" s="84">
        <f t="shared" ref="K65:K78" si="36">+(J65+L65)/2</f>
        <v>5.1974999999999998</v>
      </c>
      <c r="L65" s="60">
        <v>10.395</v>
      </c>
      <c r="M65" s="60">
        <v>7.52</v>
      </c>
      <c r="N65" s="60">
        <v>7.52</v>
      </c>
      <c r="O65" s="60">
        <v>0</v>
      </c>
      <c r="P65" s="60">
        <v>0</v>
      </c>
      <c r="Q65" s="178">
        <f t="shared" ref="Q65:AC73" si="37">+Q$21*$C$64*$C65</f>
        <v>0</v>
      </c>
      <c r="R65" s="178">
        <f t="shared" si="37"/>
        <v>0</v>
      </c>
      <c r="S65" s="178">
        <f t="shared" si="37"/>
        <v>0</v>
      </c>
      <c r="T65" s="178">
        <f t="shared" si="37"/>
        <v>0</v>
      </c>
      <c r="U65" s="178">
        <f t="shared" si="37"/>
        <v>0</v>
      </c>
      <c r="V65" s="178">
        <f t="shared" si="37"/>
        <v>0</v>
      </c>
      <c r="W65" s="178">
        <f t="shared" si="37"/>
        <v>0</v>
      </c>
      <c r="X65" s="178">
        <f t="shared" si="37"/>
        <v>0</v>
      </c>
      <c r="Y65" s="178">
        <f t="shared" si="37"/>
        <v>0</v>
      </c>
      <c r="Z65" s="178">
        <f t="shared" si="37"/>
        <v>0</v>
      </c>
      <c r="AA65" s="178">
        <f t="shared" si="37"/>
        <v>0</v>
      </c>
      <c r="AB65" s="178">
        <f t="shared" si="37"/>
        <v>0</v>
      </c>
      <c r="AC65" s="178">
        <f t="shared" si="37"/>
        <v>0</v>
      </c>
    </row>
    <row r="66" spans="1:29" x14ac:dyDescent="0.25">
      <c r="A66" s="86" t="s">
        <v>20</v>
      </c>
      <c r="B66" s="54" t="s">
        <v>6</v>
      </c>
      <c r="C66" s="176">
        <f t="shared" si="32"/>
        <v>0.36139895789705967</v>
      </c>
      <c r="D66" s="60">
        <v>390</v>
      </c>
      <c r="E66" s="84">
        <f t="shared" si="33"/>
        <v>390</v>
      </c>
      <c r="F66" s="60">
        <v>390</v>
      </c>
      <c r="G66" s="84">
        <f t="shared" si="34"/>
        <v>390</v>
      </c>
      <c r="H66" s="60">
        <v>390</v>
      </c>
      <c r="I66" s="84">
        <f t="shared" si="35"/>
        <v>232.50749999999999</v>
      </c>
      <c r="J66" s="60">
        <v>75.015000000000001</v>
      </c>
      <c r="K66" s="84">
        <f t="shared" si="36"/>
        <v>75.240000000000009</v>
      </c>
      <c r="L66" s="60">
        <v>75.465000000000003</v>
      </c>
      <c r="M66" s="60">
        <v>527.66999999999996</v>
      </c>
      <c r="N66" s="60">
        <v>527.66999999999996</v>
      </c>
      <c r="O66" s="60">
        <v>802.49</v>
      </c>
      <c r="P66" s="60">
        <v>802.49</v>
      </c>
      <c r="Q66" s="178">
        <f t="shared" si="37"/>
        <v>0.75257920765858377</v>
      </c>
      <c r="R66" s="178">
        <f t="shared" si="37"/>
        <v>0.74704561844633321</v>
      </c>
      <c r="S66" s="178">
        <f t="shared" si="37"/>
        <v>0.74143314144334715</v>
      </c>
      <c r="T66" s="178">
        <f t="shared" si="37"/>
        <v>0.69912138985204675</v>
      </c>
      <c r="U66" s="178">
        <f t="shared" si="37"/>
        <v>0.35553312089911565</v>
      </c>
      <c r="V66" s="178">
        <f t="shared" si="37"/>
        <v>0.3500789633981905</v>
      </c>
      <c r="W66" s="178">
        <f t="shared" si="37"/>
        <v>0.3447825974408274</v>
      </c>
      <c r="X66" s="178">
        <f t="shared" si="37"/>
        <v>0.33948623659993815</v>
      </c>
      <c r="Y66" s="178">
        <f t="shared" si="37"/>
        <v>0.33419027533913459</v>
      </c>
      <c r="Z66" s="178">
        <f t="shared" si="37"/>
        <v>0.32897281793597616</v>
      </c>
      <c r="AA66" s="178">
        <f t="shared" si="37"/>
        <v>0.32375528674863346</v>
      </c>
      <c r="AB66" s="178">
        <f t="shared" si="37"/>
        <v>0.31869570487871657</v>
      </c>
      <c r="AC66" s="178">
        <f t="shared" si="37"/>
        <v>0.31347857836782811</v>
      </c>
    </row>
    <row r="67" spans="1:29" x14ac:dyDescent="0.25">
      <c r="A67" s="86" t="s">
        <v>21</v>
      </c>
      <c r="B67" s="54" t="s">
        <v>6</v>
      </c>
      <c r="C67" s="176">
        <f t="shared" si="32"/>
        <v>5.5590832736623561E-2</v>
      </c>
      <c r="D67" s="60">
        <v>42.464999999999996</v>
      </c>
      <c r="E67" s="84">
        <f t="shared" si="33"/>
        <v>42.464999999999996</v>
      </c>
      <c r="F67" s="60">
        <v>42.464999999999996</v>
      </c>
      <c r="G67" s="84">
        <f t="shared" si="34"/>
        <v>42.464999999999996</v>
      </c>
      <c r="H67" s="60">
        <v>42.464999999999996</v>
      </c>
      <c r="I67" s="84">
        <f t="shared" si="35"/>
        <v>54.825000000000003</v>
      </c>
      <c r="J67" s="60">
        <v>67.185000000000002</v>
      </c>
      <c r="K67" s="84">
        <f t="shared" si="36"/>
        <v>89.032499999999999</v>
      </c>
      <c r="L67" s="60">
        <v>110.88</v>
      </c>
      <c r="M67" s="60">
        <v>59.4</v>
      </c>
      <c r="N67" s="60">
        <v>59.4</v>
      </c>
      <c r="O67" s="60">
        <v>123.44</v>
      </c>
      <c r="P67" s="60">
        <v>123.44</v>
      </c>
      <c r="Q67" s="178">
        <f t="shared" si="37"/>
        <v>0.11576266046103449</v>
      </c>
      <c r="R67" s="178">
        <f t="shared" si="37"/>
        <v>0.11491147695424911</v>
      </c>
      <c r="S67" s="178">
        <f t="shared" si="37"/>
        <v>0.11404815883034899</v>
      </c>
      <c r="T67" s="178">
        <f t="shared" si="37"/>
        <v>0.10753971309715592</v>
      </c>
      <c r="U67" s="178">
        <f t="shared" si="37"/>
        <v>5.4688542466307159E-2</v>
      </c>
      <c r="V67" s="178">
        <f t="shared" si="37"/>
        <v>5.3849577243171416E-2</v>
      </c>
      <c r="W67" s="178">
        <f t="shared" si="37"/>
        <v>5.3034883709573613E-2</v>
      </c>
      <c r="X67" s="178">
        <f t="shared" si="37"/>
        <v>5.2220190962998125E-2</v>
      </c>
      <c r="Y67" s="178">
        <f t="shared" si="37"/>
        <v>5.1405559680323454E-2</v>
      </c>
      <c r="Z67" s="178">
        <f t="shared" si="37"/>
        <v>5.0603003957702765E-2</v>
      </c>
      <c r="AA67" s="178">
        <f t="shared" si="37"/>
        <v>4.980043688550799E-2</v>
      </c>
      <c r="AB67" s="178">
        <f t="shared" si="37"/>
        <v>4.9022165771821169E-2</v>
      </c>
      <c r="AC67" s="178">
        <f t="shared" si="37"/>
        <v>4.8219660947456916E-2</v>
      </c>
    </row>
    <row r="68" spans="1:29" x14ac:dyDescent="0.25">
      <c r="A68" s="86" t="s">
        <v>22</v>
      </c>
      <c r="B68" s="54" t="s">
        <v>6</v>
      </c>
      <c r="C68" s="176">
        <f t="shared" si="32"/>
        <v>6.2400079261070648E-2</v>
      </c>
      <c r="D68" s="60">
        <v>51.254999999999995</v>
      </c>
      <c r="E68" s="84">
        <f t="shared" si="33"/>
        <v>51.254999999999995</v>
      </c>
      <c r="F68" s="60">
        <v>51.254999999999995</v>
      </c>
      <c r="G68" s="84">
        <f t="shared" si="34"/>
        <v>51.254999999999995</v>
      </c>
      <c r="H68" s="60">
        <v>51.254999999999995</v>
      </c>
      <c r="I68" s="84">
        <f t="shared" si="35"/>
        <v>48.959999999999994</v>
      </c>
      <c r="J68" s="60">
        <v>46.664999999999992</v>
      </c>
      <c r="K68" s="84">
        <f t="shared" si="36"/>
        <v>61.717499999999994</v>
      </c>
      <c r="L68" s="60">
        <v>76.77</v>
      </c>
      <c r="M68" s="60">
        <v>99.45</v>
      </c>
      <c r="N68" s="60">
        <v>99.45</v>
      </c>
      <c r="O68" s="60">
        <v>138.56</v>
      </c>
      <c r="P68" s="60">
        <v>138.56</v>
      </c>
      <c r="Q68" s="178">
        <f t="shared" si="37"/>
        <v>0.1299422734403835</v>
      </c>
      <c r="R68" s="178">
        <f t="shared" si="37"/>
        <v>0.12898682960775079</v>
      </c>
      <c r="S68" s="178">
        <f t="shared" si="37"/>
        <v>0.12801776480503205</v>
      </c>
      <c r="T68" s="178">
        <f t="shared" si="37"/>
        <v>0.12071210828533639</v>
      </c>
      <c r="U68" s="178">
        <f t="shared" si="37"/>
        <v>6.1387268666003893E-2</v>
      </c>
      <c r="V68" s="178">
        <f t="shared" si="37"/>
        <v>6.0445539718193712E-2</v>
      </c>
      <c r="W68" s="178">
        <f t="shared" si="37"/>
        <v>5.9531055466611471E-2</v>
      </c>
      <c r="X68" s="178">
        <f t="shared" si="37"/>
        <v>5.8616572098452856E-2</v>
      </c>
      <c r="Y68" s="178">
        <f t="shared" si="37"/>
        <v>5.770215772282581E-2</v>
      </c>
      <c r="Z68" s="178">
        <f t="shared" si="37"/>
        <v>5.6801298026403886E-2</v>
      </c>
      <c r="AA68" s="178">
        <f t="shared" si="37"/>
        <v>5.590042559021377E-2</v>
      </c>
      <c r="AB68" s="178">
        <f t="shared" si="37"/>
        <v>5.502682509189518E-2</v>
      </c>
      <c r="AC68" s="178">
        <f t="shared" si="37"/>
        <v>5.4126022528188836E-2</v>
      </c>
    </row>
    <row r="69" spans="1:29" x14ac:dyDescent="0.25">
      <c r="A69" s="86" t="s">
        <v>23</v>
      </c>
      <c r="B69" s="54" t="s">
        <v>6</v>
      </c>
      <c r="C69" s="176">
        <f t="shared" si="32"/>
        <v>2.4318737587311021E-4</v>
      </c>
      <c r="D69" s="60">
        <v>18.059999999999999</v>
      </c>
      <c r="E69" s="84">
        <f t="shared" si="33"/>
        <v>18.059999999999999</v>
      </c>
      <c r="F69" s="60">
        <v>18.059999999999999</v>
      </c>
      <c r="G69" s="84">
        <f t="shared" si="34"/>
        <v>18.059999999999999</v>
      </c>
      <c r="H69" s="60">
        <v>18.059999999999999</v>
      </c>
      <c r="I69" s="84">
        <f t="shared" si="35"/>
        <v>21.2925</v>
      </c>
      <c r="J69" s="60">
        <v>24.525000000000002</v>
      </c>
      <c r="K69" s="84">
        <f t="shared" si="36"/>
        <v>28.17</v>
      </c>
      <c r="L69" s="60">
        <v>31.814999999999998</v>
      </c>
      <c r="M69" s="60">
        <v>39.65</v>
      </c>
      <c r="N69" s="60">
        <v>39.65</v>
      </c>
      <c r="O69" s="60">
        <v>0.54</v>
      </c>
      <c r="P69" s="60">
        <v>0.54</v>
      </c>
      <c r="Q69" s="178">
        <f t="shared" si="37"/>
        <v>5.0641474926246463E-4</v>
      </c>
      <c r="R69" s="178">
        <f t="shared" si="37"/>
        <v>5.0269116619648831E-4</v>
      </c>
      <c r="S69" s="178">
        <f t="shared" si="37"/>
        <v>4.9891449909582352E-4</v>
      </c>
      <c r="T69" s="178">
        <f t="shared" si="37"/>
        <v>4.7044268529215972E-4</v>
      </c>
      <c r="U69" s="178">
        <f t="shared" si="37"/>
        <v>2.3924022141774034E-4</v>
      </c>
      <c r="V69" s="178">
        <f t="shared" si="37"/>
        <v>2.3557008839365331E-4</v>
      </c>
      <c r="W69" s="178">
        <f t="shared" si="37"/>
        <v>2.3200613417992348E-4</v>
      </c>
      <c r="X69" s="178">
        <f t="shared" si="37"/>
        <v>2.2844218340909743E-4</v>
      </c>
      <c r="Y69" s="178">
        <f t="shared" si="37"/>
        <v>2.2487850151794124E-4</v>
      </c>
      <c r="Z69" s="178">
        <f t="shared" si="37"/>
        <v>2.2136764531075417E-4</v>
      </c>
      <c r="AA69" s="178">
        <f t="shared" si="37"/>
        <v>2.1785673945377769E-4</v>
      </c>
      <c r="AB69" s="178">
        <f t="shared" si="37"/>
        <v>2.1445211857407188E-4</v>
      </c>
      <c r="AC69" s="178">
        <f t="shared" si="37"/>
        <v>2.109414850261401E-4</v>
      </c>
    </row>
    <row r="70" spans="1:29" ht="22.5" x14ac:dyDescent="0.25">
      <c r="A70" s="86" t="s">
        <v>24</v>
      </c>
      <c r="B70" s="54" t="s">
        <v>6</v>
      </c>
      <c r="C70" s="176">
        <f t="shared" si="32"/>
        <v>0.38819010047241398</v>
      </c>
      <c r="D70" s="60">
        <v>102.55500000000001</v>
      </c>
      <c r="E70" s="84">
        <f t="shared" si="33"/>
        <v>102.55500000000001</v>
      </c>
      <c r="F70" s="60">
        <v>102.55500000000001</v>
      </c>
      <c r="G70" s="84">
        <f t="shared" si="34"/>
        <v>102.55500000000001</v>
      </c>
      <c r="H70" s="60">
        <v>102.55500000000001</v>
      </c>
      <c r="I70" s="84">
        <f t="shared" si="35"/>
        <v>107.23500000000001</v>
      </c>
      <c r="J70" s="60">
        <v>111.91500000000001</v>
      </c>
      <c r="K70" s="84">
        <f t="shared" si="36"/>
        <v>157.9725</v>
      </c>
      <c r="L70" s="60">
        <v>204.03</v>
      </c>
      <c r="M70" s="60">
        <v>300.74</v>
      </c>
      <c r="N70" s="60">
        <v>300.74</v>
      </c>
      <c r="O70" s="60">
        <v>861.98</v>
      </c>
      <c r="P70" s="60">
        <v>861.98</v>
      </c>
      <c r="Q70" s="178">
        <f t="shared" si="37"/>
        <v>0.80836923253566528</v>
      </c>
      <c r="R70" s="178">
        <f t="shared" si="37"/>
        <v>0.80242542858897969</v>
      </c>
      <c r="S70" s="178">
        <f t="shared" si="37"/>
        <v>0.79639688876040371</v>
      </c>
      <c r="T70" s="178">
        <f t="shared" si="37"/>
        <v>0.75094849234839978</v>
      </c>
      <c r="U70" s="178">
        <f t="shared" si="37"/>
        <v>0.3818894186253034</v>
      </c>
      <c r="V70" s="178">
        <f t="shared" si="37"/>
        <v>0.37603093480289129</v>
      </c>
      <c r="W70" s="178">
        <f t="shared" si="37"/>
        <v>0.37034193988964897</v>
      </c>
      <c r="X70" s="178">
        <f t="shared" si="37"/>
        <v>0.36465295047217372</v>
      </c>
      <c r="Y70" s="178">
        <f t="shared" si="37"/>
        <v>0.35896439025636112</v>
      </c>
      <c r="Z70" s="178">
        <f t="shared" si="37"/>
        <v>0.35336015352771094</v>
      </c>
      <c r="AA70" s="178">
        <f t="shared" si="37"/>
        <v>0.34775583754512462</v>
      </c>
      <c r="AB70" s="178">
        <f t="shared" si="37"/>
        <v>0.34232117994162681</v>
      </c>
      <c r="AC70" s="178">
        <f t="shared" si="37"/>
        <v>0.33671729863487454</v>
      </c>
    </row>
    <row r="71" spans="1:29" x14ac:dyDescent="0.25">
      <c r="A71" s="86" t="s">
        <v>25</v>
      </c>
      <c r="B71" s="54" t="s">
        <v>6</v>
      </c>
      <c r="C71" s="176">
        <f t="shared" si="32"/>
        <v>9.0771939779600172E-2</v>
      </c>
      <c r="D71" s="60">
        <v>30.825000000000003</v>
      </c>
      <c r="E71" s="84">
        <f t="shared" si="33"/>
        <v>30.825000000000003</v>
      </c>
      <c r="F71" s="60">
        <v>30.825000000000003</v>
      </c>
      <c r="G71" s="84">
        <f t="shared" si="34"/>
        <v>30.825000000000003</v>
      </c>
      <c r="H71" s="60">
        <v>30.825000000000003</v>
      </c>
      <c r="I71" s="84">
        <f t="shared" si="35"/>
        <v>22.770000000000003</v>
      </c>
      <c r="J71" s="60">
        <v>14.715</v>
      </c>
      <c r="K71" s="84">
        <f t="shared" si="36"/>
        <v>18.09</v>
      </c>
      <c r="L71" s="60">
        <v>21.465</v>
      </c>
      <c r="M71" s="60">
        <v>33.979999999999997</v>
      </c>
      <c r="N71" s="60">
        <v>33.979999999999997</v>
      </c>
      <c r="O71" s="60">
        <v>201.56</v>
      </c>
      <c r="P71" s="60">
        <v>201.56</v>
      </c>
      <c r="Q71" s="178">
        <f t="shared" si="37"/>
        <v>0.18902399418767105</v>
      </c>
      <c r="R71" s="178">
        <f t="shared" si="37"/>
        <v>0.18763413233067441</v>
      </c>
      <c r="S71" s="178">
        <f t="shared" si="37"/>
        <v>0.18622445636621146</v>
      </c>
      <c r="T71" s="178">
        <f t="shared" si="37"/>
        <v>0.17559708823608836</v>
      </c>
      <c r="U71" s="178">
        <f t="shared" si="37"/>
        <v>8.9298627831406935E-2</v>
      </c>
      <c r="V71" s="178">
        <f t="shared" si="37"/>
        <v>8.7928716697453266E-2</v>
      </c>
      <c r="W71" s="178">
        <f t="shared" si="37"/>
        <v>8.6598437787602539E-2</v>
      </c>
      <c r="X71" s="178">
        <f t="shared" si="37"/>
        <v>8.5268160162847551E-2</v>
      </c>
      <c r="Y71" s="178">
        <f t="shared" si="37"/>
        <v>8.3937982899918953E-2</v>
      </c>
      <c r="Z71" s="178">
        <f t="shared" si="37"/>
        <v>8.2627523312658546E-2</v>
      </c>
      <c r="AA71" s="178">
        <f t="shared" si="37"/>
        <v>8.1317045193154497E-2</v>
      </c>
      <c r="AB71" s="178">
        <f t="shared" si="37"/>
        <v>8.0046238925536903E-2</v>
      </c>
      <c r="AC71" s="178">
        <f t="shared" si="37"/>
        <v>7.8735862447905189E-2</v>
      </c>
    </row>
    <row r="72" spans="1:29" x14ac:dyDescent="0.25">
      <c r="A72" s="86" t="s">
        <v>26</v>
      </c>
      <c r="B72" s="54" t="s">
        <v>6</v>
      </c>
      <c r="C72" s="176">
        <f t="shared" si="32"/>
        <v>3.5446811768467597E-2</v>
      </c>
      <c r="D72" s="60">
        <v>33.630000000000003</v>
      </c>
      <c r="E72" s="84">
        <f t="shared" si="33"/>
        <v>33.630000000000003</v>
      </c>
      <c r="F72" s="60">
        <v>33.630000000000003</v>
      </c>
      <c r="G72" s="84">
        <f t="shared" si="34"/>
        <v>33.630000000000003</v>
      </c>
      <c r="H72" s="60">
        <v>33.630000000000003</v>
      </c>
      <c r="I72" s="84">
        <f t="shared" si="35"/>
        <v>20.842500000000001</v>
      </c>
      <c r="J72" s="60">
        <v>8.0549999999999997</v>
      </c>
      <c r="K72" s="84">
        <f t="shared" si="36"/>
        <v>11.6775</v>
      </c>
      <c r="L72" s="60">
        <v>15.3</v>
      </c>
      <c r="M72" s="60">
        <v>2210.7199999999998</v>
      </c>
      <c r="N72" s="60">
        <v>2210.7199999999998</v>
      </c>
      <c r="O72" s="60">
        <v>78.709999999999994</v>
      </c>
      <c r="P72" s="60">
        <v>78.709999999999994</v>
      </c>
      <c r="Q72" s="178">
        <f t="shared" si="37"/>
        <v>7.3814638730460347E-2</v>
      </c>
      <c r="R72" s="178">
        <f t="shared" si="37"/>
        <v>7.3271892020973312E-2</v>
      </c>
      <c r="S72" s="178">
        <f t="shared" si="37"/>
        <v>7.272140782191161E-2</v>
      </c>
      <c r="T72" s="178">
        <f t="shared" si="37"/>
        <v>6.8571377332122013E-2</v>
      </c>
      <c r="U72" s="178">
        <f t="shared" si="37"/>
        <v>3.4871477458871002E-2</v>
      </c>
      <c r="V72" s="178">
        <f t="shared" si="37"/>
        <v>3.4336521587897129E-2</v>
      </c>
      <c r="W72" s="178">
        <f t="shared" si="37"/>
        <v>3.3817042261669948E-2</v>
      </c>
      <c r="X72" s="178">
        <f t="shared" si="37"/>
        <v>3.3297563437277883E-2</v>
      </c>
      <c r="Y72" s="178">
        <f t="shared" si="37"/>
        <v>3.277812380458732E-2</v>
      </c>
      <c r="Z72" s="178">
        <f t="shared" si="37"/>
        <v>3.2266384004461961E-2</v>
      </c>
      <c r="AA72" s="178">
        <f t="shared" si="37"/>
        <v>3.175463696742007E-2</v>
      </c>
      <c r="AB72" s="178">
        <f t="shared" si="37"/>
        <v>3.1258381949935549E-2</v>
      </c>
      <c r="AC72" s="178">
        <f t="shared" si="37"/>
        <v>3.0746674604458308E-2</v>
      </c>
    </row>
    <row r="73" spans="1:29" x14ac:dyDescent="0.25">
      <c r="A73" s="86" t="s">
        <v>27</v>
      </c>
      <c r="B73" s="54" t="s">
        <v>6</v>
      </c>
      <c r="C73" s="176">
        <f t="shared" si="32"/>
        <v>5.9580907088912002E-3</v>
      </c>
      <c r="D73" s="60">
        <v>1.83</v>
      </c>
      <c r="E73" s="84">
        <f t="shared" si="33"/>
        <v>1.83</v>
      </c>
      <c r="F73" s="60">
        <v>1.83</v>
      </c>
      <c r="G73" s="84">
        <f t="shared" si="34"/>
        <v>1.83</v>
      </c>
      <c r="H73" s="60">
        <v>1.83</v>
      </c>
      <c r="I73" s="84">
        <f t="shared" si="35"/>
        <v>2.58</v>
      </c>
      <c r="J73" s="60">
        <v>3.33</v>
      </c>
      <c r="K73" s="84">
        <f t="shared" si="36"/>
        <v>4.6575000000000006</v>
      </c>
      <c r="L73" s="60">
        <v>5.9850000000000003</v>
      </c>
      <c r="M73" s="60">
        <v>6.53</v>
      </c>
      <c r="N73" s="60">
        <v>6.53</v>
      </c>
      <c r="O73" s="60">
        <v>13.23</v>
      </c>
      <c r="P73" s="60">
        <v>13.23</v>
      </c>
      <c r="Q73" s="178">
        <f t="shared" si="37"/>
        <v>1.2407161356930383E-2</v>
      </c>
      <c r="R73" s="178">
        <f t="shared" si="37"/>
        <v>1.2315933571813964E-2</v>
      </c>
      <c r="S73" s="178">
        <f t="shared" si="37"/>
        <v>1.2223405227847678E-2</v>
      </c>
      <c r="T73" s="178">
        <f t="shared" si="37"/>
        <v>1.1525845789657914E-2</v>
      </c>
      <c r="U73" s="178">
        <f t="shared" si="37"/>
        <v>5.8613854247346383E-3</v>
      </c>
      <c r="V73" s="178">
        <f t="shared" si="37"/>
        <v>5.7714671656445065E-3</v>
      </c>
      <c r="W73" s="178">
        <f t="shared" si="37"/>
        <v>5.6841502874081249E-3</v>
      </c>
      <c r="X73" s="178">
        <f t="shared" si="37"/>
        <v>5.5968334935228873E-3</v>
      </c>
      <c r="Y73" s="178">
        <f t="shared" si="37"/>
        <v>5.50952328718956E-3</v>
      </c>
      <c r="Z73" s="178">
        <f t="shared" si="37"/>
        <v>5.4235073101134776E-3</v>
      </c>
      <c r="AA73" s="178">
        <f t="shared" si="37"/>
        <v>5.3374901166175536E-3</v>
      </c>
      <c r="AB73" s="178">
        <f t="shared" si="37"/>
        <v>5.2540769050647609E-3</v>
      </c>
      <c r="AC73" s="178">
        <f t="shared" si="37"/>
        <v>5.1680663831404324E-3</v>
      </c>
    </row>
    <row r="74" spans="1:29" x14ac:dyDescent="0.25">
      <c r="A74" s="186" t="s">
        <v>28</v>
      </c>
      <c r="B74" s="180" t="s">
        <v>6</v>
      </c>
      <c r="C74" s="180"/>
      <c r="D74" s="181">
        <v>20.58</v>
      </c>
      <c r="E74" s="181">
        <f t="shared" si="33"/>
        <v>20.58</v>
      </c>
      <c r="F74" s="181">
        <v>20.58</v>
      </c>
      <c r="G74" s="181">
        <f t="shared" si="34"/>
        <v>20.58</v>
      </c>
      <c r="H74" s="181">
        <v>20.58</v>
      </c>
      <c r="I74" s="181">
        <f t="shared" si="35"/>
        <v>44.92</v>
      </c>
      <c r="J74" s="181">
        <v>69.260000000000005</v>
      </c>
      <c r="K74" s="181">
        <f t="shared" si="36"/>
        <v>122.875</v>
      </c>
      <c r="L74" s="181">
        <v>176.49</v>
      </c>
      <c r="M74" s="181">
        <v>53.46</v>
      </c>
      <c r="N74" s="181">
        <v>53.46</v>
      </c>
      <c r="O74" s="181">
        <v>10.98</v>
      </c>
      <c r="P74" s="181">
        <v>10.98</v>
      </c>
      <c r="Q74" s="181">
        <f t="shared" ref="Q74:AC74" si="38">+P74</f>
        <v>10.98</v>
      </c>
      <c r="R74" s="181">
        <f t="shared" si="38"/>
        <v>10.98</v>
      </c>
      <c r="S74" s="181">
        <f t="shared" si="38"/>
        <v>10.98</v>
      </c>
      <c r="T74" s="181">
        <f t="shared" si="38"/>
        <v>10.98</v>
      </c>
      <c r="U74" s="181">
        <f t="shared" si="38"/>
        <v>10.98</v>
      </c>
      <c r="V74" s="181">
        <f t="shared" si="38"/>
        <v>10.98</v>
      </c>
      <c r="W74" s="181">
        <f t="shared" si="38"/>
        <v>10.98</v>
      </c>
      <c r="X74" s="181">
        <f t="shared" si="38"/>
        <v>10.98</v>
      </c>
      <c r="Y74" s="181">
        <f t="shared" si="38"/>
        <v>10.98</v>
      </c>
      <c r="Z74" s="181">
        <f t="shared" si="38"/>
        <v>10.98</v>
      </c>
      <c r="AA74" s="181">
        <f t="shared" si="38"/>
        <v>10.98</v>
      </c>
      <c r="AB74" s="181">
        <f t="shared" si="38"/>
        <v>10.98</v>
      </c>
      <c r="AC74" s="181">
        <f t="shared" si="38"/>
        <v>10.98</v>
      </c>
    </row>
    <row r="75" spans="1:29" x14ac:dyDescent="0.25">
      <c r="A75" s="182" t="s">
        <v>19</v>
      </c>
      <c r="B75" s="183" t="s">
        <v>6</v>
      </c>
      <c r="C75" s="183"/>
      <c r="D75" s="190">
        <v>9692.42</v>
      </c>
      <c r="E75" s="190">
        <f t="shared" si="33"/>
        <v>9692.42</v>
      </c>
      <c r="F75" s="190">
        <v>9692.42</v>
      </c>
      <c r="G75" s="190">
        <f t="shared" si="34"/>
        <v>9692.42</v>
      </c>
      <c r="H75" s="190">
        <v>9692.42</v>
      </c>
      <c r="I75" s="190">
        <f t="shared" si="35"/>
        <v>6006.2650000000003</v>
      </c>
      <c r="J75" s="190">
        <v>2320.11</v>
      </c>
      <c r="K75" s="190">
        <f t="shared" si="36"/>
        <v>8269.5550000000003</v>
      </c>
      <c r="L75" s="190">
        <v>14219</v>
      </c>
      <c r="M75" s="190">
        <v>3174.03</v>
      </c>
      <c r="N75" s="190">
        <v>3174.03</v>
      </c>
      <c r="O75" s="190">
        <v>11997.5</v>
      </c>
      <c r="P75" s="190">
        <v>11997.5</v>
      </c>
      <c r="Q75" s="185">
        <f t="shared" ref="Q75:AC75" si="39">+P75</f>
        <v>11997.5</v>
      </c>
      <c r="R75" s="185">
        <f t="shared" si="39"/>
        <v>11997.5</v>
      </c>
      <c r="S75" s="185">
        <f t="shared" si="39"/>
        <v>11997.5</v>
      </c>
      <c r="T75" s="185">
        <f t="shared" si="39"/>
        <v>11997.5</v>
      </c>
      <c r="U75" s="185">
        <f t="shared" si="39"/>
        <v>11997.5</v>
      </c>
      <c r="V75" s="185">
        <f t="shared" si="39"/>
        <v>11997.5</v>
      </c>
      <c r="W75" s="185">
        <f t="shared" si="39"/>
        <v>11997.5</v>
      </c>
      <c r="X75" s="185">
        <f t="shared" si="39"/>
        <v>11997.5</v>
      </c>
      <c r="Y75" s="185">
        <f t="shared" si="39"/>
        <v>11997.5</v>
      </c>
      <c r="Z75" s="185">
        <f t="shared" si="39"/>
        <v>11997.5</v>
      </c>
      <c r="AA75" s="185">
        <f t="shared" si="39"/>
        <v>11997.5</v>
      </c>
      <c r="AB75" s="185">
        <f t="shared" si="39"/>
        <v>11997.5</v>
      </c>
      <c r="AC75" s="185">
        <f t="shared" si="39"/>
        <v>11997.5</v>
      </c>
    </row>
    <row r="76" spans="1:29" x14ac:dyDescent="0.25">
      <c r="A76" s="182" t="s">
        <v>4</v>
      </c>
      <c r="B76" s="183" t="s">
        <v>6</v>
      </c>
      <c r="C76" s="183"/>
      <c r="D76" s="191">
        <v>614.61</v>
      </c>
      <c r="E76" s="191">
        <f t="shared" si="33"/>
        <v>614.61</v>
      </c>
      <c r="F76" s="191">
        <v>614.61</v>
      </c>
      <c r="G76" s="191">
        <f t="shared" si="34"/>
        <v>614.61</v>
      </c>
      <c r="H76" s="191">
        <v>614.61</v>
      </c>
      <c r="I76" s="191">
        <f t="shared" si="35"/>
        <v>481.88499999999999</v>
      </c>
      <c r="J76" s="191">
        <v>349.16</v>
      </c>
      <c r="K76" s="191">
        <f t="shared" si="36"/>
        <v>314.82500000000005</v>
      </c>
      <c r="L76" s="191">
        <v>280.49</v>
      </c>
      <c r="M76" s="191">
        <v>230.99</v>
      </c>
      <c r="N76" s="191">
        <v>230.99</v>
      </c>
      <c r="O76" s="191">
        <v>1935.81</v>
      </c>
      <c r="P76" s="191">
        <v>1935.81</v>
      </c>
      <c r="Q76" s="184">
        <f t="shared" ref="Q76:AC76" si="40">+P76</f>
        <v>1935.81</v>
      </c>
      <c r="R76" s="184">
        <f t="shared" si="40"/>
        <v>1935.81</v>
      </c>
      <c r="S76" s="184">
        <f t="shared" si="40"/>
        <v>1935.81</v>
      </c>
      <c r="T76" s="184">
        <f t="shared" si="40"/>
        <v>1935.81</v>
      </c>
      <c r="U76" s="184">
        <f t="shared" si="40"/>
        <v>1935.81</v>
      </c>
      <c r="V76" s="184">
        <f t="shared" si="40"/>
        <v>1935.81</v>
      </c>
      <c r="W76" s="184">
        <f t="shared" si="40"/>
        <v>1935.81</v>
      </c>
      <c r="X76" s="184">
        <f t="shared" si="40"/>
        <v>1935.81</v>
      </c>
      <c r="Y76" s="184">
        <f t="shared" si="40"/>
        <v>1935.81</v>
      </c>
      <c r="Z76" s="184">
        <f t="shared" si="40"/>
        <v>1935.81</v>
      </c>
      <c r="AA76" s="184">
        <f t="shared" si="40"/>
        <v>1935.81</v>
      </c>
      <c r="AB76" s="184">
        <f t="shared" si="40"/>
        <v>1935.81</v>
      </c>
      <c r="AC76" s="184">
        <f t="shared" si="40"/>
        <v>1935.81</v>
      </c>
    </row>
    <row r="77" spans="1:29" x14ac:dyDescent="0.25">
      <c r="A77" s="182" t="s">
        <v>5</v>
      </c>
      <c r="B77" s="183" t="s">
        <v>6</v>
      </c>
      <c r="C77" s="183"/>
      <c r="D77" s="191">
        <v>275.76</v>
      </c>
      <c r="E77" s="191">
        <f t="shared" si="33"/>
        <v>275.76</v>
      </c>
      <c r="F77" s="191">
        <v>275.76</v>
      </c>
      <c r="G77" s="191">
        <f t="shared" si="34"/>
        <v>275.76</v>
      </c>
      <c r="H77" s="191">
        <v>275.76</v>
      </c>
      <c r="I77" s="191">
        <f t="shared" si="35"/>
        <v>261.45</v>
      </c>
      <c r="J77" s="191">
        <v>247.14</v>
      </c>
      <c r="K77" s="191">
        <f t="shared" si="36"/>
        <v>345.35500000000002</v>
      </c>
      <c r="L77" s="191">
        <v>443.57</v>
      </c>
      <c r="M77" s="191">
        <v>95151.11</v>
      </c>
      <c r="N77" s="191">
        <v>95151.11</v>
      </c>
      <c r="O77" s="191">
        <v>494.06</v>
      </c>
      <c r="P77" s="191">
        <v>494.06</v>
      </c>
      <c r="Q77" s="184">
        <f t="shared" ref="Q77:AC77" si="41">+P77</f>
        <v>494.06</v>
      </c>
      <c r="R77" s="184">
        <f t="shared" si="41"/>
        <v>494.06</v>
      </c>
      <c r="S77" s="184">
        <f t="shared" si="41"/>
        <v>494.06</v>
      </c>
      <c r="T77" s="184">
        <f t="shared" si="41"/>
        <v>494.06</v>
      </c>
      <c r="U77" s="184">
        <f t="shared" si="41"/>
        <v>494.06</v>
      </c>
      <c r="V77" s="184">
        <f t="shared" si="41"/>
        <v>494.06</v>
      </c>
      <c r="W77" s="184">
        <f t="shared" si="41"/>
        <v>494.06</v>
      </c>
      <c r="X77" s="184">
        <f t="shared" si="41"/>
        <v>494.06</v>
      </c>
      <c r="Y77" s="184">
        <f t="shared" si="41"/>
        <v>494.06</v>
      </c>
      <c r="Z77" s="184">
        <f t="shared" si="41"/>
        <v>494.06</v>
      </c>
      <c r="AA77" s="184">
        <f t="shared" si="41"/>
        <v>494.06</v>
      </c>
      <c r="AB77" s="184">
        <f t="shared" si="41"/>
        <v>494.06</v>
      </c>
      <c r="AC77" s="184">
        <f t="shared" si="41"/>
        <v>494.06</v>
      </c>
    </row>
    <row r="78" spans="1:29" x14ac:dyDescent="0.25">
      <c r="A78" s="182" t="s">
        <v>29</v>
      </c>
      <c r="B78" s="183" t="s">
        <v>6</v>
      </c>
      <c r="C78" s="183"/>
      <c r="D78" s="191">
        <v>223.995</v>
      </c>
      <c r="E78" s="191">
        <f t="shared" si="33"/>
        <v>223.995</v>
      </c>
      <c r="F78" s="191">
        <v>223.995</v>
      </c>
      <c r="G78" s="191">
        <f t="shared" si="34"/>
        <v>223.995</v>
      </c>
      <c r="H78" s="191">
        <v>223.995</v>
      </c>
      <c r="I78" s="191">
        <f t="shared" si="35"/>
        <v>174.42750000000001</v>
      </c>
      <c r="J78" s="191">
        <v>124.86</v>
      </c>
      <c r="K78" s="191">
        <f t="shared" si="36"/>
        <v>436.92</v>
      </c>
      <c r="L78" s="191">
        <v>748.98</v>
      </c>
      <c r="M78" s="191">
        <v>871.12</v>
      </c>
      <c r="N78" s="191">
        <v>871.12</v>
      </c>
      <c r="O78" s="191">
        <v>2832.75</v>
      </c>
      <c r="P78" s="191">
        <v>2832.75</v>
      </c>
      <c r="Q78" s="184">
        <f t="shared" ref="Q78:AC78" si="42">+P78</f>
        <v>2832.75</v>
      </c>
      <c r="R78" s="184">
        <f t="shared" si="42"/>
        <v>2832.75</v>
      </c>
      <c r="S78" s="184">
        <f t="shared" si="42"/>
        <v>2832.75</v>
      </c>
      <c r="T78" s="184">
        <f t="shared" si="42"/>
        <v>2832.75</v>
      </c>
      <c r="U78" s="184">
        <f t="shared" si="42"/>
        <v>2832.75</v>
      </c>
      <c r="V78" s="184">
        <f t="shared" si="42"/>
        <v>2832.75</v>
      </c>
      <c r="W78" s="184">
        <f t="shared" si="42"/>
        <v>2832.75</v>
      </c>
      <c r="X78" s="184">
        <f t="shared" si="42"/>
        <v>2832.75</v>
      </c>
      <c r="Y78" s="184">
        <f t="shared" si="42"/>
        <v>2832.75</v>
      </c>
      <c r="Z78" s="184">
        <f t="shared" si="42"/>
        <v>2832.75</v>
      </c>
      <c r="AA78" s="184">
        <f t="shared" si="42"/>
        <v>2832.75</v>
      </c>
      <c r="AB78" s="184">
        <f t="shared" si="42"/>
        <v>2832.75</v>
      </c>
      <c r="AC78" s="184">
        <f t="shared" si="42"/>
        <v>2832.75</v>
      </c>
    </row>
    <row r="79" spans="1:29" x14ac:dyDescent="0.25">
      <c r="A79" s="187"/>
      <c r="B79" s="188"/>
      <c r="C79" s="174">
        <f>+SUM(P$80:P$88)/(SUM(P$22:P$30)+SUM(P$37:P$45)+SUM(P$51:P$59)+SUM(P$65:P$73)+SUM(P$80:P$88))</f>
        <v>3.1956818872002747E-3</v>
      </c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</row>
    <row r="80" spans="1:29" x14ac:dyDescent="0.25">
      <c r="A80" s="86" t="s">
        <v>18</v>
      </c>
      <c r="B80" s="54" t="s">
        <v>29</v>
      </c>
      <c r="C80" s="176">
        <f t="shared" ref="C80:C88" si="43">+P80/SUM(P$80:P$88)</f>
        <v>2.2149756967944378E-3</v>
      </c>
      <c r="D80" s="60">
        <v>0.42</v>
      </c>
      <c r="E80" s="84">
        <f t="shared" ref="E80:E93" si="44">+(D80+F80)/2</f>
        <v>0.42</v>
      </c>
      <c r="F80" s="60">
        <v>0.42</v>
      </c>
      <c r="G80" s="84">
        <f t="shared" ref="G80:G93" si="45">+(F80+H80)/2</f>
        <v>0.42</v>
      </c>
      <c r="H80" s="60">
        <v>0.42</v>
      </c>
      <c r="I80" s="84">
        <f t="shared" ref="I80:I93" si="46">+(H80+J80)/2</f>
        <v>18.772500000000001</v>
      </c>
      <c r="J80" s="60">
        <v>37.125</v>
      </c>
      <c r="K80" s="84">
        <f t="shared" ref="K80:K93" si="47">+(J80+L80)/2</f>
        <v>28.372500000000002</v>
      </c>
      <c r="L80" s="60">
        <v>19.62</v>
      </c>
      <c r="M80" s="60">
        <v>8.3699999999999992</v>
      </c>
      <c r="N80" s="60">
        <v>8.3699999999999992</v>
      </c>
      <c r="O80" s="60">
        <v>0.72</v>
      </c>
      <c r="P80" s="60">
        <v>0.72</v>
      </c>
      <c r="Q80" s="178">
        <f t="shared" ref="Q80:AC88" si="48">+Q$21*$C$79*$C80</f>
        <v>6.7521966568328607E-4</v>
      </c>
      <c r="R80" s="178">
        <f t="shared" si="48"/>
        <v>6.7025488826198427E-4</v>
      </c>
      <c r="S80" s="178">
        <f t="shared" si="48"/>
        <v>6.6521933212776473E-4</v>
      </c>
      <c r="T80" s="178">
        <f t="shared" si="48"/>
        <v>6.2725691372287956E-4</v>
      </c>
      <c r="U80" s="178">
        <f t="shared" si="48"/>
        <v>3.1898696189032038E-4</v>
      </c>
      <c r="V80" s="178">
        <f t="shared" si="48"/>
        <v>3.1409345119153773E-4</v>
      </c>
      <c r="W80" s="178">
        <f t="shared" si="48"/>
        <v>3.0934151223989794E-4</v>
      </c>
      <c r="X80" s="178">
        <f t="shared" si="48"/>
        <v>3.0458957787879654E-4</v>
      </c>
      <c r="Y80" s="178">
        <f t="shared" si="48"/>
        <v>2.9983800202392158E-4</v>
      </c>
      <c r="Z80" s="178">
        <f t="shared" si="48"/>
        <v>2.9515686041433888E-4</v>
      </c>
      <c r="AA80" s="178">
        <f t="shared" si="48"/>
        <v>2.9047565260503685E-4</v>
      </c>
      <c r="AB80" s="178">
        <f t="shared" si="48"/>
        <v>2.8593615809876247E-4</v>
      </c>
      <c r="AC80" s="178">
        <f t="shared" si="48"/>
        <v>2.8125531336818676E-4</v>
      </c>
    </row>
    <row r="81" spans="1:29" x14ac:dyDescent="0.25">
      <c r="A81" s="86" t="s">
        <v>20</v>
      </c>
      <c r="B81" s="54" t="s">
        <v>29</v>
      </c>
      <c r="C81" s="176">
        <f t="shared" si="43"/>
        <v>4.0977050390697101E-2</v>
      </c>
      <c r="D81" s="60">
        <v>497.68499999999995</v>
      </c>
      <c r="E81" s="84">
        <f t="shared" si="44"/>
        <v>497.68499999999995</v>
      </c>
      <c r="F81" s="60">
        <v>497.68499999999995</v>
      </c>
      <c r="G81" s="84">
        <f t="shared" si="45"/>
        <v>497.68499999999995</v>
      </c>
      <c r="H81" s="60">
        <v>497.68499999999995</v>
      </c>
      <c r="I81" s="84">
        <f t="shared" si="46"/>
        <v>486.75749999999994</v>
      </c>
      <c r="J81" s="60">
        <v>475.83</v>
      </c>
      <c r="K81" s="84">
        <f t="shared" si="47"/>
        <v>299.45249999999999</v>
      </c>
      <c r="L81" s="60">
        <v>123.075</v>
      </c>
      <c r="M81" s="60">
        <v>87.35</v>
      </c>
      <c r="N81" s="60">
        <v>87.35</v>
      </c>
      <c r="O81" s="60">
        <v>13.32</v>
      </c>
      <c r="P81" s="60">
        <v>13.32</v>
      </c>
      <c r="Q81" s="178">
        <f t="shared" si="48"/>
        <v>1.2491563815140792E-2</v>
      </c>
      <c r="R81" s="178">
        <f t="shared" si="48"/>
        <v>1.239971543284671E-2</v>
      </c>
      <c r="S81" s="178">
        <f t="shared" si="48"/>
        <v>1.2306557644363648E-2</v>
      </c>
      <c r="T81" s="178">
        <f t="shared" si="48"/>
        <v>1.1604252903873272E-2</v>
      </c>
      <c r="U81" s="178">
        <f t="shared" si="48"/>
        <v>5.9012587949709271E-3</v>
      </c>
      <c r="V81" s="178">
        <f t="shared" si="48"/>
        <v>5.8107288470434478E-3</v>
      </c>
      <c r="W81" s="178">
        <f t="shared" si="48"/>
        <v>5.7228179764381116E-3</v>
      </c>
      <c r="X81" s="178">
        <f t="shared" si="48"/>
        <v>5.6349071907577358E-3</v>
      </c>
      <c r="Y81" s="178">
        <f t="shared" si="48"/>
        <v>5.5470030374425499E-3</v>
      </c>
      <c r="Z81" s="178">
        <f t="shared" si="48"/>
        <v>5.4604019176652686E-3</v>
      </c>
      <c r="AA81" s="178">
        <f t="shared" si="48"/>
        <v>5.3737995731931824E-3</v>
      </c>
      <c r="AB81" s="178">
        <f t="shared" si="48"/>
        <v>5.2898189248271063E-3</v>
      </c>
      <c r="AC81" s="178">
        <f t="shared" si="48"/>
        <v>5.2032232973114548E-3</v>
      </c>
    </row>
    <row r="82" spans="1:29" x14ac:dyDescent="0.25">
      <c r="A82" s="86" t="s">
        <v>21</v>
      </c>
      <c r="B82" s="54" t="s">
        <v>29</v>
      </c>
      <c r="C82" s="176">
        <f t="shared" si="43"/>
        <v>0.11782440164892634</v>
      </c>
      <c r="D82" s="60">
        <v>52.04999999999999</v>
      </c>
      <c r="E82" s="84">
        <f t="shared" si="44"/>
        <v>52.04999999999999</v>
      </c>
      <c r="F82" s="60">
        <v>52.04999999999999</v>
      </c>
      <c r="G82" s="84">
        <f t="shared" si="45"/>
        <v>52.04999999999999</v>
      </c>
      <c r="H82" s="60">
        <v>52.04999999999999</v>
      </c>
      <c r="I82" s="84">
        <f t="shared" si="46"/>
        <v>244.83750000000001</v>
      </c>
      <c r="J82" s="60">
        <v>437.625</v>
      </c>
      <c r="K82" s="84">
        <f t="shared" si="47"/>
        <v>332.03250000000003</v>
      </c>
      <c r="L82" s="60">
        <v>226.44</v>
      </c>
      <c r="M82" s="60">
        <v>220.41</v>
      </c>
      <c r="N82" s="60">
        <v>220.41</v>
      </c>
      <c r="O82" s="60">
        <v>38.299999999999997</v>
      </c>
      <c r="P82" s="60">
        <v>38.299999999999997</v>
      </c>
      <c r="Q82" s="178">
        <f t="shared" si="48"/>
        <v>3.5917934993985906E-2</v>
      </c>
      <c r="R82" s="178">
        <f t="shared" si="48"/>
        <v>3.5653836417269442E-2</v>
      </c>
      <c r="S82" s="178">
        <f t="shared" si="48"/>
        <v>3.5385972806240819E-2</v>
      </c>
      <c r="T82" s="178">
        <f t="shared" si="48"/>
        <v>3.3366583049425393E-2</v>
      </c>
      <c r="U82" s="178">
        <f t="shared" si="48"/>
        <v>1.6968334222776764E-2</v>
      </c>
      <c r="V82" s="178">
        <f t="shared" si="48"/>
        <v>1.6708026639772076E-2</v>
      </c>
      <c r="W82" s="178">
        <f t="shared" si="48"/>
        <v>1.6455249887205679E-2</v>
      </c>
      <c r="X82" s="178">
        <f t="shared" si="48"/>
        <v>1.6202473378830427E-2</v>
      </c>
      <c r="Y82" s="178">
        <f t="shared" si="48"/>
        <v>1.5949715940994716E-2</v>
      </c>
      <c r="Z82" s="178">
        <f t="shared" si="48"/>
        <v>1.570070521370719E-2</v>
      </c>
      <c r="AA82" s="178">
        <f t="shared" si="48"/>
        <v>1.5451690964962378E-2</v>
      </c>
      <c r="AB82" s="178">
        <f t="shared" si="48"/>
        <v>1.5210215076642504E-2</v>
      </c>
      <c r="AC82" s="178">
        <f t="shared" si="48"/>
        <v>1.4961220141668822E-2</v>
      </c>
    </row>
    <row r="83" spans="1:29" x14ac:dyDescent="0.25">
      <c r="A83" s="86" t="s">
        <v>22</v>
      </c>
      <c r="B83" s="54" t="s">
        <v>29</v>
      </c>
      <c r="C83" s="176">
        <f t="shared" si="43"/>
        <v>0.19091859964314281</v>
      </c>
      <c r="D83" s="60">
        <v>22.185000000000002</v>
      </c>
      <c r="E83" s="84">
        <f t="shared" si="44"/>
        <v>22.185000000000002</v>
      </c>
      <c r="F83" s="60">
        <v>22.185000000000002</v>
      </c>
      <c r="G83" s="84">
        <f t="shared" si="45"/>
        <v>22.185000000000002</v>
      </c>
      <c r="H83" s="60">
        <v>22.185000000000002</v>
      </c>
      <c r="I83" s="84">
        <f t="shared" si="46"/>
        <v>63.247500000000002</v>
      </c>
      <c r="J83" s="60">
        <v>104.31</v>
      </c>
      <c r="K83" s="84">
        <f t="shared" si="47"/>
        <v>125.86499999999999</v>
      </c>
      <c r="L83" s="60">
        <v>147.41999999999999</v>
      </c>
      <c r="M83" s="60">
        <v>49.95</v>
      </c>
      <c r="N83" s="60">
        <v>49.95</v>
      </c>
      <c r="O83" s="60">
        <v>62.06</v>
      </c>
      <c r="P83" s="60">
        <v>62.06</v>
      </c>
      <c r="Q83" s="178">
        <f t="shared" si="48"/>
        <v>5.8200183961534355E-2</v>
      </c>
      <c r="R83" s="178">
        <f t="shared" si="48"/>
        <v>5.7772247729914933E-2</v>
      </c>
      <c r="S83" s="178">
        <f t="shared" si="48"/>
        <v>5.7338210766457058E-2</v>
      </c>
      <c r="T83" s="178">
        <f t="shared" si="48"/>
        <v>5.4066061202280427E-2</v>
      </c>
      <c r="U83" s="178">
        <f t="shared" si="48"/>
        <v>2.7494903965157341E-2</v>
      </c>
      <c r="V83" s="178">
        <f t="shared" si="48"/>
        <v>2.7073110529092823E-2</v>
      </c>
      <c r="W83" s="178">
        <f t="shared" si="48"/>
        <v>2.6663519791122314E-2</v>
      </c>
      <c r="X83" s="178">
        <f t="shared" si="48"/>
        <v>2.6253929448830714E-2</v>
      </c>
      <c r="Y83" s="178">
        <f t="shared" si="48"/>
        <v>2.5844370007784133E-2</v>
      </c>
      <c r="Z83" s="178">
        <f t="shared" si="48"/>
        <v>2.5440881607380377E-2</v>
      </c>
      <c r="AA83" s="178">
        <f t="shared" si="48"/>
        <v>2.5037387500928598E-2</v>
      </c>
      <c r="AB83" s="178">
        <f t="shared" si="48"/>
        <v>2.4646108293901667E-2</v>
      </c>
      <c r="AC83" s="178">
        <f t="shared" si="48"/>
        <v>2.424264548281899E-2</v>
      </c>
    </row>
    <row r="84" spans="1:29" x14ac:dyDescent="0.25">
      <c r="A84" s="86" t="s">
        <v>23</v>
      </c>
      <c r="B84" s="54" t="s">
        <v>29</v>
      </c>
      <c r="C84" s="176">
        <f t="shared" si="43"/>
        <v>2.258044668676552E-2</v>
      </c>
      <c r="D84" s="60">
        <v>76.410000000000011</v>
      </c>
      <c r="E84" s="84">
        <f t="shared" si="44"/>
        <v>76.410000000000011</v>
      </c>
      <c r="F84" s="60">
        <v>76.410000000000011</v>
      </c>
      <c r="G84" s="84">
        <f t="shared" si="45"/>
        <v>76.410000000000011</v>
      </c>
      <c r="H84" s="60">
        <v>76.410000000000011</v>
      </c>
      <c r="I84" s="84">
        <f t="shared" si="46"/>
        <v>147.91500000000002</v>
      </c>
      <c r="J84" s="60">
        <v>219.42000000000002</v>
      </c>
      <c r="K84" s="84">
        <f t="shared" si="47"/>
        <v>177.32249999999999</v>
      </c>
      <c r="L84" s="60">
        <v>135.22499999999999</v>
      </c>
      <c r="M84" s="60">
        <v>102.15</v>
      </c>
      <c r="N84" s="60">
        <v>102.15</v>
      </c>
      <c r="O84" s="60">
        <v>7.34</v>
      </c>
      <c r="P84" s="60">
        <v>7.34</v>
      </c>
      <c r="Q84" s="178">
        <f t="shared" si="48"/>
        <v>6.8834893696046113E-3</v>
      </c>
      <c r="R84" s="178">
        <f t="shared" si="48"/>
        <v>6.8328762220041181E-3</v>
      </c>
      <c r="S84" s="178">
        <f t="shared" si="48"/>
        <v>6.7815415247469354E-3</v>
      </c>
      <c r="T84" s="178">
        <f t="shared" si="48"/>
        <v>6.3945357593415773E-3</v>
      </c>
      <c r="U84" s="178">
        <f t="shared" si="48"/>
        <v>3.2518948614929885E-3</v>
      </c>
      <c r="V84" s="178">
        <f t="shared" si="48"/>
        <v>3.2020082385359541E-3</v>
      </c>
      <c r="W84" s="178">
        <f t="shared" si="48"/>
        <v>3.1535648608900704E-3</v>
      </c>
      <c r="X84" s="178">
        <f t="shared" si="48"/>
        <v>3.1051215300421761E-3</v>
      </c>
      <c r="Y84" s="178">
        <f t="shared" si="48"/>
        <v>3.0566818539660896E-3</v>
      </c>
      <c r="Z84" s="178">
        <f t="shared" si="48"/>
        <v>3.0089602158906211E-3</v>
      </c>
      <c r="AA84" s="178">
        <f t="shared" si="48"/>
        <v>2.9612379029457926E-3</v>
      </c>
      <c r="AB84" s="178">
        <f t="shared" si="48"/>
        <v>2.9149602783957178E-3</v>
      </c>
      <c r="AC84" s="178">
        <f t="shared" si="48"/>
        <v>2.8672416668367928E-3</v>
      </c>
    </row>
    <row r="85" spans="1:29" ht="22.5" x14ac:dyDescent="0.25">
      <c r="A85" s="86" t="s">
        <v>24</v>
      </c>
      <c r="B85" s="54" t="s">
        <v>29</v>
      </c>
      <c r="C85" s="176">
        <f t="shared" si="43"/>
        <v>0.52411862425398392</v>
      </c>
      <c r="D85" s="60">
        <v>64.304999999999993</v>
      </c>
      <c r="E85" s="84">
        <f t="shared" si="44"/>
        <v>64.304999999999993</v>
      </c>
      <c r="F85" s="60">
        <v>64.304999999999993</v>
      </c>
      <c r="G85" s="84">
        <f t="shared" si="45"/>
        <v>64.304999999999993</v>
      </c>
      <c r="H85" s="60">
        <v>64.304999999999993</v>
      </c>
      <c r="I85" s="84">
        <f t="shared" si="46"/>
        <v>285.27749999999997</v>
      </c>
      <c r="J85" s="60">
        <v>506.25</v>
      </c>
      <c r="K85" s="84">
        <f t="shared" si="47"/>
        <v>589.18499999999995</v>
      </c>
      <c r="L85" s="60">
        <v>672.11999999999989</v>
      </c>
      <c r="M85" s="60">
        <v>582.98</v>
      </c>
      <c r="N85" s="60">
        <v>582.98</v>
      </c>
      <c r="O85" s="60">
        <v>170.37</v>
      </c>
      <c r="P85" s="60">
        <v>170.37</v>
      </c>
      <c r="Q85" s="178">
        <f t="shared" si="48"/>
        <v>0.1597738533923076</v>
      </c>
      <c r="R85" s="178">
        <f t="shared" si="48"/>
        <v>0.15859906293499207</v>
      </c>
      <c r="S85" s="178">
        <f t="shared" si="48"/>
        <v>0.15740752446473236</v>
      </c>
      <c r="T85" s="178">
        <f t="shared" si="48"/>
        <v>0.1484246672096764</v>
      </c>
      <c r="U85" s="178">
        <f t="shared" si="48"/>
        <v>7.5480289857297073E-2</v>
      </c>
      <c r="V85" s="178">
        <f t="shared" si="48"/>
        <v>7.4322362888197629E-2</v>
      </c>
      <c r="W85" s="178">
        <f t="shared" si="48"/>
        <v>7.3197935333765854E-2</v>
      </c>
      <c r="X85" s="178">
        <f t="shared" si="48"/>
        <v>7.2073508865570235E-2</v>
      </c>
      <c r="Y85" s="178">
        <f t="shared" si="48"/>
        <v>7.0949167228910454E-2</v>
      </c>
      <c r="Z85" s="178">
        <f t="shared" si="48"/>
        <v>6.984149209554294E-2</v>
      </c>
      <c r="AA85" s="178">
        <f t="shared" si="48"/>
        <v>6.8733801297666861E-2</v>
      </c>
      <c r="AB85" s="178">
        <f t="shared" si="48"/>
        <v>6.765964341011968E-2</v>
      </c>
      <c r="AC85" s="178">
        <f t="shared" si="48"/>
        <v>6.6552038525747204E-2</v>
      </c>
    </row>
    <row r="86" spans="1:29" x14ac:dyDescent="0.25">
      <c r="A86" s="86" t="s">
        <v>25</v>
      </c>
      <c r="B86" s="54" t="s">
        <v>29</v>
      </c>
      <c r="C86" s="176">
        <f t="shared" si="43"/>
        <v>1.0398080354396112E-2</v>
      </c>
      <c r="D86" s="60">
        <v>17.655000000000001</v>
      </c>
      <c r="E86" s="84">
        <f t="shared" si="44"/>
        <v>17.655000000000001</v>
      </c>
      <c r="F86" s="60">
        <v>17.655000000000001</v>
      </c>
      <c r="G86" s="84">
        <f t="shared" si="45"/>
        <v>17.655000000000001</v>
      </c>
      <c r="H86" s="60">
        <v>17.655000000000001</v>
      </c>
      <c r="I86" s="84">
        <f t="shared" si="46"/>
        <v>32.362499999999997</v>
      </c>
      <c r="J86" s="60">
        <v>47.07</v>
      </c>
      <c r="K86" s="84">
        <f t="shared" si="47"/>
        <v>62.617499999999993</v>
      </c>
      <c r="L86" s="60">
        <v>78.164999999999978</v>
      </c>
      <c r="M86" s="60">
        <v>73.22</v>
      </c>
      <c r="N86" s="60">
        <v>73.22</v>
      </c>
      <c r="O86" s="60">
        <v>3.38</v>
      </c>
      <c r="P86" s="60">
        <v>3.38</v>
      </c>
      <c r="Q86" s="178">
        <f t="shared" si="48"/>
        <v>3.1697812083465375E-3</v>
      </c>
      <c r="R86" s="178">
        <f t="shared" si="48"/>
        <v>3.1464743365632042E-3</v>
      </c>
      <c r="S86" s="178">
        <f t="shared" si="48"/>
        <v>3.122835198044229E-3</v>
      </c>
      <c r="T86" s="178">
        <f t="shared" si="48"/>
        <v>2.9446227338657404E-3</v>
      </c>
      <c r="U86" s="178">
        <f t="shared" si="48"/>
        <v>1.4974665710962265E-3</v>
      </c>
      <c r="V86" s="178">
        <f t="shared" si="48"/>
        <v>1.4744942569824967E-3</v>
      </c>
      <c r="W86" s="178">
        <f t="shared" si="48"/>
        <v>1.4521865435706319E-3</v>
      </c>
      <c r="X86" s="178">
        <f t="shared" si="48"/>
        <v>1.4298788517087949E-3</v>
      </c>
      <c r="Y86" s="178">
        <f t="shared" si="48"/>
        <v>1.4075728428345209E-3</v>
      </c>
      <c r="Z86" s="178">
        <f t="shared" si="48"/>
        <v>1.3855974836117575E-3</v>
      </c>
      <c r="AA86" s="178">
        <f t="shared" si="48"/>
        <v>1.36362181361809E-3</v>
      </c>
      <c r="AB86" s="178">
        <f t="shared" si="48"/>
        <v>1.342311408852524E-3</v>
      </c>
      <c r="AC86" s="178">
        <f t="shared" si="48"/>
        <v>1.3203374433117658E-3</v>
      </c>
    </row>
    <row r="87" spans="1:29" x14ac:dyDescent="0.25">
      <c r="A87" s="86" t="s">
        <v>26</v>
      </c>
      <c r="B87" s="54" t="s">
        <v>29</v>
      </c>
      <c r="C87" s="176">
        <f t="shared" si="43"/>
        <v>6.1342521380668188E-2</v>
      </c>
      <c r="D87" s="60">
        <v>71.250000000000014</v>
      </c>
      <c r="E87" s="84">
        <f t="shared" si="44"/>
        <v>71.250000000000014</v>
      </c>
      <c r="F87" s="60">
        <v>71.250000000000014</v>
      </c>
      <c r="G87" s="84">
        <f t="shared" si="45"/>
        <v>71.250000000000014</v>
      </c>
      <c r="H87" s="60">
        <v>71.250000000000014</v>
      </c>
      <c r="I87" s="84">
        <f t="shared" si="46"/>
        <v>133.34249999999997</v>
      </c>
      <c r="J87" s="60">
        <v>195.43499999999995</v>
      </c>
      <c r="K87" s="84">
        <f t="shared" si="47"/>
        <v>191.65499999999997</v>
      </c>
      <c r="L87" s="60">
        <v>187.87500000000003</v>
      </c>
      <c r="M87" s="60">
        <v>191.3</v>
      </c>
      <c r="N87" s="60">
        <v>191.3</v>
      </c>
      <c r="O87" s="60">
        <v>19.940000000000001</v>
      </c>
      <c r="P87" s="60">
        <v>19.940000000000001</v>
      </c>
      <c r="Q87" s="178">
        <f t="shared" si="48"/>
        <v>1.8699833519062119E-2</v>
      </c>
      <c r="R87" s="178">
        <f t="shared" si="48"/>
        <v>1.8562336766588847E-2</v>
      </c>
      <c r="S87" s="178">
        <f t="shared" si="48"/>
        <v>1.842287983698282E-2</v>
      </c>
      <c r="T87" s="178">
        <f t="shared" si="48"/>
        <v>1.7371531749491971E-2</v>
      </c>
      <c r="U87" s="178">
        <f t="shared" si="48"/>
        <v>8.8341666945735958E-3</v>
      </c>
      <c r="V87" s="178">
        <f t="shared" si="48"/>
        <v>8.6986436343878659E-3</v>
      </c>
      <c r="W87" s="178">
        <f t="shared" si="48"/>
        <v>8.5670413250882854E-3</v>
      </c>
      <c r="X87" s="178">
        <f t="shared" si="48"/>
        <v>8.4354391429211171E-3</v>
      </c>
      <c r="Y87" s="178">
        <f t="shared" si="48"/>
        <v>8.3038468893847188E-3</v>
      </c>
      <c r="Z87" s="178">
        <f t="shared" si="48"/>
        <v>8.1742052731415514E-3</v>
      </c>
      <c r="AA87" s="178">
        <f t="shared" si="48"/>
        <v>8.0445618235339394E-3</v>
      </c>
      <c r="AB87" s="178">
        <f t="shared" si="48"/>
        <v>7.9188430451240625E-3</v>
      </c>
      <c r="AC87" s="178">
        <f t="shared" si="48"/>
        <v>7.7892096507800618E-3</v>
      </c>
    </row>
    <row r="88" spans="1:29" x14ac:dyDescent="0.25">
      <c r="A88" s="86" t="s">
        <v>27</v>
      </c>
      <c r="B88" s="54" t="s">
        <v>29</v>
      </c>
      <c r="C88" s="176">
        <f t="shared" si="43"/>
        <v>2.9625299944625611E-2</v>
      </c>
      <c r="D88" s="60">
        <v>1.6050000000000002</v>
      </c>
      <c r="E88" s="84">
        <f t="shared" si="44"/>
        <v>1.6050000000000002</v>
      </c>
      <c r="F88" s="60">
        <v>1.6050000000000002</v>
      </c>
      <c r="G88" s="84">
        <f t="shared" si="45"/>
        <v>1.6050000000000002</v>
      </c>
      <c r="H88" s="60">
        <v>1.6050000000000002</v>
      </c>
      <c r="I88" s="84">
        <f t="shared" si="46"/>
        <v>6.7424999999999997</v>
      </c>
      <c r="J88" s="60">
        <v>11.879999999999999</v>
      </c>
      <c r="K88" s="84">
        <f t="shared" si="47"/>
        <v>9.3149999999999995</v>
      </c>
      <c r="L88" s="60">
        <v>6.75</v>
      </c>
      <c r="M88" s="60">
        <v>8.5500000000000007</v>
      </c>
      <c r="N88" s="60">
        <v>8.5500000000000007</v>
      </c>
      <c r="O88" s="60">
        <v>9.6300000000000008</v>
      </c>
      <c r="P88" s="60">
        <v>9.6300000000000008</v>
      </c>
      <c r="Q88" s="178">
        <f t="shared" si="48"/>
        <v>9.0310630285139522E-3</v>
      </c>
      <c r="R88" s="178">
        <f t="shared" si="48"/>
        <v>8.9646591305040414E-3</v>
      </c>
      <c r="S88" s="178">
        <f t="shared" si="48"/>
        <v>8.8973085672088541E-3</v>
      </c>
      <c r="T88" s="178">
        <f t="shared" si="48"/>
        <v>8.3895612210435153E-3</v>
      </c>
      <c r="U88" s="178">
        <f t="shared" si="48"/>
        <v>4.2664506152830361E-3</v>
      </c>
      <c r="V88" s="178">
        <f t="shared" si="48"/>
        <v>4.2009999096868176E-3</v>
      </c>
      <c r="W88" s="178">
        <f t="shared" si="48"/>
        <v>4.1374427262086356E-3</v>
      </c>
      <c r="X88" s="178">
        <f t="shared" si="48"/>
        <v>4.0738856041289042E-3</v>
      </c>
      <c r="Y88" s="178">
        <f t="shared" si="48"/>
        <v>4.0103332770699517E-3</v>
      </c>
      <c r="Z88" s="178">
        <f t="shared" si="48"/>
        <v>3.9477230080417827E-3</v>
      </c>
      <c r="AA88" s="178">
        <f t="shared" si="48"/>
        <v>3.8851118535923688E-3</v>
      </c>
      <c r="AB88" s="178">
        <f t="shared" si="48"/>
        <v>3.824396114570949E-3</v>
      </c>
      <c r="AC88" s="178">
        <f t="shared" si="48"/>
        <v>3.7617898162994987E-3</v>
      </c>
    </row>
    <row r="89" spans="1:29" x14ac:dyDescent="0.25">
      <c r="A89" s="186" t="s">
        <v>28</v>
      </c>
      <c r="B89" s="180" t="s">
        <v>29</v>
      </c>
      <c r="C89" s="180"/>
      <c r="D89" s="181">
        <v>34.950000000000003</v>
      </c>
      <c r="E89" s="181">
        <f t="shared" si="44"/>
        <v>34.950000000000003</v>
      </c>
      <c r="F89" s="181">
        <v>34.950000000000003</v>
      </c>
      <c r="G89" s="181">
        <f t="shared" si="45"/>
        <v>34.950000000000003</v>
      </c>
      <c r="H89" s="181">
        <v>34.950000000000003</v>
      </c>
      <c r="I89" s="181">
        <f t="shared" si="46"/>
        <v>105.4725</v>
      </c>
      <c r="J89" s="181">
        <v>175.995</v>
      </c>
      <c r="K89" s="181">
        <f t="shared" si="47"/>
        <v>180.22750000000002</v>
      </c>
      <c r="L89" s="181">
        <v>184.46</v>
      </c>
      <c r="M89" s="181">
        <v>7.38</v>
      </c>
      <c r="N89" s="181">
        <v>7.38</v>
      </c>
      <c r="O89" s="181">
        <v>10.35</v>
      </c>
      <c r="P89" s="181">
        <v>10.35</v>
      </c>
      <c r="Q89" s="181">
        <f t="shared" ref="Q89:AC89" si="49">+P89</f>
        <v>10.35</v>
      </c>
      <c r="R89" s="181">
        <f t="shared" si="49"/>
        <v>10.35</v>
      </c>
      <c r="S89" s="181">
        <f t="shared" si="49"/>
        <v>10.35</v>
      </c>
      <c r="T89" s="181">
        <f t="shared" si="49"/>
        <v>10.35</v>
      </c>
      <c r="U89" s="181">
        <f t="shared" si="49"/>
        <v>10.35</v>
      </c>
      <c r="V89" s="181">
        <f t="shared" si="49"/>
        <v>10.35</v>
      </c>
      <c r="W89" s="181">
        <f t="shared" si="49"/>
        <v>10.35</v>
      </c>
      <c r="X89" s="181">
        <f t="shared" si="49"/>
        <v>10.35</v>
      </c>
      <c r="Y89" s="181">
        <f t="shared" si="49"/>
        <v>10.35</v>
      </c>
      <c r="Z89" s="181">
        <f t="shared" si="49"/>
        <v>10.35</v>
      </c>
      <c r="AA89" s="181">
        <f t="shared" si="49"/>
        <v>10.35</v>
      </c>
      <c r="AB89" s="181">
        <f t="shared" si="49"/>
        <v>10.35</v>
      </c>
      <c r="AC89" s="181">
        <f t="shared" si="49"/>
        <v>10.35</v>
      </c>
    </row>
    <row r="90" spans="1:29" x14ac:dyDescent="0.25">
      <c r="A90" s="182" t="s">
        <v>19</v>
      </c>
      <c r="B90" s="183" t="s">
        <v>29</v>
      </c>
      <c r="C90" s="183"/>
      <c r="D90" s="190">
        <v>3381.8250000000003</v>
      </c>
      <c r="E90" s="190">
        <f t="shared" si="44"/>
        <v>3381.8250000000003</v>
      </c>
      <c r="F90" s="190">
        <v>3381.8250000000003</v>
      </c>
      <c r="G90" s="190">
        <f t="shared" si="45"/>
        <v>3381.8250000000003</v>
      </c>
      <c r="H90" s="190">
        <v>3381.8250000000003</v>
      </c>
      <c r="I90" s="190">
        <f t="shared" si="46"/>
        <v>2758.6950000000002</v>
      </c>
      <c r="J90" s="190">
        <v>2135.5650000000001</v>
      </c>
      <c r="K90" s="190">
        <f t="shared" si="47"/>
        <v>3725.7825000000003</v>
      </c>
      <c r="L90" s="190">
        <v>5316</v>
      </c>
      <c r="M90" s="190">
        <v>196.43</v>
      </c>
      <c r="N90" s="190">
        <v>196.43</v>
      </c>
      <c r="O90" s="190">
        <v>2343.11</v>
      </c>
      <c r="P90" s="190">
        <v>2343.11</v>
      </c>
      <c r="Q90" s="185">
        <f t="shared" ref="Q90:AC90" si="50">+P90</f>
        <v>2343.11</v>
      </c>
      <c r="R90" s="185">
        <f t="shared" si="50"/>
        <v>2343.11</v>
      </c>
      <c r="S90" s="185">
        <f t="shared" si="50"/>
        <v>2343.11</v>
      </c>
      <c r="T90" s="185">
        <f t="shared" si="50"/>
        <v>2343.11</v>
      </c>
      <c r="U90" s="185">
        <f t="shared" si="50"/>
        <v>2343.11</v>
      </c>
      <c r="V90" s="185">
        <f t="shared" si="50"/>
        <v>2343.11</v>
      </c>
      <c r="W90" s="185">
        <f t="shared" si="50"/>
        <v>2343.11</v>
      </c>
      <c r="X90" s="185">
        <f t="shared" si="50"/>
        <v>2343.11</v>
      </c>
      <c r="Y90" s="185">
        <f t="shared" si="50"/>
        <v>2343.11</v>
      </c>
      <c r="Z90" s="185">
        <f t="shared" si="50"/>
        <v>2343.11</v>
      </c>
      <c r="AA90" s="185">
        <f t="shared" si="50"/>
        <v>2343.11</v>
      </c>
      <c r="AB90" s="185">
        <f t="shared" si="50"/>
        <v>2343.11</v>
      </c>
      <c r="AC90" s="185">
        <f t="shared" si="50"/>
        <v>2343.11</v>
      </c>
    </row>
    <row r="91" spans="1:29" x14ac:dyDescent="0.25">
      <c r="A91" s="182" t="s">
        <v>4</v>
      </c>
      <c r="B91" s="183" t="s">
        <v>29</v>
      </c>
      <c r="C91" s="183"/>
      <c r="D91" s="191">
        <v>1159.8499999999999</v>
      </c>
      <c r="E91" s="191">
        <f t="shared" si="44"/>
        <v>1159.8499999999999</v>
      </c>
      <c r="F91" s="191">
        <v>1159.8499999999999</v>
      </c>
      <c r="G91" s="191">
        <f t="shared" si="45"/>
        <v>1159.8499999999999</v>
      </c>
      <c r="H91" s="191">
        <v>1159.8499999999999</v>
      </c>
      <c r="I91" s="191">
        <f t="shared" si="46"/>
        <v>1791.19</v>
      </c>
      <c r="J91" s="191">
        <v>2422.5300000000002</v>
      </c>
      <c r="K91" s="191">
        <f t="shared" si="47"/>
        <v>1698.5050000000001</v>
      </c>
      <c r="L91" s="191">
        <v>974.48</v>
      </c>
      <c r="M91" s="191">
        <v>464.04</v>
      </c>
      <c r="N91" s="191">
        <v>464.04</v>
      </c>
      <c r="O91" s="191">
        <v>465.71</v>
      </c>
      <c r="P91" s="191">
        <v>465.71</v>
      </c>
      <c r="Q91" s="184">
        <f t="shared" ref="Q91:AC91" si="51">+P91</f>
        <v>465.71</v>
      </c>
      <c r="R91" s="184">
        <f t="shared" si="51"/>
        <v>465.71</v>
      </c>
      <c r="S91" s="184">
        <f t="shared" si="51"/>
        <v>465.71</v>
      </c>
      <c r="T91" s="184">
        <f t="shared" si="51"/>
        <v>465.71</v>
      </c>
      <c r="U91" s="184">
        <f t="shared" si="51"/>
        <v>465.71</v>
      </c>
      <c r="V91" s="184">
        <f t="shared" si="51"/>
        <v>465.71</v>
      </c>
      <c r="W91" s="184">
        <f t="shared" si="51"/>
        <v>465.71</v>
      </c>
      <c r="X91" s="184">
        <f t="shared" si="51"/>
        <v>465.71</v>
      </c>
      <c r="Y91" s="184">
        <f t="shared" si="51"/>
        <v>465.71</v>
      </c>
      <c r="Z91" s="184">
        <f t="shared" si="51"/>
        <v>465.71</v>
      </c>
      <c r="AA91" s="184">
        <f t="shared" si="51"/>
        <v>465.71</v>
      </c>
      <c r="AB91" s="184">
        <f t="shared" si="51"/>
        <v>465.71</v>
      </c>
      <c r="AC91" s="184">
        <f t="shared" si="51"/>
        <v>465.71</v>
      </c>
    </row>
    <row r="92" spans="1:29" x14ac:dyDescent="0.25">
      <c r="A92" s="182" t="s">
        <v>5</v>
      </c>
      <c r="B92" s="183" t="s">
        <v>29</v>
      </c>
      <c r="C92" s="183"/>
      <c r="D92" s="191">
        <v>1795.99</v>
      </c>
      <c r="E92" s="191">
        <f t="shared" si="44"/>
        <v>1795.99</v>
      </c>
      <c r="F92" s="191">
        <v>1795.99</v>
      </c>
      <c r="G92" s="191">
        <f t="shared" si="45"/>
        <v>1795.99</v>
      </c>
      <c r="H92" s="191">
        <v>1795.99</v>
      </c>
      <c r="I92" s="191">
        <f t="shared" si="46"/>
        <v>1414.6399999999999</v>
      </c>
      <c r="J92" s="191">
        <v>1033.29</v>
      </c>
      <c r="K92" s="191">
        <f t="shared" si="47"/>
        <v>2623.5</v>
      </c>
      <c r="L92" s="191">
        <v>4213.71</v>
      </c>
      <c r="M92" s="191">
        <v>26.96</v>
      </c>
      <c r="N92" s="191">
        <v>26.96</v>
      </c>
      <c r="O92" s="191">
        <v>341.55</v>
      </c>
      <c r="P92" s="191">
        <v>341.55</v>
      </c>
      <c r="Q92" s="184">
        <f t="shared" ref="Q92:AC92" si="52">+P92</f>
        <v>341.55</v>
      </c>
      <c r="R92" s="184">
        <f t="shared" si="52"/>
        <v>341.55</v>
      </c>
      <c r="S92" s="184">
        <f t="shared" si="52"/>
        <v>341.55</v>
      </c>
      <c r="T92" s="184">
        <f t="shared" si="52"/>
        <v>341.55</v>
      </c>
      <c r="U92" s="184">
        <f t="shared" si="52"/>
        <v>341.55</v>
      </c>
      <c r="V92" s="184">
        <f t="shared" si="52"/>
        <v>341.55</v>
      </c>
      <c r="W92" s="184">
        <f t="shared" si="52"/>
        <v>341.55</v>
      </c>
      <c r="X92" s="184">
        <f t="shared" si="52"/>
        <v>341.55</v>
      </c>
      <c r="Y92" s="184">
        <f t="shared" si="52"/>
        <v>341.55</v>
      </c>
      <c r="Z92" s="184">
        <f t="shared" si="52"/>
        <v>341.55</v>
      </c>
      <c r="AA92" s="184">
        <f t="shared" si="52"/>
        <v>341.55</v>
      </c>
      <c r="AB92" s="184">
        <f t="shared" si="52"/>
        <v>341.55</v>
      </c>
      <c r="AC92" s="184">
        <f t="shared" si="52"/>
        <v>341.55</v>
      </c>
    </row>
    <row r="93" spans="1:29" x14ac:dyDescent="0.25">
      <c r="A93" s="182" t="s">
        <v>6</v>
      </c>
      <c r="B93" s="183" t="s">
        <v>29</v>
      </c>
      <c r="C93" s="183"/>
      <c r="D93" s="191">
        <v>0</v>
      </c>
      <c r="E93" s="191">
        <f t="shared" si="44"/>
        <v>0</v>
      </c>
      <c r="F93" s="191">
        <v>0</v>
      </c>
      <c r="G93" s="191">
        <f t="shared" si="45"/>
        <v>0</v>
      </c>
      <c r="H93" s="191">
        <v>0</v>
      </c>
      <c r="I93" s="191">
        <f t="shared" si="46"/>
        <v>0</v>
      </c>
      <c r="J93" s="191">
        <v>0</v>
      </c>
      <c r="K93" s="191">
        <f t="shared" si="47"/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84">
        <f t="shared" ref="Q93:AC93" si="53">+P93</f>
        <v>0</v>
      </c>
      <c r="R93" s="184">
        <f t="shared" si="53"/>
        <v>0</v>
      </c>
      <c r="S93" s="184">
        <f t="shared" si="53"/>
        <v>0</v>
      </c>
      <c r="T93" s="184">
        <f t="shared" si="53"/>
        <v>0</v>
      </c>
      <c r="U93" s="184">
        <f t="shared" si="53"/>
        <v>0</v>
      </c>
      <c r="V93" s="184">
        <f t="shared" si="53"/>
        <v>0</v>
      </c>
      <c r="W93" s="184">
        <f t="shared" si="53"/>
        <v>0</v>
      </c>
      <c r="X93" s="184">
        <f t="shared" si="53"/>
        <v>0</v>
      </c>
      <c r="Y93" s="184">
        <f t="shared" si="53"/>
        <v>0</v>
      </c>
      <c r="Z93" s="184">
        <f t="shared" si="53"/>
        <v>0</v>
      </c>
      <c r="AA93" s="184">
        <f t="shared" si="53"/>
        <v>0</v>
      </c>
      <c r="AB93" s="184">
        <f t="shared" si="53"/>
        <v>0</v>
      </c>
      <c r="AC93" s="184">
        <f t="shared" si="53"/>
        <v>0</v>
      </c>
    </row>
    <row r="94" spans="1:29" ht="15.75" thickBot="1" x14ac:dyDescent="0.3">
      <c r="A94" s="214"/>
      <c r="B94" s="215"/>
      <c r="C94" s="215"/>
      <c r="D94" s="115"/>
      <c r="E94" s="216"/>
      <c r="F94" s="115"/>
      <c r="G94" s="216"/>
      <c r="H94" s="115"/>
      <c r="I94" s="216"/>
      <c r="J94" s="115"/>
      <c r="K94" s="216"/>
      <c r="L94" s="115"/>
      <c r="M94" s="115"/>
      <c r="N94" s="115"/>
      <c r="O94" s="115"/>
      <c r="P94" s="115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</row>
    <row r="95" spans="1:29" x14ac:dyDescent="0.25">
      <c r="A95" s="204" t="s">
        <v>105</v>
      </c>
      <c r="B95" s="205" t="s">
        <v>106</v>
      </c>
      <c r="C95" s="205"/>
      <c r="D95" s="206">
        <v>2010</v>
      </c>
      <c r="E95" s="206">
        <v>2011</v>
      </c>
      <c r="F95" s="206">
        <v>2012</v>
      </c>
      <c r="G95" s="206">
        <v>2013</v>
      </c>
      <c r="H95" s="206">
        <v>2014</v>
      </c>
      <c r="I95" s="206">
        <v>2015</v>
      </c>
      <c r="J95" s="206">
        <v>2016</v>
      </c>
      <c r="K95" s="206">
        <v>2017</v>
      </c>
      <c r="L95" s="206">
        <v>2018</v>
      </c>
      <c r="M95" s="206">
        <v>2019</v>
      </c>
      <c r="N95" s="206">
        <v>2020</v>
      </c>
      <c r="O95" s="206">
        <v>2021</v>
      </c>
      <c r="P95" s="206">
        <v>2022</v>
      </c>
      <c r="Q95" s="206">
        <v>2023</v>
      </c>
      <c r="R95" s="206">
        <v>2024</v>
      </c>
      <c r="S95" s="206">
        <v>2025</v>
      </c>
      <c r="T95" s="206">
        <v>2026</v>
      </c>
      <c r="U95" s="206">
        <v>2027</v>
      </c>
      <c r="V95" s="206">
        <v>2028</v>
      </c>
      <c r="W95" s="206">
        <v>2029</v>
      </c>
      <c r="X95" s="206">
        <v>2030</v>
      </c>
      <c r="Y95" s="206">
        <v>2031</v>
      </c>
      <c r="Z95" s="206">
        <v>2032</v>
      </c>
      <c r="AA95" s="206">
        <v>2033</v>
      </c>
      <c r="AB95" s="206">
        <v>2034</v>
      </c>
      <c r="AC95" s="207">
        <v>2035</v>
      </c>
    </row>
    <row r="96" spans="1:29" x14ac:dyDescent="0.25">
      <c r="A96" s="218" t="s">
        <v>19</v>
      </c>
      <c r="B96" s="86" t="s">
        <v>18</v>
      </c>
      <c r="C96" s="86"/>
      <c r="D96" s="84">
        <f>('5ta'!C$88+'5ta'!C$89)*'5ta'!$R87</f>
        <v>35.450349455211686</v>
      </c>
      <c r="E96" s="84">
        <f>('5ta'!D$88+'5ta'!D$89)*'5ta'!$R87</f>
        <v>35.450349455211686</v>
      </c>
      <c r="F96" s="84">
        <f>('5ta'!E$88+'5ta'!E$89)*'5ta'!$R87</f>
        <v>35.450349455211686</v>
      </c>
      <c r="G96" s="84">
        <f>('5ta'!F$88+'5ta'!F$89)*'5ta'!$R87</f>
        <v>35.450349455211686</v>
      </c>
      <c r="H96" s="84">
        <f>('5ta'!G$88+'5ta'!G$89)*'5ta'!$R87</f>
        <v>35.450349455211686</v>
      </c>
      <c r="I96" s="84">
        <f>('5ta'!H$88+'5ta'!H$89)*'5ta'!$R87</f>
        <v>27.971301260442953</v>
      </c>
      <c r="J96" s="84">
        <f>('5ta'!I$88+'5ta'!I$89)*'5ta'!$R87</f>
        <v>20.492253065674223</v>
      </c>
      <c r="K96" s="84">
        <f>('5ta'!J$88+'5ta'!J$89)*'5ta'!$R87</f>
        <v>26.145300649667249</v>
      </c>
      <c r="L96" s="84">
        <f>('5ta'!K$88+'5ta'!K$89)*'5ta'!$R87</f>
        <v>31.798348233660274</v>
      </c>
      <c r="M96" s="84">
        <f>('5ta'!L$88+'5ta'!L$89)*'5ta'!$R87</f>
        <v>5.2465438706970549</v>
      </c>
      <c r="N96" s="84">
        <f>('5ta'!M$88+'5ta'!M$89)*'5ta'!$R87</f>
        <v>5.2465438706970549</v>
      </c>
      <c r="O96" s="84">
        <f>('5ta'!N$88+'5ta'!N$89)*'5ta'!$R87</f>
        <v>5.8147838288109819</v>
      </c>
      <c r="P96" s="84">
        <f>('5ta'!O$88+'5ta'!O$89)*'5ta'!$R87</f>
        <v>5.8147838288109819</v>
      </c>
      <c r="Q96" s="84">
        <f t="shared" ref="Q96:AC96" si="54">+P96-(0.049/100)</f>
        <v>5.8142938288109818</v>
      </c>
      <c r="R96" s="84">
        <f t="shared" si="54"/>
        <v>5.8138038288109817</v>
      </c>
      <c r="S96" s="84">
        <f t="shared" si="54"/>
        <v>5.8133138288109816</v>
      </c>
      <c r="T96" s="84">
        <f t="shared" si="54"/>
        <v>5.8128238288109815</v>
      </c>
      <c r="U96" s="84">
        <f t="shared" si="54"/>
        <v>5.8123338288109814</v>
      </c>
      <c r="V96" s="84">
        <f t="shared" si="54"/>
        <v>5.8118438288109813</v>
      </c>
      <c r="W96" s="84">
        <f t="shared" si="54"/>
        <v>5.8113538288109812</v>
      </c>
      <c r="X96" s="84">
        <f t="shared" si="54"/>
        <v>5.8108638288109811</v>
      </c>
      <c r="Y96" s="84">
        <f t="shared" si="54"/>
        <v>5.810373828810981</v>
      </c>
      <c r="Z96" s="84">
        <f t="shared" si="54"/>
        <v>5.8098838288109809</v>
      </c>
      <c r="AA96" s="84">
        <f t="shared" si="54"/>
        <v>5.8093938288109808</v>
      </c>
      <c r="AB96" s="84">
        <f t="shared" si="54"/>
        <v>5.8089038288109807</v>
      </c>
      <c r="AC96" s="219">
        <f t="shared" si="54"/>
        <v>5.8084138288109806</v>
      </c>
    </row>
    <row r="97" spans="1:29" x14ac:dyDescent="0.25">
      <c r="A97" s="218" t="s">
        <v>19</v>
      </c>
      <c r="B97" s="86" t="s">
        <v>20</v>
      </c>
      <c r="C97" s="86"/>
      <c r="D97" s="84">
        <f>('5ta'!C$88+'5ta'!C$89)*'5ta'!$R88</f>
        <v>346.1792516375865</v>
      </c>
      <c r="E97" s="84">
        <f>('5ta'!D$88+'5ta'!D$89)*'5ta'!$R88</f>
        <v>346.1792516375865</v>
      </c>
      <c r="F97" s="84">
        <f>('5ta'!E$88+'5ta'!E$89)*'5ta'!$R88</f>
        <v>346.1792516375865</v>
      </c>
      <c r="G97" s="84">
        <f>('5ta'!F$88+'5ta'!F$89)*'5ta'!$R88</f>
        <v>346.1792516375865</v>
      </c>
      <c r="H97" s="84">
        <f>('5ta'!G$88+'5ta'!G$89)*'5ta'!$R88</f>
        <v>346.1792516375865</v>
      </c>
      <c r="I97" s="84">
        <f>('5ta'!H$88+'5ta'!H$89)*'5ta'!$R88</f>
        <v>273.14495587422419</v>
      </c>
      <c r="J97" s="84">
        <f>('5ta'!I$88+'5ta'!I$89)*'5ta'!$R88</f>
        <v>200.11066011086183</v>
      </c>
      <c r="K97" s="84">
        <f>('5ta'!J$88+'5ta'!J$89)*'5ta'!$R88</f>
        <v>255.31372050863939</v>
      </c>
      <c r="L97" s="84">
        <f>('5ta'!K$88+'5ta'!K$89)*'5ta'!$R88</f>
        <v>310.51678090641695</v>
      </c>
      <c r="M97" s="84">
        <f>('5ta'!L$88+'5ta'!L$89)*'5ta'!$R88</f>
        <v>51.23347608001253</v>
      </c>
      <c r="N97" s="84">
        <f>('5ta'!M$88+'5ta'!M$89)*'5ta'!$R88</f>
        <v>51.23347608001253</v>
      </c>
      <c r="O97" s="84">
        <f>('5ta'!N$88+'5ta'!N$89)*'5ta'!$R88</f>
        <v>56.78244489057338</v>
      </c>
      <c r="P97" s="84">
        <f>('5ta'!O$88+'5ta'!O$89)*'5ta'!$R88</f>
        <v>56.78244489057338</v>
      </c>
      <c r="Q97" s="84">
        <f t="shared" ref="Q97:AC97" si="55">+P97-(0.049/100)</f>
        <v>56.781954890573381</v>
      </c>
      <c r="R97" s="84">
        <f t="shared" si="55"/>
        <v>56.781464890573382</v>
      </c>
      <c r="S97" s="84">
        <f t="shared" si="55"/>
        <v>56.780974890573383</v>
      </c>
      <c r="T97" s="84">
        <f t="shared" si="55"/>
        <v>56.780484890573383</v>
      </c>
      <c r="U97" s="84">
        <f t="shared" si="55"/>
        <v>56.779994890573384</v>
      </c>
      <c r="V97" s="84">
        <f t="shared" si="55"/>
        <v>56.779504890573385</v>
      </c>
      <c r="W97" s="84">
        <f t="shared" si="55"/>
        <v>56.779014890573386</v>
      </c>
      <c r="X97" s="84">
        <f t="shared" si="55"/>
        <v>56.778524890573387</v>
      </c>
      <c r="Y97" s="84">
        <f t="shared" si="55"/>
        <v>56.778034890573387</v>
      </c>
      <c r="Z97" s="84">
        <f t="shared" si="55"/>
        <v>56.777544890573388</v>
      </c>
      <c r="AA97" s="84">
        <f t="shared" si="55"/>
        <v>56.777054890573389</v>
      </c>
      <c r="AB97" s="84">
        <f t="shared" si="55"/>
        <v>56.77656489057339</v>
      </c>
      <c r="AC97" s="219">
        <f t="shared" si="55"/>
        <v>56.776074890573391</v>
      </c>
    </row>
    <row r="98" spans="1:29" x14ac:dyDescent="0.25">
      <c r="A98" s="218" t="s">
        <v>19</v>
      </c>
      <c r="B98" s="86" t="s">
        <v>21</v>
      </c>
      <c r="C98" s="86"/>
      <c r="D98" s="84">
        <f>('5ta'!C$88+'5ta'!C$89)*'5ta'!$R89</f>
        <v>3310.1998640493071</v>
      </c>
      <c r="E98" s="84">
        <f>('5ta'!D$88+'5ta'!D$89)*'5ta'!$R89</f>
        <v>3310.1998640493071</v>
      </c>
      <c r="F98" s="84">
        <f>('5ta'!E$88+'5ta'!E$89)*'5ta'!$R89</f>
        <v>3310.1998640493071</v>
      </c>
      <c r="G98" s="84">
        <f>('5ta'!F$88+'5ta'!F$89)*'5ta'!$R89</f>
        <v>3310.1998640493071</v>
      </c>
      <c r="H98" s="84">
        <f>('5ta'!G$88+'5ta'!G$89)*'5ta'!$R89</f>
        <v>3310.1998640493071</v>
      </c>
      <c r="I98" s="84">
        <f>('5ta'!H$88+'5ta'!H$89)*'5ta'!$R89</f>
        <v>2611.8387844548711</v>
      </c>
      <c r="J98" s="84">
        <f>('5ta'!I$88+'5ta'!I$89)*'5ta'!$R89</f>
        <v>1913.4777048604346</v>
      </c>
      <c r="K98" s="84">
        <f>('5ta'!J$88+'5ta'!J$89)*'5ta'!$R89</f>
        <v>2441.3347678109649</v>
      </c>
      <c r="L98" s="84">
        <f>('5ta'!K$88+'5ta'!K$89)*'5ta'!$R89</f>
        <v>2969.1918307614956</v>
      </c>
      <c r="M98" s="84">
        <f>('5ta'!L$88+'5ta'!L$89)*'5ta'!$R89</f>
        <v>489.89950943789398</v>
      </c>
      <c r="N98" s="84">
        <f>('5ta'!M$88+'5ta'!M$89)*'5ta'!$R89</f>
        <v>489.89950943789398</v>
      </c>
      <c r="O98" s="84">
        <f>('5ta'!N$88+'5ta'!N$89)*'5ta'!$R89</f>
        <v>542.95929195068879</v>
      </c>
      <c r="P98" s="84">
        <f>('5ta'!O$88+'5ta'!O$89)*'5ta'!$R89</f>
        <v>542.95929195068879</v>
      </c>
      <c r="Q98" s="84">
        <f t="shared" ref="Q98:AC98" si="56">+P98-(0.049/100)</f>
        <v>542.95880195068878</v>
      </c>
      <c r="R98" s="84">
        <f t="shared" si="56"/>
        <v>542.95831195068877</v>
      </c>
      <c r="S98" s="84">
        <f t="shared" si="56"/>
        <v>542.95782195068875</v>
      </c>
      <c r="T98" s="84">
        <f t="shared" si="56"/>
        <v>542.95733195068874</v>
      </c>
      <c r="U98" s="84">
        <f t="shared" si="56"/>
        <v>542.95684195068873</v>
      </c>
      <c r="V98" s="84">
        <f t="shared" si="56"/>
        <v>542.95635195068871</v>
      </c>
      <c r="W98" s="84">
        <f t="shared" si="56"/>
        <v>542.9558619506887</v>
      </c>
      <c r="X98" s="84">
        <f t="shared" si="56"/>
        <v>542.95537195068869</v>
      </c>
      <c r="Y98" s="84">
        <f t="shared" si="56"/>
        <v>542.95488195068867</v>
      </c>
      <c r="Z98" s="84">
        <f t="shared" si="56"/>
        <v>542.95439195068866</v>
      </c>
      <c r="AA98" s="84">
        <f t="shared" si="56"/>
        <v>542.95390195068865</v>
      </c>
      <c r="AB98" s="84">
        <f t="shared" si="56"/>
        <v>542.95341195068863</v>
      </c>
      <c r="AC98" s="219">
        <f t="shared" si="56"/>
        <v>542.95292195068862</v>
      </c>
    </row>
    <row r="99" spans="1:29" x14ac:dyDescent="0.25">
      <c r="A99" s="218" t="s">
        <v>19</v>
      </c>
      <c r="B99" s="86" t="s">
        <v>22</v>
      </c>
      <c r="C99" s="86"/>
      <c r="D99" s="84">
        <f>('5ta'!C$88+'5ta'!C$89)*'5ta'!$R90</f>
        <v>1345.5748980235817</v>
      </c>
      <c r="E99" s="84">
        <f>('5ta'!D$88+'5ta'!D$89)*'5ta'!$R90</f>
        <v>1345.5748980235817</v>
      </c>
      <c r="F99" s="84">
        <f>('5ta'!E$88+'5ta'!E$89)*'5ta'!$R90</f>
        <v>1345.5748980235817</v>
      </c>
      <c r="G99" s="84">
        <f>('5ta'!F$88+'5ta'!F$89)*'5ta'!$R90</f>
        <v>1345.5748980235817</v>
      </c>
      <c r="H99" s="84">
        <f>('5ta'!G$88+'5ta'!G$89)*'5ta'!$R90</f>
        <v>1345.5748980235817</v>
      </c>
      <c r="I99" s="84">
        <f>('5ta'!H$88+'5ta'!H$89)*'5ta'!$R90</f>
        <v>1061.6956227373435</v>
      </c>
      <c r="J99" s="84">
        <f>('5ta'!I$88+'5ta'!I$89)*'5ta'!$R90</f>
        <v>777.81634745110512</v>
      </c>
      <c r="K99" s="84">
        <f>('5ta'!J$88+'5ta'!J$89)*'5ta'!$R90</f>
        <v>992.3868395125196</v>
      </c>
      <c r="L99" s="84">
        <f>('5ta'!K$88+'5ta'!K$89)*'5ta'!$R90</f>
        <v>1206.9573315739342</v>
      </c>
      <c r="M99" s="84">
        <f>('5ta'!L$88+'5ta'!L$89)*'5ta'!$R90</f>
        <v>199.14099133800156</v>
      </c>
      <c r="N99" s="84">
        <f>('5ta'!M$88+'5ta'!M$89)*'5ta'!$R90</f>
        <v>199.14099133800156</v>
      </c>
      <c r="O99" s="84">
        <f>('5ta'!N$88+'5ta'!N$89)*'5ta'!$R90</f>
        <v>220.70945075920093</v>
      </c>
      <c r="P99" s="84">
        <f>('5ta'!O$88+'5ta'!O$89)*'5ta'!$R90</f>
        <v>220.70945075920093</v>
      </c>
      <c r="Q99" s="84">
        <f t="shared" ref="Q99:AC99" si="57">+P99-(0.049/100)</f>
        <v>220.70896075920092</v>
      </c>
      <c r="R99" s="84">
        <f t="shared" si="57"/>
        <v>220.70847075920091</v>
      </c>
      <c r="S99" s="84">
        <f t="shared" si="57"/>
        <v>220.70798075920089</v>
      </c>
      <c r="T99" s="84">
        <f t="shared" si="57"/>
        <v>220.70749075920088</v>
      </c>
      <c r="U99" s="84">
        <f t="shared" si="57"/>
        <v>220.70700075920087</v>
      </c>
      <c r="V99" s="84">
        <f t="shared" si="57"/>
        <v>220.70651075920085</v>
      </c>
      <c r="W99" s="84">
        <f t="shared" si="57"/>
        <v>220.70602075920084</v>
      </c>
      <c r="X99" s="84">
        <f t="shared" si="57"/>
        <v>220.70553075920083</v>
      </c>
      <c r="Y99" s="84">
        <f t="shared" si="57"/>
        <v>220.70504075920081</v>
      </c>
      <c r="Z99" s="84">
        <f t="shared" si="57"/>
        <v>220.7045507592008</v>
      </c>
      <c r="AA99" s="84">
        <f t="shared" si="57"/>
        <v>220.70406075920079</v>
      </c>
      <c r="AB99" s="84">
        <f t="shared" si="57"/>
        <v>220.70357075920077</v>
      </c>
      <c r="AC99" s="219">
        <f t="shared" si="57"/>
        <v>220.70308075920076</v>
      </c>
    </row>
    <row r="100" spans="1:29" x14ac:dyDescent="0.25">
      <c r="A100" s="218" t="s">
        <v>19</v>
      </c>
      <c r="B100" s="86" t="s">
        <v>23</v>
      </c>
      <c r="C100" s="86"/>
      <c r="D100" s="84">
        <f>('5ta'!C$88+'5ta'!C$89)*'5ta'!$R91</f>
        <v>926.66258971003924</v>
      </c>
      <c r="E100" s="84">
        <f>('5ta'!D$88+'5ta'!D$89)*'5ta'!$R91</f>
        <v>926.66258971003924</v>
      </c>
      <c r="F100" s="84">
        <f>('5ta'!E$88+'5ta'!E$89)*'5ta'!$R91</f>
        <v>926.66258971003924</v>
      </c>
      <c r="G100" s="84">
        <f>('5ta'!F$88+'5ta'!F$89)*'5ta'!$R91</f>
        <v>926.66258971003924</v>
      </c>
      <c r="H100" s="84">
        <f>('5ta'!G$88+'5ta'!G$89)*'5ta'!$R91</f>
        <v>926.66258971003924</v>
      </c>
      <c r="I100" s="84">
        <f>('5ta'!H$88+'5ta'!H$89)*'5ta'!$R91</f>
        <v>731.16228364149924</v>
      </c>
      <c r="J100" s="84">
        <f>('5ta'!I$88+'5ta'!I$89)*'5ta'!$R91</f>
        <v>535.66197757295924</v>
      </c>
      <c r="K100" s="84">
        <f>('5ta'!J$88+'5ta'!J$89)*'5ta'!$R91</f>
        <v>683.43111932868112</v>
      </c>
      <c r="L100" s="84">
        <f>('5ta'!K$88+'5ta'!K$89)*'5ta'!$R91</f>
        <v>831.20026108440311</v>
      </c>
      <c r="M100" s="84">
        <f>('5ta'!L$88+'5ta'!L$89)*'5ta'!$R91</f>
        <v>137.14324414177867</v>
      </c>
      <c r="N100" s="84">
        <f>('5ta'!M$88+'5ta'!M$89)*'5ta'!$R91</f>
        <v>137.14324414177867</v>
      </c>
      <c r="O100" s="84">
        <f>('5ta'!N$88+'5ta'!N$89)*'5ta'!$R91</f>
        <v>151.99688364758509</v>
      </c>
      <c r="P100" s="84">
        <f>('5ta'!O$88+'5ta'!O$89)*'5ta'!$R91</f>
        <v>151.99688364758509</v>
      </c>
      <c r="Q100" s="84">
        <f t="shared" ref="Q100:AC100" si="58">+P100-(0.049/100)</f>
        <v>151.99639364758508</v>
      </c>
      <c r="R100" s="84">
        <f t="shared" si="58"/>
        <v>151.99590364758507</v>
      </c>
      <c r="S100" s="84">
        <f t="shared" si="58"/>
        <v>151.99541364758505</v>
      </c>
      <c r="T100" s="84">
        <f t="shared" si="58"/>
        <v>151.99492364758504</v>
      </c>
      <c r="U100" s="84">
        <f t="shared" si="58"/>
        <v>151.99443364758503</v>
      </c>
      <c r="V100" s="84">
        <f t="shared" si="58"/>
        <v>151.99394364758501</v>
      </c>
      <c r="W100" s="84">
        <f t="shared" si="58"/>
        <v>151.993453647585</v>
      </c>
      <c r="X100" s="84">
        <f t="shared" si="58"/>
        <v>151.99296364758499</v>
      </c>
      <c r="Y100" s="84">
        <f t="shared" si="58"/>
        <v>151.99247364758497</v>
      </c>
      <c r="Z100" s="84">
        <f t="shared" si="58"/>
        <v>151.99198364758496</v>
      </c>
      <c r="AA100" s="84">
        <f t="shared" si="58"/>
        <v>151.99149364758495</v>
      </c>
      <c r="AB100" s="84">
        <f t="shared" si="58"/>
        <v>151.99100364758493</v>
      </c>
      <c r="AC100" s="219">
        <f t="shared" si="58"/>
        <v>151.99051364758492</v>
      </c>
    </row>
    <row r="101" spans="1:29" x14ac:dyDescent="0.25">
      <c r="A101" s="218" t="s">
        <v>19</v>
      </c>
      <c r="B101" s="86" t="s">
        <v>24</v>
      </c>
      <c r="C101" s="86"/>
      <c r="D101" s="84">
        <f>('5ta'!C$88+'5ta'!C$89)*'5ta'!$R92</f>
        <v>6780.8508624532096</v>
      </c>
      <c r="E101" s="84">
        <f>('5ta'!D$88+'5ta'!D$89)*'5ta'!$R92</f>
        <v>6780.8508624532096</v>
      </c>
      <c r="F101" s="84">
        <f>('5ta'!E$88+'5ta'!E$89)*'5ta'!$R92</f>
        <v>6780.8508624532096</v>
      </c>
      <c r="G101" s="84">
        <f>('5ta'!F$88+'5ta'!F$89)*'5ta'!$R92</f>
        <v>6780.8508624532096</v>
      </c>
      <c r="H101" s="84">
        <f>('5ta'!G$88+'5ta'!G$89)*'5ta'!$R92</f>
        <v>6780.8508624532096</v>
      </c>
      <c r="I101" s="84">
        <f>('5ta'!H$88+'5ta'!H$89)*'5ta'!$R92</f>
        <v>5350.277929289332</v>
      </c>
      <c r="J101" s="84">
        <f>('5ta'!I$88+'5ta'!I$89)*'5ta'!$R92</f>
        <v>3919.7049961254538</v>
      </c>
      <c r="K101" s="84">
        <f>('5ta'!J$88+'5ta'!J$89)*'5ta'!$R92</f>
        <v>5001.0052702972998</v>
      </c>
      <c r="L101" s="84">
        <f>('5ta'!K$88+'5ta'!K$89)*'5ta'!$R92</f>
        <v>6082.3055444691454</v>
      </c>
      <c r="M101" s="84">
        <f>('5ta'!L$88+'5ta'!L$89)*'5ta'!$R92</f>
        <v>1003.5452986284897</v>
      </c>
      <c r="N101" s="84">
        <f>('5ta'!M$88+'5ta'!M$89)*'5ta'!$R92</f>
        <v>1003.5452986284897</v>
      </c>
      <c r="O101" s="84">
        <f>('5ta'!N$88+'5ta'!N$89)*'5ta'!$R92</f>
        <v>1112.2367634312643</v>
      </c>
      <c r="P101" s="84">
        <f>('5ta'!O$88+'5ta'!O$89)*'5ta'!$R92</f>
        <v>1112.2367634312643</v>
      </c>
      <c r="Q101" s="84">
        <f t="shared" ref="Q101:AC101" si="59">+P101-(0.049/100)</f>
        <v>1112.2362734312644</v>
      </c>
      <c r="R101" s="84">
        <f t="shared" si="59"/>
        <v>1112.2357834312645</v>
      </c>
      <c r="S101" s="84">
        <f t="shared" si="59"/>
        <v>1112.2352934312646</v>
      </c>
      <c r="T101" s="84">
        <f t="shared" si="59"/>
        <v>1112.2348034312647</v>
      </c>
      <c r="U101" s="84">
        <f t="shared" si="59"/>
        <v>1112.2343134312648</v>
      </c>
      <c r="V101" s="84">
        <f t="shared" si="59"/>
        <v>1112.2338234312649</v>
      </c>
      <c r="W101" s="84">
        <f t="shared" si="59"/>
        <v>1112.233333431265</v>
      </c>
      <c r="X101" s="84">
        <f t="shared" si="59"/>
        <v>1112.2328434312651</v>
      </c>
      <c r="Y101" s="84">
        <f t="shared" si="59"/>
        <v>1112.2323534312652</v>
      </c>
      <c r="Z101" s="84">
        <f t="shared" si="59"/>
        <v>1112.2318634312653</v>
      </c>
      <c r="AA101" s="84">
        <f t="shared" si="59"/>
        <v>1112.2313734312654</v>
      </c>
      <c r="AB101" s="84">
        <f t="shared" si="59"/>
        <v>1112.2308834312655</v>
      </c>
      <c r="AC101" s="219">
        <f t="shared" si="59"/>
        <v>1112.2303934312656</v>
      </c>
    </row>
    <row r="102" spans="1:29" x14ac:dyDescent="0.25">
      <c r="A102" s="218" t="s">
        <v>19</v>
      </c>
      <c r="B102" s="86" t="s">
        <v>25</v>
      </c>
      <c r="C102" s="86"/>
      <c r="D102" s="84">
        <f>('5ta'!C$88+'5ta'!C$89)*'5ta'!$R93</f>
        <v>751.26524843634377</v>
      </c>
      <c r="E102" s="84">
        <f>('5ta'!D$88+'5ta'!D$89)*'5ta'!$R93</f>
        <v>751.26524843634377</v>
      </c>
      <c r="F102" s="84">
        <f>('5ta'!E$88+'5ta'!E$89)*'5ta'!$R93</f>
        <v>751.26524843634377</v>
      </c>
      <c r="G102" s="84">
        <f>('5ta'!F$88+'5ta'!F$89)*'5ta'!$R93</f>
        <v>751.26524843634377</v>
      </c>
      <c r="H102" s="84">
        <f>('5ta'!G$88+'5ta'!G$89)*'5ta'!$R93</f>
        <v>751.26524843634377</v>
      </c>
      <c r="I102" s="84">
        <f>('5ta'!H$88+'5ta'!H$89)*'5ta'!$R93</f>
        <v>592.76895470561192</v>
      </c>
      <c r="J102" s="84">
        <f>('5ta'!I$88+'5ta'!I$89)*'5ta'!$R93</f>
        <v>434.27266097488018</v>
      </c>
      <c r="K102" s="84">
        <f>('5ta'!J$88+'5ta'!J$89)*'5ta'!$R93</f>
        <v>554.07227544628665</v>
      </c>
      <c r="L102" s="84">
        <f>('5ta'!K$88+'5ta'!K$89)*'5ta'!$R93</f>
        <v>673.87188991769301</v>
      </c>
      <c r="M102" s="84">
        <f>('5ta'!L$88+'5ta'!L$89)*'5ta'!$R93</f>
        <v>111.18497123508436</v>
      </c>
      <c r="N102" s="84">
        <f>('5ta'!M$88+'5ta'!M$89)*'5ta'!$R93</f>
        <v>111.18497123508436</v>
      </c>
      <c r="O102" s="84">
        <f>('5ta'!N$88+'5ta'!N$89)*'5ta'!$R93</f>
        <v>123.227135554036</v>
      </c>
      <c r="P102" s="84">
        <f>('5ta'!O$88+'5ta'!O$89)*'5ta'!$R93</f>
        <v>123.227135554036</v>
      </c>
      <c r="Q102" s="84">
        <f t="shared" ref="Q102:AC102" si="60">+P102-(0.049/100)</f>
        <v>123.226645554036</v>
      </c>
      <c r="R102" s="84">
        <f t="shared" si="60"/>
        <v>123.226155554036</v>
      </c>
      <c r="S102" s="84">
        <f t="shared" si="60"/>
        <v>123.225665554036</v>
      </c>
      <c r="T102" s="84">
        <f t="shared" si="60"/>
        <v>123.225175554036</v>
      </c>
      <c r="U102" s="84">
        <f t="shared" si="60"/>
        <v>123.224685554036</v>
      </c>
      <c r="V102" s="84">
        <f t="shared" si="60"/>
        <v>123.224195554036</v>
      </c>
      <c r="W102" s="84">
        <f t="shared" si="60"/>
        <v>123.223705554036</v>
      </c>
      <c r="X102" s="84">
        <f t="shared" si="60"/>
        <v>123.223215554036</v>
      </c>
      <c r="Y102" s="84">
        <f t="shared" si="60"/>
        <v>123.222725554036</v>
      </c>
      <c r="Z102" s="84">
        <f t="shared" si="60"/>
        <v>123.222235554036</v>
      </c>
      <c r="AA102" s="84">
        <f t="shared" si="60"/>
        <v>123.221745554036</v>
      </c>
      <c r="AB102" s="84">
        <f t="shared" si="60"/>
        <v>123.22125555403601</v>
      </c>
      <c r="AC102" s="219">
        <f t="shared" si="60"/>
        <v>123.22076555403601</v>
      </c>
    </row>
    <row r="103" spans="1:29" x14ac:dyDescent="0.25">
      <c r="A103" s="218" t="s">
        <v>19</v>
      </c>
      <c r="B103" s="86" t="s">
        <v>26</v>
      </c>
      <c r="C103" s="86"/>
      <c r="D103" s="84">
        <f>('5ta'!C$88+'5ta'!C$89)*'5ta'!$R94</f>
        <v>186.57832370711517</v>
      </c>
      <c r="E103" s="84">
        <f>('5ta'!D$88+'5ta'!D$89)*'5ta'!$R94</f>
        <v>186.57832370711517</v>
      </c>
      <c r="F103" s="84">
        <f>('5ta'!E$88+'5ta'!E$89)*'5ta'!$R94</f>
        <v>186.57832370711517</v>
      </c>
      <c r="G103" s="84">
        <f>('5ta'!F$88+'5ta'!F$89)*'5ta'!$R94</f>
        <v>186.57832370711517</v>
      </c>
      <c r="H103" s="84">
        <f>('5ta'!G$88+'5ta'!G$89)*'5ta'!$R94</f>
        <v>186.57832370711517</v>
      </c>
      <c r="I103" s="84">
        <f>('5ta'!H$88+'5ta'!H$89)*'5ta'!$R94</f>
        <v>147.21543175966983</v>
      </c>
      <c r="J103" s="84">
        <f>('5ta'!I$88+'5ta'!I$89)*'5ta'!$R94</f>
        <v>107.85253981222448</v>
      </c>
      <c r="K103" s="84">
        <f>('5ta'!J$88+'5ta'!J$89)*'5ta'!$R94</f>
        <v>137.60502908995471</v>
      </c>
      <c r="L103" s="84">
        <f>('5ta'!K$88+'5ta'!K$89)*'5ta'!$R94</f>
        <v>167.35751836768497</v>
      </c>
      <c r="M103" s="84">
        <f>('5ta'!L$88+'5ta'!L$89)*'5ta'!$R94</f>
        <v>27.613024291544345</v>
      </c>
      <c r="N103" s="84">
        <f>('5ta'!M$88+'5ta'!M$89)*'5ta'!$R94</f>
        <v>27.613024291544345</v>
      </c>
      <c r="O103" s="84">
        <f>('5ta'!N$88+'5ta'!N$89)*'5ta'!$R94</f>
        <v>30.603721434946163</v>
      </c>
      <c r="P103" s="84">
        <f>('5ta'!O$88+'5ta'!O$89)*'5ta'!$R94</f>
        <v>30.603721434946163</v>
      </c>
      <c r="Q103" s="84">
        <f t="shared" ref="Q103:AC103" si="61">+P103-(0.049/100)</f>
        <v>30.603231434946164</v>
      </c>
      <c r="R103" s="84">
        <f t="shared" si="61"/>
        <v>30.602741434946164</v>
      </c>
      <c r="S103" s="84">
        <f t="shared" si="61"/>
        <v>30.602251434946165</v>
      </c>
      <c r="T103" s="84">
        <f t="shared" si="61"/>
        <v>30.601761434946166</v>
      </c>
      <c r="U103" s="84">
        <f t="shared" si="61"/>
        <v>30.601271434946167</v>
      </c>
      <c r="V103" s="84">
        <f t="shared" si="61"/>
        <v>30.600781434946168</v>
      </c>
      <c r="W103" s="84">
        <f t="shared" si="61"/>
        <v>30.600291434946168</v>
      </c>
      <c r="X103" s="84">
        <f t="shared" si="61"/>
        <v>30.599801434946169</v>
      </c>
      <c r="Y103" s="84">
        <f t="shared" si="61"/>
        <v>30.59931143494617</v>
      </c>
      <c r="Z103" s="84">
        <f t="shared" si="61"/>
        <v>30.598821434946171</v>
      </c>
      <c r="AA103" s="84">
        <f t="shared" si="61"/>
        <v>30.598331434946171</v>
      </c>
      <c r="AB103" s="84">
        <f t="shared" si="61"/>
        <v>30.597841434946172</v>
      </c>
      <c r="AC103" s="219">
        <f t="shared" si="61"/>
        <v>30.597351434946173</v>
      </c>
    </row>
    <row r="104" spans="1:29" ht="15.75" thickBot="1" x14ac:dyDescent="0.3">
      <c r="A104" s="220" t="s">
        <v>19</v>
      </c>
      <c r="B104" s="211" t="s">
        <v>27</v>
      </c>
      <c r="C104" s="211"/>
      <c r="D104" s="221">
        <f>('5ta'!C$88+'5ta'!C$89)*'5ta'!$R95</f>
        <v>780.23861252760332</v>
      </c>
      <c r="E104" s="221">
        <f>('5ta'!D$88+'5ta'!D$89)*'5ta'!$R95</f>
        <v>780.23861252760332</v>
      </c>
      <c r="F104" s="221">
        <f>('5ta'!E$88+'5ta'!E$89)*'5ta'!$R95</f>
        <v>780.23861252760332</v>
      </c>
      <c r="G104" s="221">
        <f>('5ta'!F$88+'5ta'!F$89)*'5ta'!$R95</f>
        <v>780.23861252760332</v>
      </c>
      <c r="H104" s="221">
        <f>('5ta'!G$88+'5ta'!G$89)*'5ta'!$R95</f>
        <v>780.23861252760332</v>
      </c>
      <c r="I104" s="221">
        <f>('5ta'!H$88+'5ta'!H$89)*'5ta'!$R95</f>
        <v>615.62973627700433</v>
      </c>
      <c r="J104" s="221">
        <f>('5ta'!I$88+'5ta'!I$89)*'5ta'!$R95</f>
        <v>451.02086002640527</v>
      </c>
      <c r="K104" s="221">
        <f>('5ta'!J$88+'5ta'!J$89)*'5ta'!$R95</f>
        <v>575.44067735598594</v>
      </c>
      <c r="L104" s="221">
        <f>('5ta'!K$88+'5ta'!K$89)*'5ta'!$R95</f>
        <v>699.86049468556666</v>
      </c>
      <c r="M104" s="221">
        <f>('5ta'!L$88+'5ta'!L$89)*'5ta'!$R95</f>
        <v>115.47294097649757</v>
      </c>
      <c r="N104" s="221">
        <f>('5ta'!M$88+'5ta'!M$89)*'5ta'!$R95</f>
        <v>115.47294097649757</v>
      </c>
      <c r="O104" s="221">
        <f>('5ta'!N$88+'5ta'!N$89)*'5ta'!$R95</f>
        <v>127.97952450289418</v>
      </c>
      <c r="P104" s="221">
        <f>('5ta'!O$88+'5ta'!O$89)*'5ta'!$R95</f>
        <v>127.97952450289418</v>
      </c>
      <c r="Q104" s="221">
        <f t="shared" ref="Q104:AC104" si="62">+P104-(0.049/100)</f>
        <v>127.97903450289418</v>
      </c>
      <c r="R104" s="221">
        <f t="shared" si="62"/>
        <v>127.97854450289418</v>
      </c>
      <c r="S104" s="221">
        <f t="shared" si="62"/>
        <v>127.97805450289418</v>
      </c>
      <c r="T104" s="221">
        <f t="shared" si="62"/>
        <v>127.97756450289418</v>
      </c>
      <c r="U104" s="221">
        <f t="shared" si="62"/>
        <v>127.97707450289418</v>
      </c>
      <c r="V104" s="221">
        <f t="shared" si="62"/>
        <v>127.97658450289418</v>
      </c>
      <c r="W104" s="221">
        <f t="shared" si="62"/>
        <v>127.97609450289418</v>
      </c>
      <c r="X104" s="221">
        <f t="shared" si="62"/>
        <v>127.97560450289419</v>
      </c>
      <c r="Y104" s="221">
        <f t="shared" si="62"/>
        <v>127.97511450289419</v>
      </c>
      <c r="Z104" s="221">
        <f t="shared" si="62"/>
        <v>127.97462450289419</v>
      </c>
      <c r="AA104" s="221">
        <f t="shared" si="62"/>
        <v>127.97413450289419</v>
      </c>
      <c r="AB104" s="221">
        <f t="shared" si="62"/>
        <v>127.97364450289419</v>
      </c>
      <c r="AC104" s="222">
        <f t="shared" si="62"/>
        <v>127.97315450289419</v>
      </c>
    </row>
    <row r="105" spans="1:29" ht="15.75" thickBot="1" x14ac:dyDescent="0.3"/>
    <row r="106" spans="1:29" x14ac:dyDescent="0.25">
      <c r="A106" s="204" t="s">
        <v>105</v>
      </c>
      <c r="B106" s="205" t="s">
        <v>106</v>
      </c>
      <c r="C106" s="205"/>
      <c r="D106" s="206">
        <v>2010</v>
      </c>
      <c r="E106" s="206">
        <v>2011</v>
      </c>
      <c r="F106" s="206">
        <v>2012</v>
      </c>
      <c r="G106" s="206">
        <v>2013</v>
      </c>
      <c r="H106" s="206">
        <v>2014</v>
      </c>
      <c r="I106" s="206">
        <v>2015</v>
      </c>
      <c r="J106" s="206">
        <v>2016</v>
      </c>
      <c r="K106" s="206">
        <v>2017</v>
      </c>
      <c r="L106" s="206">
        <v>2018</v>
      </c>
      <c r="M106" s="206">
        <v>2019</v>
      </c>
      <c r="N106" s="206">
        <v>2020</v>
      </c>
      <c r="O106" s="206">
        <v>2021</v>
      </c>
      <c r="P106" s="206">
        <v>2022</v>
      </c>
      <c r="Q106" s="206">
        <v>2023</v>
      </c>
      <c r="R106" s="206">
        <v>2024</v>
      </c>
      <c r="S106" s="206">
        <v>2025</v>
      </c>
      <c r="T106" s="206">
        <v>2026</v>
      </c>
      <c r="U106" s="206">
        <v>2027</v>
      </c>
      <c r="V106" s="206">
        <v>2028</v>
      </c>
      <c r="W106" s="206">
        <v>2029</v>
      </c>
      <c r="X106" s="206">
        <v>2030</v>
      </c>
      <c r="Y106" s="206">
        <v>2031</v>
      </c>
      <c r="Z106" s="206">
        <v>2032</v>
      </c>
      <c r="AA106" s="206">
        <v>2033</v>
      </c>
      <c r="AB106" s="206">
        <v>2034</v>
      </c>
      <c r="AC106" s="207">
        <v>2035</v>
      </c>
    </row>
    <row r="107" spans="1:29" x14ac:dyDescent="0.25">
      <c r="A107" s="218" t="s">
        <v>5</v>
      </c>
      <c r="B107" s="86" t="s">
        <v>18</v>
      </c>
      <c r="C107" s="86"/>
      <c r="D107" s="84">
        <f>+'5ta'!C$90*'5ta'!$R87</f>
        <v>9.069093063975886E-2</v>
      </c>
      <c r="E107" s="84">
        <f>+'5ta'!D$90*'5ta'!$R87</f>
        <v>9.069093063975886E-2</v>
      </c>
      <c r="F107" s="84">
        <f>+'5ta'!E$90*'5ta'!$R87</f>
        <v>9.069093063975886E-2</v>
      </c>
      <c r="G107" s="84">
        <f>+'5ta'!F$90*'5ta'!$R87</f>
        <v>9.069093063975886E-2</v>
      </c>
      <c r="H107" s="84">
        <f>+'5ta'!G$90*'5ta'!$R87</f>
        <v>9.069093063975886E-2</v>
      </c>
      <c r="I107" s="84">
        <f>+'5ta'!H$90*'5ta'!$R87</f>
        <v>9.5911786917128747E-2</v>
      </c>
      <c r="J107" s="84">
        <f>+'5ta'!I$90*'5ta'!$R87</f>
        <v>0.10113264319449865</v>
      </c>
      <c r="K107" s="84">
        <f>+'5ta'!J$90*'5ta'!$R87</f>
        <v>7.2515977918304483E-2</v>
      </c>
      <c r="L107" s="84">
        <f>+'5ta'!K$90*'5ta'!$R87</f>
        <v>4.3899312642110298E-2</v>
      </c>
      <c r="M107" s="84">
        <f>+'5ta'!L$90*'5ta'!$R87</f>
        <v>4.899761360780485E-2</v>
      </c>
      <c r="N107" s="84">
        <f>+'5ta'!M$90*'5ta'!$R87</f>
        <v>4.899761360780485E-2</v>
      </c>
      <c r="O107" s="84">
        <f>+'5ta'!N$90*'5ta'!$R87</f>
        <v>2.9780940737110004E-2</v>
      </c>
      <c r="P107" s="84">
        <f>+'5ta'!O$90*'5ta'!$R87</f>
        <v>2.9780940737110004E-2</v>
      </c>
      <c r="Q107" s="84">
        <f t="shared" ref="Q107:AC107" si="63">+P107-(0.049/100)</f>
        <v>2.9290940737110003E-2</v>
      </c>
      <c r="R107" s="84">
        <f t="shared" si="63"/>
        <v>2.8800940737110002E-2</v>
      </c>
      <c r="S107" s="84">
        <f t="shared" si="63"/>
        <v>2.8310940737110001E-2</v>
      </c>
      <c r="T107" s="84">
        <f t="shared" si="63"/>
        <v>2.782094073711E-2</v>
      </c>
      <c r="U107" s="84">
        <f t="shared" si="63"/>
        <v>2.733094073711E-2</v>
      </c>
      <c r="V107" s="84">
        <f t="shared" si="63"/>
        <v>2.6840940737109999E-2</v>
      </c>
      <c r="W107" s="84">
        <f t="shared" si="63"/>
        <v>2.6350940737109998E-2</v>
      </c>
      <c r="X107" s="84">
        <f t="shared" si="63"/>
        <v>2.5860940737109997E-2</v>
      </c>
      <c r="Y107" s="84">
        <f t="shared" si="63"/>
        <v>2.5370940737109996E-2</v>
      </c>
      <c r="Z107" s="84">
        <f t="shared" si="63"/>
        <v>2.4880940737109995E-2</v>
      </c>
      <c r="AA107" s="84">
        <f t="shared" si="63"/>
        <v>2.4390940737109994E-2</v>
      </c>
      <c r="AB107" s="84">
        <f t="shared" si="63"/>
        <v>2.3900940737109994E-2</v>
      </c>
      <c r="AC107" s="219">
        <f t="shared" si="63"/>
        <v>2.3410940737109993E-2</v>
      </c>
    </row>
    <row r="108" spans="1:29" x14ac:dyDescent="0.25">
      <c r="A108" s="218" t="s">
        <v>5</v>
      </c>
      <c r="B108" s="86" t="s">
        <v>20</v>
      </c>
      <c r="C108" s="86"/>
      <c r="D108" s="84">
        <f>+'5ta'!C$90*'5ta'!$R88</f>
        <v>0.88561379455097156</v>
      </c>
      <c r="E108" s="84">
        <f>+'5ta'!D$90*'5ta'!$R88</f>
        <v>0.88561379455097156</v>
      </c>
      <c r="F108" s="84">
        <f>+'5ta'!E$90*'5ta'!$R88</f>
        <v>0.88561379455097156</v>
      </c>
      <c r="G108" s="84">
        <f>+'5ta'!F$90*'5ta'!$R88</f>
        <v>0.88561379455097156</v>
      </c>
      <c r="H108" s="84">
        <f>+'5ta'!G$90*'5ta'!$R88</f>
        <v>0.88561379455097156</v>
      </c>
      <c r="I108" s="84">
        <f>+'5ta'!H$90*'5ta'!$R88</f>
        <v>0.93659642650755437</v>
      </c>
      <c r="J108" s="84">
        <f>+'5ta'!I$90*'5ta'!$R88</f>
        <v>0.9875790584641374</v>
      </c>
      <c r="K108" s="84">
        <f>+'5ta'!J$90*'5ta'!$R88</f>
        <v>0.7081320030213647</v>
      </c>
      <c r="L108" s="84">
        <f>+'5ta'!K$90*'5ta'!$R88</f>
        <v>0.42868494757859188</v>
      </c>
      <c r="M108" s="84">
        <f>+'5ta'!L$90*'5ta'!$R88</f>
        <v>0.47847080413713294</v>
      </c>
      <c r="N108" s="84">
        <f>+'5ta'!M$90*'5ta'!$R88</f>
        <v>0.47847080413713294</v>
      </c>
      <c r="O108" s="84">
        <f>+'5ta'!N$90*'5ta'!$R88</f>
        <v>0.29081642172417038</v>
      </c>
      <c r="P108" s="84">
        <f>+'5ta'!O$90*'5ta'!$R88</f>
        <v>0.29081642172417038</v>
      </c>
      <c r="Q108" s="84">
        <f t="shared" ref="Q108:AC108" si="64">+P108-(0.049/100)</f>
        <v>0.29032642172417039</v>
      </c>
      <c r="R108" s="84">
        <f t="shared" si="64"/>
        <v>0.2898364217241704</v>
      </c>
      <c r="S108" s="84">
        <f t="shared" si="64"/>
        <v>0.28934642172417041</v>
      </c>
      <c r="T108" s="84">
        <f t="shared" si="64"/>
        <v>0.28885642172417042</v>
      </c>
      <c r="U108" s="84">
        <f t="shared" si="64"/>
        <v>0.28836642172417043</v>
      </c>
      <c r="V108" s="84">
        <f t="shared" si="64"/>
        <v>0.28787642172417044</v>
      </c>
      <c r="W108" s="84">
        <f t="shared" si="64"/>
        <v>0.28738642172417045</v>
      </c>
      <c r="X108" s="84">
        <f t="shared" si="64"/>
        <v>0.28689642172417046</v>
      </c>
      <c r="Y108" s="84">
        <f t="shared" si="64"/>
        <v>0.28640642172417047</v>
      </c>
      <c r="Z108" s="84">
        <f t="shared" si="64"/>
        <v>0.28591642172417048</v>
      </c>
      <c r="AA108" s="84">
        <f t="shared" si="64"/>
        <v>0.28542642172417049</v>
      </c>
      <c r="AB108" s="84">
        <f t="shared" si="64"/>
        <v>0.2849364217241705</v>
      </c>
      <c r="AC108" s="219">
        <f t="shared" si="64"/>
        <v>0.28444642172417051</v>
      </c>
    </row>
    <row r="109" spans="1:29" x14ac:dyDescent="0.25">
      <c r="A109" s="218" t="s">
        <v>5</v>
      </c>
      <c r="B109" s="86" t="s">
        <v>21</v>
      </c>
      <c r="C109" s="86"/>
      <c r="D109" s="84">
        <f>+'5ta'!C$90*'5ta'!$R89</f>
        <v>8.4683257256326048</v>
      </c>
      <c r="E109" s="84">
        <f>+'5ta'!D$90*'5ta'!$R89</f>
        <v>8.4683257256326048</v>
      </c>
      <c r="F109" s="84">
        <f>+'5ta'!E$90*'5ta'!$R89</f>
        <v>8.4683257256326048</v>
      </c>
      <c r="G109" s="84">
        <f>+'5ta'!F$90*'5ta'!$R89</f>
        <v>8.4683257256326048</v>
      </c>
      <c r="H109" s="84">
        <f>+'5ta'!G$90*'5ta'!$R89</f>
        <v>8.4683257256326048</v>
      </c>
      <c r="I109" s="84">
        <f>+'5ta'!H$90*'5ta'!$R89</f>
        <v>8.9558266390271299</v>
      </c>
      <c r="J109" s="84">
        <f>+'5ta'!I$90*'5ta'!$R89</f>
        <v>9.4433275524216551</v>
      </c>
      <c r="K109" s="84">
        <f>+'5ta'!J$90*'5ta'!$R89</f>
        <v>6.7712274754821786</v>
      </c>
      <c r="L109" s="84">
        <f>+'5ta'!K$90*'5ta'!$R89</f>
        <v>4.0991273985427013</v>
      </c>
      <c r="M109" s="84">
        <f>+'5ta'!L$90*'5ta'!$R89</f>
        <v>4.5751846285242097</v>
      </c>
      <c r="N109" s="84">
        <f>+'5ta'!M$90*'5ta'!$R89</f>
        <v>4.5751846285242097</v>
      </c>
      <c r="O109" s="84">
        <f>+'5ta'!N$90*'5ta'!$R89</f>
        <v>2.7808150693631393</v>
      </c>
      <c r="P109" s="84">
        <f>+'5ta'!O$90*'5ta'!$R89</f>
        <v>2.7808150693631393</v>
      </c>
      <c r="Q109" s="84">
        <f t="shared" ref="Q109:AC109" si="65">+P109-(0.049/100)</f>
        <v>2.7803250693631392</v>
      </c>
      <c r="R109" s="84">
        <f t="shared" si="65"/>
        <v>2.7798350693631391</v>
      </c>
      <c r="S109" s="84">
        <f t="shared" si="65"/>
        <v>2.779345069363139</v>
      </c>
      <c r="T109" s="84">
        <f t="shared" si="65"/>
        <v>2.7788550693631389</v>
      </c>
      <c r="U109" s="84">
        <f t="shared" si="65"/>
        <v>2.7783650693631388</v>
      </c>
      <c r="V109" s="84">
        <f t="shared" si="65"/>
        <v>2.7778750693631387</v>
      </c>
      <c r="W109" s="84">
        <f t="shared" si="65"/>
        <v>2.7773850693631386</v>
      </c>
      <c r="X109" s="84">
        <f t="shared" si="65"/>
        <v>2.7768950693631385</v>
      </c>
      <c r="Y109" s="84">
        <f t="shared" si="65"/>
        <v>2.7764050693631384</v>
      </c>
      <c r="Z109" s="84">
        <f t="shared" si="65"/>
        <v>2.7759150693631383</v>
      </c>
      <c r="AA109" s="84">
        <f t="shared" si="65"/>
        <v>2.7754250693631382</v>
      </c>
      <c r="AB109" s="84">
        <f t="shared" si="65"/>
        <v>2.7749350693631381</v>
      </c>
      <c r="AC109" s="219">
        <f t="shared" si="65"/>
        <v>2.774445069363138</v>
      </c>
    </row>
    <row r="110" spans="1:29" x14ac:dyDescent="0.25">
      <c r="A110" s="218" t="s">
        <v>5</v>
      </c>
      <c r="B110" s="86" t="s">
        <v>22</v>
      </c>
      <c r="C110" s="86"/>
      <c r="D110" s="84">
        <f>+'5ta'!C$90*'5ta'!$R90</f>
        <v>3.4423197971978516</v>
      </c>
      <c r="E110" s="84">
        <f>+'5ta'!D$90*'5ta'!$R90</f>
        <v>3.4423197971978516</v>
      </c>
      <c r="F110" s="84">
        <f>+'5ta'!E$90*'5ta'!$R90</f>
        <v>3.4423197971978516</v>
      </c>
      <c r="G110" s="84">
        <f>+'5ta'!F$90*'5ta'!$R90</f>
        <v>3.4423197971978516</v>
      </c>
      <c r="H110" s="84">
        <f>+'5ta'!G$90*'5ta'!$R90</f>
        <v>3.4423197971978516</v>
      </c>
      <c r="I110" s="84">
        <f>+'5ta'!H$90*'5ta'!$R90</f>
        <v>3.6404857747122139</v>
      </c>
      <c r="J110" s="84">
        <f>+'5ta'!I$90*'5ta'!$R90</f>
        <v>3.8386517522265771</v>
      </c>
      <c r="K110" s="84">
        <f>+'5ta'!J$90*'5ta'!$R90</f>
        <v>2.7524603027053631</v>
      </c>
      <c r="L110" s="84">
        <f>+'5ta'!K$90*'5ta'!$R90</f>
        <v>1.6662688531841492</v>
      </c>
      <c r="M110" s="84">
        <f>+'5ta'!L$90*'5ta'!$R90</f>
        <v>1.8597830471887851</v>
      </c>
      <c r="N110" s="84">
        <f>+'5ta'!M$90*'5ta'!$R90</f>
        <v>1.8597830471887851</v>
      </c>
      <c r="O110" s="84">
        <f>+'5ta'!N$90*'5ta'!$R90</f>
        <v>1.1303833928636189</v>
      </c>
      <c r="P110" s="84">
        <f>+'5ta'!O$90*'5ta'!$R90</f>
        <v>1.1303833928636189</v>
      </c>
      <c r="Q110" s="84">
        <f t="shared" ref="Q110:AC110" si="66">+P110-(0.049/100)</f>
        <v>1.1298933928636188</v>
      </c>
      <c r="R110" s="84">
        <f t="shared" si="66"/>
        <v>1.1294033928636187</v>
      </c>
      <c r="S110" s="84">
        <f t="shared" si="66"/>
        <v>1.1289133928636186</v>
      </c>
      <c r="T110" s="84">
        <f t="shared" si="66"/>
        <v>1.1284233928636185</v>
      </c>
      <c r="U110" s="84">
        <f t="shared" si="66"/>
        <v>1.1279333928636184</v>
      </c>
      <c r="V110" s="84">
        <f t="shared" si="66"/>
        <v>1.1274433928636183</v>
      </c>
      <c r="W110" s="84">
        <f t="shared" si="66"/>
        <v>1.1269533928636182</v>
      </c>
      <c r="X110" s="84">
        <f t="shared" si="66"/>
        <v>1.1264633928636181</v>
      </c>
      <c r="Y110" s="84">
        <f t="shared" si="66"/>
        <v>1.125973392863618</v>
      </c>
      <c r="Z110" s="84">
        <f t="shared" si="66"/>
        <v>1.1254833928636179</v>
      </c>
      <c r="AA110" s="84">
        <f t="shared" si="66"/>
        <v>1.1249933928636178</v>
      </c>
      <c r="AB110" s="84">
        <f t="shared" si="66"/>
        <v>1.1245033928636177</v>
      </c>
      <c r="AC110" s="219">
        <f t="shared" si="66"/>
        <v>1.1240133928636176</v>
      </c>
    </row>
    <row r="111" spans="1:29" x14ac:dyDescent="0.25">
      <c r="A111" s="218" t="s">
        <v>5</v>
      </c>
      <c r="B111" s="86" t="s">
        <v>23</v>
      </c>
      <c r="C111" s="86"/>
      <c r="D111" s="84">
        <f>+'5ta'!C$90*'5ta'!$R91</f>
        <v>2.3706365082812315</v>
      </c>
      <c r="E111" s="84">
        <f>+'5ta'!D$90*'5ta'!$R91</f>
        <v>2.3706365082812315</v>
      </c>
      <c r="F111" s="84">
        <f>+'5ta'!E$90*'5ta'!$R91</f>
        <v>2.3706365082812315</v>
      </c>
      <c r="G111" s="84">
        <f>+'5ta'!F$90*'5ta'!$R91</f>
        <v>2.3706365082812315</v>
      </c>
      <c r="H111" s="84">
        <f>+'5ta'!G$90*'5ta'!$R91</f>
        <v>2.3706365082812315</v>
      </c>
      <c r="I111" s="84">
        <f>+'5ta'!H$90*'5ta'!$R91</f>
        <v>2.5071082856498532</v>
      </c>
      <c r="J111" s="84">
        <f>+'5ta'!I$90*'5ta'!$R91</f>
        <v>2.6435800630184758</v>
      </c>
      <c r="K111" s="84">
        <f>+'5ta'!J$90*'5ta'!$R91</f>
        <v>1.8955481377702765</v>
      </c>
      <c r="L111" s="84">
        <f>+'5ta'!K$90*'5ta'!$R91</f>
        <v>1.1475162125220773</v>
      </c>
      <c r="M111" s="84">
        <f>+'5ta'!L$90*'5ta'!$R91</f>
        <v>1.2807844270416706</v>
      </c>
      <c r="N111" s="84">
        <f>+'5ta'!M$90*'5ta'!$R91</f>
        <v>1.2807844270416706</v>
      </c>
      <c r="O111" s="84">
        <f>+'5ta'!N$90*'5ta'!$R91</f>
        <v>0.77846577231397196</v>
      </c>
      <c r="P111" s="84">
        <f>+'5ta'!O$90*'5ta'!$R91</f>
        <v>0.77846577231397196</v>
      </c>
      <c r="Q111" s="84">
        <f t="shared" ref="Q111:AC111" si="67">+P111-(0.049/100)</f>
        <v>0.77797577231397197</v>
      </c>
      <c r="R111" s="84">
        <f t="shared" si="67"/>
        <v>0.77748577231397198</v>
      </c>
      <c r="S111" s="84">
        <f t="shared" si="67"/>
        <v>0.77699577231397199</v>
      </c>
      <c r="T111" s="84">
        <f t="shared" si="67"/>
        <v>0.776505772313972</v>
      </c>
      <c r="U111" s="84">
        <f t="shared" si="67"/>
        <v>0.77601577231397201</v>
      </c>
      <c r="V111" s="84">
        <f t="shared" si="67"/>
        <v>0.77552577231397202</v>
      </c>
      <c r="W111" s="84">
        <f t="shared" si="67"/>
        <v>0.77503577231397203</v>
      </c>
      <c r="X111" s="84">
        <f t="shared" si="67"/>
        <v>0.77454577231397204</v>
      </c>
      <c r="Y111" s="84">
        <f t="shared" si="67"/>
        <v>0.77405577231397205</v>
      </c>
      <c r="Z111" s="84">
        <f t="shared" si="67"/>
        <v>0.77356577231397206</v>
      </c>
      <c r="AA111" s="84">
        <f t="shared" si="67"/>
        <v>0.77307577231397206</v>
      </c>
      <c r="AB111" s="84">
        <f t="shared" si="67"/>
        <v>0.77258577231397207</v>
      </c>
      <c r="AC111" s="219">
        <f t="shared" si="67"/>
        <v>0.77209577231397208</v>
      </c>
    </row>
    <row r="112" spans="1:29" x14ac:dyDescent="0.25">
      <c r="A112" s="218" t="s">
        <v>5</v>
      </c>
      <c r="B112" s="86" t="s">
        <v>24</v>
      </c>
      <c r="C112" s="86"/>
      <c r="D112" s="84">
        <f>+'5ta'!C$90*'5ta'!$R92</f>
        <v>17.347125901318453</v>
      </c>
      <c r="E112" s="84">
        <f>+'5ta'!D$90*'5ta'!$R92</f>
        <v>17.347125901318453</v>
      </c>
      <c r="F112" s="84">
        <f>+'5ta'!E$90*'5ta'!$R92</f>
        <v>17.347125901318453</v>
      </c>
      <c r="G112" s="84">
        <f>+'5ta'!F$90*'5ta'!$R92</f>
        <v>17.347125901318453</v>
      </c>
      <c r="H112" s="84">
        <f>+'5ta'!G$90*'5ta'!$R92</f>
        <v>17.347125901318453</v>
      </c>
      <c r="I112" s="84">
        <f>+'5ta'!H$90*'5ta'!$R92</f>
        <v>18.3457577437457</v>
      </c>
      <c r="J112" s="84">
        <f>+'5ta'!I$90*'5ta'!$R92</f>
        <v>19.344389586172955</v>
      </c>
      <c r="K112" s="84">
        <f>+'5ta'!J$90*'5ta'!$R92</f>
        <v>13.870668102446119</v>
      </c>
      <c r="L112" s="84">
        <f>+'5ta'!K$90*'5ta'!$R92</f>
        <v>8.3969466187192836</v>
      </c>
      <c r="M112" s="84">
        <f>+'5ta'!L$90*'5ta'!$R92</f>
        <v>9.3721363991177249</v>
      </c>
      <c r="N112" s="84">
        <f>+'5ta'!M$90*'5ta'!$R92</f>
        <v>9.3721363991177249</v>
      </c>
      <c r="O112" s="84">
        <f>+'5ta'!N$90*'5ta'!$R92</f>
        <v>5.6964210730005185</v>
      </c>
      <c r="P112" s="84">
        <f>+'5ta'!O$90*'5ta'!$R92</f>
        <v>5.6964210730005185</v>
      </c>
      <c r="Q112" s="84">
        <f t="shared" ref="Q112:AC112" si="68">+P112-(0.049/100)</f>
        <v>5.6959310730005184</v>
      </c>
      <c r="R112" s="84">
        <f t="shared" si="68"/>
        <v>5.6954410730005183</v>
      </c>
      <c r="S112" s="84">
        <f t="shared" si="68"/>
        <v>5.6949510730005182</v>
      </c>
      <c r="T112" s="84">
        <f t="shared" si="68"/>
        <v>5.6944610730005181</v>
      </c>
      <c r="U112" s="84">
        <f t="shared" si="68"/>
        <v>5.693971073000518</v>
      </c>
      <c r="V112" s="84">
        <f t="shared" si="68"/>
        <v>5.6934810730005179</v>
      </c>
      <c r="W112" s="84">
        <f t="shared" si="68"/>
        <v>5.6929910730005178</v>
      </c>
      <c r="X112" s="84">
        <f t="shared" si="68"/>
        <v>5.6925010730005177</v>
      </c>
      <c r="Y112" s="84">
        <f t="shared" si="68"/>
        <v>5.6920110730005176</v>
      </c>
      <c r="Z112" s="84">
        <f t="shared" si="68"/>
        <v>5.6915210730005175</v>
      </c>
      <c r="AA112" s="84">
        <f t="shared" si="68"/>
        <v>5.6910310730005174</v>
      </c>
      <c r="AB112" s="84">
        <f t="shared" si="68"/>
        <v>5.6905410730005173</v>
      </c>
      <c r="AC112" s="219">
        <f t="shared" si="68"/>
        <v>5.6900510730005172</v>
      </c>
    </row>
    <row r="113" spans="1:29" x14ac:dyDescent="0.25">
      <c r="A113" s="218" t="s">
        <v>5</v>
      </c>
      <c r="B113" s="86" t="s">
        <v>25</v>
      </c>
      <c r="C113" s="86"/>
      <c r="D113" s="84">
        <f>+'5ta'!C$90*'5ta'!$R93</f>
        <v>1.9219258931165539</v>
      </c>
      <c r="E113" s="84">
        <f>+'5ta'!D$90*'5ta'!$R93</f>
        <v>1.9219258931165539</v>
      </c>
      <c r="F113" s="84">
        <f>+'5ta'!E$90*'5ta'!$R93</f>
        <v>1.9219258931165539</v>
      </c>
      <c r="G113" s="84">
        <f>+'5ta'!F$90*'5ta'!$R93</f>
        <v>1.9219258931165539</v>
      </c>
      <c r="H113" s="84">
        <f>+'5ta'!G$90*'5ta'!$R93</f>
        <v>1.9219258931165539</v>
      </c>
      <c r="I113" s="84">
        <f>+'5ta'!H$90*'5ta'!$R93</f>
        <v>2.0325664918283985</v>
      </c>
      <c r="J113" s="84">
        <f>+'5ta'!I$90*'5ta'!$R93</f>
        <v>2.1432070905402436</v>
      </c>
      <c r="K113" s="84">
        <f>+'5ta'!J$90*'5ta'!$R93</f>
        <v>1.536761555347385</v>
      </c>
      <c r="L113" s="84">
        <f>+'5ta'!K$90*'5ta'!$R93</f>
        <v>0.93031602015452641</v>
      </c>
      <c r="M113" s="84">
        <f>+'5ta'!L$90*'5ta'!$R93</f>
        <v>1.038359421713511</v>
      </c>
      <c r="N113" s="84">
        <f>+'5ta'!M$90*'5ta'!$R93</f>
        <v>1.038359421713511</v>
      </c>
      <c r="O113" s="84">
        <f>+'5ta'!N$90*'5ta'!$R93</f>
        <v>0.63111890814503058</v>
      </c>
      <c r="P113" s="84">
        <f>+'5ta'!O$90*'5ta'!$R93</f>
        <v>0.63111890814503058</v>
      </c>
      <c r="Q113" s="84">
        <f t="shared" ref="Q113:AC113" si="69">+P113-(0.049/100)</f>
        <v>0.63062890814503059</v>
      </c>
      <c r="R113" s="84">
        <f t="shared" si="69"/>
        <v>0.6301389081450306</v>
      </c>
      <c r="S113" s="84">
        <f t="shared" si="69"/>
        <v>0.62964890814503061</v>
      </c>
      <c r="T113" s="84">
        <f t="shared" si="69"/>
        <v>0.62915890814503062</v>
      </c>
      <c r="U113" s="84">
        <f t="shared" si="69"/>
        <v>0.62866890814503062</v>
      </c>
      <c r="V113" s="84">
        <f t="shared" si="69"/>
        <v>0.62817890814503063</v>
      </c>
      <c r="W113" s="84">
        <f t="shared" si="69"/>
        <v>0.62768890814503064</v>
      </c>
      <c r="X113" s="84">
        <f t="shared" si="69"/>
        <v>0.62719890814503065</v>
      </c>
      <c r="Y113" s="84">
        <f t="shared" si="69"/>
        <v>0.62670890814503066</v>
      </c>
      <c r="Z113" s="84">
        <f t="shared" si="69"/>
        <v>0.62621890814503067</v>
      </c>
      <c r="AA113" s="84">
        <f t="shared" si="69"/>
        <v>0.62572890814503068</v>
      </c>
      <c r="AB113" s="84">
        <f t="shared" si="69"/>
        <v>0.62523890814503069</v>
      </c>
      <c r="AC113" s="219">
        <f t="shared" si="69"/>
        <v>0.6247489081450307</v>
      </c>
    </row>
    <row r="114" spans="1:29" x14ac:dyDescent="0.25">
      <c r="A114" s="218" t="s">
        <v>5</v>
      </c>
      <c r="B114" s="86" t="s">
        <v>26</v>
      </c>
      <c r="C114" s="86"/>
      <c r="D114" s="84">
        <f>+'5ta'!C$90*'5ta'!$R94</f>
        <v>0.4773143868604896</v>
      </c>
      <c r="E114" s="84">
        <f>+'5ta'!D$90*'5ta'!$R94</f>
        <v>0.4773143868604896</v>
      </c>
      <c r="F114" s="84">
        <f>+'5ta'!E$90*'5ta'!$R94</f>
        <v>0.4773143868604896</v>
      </c>
      <c r="G114" s="84">
        <f>+'5ta'!F$90*'5ta'!$R94</f>
        <v>0.4773143868604896</v>
      </c>
      <c r="H114" s="84">
        <f>+'5ta'!G$90*'5ta'!$R94</f>
        <v>0.4773143868604896</v>
      </c>
      <c r="I114" s="84">
        <f>+'5ta'!H$90*'5ta'!$R94</f>
        <v>0.50479221507705285</v>
      </c>
      <c r="J114" s="84">
        <f>+'5ta'!I$90*'5ta'!$R94</f>
        <v>0.53227004329361616</v>
      </c>
      <c r="K114" s="84">
        <f>+'5ta'!J$90*'5ta'!$R94</f>
        <v>0.38165800365588065</v>
      </c>
      <c r="L114" s="84">
        <f>+'5ta'!K$90*'5ta'!$R94</f>
        <v>0.23104596401814509</v>
      </c>
      <c r="M114" s="84">
        <f>+'5ta'!L$90*'5ta'!$R94</f>
        <v>0.25787877279300503</v>
      </c>
      <c r="N114" s="84">
        <f>+'5ta'!M$90*'5ta'!$R94</f>
        <v>0.25787877279300503</v>
      </c>
      <c r="O114" s="84">
        <f>+'5ta'!N$90*'5ta'!$R94</f>
        <v>0.15673972433391753</v>
      </c>
      <c r="P114" s="84">
        <f>+'5ta'!O$90*'5ta'!$R94</f>
        <v>0.15673972433391753</v>
      </c>
      <c r="Q114" s="84">
        <f t="shared" ref="Q114:AC114" si="70">+P114-(0.049/100)</f>
        <v>0.15624972433391754</v>
      </c>
      <c r="R114" s="84">
        <f t="shared" si="70"/>
        <v>0.15575972433391755</v>
      </c>
      <c r="S114" s="84">
        <f t="shared" si="70"/>
        <v>0.15526972433391756</v>
      </c>
      <c r="T114" s="84">
        <f t="shared" si="70"/>
        <v>0.15477972433391757</v>
      </c>
      <c r="U114" s="84">
        <f t="shared" si="70"/>
        <v>0.15428972433391758</v>
      </c>
      <c r="V114" s="84">
        <f t="shared" si="70"/>
        <v>0.15379972433391759</v>
      </c>
      <c r="W114" s="84">
        <f t="shared" si="70"/>
        <v>0.1533097243339176</v>
      </c>
      <c r="X114" s="84">
        <f t="shared" si="70"/>
        <v>0.15281972433391761</v>
      </c>
      <c r="Y114" s="84">
        <f t="shared" si="70"/>
        <v>0.15232972433391762</v>
      </c>
      <c r="Z114" s="84">
        <f t="shared" si="70"/>
        <v>0.15183972433391763</v>
      </c>
      <c r="AA114" s="84">
        <f t="shared" si="70"/>
        <v>0.15134972433391763</v>
      </c>
      <c r="AB114" s="84">
        <f t="shared" si="70"/>
        <v>0.15085972433391764</v>
      </c>
      <c r="AC114" s="219">
        <f t="shared" si="70"/>
        <v>0.15036972433391765</v>
      </c>
    </row>
    <row r="115" spans="1:29" ht="15.75" thickBot="1" x14ac:dyDescent="0.3">
      <c r="A115" s="220" t="s">
        <v>5</v>
      </c>
      <c r="B115" s="211" t="s">
        <v>27</v>
      </c>
      <c r="C115" s="211"/>
      <c r="D115" s="221">
        <f>+'5ta'!C$90*'5ta'!$R95</f>
        <v>1.9960470624020827</v>
      </c>
      <c r="E115" s="221">
        <f>+'5ta'!D$90*'5ta'!$R95</f>
        <v>1.9960470624020827</v>
      </c>
      <c r="F115" s="221">
        <f>+'5ta'!E$90*'5ta'!$R95</f>
        <v>1.9960470624020827</v>
      </c>
      <c r="G115" s="221">
        <f>+'5ta'!F$90*'5ta'!$R95</f>
        <v>1.9960470624020827</v>
      </c>
      <c r="H115" s="221">
        <f>+'5ta'!G$90*'5ta'!$R95</f>
        <v>1.9960470624020827</v>
      </c>
      <c r="I115" s="221">
        <f>+'5ta'!H$90*'5ta'!$R95</f>
        <v>2.110954636534959</v>
      </c>
      <c r="J115" s="221">
        <f>+'5ta'!I$90*'5ta'!$R95</f>
        <v>2.2258622106678358</v>
      </c>
      <c r="K115" s="221">
        <f>+'5ta'!J$90*'5ta'!$R95</f>
        <v>1.5960284416531247</v>
      </c>
      <c r="L115" s="221">
        <f>+'5ta'!K$90*'5ta'!$R95</f>
        <v>0.96619467263841352</v>
      </c>
      <c r="M115" s="221">
        <f>+'5ta'!L$90*'5ta'!$R95</f>
        <v>1.0784048858761521</v>
      </c>
      <c r="N115" s="221">
        <f>+'5ta'!M$90*'5ta'!$R95</f>
        <v>1.0784048858761521</v>
      </c>
      <c r="O115" s="221">
        <f>+'5ta'!N$90*'5ta'!$R95</f>
        <v>0.65545869751852182</v>
      </c>
      <c r="P115" s="221">
        <f>+'5ta'!O$90*'5ta'!$R95</f>
        <v>0.65545869751852182</v>
      </c>
      <c r="Q115" s="221">
        <f t="shared" ref="Q115:AC115" si="71">+P115-(0.049/100)</f>
        <v>0.65496869751852183</v>
      </c>
      <c r="R115" s="221">
        <f t="shared" si="71"/>
        <v>0.65447869751852183</v>
      </c>
      <c r="S115" s="221">
        <f t="shared" si="71"/>
        <v>0.65398869751852184</v>
      </c>
      <c r="T115" s="221">
        <f t="shared" si="71"/>
        <v>0.65349869751852185</v>
      </c>
      <c r="U115" s="221">
        <f t="shared" si="71"/>
        <v>0.65300869751852186</v>
      </c>
      <c r="V115" s="221">
        <f t="shared" si="71"/>
        <v>0.65251869751852187</v>
      </c>
      <c r="W115" s="221">
        <f t="shared" si="71"/>
        <v>0.65202869751852188</v>
      </c>
      <c r="X115" s="221">
        <f t="shared" si="71"/>
        <v>0.65153869751852189</v>
      </c>
      <c r="Y115" s="221">
        <f t="shared" si="71"/>
        <v>0.6510486975185219</v>
      </c>
      <c r="Z115" s="221">
        <f t="shared" si="71"/>
        <v>0.65055869751852191</v>
      </c>
      <c r="AA115" s="221">
        <f t="shared" si="71"/>
        <v>0.65006869751852192</v>
      </c>
      <c r="AB115" s="221">
        <f t="shared" si="71"/>
        <v>0.64957869751852193</v>
      </c>
      <c r="AC115" s="222">
        <f t="shared" si="71"/>
        <v>0.64908869751852194</v>
      </c>
    </row>
    <row r="116" spans="1:29" ht="15.75" thickBot="1" x14ac:dyDescent="0.3"/>
    <row r="117" spans="1:29" x14ac:dyDescent="0.25">
      <c r="A117" s="204" t="s">
        <v>105</v>
      </c>
      <c r="B117" s="205" t="s">
        <v>106</v>
      </c>
      <c r="C117" s="205"/>
      <c r="D117" s="206">
        <v>2010</v>
      </c>
      <c r="E117" s="206">
        <v>2011</v>
      </c>
      <c r="F117" s="206">
        <v>2012</v>
      </c>
      <c r="G117" s="206">
        <v>2013</v>
      </c>
      <c r="H117" s="206">
        <v>2014</v>
      </c>
      <c r="I117" s="206">
        <v>2015</v>
      </c>
      <c r="J117" s="206">
        <v>2016</v>
      </c>
      <c r="K117" s="206">
        <v>2017</v>
      </c>
      <c r="L117" s="206">
        <v>2018</v>
      </c>
      <c r="M117" s="206">
        <v>2019</v>
      </c>
      <c r="N117" s="206">
        <v>2020</v>
      </c>
      <c r="O117" s="206">
        <v>2021</v>
      </c>
      <c r="P117" s="206">
        <v>2022</v>
      </c>
      <c r="Q117" s="206">
        <v>2023</v>
      </c>
      <c r="R117" s="206">
        <v>2024</v>
      </c>
      <c r="S117" s="206">
        <v>2025</v>
      </c>
      <c r="T117" s="206">
        <v>2026</v>
      </c>
      <c r="U117" s="206">
        <v>2027</v>
      </c>
      <c r="V117" s="206">
        <v>2028</v>
      </c>
      <c r="W117" s="206">
        <v>2029</v>
      </c>
      <c r="X117" s="206">
        <v>2030</v>
      </c>
      <c r="Y117" s="206">
        <v>2031</v>
      </c>
      <c r="Z117" s="206">
        <v>2032</v>
      </c>
      <c r="AA117" s="206">
        <v>2033</v>
      </c>
      <c r="AB117" s="206">
        <v>2034</v>
      </c>
      <c r="AC117" s="207">
        <v>2035</v>
      </c>
    </row>
    <row r="118" spans="1:29" x14ac:dyDescent="0.25">
      <c r="A118" s="218" t="s">
        <v>6</v>
      </c>
      <c r="B118" s="86" t="s">
        <v>18</v>
      </c>
      <c r="C118" s="86"/>
      <c r="D118" s="84">
        <f>+'5ta'!C$91*'5ta'!$R87</f>
        <v>0</v>
      </c>
      <c r="E118" s="84" t="e">
        <f>+'5ta'!D$91*'5ta'!$R87</f>
        <v>#VALUE!</v>
      </c>
      <c r="F118" s="84">
        <f>+'5ta'!E$91*'5ta'!$R87</f>
        <v>0</v>
      </c>
      <c r="G118" s="84" t="e">
        <f>+'5ta'!F$91*'5ta'!$R87</f>
        <v>#VALUE!</v>
      </c>
      <c r="H118" s="84">
        <f>+'5ta'!G$91*'5ta'!$R87</f>
        <v>0</v>
      </c>
      <c r="I118" s="84" t="e">
        <f>+'5ta'!H$91*'5ta'!$R87</f>
        <v>#VALUE!</v>
      </c>
      <c r="J118" s="84">
        <f>+'5ta'!I$91*'5ta'!$R87</f>
        <v>0</v>
      </c>
      <c r="K118" s="84" t="e">
        <f>+'5ta'!J$91*'5ta'!$R87</f>
        <v>#VALUE!</v>
      </c>
      <c r="L118" s="84">
        <f>+'5ta'!K$91*'5ta'!$R87</f>
        <v>0.43259573915164978</v>
      </c>
      <c r="M118" s="84">
        <f>+'5ta'!L$91*'5ta'!$R87</f>
        <v>0.131036139243284</v>
      </c>
      <c r="N118" s="84">
        <f>+'5ta'!M$91*'5ta'!$R87</f>
        <v>0.131036139243284</v>
      </c>
      <c r="O118" s="84">
        <f>+'5ta'!N$91*'5ta'!$R87</f>
        <v>0</v>
      </c>
      <c r="P118" s="84">
        <f>+'5ta'!O$91*'5ta'!$R87</f>
        <v>0</v>
      </c>
      <c r="Q118" s="84">
        <f t="shared" ref="Q118:AC118" si="72">+P118-(0.049/100)</f>
        <v>-4.8999999999999998E-4</v>
      </c>
      <c r="R118" s="84">
        <f t="shared" si="72"/>
        <v>-9.7999999999999997E-4</v>
      </c>
      <c r="S118" s="84">
        <f t="shared" si="72"/>
        <v>-1.47E-3</v>
      </c>
      <c r="T118" s="84">
        <f t="shared" si="72"/>
        <v>-1.9599999999999999E-3</v>
      </c>
      <c r="U118" s="84">
        <f t="shared" si="72"/>
        <v>-2.4499999999999999E-3</v>
      </c>
      <c r="V118" s="84">
        <f t="shared" si="72"/>
        <v>-2.9399999999999999E-3</v>
      </c>
      <c r="W118" s="84">
        <f t="shared" si="72"/>
        <v>-3.4299999999999999E-3</v>
      </c>
      <c r="X118" s="84">
        <f t="shared" si="72"/>
        <v>-3.9199999999999999E-3</v>
      </c>
      <c r="Y118" s="84">
        <f t="shared" si="72"/>
        <v>-4.4099999999999999E-3</v>
      </c>
      <c r="Z118" s="84">
        <f t="shared" si="72"/>
        <v>-4.8999999999999998E-3</v>
      </c>
      <c r="AA118" s="84">
        <f t="shared" si="72"/>
        <v>-5.3899999999999998E-3</v>
      </c>
      <c r="AB118" s="84">
        <f t="shared" si="72"/>
        <v>-5.8799999999999998E-3</v>
      </c>
      <c r="AC118" s="219">
        <f t="shared" si="72"/>
        <v>-6.3699999999999998E-3</v>
      </c>
    </row>
    <row r="119" spans="1:29" x14ac:dyDescent="0.25">
      <c r="A119" s="218" t="s">
        <v>6</v>
      </c>
      <c r="B119" s="86" t="s">
        <v>20</v>
      </c>
      <c r="C119" s="86"/>
      <c r="D119" s="84">
        <f>+'5ta'!C$91*'5ta'!$R88</f>
        <v>0</v>
      </c>
      <c r="E119" s="84" t="e">
        <f>+'5ta'!D$91*'5ta'!$R88</f>
        <v>#VALUE!</v>
      </c>
      <c r="F119" s="84">
        <f>+'5ta'!E$91*'5ta'!$R88</f>
        <v>0</v>
      </c>
      <c r="G119" s="84" t="e">
        <f>+'5ta'!F$91*'5ta'!$R88</f>
        <v>#VALUE!</v>
      </c>
      <c r="H119" s="84">
        <f>+'5ta'!G$91*'5ta'!$R88</f>
        <v>0</v>
      </c>
      <c r="I119" s="84" t="e">
        <f>+'5ta'!H$91*'5ta'!$R88</f>
        <v>#VALUE!</v>
      </c>
      <c r="J119" s="84">
        <f>+'5ta'!I$91*'5ta'!$R88</f>
        <v>0</v>
      </c>
      <c r="K119" s="84" t="e">
        <f>+'5ta'!J$91*'5ta'!$R88</f>
        <v>#VALUE!</v>
      </c>
      <c r="L119" s="84">
        <f>+'5ta'!K$91*'5ta'!$R88</f>
        <v>4.224377800008134</v>
      </c>
      <c r="M119" s="84">
        <f>+'5ta'!L$91*'5ta'!$R88</f>
        <v>1.2795922555863497</v>
      </c>
      <c r="N119" s="84">
        <f>+'5ta'!M$91*'5ta'!$R88</f>
        <v>1.2795922555863497</v>
      </c>
      <c r="O119" s="84">
        <f>+'5ta'!N$91*'5ta'!$R88</f>
        <v>0</v>
      </c>
      <c r="P119" s="84">
        <f>+'5ta'!O$91*'5ta'!$R88</f>
        <v>0</v>
      </c>
      <c r="Q119" s="84">
        <f t="shared" ref="Q119:AC119" si="73">+P119-(0.049/100)</f>
        <v>-4.8999999999999998E-4</v>
      </c>
      <c r="R119" s="84">
        <f t="shared" si="73"/>
        <v>-9.7999999999999997E-4</v>
      </c>
      <c r="S119" s="84">
        <f t="shared" si="73"/>
        <v>-1.47E-3</v>
      </c>
      <c r="T119" s="84">
        <f t="shared" si="73"/>
        <v>-1.9599999999999999E-3</v>
      </c>
      <c r="U119" s="84">
        <f t="shared" si="73"/>
        <v>-2.4499999999999999E-3</v>
      </c>
      <c r="V119" s="84">
        <f t="shared" si="73"/>
        <v>-2.9399999999999999E-3</v>
      </c>
      <c r="W119" s="84">
        <f t="shared" si="73"/>
        <v>-3.4299999999999999E-3</v>
      </c>
      <c r="X119" s="84">
        <f t="shared" si="73"/>
        <v>-3.9199999999999999E-3</v>
      </c>
      <c r="Y119" s="84">
        <f t="shared" si="73"/>
        <v>-4.4099999999999999E-3</v>
      </c>
      <c r="Z119" s="84">
        <f t="shared" si="73"/>
        <v>-4.8999999999999998E-3</v>
      </c>
      <c r="AA119" s="84">
        <f t="shared" si="73"/>
        <v>-5.3899999999999998E-3</v>
      </c>
      <c r="AB119" s="84">
        <f t="shared" si="73"/>
        <v>-5.8799999999999998E-3</v>
      </c>
      <c r="AC119" s="219">
        <f t="shared" si="73"/>
        <v>-6.3699999999999998E-3</v>
      </c>
    </row>
    <row r="120" spans="1:29" x14ac:dyDescent="0.25">
      <c r="A120" s="218" t="s">
        <v>6</v>
      </c>
      <c r="B120" s="86" t="s">
        <v>21</v>
      </c>
      <c r="C120" s="86"/>
      <c r="D120" s="84">
        <f>+'5ta'!C$91*'5ta'!$R89</f>
        <v>0</v>
      </c>
      <c r="E120" s="84" t="e">
        <f>+'5ta'!D$91*'5ta'!$R89</f>
        <v>#VALUE!</v>
      </c>
      <c r="F120" s="84">
        <f>+'5ta'!E$91*'5ta'!$R89</f>
        <v>0</v>
      </c>
      <c r="G120" s="84" t="e">
        <f>+'5ta'!F$91*'5ta'!$R89</f>
        <v>#VALUE!</v>
      </c>
      <c r="H120" s="84">
        <f>+'5ta'!G$91*'5ta'!$R89</f>
        <v>0</v>
      </c>
      <c r="I120" s="84" t="e">
        <f>+'5ta'!H$91*'5ta'!$R89</f>
        <v>#VALUE!</v>
      </c>
      <c r="J120" s="84">
        <f>+'5ta'!I$91*'5ta'!$R89</f>
        <v>0</v>
      </c>
      <c r="K120" s="84" t="e">
        <f>+'5ta'!J$91*'5ta'!$R89</f>
        <v>#VALUE!</v>
      </c>
      <c r="L120" s="84">
        <f>+'5ta'!K$91*'5ta'!$R89</f>
        <v>40.39391371126753</v>
      </c>
      <c r="M120" s="84">
        <f>+'5ta'!L$91*'5ta'!$R89</f>
        <v>12.235586305197812</v>
      </c>
      <c r="N120" s="84">
        <f>+'5ta'!M$91*'5ta'!$R89</f>
        <v>12.235586305197812</v>
      </c>
      <c r="O120" s="84">
        <f>+'5ta'!N$91*'5ta'!$R89</f>
        <v>0</v>
      </c>
      <c r="P120" s="84">
        <f>+'5ta'!O$91*'5ta'!$R89</f>
        <v>0</v>
      </c>
      <c r="Q120" s="84">
        <f t="shared" ref="Q120:AC120" si="74">+P120-(0.049/100)</f>
        <v>-4.8999999999999998E-4</v>
      </c>
      <c r="R120" s="84">
        <f t="shared" si="74"/>
        <v>-9.7999999999999997E-4</v>
      </c>
      <c r="S120" s="84">
        <f t="shared" si="74"/>
        <v>-1.47E-3</v>
      </c>
      <c r="T120" s="84">
        <f t="shared" si="74"/>
        <v>-1.9599999999999999E-3</v>
      </c>
      <c r="U120" s="84">
        <f t="shared" si="74"/>
        <v>-2.4499999999999999E-3</v>
      </c>
      <c r="V120" s="84">
        <f t="shared" si="74"/>
        <v>-2.9399999999999999E-3</v>
      </c>
      <c r="W120" s="84">
        <f t="shared" si="74"/>
        <v>-3.4299999999999999E-3</v>
      </c>
      <c r="X120" s="84">
        <f t="shared" si="74"/>
        <v>-3.9199999999999999E-3</v>
      </c>
      <c r="Y120" s="84">
        <f t="shared" si="74"/>
        <v>-4.4099999999999999E-3</v>
      </c>
      <c r="Z120" s="84">
        <f t="shared" si="74"/>
        <v>-4.8999999999999998E-3</v>
      </c>
      <c r="AA120" s="84">
        <f t="shared" si="74"/>
        <v>-5.3899999999999998E-3</v>
      </c>
      <c r="AB120" s="84">
        <f t="shared" si="74"/>
        <v>-5.8799999999999998E-3</v>
      </c>
      <c r="AC120" s="219">
        <f t="shared" si="74"/>
        <v>-6.3699999999999998E-3</v>
      </c>
    </row>
    <row r="121" spans="1:29" x14ac:dyDescent="0.25">
      <c r="A121" s="218" t="s">
        <v>6</v>
      </c>
      <c r="B121" s="86" t="s">
        <v>22</v>
      </c>
      <c r="C121" s="86"/>
      <c r="D121" s="84">
        <f>+'5ta'!C$91*'5ta'!$R90</f>
        <v>0</v>
      </c>
      <c r="E121" s="84" t="e">
        <f>+'5ta'!D$91*'5ta'!$R90</f>
        <v>#VALUE!</v>
      </c>
      <c r="F121" s="84">
        <f>+'5ta'!E$91*'5ta'!$R90</f>
        <v>0</v>
      </c>
      <c r="G121" s="84" t="e">
        <f>+'5ta'!F$91*'5ta'!$R90</f>
        <v>#VALUE!</v>
      </c>
      <c r="H121" s="84">
        <f>+'5ta'!G$91*'5ta'!$R90</f>
        <v>0</v>
      </c>
      <c r="I121" s="84" t="e">
        <f>+'5ta'!H$91*'5ta'!$R90</f>
        <v>#VALUE!</v>
      </c>
      <c r="J121" s="84">
        <f>+'5ta'!I$91*'5ta'!$R90</f>
        <v>0</v>
      </c>
      <c r="K121" s="84" t="e">
        <f>+'5ta'!J$91*'5ta'!$R90</f>
        <v>#VALUE!</v>
      </c>
      <c r="L121" s="84">
        <f>+'5ta'!K$91*'5ta'!$R90</f>
        <v>16.419865432633753</v>
      </c>
      <c r="M121" s="84">
        <f>+'5ta'!L$91*'5ta'!$R90</f>
        <v>4.973686928599923</v>
      </c>
      <c r="N121" s="84">
        <f>+'5ta'!M$91*'5ta'!$R90</f>
        <v>4.973686928599923</v>
      </c>
      <c r="O121" s="84">
        <f>+'5ta'!N$91*'5ta'!$R90</f>
        <v>0</v>
      </c>
      <c r="P121" s="84">
        <f>+'5ta'!O$91*'5ta'!$R90</f>
        <v>0</v>
      </c>
      <c r="Q121" s="84">
        <f t="shared" ref="Q121:AC121" si="75">+P121-(0.049/100)</f>
        <v>-4.8999999999999998E-4</v>
      </c>
      <c r="R121" s="84">
        <f t="shared" si="75"/>
        <v>-9.7999999999999997E-4</v>
      </c>
      <c r="S121" s="84">
        <f t="shared" si="75"/>
        <v>-1.47E-3</v>
      </c>
      <c r="T121" s="84">
        <f t="shared" si="75"/>
        <v>-1.9599999999999999E-3</v>
      </c>
      <c r="U121" s="84">
        <f t="shared" si="75"/>
        <v>-2.4499999999999999E-3</v>
      </c>
      <c r="V121" s="84">
        <f t="shared" si="75"/>
        <v>-2.9399999999999999E-3</v>
      </c>
      <c r="W121" s="84">
        <f t="shared" si="75"/>
        <v>-3.4299999999999999E-3</v>
      </c>
      <c r="X121" s="84">
        <f t="shared" si="75"/>
        <v>-3.9199999999999999E-3</v>
      </c>
      <c r="Y121" s="84">
        <f t="shared" si="75"/>
        <v>-4.4099999999999999E-3</v>
      </c>
      <c r="Z121" s="84">
        <f t="shared" si="75"/>
        <v>-4.8999999999999998E-3</v>
      </c>
      <c r="AA121" s="84">
        <f t="shared" si="75"/>
        <v>-5.3899999999999998E-3</v>
      </c>
      <c r="AB121" s="84">
        <f t="shared" si="75"/>
        <v>-5.8799999999999998E-3</v>
      </c>
      <c r="AC121" s="219">
        <f t="shared" si="75"/>
        <v>-6.3699999999999998E-3</v>
      </c>
    </row>
    <row r="122" spans="1:29" x14ac:dyDescent="0.25">
      <c r="A122" s="218" t="s">
        <v>6</v>
      </c>
      <c r="B122" s="86" t="s">
        <v>23</v>
      </c>
      <c r="C122" s="86"/>
      <c r="D122" s="84">
        <f>+'5ta'!C$91*'5ta'!$R91</f>
        <v>0</v>
      </c>
      <c r="E122" s="84" t="e">
        <f>+'5ta'!D$91*'5ta'!$R91</f>
        <v>#VALUE!</v>
      </c>
      <c r="F122" s="84">
        <f>+'5ta'!E$91*'5ta'!$R91</f>
        <v>0</v>
      </c>
      <c r="G122" s="84" t="e">
        <f>+'5ta'!F$91*'5ta'!$R91</f>
        <v>#VALUE!</v>
      </c>
      <c r="H122" s="84">
        <f>+'5ta'!G$91*'5ta'!$R91</f>
        <v>0</v>
      </c>
      <c r="I122" s="84" t="e">
        <f>+'5ta'!H$91*'5ta'!$R91</f>
        <v>#VALUE!</v>
      </c>
      <c r="J122" s="84">
        <f>+'5ta'!I$91*'5ta'!$R91</f>
        <v>0</v>
      </c>
      <c r="K122" s="84" t="e">
        <f>+'5ta'!J$91*'5ta'!$R91</f>
        <v>#VALUE!</v>
      </c>
      <c r="L122" s="84">
        <f>+'5ta'!K$91*'5ta'!$R91</f>
        <v>11.307936144501475</v>
      </c>
      <c r="M122" s="84">
        <f>+'5ta'!L$91*'5ta'!$R91</f>
        <v>3.4252493981814767</v>
      </c>
      <c r="N122" s="84">
        <f>+'5ta'!M$91*'5ta'!$R91</f>
        <v>3.4252493981814767</v>
      </c>
      <c r="O122" s="84">
        <f>+'5ta'!N$91*'5ta'!$R91</f>
        <v>0</v>
      </c>
      <c r="P122" s="84">
        <f>+'5ta'!O$91*'5ta'!$R91</f>
        <v>0</v>
      </c>
      <c r="Q122" s="84">
        <f t="shared" ref="Q122:AC122" si="76">+P122-(0.049/100)</f>
        <v>-4.8999999999999998E-4</v>
      </c>
      <c r="R122" s="84">
        <f t="shared" si="76"/>
        <v>-9.7999999999999997E-4</v>
      </c>
      <c r="S122" s="84">
        <f t="shared" si="76"/>
        <v>-1.47E-3</v>
      </c>
      <c r="T122" s="84">
        <f t="shared" si="76"/>
        <v>-1.9599999999999999E-3</v>
      </c>
      <c r="U122" s="84">
        <f t="shared" si="76"/>
        <v>-2.4499999999999999E-3</v>
      </c>
      <c r="V122" s="84">
        <f t="shared" si="76"/>
        <v>-2.9399999999999999E-3</v>
      </c>
      <c r="W122" s="84">
        <f t="shared" si="76"/>
        <v>-3.4299999999999999E-3</v>
      </c>
      <c r="X122" s="84">
        <f t="shared" si="76"/>
        <v>-3.9199999999999999E-3</v>
      </c>
      <c r="Y122" s="84">
        <f t="shared" si="76"/>
        <v>-4.4099999999999999E-3</v>
      </c>
      <c r="Z122" s="84">
        <f t="shared" si="76"/>
        <v>-4.8999999999999998E-3</v>
      </c>
      <c r="AA122" s="84">
        <f t="shared" si="76"/>
        <v>-5.3899999999999998E-3</v>
      </c>
      <c r="AB122" s="84">
        <f t="shared" si="76"/>
        <v>-5.8799999999999998E-3</v>
      </c>
      <c r="AC122" s="219">
        <f t="shared" si="76"/>
        <v>-6.3699999999999998E-3</v>
      </c>
    </row>
    <row r="123" spans="1:29" x14ac:dyDescent="0.25">
      <c r="A123" s="218" t="s">
        <v>6</v>
      </c>
      <c r="B123" s="86" t="s">
        <v>24</v>
      </c>
      <c r="C123" s="86"/>
      <c r="D123" s="84">
        <f>+'5ta'!C$91*'5ta'!$R92</f>
        <v>0</v>
      </c>
      <c r="E123" s="84" t="e">
        <f>+'5ta'!D$91*'5ta'!$R92</f>
        <v>#VALUE!</v>
      </c>
      <c r="F123" s="84">
        <f>+'5ta'!E$91*'5ta'!$R92</f>
        <v>0</v>
      </c>
      <c r="G123" s="84" t="e">
        <f>+'5ta'!F$91*'5ta'!$R92</f>
        <v>#VALUE!</v>
      </c>
      <c r="H123" s="84">
        <f>+'5ta'!G$91*'5ta'!$R92</f>
        <v>0</v>
      </c>
      <c r="I123" s="84" t="e">
        <f>+'5ta'!H$91*'5ta'!$R92</f>
        <v>#VALUE!</v>
      </c>
      <c r="J123" s="84">
        <f>+'5ta'!I$91*'5ta'!$R92</f>
        <v>0</v>
      </c>
      <c r="K123" s="84" t="e">
        <f>+'5ta'!J$91*'5ta'!$R92</f>
        <v>#VALUE!</v>
      </c>
      <c r="L123" s="84">
        <f>+'5ta'!K$91*'5ta'!$R92</f>
        <v>82.745790549289026</v>
      </c>
      <c r="M123" s="84">
        <f>+'5ta'!L$91*'5ta'!$R92</f>
        <v>25.064252721202283</v>
      </c>
      <c r="N123" s="84">
        <f>+'5ta'!M$91*'5ta'!$R92</f>
        <v>25.064252721202283</v>
      </c>
      <c r="O123" s="84">
        <f>+'5ta'!N$91*'5ta'!$R92</f>
        <v>0</v>
      </c>
      <c r="P123" s="84">
        <f>+'5ta'!O$91*'5ta'!$R92</f>
        <v>0</v>
      </c>
      <c r="Q123" s="84">
        <f t="shared" ref="Q123:AC123" si="77">+P123-(0.049/100)</f>
        <v>-4.8999999999999998E-4</v>
      </c>
      <c r="R123" s="84">
        <f t="shared" si="77"/>
        <v>-9.7999999999999997E-4</v>
      </c>
      <c r="S123" s="84">
        <f t="shared" si="77"/>
        <v>-1.47E-3</v>
      </c>
      <c r="T123" s="84">
        <f t="shared" si="77"/>
        <v>-1.9599999999999999E-3</v>
      </c>
      <c r="U123" s="84">
        <f t="shared" si="77"/>
        <v>-2.4499999999999999E-3</v>
      </c>
      <c r="V123" s="84">
        <f t="shared" si="77"/>
        <v>-2.9399999999999999E-3</v>
      </c>
      <c r="W123" s="84">
        <f t="shared" si="77"/>
        <v>-3.4299999999999999E-3</v>
      </c>
      <c r="X123" s="84">
        <f t="shared" si="77"/>
        <v>-3.9199999999999999E-3</v>
      </c>
      <c r="Y123" s="84">
        <f t="shared" si="77"/>
        <v>-4.4099999999999999E-3</v>
      </c>
      <c r="Z123" s="84">
        <f t="shared" si="77"/>
        <v>-4.8999999999999998E-3</v>
      </c>
      <c r="AA123" s="84">
        <f t="shared" si="77"/>
        <v>-5.3899999999999998E-3</v>
      </c>
      <c r="AB123" s="84">
        <f t="shared" si="77"/>
        <v>-5.8799999999999998E-3</v>
      </c>
      <c r="AC123" s="219">
        <f t="shared" si="77"/>
        <v>-6.3699999999999998E-3</v>
      </c>
    </row>
    <row r="124" spans="1:29" x14ac:dyDescent="0.25">
      <c r="A124" s="218" t="s">
        <v>6</v>
      </c>
      <c r="B124" s="86" t="s">
        <v>25</v>
      </c>
      <c r="C124" s="86"/>
      <c r="D124" s="84">
        <f>+'5ta'!C$91*'5ta'!$R93</f>
        <v>0</v>
      </c>
      <c r="E124" s="84" t="e">
        <f>+'5ta'!D$91*'5ta'!$R93</f>
        <v>#VALUE!</v>
      </c>
      <c r="F124" s="84">
        <f>+'5ta'!E$91*'5ta'!$R93</f>
        <v>0</v>
      </c>
      <c r="G124" s="84" t="e">
        <f>+'5ta'!F$91*'5ta'!$R93</f>
        <v>#VALUE!</v>
      </c>
      <c r="H124" s="84">
        <f>+'5ta'!G$91*'5ta'!$R93</f>
        <v>0</v>
      </c>
      <c r="I124" s="84" t="e">
        <f>+'5ta'!H$91*'5ta'!$R93</f>
        <v>#VALUE!</v>
      </c>
      <c r="J124" s="84">
        <f>+'5ta'!I$91*'5ta'!$R93</f>
        <v>0</v>
      </c>
      <c r="K124" s="84" t="e">
        <f>+'5ta'!J$91*'5ta'!$R93</f>
        <v>#VALUE!</v>
      </c>
      <c r="L124" s="84">
        <f>+'5ta'!K$91*'5ta'!$R93</f>
        <v>9.1675865101659628</v>
      </c>
      <c r="M124" s="84">
        <f>+'5ta'!L$91*'5ta'!$R93</f>
        <v>2.7769231958381342</v>
      </c>
      <c r="N124" s="84">
        <f>+'5ta'!M$91*'5ta'!$R93</f>
        <v>2.7769231958381342</v>
      </c>
      <c r="O124" s="84">
        <f>+'5ta'!N$91*'5ta'!$R93</f>
        <v>0</v>
      </c>
      <c r="P124" s="84">
        <f>+'5ta'!O$91*'5ta'!$R93</f>
        <v>0</v>
      </c>
      <c r="Q124" s="84">
        <f t="shared" ref="Q124:AC124" si="78">+P124-(0.049/100)</f>
        <v>-4.8999999999999998E-4</v>
      </c>
      <c r="R124" s="84">
        <f t="shared" si="78"/>
        <v>-9.7999999999999997E-4</v>
      </c>
      <c r="S124" s="84">
        <f t="shared" si="78"/>
        <v>-1.47E-3</v>
      </c>
      <c r="T124" s="84">
        <f t="shared" si="78"/>
        <v>-1.9599999999999999E-3</v>
      </c>
      <c r="U124" s="84">
        <f t="shared" si="78"/>
        <v>-2.4499999999999999E-3</v>
      </c>
      <c r="V124" s="84">
        <f t="shared" si="78"/>
        <v>-2.9399999999999999E-3</v>
      </c>
      <c r="W124" s="84">
        <f t="shared" si="78"/>
        <v>-3.4299999999999999E-3</v>
      </c>
      <c r="X124" s="84">
        <f t="shared" si="78"/>
        <v>-3.9199999999999999E-3</v>
      </c>
      <c r="Y124" s="84">
        <f t="shared" si="78"/>
        <v>-4.4099999999999999E-3</v>
      </c>
      <c r="Z124" s="84">
        <f t="shared" si="78"/>
        <v>-4.8999999999999998E-3</v>
      </c>
      <c r="AA124" s="84">
        <f t="shared" si="78"/>
        <v>-5.3899999999999998E-3</v>
      </c>
      <c r="AB124" s="84">
        <f t="shared" si="78"/>
        <v>-5.8799999999999998E-3</v>
      </c>
      <c r="AC124" s="219">
        <f t="shared" si="78"/>
        <v>-6.3699999999999998E-3</v>
      </c>
    </row>
    <row r="125" spans="1:29" x14ac:dyDescent="0.25">
      <c r="A125" s="218" t="s">
        <v>6</v>
      </c>
      <c r="B125" s="86" t="s">
        <v>26</v>
      </c>
      <c r="C125" s="86"/>
      <c r="D125" s="84">
        <f>+'5ta'!C$91*'5ta'!$R94</f>
        <v>0</v>
      </c>
      <c r="E125" s="84" t="e">
        <f>+'5ta'!D$91*'5ta'!$R94</f>
        <v>#VALUE!</v>
      </c>
      <c r="F125" s="84">
        <f>+'5ta'!E$91*'5ta'!$R94</f>
        <v>0</v>
      </c>
      <c r="G125" s="84" t="e">
        <f>+'5ta'!F$91*'5ta'!$R94</f>
        <v>#VALUE!</v>
      </c>
      <c r="H125" s="84">
        <f>+'5ta'!G$91*'5ta'!$R94</f>
        <v>0</v>
      </c>
      <c r="I125" s="84" t="e">
        <f>+'5ta'!H$91*'5ta'!$R94</f>
        <v>#VALUE!</v>
      </c>
      <c r="J125" s="84">
        <f>+'5ta'!I$91*'5ta'!$R94</f>
        <v>0</v>
      </c>
      <c r="K125" s="84" t="e">
        <f>+'5ta'!J$91*'5ta'!$R94</f>
        <v>#VALUE!</v>
      </c>
      <c r="L125" s="84">
        <f>+'5ta'!K$91*'5ta'!$R94</f>
        <v>2.2767896253245357</v>
      </c>
      <c r="M125" s="84">
        <f>+'5ta'!L$91*'5ta'!$R94</f>
        <v>0.68965478706923711</v>
      </c>
      <c r="N125" s="84">
        <f>+'5ta'!M$91*'5ta'!$R94</f>
        <v>0.68965478706923711</v>
      </c>
      <c r="O125" s="84">
        <f>+'5ta'!N$91*'5ta'!$R94</f>
        <v>0</v>
      </c>
      <c r="P125" s="84">
        <f>+'5ta'!O$91*'5ta'!$R94</f>
        <v>0</v>
      </c>
      <c r="Q125" s="84">
        <f t="shared" ref="Q125:AC125" si="79">+P125-(0.049/100)</f>
        <v>-4.8999999999999998E-4</v>
      </c>
      <c r="R125" s="84">
        <f t="shared" si="79"/>
        <v>-9.7999999999999997E-4</v>
      </c>
      <c r="S125" s="84">
        <f t="shared" si="79"/>
        <v>-1.47E-3</v>
      </c>
      <c r="T125" s="84">
        <f t="shared" si="79"/>
        <v>-1.9599999999999999E-3</v>
      </c>
      <c r="U125" s="84">
        <f t="shared" si="79"/>
        <v>-2.4499999999999999E-3</v>
      </c>
      <c r="V125" s="84">
        <f t="shared" si="79"/>
        <v>-2.9399999999999999E-3</v>
      </c>
      <c r="W125" s="84">
        <f t="shared" si="79"/>
        <v>-3.4299999999999999E-3</v>
      </c>
      <c r="X125" s="84">
        <f t="shared" si="79"/>
        <v>-3.9199999999999999E-3</v>
      </c>
      <c r="Y125" s="84">
        <f t="shared" si="79"/>
        <v>-4.4099999999999999E-3</v>
      </c>
      <c r="Z125" s="84">
        <f t="shared" si="79"/>
        <v>-4.8999999999999998E-3</v>
      </c>
      <c r="AA125" s="84">
        <f t="shared" si="79"/>
        <v>-5.3899999999999998E-3</v>
      </c>
      <c r="AB125" s="84">
        <f t="shared" si="79"/>
        <v>-5.8799999999999998E-3</v>
      </c>
      <c r="AC125" s="219">
        <f t="shared" si="79"/>
        <v>-6.3699999999999998E-3</v>
      </c>
    </row>
    <row r="126" spans="1:29" ht="15.75" thickBot="1" x14ac:dyDescent="0.3">
      <c r="A126" s="220" t="s">
        <v>6</v>
      </c>
      <c r="B126" s="211" t="s">
        <v>27</v>
      </c>
      <c r="C126" s="211"/>
      <c r="D126" s="221">
        <f>+'5ta'!C$91*'5ta'!$R95</f>
        <v>0</v>
      </c>
      <c r="E126" s="221" t="e">
        <f>+'5ta'!D$91*'5ta'!$R95</f>
        <v>#VALUE!</v>
      </c>
      <c r="F126" s="221">
        <f>+'5ta'!E$91*'5ta'!$R95</f>
        <v>0</v>
      </c>
      <c r="G126" s="221" t="e">
        <f>+'5ta'!F$91*'5ta'!$R95</f>
        <v>#VALUE!</v>
      </c>
      <c r="H126" s="221">
        <f>+'5ta'!G$91*'5ta'!$R95</f>
        <v>0</v>
      </c>
      <c r="I126" s="221" t="e">
        <f>+'5ta'!H$91*'5ta'!$R95</f>
        <v>#VALUE!</v>
      </c>
      <c r="J126" s="221">
        <f>+'5ta'!I$91*'5ta'!$R95</f>
        <v>0</v>
      </c>
      <c r="K126" s="221" t="e">
        <f>+'5ta'!J$91*'5ta'!$R95</f>
        <v>#VALUE!</v>
      </c>
      <c r="L126" s="221">
        <f>+'5ta'!K$91*'5ta'!$R95</f>
        <v>9.521144487657935</v>
      </c>
      <c r="M126" s="221">
        <f>+'5ta'!L$91*'5ta'!$R95</f>
        <v>2.8840182690814955</v>
      </c>
      <c r="N126" s="221">
        <f>+'5ta'!M$91*'5ta'!$R95</f>
        <v>2.8840182690814955</v>
      </c>
      <c r="O126" s="221">
        <f>+'5ta'!N$91*'5ta'!$R95</f>
        <v>0</v>
      </c>
      <c r="P126" s="221">
        <f>+'5ta'!O$91*'5ta'!$R95</f>
        <v>0</v>
      </c>
      <c r="Q126" s="221">
        <f t="shared" ref="Q126:AC126" si="80">+P126-(0.049/100)</f>
        <v>-4.8999999999999998E-4</v>
      </c>
      <c r="R126" s="221">
        <f t="shared" si="80"/>
        <v>-9.7999999999999997E-4</v>
      </c>
      <c r="S126" s="221">
        <f t="shared" si="80"/>
        <v>-1.47E-3</v>
      </c>
      <c r="T126" s="221">
        <f t="shared" si="80"/>
        <v>-1.9599999999999999E-3</v>
      </c>
      <c r="U126" s="221">
        <f t="shared" si="80"/>
        <v>-2.4499999999999999E-3</v>
      </c>
      <c r="V126" s="221">
        <f t="shared" si="80"/>
        <v>-2.9399999999999999E-3</v>
      </c>
      <c r="W126" s="221">
        <f t="shared" si="80"/>
        <v>-3.4299999999999999E-3</v>
      </c>
      <c r="X126" s="221">
        <f t="shared" si="80"/>
        <v>-3.9199999999999999E-3</v>
      </c>
      <c r="Y126" s="221">
        <f t="shared" si="80"/>
        <v>-4.4099999999999999E-3</v>
      </c>
      <c r="Z126" s="221">
        <f t="shared" si="80"/>
        <v>-4.8999999999999998E-3</v>
      </c>
      <c r="AA126" s="221">
        <f t="shared" si="80"/>
        <v>-5.3899999999999998E-3</v>
      </c>
      <c r="AB126" s="221">
        <f t="shared" si="80"/>
        <v>-5.8799999999999998E-3</v>
      </c>
      <c r="AC126" s="222">
        <f t="shared" si="80"/>
        <v>-6.3699999999999998E-3</v>
      </c>
    </row>
    <row r="127" spans="1:29" ht="15.75" thickBot="1" x14ac:dyDescent="0.3"/>
    <row r="128" spans="1:29" x14ac:dyDescent="0.25">
      <c r="A128" s="204" t="s">
        <v>105</v>
      </c>
      <c r="B128" s="205" t="s">
        <v>106</v>
      </c>
      <c r="C128" s="205"/>
      <c r="D128" s="206">
        <v>2010</v>
      </c>
      <c r="E128" s="206">
        <v>2011</v>
      </c>
      <c r="F128" s="206">
        <v>2012</v>
      </c>
      <c r="G128" s="206">
        <v>2013</v>
      </c>
      <c r="H128" s="206">
        <v>2014</v>
      </c>
      <c r="I128" s="206">
        <v>2015</v>
      </c>
      <c r="J128" s="206">
        <v>2016</v>
      </c>
      <c r="K128" s="206">
        <v>2017</v>
      </c>
      <c r="L128" s="206">
        <v>2018</v>
      </c>
      <c r="M128" s="206">
        <v>2019</v>
      </c>
      <c r="N128" s="206">
        <v>2020</v>
      </c>
      <c r="O128" s="206">
        <v>2021</v>
      </c>
      <c r="P128" s="206">
        <v>2022</v>
      </c>
      <c r="Q128" s="206">
        <v>2023</v>
      </c>
      <c r="R128" s="206">
        <v>2024</v>
      </c>
      <c r="S128" s="206">
        <v>2025</v>
      </c>
      <c r="T128" s="206">
        <v>2026</v>
      </c>
      <c r="U128" s="206">
        <v>2027</v>
      </c>
      <c r="V128" s="206">
        <v>2028</v>
      </c>
      <c r="W128" s="206">
        <v>2029</v>
      </c>
      <c r="X128" s="206">
        <v>2030</v>
      </c>
      <c r="Y128" s="206">
        <v>2031</v>
      </c>
      <c r="Z128" s="206">
        <v>2032</v>
      </c>
      <c r="AA128" s="206">
        <v>2033</v>
      </c>
      <c r="AB128" s="206">
        <v>2034</v>
      </c>
      <c r="AC128" s="207">
        <v>2035</v>
      </c>
    </row>
    <row r="129" spans="1:29" x14ac:dyDescent="0.25">
      <c r="A129" s="218" t="s">
        <v>113</v>
      </c>
      <c r="B129" s="86" t="s">
        <v>18</v>
      </c>
      <c r="C129" s="86"/>
      <c r="D129" s="84">
        <f>+'5ta'!C$92*'5ta'!$R87</f>
        <v>1.9608849868055968E-2</v>
      </c>
      <c r="E129" s="84">
        <f>+'5ta'!D$92*'5ta'!$R87</f>
        <v>1.9608849868055968E-2</v>
      </c>
      <c r="F129" s="84">
        <f>+'5ta'!E$92*'5ta'!$R87</f>
        <v>1.9608849868055968E-2</v>
      </c>
      <c r="G129" s="84">
        <f>+'5ta'!F$92*'5ta'!$R87</f>
        <v>1.9608849868055968E-2</v>
      </c>
      <c r="H129" s="84">
        <f>+'5ta'!G$92*'5ta'!$R87</f>
        <v>1.9608849868055968E-2</v>
      </c>
      <c r="I129" s="84">
        <f>+'5ta'!H$92*'5ta'!$R87</f>
        <v>3.8212746180374069E-2</v>
      </c>
      <c r="J129" s="84">
        <f>+'5ta'!I$92*'5ta'!$R87</f>
        <v>5.6816642492692165E-2</v>
      </c>
      <c r="K129" s="84">
        <f>+'5ta'!J$92*'5ta'!$R87</f>
        <v>0.25447384916269633</v>
      </c>
      <c r="L129" s="84">
        <f>+'5ta'!K$92*'5ta'!$R87</f>
        <v>0.45213105583270052</v>
      </c>
      <c r="M129" s="84">
        <f>+'5ta'!L$92*'5ta'!$R87</f>
        <v>1.808916400328163E-2</v>
      </c>
      <c r="N129" s="84">
        <f>+'5ta'!M$92*'5ta'!$R87</f>
        <v>1.808916400328163E-2</v>
      </c>
      <c r="O129" s="84">
        <f>+'5ta'!N$92*'5ta'!$R87</f>
        <v>9.3644513651134784E-2</v>
      </c>
      <c r="P129" s="84">
        <f>+'5ta'!O$92*'5ta'!$R87</f>
        <v>9.3644513651134784E-2</v>
      </c>
      <c r="Q129" s="84">
        <f t="shared" ref="Q129:AC129" si="81">+P129-(0.049/100)</f>
        <v>9.3154513651134779E-2</v>
      </c>
      <c r="R129" s="84">
        <f t="shared" si="81"/>
        <v>9.2664513651134775E-2</v>
      </c>
      <c r="S129" s="84">
        <f t="shared" si="81"/>
        <v>9.2174513651134771E-2</v>
      </c>
      <c r="T129" s="84">
        <f t="shared" si="81"/>
        <v>9.1684513651134766E-2</v>
      </c>
      <c r="U129" s="84">
        <f t="shared" si="81"/>
        <v>9.1194513651134762E-2</v>
      </c>
      <c r="V129" s="84">
        <f t="shared" si="81"/>
        <v>9.0704513651134758E-2</v>
      </c>
      <c r="W129" s="84">
        <f t="shared" si="81"/>
        <v>9.0214513651134753E-2</v>
      </c>
      <c r="X129" s="84">
        <f t="shared" si="81"/>
        <v>8.9724513651134749E-2</v>
      </c>
      <c r="Y129" s="84">
        <f t="shared" si="81"/>
        <v>8.9234513651134745E-2</v>
      </c>
      <c r="Z129" s="84">
        <f t="shared" si="81"/>
        <v>8.874451365113474E-2</v>
      </c>
      <c r="AA129" s="84">
        <f t="shared" si="81"/>
        <v>8.8254513651134736E-2</v>
      </c>
      <c r="AB129" s="84">
        <f t="shared" si="81"/>
        <v>8.7764513651134732E-2</v>
      </c>
      <c r="AC129" s="219">
        <f t="shared" si="81"/>
        <v>8.7274513651134727E-2</v>
      </c>
    </row>
    <row r="130" spans="1:29" x14ac:dyDescent="0.25">
      <c r="A130" s="218" t="s">
        <v>113</v>
      </c>
      <c r="B130" s="86" t="s">
        <v>20</v>
      </c>
      <c r="C130" s="86"/>
      <c r="D130" s="84">
        <f>+'5ta'!C$92*'5ta'!$R88</f>
        <v>0.19148406368669654</v>
      </c>
      <c r="E130" s="84">
        <f>+'5ta'!D$92*'5ta'!$R88</f>
        <v>0.19148406368669654</v>
      </c>
      <c r="F130" s="84">
        <f>+'5ta'!E$92*'5ta'!$R88</f>
        <v>0.19148406368669654</v>
      </c>
      <c r="G130" s="84">
        <f>+'5ta'!F$92*'5ta'!$R88</f>
        <v>0.19148406368669654</v>
      </c>
      <c r="H130" s="84">
        <f>+'5ta'!G$92*'5ta'!$R88</f>
        <v>0.19148406368669654</v>
      </c>
      <c r="I130" s="84">
        <f>+'5ta'!H$92*'5ta'!$R88</f>
        <v>0.37315456910944989</v>
      </c>
      <c r="J130" s="84">
        <f>+'5ta'!I$92*'5ta'!$R88</f>
        <v>0.5548250745322032</v>
      </c>
      <c r="K130" s="84">
        <f>+'5ta'!J$92*'5ta'!$R88</f>
        <v>2.4849844364941047</v>
      </c>
      <c r="L130" s="84">
        <f>+'5ta'!K$92*'5ta'!$R88</f>
        <v>4.4151437984560058</v>
      </c>
      <c r="M130" s="84">
        <f>+'5ta'!L$92*'5ta'!$R88</f>
        <v>0.17664404875097756</v>
      </c>
      <c r="N130" s="84">
        <f>+'5ta'!M$92*'5ta'!$R88</f>
        <v>0.17664404875097756</v>
      </c>
      <c r="O130" s="84">
        <f>+'5ta'!N$92*'5ta'!$R88</f>
        <v>0.91445608164378012</v>
      </c>
      <c r="P130" s="84">
        <f>+'5ta'!O$92*'5ta'!$R88</f>
        <v>0.91445608164378012</v>
      </c>
      <c r="Q130" s="84">
        <f t="shared" ref="Q130:AC130" si="82">+P130-(0.049/100)</f>
        <v>0.91396608164378013</v>
      </c>
      <c r="R130" s="84">
        <f t="shared" si="82"/>
        <v>0.91347608164378014</v>
      </c>
      <c r="S130" s="84">
        <f t="shared" si="82"/>
        <v>0.91298608164378015</v>
      </c>
      <c r="T130" s="84">
        <f t="shared" si="82"/>
        <v>0.91249608164378015</v>
      </c>
      <c r="U130" s="84">
        <f t="shared" si="82"/>
        <v>0.91200608164378016</v>
      </c>
      <c r="V130" s="84">
        <f t="shared" si="82"/>
        <v>0.91151608164378017</v>
      </c>
      <c r="W130" s="84">
        <f t="shared" si="82"/>
        <v>0.91102608164378018</v>
      </c>
      <c r="X130" s="84">
        <f t="shared" si="82"/>
        <v>0.91053608164378019</v>
      </c>
      <c r="Y130" s="84">
        <f t="shared" si="82"/>
        <v>0.9100460816437802</v>
      </c>
      <c r="Z130" s="84">
        <f t="shared" si="82"/>
        <v>0.90955608164378021</v>
      </c>
      <c r="AA130" s="84">
        <f t="shared" si="82"/>
        <v>0.90906608164378022</v>
      </c>
      <c r="AB130" s="84">
        <f t="shared" si="82"/>
        <v>0.90857608164378023</v>
      </c>
      <c r="AC130" s="219">
        <f t="shared" si="82"/>
        <v>0.90808608164378024</v>
      </c>
    </row>
    <row r="131" spans="1:29" x14ac:dyDescent="0.25">
      <c r="A131" s="218" t="s">
        <v>113</v>
      </c>
      <c r="B131" s="86" t="s">
        <v>21</v>
      </c>
      <c r="C131" s="86"/>
      <c r="D131" s="84">
        <f>+'5ta'!C$92*'5ta'!$R89</f>
        <v>1.8309893460827253</v>
      </c>
      <c r="E131" s="84">
        <f>+'5ta'!D$92*'5ta'!$R89</f>
        <v>1.8309893460827253</v>
      </c>
      <c r="F131" s="84">
        <f>+'5ta'!E$92*'5ta'!$R89</f>
        <v>1.8309893460827253</v>
      </c>
      <c r="G131" s="84">
        <f>+'5ta'!F$92*'5ta'!$R89</f>
        <v>1.8309893460827253</v>
      </c>
      <c r="H131" s="84">
        <f>+'5ta'!G$92*'5ta'!$R89</f>
        <v>1.8309893460827253</v>
      </c>
      <c r="I131" s="84">
        <f>+'5ta'!H$92*'5ta'!$R89</f>
        <v>3.5681404881787109</v>
      </c>
      <c r="J131" s="84">
        <f>+'5ta'!I$92*'5ta'!$R89</f>
        <v>5.3052916302746969</v>
      </c>
      <c r="K131" s="84">
        <f>+'5ta'!J$92*'5ta'!$R89</f>
        <v>23.761664238788569</v>
      </c>
      <c r="L131" s="84">
        <f>+'5ta'!K$92*'5ta'!$R89</f>
        <v>42.218036847302443</v>
      </c>
      <c r="M131" s="84">
        <f>+'5ta'!L$92*'5ta'!$R89</f>
        <v>1.6890876717613141</v>
      </c>
      <c r="N131" s="84">
        <f>+'5ta'!M$92*'5ta'!$R89</f>
        <v>1.6890876717613141</v>
      </c>
      <c r="O131" s="84">
        <f>+'5ta'!N$92*'5ta'!$R89</f>
        <v>8.7441184958863154</v>
      </c>
      <c r="P131" s="84">
        <f>+'5ta'!O$92*'5ta'!$R89</f>
        <v>8.7441184958863154</v>
      </c>
      <c r="Q131" s="84">
        <f t="shared" ref="Q131:AC131" si="83">+P131-(0.049/100)</f>
        <v>8.7436284958863162</v>
      </c>
      <c r="R131" s="84">
        <f t="shared" si="83"/>
        <v>8.743138495886317</v>
      </c>
      <c r="S131" s="84">
        <f t="shared" si="83"/>
        <v>8.7426484958863178</v>
      </c>
      <c r="T131" s="84">
        <f t="shared" si="83"/>
        <v>8.7421584958863185</v>
      </c>
      <c r="U131" s="84">
        <f t="shared" si="83"/>
        <v>8.7416684958863193</v>
      </c>
      <c r="V131" s="84">
        <f t="shared" si="83"/>
        <v>8.7411784958863201</v>
      </c>
      <c r="W131" s="84">
        <f t="shared" si="83"/>
        <v>8.7406884958863209</v>
      </c>
      <c r="X131" s="84">
        <f t="shared" si="83"/>
        <v>8.7401984958863217</v>
      </c>
      <c r="Y131" s="84">
        <f t="shared" si="83"/>
        <v>8.7397084958863225</v>
      </c>
      <c r="Z131" s="84">
        <f t="shared" si="83"/>
        <v>8.7392184958863233</v>
      </c>
      <c r="AA131" s="84">
        <f t="shared" si="83"/>
        <v>8.7387284958863241</v>
      </c>
      <c r="AB131" s="84">
        <f t="shared" si="83"/>
        <v>8.7382384958863248</v>
      </c>
      <c r="AC131" s="219">
        <f t="shared" si="83"/>
        <v>8.7377484958863256</v>
      </c>
    </row>
    <row r="132" spans="1:29" x14ac:dyDescent="0.25">
      <c r="A132" s="218" t="s">
        <v>113</v>
      </c>
      <c r="B132" s="86" t="s">
        <v>22</v>
      </c>
      <c r="C132" s="86"/>
      <c r="D132" s="84">
        <f>+'5ta'!C$92*'5ta'!$R90</f>
        <v>0.74428536155629221</v>
      </c>
      <c r="E132" s="84">
        <f>+'5ta'!D$92*'5ta'!$R90</f>
        <v>0.74428536155629221</v>
      </c>
      <c r="F132" s="84">
        <f>+'5ta'!E$92*'5ta'!$R90</f>
        <v>0.74428536155629221</v>
      </c>
      <c r="G132" s="84">
        <f>+'5ta'!F$92*'5ta'!$R90</f>
        <v>0.74428536155629221</v>
      </c>
      <c r="H132" s="84">
        <f>+'5ta'!G$92*'5ta'!$R90</f>
        <v>0.74428536155629221</v>
      </c>
      <c r="I132" s="84">
        <f>+'5ta'!H$92*'5ta'!$R90</f>
        <v>1.4504260983328245</v>
      </c>
      <c r="J132" s="84">
        <f>+'5ta'!I$92*'5ta'!$R90</f>
        <v>2.1565668351093565</v>
      </c>
      <c r="K132" s="84">
        <f>+'5ta'!J$92*'5ta'!$R90</f>
        <v>9.658963279596783</v>
      </c>
      <c r="L132" s="84">
        <f>+'5ta'!K$92*'5ta'!$R90</f>
        <v>17.161359724084207</v>
      </c>
      <c r="M132" s="84">
        <f>+'5ta'!L$92*'5ta'!$R90</f>
        <v>0.68660324603567957</v>
      </c>
      <c r="N132" s="84">
        <f>+'5ta'!M$92*'5ta'!$R90</f>
        <v>0.68660324603567957</v>
      </c>
      <c r="O132" s="84">
        <f>+'5ta'!N$92*'5ta'!$R90</f>
        <v>3.5544277797822676</v>
      </c>
      <c r="P132" s="84">
        <f>+'5ta'!O$92*'5ta'!$R90</f>
        <v>3.5544277797822676</v>
      </c>
      <c r="Q132" s="84">
        <f t="shared" ref="Q132:AC132" si="84">+P132-(0.049/100)</f>
        <v>3.5539377797822675</v>
      </c>
      <c r="R132" s="84">
        <f t="shared" si="84"/>
        <v>3.5534477797822674</v>
      </c>
      <c r="S132" s="84">
        <f t="shared" si="84"/>
        <v>3.5529577797822673</v>
      </c>
      <c r="T132" s="84">
        <f t="shared" si="84"/>
        <v>3.5524677797822672</v>
      </c>
      <c r="U132" s="84">
        <f t="shared" si="84"/>
        <v>3.5519777797822671</v>
      </c>
      <c r="V132" s="84">
        <f t="shared" si="84"/>
        <v>3.551487779782267</v>
      </c>
      <c r="W132" s="84">
        <f t="shared" si="84"/>
        <v>3.5509977797822669</v>
      </c>
      <c r="X132" s="84">
        <f t="shared" si="84"/>
        <v>3.5505077797822668</v>
      </c>
      <c r="Y132" s="84">
        <f t="shared" si="84"/>
        <v>3.5500177797822667</v>
      </c>
      <c r="Z132" s="84">
        <f t="shared" si="84"/>
        <v>3.5495277797822666</v>
      </c>
      <c r="AA132" s="84">
        <f t="shared" si="84"/>
        <v>3.5490377797822665</v>
      </c>
      <c r="AB132" s="84">
        <f t="shared" si="84"/>
        <v>3.5485477797822664</v>
      </c>
      <c r="AC132" s="219">
        <f t="shared" si="84"/>
        <v>3.5480577797822663</v>
      </c>
    </row>
    <row r="133" spans="1:29" x14ac:dyDescent="0.25">
      <c r="A133" s="218" t="s">
        <v>113</v>
      </c>
      <c r="B133" s="86" t="s">
        <v>23</v>
      </c>
      <c r="C133" s="86"/>
      <c r="D133" s="84">
        <f>+'5ta'!C$92*'5ta'!$R91</f>
        <v>0.51257005584459059</v>
      </c>
      <c r="E133" s="84">
        <f>+'5ta'!D$92*'5ta'!$R91</f>
        <v>0.51257005584459059</v>
      </c>
      <c r="F133" s="84">
        <f>+'5ta'!E$92*'5ta'!$R91</f>
        <v>0.51257005584459059</v>
      </c>
      <c r="G133" s="84">
        <f>+'5ta'!F$92*'5ta'!$R91</f>
        <v>0.51257005584459059</v>
      </c>
      <c r="H133" s="84">
        <f>+'5ta'!G$92*'5ta'!$R91</f>
        <v>0.51257005584459059</v>
      </c>
      <c r="I133" s="84">
        <f>+'5ta'!H$92*'5ta'!$R91</f>
        <v>0.99887089632714587</v>
      </c>
      <c r="J133" s="84">
        <f>+'5ta'!I$92*'5ta'!$R91</f>
        <v>1.4851717368097013</v>
      </c>
      <c r="K133" s="84">
        <f>+'5ta'!J$92*'5ta'!$R91</f>
        <v>6.6518778997231749</v>
      </c>
      <c r="L133" s="84">
        <f>+'5ta'!K$92*'5ta'!$R91</f>
        <v>11.818584062636647</v>
      </c>
      <c r="M133" s="84">
        <f>+'5ta'!L$92*'5ta'!$R91</f>
        <v>0.47284587651663479</v>
      </c>
      <c r="N133" s="84">
        <f>+'5ta'!M$92*'5ta'!$R91</f>
        <v>0.47284587651663479</v>
      </c>
      <c r="O133" s="84">
        <f>+'5ta'!N$92*'5ta'!$R91</f>
        <v>2.4478423729428229</v>
      </c>
      <c r="P133" s="84">
        <f>+'5ta'!O$92*'5ta'!$R91</f>
        <v>2.4478423729428229</v>
      </c>
      <c r="Q133" s="84">
        <f t="shared" ref="Q133:AC133" si="85">+P133-(0.049/100)</f>
        <v>2.4473523729428228</v>
      </c>
      <c r="R133" s="84">
        <f t="shared" si="85"/>
        <v>2.4468623729428227</v>
      </c>
      <c r="S133" s="84">
        <f t="shared" si="85"/>
        <v>2.4463723729428226</v>
      </c>
      <c r="T133" s="84">
        <f t="shared" si="85"/>
        <v>2.4458823729428225</v>
      </c>
      <c r="U133" s="84">
        <f t="shared" si="85"/>
        <v>2.4453923729428224</v>
      </c>
      <c r="V133" s="84">
        <f t="shared" si="85"/>
        <v>2.4449023729428223</v>
      </c>
      <c r="W133" s="84">
        <f t="shared" si="85"/>
        <v>2.4444123729428222</v>
      </c>
      <c r="X133" s="84">
        <f t="shared" si="85"/>
        <v>2.4439223729428221</v>
      </c>
      <c r="Y133" s="84">
        <f t="shared" si="85"/>
        <v>2.443432372942822</v>
      </c>
      <c r="Z133" s="84">
        <f t="shared" si="85"/>
        <v>2.4429423729428219</v>
      </c>
      <c r="AA133" s="84">
        <f t="shared" si="85"/>
        <v>2.4424523729428218</v>
      </c>
      <c r="AB133" s="84">
        <f t="shared" si="85"/>
        <v>2.4419623729428217</v>
      </c>
      <c r="AC133" s="219">
        <f t="shared" si="85"/>
        <v>2.4414723729428216</v>
      </c>
    </row>
    <row r="134" spans="1:29" x14ac:dyDescent="0.25">
      <c r="A134" s="218" t="s">
        <v>113</v>
      </c>
      <c r="B134" s="86" t="s">
        <v>24</v>
      </c>
      <c r="C134" s="86"/>
      <c r="D134" s="84">
        <f>+'5ta'!C$92*'5ta'!$R92</f>
        <v>3.750729924609395</v>
      </c>
      <c r="E134" s="84">
        <f>+'5ta'!D$92*'5ta'!$R92</f>
        <v>3.750729924609395</v>
      </c>
      <c r="F134" s="84">
        <f>+'5ta'!E$92*'5ta'!$R92</f>
        <v>3.750729924609395</v>
      </c>
      <c r="G134" s="84">
        <f>+'5ta'!F$92*'5ta'!$R92</f>
        <v>3.750729924609395</v>
      </c>
      <c r="H134" s="84">
        <f>+'5ta'!G$92*'5ta'!$R92</f>
        <v>3.750729924609395</v>
      </c>
      <c r="I134" s="84">
        <f>+'5ta'!H$92*'5ta'!$R92</f>
        <v>7.3092349405825585</v>
      </c>
      <c r="J134" s="84">
        <f>+'5ta'!I$92*'5ta'!$R92</f>
        <v>10.867739956555722</v>
      </c>
      <c r="K134" s="84">
        <f>+'5ta'!J$92*'5ta'!$R92</f>
        <v>48.675097596618428</v>
      </c>
      <c r="L134" s="84">
        <f>+'5ta'!K$92*'5ta'!$R92</f>
        <v>86.482455236681133</v>
      </c>
      <c r="M134" s="84">
        <f>+'5ta'!L$92*'5ta'!$R92</f>
        <v>3.4600483554521668</v>
      </c>
      <c r="N134" s="84">
        <f>+'5ta'!M$92*'5ta'!$R92</f>
        <v>3.4600483554521668</v>
      </c>
      <c r="O134" s="84">
        <f>+'5ta'!N$92*'5ta'!$R92</f>
        <v>17.912079596212742</v>
      </c>
      <c r="P134" s="84">
        <f>+'5ta'!O$92*'5ta'!$R92</f>
        <v>17.912079596212742</v>
      </c>
      <c r="Q134" s="84">
        <f t="shared" ref="Q134:AC134" si="86">+P134-(0.049/100)</f>
        <v>17.911589596212742</v>
      </c>
      <c r="R134" s="84">
        <f t="shared" si="86"/>
        <v>17.911099596212743</v>
      </c>
      <c r="S134" s="84">
        <f t="shared" si="86"/>
        <v>17.910609596212744</v>
      </c>
      <c r="T134" s="84">
        <f t="shared" si="86"/>
        <v>17.910119596212745</v>
      </c>
      <c r="U134" s="84">
        <f t="shared" si="86"/>
        <v>17.909629596212746</v>
      </c>
      <c r="V134" s="84">
        <f t="shared" si="86"/>
        <v>17.909139596212746</v>
      </c>
      <c r="W134" s="84">
        <f t="shared" si="86"/>
        <v>17.908649596212747</v>
      </c>
      <c r="X134" s="84">
        <f t="shared" si="86"/>
        <v>17.908159596212748</v>
      </c>
      <c r="Y134" s="84">
        <f t="shared" si="86"/>
        <v>17.907669596212749</v>
      </c>
      <c r="Z134" s="84">
        <f t="shared" si="86"/>
        <v>17.90717959621275</v>
      </c>
      <c r="AA134" s="84">
        <f t="shared" si="86"/>
        <v>17.90668959621275</v>
      </c>
      <c r="AB134" s="84">
        <f t="shared" si="86"/>
        <v>17.906199596212751</v>
      </c>
      <c r="AC134" s="219">
        <f t="shared" si="86"/>
        <v>17.905709596212752</v>
      </c>
    </row>
    <row r="135" spans="1:29" x14ac:dyDescent="0.25">
      <c r="A135" s="218" t="s">
        <v>113</v>
      </c>
      <c r="B135" s="86" t="s">
        <v>25</v>
      </c>
      <c r="C135" s="86"/>
      <c r="D135" s="84">
        <f>+'5ta'!C$92*'5ta'!$R93</f>
        <v>0.41555154445763326</v>
      </c>
      <c r="E135" s="84">
        <f>+'5ta'!D$92*'5ta'!$R93</f>
        <v>0.41555154445763326</v>
      </c>
      <c r="F135" s="84">
        <f>+'5ta'!E$92*'5ta'!$R93</f>
        <v>0.41555154445763326</v>
      </c>
      <c r="G135" s="84">
        <f>+'5ta'!F$92*'5ta'!$R93</f>
        <v>0.41555154445763326</v>
      </c>
      <c r="H135" s="84">
        <f>+'5ta'!G$92*'5ta'!$R93</f>
        <v>0.41555154445763326</v>
      </c>
      <c r="I135" s="84">
        <f>+'5ta'!H$92*'5ta'!$R93</f>
        <v>0.80980607226181278</v>
      </c>
      <c r="J135" s="84">
        <f>+'5ta'!I$92*'5ta'!$R93</f>
        <v>1.2040606000659924</v>
      </c>
      <c r="K135" s="84">
        <f>+'5ta'!J$92*'5ta'!$R93</f>
        <v>5.3928201681989361</v>
      </c>
      <c r="L135" s="84">
        <f>+'5ta'!K$92*'5ta'!$R93</f>
        <v>9.5815797363318786</v>
      </c>
      <c r="M135" s="84">
        <f>+'5ta'!L$92*'5ta'!$R93</f>
        <v>0.38334629976216666</v>
      </c>
      <c r="N135" s="84">
        <f>+'5ta'!M$92*'5ta'!$R93</f>
        <v>0.38334629976216666</v>
      </c>
      <c r="O135" s="84">
        <f>+'5ta'!N$92*'5ta'!$R93</f>
        <v>1.9845183445004848</v>
      </c>
      <c r="P135" s="84">
        <f>+'5ta'!O$92*'5ta'!$R93</f>
        <v>1.9845183445004848</v>
      </c>
      <c r="Q135" s="84">
        <f t="shared" ref="Q135:AC135" si="87">+P135-(0.049/100)</f>
        <v>1.9840283445004847</v>
      </c>
      <c r="R135" s="84">
        <f t="shared" si="87"/>
        <v>1.9835383445004846</v>
      </c>
      <c r="S135" s="84">
        <f t="shared" si="87"/>
        <v>1.9830483445004845</v>
      </c>
      <c r="T135" s="84">
        <f t="shared" si="87"/>
        <v>1.9825583445004844</v>
      </c>
      <c r="U135" s="84">
        <f t="shared" si="87"/>
        <v>1.9820683445004843</v>
      </c>
      <c r="V135" s="84">
        <f t="shared" si="87"/>
        <v>1.9815783445004842</v>
      </c>
      <c r="W135" s="84">
        <f t="shared" si="87"/>
        <v>1.9810883445004841</v>
      </c>
      <c r="X135" s="84">
        <f t="shared" si="87"/>
        <v>1.980598344500484</v>
      </c>
      <c r="Y135" s="84">
        <f t="shared" si="87"/>
        <v>1.9801083445004839</v>
      </c>
      <c r="Z135" s="84">
        <f t="shared" si="87"/>
        <v>1.9796183445004838</v>
      </c>
      <c r="AA135" s="84">
        <f t="shared" si="87"/>
        <v>1.9791283445004837</v>
      </c>
      <c r="AB135" s="84">
        <f t="shared" si="87"/>
        <v>1.9786383445004836</v>
      </c>
      <c r="AC135" s="219">
        <f t="shared" si="87"/>
        <v>1.9781483445004835</v>
      </c>
    </row>
    <row r="136" spans="1:29" x14ac:dyDescent="0.25">
      <c r="A136" s="218" t="s">
        <v>113</v>
      </c>
      <c r="B136" s="86" t="s">
        <v>26</v>
      </c>
      <c r="C136" s="86"/>
      <c r="D136" s="84">
        <f>+'5ta'!C$92*'5ta'!$R94</f>
        <v>0.10320311067253829</v>
      </c>
      <c r="E136" s="84">
        <f>+'5ta'!D$92*'5ta'!$R94</f>
        <v>0.10320311067253829</v>
      </c>
      <c r="F136" s="84">
        <f>+'5ta'!E$92*'5ta'!$R94</f>
        <v>0.10320311067253829</v>
      </c>
      <c r="G136" s="84">
        <f>+'5ta'!F$92*'5ta'!$R94</f>
        <v>0.10320311067253829</v>
      </c>
      <c r="H136" s="84">
        <f>+'5ta'!G$92*'5ta'!$R94</f>
        <v>0.10320311067253829</v>
      </c>
      <c r="I136" s="84">
        <f>+'5ta'!H$92*'5ta'!$R94</f>
        <v>0.20111706192310899</v>
      </c>
      <c r="J136" s="84">
        <f>+'5ta'!I$92*'5ta'!$R94</f>
        <v>0.29903101317367969</v>
      </c>
      <c r="K136" s="84">
        <f>+'5ta'!J$92*'5ta'!$R94</f>
        <v>1.3393183687528658</v>
      </c>
      <c r="L136" s="84">
        <f>+'5ta'!K$92*'5ta'!$R94</f>
        <v>2.3796057243320519</v>
      </c>
      <c r="M136" s="84">
        <f>+'5ta'!L$92*'5ta'!$R94</f>
        <v>9.5204869595416575E-2</v>
      </c>
      <c r="N136" s="84">
        <f>+'5ta'!M$92*'5ta'!$R94</f>
        <v>9.5204869595416575E-2</v>
      </c>
      <c r="O136" s="84">
        <f>+'5ta'!N$92*'5ta'!$R94</f>
        <v>0.49285935540554066</v>
      </c>
      <c r="P136" s="84">
        <f>+'5ta'!O$92*'5ta'!$R94</f>
        <v>0.49285935540554066</v>
      </c>
      <c r="Q136" s="84">
        <f t="shared" ref="Q136:AC136" si="88">+P136-(0.049/100)</f>
        <v>0.49236935540554067</v>
      </c>
      <c r="R136" s="84">
        <f t="shared" si="88"/>
        <v>0.49187935540554067</v>
      </c>
      <c r="S136" s="84">
        <f t="shared" si="88"/>
        <v>0.49138935540554068</v>
      </c>
      <c r="T136" s="84">
        <f t="shared" si="88"/>
        <v>0.49089935540554069</v>
      </c>
      <c r="U136" s="84">
        <f t="shared" si="88"/>
        <v>0.4904093554055407</v>
      </c>
      <c r="V136" s="84">
        <f t="shared" si="88"/>
        <v>0.48991935540554071</v>
      </c>
      <c r="W136" s="84">
        <f t="shared" si="88"/>
        <v>0.48942935540554072</v>
      </c>
      <c r="X136" s="84">
        <f t="shared" si="88"/>
        <v>0.48893935540554073</v>
      </c>
      <c r="Y136" s="84">
        <f t="shared" si="88"/>
        <v>0.48844935540554074</v>
      </c>
      <c r="Z136" s="84">
        <f t="shared" si="88"/>
        <v>0.48795935540554075</v>
      </c>
      <c r="AA136" s="84">
        <f t="shared" si="88"/>
        <v>0.48746935540554076</v>
      </c>
      <c r="AB136" s="84">
        <f t="shared" si="88"/>
        <v>0.48697935540554077</v>
      </c>
      <c r="AC136" s="219">
        <f t="shared" si="88"/>
        <v>0.48648935540554078</v>
      </c>
    </row>
    <row r="137" spans="1:29" ht="15.75" thickBot="1" x14ac:dyDescent="0.3">
      <c r="A137" s="220" t="s">
        <v>113</v>
      </c>
      <c r="B137" s="211" t="s">
        <v>27</v>
      </c>
      <c r="C137" s="211"/>
      <c r="D137" s="221">
        <f>+'5ta'!C$92*'5ta'!$R95</f>
        <v>0.43157774322207193</v>
      </c>
      <c r="E137" s="221">
        <f>+'5ta'!D$92*'5ta'!$R95</f>
        <v>0.43157774322207193</v>
      </c>
      <c r="F137" s="221">
        <f>+'5ta'!E$92*'5ta'!$R95</f>
        <v>0.43157774322207193</v>
      </c>
      <c r="G137" s="221">
        <f>+'5ta'!F$92*'5ta'!$R95</f>
        <v>0.43157774322207193</v>
      </c>
      <c r="H137" s="221">
        <f>+'5ta'!G$92*'5ta'!$R95</f>
        <v>0.43157774322207193</v>
      </c>
      <c r="I137" s="221">
        <f>+'5ta'!H$92*'5ta'!$R95</f>
        <v>0.84103712710401268</v>
      </c>
      <c r="J137" s="221">
        <f>+'5ta'!I$92*'5ta'!$R95</f>
        <v>1.2504965109859534</v>
      </c>
      <c r="K137" s="221">
        <f>+'5ta'!J$92*'5ta'!$R95</f>
        <v>5.6008001626644388</v>
      </c>
      <c r="L137" s="221">
        <f>+'5ta'!K$92*'5ta'!$R95</f>
        <v>9.9511038143429236</v>
      </c>
      <c r="M137" s="221">
        <f>+'5ta'!L$92*'5ta'!$R95</f>
        <v>0.39813046812236136</v>
      </c>
      <c r="N137" s="221">
        <f>+'5ta'!M$92*'5ta'!$R95</f>
        <v>0.39813046812236136</v>
      </c>
      <c r="O137" s="221">
        <f>+'5ta'!N$92*'5ta'!$R95</f>
        <v>2.0610534599749073</v>
      </c>
      <c r="P137" s="221">
        <f>+'5ta'!O$92*'5ta'!$R95</f>
        <v>2.0610534599749073</v>
      </c>
      <c r="Q137" s="221">
        <f t="shared" ref="Q137:AC137" si="89">+P137-(0.049/100)</f>
        <v>2.0605634599749072</v>
      </c>
      <c r="R137" s="221">
        <f t="shared" si="89"/>
        <v>2.0600734599749071</v>
      </c>
      <c r="S137" s="221">
        <f t="shared" si="89"/>
        <v>2.059583459974907</v>
      </c>
      <c r="T137" s="221">
        <f t="shared" si="89"/>
        <v>2.0590934599749069</v>
      </c>
      <c r="U137" s="221">
        <f t="shared" si="89"/>
        <v>2.0586034599749068</v>
      </c>
      <c r="V137" s="221">
        <f t="shared" si="89"/>
        <v>2.0581134599749067</v>
      </c>
      <c r="W137" s="221">
        <f t="shared" si="89"/>
        <v>2.0576234599749066</v>
      </c>
      <c r="X137" s="221">
        <f t="shared" si="89"/>
        <v>2.0571334599749065</v>
      </c>
      <c r="Y137" s="221">
        <f t="shared" si="89"/>
        <v>2.0566434599749064</v>
      </c>
      <c r="Z137" s="221">
        <f t="shared" si="89"/>
        <v>2.0561534599749063</v>
      </c>
      <c r="AA137" s="221">
        <f t="shared" si="89"/>
        <v>2.0556634599749062</v>
      </c>
      <c r="AB137" s="221">
        <f t="shared" si="89"/>
        <v>2.0551734599749061</v>
      </c>
      <c r="AC137" s="222">
        <f t="shared" si="89"/>
        <v>2.054683459974906</v>
      </c>
    </row>
    <row r="139" spans="1:29" x14ac:dyDescent="0.25">
      <c r="A139" s="187"/>
      <c r="B139" s="188"/>
      <c r="C139" s="188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</row>
    <row r="140" spans="1:29" x14ac:dyDescent="0.25">
      <c r="A140" s="81" t="s">
        <v>115</v>
      </c>
    </row>
    <row r="141" spans="1:29" x14ac:dyDescent="0.25">
      <c r="A141" s="1" t="s">
        <v>105</v>
      </c>
      <c r="B141" s="65" t="s">
        <v>106</v>
      </c>
      <c r="C141" s="65"/>
      <c r="D141" s="1">
        <v>2010</v>
      </c>
      <c r="E141" s="1">
        <v>2011</v>
      </c>
      <c r="F141" s="1">
        <v>2012</v>
      </c>
      <c r="G141" s="1">
        <v>2013</v>
      </c>
      <c r="H141" s="1">
        <v>2014</v>
      </c>
      <c r="I141" s="1">
        <v>2015</v>
      </c>
      <c r="J141" s="1">
        <v>2016</v>
      </c>
      <c r="K141" s="1">
        <v>2017</v>
      </c>
      <c r="L141" s="1">
        <v>2018</v>
      </c>
      <c r="M141" s="1">
        <v>2019</v>
      </c>
      <c r="N141" s="1">
        <v>2020</v>
      </c>
      <c r="O141" s="1">
        <v>2021</v>
      </c>
      <c r="P141" s="1">
        <v>2022</v>
      </c>
      <c r="Q141" s="1">
        <v>2023</v>
      </c>
      <c r="R141" s="1">
        <v>2024</v>
      </c>
      <c r="S141" s="1">
        <v>2025</v>
      </c>
      <c r="T141" s="1">
        <v>2026</v>
      </c>
      <c r="U141" s="1">
        <v>2027</v>
      </c>
      <c r="V141" s="1">
        <v>2028</v>
      </c>
      <c r="W141" s="1">
        <v>2029</v>
      </c>
      <c r="X141" s="1">
        <v>2030</v>
      </c>
      <c r="Y141" s="1">
        <v>2031</v>
      </c>
      <c r="Z141" s="1">
        <v>2032</v>
      </c>
      <c r="AA141" s="1">
        <v>2033</v>
      </c>
      <c r="AB141" s="1">
        <v>2034</v>
      </c>
      <c r="AC141" s="1">
        <v>2035</v>
      </c>
    </row>
    <row r="142" spans="1:29" x14ac:dyDescent="0.25">
      <c r="A142" s="86" t="s">
        <v>18</v>
      </c>
      <c r="B142" s="54" t="s">
        <v>19</v>
      </c>
      <c r="C142" s="54"/>
      <c r="D142" s="84">
        <v>2921.6550000000002</v>
      </c>
      <c r="E142" s="84">
        <f t="shared" ref="E142:E155" si="90">+(D142+F142)/2</f>
        <v>2921.6550000000002</v>
      </c>
      <c r="F142" s="84">
        <v>2921.6550000000002</v>
      </c>
      <c r="G142" s="84">
        <f t="shared" ref="G142:G155" si="91">+(F142+H142)/2</f>
        <v>2921.6550000000002</v>
      </c>
      <c r="H142" s="84">
        <v>2921.6550000000002</v>
      </c>
      <c r="I142" s="84">
        <f t="shared" ref="I142:I155" si="92">+(H142+J142)/2</f>
        <v>2044.4325000000001</v>
      </c>
      <c r="J142" s="84">
        <v>1167.21</v>
      </c>
      <c r="K142" s="84">
        <f t="shared" ref="K142:K155" si="93">+(J142+L142)/2</f>
        <v>1052.55</v>
      </c>
      <c r="L142" s="84">
        <v>937.89</v>
      </c>
      <c r="M142" s="84">
        <v>3382.92</v>
      </c>
      <c r="N142" s="84">
        <v>3382.92</v>
      </c>
      <c r="O142" s="84">
        <v>2392.92</v>
      </c>
      <c r="P142" s="84">
        <v>2392.92</v>
      </c>
      <c r="Q142" s="84">
        <f t="shared" ref="Q142:S155" si="94">+P142+(0.049/100)</f>
        <v>2392.92049</v>
      </c>
      <c r="R142" s="84">
        <f t="shared" si="94"/>
        <v>2392.9209799999999</v>
      </c>
      <c r="S142" s="84">
        <f t="shared" si="94"/>
        <v>2392.9214699999998</v>
      </c>
      <c r="T142" s="84">
        <f t="shared" ref="T142:AC142" si="95">+S142-(0.711/100)</f>
        <v>2392.9143599999998</v>
      </c>
      <c r="U142" s="84">
        <f t="shared" si="95"/>
        <v>2392.9072499999997</v>
      </c>
      <c r="V142" s="84">
        <f t="shared" si="95"/>
        <v>2392.9001399999997</v>
      </c>
      <c r="W142" s="84">
        <f t="shared" si="95"/>
        <v>2392.8930299999997</v>
      </c>
      <c r="X142" s="84">
        <f t="shared" si="95"/>
        <v>2392.8859199999997</v>
      </c>
      <c r="Y142" s="84">
        <f t="shared" si="95"/>
        <v>2392.8788099999997</v>
      </c>
      <c r="Z142" s="84">
        <f t="shared" si="95"/>
        <v>2392.8716999999997</v>
      </c>
      <c r="AA142" s="84">
        <f t="shared" si="95"/>
        <v>2392.8645899999997</v>
      </c>
      <c r="AB142" s="84">
        <f t="shared" si="95"/>
        <v>2392.8574799999997</v>
      </c>
      <c r="AC142" s="84">
        <f t="shared" si="95"/>
        <v>2392.8503699999997</v>
      </c>
    </row>
    <row r="143" spans="1:29" x14ac:dyDescent="0.25">
      <c r="A143" s="86" t="s">
        <v>20</v>
      </c>
      <c r="B143" s="54" t="s">
        <v>19</v>
      </c>
      <c r="C143" s="54"/>
      <c r="D143" s="84">
        <v>14129.010000000007</v>
      </c>
      <c r="E143" s="84">
        <f t="shared" si="90"/>
        <v>14129.010000000007</v>
      </c>
      <c r="F143" s="84">
        <v>14129.010000000007</v>
      </c>
      <c r="G143" s="84">
        <f t="shared" si="91"/>
        <v>14129.010000000007</v>
      </c>
      <c r="H143" s="84">
        <v>14129.010000000007</v>
      </c>
      <c r="I143" s="84">
        <f t="shared" si="92"/>
        <v>13915.642500000002</v>
      </c>
      <c r="J143" s="84">
        <v>13702.274999999998</v>
      </c>
      <c r="K143" s="84">
        <f t="shared" si="93"/>
        <v>11871.967499999999</v>
      </c>
      <c r="L143" s="84">
        <v>10041.66</v>
      </c>
      <c r="M143" s="84">
        <v>11193.21</v>
      </c>
      <c r="N143" s="84">
        <v>11193.21</v>
      </c>
      <c r="O143" s="84">
        <v>14441.400000000001</v>
      </c>
      <c r="P143" s="84">
        <v>14441.400000000001</v>
      </c>
      <c r="Q143" s="84">
        <f t="shared" si="94"/>
        <v>14441.400490000002</v>
      </c>
      <c r="R143" s="84">
        <f t="shared" si="94"/>
        <v>14441.400980000002</v>
      </c>
      <c r="S143" s="84">
        <f t="shared" si="94"/>
        <v>14441.401470000003</v>
      </c>
      <c r="T143" s="84">
        <f t="shared" ref="T143:AC143" si="96">+S143-(0.711/100)</f>
        <v>14441.394360000002</v>
      </c>
      <c r="U143" s="84">
        <f t="shared" si="96"/>
        <v>14441.387250000002</v>
      </c>
      <c r="V143" s="84">
        <f t="shared" si="96"/>
        <v>14441.380140000001</v>
      </c>
      <c r="W143" s="84">
        <f t="shared" si="96"/>
        <v>14441.373030000001</v>
      </c>
      <c r="X143" s="84">
        <f t="shared" si="96"/>
        <v>14441.36592</v>
      </c>
      <c r="Y143" s="84">
        <f t="shared" si="96"/>
        <v>14441.35881</v>
      </c>
      <c r="Z143" s="84">
        <f t="shared" si="96"/>
        <v>14441.351699999999</v>
      </c>
      <c r="AA143" s="84">
        <f t="shared" si="96"/>
        <v>14441.344589999999</v>
      </c>
      <c r="AB143" s="84">
        <f t="shared" si="96"/>
        <v>14441.337479999998</v>
      </c>
      <c r="AC143" s="84">
        <f t="shared" si="96"/>
        <v>14441.330369999998</v>
      </c>
    </row>
    <row r="144" spans="1:29" x14ac:dyDescent="0.25">
      <c r="A144" s="86" t="s">
        <v>21</v>
      </c>
      <c r="B144" s="54" t="s">
        <v>19</v>
      </c>
      <c r="C144" s="54"/>
      <c r="D144" s="84">
        <v>13631.910000000002</v>
      </c>
      <c r="E144" s="84">
        <f t="shared" si="90"/>
        <v>13631.910000000002</v>
      </c>
      <c r="F144" s="84">
        <v>13631.910000000002</v>
      </c>
      <c r="G144" s="84">
        <f t="shared" si="91"/>
        <v>13631.910000000002</v>
      </c>
      <c r="H144" s="84">
        <v>13631.910000000002</v>
      </c>
      <c r="I144" s="84">
        <f t="shared" si="92"/>
        <v>13444.094999999999</v>
      </c>
      <c r="J144" s="84">
        <v>13256.279999999997</v>
      </c>
      <c r="K144" s="84">
        <f t="shared" si="93"/>
        <v>12232.394999999999</v>
      </c>
      <c r="L144" s="84">
        <v>11208.51</v>
      </c>
      <c r="M144" s="84">
        <v>11090.66</v>
      </c>
      <c r="N144" s="84">
        <v>11090.66</v>
      </c>
      <c r="O144" s="84">
        <v>8753.94</v>
      </c>
      <c r="P144" s="84">
        <v>8753.94</v>
      </c>
      <c r="Q144" s="84">
        <f t="shared" si="94"/>
        <v>8753.9404900000009</v>
      </c>
      <c r="R144" s="84">
        <f t="shared" si="94"/>
        <v>8753.9409800000012</v>
      </c>
      <c r="S144" s="84">
        <f t="shared" si="94"/>
        <v>8753.9414700000016</v>
      </c>
      <c r="T144" s="84">
        <f t="shared" ref="T144:AC144" si="97">+S144-(0.711/100)</f>
        <v>8753.9343600000011</v>
      </c>
      <c r="U144" s="84">
        <f t="shared" si="97"/>
        <v>8753.9272500000006</v>
      </c>
      <c r="V144" s="84">
        <f t="shared" si="97"/>
        <v>8753.9201400000002</v>
      </c>
      <c r="W144" s="84">
        <f t="shared" si="97"/>
        <v>8753.9130299999997</v>
      </c>
      <c r="X144" s="84">
        <f t="shared" si="97"/>
        <v>8753.9059199999992</v>
      </c>
      <c r="Y144" s="84">
        <f t="shared" si="97"/>
        <v>8753.8988099999988</v>
      </c>
      <c r="Z144" s="84">
        <f t="shared" si="97"/>
        <v>8753.8916999999983</v>
      </c>
      <c r="AA144" s="84">
        <f t="shared" si="97"/>
        <v>8753.8845899999978</v>
      </c>
      <c r="AB144" s="84">
        <f t="shared" si="97"/>
        <v>8753.8774799999974</v>
      </c>
      <c r="AC144" s="84">
        <f t="shared" si="97"/>
        <v>8753.8703699999969</v>
      </c>
    </row>
    <row r="145" spans="1:29" x14ac:dyDescent="0.25">
      <c r="A145" s="86" t="s">
        <v>22</v>
      </c>
      <c r="B145" s="54" t="s">
        <v>19</v>
      </c>
      <c r="C145" s="54"/>
      <c r="D145" s="84">
        <v>19148.415000000001</v>
      </c>
      <c r="E145" s="84">
        <f t="shared" si="90"/>
        <v>19148.415000000001</v>
      </c>
      <c r="F145" s="84">
        <v>19148.415000000001</v>
      </c>
      <c r="G145" s="84">
        <f t="shared" si="91"/>
        <v>19148.415000000001</v>
      </c>
      <c r="H145" s="84">
        <v>19148.415000000001</v>
      </c>
      <c r="I145" s="84">
        <f t="shared" si="92"/>
        <v>15017.677500000002</v>
      </c>
      <c r="J145" s="84">
        <v>10886.94</v>
      </c>
      <c r="K145" s="84">
        <f t="shared" si="93"/>
        <v>10514.34</v>
      </c>
      <c r="L145" s="84">
        <v>10141.74</v>
      </c>
      <c r="M145" s="84">
        <v>8861.5349999999999</v>
      </c>
      <c r="N145" s="84">
        <v>8861.5349999999999</v>
      </c>
      <c r="O145" s="84">
        <v>11154.645</v>
      </c>
      <c r="P145" s="84">
        <v>11154.645</v>
      </c>
      <c r="Q145" s="84">
        <f t="shared" si="94"/>
        <v>11154.645490000001</v>
      </c>
      <c r="R145" s="84">
        <f t="shared" si="94"/>
        <v>11154.645980000001</v>
      </c>
      <c r="S145" s="84">
        <f t="shared" si="94"/>
        <v>11154.646470000002</v>
      </c>
      <c r="T145" s="84">
        <f t="shared" ref="T145:AC145" si="98">+S145-(0.711/100)</f>
        <v>11154.639360000001</v>
      </c>
      <c r="U145" s="84">
        <f t="shared" si="98"/>
        <v>11154.632250000001</v>
      </c>
      <c r="V145" s="84">
        <f t="shared" si="98"/>
        <v>11154.62514</v>
      </c>
      <c r="W145" s="84">
        <f t="shared" si="98"/>
        <v>11154.61803</v>
      </c>
      <c r="X145" s="84">
        <f t="shared" si="98"/>
        <v>11154.610919999999</v>
      </c>
      <c r="Y145" s="84">
        <f t="shared" si="98"/>
        <v>11154.603809999999</v>
      </c>
      <c r="Z145" s="84">
        <f t="shared" si="98"/>
        <v>11154.596699999998</v>
      </c>
      <c r="AA145" s="84">
        <f t="shared" si="98"/>
        <v>11154.589589999998</v>
      </c>
      <c r="AB145" s="84">
        <f t="shared" si="98"/>
        <v>11154.582479999997</v>
      </c>
      <c r="AC145" s="84">
        <f t="shared" si="98"/>
        <v>11154.575369999997</v>
      </c>
    </row>
    <row r="146" spans="1:29" x14ac:dyDescent="0.25">
      <c r="A146" s="86" t="s">
        <v>23</v>
      </c>
      <c r="B146" s="54" t="s">
        <v>19</v>
      </c>
      <c r="C146" s="54"/>
      <c r="D146" s="84">
        <v>2543.9550000000004</v>
      </c>
      <c r="E146" s="84">
        <f t="shared" si="90"/>
        <v>2543.9550000000004</v>
      </c>
      <c r="F146" s="84">
        <v>2543.9550000000004</v>
      </c>
      <c r="G146" s="84">
        <f t="shared" si="91"/>
        <v>2543.9550000000004</v>
      </c>
      <c r="H146" s="84">
        <v>2543.9550000000004</v>
      </c>
      <c r="I146" s="84">
        <f t="shared" si="92"/>
        <v>2740.3950000000004</v>
      </c>
      <c r="J146" s="84">
        <v>2936.835</v>
      </c>
      <c r="K146" s="84">
        <f t="shared" si="93"/>
        <v>2619.4974999999999</v>
      </c>
      <c r="L146" s="84">
        <v>2302.16</v>
      </c>
      <c r="M146" s="84">
        <v>3169.13</v>
      </c>
      <c r="N146" s="84">
        <v>3169.13</v>
      </c>
      <c r="O146" s="84">
        <v>1357.29</v>
      </c>
      <c r="P146" s="84">
        <v>1357.29</v>
      </c>
      <c r="Q146" s="84">
        <f t="shared" si="94"/>
        <v>1357.2904899999999</v>
      </c>
      <c r="R146" s="84">
        <f t="shared" si="94"/>
        <v>1357.2909799999998</v>
      </c>
      <c r="S146" s="84">
        <f t="shared" si="94"/>
        <v>1357.2914699999997</v>
      </c>
      <c r="T146" s="84">
        <f t="shared" ref="T146:AC146" si="99">+S146-(0.711/100)</f>
        <v>1357.2843599999997</v>
      </c>
      <c r="U146" s="84">
        <f t="shared" si="99"/>
        <v>1357.2772499999996</v>
      </c>
      <c r="V146" s="84">
        <f t="shared" si="99"/>
        <v>1357.2701399999996</v>
      </c>
      <c r="W146" s="84">
        <f t="shared" si="99"/>
        <v>1357.2630299999996</v>
      </c>
      <c r="X146" s="84">
        <f t="shared" si="99"/>
        <v>1357.2559199999996</v>
      </c>
      <c r="Y146" s="84">
        <f t="shared" si="99"/>
        <v>1357.2488099999996</v>
      </c>
      <c r="Z146" s="84">
        <f t="shared" si="99"/>
        <v>1357.2416999999996</v>
      </c>
      <c r="AA146" s="84">
        <f t="shared" si="99"/>
        <v>1357.2345899999996</v>
      </c>
      <c r="AB146" s="84">
        <f t="shared" si="99"/>
        <v>1357.2274799999996</v>
      </c>
      <c r="AC146" s="84">
        <f t="shared" si="99"/>
        <v>1357.2203699999995</v>
      </c>
    </row>
    <row r="147" spans="1:29" ht="22.5" x14ac:dyDescent="0.25">
      <c r="A147" s="86" t="s">
        <v>24</v>
      </c>
      <c r="B147" s="54" t="s">
        <v>19</v>
      </c>
      <c r="C147" s="54"/>
      <c r="D147" s="84">
        <v>22227.494999999999</v>
      </c>
      <c r="E147" s="84">
        <f t="shared" si="90"/>
        <v>22227.494999999999</v>
      </c>
      <c r="F147" s="84">
        <v>22227.494999999999</v>
      </c>
      <c r="G147" s="84">
        <f t="shared" si="91"/>
        <v>22227.494999999999</v>
      </c>
      <c r="H147" s="84">
        <v>22227.494999999999</v>
      </c>
      <c r="I147" s="84">
        <f t="shared" si="92"/>
        <v>24651.502500000002</v>
      </c>
      <c r="J147" s="84">
        <v>27075.510000000002</v>
      </c>
      <c r="K147" s="84">
        <f t="shared" si="93"/>
        <v>25636.365000000002</v>
      </c>
      <c r="L147" s="84">
        <v>24197.22</v>
      </c>
      <c r="M147" s="84">
        <v>26998.74</v>
      </c>
      <c r="N147" s="84">
        <v>26998.74</v>
      </c>
      <c r="O147" s="84">
        <v>28947.375</v>
      </c>
      <c r="P147" s="84">
        <v>28947.375</v>
      </c>
      <c r="Q147" s="84">
        <f t="shared" si="94"/>
        <v>28947.375489999999</v>
      </c>
      <c r="R147" s="84">
        <f t="shared" si="94"/>
        <v>28947.375979999997</v>
      </c>
      <c r="S147" s="84">
        <f t="shared" si="94"/>
        <v>28947.376469999996</v>
      </c>
      <c r="T147" s="84">
        <f t="shared" ref="T147:AC147" si="100">+S147-(0.711/100)</f>
        <v>28947.369359999997</v>
      </c>
      <c r="U147" s="84">
        <f t="shared" si="100"/>
        <v>28947.362249999998</v>
      </c>
      <c r="V147" s="84">
        <f t="shared" si="100"/>
        <v>28947.35514</v>
      </c>
      <c r="W147" s="84">
        <f t="shared" si="100"/>
        <v>28947.348030000001</v>
      </c>
      <c r="X147" s="84">
        <f t="shared" si="100"/>
        <v>28947.340920000002</v>
      </c>
      <c r="Y147" s="84">
        <f t="shared" si="100"/>
        <v>28947.333810000004</v>
      </c>
      <c r="Z147" s="84">
        <f t="shared" si="100"/>
        <v>28947.326700000005</v>
      </c>
      <c r="AA147" s="84">
        <f t="shared" si="100"/>
        <v>28947.319590000006</v>
      </c>
      <c r="AB147" s="84">
        <f t="shared" si="100"/>
        <v>28947.312480000008</v>
      </c>
      <c r="AC147" s="84">
        <f t="shared" si="100"/>
        <v>28947.305370000009</v>
      </c>
    </row>
    <row r="148" spans="1:29" x14ac:dyDescent="0.25">
      <c r="A148" s="86" t="s">
        <v>25</v>
      </c>
      <c r="B148" s="54" t="s">
        <v>19</v>
      </c>
      <c r="C148" s="54"/>
      <c r="D148" s="84">
        <v>19344.36</v>
      </c>
      <c r="E148" s="84">
        <f t="shared" si="90"/>
        <v>19344.36</v>
      </c>
      <c r="F148" s="84">
        <v>19344.36</v>
      </c>
      <c r="G148" s="84">
        <f t="shared" si="91"/>
        <v>19344.36</v>
      </c>
      <c r="H148" s="84">
        <v>19344.36</v>
      </c>
      <c r="I148" s="84">
        <f t="shared" si="92"/>
        <v>19871.79</v>
      </c>
      <c r="J148" s="84">
        <v>20399.220000000005</v>
      </c>
      <c r="K148" s="84">
        <f t="shared" si="93"/>
        <v>19175.940000000002</v>
      </c>
      <c r="L148" s="84">
        <v>17952.66</v>
      </c>
      <c r="M148" s="84">
        <v>16612.38</v>
      </c>
      <c r="N148" s="84">
        <v>16612.38</v>
      </c>
      <c r="O148" s="84">
        <v>23323.995000000003</v>
      </c>
      <c r="P148" s="84">
        <v>23323.995000000003</v>
      </c>
      <c r="Q148" s="84">
        <f t="shared" si="94"/>
        <v>23323.995490000001</v>
      </c>
      <c r="R148" s="84">
        <f t="shared" si="94"/>
        <v>23323.99598</v>
      </c>
      <c r="S148" s="84">
        <f t="shared" si="94"/>
        <v>23323.996469999998</v>
      </c>
      <c r="T148" s="84">
        <f t="shared" ref="T148:AC148" si="101">+S148-(0.711/100)</f>
        <v>23323.98936</v>
      </c>
      <c r="U148" s="84">
        <f t="shared" si="101"/>
        <v>23323.982250000001</v>
      </c>
      <c r="V148" s="84">
        <f t="shared" si="101"/>
        <v>23323.975140000002</v>
      </c>
      <c r="W148" s="84">
        <f t="shared" si="101"/>
        <v>23323.968030000004</v>
      </c>
      <c r="X148" s="84">
        <f t="shared" si="101"/>
        <v>23323.960920000005</v>
      </c>
      <c r="Y148" s="84">
        <f t="shared" si="101"/>
        <v>23323.953810000006</v>
      </c>
      <c r="Z148" s="84">
        <f t="shared" si="101"/>
        <v>23323.946700000008</v>
      </c>
      <c r="AA148" s="84">
        <f t="shared" si="101"/>
        <v>23323.939590000009</v>
      </c>
      <c r="AB148" s="84">
        <f t="shared" si="101"/>
        <v>23323.93248000001</v>
      </c>
      <c r="AC148" s="84">
        <f t="shared" si="101"/>
        <v>23323.925370000012</v>
      </c>
    </row>
    <row r="149" spans="1:29" x14ac:dyDescent="0.25">
      <c r="A149" s="86" t="s">
        <v>26</v>
      </c>
      <c r="B149" s="54" t="s">
        <v>19</v>
      </c>
      <c r="C149" s="54"/>
      <c r="D149" s="84">
        <v>363.52500000000009</v>
      </c>
      <c r="E149" s="84">
        <f t="shared" si="90"/>
        <v>363.52500000000009</v>
      </c>
      <c r="F149" s="84">
        <v>363.52500000000009</v>
      </c>
      <c r="G149" s="84">
        <f t="shared" si="91"/>
        <v>363.52500000000009</v>
      </c>
      <c r="H149" s="84">
        <v>363.52500000000009</v>
      </c>
      <c r="I149" s="84">
        <f t="shared" si="92"/>
        <v>561.31500000000028</v>
      </c>
      <c r="J149" s="84">
        <v>759.10500000000059</v>
      </c>
      <c r="K149" s="84">
        <f t="shared" si="93"/>
        <v>538.24750000000029</v>
      </c>
      <c r="L149" s="84">
        <v>317.39</v>
      </c>
      <c r="M149" s="84">
        <v>137.97</v>
      </c>
      <c r="N149" s="84">
        <v>137.97</v>
      </c>
      <c r="O149" s="84">
        <v>329.58</v>
      </c>
      <c r="P149" s="84">
        <v>329.58</v>
      </c>
      <c r="Q149" s="84">
        <f t="shared" si="94"/>
        <v>329.58049</v>
      </c>
      <c r="R149" s="84">
        <f t="shared" si="94"/>
        <v>329.58098000000001</v>
      </c>
      <c r="S149" s="84">
        <f t="shared" si="94"/>
        <v>329.58147000000002</v>
      </c>
      <c r="T149" s="84">
        <f t="shared" ref="T149:AC149" si="102">+S149-(0.711/100)</f>
        <v>329.57436000000001</v>
      </c>
      <c r="U149" s="84">
        <f t="shared" si="102"/>
        <v>329.56725</v>
      </c>
      <c r="V149" s="84">
        <f t="shared" si="102"/>
        <v>329.56013999999999</v>
      </c>
      <c r="W149" s="84">
        <f t="shared" si="102"/>
        <v>329.55302999999998</v>
      </c>
      <c r="X149" s="84">
        <f t="shared" si="102"/>
        <v>329.54591999999997</v>
      </c>
      <c r="Y149" s="84">
        <f t="shared" si="102"/>
        <v>329.53880999999996</v>
      </c>
      <c r="Z149" s="84">
        <f t="shared" si="102"/>
        <v>329.53169999999994</v>
      </c>
      <c r="AA149" s="84">
        <f t="shared" si="102"/>
        <v>329.52458999999993</v>
      </c>
      <c r="AB149" s="84">
        <f t="shared" si="102"/>
        <v>329.51747999999992</v>
      </c>
      <c r="AC149" s="84">
        <f t="shared" si="102"/>
        <v>329.51036999999991</v>
      </c>
    </row>
    <row r="150" spans="1:29" x14ac:dyDescent="0.25">
      <c r="A150" s="86" t="s">
        <v>27</v>
      </c>
      <c r="B150" s="54" t="s">
        <v>19</v>
      </c>
      <c r="C150" s="54"/>
      <c r="D150" s="84">
        <v>423.67500000000001</v>
      </c>
      <c r="E150" s="84">
        <f t="shared" si="90"/>
        <v>423.67500000000001</v>
      </c>
      <c r="F150" s="84">
        <v>423.67500000000001</v>
      </c>
      <c r="G150" s="84">
        <f t="shared" si="91"/>
        <v>423.67500000000001</v>
      </c>
      <c r="H150" s="84">
        <v>423.67500000000001</v>
      </c>
      <c r="I150" s="84">
        <f t="shared" si="92"/>
        <v>506.65499999999997</v>
      </c>
      <c r="J150" s="84">
        <v>589.63499999999999</v>
      </c>
      <c r="K150" s="84">
        <f t="shared" si="93"/>
        <v>463.27499999999998</v>
      </c>
      <c r="L150" s="84">
        <v>336.91500000000002</v>
      </c>
      <c r="M150" s="84">
        <v>621.04999999999995</v>
      </c>
      <c r="N150" s="84">
        <v>621.04999999999995</v>
      </c>
      <c r="O150" s="84">
        <v>667.8900000000001</v>
      </c>
      <c r="P150" s="84">
        <v>667.8900000000001</v>
      </c>
      <c r="Q150" s="84">
        <f t="shared" si="94"/>
        <v>667.89049000000011</v>
      </c>
      <c r="R150" s="84">
        <f t="shared" si="94"/>
        <v>667.89098000000013</v>
      </c>
      <c r="S150" s="84">
        <f t="shared" si="94"/>
        <v>667.89147000000014</v>
      </c>
      <c r="T150" s="84">
        <f t="shared" ref="T150:AC150" si="103">+S150-(0.711/100)</f>
        <v>667.88436000000013</v>
      </c>
      <c r="U150" s="84">
        <f t="shared" si="103"/>
        <v>667.87725000000012</v>
      </c>
      <c r="V150" s="84">
        <f t="shared" si="103"/>
        <v>667.87014000000011</v>
      </c>
      <c r="W150" s="84">
        <f t="shared" si="103"/>
        <v>667.86303000000009</v>
      </c>
      <c r="X150" s="84">
        <f t="shared" si="103"/>
        <v>667.85592000000008</v>
      </c>
      <c r="Y150" s="84">
        <f t="shared" si="103"/>
        <v>667.84881000000007</v>
      </c>
      <c r="Z150" s="84">
        <f t="shared" si="103"/>
        <v>667.84170000000006</v>
      </c>
      <c r="AA150" s="84">
        <f t="shared" si="103"/>
        <v>667.83459000000005</v>
      </c>
      <c r="AB150" s="84">
        <f t="shared" si="103"/>
        <v>667.82748000000004</v>
      </c>
      <c r="AC150" s="84">
        <f t="shared" si="103"/>
        <v>667.82037000000003</v>
      </c>
    </row>
    <row r="151" spans="1:29" x14ac:dyDescent="0.25">
      <c r="A151" s="86" t="s">
        <v>28</v>
      </c>
      <c r="B151" s="54" t="s">
        <v>19</v>
      </c>
      <c r="C151" s="54"/>
      <c r="D151" s="84">
        <v>2300.9850000000001</v>
      </c>
      <c r="E151" s="84">
        <f t="shared" si="90"/>
        <v>2300.9850000000001</v>
      </c>
      <c r="F151" s="84">
        <v>2300.9850000000001</v>
      </c>
      <c r="G151" s="84">
        <f t="shared" si="91"/>
        <v>2300.9850000000001</v>
      </c>
      <c r="H151" s="84">
        <v>2300.9850000000001</v>
      </c>
      <c r="I151" s="84">
        <f t="shared" si="92"/>
        <v>6718.8375000000005</v>
      </c>
      <c r="J151" s="84">
        <v>11136.69</v>
      </c>
      <c r="K151" s="84">
        <f t="shared" si="93"/>
        <v>9869.0625</v>
      </c>
      <c r="L151" s="84">
        <v>8601.4349999999995</v>
      </c>
      <c r="M151" s="84">
        <v>1903.73</v>
      </c>
      <c r="N151" s="84">
        <v>1903.73</v>
      </c>
      <c r="O151" s="84">
        <v>5155.1099999999997</v>
      </c>
      <c r="P151" s="84">
        <v>5155.1099999999997</v>
      </c>
      <c r="Q151" s="84">
        <f t="shared" si="94"/>
        <v>5155.11049</v>
      </c>
      <c r="R151" s="84">
        <f t="shared" si="94"/>
        <v>5155.1109800000004</v>
      </c>
      <c r="S151" s="84">
        <f t="shared" si="94"/>
        <v>5155.1114700000007</v>
      </c>
      <c r="T151" s="84">
        <f t="shared" ref="T151:AC151" si="104">+S151-(0.711/100)</f>
        <v>5155.1043600000012</v>
      </c>
      <c r="U151" s="84">
        <f t="shared" si="104"/>
        <v>5155.0972500000016</v>
      </c>
      <c r="V151" s="84">
        <f t="shared" si="104"/>
        <v>5155.0901400000021</v>
      </c>
      <c r="W151" s="84">
        <f t="shared" si="104"/>
        <v>5155.0830300000025</v>
      </c>
      <c r="X151" s="84">
        <f t="shared" si="104"/>
        <v>5155.075920000003</v>
      </c>
      <c r="Y151" s="84">
        <f t="shared" si="104"/>
        <v>5155.0688100000034</v>
      </c>
      <c r="Z151" s="84">
        <f t="shared" si="104"/>
        <v>5155.0617000000038</v>
      </c>
      <c r="AA151" s="84">
        <f t="shared" si="104"/>
        <v>5155.0545900000043</v>
      </c>
      <c r="AB151" s="84">
        <f t="shared" si="104"/>
        <v>5155.0474800000047</v>
      </c>
      <c r="AC151" s="84">
        <f t="shared" si="104"/>
        <v>5155.0403700000052</v>
      </c>
    </row>
    <row r="152" spans="1:29" x14ac:dyDescent="0.25">
      <c r="A152" s="56" t="s">
        <v>4</v>
      </c>
      <c r="B152" s="54" t="s">
        <v>19</v>
      </c>
      <c r="C152" s="54"/>
      <c r="D152" s="84">
        <v>24385.99</v>
      </c>
      <c r="E152" s="84">
        <f t="shared" si="90"/>
        <v>24385.99</v>
      </c>
      <c r="F152" s="84">
        <v>24385.99</v>
      </c>
      <c r="G152" s="84">
        <f t="shared" si="91"/>
        <v>24385.99</v>
      </c>
      <c r="H152" s="84">
        <v>24385.99</v>
      </c>
      <c r="I152" s="84">
        <f t="shared" si="92"/>
        <v>38966.805</v>
      </c>
      <c r="J152" s="84">
        <v>53547.62</v>
      </c>
      <c r="K152" s="84">
        <f t="shared" si="93"/>
        <v>34203.535000000003</v>
      </c>
      <c r="L152" s="84">
        <v>14859.45</v>
      </c>
      <c r="M152" s="84">
        <v>32440.31</v>
      </c>
      <c r="N152" s="84">
        <v>32440.31</v>
      </c>
      <c r="O152" s="84">
        <v>23216.04</v>
      </c>
      <c r="P152" s="84">
        <v>23216.04</v>
      </c>
      <c r="Q152" s="84">
        <f t="shared" si="94"/>
        <v>23216.040489999999</v>
      </c>
      <c r="R152" s="84">
        <f t="shared" si="94"/>
        <v>23216.040979999998</v>
      </c>
      <c r="S152" s="84">
        <f t="shared" si="94"/>
        <v>23216.041469999996</v>
      </c>
      <c r="T152" s="84">
        <f t="shared" ref="T152:AC152" si="105">+S152-(0.711/100)</f>
        <v>23216.034359999998</v>
      </c>
      <c r="U152" s="84">
        <f t="shared" si="105"/>
        <v>23216.027249999999</v>
      </c>
      <c r="V152" s="84">
        <f t="shared" si="105"/>
        <v>23216.020140000001</v>
      </c>
      <c r="W152" s="84">
        <f t="shared" si="105"/>
        <v>23216.013030000002</v>
      </c>
      <c r="X152" s="84">
        <f t="shared" si="105"/>
        <v>23216.005920000003</v>
      </c>
      <c r="Y152" s="84">
        <f t="shared" si="105"/>
        <v>23215.998810000005</v>
      </c>
      <c r="Z152" s="84">
        <f t="shared" si="105"/>
        <v>23215.991700000006</v>
      </c>
      <c r="AA152" s="84">
        <f t="shared" si="105"/>
        <v>23215.984590000007</v>
      </c>
      <c r="AB152" s="84">
        <f t="shared" si="105"/>
        <v>23215.977480000009</v>
      </c>
      <c r="AC152" s="84">
        <f t="shared" si="105"/>
        <v>23215.97037000001</v>
      </c>
    </row>
    <row r="153" spans="1:29" x14ac:dyDescent="0.25">
      <c r="A153" s="56" t="s">
        <v>5</v>
      </c>
      <c r="B153" s="54" t="s">
        <v>19</v>
      </c>
      <c r="C153" s="54"/>
      <c r="D153" s="84">
        <v>8319.99</v>
      </c>
      <c r="E153" s="84">
        <f t="shared" si="90"/>
        <v>8319.99</v>
      </c>
      <c r="F153" s="84">
        <v>8319.99</v>
      </c>
      <c r="G153" s="84">
        <f t="shared" si="91"/>
        <v>8319.99</v>
      </c>
      <c r="H153" s="84">
        <v>8319.99</v>
      </c>
      <c r="I153" s="84">
        <f t="shared" si="92"/>
        <v>9268.2150000000001</v>
      </c>
      <c r="J153" s="84">
        <v>10216.44</v>
      </c>
      <c r="K153" s="84">
        <f t="shared" si="93"/>
        <v>8473.6149999999998</v>
      </c>
      <c r="L153" s="84">
        <v>6730.79</v>
      </c>
      <c r="M153" s="84">
        <v>795.38</v>
      </c>
      <c r="N153" s="84">
        <v>795.38</v>
      </c>
      <c r="O153" s="84">
        <v>2562.98</v>
      </c>
      <c r="P153" s="84">
        <v>2562.98</v>
      </c>
      <c r="Q153" s="84">
        <f t="shared" si="94"/>
        <v>2562.9804899999999</v>
      </c>
      <c r="R153" s="84">
        <f t="shared" si="94"/>
        <v>2562.9809799999998</v>
      </c>
      <c r="S153" s="84">
        <f t="shared" si="94"/>
        <v>2562.9814699999997</v>
      </c>
      <c r="T153" s="84">
        <f t="shared" ref="T153:AC153" si="106">+S153-(0.711/100)</f>
        <v>2562.9743599999997</v>
      </c>
      <c r="U153" s="84">
        <f t="shared" si="106"/>
        <v>2562.9672499999997</v>
      </c>
      <c r="V153" s="84">
        <f t="shared" si="106"/>
        <v>2562.9601399999997</v>
      </c>
      <c r="W153" s="84">
        <f t="shared" si="106"/>
        <v>2562.9530299999997</v>
      </c>
      <c r="X153" s="84">
        <f t="shared" si="106"/>
        <v>2562.9459199999997</v>
      </c>
      <c r="Y153" s="84">
        <f t="shared" si="106"/>
        <v>2562.9388099999996</v>
      </c>
      <c r="Z153" s="84">
        <f t="shared" si="106"/>
        <v>2562.9316999999996</v>
      </c>
      <c r="AA153" s="84">
        <f t="shared" si="106"/>
        <v>2562.9245899999996</v>
      </c>
      <c r="AB153" s="84">
        <f t="shared" si="106"/>
        <v>2562.9174799999996</v>
      </c>
      <c r="AC153" s="84">
        <f t="shared" si="106"/>
        <v>2562.9103699999996</v>
      </c>
    </row>
    <row r="154" spans="1:29" x14ac:dyDescent="0.25">
      <c r="A154" s="56" t="s">
        <v>6</v>
      </c>
      <c r="B154" s="54" t="s">
        <v>19</v>
      </c>
      <c r="C154" s="54"/>
      <c r="D154" s="84">
        <v>0</v>
      </c>
      <c r="E154" s="84">
        <f t="shared" si="90"/>
        <v>0</v>
      </c>
      <c r="F154" s="84">
        <v>0</v>
      </c>
      <c r="G154" s="84">
        <f t="shared" si="91"/>
        <v>0</v>
      </c>
      <c r="H154" s="84">
        <v>0</v>
      </c>
      <c r="I154" s="84">
        <f t="shared" si="92"/>
        <v>0</v>
      </c>
      <c r="J154" s="84">
        <v>0</v>
      </c>
      <c r="K154" s="84">
        <f t="shared" si="93"/>
        <v>0</v>
      </c>
      <c r="L154" s="84">
        <v>0</v>
      </c>
      <c r="M154" s="84">
        <v>0</v>
      </c>
      <c r="N154" s="84">
        <v>0</v>
      </c>
      <c r="O154" s="84">
        <v>262.35000000000002</v>
      </c>
      <c r="P154" s="84">
        <v>262.35000000000002</v>
      </c>
      <c r="Q154" s="84">
        <f t="shared" si="94"/>
        <v>262.35049000000004</v>
      </c>
      <c r="R154" s="84">
        <f t="shared" si="94"/>
        <v>262.35098000000005</v>
      </c>
      <c r="S154" s="84">
        <f t="shared" si="94"/>
        <v>262.35147000000006</v>
      </c>
      <c r="T154" s="84">
        <f t="shared" ref="T154:AC154" si="107">+S154-(0.711/100)</f>
        <v>262.34436000000005</v>
      </c>
      <c r="U154" s="84">
        <f t="shared" si="107"/>
        <v>262.33725000000004</v>
      </c>
      <c r="V154" s="84">
        <f t="shared" si="107"/>
        <v>262.33014000000003</v>
      </c>
      <c r="W154" s="84">
        <f t="shared" si="107"/>
        <v>262.32303000000002</v>
      </c>
      <c r="X154" s="84">
        <f t="shared" si="107"/>
        <v>262.31592000000001</v>
      </c>
      <c r="Y154" s="84">
        <f t="shared" si="107"/>
        <v>262.30880999999999</v>
      </c>
      <c r="Z154" s="84">
        <f t="shared" si="107"/>
        <v>262.30169999999998</v>
      </c>
      <c r="AA154" s="84">
        <f t="shared" si="107"/>
        <v>262.29458999999997</v>
      </c>
      <c r="AB154" s="84">
        <f t="shared" si="107"/>
        <v>262.28747999999996</v>
      </c>
      <c r="AC154" s="84">
        <f t="shared" si="107"/>
        <v>262.28036999999995</v>
      </c>
    </row>
    <row r="155" spans="1:29" x14ac:dyDescent="0.25">
      <c r="A155" s="56" t="s">
        <v>29</v>
      </c>
      <c r="B155" s="54" t="s">
        <v>19</v>
      </c>
      <c r="C155" s="54"/>
      <c r="D155" s="84">
        <v>1280.52</v>
      </c>
      <c r="E155" s="84">
        <f t="shared" si="90"/>
        <v>1280.52</v>
      </c>
      <c r="F155" s="84">
        <v>1280.52</v>
      </c>
      <c r="G155" s="84">
        <f t="shared" si="91"/>
        <v>1280.52</v>
      </c>
      <c r="H155" s="84">
        <v>1280.52</v>
      </c>
      <c r="I155" s="84">
        <f t="shared" si="92"/>
        <v>5254.8525</v>
      </c>
      <c r="J155" s="84">
        <v>9229.1849999999995</v>
      </c>
      <c r="K155" s="84">
        <f t="shared" si="93"/>
        <v>5389.7874999999995</v>
      </c>
      <c r="L155" s="84">
        <v>1550.39</v>
      </c>
      <c r="M155" s="84">
        <v>608.72</v>
      </c>
      <c r="N155" s="84">
        <v>608.72</v>
      </c>
      <c r="O155" s="84">
        <v>3363.16</v>
      </c>
      <c r="P155" s="84">
        <v>3363.16</v>
      </c>
      <c r="Q155" s="84">
        <f t="shared" si="94"/>
        <v>3363.1604899999998</v>
      </c>
      <c r="R155" s="84">
        <f t="shared" si="94"/>
        <v>3363.1609799999997</v>
      </c>
      <c r="S155" s="84">
        <f t="shared" si="94"/>
        <v>3363.1614699999996</v>
      </c>
      <c r="T155" s="84">
        <f t="shared" ref="T155:AC155" si="108">+S155-(0.711/100)</f>
        <v>3363.1543599999995</v>
      </c>
      <c r="U155" s="84">
        <f t="shared" si="108"/>
        <v>3363.1472499999995</v>
      </c>
      <c r="V155" s="84">
        <f t="shared" si="108"/>
        <v>3363.1401399999995</v>
      </c>
      <c r="W155" s="84">
        <f t="shared" si="108"/>
        <v>3363.1330299999995</v>
      </c>
      <c r="X155" s="84">
        <f t="shared" si="108"/>
        <v>3363.1259199999995</v>
      </c>
      <c r="Y155" s="84">
        <f t="shared" si="108"/>
        <v>3363.1188099999995</v>
      </c>
      <c r="Z155" s="84">
        <f t="shared" si="108"/>
        <v>3363.1116999999995</v>
      </c>
      <c r="AA155" s="84">
        <f t="shared" si="108"/>
        <v>3363.1045899999995</v>
      </c>
      <c r="AB155" s="84">
        <f t="shared" si="108"/>
        <v>3363.0974799999995</v>
      </c>
      <c r="AC155" s="84">
        <f t="shared" si="108"/>
        <v>3363.0903699999994</v>
      </c>
    </row>
    <row r="157" spans="1:29" x14ac:dyDescent="0.25">
      <c r="A157" s="86" t="s">
        <v>18</v>
      </c>
      <c r="B157" s="54" t="s">
        <v>4</v>
      </c>
      <c r="C157" s="54"/>
      <c r="D157" s="60">
        <v>0</v>
      </c>
      <c r="E157" s="84">
        <f t="shared" ref="E157:E169" si="109">+(D157+F157)/2</f>
        <v>0</v>
      </c>
      <c r="F157" s="60">
        <v>0</v>
      </c>
      <c r="G157" s="84">
        <f t="shared" ref="G157:G169" si="110">+(F157+H157)/2</f>
        <v>0</v>
      </c>
      <c r="H157" s="60">
        <v>0</v>
      </c>
      <c r="I157" s="84">
        <f t="shared" ref="I157:I169" si="111">+(H157+J157)/2</f>
        <v>0</v>
      </c>
      <c r="J157" s="60">
        <v>0</v>
      </c>
      <c r="K157" s="84">
        <f t="shared" ref="K157:K169" si="112">+(J157+L157)/2</f>
        <v>80.887500000000003</v>
      </c>
      <c r="L157" s="60">
        <v>161.77500000000001</v>
      </c>
      <c r="M157" s="60">
        <v>23.94</v>
      </c>
      <c r="N157" s="60">
        <v>23.94</v>
      </c>
      <c r="O157" s="60">
        <v>1.62</v>
      </c>
      <c r="P157" s="60">
        <v>1.62</v>
      </c>
      <c r="Q157" s="84">
        <f t="shared" ref="Q157:S169" si="113">+P157+(0.049/100)</f>
        <v>1.6204900000000002</v>
      </c>
      <c r="R157" s="84">
        <f t="shared" si="113"/>
        <v>1.6209800000000003</v>
      </c>
      <c r="S157" s="84">
        <f t="shared" si="113"/>
        <v>1.6214700000000004</v>
      </c>
      <c r="T157" s="84">
        <f t="shared" ref="T157:AC157" si="114">+S157-(0.711/100)</f>
        <v>1.6143600000000005</v>
      </c>
      <c r="U157" s="84">
        <f t="shared" si="114"/>
        <v>1.6072500000000005</v>
      </c>
      <c r="V157" s="84">
        <f t="shared" si="114"/>
        <v>1.6001400000000006</v>
      </c>
      <c r="W157" s="84">
        <f t="shared" si="114"/>
        <v>1.5930300000000006</v>
      </c>
      <c r="X157" s="84">
        <f t="shared" si="114"/>
        <v>1.5859200000000007</v>
      </c>
      <c r="Y157" s="84">
        <f t="shared" si="114"/>
        <v>1.5788100000000007</v>
      </c>
      <c r="Z157" s="84">
        <f t="shared" si="114"/>
        <v>1.5717000000000008</v>
      </c>
      <c r="AA157" s="84">
        <f t="shared" si="114"/>
        <v>1.5645900000000008</v>
      </c>
      <c r="AB157" s="84">
        <f t="shared" si="114"/>
        <v>1.5574800000000009</v>
      </c>
      <c r="AC157" s="84">
        <f t="shared" si="114"/>
        <v>1.5503700000000009</v>
      </c>
    </row>
    <row r="158" spans="1:29" x14ac:dyDescent="0.25">
      <c r="A158" s="86" t="s">
        <v>20</v>
      </c>
      <c r="B158" s="54" t="s">
        <v>4</v>
      </c>
      <c r="C158" s="54"/>
      <c r="D158" s="60">
        <v>0</v>
      </c>
      <c r="E158" s="84">
        <f t="shared" si="109"/>
        <v>0</v>
      </c>
      <c r="F158" s="60">
        <v>0</v>
      </c>
      <c r="G158" s="84">
        <f t="shared" si="110"/>
        <v>0</v>
      </c>
      <c r="H158" s="60">
        <v>0</v>
      </c>
      <c r="I158" s="84">
        <f t="shared" si="111"/>
        <v>0</v>
      </c>
      <c r="J158" s="60">
        <v>0</v>
      </c>
      <c r="K158" s="84">
        <f t="shared" si="112"/>
        <v>303.09750000000003</v>
      </c>
      <c r="L158" s="60">
        <v>606.19500000000005</v>
      </c>
      <c r="M158" s="60">
        <v>194.535</v>
      </c>
      <c r="N158" s="60">
        <v>194.535</v>
      </c>
      <c r="O158" s="60">
        <v>465.88499999999999</v>
      </c>
      <c r="P158" s="60">
        <v>465.88499999999999</v>
      </c>
      <c r="Q158" s="84">
        <f t="shared" si="113"/>
        <v>465.88549</v>
      </c>
      <c r="R158" s="84">
        <f t="shared" si="113"/>
        <v>465.88598000000002</v>
      </c>
      <c r="S158" s="84">
        <f t="shared" si="113"/>
        <v>465.88647000000003</v>
      </c>
      <c r="T158" s="84">
        <f t="shared" ref="T158:AC158" si="115">+S158-(0.711/100)</f>
        <v>465.87936000000002</v>
      </c>
      <c r="U158" s="84">
        <f t="shared" si="115"/>
        <v>465.87225000000001</v>
      </c>
      <c r="V158" s="84">
        <f t="shared" si="115"/>
        <v>465.86514</v>
      </c>
      <c r="W158" s="84">
        <f t="shared" si="115"/>
        <v>465.85802999999999</v>
      </c>
      <c r="X158" s="84">
        <f t="shared" si="115"/>
        <v>465.85091999999997</v>
      </c>
      <c r="Y158" s="84">
        <f t="shared" si="115"/>
        <v>465.84380999999996</v>
      </c>
      <c r="Z158" s="84">
        <f t="shared" si="115"/>
        <v>465.83669999999995</v>
      </c>
      <c r="AA158" s="84">
        <f t="shared" si="115"/>
        <v>465.82958999999994</v>
      </c>
      <c r="AB158" s="84">
        <f t="shared" si="115"/>
        <v>465.82247999999993</v>
      </c>
      <c r="AC158" s="84">
        <f t="shared" si="115"/>
        <v>465.81536999999992</v>
      </c>
    </row>
    <row r="159" spans="1:29" x14ac:dyDescent="0.25">
      <c r="A159" s="86" t="s">
        <v>21</v>
      </c>
      <c r="B159" s="54" t="s">
        <v>4</v>
      </c>
      <c r="C159" s="54"/>
      <c r="D159" s="60">
        <v>0</v>
      </c>
      <c r="E159" s="84">
        <f t="shared" si="109"/>
        <v>0</v>
      </c>
      <c r="F159" s="60">
        <v>0</v>
      </c>
      <c r="G159" s="84">
        <f t="shared" si="110"/>
        <v>0</v>
      </c>
      <c r="H159" s="60">
        <v>0</v>
      </c>
      <c r="I159" s="84">
        <f t="shared" si="111"/>
        <v>0</v>
      </c>
      <c r="J159" s="60">
        <v>0</v>
      </c>
      <c r="K159" s="84">
        <f t="shared" si="112"/>
        <v>195.88499999999999</v>
      </c>
      <c r="L159" s="60">
        <v>391.77</v>
      </c>
      <c r="M159" s="60">
        <v>846.23</v>
      </c>
      <c r="N159" s="60">
        <v>846.23</v>
      </c>
      <c r="O159" s="60">
        <v>79.11</v>
      </c>
      <c r="P159" s="60">
        <v>79.11</v>
      </c>
      <c r="Q159" s="84">
        <f t="shared" si="113"/>
        <v>79.110489999999999</v>
      </c>
      <c r="R159" s="84">
        <f t="shared" si="113"/>
        <v>79.110979999999998</v>
      </c>
      <c r="S159" s="84">
        <f t="shared" si="113"/>
        <v>79.111469999999997</v>
      </c>
      <c r="T159" s="84">
        <f t="shared" ref="T159:AC159" si="116">+S159-(0.711/100)</f>
        <v>79.10436</v>
      </c>
      <c r="U159" s="84">
        <f t="shared" si="116"/>
        <v>79.097250000000003</v>
      </c>
      <c r="V159" s="84">
        <f t="shared" si="116"/>
        <v>79.090140000000005</v>
      </c>
      <c r="W159" s="84">
        <f t="shared" si="116"/>
        <v>79.083030000000008</v>
      </c>
      <c r="X159" s="84">
        <f t="shared" si="116"/>
        <v>79.075920000000011</v>
      </c>
      <c r="Y159" s="84">
        <f t="shared" si="116"/>
        <v>79.068810000000013</v>
      </c>
      <c r="Z159" s="84">
        <f t="shared" si="116"/>
        <v>79.061700000000016</v>
      </c>
      <c r="AA159" s="84">
        <f t="shared" si="116"/>
        <v>79.054590000000019</v>
      </c>
      <c r="AB159" s="84">
        <f t="shared" si="116"/>
        <v>79.047480000000022</v>
      </c>
      <c r="AC159" s="84">
        <f t="shared" si="116"/>
        <v>79.040370000000024</v>
      </c>
    </row>
    <row r="160" spans="1:29" x14ac:dyDescent="0.25">
      <c r="A160" s="86" t="s">
        <v>22</v>
      </c>
      <c r="B160" s="54" t="s">
        <v>4</v>
      </c>
      <c r="C160" s="54"/>
      <c r="D160" s="60">
        <v>0</v>
      </c>
      <c r="E160" s="84">
        <f t="shared" si="109"/>
        <v>0</v>
      </c>
      <c r="F160" s="60">
        <v>0</v>
      </c>
      <c r="G160" s="84">
        <f t="shared" si="110"/>
        <v>0</v>
      </c>
      <c r="H160" s="60">
        <v>0</v>
      </c>
      <c r="I160" s="84">
        <f t="shared" si="111"/>
        <v>0</v>
      </c>
      <c r="J160" s="60">
        <v>0</v>
      </c>
      <c r="K160" s="84">
        <f t="shared" si="112"/>
        <v>34.042499999999997</v>
      </c>
      <c r="L160" s="60">
        <v>68.084999999999994</v>
      </c>
      <c r="M160" s="60">
        <v>149.94</v>
      </c>
      <c r="N160" s="60">
        <v>149.94</v>
      </c>
      <c r="O160" s="60">
        <v>20.925000000000001</v>
      </c>
      <c r="P160" s="60">
        <v>20.925000000000001</v>
      </c>
      <c r="Q160" s="84">
        <f t="shared" si="113"/>
        <v>20.92549</v>
      </c>
      <c r="R160" s="84">
        <f t="shared" si="113"/>
        <v>20.925979999999999</v>
      </c>
      <c r="S160" s="84">
        <f t="shared" si="113"/>
        <v>20.926469999999998</v>
      </c>
      <c r="T160" s="84">
        <f t="shared" ref="T160:AC160" si="117">+S160-(0.711/100)</f>
        <v>20.919359999999998</v>
      </c>
      <c r="U160" s="84">
        <f t="shared" si="117"/>
        <v>20.912249999999997</v>
      </c>
      <c r="V160" s="84">
        <f t="shared" si="117"/>
        <v>20.905139999999996</v>
      </c>
      <c r="W160" s="84">
        <f t="shared" si="117"/>
        <v>20.898029999999995</v>
      </c>
      <c r="X160" s="84">
        <f t="shared" si="117"/>
        <v>20.890919999999994</v>
      </c>
      <c r="Y160" s="84">
        <f t="shared" si="117"/>
        <v>20.883809999999993</v>
      </c>
      <c r="Z160" s="84">
        <f t="shared" si="117"/>
        <v>20.876699999999992</v>
      </c>
      <c r="AA160" s="84">
        <f t="shared" si="117"/>
        <v>20.869589999999992</v>
      </c>
      <c r="AB160" s="84">
        <f t="shared" si="117"/>
        <v>20.862479999999991</v>
      </c>
      <c r="AC160" s="84">
        <f t="shared" si="117"/>
        <v>20.85536999999999</v>
      </c>
    </row>
    <row r="161" spans="1:29" x14ac:dyDescent="0.25">
      <c r="A161" s="86" t="s">
        <v>23</v>
      </c>
      <c r="B161" s="54" t="s">
        <v>4</v>
      </c>
      <c r="C161" s="54"/>
      <c r="D161" s="60">
        <v>0</v>
      </c>
      <c r="E161" s="84">
        <f t="shared" si="109"/>
        <v>0</v>
      </c>
      <c r="F161" s="60">
        <v>0</v>
      </c>
      <c r="G161" s="84">
        <f t="shared" si="110"/>
        <v>0</v>
      </c>
      <c r="H161" s="60">
        <v>0</v>
      </c>
      <c r="I161" s="84">
        <f t="shared" si="111"/>
        <v>0</v>
      </c>
      <c r="J161" s="60">
        <v>0</v>
      </c>
      <c r="K161" s="84">
        <f t="shared" si="112"/>
        <v>191.20500000000001</v>
      </c>
      <c r="L161" s="60">
        <v>382.41</v>
      </c>
      <c r="M161" s="60">
        <v>1335.29</v>
      </c>
      <c r="N161" s="60">
        <v>1335.29</v>
      </c>
      <c r="O161" s="60">
        <v>40.46</v>
      </c>
      <c r="P161" s="60">
        <v>40.46</v>
      </c>
      <c r="Q161" s="84">
        <f t="shared" si="113"/>
        <v>40.46049</v>
      </c>
      <c r="R161" s="84">
        <f t="shared" si="113"/>
        <v>40.460979999999999</v>
      </c>
      <c r="S161" s="84">
        <f t="shared" si="113"/>
        <v>40.461469999999998</v>
      </c>
      <c r="T161" s="84">
        <f t="shared" ref="T161:AC161" si="118">+S161-(0.711/100)</f>
        <v>40.454360000000001</v>
      </c>
      <c r="U161" s="84">
        <f t="shared" si="118"/>
        <v>40.447250000000004</v>
      </c>
      <c r="V161" s="84">
        <f t="shared" si="118"/>
        <v>40.440140000000007</v>
      </c>
      <c r="W161" s="84">
        <f t="shared" si="118"/>
        <v>40.433030000000009</v>
      </c>
      <c r="X161" s="84">
        <f t="shared" si="118"/>
        <v>40.425920000000012</v>
      </c>
      <c r="Y161" s="84">
        <f t="shared" si="118"/>
        <v>40.418810000000015</v>
      </c>
      <c r="Z161" s="84">
        <f t="shared" si="118"/>
        <v>40.411700000000017</v>
      </c>
      <c r="AA161" s="84">
        <f t="shared" si="118"/>
        <v>40.40459000000002</v>
      </c>
      <c r="AB161" s="84">
        <f t="shared" si="118"/>
        <v>40.397480000000023</v>
      </c>
      <c r="AC161" s="84">
        <f t="shared" si="118"/>
        <v>40.390370000000026</v>
      </c>
    </row>
    <row r="162" spans="1:29" ht="22.5" x14ac:dyDescent="0.25">
      <c r="A162" s="86" t="s">
        <v>24</v>
      </c>
      <c r="B162" s="54" t="s">
        <v>4</v>
      </c>
      <c r="C162" s="54"/>
      <c r="D162" s="60">
        <v>0</v>
      </c>
      <c r="E162" s="84">
        <f t="shared" si="109"/>
        <v>0</v>
      </c>
      <c r="F162" s="60">
        <v>0</v>
      </c>
      <c r="G162" s="84">
        <f t="shared" si="110"/>
        <v>0</v>
      </c>
      <c r="H162" s="60">
        <v>0</v>
      </c>
      <c r="I162" s="84">
        <f t="shared" si="111"/>
        <v>0</v>
      </c>
      <c r="J162" s="60">
        <v>0</v>
      </c>
      <c r="K162" s="84">
        <f t="shared" si="112"/>
        <v>20.317499999999999</v>
      </c>
      <c r="L162" s="60">
        <v>40.634999999999998</v>
      </c>
      <c r="M162" s="60">
        <v>342.85500000000002</v>
      </c>
      <c r="N162" s="60">
        <v>342.85500000000002</v>
      </c>
      <c r="O162" s="60">
        <v>19.754999999999999</v>
      </c>
      <c r="P162" s="60">
        <v>19.754999999999999</v>
      </c>
      <c r="Q162" s="84">
        <f t="shared" si="113"/>
        <v>19.755489999999998</v>
      </c>
      <c r="R162" s="84">
        <f t="shared" si="113"/>
        <v>19.755979999999997</v>
      </c>
      <c r="S162" s="84">
        <f t="shared" si="113"/>
        <v>19.756469999999997</v>
      </c>
      <c r="T162" s="84">
        <f t="shared" ref="T162:AC162" si="119">+S162-(0.711/100)</f>
        <v>19.749359999999996</v>
      </c>
      <c r="U162" s="84">
        <f t="shared" si="119"/>
        <v>19.742249999999995</v>
      </c>
      <c r="V162" s="84">
        <f t="shared" si="119"/>
        <v>19.735139999999994</v>
      </c>
      <c r="W162" s="84">
        <f t="shared" si="119"/>
        <v>19.728029999999993</v>
      </c>
      <c r="X162" s="84">
        <f t="shared" si="119"/>
        <v>19.720919999999992</v>
      </c>
      <c r="Y162" s="84">
        <f t="shared" si="119"/>
        <v>19.713809999999992</v>
      </c>
      <c r="Z162" s="84">
        <f t="shared" si="119"/>
        <v>19.706699999999991</v>
      </c>
      <c r="AA162" s="84">
        <f t="shared" si="119"/>
        <v>19.69958999999999</v>
      </c>
      <c r="AB162" s="84">
        <f t="shared" si="119"/>
        <v>19.692479999999989</v>
      </c>
      <c r="AC162" s="84">
        <f t="shared" si="119"/>
        <v>19.685369999999988</v>
      </c>
    </row>
    <row r="163" spans="1:29" x14ac:dyDescent="0.25">
      <c r="A163" s="86" t="s">
        <v>25</v>
      </c>
      <c r="B163" s="54" t="s">
        <v>4</v>
      </c>
      <c r="C163" s="54"/>
      <c r="D163" s="60">
        <v>0</v>
      </c>
      <c r="E163" s="84">
        <f t="shared" si="109"/>
        <v>0</v>
      </c>
      <c r="F163" s="60">
        <v>0</v>
      </c>
      <c r="G163" s="84">
        <f t="shared" si="110"/>
        <v>0</v>
      </c>
      <c r="H163" s="60">
        <v>0</v>
      </c>
      <c r="I163" s="84">
        <f t="shared" si="111"/>
        <v>0</v>
      </c>
      <c r="J163" s="60">
        <v>0</v>
      </c>
      <c r="K163" s="84">
        <f t="shared" si="112"/>
        <v>65.227500000000006</v>
      </c>
      <c r="L163" s="60">
        <v>130.45500000000001</v>
      </c>
      <c r="M163" s="60">
        <v>582.12</v>
      </c>
      <c r="N163" s="60">
        <v>582.12</v>
      </c>
      <c r="O163" s="60">
        <v>37.395000000000003</v>
      </c>
      <c r="P163" s="60">
        <v>37.395000000000003</v>
      </c>
      <c r="Q163" s="84">
        <f t="shared" si="113"/>
        <v>37.395490000000002</v>
      </c>
      <c r="R163" s="84">
        <f t="shared" si="113"/>
        <v>37.395980000000002</v>
      </c>
      <c r="S163" s="84">
        <f t="shared" si="113"/>
        <v>37.396470000000001</v>
      </c>
      <c r="T163" s="84">
        <f t="shared" ref="T163:AC163" si="120">+S163-(0.711/100)</f>
        <v>37.389360000000003</v>
      </c>
      <c r="U163" s="84">
        <f t="shared" si="120"/>
        <v>37.382250000000006</v>
      </c>
      <c r="V163" s="84">
        <f t="shared" si="120"/>
        <v>37.375140000000009</v>
      </c>
      <c r="W163" s="84">
        <f t="shared" si="120"/>
        <v>37.368030000000012</v>
      </c>
      <c r="X163" s="84">
        <f t="shared" si="120"/>
        <v>37.360920000000014</v>
      </c>
      <c r="Y163" s="84">
        <f t="shared" si="120"/>
        <v>37.353810000000017</v>
      </c>
      <c r="Z163" s="84">
        <f t="shared" si="120"/>
        <v>37.34670000000002</v>
      </c>
      <c r="AA163" s="84">
        <f t="shared" si="120"/>
        <v>37.339590000000022</v>
      </c>
      <c r="AB163" s="84">
        <f t="shared" si="120"/>
        <v>37.332480000000025</v>
      </c>
      <c r="AC163" s="84">
        <f t="shared" si="120"/>
        <v>37.325370000000028</v>
      </c>
    </row>
    <row r="164" spans="1:29" x14ac:dyDescent="0.25">
      <c r="A164" s="86" t="s">
        <v>26</v>
      </c>
      <c r="B164" s="54" t="s">
        <v>4</v>
      </c>
      <c r="C164" s="54"/>
      <c r="D164" s="60">
        <v>0</v>
      </c>
      <c r="E164" s="84">
        <f t="shared" si="109"/>
        <v>0</v>
      </c>
      <c r="F164" s="60">
        <v>0</v>
      </c>
      <c r="G164" s="84">
        <f t="shared" si="110"/>
        <v>0</v>
      </c>
      <c r="H164" s="60">
        <v>0</v>
      </c>
      <c r="I164" s="84">
        <f t="shared" si="111"/>
        <v>0</v>
      </c>
      <c r="J164" s="60">
        <v>0</v>
      </c>
      <c r="K164" s="84">
        <f t="shared" si="112"/>
        <v>8.7524999999999995</v>
      </c>
      <c r="L164" s="60">
        <v>17.504999999999999</v>
      </c>
      <c r="M164" s="60">
        <v>102.69</v>
      </c>
      <c r="N164" s="60">
        <v>102.69</v>
      </c>
      <c r="O164" s="60">
        <v>140.76</v>
      </c>
      <c r="P164" s="60">
        <v>140.76</v>
      </c>
      <c r="Q164" s="84">
        <f t="shared" si="113"/>
        <v>140.76049</v>
      </c>
      <c r="R164" s="84">
        <f t="shared" si="113"/>
        <v>140.76098000000002</v>
      </c>
      <c r="S164" s="84">
        <f t="shared" si="113"/>
        <v>140.76147000000003</v>
      </c>
      <c r="T164" s="84">
        <f t="shared" ref="T164:AC164" si="121">+S164-(0.711/100)</f>
        <v>140.75436000000002</v>
      </c>
      <c r="U164" s="84">
        <f t="shared" si="121"/>
        <v>140.74725000000001</v>
      </c>
      <c r="V164" s="84">
        <f t="shared" si="121"/>
        <v>140.74014</v>
      </c>
      <c r="W164" s="84">
        <f t="shared" si="121"/>
        <v>140.73302999999999</v>
      </c>
      <c r="X164" s="84">
        <f t="shared" si="121"/>
        <v>140.72591999999997</v>
      </c>
      <c r="Y164" s="84">
        <f t="shared" si="121"/>
        <v>140.71880999999996</v>
      </c>
      <c r="Z164" s="84">
        <f t="shared" si="121"/>
        <v>140.71169999999995</v>
      </c>
      <c r="AA164" s="84">
        <f t="shared" si="121"/>
        <v>140.70458999999994</v>
      </c>
      <c r="AB164" s="84">
        <f t="shared" si="121"/>
        <v>140.69747999999993</v>
      </c>
      <c r="AC164" s="84">
        <f t="shared" si="121"/>
        <v>140.69036999999992</v>
      </c>
    </row>
    <row r="165" spans="1:29" x14ac:dyDescent="0.25">
      <c r="A165" s="86" t="s">
        <v>27</v>
      </c>
      <c r="B165" s="54" t="s">
        <v>4</v>
      </c>
      <c r="C165" s="54"/>
      <c r="D165" s="60">
        <v>0</v>
      </c>
      <c r="E165" s="84">
        <f t="shared" si="109"/>
        <v>0</v>
      </c>
      <c r="F165" s="60">
        <v>0</v>
      </c>
      <c r="G165" s="84">
        <f t="shared" si="110"/>
        <v>0</v>
      </c>
      <c r="H165" s="60">
        <v>0</v>
      </c>
      <c r="I165" s="84">
        <f t="shared" si="111"/>
        <v>0</v>
      </c>
      <c r="J165" s="60">
        <v>0</v>
      </c>
      <c r="K165" s="84">
        <f t="shared" si="112"/>
        <v>0.87749999999999995</v>
      </c>
      <c r="L165" s="60">
        <v>1.7549999999999999</v>
      </c>
      <c r="M165" s="60">
        <v>23.535</v>
      </c>
      <c r="N165" s="60">
        <v>23.535</v>
      </c>
      <c r="O165" s="60">
        <v>0.36</v>
      </c>
      <c r="P165" s="60">
        <v>0.36</v>
      </c>
      <c r="Q165" s="84">
        <f t="shared" si="113"/>
        <v>0.36048999999999998</v>
      </c>
      <c r="R165" s="84">
        <f t="shared" si="113"/>
        <v>0.36097999999999997</v>
      </c>
      <c r="S165" s="84">
        <f t="shared" si="113"/>
        <v>0.36146999999999996</v>
      </c>
      <c r="T165" s="84">
        <f t="shared" ref="T165:AC165" si="122">+S165-(0.711/100)</f>
        <v>0.35435999999999995</v>
      </c>
      <c r="U165" s="84">
        <f t="shared" si="122"/>
        <v>0.34724999999999995</v>
      </c>
      <c r="V165" s="84">
        <f t="shared" si="122"/>
        <v>0.34013999999999994</v>
      </c>
      <c r="W165" s="84">
        <f t="shared" si="122"/>
        <v>0.33302999999999994</v>
      </c>
      <c r="X165" s="84">
        <f t="shared" si="122"/>
        <v>0.32591999999999993</v>
      </c>
      <c r="Y165" s="84">
        <f t="shared" si="122"/>
        <v>0.31880999999999993</v>
      </c>
      <c r="Z165" s="84">
        <f t="shared" si="122"/>
        <v>0.31169999999999992</v>
      </c>
      <c r="AA165" s="84">
        <f t="shared" si="122"/>
        <v>0.30458999999999992</v>
      </c>
      <c r="AB165" s="84">
        <f t="shared" si="122"/>
        <v>0.29747999999999991</v>
      </c>
      <c r="AC165" s="84">
        <f t="shared" si="122"/>
        <v>0.29036999999999991</v>
      </c>
    </row>
    <row r="166" spans="1:29" x14ac:dyDescent="0.25">
      <c r="A166" s="86" t="s">
        <v>28</v>
      </c>
      <c r="B166" s="54" t="s">
        <v>4</v>
      </c>
      <c r="C166" s="54"/>
      <c r="D166" s="60">
        <v>1629.99</v>
      </c>
      <c r="E166" s="84">
        <f t="shared" si="109"/>
        <v>1629.99</v>
      </c>
      <c r="F166" s="60">
        <v>1629.99</v>
      </c>
      <c r="G166" s="84">
        <f t="shared" si="110"/>
        <v>1629.99</v>
      </c>
      <c r="H166" s="60">
        <v>1629.99</v>
      </c>
      <c r="I166" s="84">
        <f t="shared" si="111"/>
        <v>869.76</v>
      </c>
      <c r="J166" s="60">
        <v>109.53</v>
      </c>
      <c r="K166" s="84">
        <f t="shared" si="112"/>
        <v>2240.5724999999998</v>
      </c>
      <c r="L166" s="60">
        <v>4371.6149999999998</v>
      </c>
      <c r="M166" s="60">
        <v>236.75</v>
      </c>
      <c r="N166" s="60">
        <v>236.75</v>
      </c>
      <c r="O166" s="60">
        <v>431.1</v>
      </c>
      <c r="P166" s="60">
        <v>431.1</v>
      </c>
      <c r="Q166" s="84">
        <f t="shared" si="113"/>
        <v>431.10049000000004</v>
      </c>
      <c r="R166" s="84">
        <f t="shared" si="113"/>
        <v>431.10098000000005</v>
      </c>
      <c r="S166" s="84">
        <f t="shared" si="113"/>
        <v>431.10147000000006</v>
      </c>
      <c r="T166" s="84">
        <f t="shared" ref="T166:AC166" si="123">+S166-(0.711/100)</f>
        <v>431.09436000000005</v>
      </c>
      <c r="U166" s="84">
        <f t="shared" si="123"/>
        <v>431.08725000000004</v>
      </c>
      <c r="V166" s="84">
        <f t="shared" si="123"/>
        <v>431.08014000000003</v>
      </c>
      <c r="W166" s="84">
        <f t="shared" si="123"/>
        <v>431.07303000000002</v>
      </c>
      <c r="X166" s="84">
        <f t="shared" si="123"/>
        <v>431.06592000000001</v>
      </c>
      <c r="Y166" s="84">
        <f t="shared" si="123"/>
        <v>431.05880999999999</v>
      </c>
      <c r="Z166" s="84">
        <f t="shared" si="123"/>
        <v>431.05169999999998</v>
      </c>
      <c r="AA166" s="84">
        <f t="shared" si="123"/>
        <v>431.04458999999997</v>
      </c>
      <c r="AB166" s="84">
        <f t="shared" si="123"/>
        <v>431.03747999999996</v>
      </c>
      <c r="AC166" s="84">
        <f t="shared" si="123"/>
        <v>431.03036999999995</v>
      </c>
    </row>
    <row r="167" spans="1:29" x14ac:dyDescent="0.25">
      <c r="A167" s="56" t="s">
        <v>19</v>
      </c>
      <c r="B167" s="54" t="s">
        <v>4</v>
      </c>
      <c r="C167" s="54"/>
      <c r="D167" s="60">
        <v>66529.460000000006</v>
      </c>
      <c r="E167" s="84">
        <f t="shared" si="109"/>
        <v>66529.460000000006</v>
      </c>
      <c r="F167" s="60">
        <v>66529.460000000006</v>
      </c>
      <c r="G167" s="84">
        <f t="shared" si="110"/>
        <v>66529.460000000006</v>
      </c>
      <c r="H167" s="60">
        <v>66529.460000000006</v>
      </c>
      <c r="I167" s="84">
        <f t="shared" si="111"/>
        <v>44241.83</v>
      </c>
      <c r="J167" s="60">
        <v>21954.2</v>
      </c>
      <c r="K167" s="84">
        <f t="shared" si="112"/>
        <v>19003.055</v>
      </c>
      <c r="L167" s="60">
        <v>16051.91</v>
      </c>
      <c r="M167" s="60">
        <v>3245.4</v>
      </c>
      <c r="N167" s="60">
        <v>3245.4</v>
      </c>
      <c r="O167" s="60">
        <v>10864.71</v>
      </c>
      <c r="P167" s="60">
        <v>10864.71</v>
      </c>
      <c r="Q167" s="84">
        <f t="shared" si="113"/>
        <v>10864.710489999999</v>
      </c>
      <c r="R167" s="84">
        <f t="shared" si="113"/>
        <v>10864.71098</v>
      </c>
      <c r="S167" s="84">
        <f t="shared" si="113"/>
        <v>10864.71147</v>
      </c>
      <c r="T167" s="84">
        <f t="shared" ref="T167:AC167" si="124">+S167-(0.711/100)</f>
        <v>10864.70436</v>
      </c>
      <c r="U167" s="84">
        <f t="shared" si="124"/>
        <v>10864.697249999999</v>
      </c>
      <c r="V167" s="84">
        <f t="shared" si="124"/>
        <v>10864.690139999999</v>
      </c>
      <c r="W167" s="84">
        <f t="shared" si="124"/>
        <v>10864.683029999998</v>
      </c>
      <c r="X167" s="84">
        <f t="shared" si="124"/>
        <v>10864.675919999998</v>
      </c>
      <c r="Y167" s="84">
        <f t="shared" si="124"/>
        <v>10864.668809999997</v>
      </c>
      <c r="Z167" s="84">
        <f t="shared" si="124"/>
        <v>10864.661699999997</v>
      </c>
      <c r="AA167" s="84">
        <f t="shared" si="124"/>
        <v>10864.654589999996</v>
      </c>
      <c r="AB167" s="84">
        <f t="shared" si="124"/>
        <v>10864.647479999996</v>
      </c>
      <c r="AC167" s="84">
        <f t="shared" si="124"/>
        <v>10864.640369999996</v>
      </c>
    </row>
    <row r="168" spans="1:29" x14ac:dyDescent="0.25">
      <c r="A168" s="56" t="s">
        <v>5</v>
      </c>
      <c r="B168" s="54" t="s">
        <v>4</v>
      </c>
      <c r="C168" s="54"/>
      <c r="D168" s="60">
        <v>12.48</v>
      </c>
      <c r="E168" s="84">
        <f t="shared" si="109"/>
        <v>12.48</v>
      </c>
      <c r="F168" s="60">
        <v>12.48</v>
      </c>
      <c r="G168" s="84">
        <f t="shared" si="110"/>
        <v>12.48</v>
      </c>
      <c r="H168" s="60">
        <v>12.48</v>
      </c>
      <c r="I168" s="84">
        <f t="shared" si="111"/>
        <v>1375.4549999999999</v>
      </c>
      <c r="J168" s="60">
        <v>2738.43</v>
      </c>
      <c r="K168" s="84">
        <f t="shared" si="112"/>
        <v>1722.3525</v>
      </c>
      <c r="L168" s="60">
        <v>706.27499999999998</v>
      </c>
      <c r="M168" s="60">
        <v>104.13</v>
      </c>
      <c r="N168" s="60">
        <v>104.13</v>
      </c>
      <c r="O168" s="60">
        <v>2137.0100000000002</v>
      </c>
      <c r="P168" s="60">
        <v>2137.0100000000002</v>
      </c>
      <c r="Q168" s="84">
        <f t="shared" si="113"/>
        <v>2137.0104900000001</v>
      </c>
      <c r="R168" s="84">
        <f t="shared" si="113"/>
        <v>2137.01098</v>
      </c>
      <c r="S168" s="84">
        <f t="shared" si="113"/>
        <v>2137.0114699999999</v>
      </c>
      <c r="T168" s="84">
        <f t="shared" ref="T168:AC168" si="125">+S168-(0.711/100)</f>
        <v>2137.0043599999999</v>
      </c>
      <c r="U168" s="84">
        <f t="shared" si="125"/>
        <v>2136.9972499999999</v>
      </c>
      <c r="V168" s="84">
        <f t="shared" si="125"/>
        <v>2136.9901399999999</v>
      </c>
      <c r="W168" s="84">
        <f t="shared" si="125"/>
        <v>2136.9830299999999</v>
      </c>
      <c r="X168" s="84">
        <f t="shared" si="125"/>
        <v>2136.9759199999999</v>
      </c>
      <c r="Y168" s="84">
        <f t="shared" si="125"/>
        <v>2136.9688099999998</v>
      </c>
      <c r="Z168" s="84">
        <f t="shared" si="125"/>
        <v>2136.9616999999998</v>
      </c>
      <c r="AA168" s="84">
        <f t="shared" si="125"/>
        <v>2136.9545899999998</v>
      </c>
      <c r="AB168" s="84">
        <f t="shared" si="125"/>
        <v>2136.9474799999998</v>
      </c>
      <c r="AC168" s="84">
        <f t="shared" si="125"/>
        <v>2136.9403699999998</v>
      </c>
    </row>
    <row r="169" spans="1:29" x14ac:dyDescent="0.25">
      <c r="A169" s="56" t="s">
        <v>29</v>
      </c>
      <c r="B169" s="54" t="s">
        <v>4</v>
      </c>
      <c r="C169" s="54"/>
      <c r="D169" s="60">
        <v>3687.21</v>
      </c>
      <c r="E169" s="84">
        <f t="shared" si="109"/>
        <v>3687.21</v>
      </c>
      <c r="F169" s="60">
        <v>3687.21</v>
      </c>
      <c r="G169" s="84">
        <f t="shared" si="110"/>
        <v>3687.21</v>
      </c>
      <c r="H169" s="60">
        <v>3687.21</v>
      </c>
      <c r="I169" s="84">
        <f t="shared" si="111"/>
        <v>4063.3449999999998</v>
      </c>
      <c r="J169" s="60">
        <v>4439.4799999999996</v>
      </c>
      <c r="K169" s="84">
        <f t="shared" si="112"/>
        <v>3868.1124999999997</v>
      </c>
      <c r="L169" s="60">
        <v>3296.7449999999999</v>
      </c>
      <c r="M169" s="60">
        <v>370.94</v>
      </c>
      <c r="N169" s="60">
        <v>370.94</v>
      </c>
      <c r="O169" s="60">
        <v>2590.52</v>
      </c>
      <c r="P169" s="60">
        <v>2590.52</v>
      </c>
      <c r="Q169" s="84">
        <f t="shared" si="113"/>
        <v>2590.5204899999999</v>
      </c>
      <c r="R169" s="84">
        <f t="shared" si="113"/>
        <v>2590.5209799999998</v>
      </c>
      <c r="S169" s="84">
        <f t="shared" si="113"/>
        <v>2590.5214699999997</v>
      </c>
      <c r="T169" s="84">
        <f t="shared" ref="T169:AC169" si="126">+S169-(0.711/100)</f>
        <v>2590.5143599999997</v>
      </c>
      <c r="U169" s="84">
        <f t="shared" si="126"/>
        <v>2590.5072499999997</v>
      </c>
      <c r="V169" s="84">
        <f t="shared" si="126"/>
        <v>2590.5001399999996</v>
      </c>
      <c r="W169" s="84">
        <f t="shared" si="126"/>
        <v>2590.4930299999996</v>
      </c>
      <c r="X169" s="84">
        <f t="shared" si="126"/>
        <v>2590.4859199999996</v>
      </c>
      <c r="Y169" s="84">
        <f t="shared" si="126"/>
        <v>2590.4788099999996</v>
      </c>
      <c r="Z169" s="84">
        <f t="shared" si="126"/>
        <v>2590.4716999999996</v>
      </c>
      <c r="AA169" s="84">
        <f t="shared" si="126"/>
        <v>2590.4645899999996</v>
      </c>
      <c r="AB169" s="84">
        <f t="shared" si="126"/>
        <v>2590.4574799999996</v>
      </c>
      <c r="AC169" s="84">
        <f t="shared" si="126"/>
        <v>2590.4503699999996</v>
      </c>
    </row>
    <row r="170" spans="1:29" x14ac:dyDescent="0.25">
      <c r="E170" s="84"/>
      <c r="G170" s="84"/>
      <c r="I170" s="84"/>
      <c r="K170" s="84"/>
      <c r="Q170" s="84"/>
      <c r="T170" s="84">
        <f t="shared" ref="T170:AC170" si="127">+S170-(0.711/100)</f>
        <v>-7.11E-3</v>
      </c>
      <c r="U170" s="84">
        <f t="shared" si="127"/>
        <v>-1.422E-2</v>
      </c>
      <c r="V170" s="84">
        <f t="shared" si="127"/>
        <v>-2.1330000000000002E-2</v>
      </c>
      <c r="W170" s="84">
        <f t="shared" si="127"/>
        <v>-2.844E-2</v>
      </c>
      <c r="X170" s="84">
        <f t="shared" si="127"/>
        <v>-3.5549999999999998E-2</v>
      </c>
      <c r="Y170" s="84">
        <f t="shared" si="127"/>
        <v>-4.2659999999999997E-2</v>
      </c>
      <c r="Z170" s="84">
        <f t="shared" si="127"/>
        <v>-4.9769999999999995E-2</v>
      </c>
      <c r="AA170" s="84">
        <f t="shared" si="127"/>
        <v>-5.6879999999999993E-2</v>
      </c>
      <c r="AB170" s="84">
        <f t="shared" si="127"/>
        <v>-6.3989999999999991E-2</v>
      </c>
      <c r="AC170" s="84">
        <f t="shared" si="127"/>
        <v>-7.1099999999999997E-2</v>
      </c>
    </row>
    <row r="171" spans="1:29" x14ac:dyDescent="0.25">
      <c r="A171" s="86" t="s">
        <v>18</v>
      </c>
      <c r="B171" s="54" t="s">
        <v>5</v>
      </c>
      <c r="C171" s="54"/>
      <c r="D171" s="60">
        <v>0</v>
      </c>
      <c r="E171" s="84">
        <f t="shared" ref="E171:E183" si="128">+(D171+F171)/2</f>
        <v>0</v>
      </c>
      <c r="F171" s="60">
        <v>0</v>
      </c>
      <c r="G171" s="84">
        <f t="shared" ref="G171:G183" si="129">+(F171+H171)/2</f>
        <v>0</v>
      </c>
      <c r="H171" s="60">
        <v>0</v>
      </c>
      <c r="I171" s="84">
        <f t="shared" ref="I171:I183" si="130">+(H171+J171)/2</f>
        <v>0</v>
      </c>
      <c r="J171" s="60">
        <v>0</v>
      </c>
      <c r="K171" s="84">
        <f t="shared" ref="K171:K183" si="131">+(J171+L171)/2</f>
        <v>0</v>
      </c>
      <c r="L171" s="60">
        <v>0</v>
      </c>
      <c r="M171" s="60">
        <v>57.06</v>
      </c>
      <c r="N171" s="60">
        <v>57.06</v>
      </c>
      <c r="O171" s="60">
        <v>9.1349999999999998</v>
      </c>
      <c r="P171" s="60">
        <v>9.1349999999999998</v>
      </c>
      <c r="Q171" s="85">
        <f t="shared" ref="Q171:S183" si="132">+P171+(0.049/100)</f>
        <v>9.135489999999999</v>
      </c>
      <c r="R171" s="85">
        <f t="shared" si="132"/>
        <v>9.1359799999999982</v>
      </c>
      <c r="S171" s="85">
        <f t="shared" si="132"/>
        <v>9.1364699999999974</v>
      </c>
      <c r="T171" s="84">
        <f t="shared" ref="T171:AC171" si="133">+S171-(0.711/100)</f>
        <v>9.1293599999999966</v>
      </c>
      <c r="U171" s="84">
        <f t="shared" si="133"/>
        <v>9.1222499999999958</v>
      </c>
      <c r="V171" s="84">
        <f t="shared" si="133"/>
        <v>9.1151399999999949</v>
      </c>
      <c r="W171" s="84">
        <f t="shared" si="133"/>
        <v>9.1080299999999941</v>
      </c>
      <c r="X171" s="84">
        <f t="shared" si="133"/>
        <v>9.1009199999999932</v>
      </c>
      <c r="Y171" s="84">
        <f t="shared" si="133"/>
        <v>9.0938099999999924</v>
      </c>
      <c r="Z171" s="84">
        <f t="shared" si="133"/>
        <v>9.0866999999999916</v>
      </c>
      <c r="AA171" s="84">
        <f t="shared" si="133"/>
        <v>9.0795899999999907</v>
      </c>
      <c r="AB171" s="84">
        <f t="shared" si="133"/>
        <v>9.0724799999999899</v>
      </c>
      <c r="AC171" s="84">
        <f t="shared" si="133"/>
        <v>9.065369999999989</v>
      </c>
    </row>
    <row r="172" spans="1:29" x14ac:dyDescent="0.25">
      <c r="A172" s="86" t="s">
        <v>20</v>
      </c>
      <c r="B172" s="54" t="s">
        <v>5</v>
      </c>
      <c r="C172" s="54"/>
      <c r="D172" s="60">
        <v>185.4</v>
      </c>
      <c r="E172" s="84">
        <f t="shared" si="128"/>
        <v>185.4</v>
      </c>
      <c r="F172" s="60">
        <v>185.4</v>
      </c>
      <c r="G172" s="84">
        <f t="shared" si="129"/>
        <v>185.4</v>
      </c>
      <c r="H172" s="60">
        <v>185.4</v>
      </c>
      <c r="I172" s="84">
        <f t="shared" si="130"/>
        <v>190.50749999999999</v>
      </c>
      <c r="J172" s="60">
        <v>195.61499999999998</v>
      </c>
      <c r="K172" s="84">
        <f t="shared" si="131"/>
        <v>133.49250000000001</v>
      </c>
      <c r="L172" s="60">
        <v>71.37</v>
      </c>
      <c r="M172" s="60">
        <v>97.2</v>
      </c>
      <c r="N172" s="60">
        <v>97.2</v>
      </c>
      <c r="O172" s="60">
        <v>20.34</v>
      </c>
      <c r="P172" s="60">
        <v>20.34</v>
      </c>
      <c r="Q172" s="85">
        <f t="shared" si="132"/>
        <v>20.340489999999999</v>
      </c>
      <c r="R172" s="85">
        <f t="shared" si="132"/>
        <v>20.340979999999998</v>
      </c>
      <c r="S172" s="85">
        <f t="shared" si="132"/>
        <v>20.341469999999997</v>
      </c>
      <c r="T172" s="84">
        <f t="shared" ref="T172:AC172" si="134">+S172-(0.711/100)</f>
        <v>20.334359999999997</v>
      </c>
      <c r="U172" s="84">
        <f t="shared" si="134"/>
        <v>20.327249999999996</v>
      </c>
      <c r="V172" s="84">
        <f t="shared" si="134"/>
        <v>20.320139999999995</v>
      </c>
      <c r="W172" s="84">
        <f t="shared" si="134"/>
        <v>20.313029999999994</v>
      </c>
      <c r="X172" s="84">
        <f t="shared" si="134"/>
        <v>20.305919999999993</v>
      </c>
      <c r="Y172" s="84">
        <f t="shared" si="134"/>
        <v>20.298809999999992</v>
      </c>
      <c r="Z172" s="84">
        <f t="shared" si="134"/>
        <v>20.291699999999992</v>
      </c>
      <c r="AA172" s="84">
        <f t="shared" si="134"/>
        <v>20.284589999999991</v>
      </c>
      <c r="AB172" s="84">
        <f t="shared" si="134"/>
        <v>20.27747999999999</v>
      </c>
      <c r="AC172" s="84">
        <f t="shared" si="134"/>
        <v>20.270369999999989</v>
      </c>
    </row>
    <row r="173" spans="1:29" x14ac:dyDescent="0.25">
      <c r="A173" s="86" t="s">
        <v>21</v>
      </c>
      <c r="B173" s="54" t="s">
        <v>5</v>
      </c>
      <c r="C173" s="54"/>
      <c r="D173" s="60">
        <v>0</v>
      </c>
      <c r="E173" s="84">
        <f t="shared" si="128"/>
        <v>0</v>
      </c>
      <c r="F173" s="60">
        <v>0</v>
      </c>
      <c r="G173" s="84">
        <f t="shared" si="129"/>
        <v>0</v>
      </c>
      <c r="H173" s="60">
        <v>0</v>
      </c>
      <c r="I173" s="84">
        <f t="shared" si="130"/>
        <v>0</v>
      </c>
      <c r="J173" s="60">
        <v>0</v>
      </c>
      <c r="K173" s="84">
        <f t="shared" si="131"/>
        <v>0.5625</v>
      </c>
      <c r="L173" s="60">
        <v>1.125</v>
      </c>
      <c r="M173" s="60">
        <v>731.3</v>
      </c>
      <c r="N173" s="60">
        <v>731.3</v>
      </c>
      <c r="O173" s="60">
        <v>460.125</v>
      </c>
      <c r="P173" s="60">
        <v>460.125</v>
      </c>
      <c r="Q173" s="85">
        <f t="shared" si="132"/>
        <v>460.12549000000001</v>
      </c>
      <c r="R173" s="85">
        <f t="shared" si="132"/>
        <v>460.12598000000003</v>
      </c>
      <c r="S173" s="85">
        <f t="shared" si="132"/>
        <v>460.12647000000004</v>
      </c>
      <c r="T173" s="84">
        <f t="shared" ref="T173:AC173" si="135">+S173-(0.711/100)</f>
        <v>460.11936000000003</v>
      </c>
      <c r="U173" s="84">
        <f t="shared" si="135"/>
        <v>460.11225000000002</v>
      </c>
      <c r="V173" s="84">
        <f t="shared" si="135"/>
        <v>460.10514000000001</v>
      </c>
      <c r="W173" s="84">
        <f t="shared" si="135"/>
        <v>460.09802999999999</v>
      </c>
      <c r="X173" s="84">
        <f t="shared" si="135"/>
        <v>460.09091999999998</v>
      </c>
      <c r="Y173" s="84">
        <f t="shared" si="135"/>
        <v>460.08380999999997</v>
      </c>
      <c r="Z173" s="84">
        <f t="shared" si="135"/>
        <v>460.07669999999996</v>
      </c>
      <c r="AA173" s="84">
        <f t="shared" si="135"/>
        <v>460.06958999999995</v>
      </c>
      <c r="AB173" s="84">
        <f t="shared" si="135"/>
        <v>460.06247999999994</v>
      </c>
      <c r="AC173" s="84">
        <f t="shared" si="135"/>
        <v>460.05536999999993</v>
      </c>
    </row>
    <row r="174" spans="1:29" x14ac:dyDescent="0.25">
      <c r="A174" s="86" t="s">
        <v>22</v>
      </c>
      <c r="B174" s="54" t="s">
        <v>5</v>
      </c>
      <c r="C174" s="54"/>
      <c r="D174" s="60">
        <v>0</v>
      </c>
      <c r="E174" s="84">
        <f t="shared" si="128"/>
        <v>0</v>
      </c>
      <c r="F174" s="60">
        <v>0</v>
      </c>
      <c r="G174" s="84">
        <f t="shared" si="129"/>
        <v>0</v>
      </c>
      <c r="H174" s="60">
        <v>0</v>
      </c>
      <c r="I174" s="84">
        <f t="shared" si="130"/>
        <v>0</v>
      </c>
      <c r="J174" s="60">
        <v>0</v>
      </c>
      <c r="K174" s="84">
        <f t="shared" si="131"/>
        <v>2.2949999999999999</v>
      </c>
      <c r="L174" s="60">
        <v>4.59</v>
      </c>
      <c r="M174" s="60">
        <v>237.2</v>
      </c>
      <c r="N174" s="60">
        <v>237.2</v>
      </c>
      <c r="O174" s="60">
        <v>950.44500000000005</v>
      </c>
      <c r="P174" s="60">
        <v>950.44500000000005</v>
      </c>
      <c r="Q174" s="85">
        <f t="shared" si="132"/>
        <v>950.44549000000006</v>
      </c>
      <c r="R174" s="85">
        <f t="shared" si="132"/>
        <v>950.44598000000008</v>
      </c>
      <c r="S174" s="85">
        <f t="shared" si="132"/>
        <v>950.44647000000009</v>
      </c>
      <c r="T174" s="84">
        <f t="shared" ref="T174:AC174" si="136">+S174-(0.711/100)</f>
        <v>950.43936000000008</v>
      </c>
      <c r="U174" s="84">
        <f t="shared" si="136"/>
        <v>950.43225000000007</v>
      </c>
      <c r="V174" s="84">
        <f t="shared" si="136"/>
        <v>950.42514000000006</v>
      </c>
      <c r="W174" s="84">
        <f t="shared" si="136"/>
        <v>950.41803000000004</v>
      </c>
      <c r="X174" s="84">
        <f t="shared" si="136"/>
        <v>950.41092000000003</v>
      </c>
      <c r="Y174" s="84">
        <f t="shared" si="136"/>
        <v>950.40381000000002</v>
      </c>
      <c r="Z174" s="84">
        <f t="shared" si="136"/>
        <v>950.39670000000001</v>
      </c>
      <c r="AA174" s="84">
        <f t="shared" si="136"/>
        <v>950.38959</v>
      </c>
      <c r="AB174" s="84">
        <f t="shared" si="136"/>
        <v>950.38247999999999</v>
      </c>
      <c r="AC174" s="84">
        <f t="shared" si="136"/>
        <v>950.37536999999998</v>
      </c>
    </row>
    <row r="175" spans="1:29" x14ac:dyDescent="0.25">
      <c r="A175" s="86" t="s">
        <v>23</v>
      </c>
      <c r="B175" s="54" t="s">
        <v>5</v>
      </c>
      <c r="C175" s="54"/>
      <c r="D175" s="60">
        <v>0</v>
      </c>
      <c r="E175" s="84">
        <f t="shared" si="128"/>
        <v>0</v>
      </c>
      <c r="F175" s="60">
        <v>0</v>
      </c>
      <c r="G175" s="84">
        <f t="shared" si="129"/>
        <v>0</v>
      </c>
      <c r="H175" s="60">
        <v>0</v>
      </c>
      <c r="I175" s="84">
        <f t="shared" si="130"/>
        <v>0</v>
      </c>
      <c r="J175" s="60">
        <v>0</v>
      </c>
      <c r="K175" s="84">
        <f t="shared" si="131"/>
        <v>0</v>
      </c>
      <c r="L175" s="60">
        <v>0</v>
      </c>
      <c r="M175" s="60">
        <v>54.77</v>
      </c>
      <c r="N175" s="60">
        <v>54.77</v>
      </c>
      <c r="O175" s="60">
        <v>25.56</v>
      </c>
      <c r="P175" s="60">
        <v>25.56</v>
      </c>
      <c r="Q175" s="85">
        <f t="shared" si="132"/>
        <v>25.560489999999998</v>
      </c>
      <c r="R175" s="85">
        <f t="shared" si="132"/>
        <v>25.560979999999997</v>
      </c>
      <c r="S175" s="85">
        <f t="shared" si="132"/>
        <v>25.561469999999996</v>
      </c>
      <c r="T175" s="84">
        <f t="shared" ref="T175:AC175" si="137">+S175-(0.711/100)</f>
        <v>25.554359999999996</v>
      </c>
      <c r="U175" s="84">
        <f t="shared" si="137"/>
        <v>25.547249999999995</v>
      </c>
      <c r="V175" s="84">
        <f t="shared" si="137"/>
        <v>25.540139999999994</v>
      </c>
      <c r="W175" s="84">
        <f t="shared" si="137"/>
        <v>25.533029999999993</v>
      </c>
      <c r="X175" s="84">
        <f t="shared" si="137"/>
        <v>25.525919999999992</v>
      </c>
      <c r="Y175" s="84">
        <f t="shared" si="137"/>
        <v>25.518809999999991</v>
      </c>
      <c r="Z175" s="84">
        <f t="shared" si="137"/>
        <v>25.51169999999999</v>
      </c>
      <c r="AA175" s="84">
        <f t="shared" si="137"/>
        <v>25.50458999999999</v>
      </c>
      <c r="AB175" s="84">
        <f t="shared" si="137"/>
        <v>25.497479999999989</v>
      </c>
      <c r="AC175" s="84">
        <f t="shared" si="137"/>
        <v>25.490369999999988</v>
      </c>
    </row>
    <row r="176" spans="1:29" ht="22.5" x14ac:dyDescent="0.25">
      <c r="A176" s="86" t="s">
        <v>24</v>
      </c>
      <c r="B176" s="54" t="s">
        <v>5</v>
      </c>
      <c r="C176" s="54"/>
      <c r="D176" s="60">
        <v>0</v>
      </c>
      <c r="E176" s="84">
        <f t="shared" si="128"/>
        <v>0</v>
      </c>
      <c r="F176" s="60">
        <v>0</v>
      </c>
      <c r="G176" s="84">
        <f t="shared" si="129"/>
        <v>0</v>
      </c>
      <c r="H176" s="60">
        <v>0</v>
      </c>
      <c r="I176" s="84">
        <f t="shared" si="130"/>
        <v>0</v>
      </c>
      <c r="J176" s="60">
        <v>0</v>
      </c>
      <c r="K176" s="84">
        <f t="shared" si="131"/>
        <v>0</v>
      </c>
      <c r="L176" s="60">
        <v>0</v>
      </c>
      <c r="M176" s="60">
        <v>3041.91</v>
      </c>
      <c r="N176" s="60">
        <v>3041.91</v>
      </c>
      <c r="O176" s="60">
        <v>5179.95</v>
      </c>
      <c r="P176" s="60">
        <v>5179.95</v>
      </c>
      <c r="Q176" s="85">
        <f t="shared" si="132"/>
        <v>5179.9504900000002</v>
      </c>
      <c r="R176" s="85">
        <f t="shared" si="132"/>
        <v>5179.9509800000005</v>
      </c>
      <c r="S176" s="85">
        <f t="shared" si="132"/>
        <v>5179.9514700000009</v>
      </c>
      <c r="T176" s="84">
        <f t="shared" ref="T176:AC176" si="138">+S176-(0.711/100)</f>
        <v>5179.9443600000013</v>
      </c>
      <c r="U176" s="84">
        <f t="shared" si="138"/>
        <v>5179.9372500000018</v>
      </c>
      <c r="V176" s="84">
        <f t="shared" si="138"/>
        <v>5179.9301400000022</v>
      </c>
      <c r="W176" s="84">
        <f t="shared" si="138"/>
        <v>5179.9230300000027</v>
      </c>
      <c r="X176" s="84">
        <f t="shared" si="138"/>
        <v>5179.9159200000031</v>
      </c>
      <c r="Y176" s="84">
        <f t="shared" si="138"/>
        <v>5179.9088100000035</v>
      </c>
      <c r="Z176" s="84">
        <f t="shared" si="138"/>
        <v>5179.901700000004</v>
      </c>
      <c r="AA176" s="84">
        <f t="shared" si="138"/>
        <v>5179.8945900000044</v>
      </c>
      <c r="AB176" s="84">
        <f t="shared" si="138"/>
        <v>5179.8874800000049</v>
      </c>
      <c r="AC176" s="84">
        <f t="shared" si="138"/>
        <v>5179.8803700000053</v>
      </c>
    </row>
    <row r="177" spans="1:29" x14ac:dyDescent="0.25">
      <c r="A177" s="86" t="s">
        <v>25</v>
      </c>
      <c r="B177" s="54" t="s">
        <v>5</v>
      </c>
      <c r="C177" s="54"/>
      <c r="D177" s="60">
        <v>23.204999999999998</v>
      </c>
      <c r="E177" s="84">
        <f t="shared" si="128"/>
        <v>23.204999999999998</v>
      </c>
      <c r="F177" s="60">
        <v>23.204999999999998</v>
      </c>
      <c r="G177" s="84">
        <f t="shared" si="129"/>
        <v>23.204999999999998</v>
      </c>
      <c r="H177" s="60">
        <v>23.204999999999998</v>
      </c>
      <c r="I177" s="84">
        <f t="shared" si="130"/>
        <v>53.52000000000001</v>
      </c>
      <c r="J177" s="60">
        <v>83.835000000000022</v>
      </c>
      <c r="K177" s="84">
        <f t="shared" si="131"/>
        <v>61.627500000000012</v>
      </c>
      <c r="L177" s="60">
        <v>39.42</v>
      </c>
      <c r="M177" s="60">
        <v>17.149999999999999</v>
      </c>
      <c r="N177" s="60">
        <v>17.149999999999999</v>
      </c>
      <c r="O177" s="60">
        <v>69.3</v>
      </c>
      <c r="P177" s="60">
        <v>69.3</v>
      </c>
      <c r="Q177" s="85">
        <f t="shared" si="132"/>
        <v>69.300489999999996</v>
      </c>
      <c r="R177" s="85">
        <f t="shared" si="132"/>
        <v>69.300979999999996</v>
      </c>
      <c r="S177" s="85">
        <f t="shared" si="132"/>
        <v>69.301469999999995</v>
      </c>
      <c r="T177" s="84">
        <f t="shared" ref="T177:AC177" si="139">+S177-(0.711/100)</f>
        <v>69.294359999999998</v>
      </c>
      <c r="U177" s="84">
        <f t="shared" si="139"/>
        <v>69.28725</v>
      </c>
      <c r="V177" s="84">
        <f t="shared" si="139"/>
        <v>69.280140000000003</v>
      </c>
      <c r="W177" s="84">
        <f t="shared" si="139"/>
        <v>69.273030000000006</v>
      </c>
      <c r="X177" s="84">
        <f t="shared" si="139"/>
        <v>69.265920000000008</v>
      </c>
      <c r="Y177" s="84">
        <f t="shared" si="139"/>
        <v>69.258810000000011</v>
      </c>
      <c r="Z177" s="84">
        <f t="shared" si="139"/>
        <v>69.251700000000014</v>
      </c>
      <c r="AA177" s="84">
        <f t="shared" si="139"/>
        <v>69.244590000000017</v>
      </c>
      <c r="AB177" s="84">
        <f t="shared" si="139"/>
        <v>69.237480000000019</v>
      </c>
      <c r="AC177" s="84">
        <f t="shared" si="139"/>
        <v>69.230370000000022</v>
      </c>
    </row>
    <row r="178" spans="1:29" x14ac:dyDescent="0.25">
      <c r="A178" s="86" t="s">
        <v>26</v>
      </c>
      <c r="B178" s="54" t="s">
        <v>5</v>
      </c>
      <c r="C178" s="54"/>
      <c r="D178" s="60">
        <v>709.14</v>
      </c>
      <c r="E178" s="84">
        <f t="shared" si="128"/>
        <v>709.14</v>
      </c>
      <c r="F178" s="60">
        <v>709.14</v>
      </c>
      <c r="G178" s="84">
        <f t="shared" si="129"/>
        <v>709.14</v>
      </c>
      <c r="H178" s="60">
        <v>709.14</v>
      </c>
      <c r="I178" s="84">
        <f t="shared" si="130"/>
        <v>809.33999999999992</v>
      </c>
      <c r="J178" s="60">
        <v>909.54</v>
      </c>
      <c r="K178" s="84">
        <f t="shared" si="131"/>
        <v>947.43000000000006</v>
      </c>
      <c r="L178" s="60">
        <v>985.32</v>
      </c>
      <c r="M178" s="60">
        <v>719.15</v>
      </c>
      <c r="N178" s="60">
        <v>719.15</v>
      </c>
      <c r="O178" s="60">
        <v>48.15</v>
      </c>
      <c r="P178" s="60">
        <v>48.15</v>
      </c>
      <c r="Q178" s="85">
        <f t="shared" si="132"/>
        <v>48.150489999999998</v>
      </c>
      <c r="R178" s="85">
        <f t="shared" si="132"/>
        <v>48.150979999999997</v>
      </c>
      <c r="S178" s="85">
        <f t="shared" si="132"/>
        <v>48.151469999999996</v>
      </c>
      <c r="T178" s="84">
        <f t="shared" ref="T178:AC178" si="140">+S178-(0.711/100)</f>
        <v>48.144359999999999</v>
      </c>
      <c r="U178" s="84">
        <f t="shared" si="140"/>
        <v>48.137250000000002</v>
      </c>
      <c r="V178" s="84">
        <f t="shared" si="140"/>
        <v>48.130140000000004</v>
      </c>
      <c r="W178" s="84">
        <f t="shared" si="140"/>
        <v>48.123030000000007</v>
      </c>
      <c r="X178" s="84">
        <f t="shared" si="140"/>
        <v>48.11592000000001</v>
      </c>
      <c r="Y178" s="84">
        <f t="shared" si="140"/>
        <v>48.108810000000013</v>
      </c>
      <c r="Z178" s="84">
        <f t="shared" si="140"/>
        <v>48.101700000000015</v>
      </c>
      <c r="AA178" s="84">
        <f t="shared" si="140"/>
        <v>48.094590000000018</v>
      </c>
      <c r="AB178" s="84">
        <f t="shared" si="140"/>
        <v>48.087480000000021</v>
      </c>
      <c r="AC178" s="84">
        <f t="shared" si="140"/>
        <v>48.080370000000023</v>
      </c>
    </row>
    <row r="179" spans="1:29" x14ac:dyDescent="0.25">
      <c r="A179" s="86" t="s">
        <v>27</v>
      </c>
      <c r="B179" s="54" t="s">
        <v>5</v>
      </c>
      <c r="C179" s="54"/>
      <c r="D179" s="60">
        <v>0</v>
      </c>
      <c r="E179" s="84">
        <f t="shared" si="128"/>
        <v>0</v>
      </c>
      <c r="F179" s="60">
        <v>0</v>
      </c>
      <c r="G179" s="84">
        <f t="shared" si="129"/>
        <v>0</v>
      </c>
      <c r="H179" s="60">
        <v>0</v>
      </c>
      <c r="I179" s="84">
        <f t="shared" si="130"/>
        <v>0</v>
      </c>
      <c r="J179" s="60">
        <v>0</v>
      </c>
      <c r="K179" s="84">
        <f t="shared" si="131"/>
        <v>0</v>
      </c>
      <c r="L179" s="60">
        <v>0</v>
      </c>
      <c r="M179" s="60">
        <v>552.78</v>
      </c>
      <c r="N179" s="60">
        <v>552.78</v>
      </c>
      <c r="O179" s="60">
        <v>234.63</v>
      </c>
      <c r="P179" s="60">
        <v>234.63</v>
      </c>
      <c r="Q179" s="85">
        <f t="shared" si="132"/>
        <v>234.63049000000001</v>
      </c>
      <c r="R179" s="85">
        <f t="shared" si="132"/>
        <v>234.63098000000002</v>
      </c>
      <c r="S179" s="85">
        <f t="shared" si="132"/>
        <v>234.63147000000004</v>
      </c>
      <c r="T179" s="84">
        <f t="shared" ref="T179:AC179" si="141">+S179-(0.711/100)</f>
        <v>234.62436000000002</v>
      </c>
      <c r="U179" s="84">
        <f t="shared" si="141"/>
        <v>234.61725000000001</v>
      </c>
      <c r="V179" s="84">
        <f t="shared" si="141"/>
        <v>234.61014</v>
      </c>
      <c r="W179" s="84">
        <f t="shared" si="141"/>
        <v>234.60302999999999</v>
      </c>
      <c r="X179" s="84">
        <f t="shared" si="141"/>
        <v>234.59591999999998</v>
      </c>
      <c r="Y179" s="84">
        <f t="shared" si="141"/>
        <v>234.58880999999997</v>
      </c>
      <c r="Z179" s="84">
        <f t="shared" si="141"/>
        <v>234.58169999999996</v>
      </c>
      <c r="AA179" s="84">
        <f t="shared" si="141"/>
        <v>234.57458999999994</v>
      </c>
      <c r="AB179" s="84">
        <f t="shared" si="141"/>
        <v>234.56747999999993</v>
      </c>
      <c r="AC179" s="84">
        <f t="shared" si="141"/>
        <v>234.56036999999992</v>
      </c>
    </row>
    <row r="180" spans="1:29" x14ac:dyDescent="0.25">
      <c r="A180" s="86" t="s">
        <v>28</v>
      </c>
      <c r="B180" s="54" t="s">
        <v>5</v>
      </c>
      <c r="C180" s="54"/>
      <c r="D180" s="60">
        <v>0</v>
      </c>
      <c r="E180" s="84">
        <f t="shared" si="128"/>
        <v>0</v>
      </c>
      <c r="F180" s="60">
        <v>0</v>
      </c>
      <c r="G180" s="84">
        <f t="shared" si="129"/>
        <v>0</v>
      </c>
      <c r="H180" s="60">
        <v>0</v>
      </c>
      <c r="I180" s="84">
        <f t="shared" si="130"/>
        <v>54.81</v>
      </c>
      <c r="J180" s="60">
        <v>109.62</v>
      </c>
      <c r="K180" s="84">
        <f t="shared" si="131"/>
        <v>63.765000000000001</v>
      </c>
      <c r="L180" s="60">
        <v>17.91</v>
      </c>
      <c r="M180" s="60">
        <v>18.989999999999998</v>
      </c>
      <c r="N180" s="60">
        <v>18.989999999999998</v>
      </c>
      <c r="O180" s="60">
        <v>7.2</v>
      </c>
      <c r="P180" s="60">
        <v>7.2</v>
      </c>
      <c r="Q180" s="85">
        <f t="shared" si="132"/>
        <v>7.2004900000000003</v>
      </c>
      <c r="R180" s="85">
        <f t="shared" si="132"/>
        <v>7.2009800000000004</v>
      </c>
      <c r="S180" s="85">
        <f t="shared" si="132"/>
        <v>7.2014700000000005</v>
      </c>
      <c r="T180" s="84">
        <f t="shared" ref="T180:AC180" si="142">+S180-(0.711/100)</f>
        <v>7.1943600000000005</v>
      </c>
      <c r="U180" s="84">
        <f t="shared" si="142"/>
        <v>7.1872500000000006</v>
      </c>
      <c r="V180" s="84">
        <f t="shared" si="142"/>
        <v>7.1801400000000006</v>
      </c>
      <c r="W180" s="84">
        <f t="shared" si="142"/>
        <v>7.1730300000000007</v>
      </c>
      <c r="X180" s="84">
        <f t="shared" si="142"/>
        <v>7.1659200000000007</v>
      </c>
      <c r="Y180" s="84">
        <f t="shared" si="142"/>
        <v>7.1588100000000008</v>
      </c>
      <c r="Z180" s="84">
        <f t="shared" si="142"/>
        <v>7.1517000000000008</v>
      </c>
      <c r="AA180" s="84">
        <f t="shared" si="142"/>
        <v>7.1445900000000009</v>
      </c>
      <c r="AB180" s="84">
        <f t="shared" si="142"/>
        <v>7.1374800000000009</v>
      </c>
      <c r="AC180" s="84">
        <f t="shared" si="142"/>
        <v>7.130370000000001</v>
      </c>
    </row>
    <row r="181" spans="1:29" x14ac:dyDescent="0.25">
      <c r="A181" s="56" t="s">
        <v>19</v>
      </c>
      <c r="B181" s="54" t="s">
        <v>5</v>
      </c>
      <c r="C181" s="54"/>
      <c r="D181" s="60">
        <v>7739.04</v>
      </c>
      <c r="E181" s="84">
        <f t="shared" si="128"/>
        <v>7739.04</v>
      </c>
      <c r="F181" s="60">
        <v>7739.04</v>
      </c>
      <c r="G181" s="84">
        <f t="shared" si="129"/>
        <v>7739.04</v>
      </c>
      <c r="H181" s="60">
        <v>7739.04</v>
      </c>
      <c r="I181" s="84">
        <f t="shared" si="130"/>
        <v>7635.75</v>
      </c>
      <c r="J181" s="60">
        <v>7532.46</v>
      </c>
      <c r="K181" s="84">
        <f t="shared" si="131"/>
        <v>7934.3799999999992</v>
      </c>
      <c r="L181" s="60">
        <v>8336.2999999999993</v>
      </c>
      <c r="M181" s="60">
        <v>7082.69</v>
      </c>
      <c r="N181" s="60">
        <v>7082.69</v>
      </c>
      <c r="O181" s="60">
        <v>1511.69</v>
      </c>
      <c r="P181" s="60">
        <v>1511.69</v>
      </c>
      <c r="Q181" s="85">
        <f t="shared" si="132"/>
        <v>1511.69049</v>
      </c>
      <c r="R181" s="85">
        <f t="shared" si="132"/>
        <v>1511.6909799999999</v>
      </c>
      <c r="S181" s="85">
        <f t="shared" si="132"/>
        <v>1511.6914699999998</v>
      </c>
      <c r="T181" s="84">
        <f t="shared" ref="T181:AC181" si="143">+S181-(0.711/100)</f>
        <v>1511.6843599999997</v>
      </c>
      <c r="U181" s="84">
        <f t="shared" si="143"/>
        <v>1511.6772499999997</v>
      </c>
      <c r="V181" s="84">
        <f t="shared" si="143"/>
        <v>1511.6701399999997</v>
      </c>
      <c r="W181" s="84">
        <f t="shared" si="143"/>
        <v>1511.6630299999997</v>
      </c>
      <c r="X181" s="84">
        <f t="shared" si="143"/>
        <v>1511.6559199999997</v>
      </c>
      <c r="Y181" s="84">
        <f t="shared" si="143"/>
        <v>1511.6488099999997</v>
      </c>
      <c r="Z181" s="84">
        <f t="shared" si="143"/>
        <v>1511.6416999999997</v>
      </c>
      <c r="AA181" s="84">
        <f t="shared" si="143"/>
        <v>1511.6345899999997</v>
      </c>
      <c r="AB181" s="84">
        <f t="shared" si="143"/>
        <v>1511.6274799999997</v>
      </c>
      <c r="AC181" s="84">
        <f t="shared" si="143"/>
        <v>1511.6203699999996</v>
      </c>
    </row>
    <row r="182" spans="1:29" x14ac:dyDescent="0.25">
      <c r="A182" s="56" t="s">
        <v>4</v>
      </c>
      <c r="B182" s="54" t="s">
        <v>5</v>
      </c>
      <c r="C182" s="54"/>
      <c r="D182" s="60">
        <v>420.255</v>
      </c>
      <c r="E182" s="84">
        <f t="shared" si="128"/>
        <v>420.255</v>
      </c>
      <c r="F182" s="60">
        <v>420.255</v>
      </c>
      <c r="G182" s="84">
        <f t="shared" si="129"/>
        <v>420.255</v>
      </c>
      <c r="H182" s="60">
        <v>420.255</v>
      </c>
      <c r="I182" s="84">
        <f t="shared" si="130"/>
        <v>654.66250000000002</v>
      </c>
      <c r="J182" s="60">
        <v>889.07</v>
      </c>
      <c r="K182" s="84">
        <f t="shared" si="131"/>
        <v>530.35</v>
      </c>
      <c r="L182" s="60">
        <v>171.63</v>
      </c>
      <c r="M182" s="60">
        <v>1057.5899999999999</v>
      </c>
      <c r="N182" s="60">
        <v>1057.5899999999999</v>
      </c>
      <c r="O182" s="60">
        <v>137.47999999999999</v>
      </c>
      <c r="P182" s="60">
        <v>137.47999999999999</v>
      </c>
      <c r="Q182" s="85">
        <f t="shared" si="132"/>
        <v>137.48049</v>
      </c>
      <c r="R182" s="85">
        <f t="shared" si="132"/>
        <v>137.48098000000002</v>
      </c>
      <c r="S182" s="85">
        <f t="shared" si="132"/>
        <v>137.48147000000003</v>
      </c>
      <c r="T182" s="84">
        <f t="shared" ref="T182:AC182" si="144">+S182-(0.711/100)</f>
        <v>137.47436000000002</v>
      </c>
      <c r="U182" s="84">
        <f t="shared" si="144"/>
        <v>137.46725000000001</v>
      </c>
      <c r="V182" s="84">
        <f t="shared" si="144"/>
        <v>137.46014</v>
      </c>
      <c r="W182" s="84">
        <f t="shared" si="144"/>
        <v>137.45302999999998</v>
      </c>
      <c r="X182" s="84">
        <f t="shared" si="144"/>
        <v>137.44591999999997</v>
      </c>
      <c r="Y182" s="84">
        <f t="shared" si="144"/>
        <v>137.43880999999996</v>
      </c>
      <c r="Z182" s="84">
        <f t="shared" si="144"/>
        <v>137.43169999999995</v>
      </c>
      <c r="AA182" s="84">
        <f t="shared" si="144"/>
        <v>137.42458999999994</v>
      </c>
      <c r="AB182" s="84">
        <f t="shared" si="144"/>
        <v>137.41747999999993</v>
      </c>
      <c r="AC182" s="84">
        <f t="shared" si="144"/>
        <v>137.41036999999992</v>
      </c>
    </row>
    <row r="183" spans="1:29" x14ac:dyDescent="0.25">
      <c r="A183" s="56" t="s">
        <v>29</v>
      </c>
      <c r="B183" s="54" t="s">
        <v>5</v>
      </c>
      <c r="C183" s="54"/>
      <c r="D183" s="60">
        <v>1846.79</v>
      </c>
      <c r="E183" s="84">
        <f t="shared" si="128"/>
        <v>1846.79</v>
      </c>
      <c r="F183" s="60">
        <v>1846.79</v>
      </c>
      <c r="G183" s="84">
        <f t="shared" si="129"/>
        <v>1846.79</v>
      </c>
      <c r="H183" s="60">
        <v>1846.79</v>
      </c>
      <c r="I183" s="84">
        <f t="shared" si="130"/>
        <v>2744.6800000000003</v>
      </c>
      <c r="J183" s="60">
        <v>3642.57</v>
      </c>
      <c r="K183" s="84">
        <f t="shared" si="131"/>
        <v>2664.2049999999999</v>
      </c>
      <c r="L183" s="60">
        <v>1685.84</v>
      </c>
      <c r="M183" s="60">
        <v>3312.72</v>
      </c>
      <c r="N183" s="60">
        <v>3312.72</v>
      </c>
      <c r="O183" s="60">
        <v>218.03</v>
      </c>
      <c r="P183" s="60">
        <v>218.03</v>
      </c>
      <c r="Q183" s="85">
        <f t="shared" si="132"/>
        <v>218.03049000000001</v>
      </c>
      <c r="R183" s="85">
        <f t="shared" si="132"/>
        <v>218.03098000000003</v>
      </c>
      <c r="S183" s="85">
        <f t="shared" si="132"/>
        <v>218.03147000000004</v>
      </c>
      <c r="T183" s="84">
        <f t="shared" ref="T183:AC183" si="145">+S183-(0.711/100)</f>
        <v>218.02436000000003</v>
      </c>
      <c r="U183" s="84">
        <f t="shared" si="145"/>
        <v>218.01725000000002</v>
      </c>
      <c r="V183" s="84">
        <f t="shared" si="145"/>
        <v>218.01014000000001</v>
      </c>
      <c r="W183" s="84">
        <f t="shared" si="145"/>
        <v>218.00303</v>
      </c>
      <c r="X183" s="84">
        <f t="shared" si="145"/>
        <v>217.99591999999998</v>
      </c>
      <c r="Y183" s="84">
        <f t="shared" si="145"/>
        <v>217.98880999999997</v>
      </c>
      <c r="Z183" s="84">
        <f t="shared" si="145"/>
        <v>217.98169999999996</v>
      </c>
      <c r="AA183" s="84">
        <f t="shared" si="145"/>
        <v>217.97458999999995</v>
      </c>
      <c r="AB183" s="84">
        <f t="shared" si="145"/>
        <v>217.96747999999994</v>
      </c>
      <c r="AC183" s="84">
        <f t="shared" si="145"/>
        <v>217.96036999999993</v>
      </c>
    </row>
    <row r="184" spans="1:29" x14ac:dyDescent="0.25">
      <c r="T184" s="84">
        <f t="shared" ref="T184:AC184" si="146">+S184-(0.711/100)</f>
        <v>-7.11E-3</v>
      </c>
      <c r="U184" s="84">
        <f t="shared" si="146"/>
        <v>-1.422E-2</v>
      </c>
      <c r="V184" s="84">
        <f t="shared" si="146"/>
        <v>-2.1330000000000002E-2</v>
      </c>
      <c r="W184" s="84">
        <f t="shared" si="146"/>
        <v>-2.844E-2</v>
      </c>
      <c r="X184" s="84">
        <f t="shared" si="146"/>
        <v>-3.5549999999999998E-2</v>
      </c>
      <c r="Y184" s="84">
        <f t="shared" si="146"/>
        <v>-4.2659999999999997E-2</v>
      </c>
      <c r="Z184" s="84">
        <f t="shared" si="146"/>
        <v>-4.9769999999999995E-2</v>
      </c>
      <c r="AA184" s="84">
        <f t="shared" si="146"/>
        <v>-5.6879999999999993E-2</v>
      </c>
      <c r="AB184" s="84">
        <f t="shared" si="146"/>
        <v>-6.3989999999999991E-2</v>
      </c>
      <c r="AC184" s="84">
        <f t="shared" si="146"/>
        <v>-7.1099999999999997E-2</v>
      </c>
    </row>
    <row r="185" spans="1:29" x14ac:dyDescent="0.25">
      <c r="A185" s="86" t="s">
        <v>18</v>
      </c>
      <c r="B185" s="54" t="s">
        <v>6</v>
      </c>
      <c r="C185" s="54"/>
      <c r="D185" s="60">
        <v>0</v>
      </c>
      <c r="E185" s="84">
        <f t="shared" ref="E185:E198" si="147">+(D185+F185)/2</f>
        <v>0</v>
      </c>
      <c r="F185" s="60">
        <v>0</v>
      </c>
      <c r="G185" s="84">
        <f t="shared" ref="G185:G198" si="148">+(F185+H185)/2</f>
        <v>0</v>
      </c>
      <c r="H185" s="60">
        <v>0</v>
      </c>
      <c r="I185" s="84">
        <f t="shared" ref="I185:I198" si="149">+(H185+J185)/2</f>
        <v>0</v>
      </c>
      <c r="J185" s="60">
        <v>0</v>
      </c>
      <c r="K185" s="84">
        <f t="shared" ref="K185:K198" si="150">+(J185+L185)/2</f>
        <v>5.1974999999999998</v>
      </c>
      <c r="L185" s="60">
        <v>10.395</v>
      </c>
      <c r="M185" s="60">
        <v>7.52</v>
      </c>
      <c r="N185" s="60">
        <v>7.52</v>
      </c>
      <c r="O185" s="60">
        <v>0</v>
      </c>
      <c r="P185" s="60">
        <v>0</v>
      </c>
      <c r="Q185" s="85">
        <f t="shared" ref="Q185:S198" si="151">+P185+(0.049/100)</f>
        <v>4.8999999999999998E-4</v>
      </c>
      <c r="R185" s="85">
        <f t="shared" si="151"/>
        <v>9.7999999999999997E-4</v>
      </c>
      <c r="S185" s="85">
        <f t="shared" si="151"/>
        <v>1.47E-3</v>
      </c>
      <c r="T185" s="84">
        <f t="shared" ref="T185:AC185" si="152">+S185-(0.711/100)</f>
        <v>-5.64E-3</v>
      </c>
      <c r="U185" s="84">
        <f t="shared" si="152"/>
        <v>-1.2750000000000001E-2</v>
      </c>
      <c r="V185" s="84">
        <f t="shared" si="152"/>
        <v>-1.9860000000000003E-2</v>
      </c>
      <c r="W185" s="84">
        <f t="shared" si="152"/>
        <v>-2.6970000000000001E-2</v>
      </c>
      <c r="X185" s="84">
        <f t="shared" si="152"/>
        <v>-3.4079999999999999E-2</v>
      </c>
      <c r="Y185" s="84">
        <f t="shared" si="152"/>
        <v>-4.1189999999999997E-2</v>
      </c>
      <c r="Z185" s="84">
        <f t="shared" si="152"/>
        <v>-4.8299999999999996E-2</v>
      </c>
      <c r="AA185" s="84">
        <f t="shared" si="152"/>
        <v>-5.5409999999999994E-2</v>
      </c>
      <c r="AB185" s="84">
        <f t="shared" si="152"/>
        <v>-6.2519999999999992E-2</v>
      </c>
      <c r="AC185" s="84">
        <f t="shared" si="152"/>
        <v>-6.9629999999999997E-2</v>
      </c>
    </row>
    <row r="186" spans="1:29" x14ac:dyDescent="0.25">
      <c r="A186" s="86" t="s">
        <v>20</v>
      </c>
      <c r="B186" s="54" t="s">
        <v>6</v>
      </c>
      <c r="C186" s="54"/>
      <c r="D186" s="60">
        <v>390</v>
      </c>
      <c r="E186" s="84">
        <f t="shared" si="147"/>
        <v>390</v>
      </c>
      <c r="F186" s="60">
        <v>390</v>
      </c>
      <c r="G186" s="84">
        <f t="shared" si="148"/>
        <v>390</v>
      </c>
      <c r="H186" s="60">
        <v>390</v>
      </c>
      <c r="I186" s="84">
        <f t="shared" si="149"/>
        <v>232.50749999999999</v>
      </c>
      <c r="J186" s="60">
        <v>75.015000000000001</v>
      </c>
      <c r="K186" s="84">
        <f t="shared" si="150"/>
        <v>75.240000000000009</v>
      </c>
      <c r="L186" s="60">
        <v>75.465000000000003</v>
      </c>
      <c r="M186" s="60">
        <v>527.66999999999996</v>
      </c>
      <c r="N186" s="60">
        <v>527.66999999999996</v>
      </c>
      <c r="O186" s="60">
        <v>802.49</v>
      </c>
      <c r="P186" s="60">
        <v>802.49</v>
      </c>
      <c r="Q186" s="85">
        <f t="shared" si="151"/>
        <v>802.49049000000002</v>
      </c>
      <c r="R186" s="85">
        <f t="shared" si="151"/>
        <v>802.49098000000004</v>
      </c>
      <c r="S186" s="85">
        <f t="shared" si="151"/>
        <v>802.49147000000005</v>
      </c>
      <c r="T186" s="84">
        <f t="shared" ref="T186:AC186" si="153">+S186-(0.711/100)</f>
        <v>802.48436000000004</v>
      </c>
      <c r="U186" s="84">
        <f t="shared" si="153"/>
        <v>802.47725000000003</v>
      </c>
      <c r="V186" s="84">
        <f t="shared" si="153"/>
        <v>802.47014000000001</v>
      </c>
      <c r="W186" s="84">
        <f t="shared" si="153"/>
        <v>802.46303</v>
      </c>
      <c r="X186" s="84">
        <f t="shared" si="153"/>
        <v>802.45591999999999</v>
      </c>
      <c r="Y186" s="84">
        <f t="shared" si="153"/>
        <v>802.44880999999998</v>
      </c>
      <c r="Z186" s="84">
        <f t="shared" si="153"/>
        <v>802.44169999999997</v>
      </c>
      <c r="AA186" s="84">
        <f t="shared" si="153"/>
        <v>802.43458999999996</v>
      </c>
      <c r="AB186" s="84">
        <f t="shared" si="153"/>
        <v>802.42747999999995</v>
      </c>
      <c r="AC186" s="84">
        <f t="shared" si="153"/>
        <v>802.42036999999993</v>
      </c>
    </row>
    <row r="187" spans="1:29" x14ac:dyDescent="0.25">
      <c r="A187" s="86" t="s">
        <v>21</v>
      </c>
      <c r="B187" s="54" t="s">
        <v>6</v>
      </c>
      <c r="C187" s="54"/>
      <c r="D187" s="60">
        <v>42.464999999999996</v>
      </c>
      <c r="E187" s="84">
        <f t="shared" si="147"/>
        <v>42.464999999999996</v>
      </c>
      <c r="F187" s="60">
        <v>42.464999999999996</v>
      </c>
      <c r="G187" s="84">
        <f t="shared" si="148"/>
        <v>42.464999999999996</v>
      </c>
      <c r="H187" s="60">
        <v>42.464999999999996</v>
      </c>
      <c r="I187" s="84">
        <f t="shared" si="149"/>
        <v>54.825000000000003</v>
      </c>
      <c r="J187" s="60">
        <v>67.185000000000002</v>
      </c>
      <c r="K187" s="84">
        <f t="shared" si="150"/>
        <v>89.032499999999999</v>
      </c>
      <c r="L187" s="60">
        <v>110.88</v>
      </c>
      <c r="M187" s="60">
        <v>59.4</v>
      </c>
      <c r="N187" s="60">
        <v>59.4</v>
      </c>
      <c r="O187" s="60">
        <v>123.44</v>
      </c>
      <c r="P187" s="60">
        <v>123.44</v>
      </c>
      <c r="Q187" s="85">
        <f t="shared" si="151"/>
        <v>123.44049</v>
      </c>
      <c r="R187" s="85">
        <f t="shared" si="151"/>
        <v>123.44098</v>
      </c>
      <c r="S187" s="85">
        <f t="shared" si="151"/>
        <v>123.44147</v>
      </c>
      <c r="T187" s="84">
        <f t="shared" ref="T187:AC187" si="154">+S187-(0.711/100)</f>
        <v>123.43436</v>
      </c>
      <c r="U187" s="84">
        <f t="shared" si="154"/>
        <v>123.42725</v>
      </c>
      <c r="V187" s="84">
        <f t="shared" si="154"/>
        <v>123.42014</v>
      </c>
      <c r="W187" s="84">
        <f t="shared" si="154"/>
        <v>123.41303000000001</v>
      </c>
      <c r="X187" s="84">
        <f t="shared" si="154"/>
        <v>123.40592000000001</v>
      </c>
      <c r="Y187" s="84">
        <f t="shared" si="154"/>
        <v>123.39881000000001</v>
      </c>
      <c r="Z187" s="84">
        <f t="shared" si="154"/>
        <v>123.39170000000001</v>
      </c>
      <c r="AA187" s="84">
        <f t="shared" si="154"/>
        <v>123.38459000000002</v>
      </c>
      <c r="AB187" s="84">
        <f t="shared" si="154"/>
        <v>123.37748000000002</v>
      </c>
      <c r="AC187" s="84">
        <f t="shared" si="154"/>
        <v>123.37037000000002</v>
      </c>
    </row>
    <row r="188" spans="1:29" x14ac:dyDescent="0.25">
      <c r="A188" s="86" t="s">
        <v>22</v>
      </c>
      <c r="B188" s="54" t="s">
        <v>6</v>
      </c>
      <c r="C188" s="54"/>
      <c r="D188" s="60">
        <v>51.254999999999995</v>
      </c>
      <c r="E188" s="84">
        <f t="shared" si="147"/>
        <v>51.254999999999995</v>
      </c>
      <c r="F188" s="60">
        <v>51.254999999999995</v>
      </c>
      <c r="G188" s="84">
        <f t="shared" si="148"/>
        <v>51.254999999999995</v>
      </c>
      <c r="H188" s="60">
        <v>51.254999999999995</v>
      </c>
      <c r="I188" s="84">
        <f t="shared" si="149"/>
        <v>48.959999999999994</v>
      </c>
      <c r="J188" s="60">
        <v>46.664999999999992</v>
      </c>
      <c r="K188" s="84">
        <f t="shared" si="150"/>
        <v>61.717499999999994</v>
      </c>
      <c r="L188" s="60">
        <v>76.77</v>
      </c>
      <c r="M188" s="60">
        <v>99.45</v>
      </c>
      <c r="N188" s="60">
        <v>99.45</v>
      </c>
      <c r="O188" s="60">
        <v>138.56</v>
      </c>
      <c r="P188" s="60">
        <v>138.56</v>
      </c>
      <c r="Q188" s="85">
        <f t="shared" si="151"/>
        <v>138.56049000000002</v>
      </c>
      <c r="R188" s="85">
        <f t="shared" si="151"/>
        <v>138.56098000000003</v>
      </c>
      <c r="S188" s="85">
        <f t="shared" si="151"/>
        <v>138.56147000000004</v>
      </c>
      <c r="T188" s="84">
        <f t="shared" ref="T188:AC188" si="155">+S188-(0.711/100)</f>
        <v>138.55436000000003</v>
      </c>
      <c r="U188" s="84">
        <f t="shared" si="155"/>
        <v>138.54725000000002</v>
      </c>
      <c r="V188" s="84">
        <f t="shared" si="155"/>
        <v>138.54014000000001</v>
      </c>
      <c r="W188" s="84">
        <f t="shared" si="155"/>
        <v>138.53303</v>
      </c>
      <c r="X188" s="84">
        <f t="shared" si="155"/>
        <v>138.52591999999999</v>
      </c>
      <c r="Y188" s="84">
        <f t="shared" si="155"/>
        <v>138.51880999999997</v>
      </c>
      <c r="Z188" s="84">
        <f t="shared" si="155"/>
        <v>138.51169999999996</v>
      </c>
      <c r="AA188" s="84">
        <f t="shared" si="155"/>
        <v>138.50458999999995</v>
      </c>
      <c r="AB188" s="84">
        <f t="shared" si="155"/>
        <v>138.49747999999994</v>
      </c>
      <c r="AC188" s="84">
        <f t="shared" si="155"/>
        <v>138.49036999999993</v>
      </c>
    </row>
    <row r="189" spans="1:29" x14ac:dyDescent="0.25">
      <c r="A189" s="86" t="s">
        <v>23</v>
      </c>
      <c r="B189" s="54" t="s">
        <v>6</v>
      </c>
      <c r="C189" s="54"/>
      <c r="D189" s="60">
        <v>18.059999999999999</v>
      </c>
      <c r="E189" s="84">
        <f t="shared" si="147"/>
        <v>18.059999999999999</v>
      </c>
      <c r="F189" s="60">
        <v>18.059999999999999</v>
      </c>
      <c r="G189" s="84">
        <f t="shared" si="148"/>
        <v>18.059999999999999</v>
      </c>
      <c r="H189" s="60">
        <v>18.059999999999999</v>
      </c>
      <c r="I189" s="84">
        <f t="shared" si="149"/>
        <v>21.2925</v>
      </c>
      <c r="J189" s="60">
        <v>24.525000000000002</v>
      </c>
      <c r="K189" s="84">
        <f t="shared" si="150"/>
        <v>28.17</v>
      </c>
      <c r="L189" s="60">
        <v>31.814999999999998</v>
      </c>
      <c r="M189" s="60">
        <v>39.65</v>
      </c>
      <c r="N189" s="60">
        <v>39.65</v>
      </c>
      <c r="O189" s="60">
        <v>0.54</v>
      </c>
      <c r="P189" s="60">
        <v>0.54</v>
      </c>
      <c r="Q189" s="85">
        <f t="shared" si="151"/>
        <v>0.54049000000000003</v>
      </c>
      <c r="R189" s="85">
        <f t="shared" si="151"/>
        <v>0.54098000000000002</v>
      </c>
      <c r="S189" s="85">
        <f t="shared" si="151"/>
        <v>0.54147000000000001</v>
      </c>
      <c r="T189" s="84">
        <f t="shared" ref="T189:AC189" si="156">+S189-(0.711/100)</f>
        <v>0.53436000000000006</v>
      </c>
      <c r="U189" s="84">
        <f t="shared" si="156"/>
        <v>0.52725000000000011</v>
      </c>
      <c r="V189" s="84">
        <f t="shared" si="156"/>
        <v>0.52014000000000016</v>
      </c>
      <c r="W189" s="84">
        <f t="shared" si="156"/>
        <v>0.51303000000000021</v>
      </c>
      <c r="X189" s="84">
        <f t="shared" si="156"/>
        <v>0.50592000000000026</v>
      </c>
      <c r="Y189" s="84">
        <f t="shared" si="156"/>
        <v>0.49881000000000025</v>
      </c>
      <c r="Z189" s="84">
        <f t="shared" si="156"/>
        <v>0.49170000000000025</v>
      </c>
      <c r="AA189" s="84">
        <f t="shared" si="156"/>
        <v>0.48459000000000024</v>
      </c>
      <c r="AB189" s="84">
        <f t="shared" si="156"/>
        <v>0.47748000000000024</v>
      </c>
      <c r="AC189" s="84">
        <f t="shared" si="156"/>
        <v>0.47037000000000023</v>
      </c>
    </row>
    <row r="190" spans="1:29" ht="22.5" x14ac:dyDescent="0.25">
      <c r="A190" s="86" t="s">
        <v>24</v>
      </c>
      <c r="B190" s="54" t="s">
        <v>6</v>
      </c>
      <c r="C190" s="54"/>
      <c r="D190" s="60">
        <v>102.55500000000001</v>
      </c>
      <c r="E190" s="84">
        <f t="shared" si="147"/>
        <v>102.55500000000001</v>
      </c>
      <c r="F190" s="60">
        <v>102.55500000000001</v>
      </c>
      <c r="G190" s="84">
        <f t="shared" si="148"/>
        <v>102.55500000000001</v>
      </c>
      <c r="H190" s="60">
        <v>102.55500000000001</v>
      </c>
      <c r="I190" s="84">
        <f t="shared" si="149"/>
        <v>107.23500000000001</v>
      </c>
      <c r="J190" s="60">
        <v>111.91500000000001</v>
      </c>
      <c r="K190" s="84">
        <f t="shared" si="150"/>
        <v>157.9725</v>
      </c>
      <c r="L190" s="60">
        <v>204.03</v>
      </c>
      <c r="M190" s="60">
        <v>300.74</v>
      </c>
      <c r="N190" s="60">
        <v>300.74</v>
      </c>
      <c r="O190" s="60">
        <v>861.98</v>
      </c>
      <c r="P190" s="60">
        <v>861.98</v>
      </c>
      <c r="Q190" s="85">
        <f t="shared" si="151"/>
        <v>861.98049000000003</v>
      </c>
      <c r="R190" s="85">
        <f t="shared" si="151"/>
        <v>861.98098000000005</v>
      </c>
      <c r="S190" s="85">
        <f t="shared" si="151"/>
        <v>861.98147000000006</v>
      </c>
      <c r="T190" s="84">
        <f t="shared" ref="T190:AC190" si="157">+S190-(0.711/100)</f>
        <v>861.97436000000005</v>
      </c>
      <c r="U190" s="84">
        <f t="shared" si="157"/>
        <v>861.96725000000004</v>
      </c>
      <c r="V190" s="84">
        <f t="shared" si="157"/>
        <v>861.96014000000002</v>
      </c>
      <c r="W190" s="84">
        <f t="shared" si="157"/>
        <v>861.95303000000001</v>
      </c>
      <c r="X190" s="84">
        <f t="shared" si="157"/>
        <v>861.94592</v>
      </c>
      <c r="Y190" s="84">
        <f t="shared" si="157"/>
        <v>861.93880999999999</v>
      </c>
      <c r="Z190" s="84">
        <f t="shared" si="157"/>
        <v>861.93169999999998</v>
      </c>
      <c r="AA190" s="84">
        <f t="shared" si="157"/>
        <v>861.92458999999997</v>
      </c>
      <c r="AB190" s="84">
        <f t="shared" si="157"/>
        <v>861.91747999999995</v>
      </c>
      <c r="AC190" s="84">
        <f t="shared" si="157"/>
        <v>861.91036999999994</v>
      </c>
    </row>
    <row r="191" spans="1:29" x14ac:dyDescent="0.25">
      <c r="A191" s="86" t="s">
        <v>25</v>
      </c>
      <c r="B191" s="54" t="s">
        <v>6</v>
      </c>
      <c r="C191" s="54"/>
      <c r="D191" s="60">
        <v>30.825000000000003</v>
      </c>
      <c r="E191" s="84">
        <f t="shared" si="147"/>
        <v>30.825000000000003</v>
      </c>
      <c r="F191" s="60">
        <v>30.825000000000003</v>
      </c>
      <c r="G191" s="84">
        <f t="shared" si="148"/>
        <v>30.825000000000003</v>
      </c>
      <c r="H191" s="60">
        <v>30.825000000000003</v>
      </c>
      <c r="I191" s="84">
        <f t="shared" si="149"/>
        <v>22.770000000000003</v>
      </c>
      <c r="J191" s="60">
        <v>14.715</v>
      </c>
      <c r="K191" s="84">
        <f t="shared" si="150"/>
        <v>18.09</v>
      </c>
      <c r="L191" s="60">
        <v>21.465</v>
      </c>
      <c r="M191" s="60">
        <v>33.979999999999997</v>
      </c>
      <c r="N191" s="60">
        <v>33.979999999999997</v>
      </c>
      <c r="O191" s="60">
        <v>201.56</v>
      </c>
      <c r="P191" s="60">
        <v>201.56</v>
      </c>
      <c r="Q191" s="85">
        <f t="shared" si="151"/>
        <v>201.56049000000002</v>
      </c>
      <c r="R191" s="85">
        <f t="shared" si="151"/>
        <v>201.56098000000003</v>
      </c>
      <c r="S191" s="85">
        <f t="shared" si="151"/>
        <v>201.56147000000004</v>
      </c>
      <c r="T191" s="84">
        <f t="shared" ref="T191:AC191" si="158">+S191-(0.711/100)</f>
        <v>201.55436000000003</v>
      </c>
      <c r="U191" s="84">
        <f t="shared" si="158"/>
        <v>201.54725000000002</v>
      </c>
      <c r="V191" s="84">
        <f t="shared" si="158"/>
        <v>201.54014000000001</v>
      </c>
      <c r="W191" s="84">
        <f t="shared" si="158"/>
        <v>201.53303</v>
      </c>
      <c r="X191" s="84">
        <f t="shared" si="158"/>
        <v>201.52591999999999</v>
      </c>
      <c r="Y191" s="84">
        <f t="shared" si="158"/>
        <v>201.51880999999997</v>
      </c>
      <c r="Z191" s="84">
        <f t="shared" si="158"/>
        <v>201.51169999999996</v>
      </c>
      <c r="AA191" s="84">
        <f t="shared" si="158"/>
        <v>201.50458999999995</v>
      </c>
      <c r="AB191" s="84">
        <f t="shared" si="158"/>
        <v>201.49747999999994</v>
      </c>
      <c r="AC191" s="84">
        <f t="shared" si="158"/>
        <v>201.49036999999993</v>
      </c>
    </row>
    <row r="192" spans="1:29" x14ac:dyDescent="0.25">
      <c r="A192" s="86" t="s">
        <v>26</v>
      </c>
      <c r="B192" s="54" t="s">
        <v>6</v>
      </c>
      <c r="C192" s="54"/>
      <c r="D192" s="60">
        <v>33.630000000000003</v>
      </c>
      <c r="E192" s="84">
        <f t="shared" si="147"/>
        <v>33.630000000000003</v>
      </c>
      <c r="F192" s="60">
        <v>33.630000000000003</v>
      </c>
      <c r="G192" s="84">
        <f t="shared" si="148"/>
        <v>33.630000000000003</v>
      </c>
      <c r="H192" s="60">
        <v>33.630000000000003</v>
      </c>
      <c r="I192" s="84">
        <f t="shared" si="149"/>
        <v>20.842500000000001</v>
      </c>
      <c r="J192" s="60">
        <v>8.0549999999999997</v>
      </c>
      <c r="K192" s="84">
        <f t="shared" si="150"/>
        <v>11.6775</v>
      </c>
      <c r="L192" s="60">
        <v>15.3</v>
      </c>
      <c r="M192" s="60">
        <v>2210.7199999999998</v>
      </c>
      <c r="N192" s="60">
        <v>2210.7199999999998</v>
      </c>
      <c r="O192" s="60">
        <v>78.709999999999994</v>
      </c>
      <c r="P192" s="60">
        <v>78.709999999999994</v>
      </c>
      <c r="Q192" s="85">
        <f t="shared" si="151"/>
        <v>78.710489999999993</v>
      </c>
      <c r="R192" s="85">
        <f t="shared" si="151"/>
        <v>78.710979999999992</v>
      </c>
      <c r="S192" s="85">
        <f t="shared" si="151"/>
        <v>78.711469999999991</v>
      </c>
      <c r="T192" s="84">
        <f t="shared" ref="T192:AC192" si="159">+S192-(0.711/100)</f>
        <v>78.704359999999994</v>
      </c>
      <c r="U192" s="84">
        <f t="shared" si="159"/>
        <v>78.697249999999997</v>
      </c>
      <c r="V192" s="84">
        <f t="shared" si="159"/>
        <v>78.69014</v>
      </c>
      <c r="W192" s="84">
        <f t="shared" si="159"/>
        <v>78.683030000000002</v>
      </c>
      <c r="X192" s="84">
        <f t="shared" si="159"/>
        <v>78.675920000000005</v>
      </c>
      <c r="Y192" s="84">
        <f t="shared" si="159"/>
        <v>78.668810000000008</v>
      </c>
      <c r="Z192" s="84">
        <f t="shared" si="159"/>
        <v>78.66170000000001</v>
      </c>
      <c r="AA192" s="84">
        <f t="shared" si="159"/>
        <v>78.654590000000013</v>
      </c>
      <c r="AB192" s="84">
        <f t="shared" si="159"/>
        <v>78.647480000000016</v>
      </c>
      <c r="AC192" s="84">
        <f t="shared" si="159"/>
        <v>78.640370000000019</v>
      </c>
    </row>
    <row r="193" spans="1:29" x14ac:dyDescent="0.25">
      <c r="A193" s="86" t="s">
        <v>27</v>
      </c>
      <c r="B193" s="54" t="s">
        <v>6</v>
      </c>
      <c r="C193" s="54"/>
      <c r="D193" s="60">
        <v>1.83</v>
      </c>
      <c r="E193" s="84">
        <f t="shared" si="147"/>
        <v>1.83</v>
      </c>
      <c r="F193" s="60">
        <v>1.83</v>
      </c>
      <c r="G193" s="84">
        <f t="shared" si="148"/>
        <v>1.83</v>
      </c>
      <c r="H193" s="60">
        <v>1.83</v>
      </c>
      <c r="I193" s="84">
        <f t="shared" si="149"/>
        <v>2.58</v>
      </c>
      <c r="J193" s="60">
        <v>3.33</v>
      </c>
      <c r="K193" s="84">
        <f t="shared" si="150"/>
        <v>4.6575000000000006</v>
      </c>
      <c r="L193" s="60">
        <v>5.9850000000000003</v>
      </c>
      <c r="M193" s="60">
        <v>6.53</v>
      </c>
      <c r="N193" s="60">
        <v>6.53</v>
      </c>
      <c r="O193" s="60">
        <v>13.23</v>
      </c>
      <c r="P193" s="60">
        <v>13.23</v>
      </c>
      <c r="Q193" s="85">
        <f t="shared" si="151"/>
        <v>13.23049</v>
      </c>
      <c r="R193" s="85">
        <f t="shared" si="151"/>
        <v>13.230979999999999</v>
      </c>
      <c r="S193" s="85">
        <f t="shared" si="151"/>
        <v>13.231469999999998</v>
      </c>
      <c r="T193" s="84">
        <f t="shared" ref="T193:AC193" si="160">+S193-(0.711/100)</f>
        <v>13.224359999999997</v>
      </c>
      <c r="U193" s="84">
        <f t="shared" si="160"/>
        <v>13.217249999999996</v>
      </c>
      <c r="V193" s="84">
        <f t="shared" si="160"/>
        <v>13.210139999999996</v>
      </c>
      <c r="W193" s="84">
        <f t="shared" si="160"/>
        <v>13.203029999999995</v>
      </c>
      <c r="X193" s="84">
        <f t="shared" si="160"/>
        <v>13.195919999999994</v>
      </c>
      <c r="Y193" s="84">
        <f t="shared" si="160"/>
        <v>13.188809999999993</v>
      </c>
      <c r="Z193" s="84">
        <f t="shared" si="160"/>
        <v>13.181699999999992</v>
      </c>
      <c r="AA193" s="84">
        <f t="shared" si="160"/>
        <v>13.174589999999991</v>
      </c>
      <c r="AB193" s="84">
        <f t="shared" si="160"/>
        <v>13.167479999999991</v>
      </c>
      <c r="AC193" s="84">
        <f t="shared" si="160"/>
        <v>13.16036999999999</v>
      </c>
    </row>
    <row r="194" spans="1:29" x14ac:dyDescent="0.25">
      <c r="A194" s="86" t="s">
        <v>28</v>
      </c>
      <c r="B194" s="54" t="s">
        <v>6</v>
      </c>
      <c r="C194" s="54"/>
      <c r="D194" s="60">
        <v>20.58</v>
      </c>
      <c r="E194" s="84">
        <f t="shared" si="147"/>
        <v>20.58</v>
      </c>
      <c r="F194" s="60">
        <v>20.58</v>
      </c>
      <c r="G194" s="84">
        <f t="shared" si="148"/>
        <v>20.58</v>
      </c>
      <c r="H194" s="60">
        <v>20.58</v>
      </c>
      <c r="I194" s="84">
        <f t="shared" si="149"/>
        <v>44.92</v>
      </c>
      <c r="J194" s="60">
        <v>69.260000000000005</v>
      </c>
      <c r="K194" s="84">
        <f t="shared" si="150"/>
        <v>122.875</v>
      </c>
      <c r="L194" s="60">
        <v>176.49</v>
      </c>
      <c r="M194" s="60">
        <v>53.46</v>
      </c>
      <c r="N194" s="60">
        <v>53.46</v>
      </c>
      <c r="O194" s="60">
        <v>10.98</v>
      </c>
      <c r="P194" s="60">
        <v>10.98</v>
      </c>
      <c r="Q194" s="85">
        <f t="shared" si="151"/>
        <v>10.98049</v>
      </c>
      <c r="R194" s="85">
        <f t="shared" si="151"/>
        <v>10.980979999999999</v>
      </c>
      <c r="S194" s="85">
        <f t="shared" si="151"/>
        <v>10.981469999999998</v>
      </c>
      <c r="T194" s="84">
        <f t="shared" ref="T194:AC194" si="161">+S194-(0.711/100)</f>
        <v>10.974359999999997</v>
      </c>
      <c r="U194" s="84">
        <f t="shared" si="161"/>
        <v>10.967249999999996</v>
      </c>
      <c r="V194" s="84">
        <f t="shared" si="161"/>
        <v>10.960139999999996</v>
      </c>
      <c r="W194" s="84">
        <f t="shared" si="161"/>
        <v>10.953029999999995</v>
      </c>
      <c r="X194" s="84">
        <f t="shared" si="161"/>
        <v>10.945919999999994</v>
      </c>
      <c r="Y194" s="84">
        <f t="shared" si="161"/>
        <v>10.938809999999993</v>
      </c>
      <c r="Z194" s="84">
        <f t="shared" si="161"/>
        <v>10.931699999999992</v>
      </c>
      <c r="AA194" s="84">
        <f t="shared" si="161"/>
        <v>10.924589999999991</v>
      </c>
      <c r="AB194" s="84">
        <f t="shared" si="161"/>
        <v>10.917479999999991</v>
      </c>
      <c r="AC194" s="84">
        <f t="shared" si="161"/>
        <v>10.91036999999999</v>
      </c>
    </row>
    <row r="195" spans="1:29" x14ac:dyDescent="0.25">
      <c r="A195" s="56" t="s">
        <v>19</v>
      </c>
      <c r="B195" s="54" t="s">
        <v>6</v>
      </c>
      <c r="C195" s="54"/>
      <c r="D195" s="60">
        <v>9692.42</v>
      </c>
      <c r="E195" s="84">
        <f t="shared" si="147"/>
        <v>9692.42</v>
      </c>
      <c r="F195" s="60">
        <v>9692.42</v>
      </c>
      <c r="G195" s="84">
        <f t="shared" si="148"/>
        <v>9692.42</v>
      </c>
      <c r="H195" s="60">
        <v>9692.42</v>
      </c>
      <c r="I195" s="84">
        <f t="shared" si="149"/>
        <v>6006.2650000000003</v>
      </c>
      <c r="J195" s="60">
        <v>2320.11</v>
      </c>
      <c r="K195" s="84">
        <f t="shared" si="150"/>
        <v>8269.5550000000003</v>
      </c>
      <c r="L195" s="60">
        <v>14219</v>
      </c>
      <c r="M195" s="60">
        <v>3174.03</v>
      </c>
      <c r="N195" s="60">
        <v>3174.03</v>
      </c>
      <c r="O195" s="60">
        <v>11997.5</v>
      </c>
      <c r="P195" s="60">
        <v>11997.5</v>
      </c>
      <c r="Q195" s="85">
        <f t="shared" si="151"/>
        <v>11997.50049</v>
      </c>
      <c r="R195" s="85">
        <f t="shared" si="151"/>
        <v>11997.500980000001</v>
      </c>
      <c r="S195" s="85">
        <f t="shared" si="151"/>
        <v>11997.501470000001</v>
      </c>
      <c r="T195" s="84">
        <f t="shared" ref="T195:AC195" si="162">+S195-(0.711/100)</f>
        <v>11997.494360000001</v>
      </c>
      <c r="U195" s="84">
        <f t="shared" si="162"/>
        <v>11997.48725</v>
      </c>
      <c r="V195" s="84">
        <f t="shared" si="162"/>
        <v>11997.48014</v>
      </c>
      <c r="W195" s="84">
        <f t="shared" si="162"/>
        <v>11997.473029999999</v>
      </c>
      <c r="X195" s="84">
        <f t="shared" si="162"/>
        <v>11997.465919999999</v>
      </c>
      <c r="Y195" s="84">
        <f t="shared" si="162"/>
        <v>11997.458809999998</v>
      </c>
      <c r="Z195" s="84">
        <f t="shared" si="162"/>
        <v>11997.451699999998</v>
      </c>
      <c r="AA195" s="84">
        <f t="shared" si="162"/>
        <v>11997.444589999997</v>
      </c>
      <c r="AB195" s="84">
        <f t="shared" si="162"/>
        <v>11997.437479999997</v>
      </c>
      <c r="AC195" s="84">
        <f t="shared" si="162"/>
        <v>11997.430369999996</v>
      </c>
    </row>
    <row r="196" spans="1:29" x14ac:dyDescent="0.25">
      <c r="A196" s="56" t="s">
        <v>4</v>
      </c>
      <c r="B196" s="54" t="s">
        <v>6</v>
      </c>
      <c r="C196" s="54"/>
      <c r="D196" s="60">
        <v>614.61</v>
      </c>
      <c r="E196" s="84">
        <f t="shared" si="147"/>
        <v>614.61</v>
      </c>
      <c r="F196" s="60">
        <v>614.61</v>
      </c>
      <c r="G196" s="84">
        <f t="shared" si="148"/>
        <v>614.61</v>
      </c>
      <c r="H196" s="60">
        <v>614.61</v>
      </c>
      <c r="I196" s="84">
        <f t="shared" si="149"/>
        <v>481.88499999999999</v>
      </c>
      <c r="J196" s="60">
        <v>349.16</v>
      </c>
      <c r="K196" s="84">
        <f t="shared" si="150"/>
        <v>314.82500000000005</v>
      </c>
      <c r="L196" s="60">
        <v>280.49</v>
      </c>
      <c r="M196" s="60">
        <v>230.99</v>
      </c>
      <c r="N196" s="60">
        <v>230.99</v>
      </c>
      <c r="O196" s="60">
        <v>1935.81</v>
      </c>
      <c r="P196" s="60">
        <v>1935.81</v>
      </c>
      <c r="Q196" s="85">
        <f t="shared" si="151"/>
        <v>1935.8104899999998</v>
      </c>
      <c r="R196" s="85">
        <f t="shared" si="151"/>
        <v>1935.8109799999997</v>
      </c>
      <c r="S196" s="85">
        <f t="shared" si="151"/>
        <v>1935.8114699999996</v>
      </c>
      <c r="T196" s="84">
        <f t="shared" ref="T196:AC196" si="163">+S196-(0.711/100)</f>
        <v>1935.8043599999996</v>
      </c>
      <c r="U196" s="84">
        <f t="shared" si="163"/>
        <v>1935.7972499999996</v>
      </c>
      <c r="V196" s="84">
        <f t="shared" si="163"/>
        <v>1935.7901399999996</v>
      </c>
      <c r="W196" s="84">
        <f t="shared" si="163"/>
        <v>1935.7830299999996</v>
      </c>
      <c r="X196" s="84">
        <f t="shared" si="163"/>
        <v>1935.7759199999996</v>
      </c>
      <c r="Y196" s="84">
        <f t="shared" si="163"/>
        <v>1935.7688099999996</v>
      </c>
      <c r="Z196" s="84">
        <f t="shared" si="163"/>
        <v>1935.7616999999996</v>
      </c>
      <c r="AA196" s="84">
        <f t="shared" si="163"/>
        <v>1935.7545899999996</v>
      </c>
      <c r="AB196" s="84">
        <f t="shared" si="163"/>
        <v>1935.7474799999995</v>
      </c>
      <c r="AC196" s="84">
        <f t="shared" si="163"/>
        <v>1935.7403699999995</v>
      </c>
    </row>
    <row r="197" spans="1:29" x14ac:dyDescent="0.25">
      <c r="A197" s="56" t="s">
        <v>5</v>
      </c>
      <c r="B197" s="54" t="s">
        <v>6</v>
      </c>
      <c r="C197" s="54"/>
      <c r="D197" s="60">
        <v>275.76</v>
      </c>
      <c r="E197" s="84">
        <f t="shared" si="147"/>
        <v>275.76</v>
      </c>
      <c r="F197" s="60">
        <v>275.76</v>
      </c>
      <c r="G197" s="84">
        <f t="shared" si="148"/>
        <v>275.76</v>
      </c>
      <c r="H197" s="60">
        <v>275.76</v>
      </c>
      <c r="I197" s="84">
        <f t="shared" si="149"/>
        <v>261.45</v>
      </c>
      <c r="J197" s="60">
        <v>247.14</v>
      </c>
      <c r="K197" s="84">
        <f t="shared" si="150"/>
        <v>345.35500000000002</v>
      </c>
      <c r="L197" s="60">
        <v>443.57</v>
      </c>
      <c r="M197" s="60">
        <v>95151.11</v>
      </c>
      <c r="N197" s="60">
        <v>95151.11</v>
      </c>
      <c r="O197" s="60">
        <v>494.06</v>
      </c>
      <c r="P197" s="60">
        <v>494.06</v>
      </c>
      <c r="Q197" s="85">
        <f t="shared" si="151"/>
        <v>494.06049000000002</v>
      </c>
      <c r="R197" s="85">
        <f t="shared" si="151"/>
        <v>494.06098000000003</v>
      </c>
      <c r="S197" s="85">
        <f t="shared" si="151"/>
        <v>494.06147000000004</v>
      </c>
      <c r="T197" s="84">
        <f t="shared" ref="T197:AC197" si="164">+S197-(0.711/100)</f>
        <v>494.05436000000003</v>
      </c>
      <c r="U197" s="84">
        <f t="shared" si="164"/>
        <v>494.04725000000002</v>
      </c>
      <c r="V197" s="84">
        <f t="shared" si="164"/>
        <v>494.04014000000001</v>
      </c>
      <c r="W197" s="84">
        <f t="shared" si="164"/>
        <v>494.03303</v>
      </c>
      <c r="X197" s="84">
        <f t="shared" si="164"/>
        <v>494.02591999999999</v>
      </c>
      <c r="Y197" s="84">
        <f t="shared" si="164"/>
        <v>494.01880999999997</v>
      </c>
      <c r="Z197" s="84">
        <f t="shared" si="164"/>
        <v>494.01169999999996</v>
      </c>
      <c r="AA197" s="84">
        <f t="shared" si="164"/>
        <v>494.00458999999995</v>
      </c>
      <c r="AB197" s="84">
        <f t="shared" si="164"/>
        <v>493.99747999999994</v>
      </c>
      <c r="AC197" s="84">
        <f t="shared" si="164"/>
        <v>493.99036999999993</v>
      </c>
    </row>
    <row r="198" spans="1:29" x14ac:dyDescent="0.25">
      <c r="A198" s="56" t="s">
        <v>29</v>
      </c>
      <c r="B198" s="54" t="s">
        <v>6</v>
      </c>
      <c r="C198" s="54"/>
      <c r="D198" s="60">
        <v>223.995</v>
      </c>
      <c r="E198" s="84">
        <f t="shared" si="147"/>
        <v>223.995</v>
      </c>
      <c r="F198" s="60">
        <v>223.995</v>
      </c>
      <c r="G198" s="84">
        <f t="shared" si="148"/>
        <v>223.995</v>
      </c>
      <c r="H198" s="60">
        <v>223.995</v>
      </c>
      <c r="I198" s="84">
        <f t="shared" si="149"/>
        <v>174.42750000000001</v>
      </c>
      <c r="J198" s="60">
        <v>124.86</v>
      </c>
      <c r="K198" s="84">
        <f t="shared" si="150"/>
        <v>436.92</v>
      </c>
      <c r="L198" s="60">
        <v>748.98</v>
      </c>
      <c r="M198" s="60">
        <v>871.12</v>
      </c>
      <c r="N198" s="60">
        <v>871.12</v>
      </c>
      <c r="O198" s="60">
        <v>2832.75</v>
      </c>
      <c r="P198" s="60">
        <v>2832.75</v>
      </c>
      <c r="Q198" s="85">
        <f t="shared" si="151"/>
        <v>2832.7504899999999</v>
      </c>
      <c r="R198" s="85">
        <f t="shared" si="151"/>
        <v>2832.7509799999998</v>
      </c>
      <c r="S198" s="85">
        <f t="shared" si="151"/>
        <v>2832.7514699999997</v>
      </c>
      <c r="T198" s="84">
        <f t="shared" ref="T198:AC198" si="165">+S198-(0.711/100)</f>
        <v>2832.7443599999997</v>
      </c>
      <c r="U198" s="84">
        <f t="shared" si="165"/>
        <v>2832.7372499999997</v>
      </c>
      <c r="V198" s="84">
        <f t="shared" si="165"/>
        <v>2832.7301399999997</v>
      </c>
      <c r="W198" s="84">
        <f t="shared" si="165"/>
        <v>2832.7230299999997</v>
      </c>
      <c r="X198" s="84">
        <f t="shared" si="165"/>
        <v>2832.7159199999996</v>
      </c>
      <c r="Y198" s="84">
        <f t="shared" si="165"/>
        <v>2832.7088099999996</v>
      </c>
      <c r="Z198" s="84">
        <f t="shared" si="165"/>
        <v>2832.7016999999996</v>
      </c>
      <c r="AA198" s="84">
        <f t="shared" si="165"/>
        <v>2832.6945899999996</v>
      </c>
      <c r="AB198" s="84">
        <f t="shared" si="165"/>
        <v>2832.6874799999996</v>
      </c>
      <c r="AC198" s="84">
        <f t="shared" si="165"/>
        <v>2832.6803699999996</v>
      </c>
    </row>
    <row r="200" spans="1:29" x14ac:dyDescent="0.25">
      <c r="A200" s="86" t="s">
        <v>18</v>
      </c>
      <c r="B200" s="54" t="s">
        <v>29</v>
      </c>
      <c r="C200" s="54"/>
      <c r="D200" s="60">
        <v>0.42</v>
      </c>
      <c r="E200" s="84">
        <f t="shared" ref="E200:E213" si="166">+(D200+F200)/2</f>
        <v>0.42</v>
      </c>
      <c r="F200" s="60">
        <v>0.42</v>
      </c>
      <c r="G200" s="84">
        <f t="shared" ref="G200:G213" si="167">+(F200+H200)/2</f>
        <v>0.42</v>
      </c>
      <c r="H200" s="60">
        <v>0.42</v>
      </c>
      <c r="I200" s="84">
        <f t="shared" ref="I200:I213" si="168">+(H200+J200)/2</f>
        <v>18.772500000000001</v>
      </c>
      <c r="J200" s="60">
        <v>37.125</v>
      </c>
      <c r="K200" s="84">
        <f t="shared" ref="K200:K213" si="169">+(J200+L200)/2</f>
        <v>28.372500000000002</v>
      </c>
      <c r="L200" s="60">
        <v>19.62</v>
      </c>
      <c r="M200" s="60">
        <v>8.3699999999999992</v>
      </c>
      <c r="N200" s="60">
        <v>8.3699999999999992</v>
      </c>
      <c r="O200" s="60">
        <v>0.72</v>
      </c>
      <c r="P200" s="60">
        <v>0.72</v>
      </c>
      <c r="Q200" s="85">
        <f t="shared" ref="Q200:S213" si="170">+P200+(0.049/100)</f>
        <v>0.72048999999999996</v>
      </c>
      <c r="R200" s="85">
        <f t="shared" si="170"/>
        <v>0.72097999999999995</v>
      </c>
      <c r="S200" s="85">
        <f t="shared" si="170"/>
        <v>0.72146999999999994</v>
      </c>
      <c r="T200" s="84">
        <f t="shared" ref="T200:AC200" si="171">+S200-(0.711/100)</f>
        <v>0.71435999999999999</v>
      </c>
      <c r="U200" s="84">
        <f t="shared" si="171"/>
        <v>0.70725000000000005</v>
      </c>
      <c r="V200" s="84">
        <f t="shared" si="171"/>
        <v>0.7001400000000001</v>
      </c>
      <c r="W200" s="84">
        <f t="shared" si="171"/>
        <v>0.69303000000000015</v>
      </c>
      <c r="X200" s="84">
        <f t="shared" si="171"/>
        <v>0.6859200000000002</v>
      </c>
      <c r="Y200" s="84">
        <f t="shared" si="171"/>
        <v>0.67881000000000025</v>
      </c>
      <c r="Z200" s="84">
        <f t="shared" si="171"/>
        <v>0.6717000000000003</v>
      </c>
      <c r="AA200" s="84">
        <f t="shared" si="171"/>
        <v>0.66459000000000035</v>
      </c>
      <c r="AB200" s="84">
        <f t="shared" si="171"/>
        <v>0.6574800000000004</v>
      </c>
      <c r="AC200" s="84">
        <f t="shared" si="171"/>
        <v>0.65037000000000045</v>
      </c>
    </row>
    <row r="201" spans="1:29" x14ac:dyDescent="0.25">
      <c r="A201" s="86" t="s">
        <v>20</v>
      </c>
      <c r="B201" s="54" t="s">
        <v>29</v>
      </c>
      <c r="C201" s="54"/>
      <c r="D201" s="60">
        <v>497.68499999999995</v>
      </c>
      <c r="E201" s="84">
        <f t="shared" si="166"/>
        <v>497.68499999999995</v>
      </c>
      <c r="F201" s="60">
        <v>497.68499999999995</v>
      </c>
      <c r="G201" s="84">
        <f t="shared" si="167"/>
        <v>497.68499999999995</v>
      </c>
      <c r="H201" s="60">
        <v>497.68499999999995</v>
      </c>
      <c r="I201" s="84">
        <f t="shared" si="168"/>
        <v>486.75749999999994</v>
      </c>
      <c r="J201" s="60">
        <v>475.83</v>
      </c>
      <c r="K201" s="84">
        <f t="shared" si="169"/>
        <v>299.45249999999999</v>
      </c>
      <c r="L201" s="60">
        <v>123.075</v>
      </c>
      <c r="M201" s="60">
        <v>87.35</v>
      </c>
      <c r="N201" s="60">
        <v>87.35</v>
      </c>
      <c r="O201" s="60">
        <v>13.32</v>
      </c>
      <c r="P201" s="60">
        <v>13.32</v>
      </c>
      <c r="Q201" s="85">
        <f t="shared" si="170"/>
        <v>13.320489999999999</v>
      </c>
      <c r="R201" s="85">
        <f t="shared" si="170"/>
        <v>13.320979999999999</v>
      </c>
      <c r="S201" s="85">
        <f t="shared" si="170"/>
        <v>13.321469999999998</v>
      </c>
      <c r="T201" s="84">
        <f t="shared" ref="T201:AC201" si="172">+S201-(0.711/100)</f>
        <v>13.314359999999997</v>
      </c>
      <c r="U201" s="84">
        <f t="shared" si="172"/>
        <v>13.307249999999996</v>
      </c>
      <c r="V201" s="84">
        <f t="shared" si="172"/>
        <v>13.300139999999995</v>
      </c>
      <c r="W201" s="84">
        <f t="shared" si="172"/>
        <v>13.293029999999995</v>
      </c>
      <c r="X201" s="84">
        <f t="shared" si="172"/>
        <v>13.285919999999994</v>
      </c>
      <c r="Y201" s="84">
        <f t="shared" si="172"/>
        <v>13.278809999999993</v>
      </c>
      <c r="Z201" s="84">
        <f t="shared" si="172"/>
        <v>13.271699999999992</v>
      </c>
      <c r="AA201" s="84">
        <f t="shared" si="172"/>
        <v>13.264589999999991</v>
      </c>
      <c r="AB201" s="84">
        <f t="shared" si="172"/>
        <v>13.25747999999999</v>
      </c>
      <c r="AC201" s="84">
        <f t="shared" si="172"/>
        <v>13.25036999999999</v>
      </c>
    </row>
    <row r="202" spans="1:29" x14ac:dyDescent="0.25">
      <c r="A202" s="86" t="s">
        <v>21</v>
      </c>
      <c r="B202" s="54" t="s">
        <v>29</v>
      </c>
      <c r="C202" s="54"/>
      <c r="D202" s="60">
        <v>52.04999999999999</v>
      </c>
      <c r="E202" s="84">
        <f t="shared" si="166"/>
        <v>52.04999999999999</v>
      </c>
      <c r="F202" s="60">
        <v>52.04999999999999</v>
      </c>
      <c r="G202" s="84">
        <f t="shared" si="167"/>
        <v>52.04999999999999</v>
      </c>
      <c r="H202" s="60">
        <v>52.04999999999999</v>
      </c>
      <c r="I202" s="84">
        <f t="shared" si="168"/>
        <v>244.83750000000001</v>
      </c>
      <c r="J202" s="60">
        <v>437.625</v>
      </c>
      <c r="K202" s="84">
        <f t="shared" si="169"/>
        <v>332.03250000000003</v>
      </c>
      <c r="L202" s="60">
        <v>226.44</v>
      </c>
      <c r="M202" s="60">
        <v>220.41</v>
      </c>
      <c r="N202" s="60">
        <v>220.41</v>
      </c>
      <c r="O202" s="60">
        <v>38.299999999999997</v>
      </c>
      <c r="P202" s="60">
        <v>38.299999999999997</v>
      </c>
      <c r="Q202" s="85">
        <f t="shared" si="170"/>
        <v>38.300489999999996</v>
      </c>
      <c r="R202" s="85">
        <f t="shared" si="170"/>
        <v>38.300979999999996</v>
      </c>
      <c r="S202" s="85">
        <f t="shared" si="170"/>
        <v>38.301469999999995</v>
      </c>
      <c r="T202" s="84">
        <f t="shared" ref="T202:AC202" si="173">+S202-(0.711/100)</f>
        <v>38.294359999999998</v>
      </c>
      <c r="U202" s="84">
        <f t="shared" si="173"/>
        <v>38.28725</v>
      </c>
      <c r="V202" s="84">
        <f t="shared" si="173"/>
        <v>38.280140000000003</v>
      </c>
      <c r="W202" s="84">
        <f t="shared" si="173"/>
        <v>38.273030000000006</v>
      </c>
      <c r="X202" s="84">
        <f t="shared" si="173"/>
        <v>38.265920000000008</v>
      </c>
      <c r="Y202" s="84">
        <f t="shared" si="173"/>
        <v>38.258810000000011</v>
      </c>
      <c r="Z202" s="84">
        <f t="shared" si="173"/>
        <v>38.251700000000014</v>
      </c>
      <c r="AA202" s="84">
        <f t="shared" si="173"/>
        <v>38.244590000000017</v>
      </c>
      <c r="AB202" s="84">
        <f t="shared" si="173"/>
        <v>38.237480000000019</v>
      </c>
      <c r="AC202" s="84">
        <f t="shared" si="173"/>
        <v>38.230370000000022</v>
      </c>
    </row>
    <row r="203" spans="1:29" x14ac:dyDescent="0.25">
      <c r="A203" s="86" t="s">
        <v>22</v>
      </c>
      <c r="B203" s="54" t="s">
        <v>29</v>
      </c>
      <c r="C203" s="54"/>
      <c r="D203" s="60">
        <v>22.185000000000002</v>
      </c>
      <c r="E203" s="84">
        <f t="shared" si="166"/>
        <v>22.185000000000002</v>
      </c>
      <c r="F203" s="60">
        <v>22.185000000000002</v>
      </c>
      <c r="G203" s="84">
        <f t="shared" si="167"/>
        <v>22.185000000000002</v>
      </c>
      <c r="H203" s="60">
        <v>22.185000000000002</v>
      </c>
      <c r="I203" s="84">
        <f t="shared" si="168"/>
        <v>63.247500000000002</v>
      </c>
      <c r="J203" s="60">
        <v>104.31</v>
      </c>
      <c r="K203" s="84">
        <f t="shared" si="169"/>
        <v>125.86499999999999</v>
      </c>
      <c r="L203" s="60">
        <v>147.41999999999999</v>
      </c>
      <c r="M203" s="60">
        <v>49.95</v>
      </c>
      <c r="N203" s="60">
        <v>49.95</v>
      </c>
      <c r="O203" s="60">
        <v>62.06</v>
      </c>
      <c r="P203" s="60">
        <v>62.06</v>
      </c>
      <c r="Q203" s="85">
        <f t="shared" si="170"/>
        <v>62.060490000000001</v>
      </c>
      <c r="R203" s="85">
        <f t="shared" si="170"/>
        <v>62.060980000000001</v>
      </c>
      <c r="S203" s="85">
        <f t="shared" si="170"/>
        <v>62.06147</v>
      </c>
      <c r="T203" s="84">
        <f t="shared" ref="T203:AC203" si="174">+S203-(0.711/100)</f>
        <v>62.054360000000003</v>
      </c>
      <c r="U203" s="84">
        <f t="shared" si="174"/>
        <v>62.047250000000005</v>
      </c>
      <c r="V203" s="84">
        <f t="shared" si="174"/>
        <v>62.040140000000008</v>
      </c>
      <c r="W203" s="84">
        <f t="shared" si="174"/>
        <v>62.033030000000011</v>
      </c>
      <c r="X203" s="84">
        <f t="shared" si="174"/>
        <v>62.025920000000013</v>
      </c>
      <c r="Y203" s="84">
        <f t="shared" si="174"/>
        <v>62.018810000000016</v>
      </c>
      <c r="Z203" s="84">
        <f t="shared" si="174"/>
        <v>62.011700000000019</v>
      </c>
      <c r="AA203" s="84">
        <f t="shared" si="174"/>
        <v>62.004590000000022</v>
      </c>
      <c r="AB203" s="84">
        <f t="shared" si="174"/>
        <v>61.997480000000024</v>
      </c>
      <c r="AC203" s="84">
        <f t="shared" si="174"/>
        <v>61.990370000000027</v>
      </c>
    </row>
    <row r="204" spans="1:29" x14ac:dyDescent="0.25">
      <c r="A204" s="86" t="s">
        <v>23</v>
      </c>
      <c r="B204" s="54" t="s">
        <v>29</v>
      </c>
      <c r="C204" s="54"/>
      <c r="D204" s="60">
        <v>76.410000000000011</v>
      </c>
      <c r="E204" s="84">
        <f t="shared" si="166"/>
        <v>76.410000000000011</v>
      </c>
      <c r="F204" s="60">
        <v>76.410000000000011</v>
      </c>
      <c r="G204" s="84">
        <f t="shared" si="167"/>
        <v>76.410000000000011</v>
      </c>
      <c r="H204" s="60">
        <v>76.410000000000011</v>
      </c>
      <c r="I204" s="84">
        <f t="shared" si="168"/>
        <v>147.91500000000002</v>
      </c>
      <c r="J204" s="60">
        <v>219.42000000000002</v>
      </c>
      <c r="K204" s="84">
        <f t="shared" si="169"/>
        <v>177.32249999999999</v>
      </c>
      <c r="L204" s="60">
        <v>135.22499999999999</v>
      </c>
      <c r="M204" s="60">
        <v>102.15</v>
      </c>
      <c r="N204" s="60">
        <v>102.15</v>
      </c>
      <c r="O204" s="60">
        <v>7.34</v>
      </c>
      <c r="P204" s="60">
        <v>7.34</v>
      </c>
      <c r="Q204" s="85">
        <f t="shared" si="170"/>
        <v>7.34049</v>
      </c>
      <c r="R204" s="85">
        <f t="shared" si="170"/>
        <v>7.3409800000000001</v>
      </c>
      <c r="S204" s="85">
        <f t="shared" si="170"/>
        <v>7.3414700000000002</v>
      </c>
      <c r="T204" s="84">
        <f t="shared" ref="T204:AC204" si="175">+S204-(0.711/100)</f>
        <v>7.3343600000000002</v>
      </c>
      <c r="U204" s="84">
        <f t="shared" si="175"/>
        <v>7.3272500000000003</v>
      </c>
      <c r="V204" s="84">
        <f t="shared" si="175"/>
        <v>7.3201400000000003</v>
      </c>
      <c r="W204" s="84">
        <f t="shared" si="175"/>
        <v>7.3130300000000004</v>
      </c>
      <c r="X204" s="84">
        <f t="shared" si="175"/>
        <v>7.3059200000000004</v>
      </c>
      <c r="Y204" s="84">
        <f t="shared" si="175"/>
        <v>7.2988100000000005</v>
      </c>
      <c r="Z204" s="84">
        <f t="shared" si="175"/>
        <v>7.2917000000000005</v>
      </c>
      <c r="AA204" s="84">
        <f t="shared" si="175"/>
        <v>7.2845900000000006</v>
      </c>
      <c r="AB204" s="84">
        <f t="shared" si="175"/>
        <v>7.2774800000000006</v>
      </c>
      <c r="AC204" s="84">
        <f t="shared" si="175"/>
        <v>7.2703700000000007</v>
      </c>
    </row>
    <row r="205" spans="1:29" ht="22.5" x14ac:dyDescent="0.25">
      <c r="A205" s="86" t="s">
        <v>24</v>
      </c>
      <c r="B205" s="54" t="s">
        <v>29</v>
      </c>
      <c r="C205" s="54"/>
      <c r="D205" s="60">
        <v>64.304999999999993</v>
      </c>
      <c r="E205" s="84">
        <f t="shared" si="166"/>
        <v>64.304999999999993</v>
      </c>
      <c r="F205" s="60">
        <v>64.304999999999993</v>
      </c>
      <c r="G205" s="84">
        <f t="shared" si="167"/>
        <v>64.304999999999993</v>
      </c>
      <c r="H205" s="60">
        <v>64.304999999999993</v>
      </c>
      <c r="I205" s="84">
        <f t="shared" si="168"/>
        <v>285.27749999999997</v>
      </c>
      <c r="J205" s="60">
        <v>506.25</v>
      </c>
      <c r="K205" s="84">
        <f t="shared" si="169"/>
        <v>589.18499999999995</v>
      </c>
      <c r="L205" s="60">
        <v>672.11999999999989</v>
      </c>
      <c r="M205" s="60">
        <v>582.98</v>
      </c>
      <c r="N205" s="60">
        <v>582.98</v>
      </c>
      <c r="O205" s="60">
        <v>170.37</v>
      </c>
      <c r="P205" s="60">
        <v>170.37</v>
      </c>
      <c r="Q205" s="85">
        <f t="shared" si="170"/>
        <v>170.37049000000002</v>
      </c>
      <c r="R205" s="85">
        <f t="shared" si="170"/>
        <v>170.37098000000003</v>
      </c>
      <c r="S205" s="85">
        <f t="shared" si="170"/>
        <v>170.37147000000004</v>
      </c>
      <c r="T205" s="84">
        <f t="shared" ref="T205:AC205" si="176">+S205-(0.711/100)</f>
        <v>170.36436000000003</v>
      </c>
      <c r="U205" s="84">
        <f t="shared" si="176"/>
        <v>170.35725000000002</v>
      </c>
      <c r="V205" s="84">
        <f t="shared" si="176"/>
        <v>170.35014000000001</v>
      </c>
      <c r="W205" s="84">
        <f t="shared" si="176"/>
        <v>170.34303</v>
      </c>
      <c r="X205" s="84">
        <f t="shared" si="176"/>
        <v>170.33591999999999</v>
      </c>
      <c r="Y205" s="84">
        <f t="shared" si="176"/>
        <v>170.32880999999998</v>
      </c>
      <c r="Z205" s="84">
        <f t="shared" si="176"/>
        <v>170.32169999999996</v>
      </c>
      <c r="AA205" s="84">
        <f t="shared" si="176"/>
        <v>170.31458999999995</v>
      </c>
      <c r="AB205" s="84">
        <f t="shared" si="176"/>
        <v>170.30747999999994</v>
      </c>
      <c r="AC205" s="84">
        <f t="shared" si="176"/>
        <v>170.30036999999993</v>
      </c>
    </row>
    <row r="206" spans="1:29" x14ac:dyDescent="0.25">
      <c r="A206" s="86" t="s">
        <v>25</v>
      </c>
      <c r="B206" s="54" t="s">
        <v>29</v>
      </c>
      <c r="C206" s="54"/>
      <c r="D206" s="60">
        <v>17.655000000000001</v>
      </c>
      <c r="E206" s="84">
        <f t="shared" si="166"/>
        <v>17.655000000000001</v>
      </c>
      <c r="F206" s="60">
        <v>17.655000000000001</v>
      </c>
      <c r="G206" s="84">
        <f t="shared" si="167"/>
        <v>17.655000000000001</v>
      </c>
      <c r="H206" s="60">
        <v>17.655000000000001</v>
      </c>
      <c r="I206" s="84">
        <f t="shared" si="168"/>
        <v>32.362499999999997</v>
      </c>
      <c r="J206" s="60">
        <v>47.07</v>
      </c>
      <c r="K206" s="84">
        <f t="shared" si="169"/>
        <v>62.617499999999993</v>
      </c>
      <c r="L206" s="60">
        <v>78.164999999999978</v>
      </c>
      <c r="M206" s="60">
        <v>73.22</v>
      </c>
      <c r="N206" s="60">
        <v>73.22</v>
      </c>
      <c r="O206" s="60">
        <v>3.38</v>
      </c>
      <c r="P206" s="60">
        <v>3.38</v>
      </c>
      <c r="Q206" s="85">
        <f t="shared" si="170"/>
        <v>3.38049</v>
      </c>
      <c r="R206" s="85">
        <f t="shared" si="170"/>
        <v>3.3809800000000001</v>
      </c>
      <c r="S206" s="85">
        <f t="shared" si="170"/>
        <v>3.3814700000000002</v>
      </c>
      <c r="T206" s="84">
        <f t="shared" ref="T206:AC206" si="177">+S206-(0.711/100)</f>
        <v>3.3743600000000002</v>
      </c>
      <c r="U206" s="84">
        <f t="shared" si="177"/>
        <v>3.3672500000000003</v>
      </c>
      <c r="V206" s="84">
        <f t="shared" si="177"/>
        <v>3.3601400000000003</v>
      </c>
      <c r="W206" s="84">
        <f t="shared" si="177"/>
        <v>3.3530300000000004</v>
      </c>
      <c r="X206" s="84">
        <f t="shared" si="177"/>
        <v>3.3459200000000004</v>
      </c>
      <c r="Y206" s="84">
        <f t="shared" si="177"/>
        <v>3.3388100000000005</v>
      </c>
      <c r="Z206" s="84">
        <f t="shared" si="177"/>
        <v>3.3317000000000005</v>
      </c>
      <c r="AA206" s="84">
        <f t="shared" si="177"/>
        <v>3.3245900000000006</v>
      </c>
      <c r="AB206" s="84">
        <f t="shared" si="177"/>
        <v>3.3174800000000007</v>
      </c>
      <c r="AC206" s="84">
        <f t="shared" si="177"/>
        <v>3.3103700000000007</v>
      </c>
    </row>
    <row r="207" spans="1:29" x14ac:dyDescent="0.25">
      <c r="A207" s="86" t="s">
        <v>26</v>
      </c>
      <c r="B207" s="54" t="s">
        <v>29</v>
      </c>
      <c r="C207" s="54"/>
      <c r="D207" s="60">
        <v>71.250000000000014</v>
      </c>
      <c r="E207" s="84">
        <f t="shared" si="166"/>
        <v>71.250000000000014</v>
      </c>
      <c r="F207" s="60">
        <v>71.250000000000014</v>
      </c>
      <c r="G207" s="84">
        <f t="shared" si="167"/>
        <v>71.250000000000014</v>
      </c>
      <c r="H207" s="60">
        <v>71.250000000000014</v>
      </c>
      <c r="I207" s="84">
        <f t="shared" si="168"/>
        <v>133.34249999999997</v>
      </c>
      <c r="J207" s="60">
        <v>195.43499999999995</v>
      </c>
      <c r="K207" s="84">
        <f t="shared" si="169"/>
        <v>191.65499999999997</v>
      </c>
      <c r="L207" s="60">
        <v>187.87500000000003</v>
      </c>
      <c r="M207" s="60">
        <v>191.3</v>
      </c>
      <c r="N207" s="60">
        <v>191.3</v>
      </c>
      <c r="O207" s="60">
        <v>19.940000000000001</v>
      </c>
      <c r="P207" s="60">
        <v>19.940000000000001</v>
      </c>
      <c r="Q207" s="85">
        <f t="shared" si="170"/>
        <v>19.94049</v>
      </c>
      <c r="R207" s="85">
        <f t="shared" si="170"/>
        <v>19.94098</v>
      </c>
      <c r="S207" s="85">
        <f t="shared" si="170"/>
        <v>19.941469999999999</v>
      </c>
      <c r="T207" s="84">
        <f t="shared" ref="T207:AC207" si="178">+S207-(0.711/100)</f>
        <v>19.934359999999998</v>
      </c>
      <c r="U207" s="84">
        <f t="shared" si="178"/>
        <v>19.927249999999997</v>
      </c>
      <c r="V207" s="84">
        <f t="shared" si="178"/>
        <v>19.920139999999996</v>
      </c>
      <c r="W207" s="84">
        <f t="shared" si="178"/>
        <v>19.913029999999996</v>
      </c>
      <c r="X207" s="84">
        <f t="shared" si="178"/>
        <v>19.905919999999995</v>
      </c>
      <c r="Y207" s="84">
        <f t="shared" si="178"/>
        <v>19.898809999999994</v>
      </c>
      <c r="Z207" s="84">
        <f t="shared" si="178"/>
        <v>19.891699999999993</v>
      </c>
      <c r="AA207" s="84">
        <f t="shared" si="178"/>
        <v>19.884589999999992</v>
      </c>
      <c r="AB207" s="84">
        <f t="shared" si="178"/>
        <v>19.877479999999991</v>
      </c>
      <c r="AC207" s="84">
        <f t="shared" si="178"/>
        <v>19.870369999999991</v>
      </c>
    </row>
    <row r="208" spans="1:29" x14ac:dyDescent="0.25">
      <c r="A208" s="86" t="s">
        <v>27</v>
      </c>
      <c r="B208" s="54" t="s">
        <v>29</v>
      </c>
      <c r="C208" s="54"/>
      <c r="D208" s="60">
        <v>1.6050000000000002</v>
      </c>
      <c r="E208" s="84">
        <f t="shared" si="166"/>
        <v>1.6050000000000002</v>
      </c>
      <c r="F208" s="60">
        <v>1.6050000000000002</v>
      </c>
      <c r="G208" s="84">
        <f t="shared" si="167"/>
        <v>1.6050000000000002</v>
      </c>
      <c r="H208" s="60">
        <v>1.6050000000000002</v>
      </c>
      <c r="I208" s="84">
        <f t="shared" si="168"/>
        <v>6.7424999999999997</v>
      </c>
      <c r="J208" s="60">
        <v>11.879999999999999</v>
      </c>
      <c r="K208" s="84">
        <f t="shared" si="169"/>
        <v>9.3149999999999995</v>
      </c>
      <c r="L208" s="60">
        <v>6.75</v>
      </c>
      <c r="M208" s="60">
        <v>8.5500000000000007</v>
      </c>
      <c r="N208" s="60">
        <v>8.5500000000000007</v>
      </c>
      <c r="O208" s="60">
        <v>9.6300000000000008</v>
      </c>
      <c r="P208" s="60">
        <v>9.6300000000000008</v>
      </c>
      <c r="Q208" s="85">
        <f t="shared" si="170"/>
        <v>9.63049</v>
      </c>
      <c r="R208" s="85">
        <f t="shared" si="170"/>
        <v>9.6309799999999992</v>
      </c>
      <c r="S208" s="85">
        <f t="shared" si="170"/>
        <v>9.6314699999999984</v>
      </c>
      <c r="T208" s="84">
        <f t="shared" ref="T208:AC208" si="179">+S208-(0.711/100)</f>
        <v>9.6243599999999976</v>
      </c>
      <c r="U208" s="84">
        <f t="shared" si="179"/>
        <v>9.6172499999999967</v>
      </c>
      <c r="V208" s="84">
        <f t="shared" si="179"/>
        <v>9.6101399999999959</v>
      </c>
      <c r="W208" s="84">
        <f t="shared" si="179"/>
        <v>9.6030299999999951</v>
      </c>
      <c r="X208" s="84">
        <f t="shared" si="179"/>
        <v>9.5959199999999942</v>
      </c>
      <c r="Y208" s="84">
        <f t="shared" si="179"/>
        <v>9.5888099999999934</v>
      </c>
      <c r="Z208" s="84">
        <f t="shared" si="179"/>
        <v>9.5816999999999926</v>
      </c>
      <c r="AA208" s="84">
        <f t="shared" si="179"/>
        <v>9.5745899999999917</v>
      </c>
      <c r="AB208" s="84">
        <f t="shared" si="179"/>
        <v>9.5674799999999909</v>
      </c>
      <c r="AC208" s="84">
        <f t="shared" si="179"/>
        <v>9.56036999999999</v>
      </c>
    </row>
    <row r="209" spans="1:29" x14ac:dyDescent="0.25">
      <c r="A209" s="86" t="s">
        <v>28</v>
      </c>
      <c r="B209" s="54" t="s">
        <v>29</v>
      </c>
      <c r="C209" s="54"/>
      <c r="D209" s="60">
        <v>34.950000000000003</v>
      </c>
      <c r="E209" s="84">
        <f t="shared" si="166"/>
        <v>34.950000000000003</v>
      </c>
      <c r="F209" s="60">
        <v>34.950000000000003</v>
      </c>
      <c r="G209" s="84">
        <f t="shared" si="167"/>
        <v>34.950000000000003</v>
      </c>
      <c r="H209" s="60">
        <v>34.950000000000003</v>
      </c>
      <c r="I209" s="84">
        <f t="shared" si="168"/>
        <v>105.4725</v>
      </c>
      <c r="J209" s="60">
        <v>175.995</v>
      </c>
      <c r="K209" s="84">
        <f t="shared" si="169"/>
        <v>180.22750000000002</v>
      </c>
      <c r="L209" s="60">
        <v>184.46</v>
      </c>
      <c r="M209" s="60">
        <v>7.38</v>
      </c>
      <c r="N209" s="60">
        <v>7.38</v>
      </c>
      <c r="O209" s="60">
        <v>10.35</v>
      </c>
      <c r="P209" s="60">
        <v>10.35</v>
      </c>
      <c r="Q209" s="85">
        <f t="shared" si="170"/>
        <v>10.350489999999999</v>
      </c>
      <c r="R209" s="85">
        <f t="shared" si="170"/>
        <v>10.350979999999998</v>
      </c>
      <c r="S209" s="85">
        <f t="shared" si="170"/>
        <v>10.351469999999997</v>
      </c>
      <c r="T209" s="84">
        <f t="shared" ref="T209:AC209" si="180">+S209-(0.711/100)</f>
        <v>10.344359999999996</v>
      </c>
      <c r="U209" s="84">
        <f t="shared" si="180"/>
        <v>10.337249999999996</v>
      </c>
      <c r="V209" s="84">
        <f t="shared" si="180"/>
        <v>10.330139999999995</v>
      </c>
      <c r="W209" s="84">
        <f t="shared" si="180"/>
        <v>10.323029999999994</v>
      </c>
      <c r="X209" s="84">
        <f t="shared" si="180"/>
        <v>10.315919999999993</v>
      </c>
      <c r="Y209" s="84">
        <f t="shared" si="180"/>
        <v>10.308809999999992</v>
      </c>
      <c r="Z209" s="84">
        <f t="shared" si="180"/>
        <v>10.301699999999991</v>
      </c>
      <c r="AA209" s="84">
        <f t="shared" si="180"/>
        <v>10.294589999999991</v>
      </c>
      <c r="AB209" s="84">
        <f t="shared" si="180"/>
        <v>10.28747999999999</v>
      </c>
      <c r="AC209" s="84">
        <f t="shared" si="180"/>
        <v>10.280369999999989</v>
      </c>
    </row>
    <row r="210" spans="1:29" x14ac:dyDescent="0.25">
      <c r="A210" s="56" t="s">
        <v>19</v>
      </c>
      <c r="B210" s="54" t="s">
        <v>29</v>
      </c>
      <c r="C210" s="54"/>
      <c r="D210" s="60">
        <v>3381.8250000000003</v>
      </c>
      <c r="E210" s="84">
        <f t="shared" si="166"/>
        <v>3381.8250000000003</v>
      </c>
      <c r="F210" s="60">
        <v>3381.8250000000003</v>
      </c>
      <c r="G210" s="84">
        <f t="shared" si="167"/>
        <v>3381.8250000000003</v>
      </c>
      <c r="H210" s="60">
        <v>3381.8250000000003</v>
      </c>
      <c r="I210" s="84">
        <f t="shared" si="168"/>
        <v>2758.6950000000002</v>
      </c>
      <c r="J210" s="60">
        <v>2135.5650000000001</v>
      </c>
      <c r="K210" s="84">
        <f t="shared" si="169"/>
        <v>3725.7825000000003</v>
      </c>
      <c r="L210" s="60">
        <v>5316</v>
      </c>
      <c r="M210" s="60">
        <v>196.43</v>
      </c>
      <c r="N210" s="60">
        <v>196.43</v>
      </c>
      <c r="O210" s="60">
        <v>2343.11</v>
      </c>
      <c r="P210" s="60">
        <v>2343.11</v>
      </c>
      <c r="Q210" s="85">
        <f t="shared" si="170"/>
        <v>2343.11049</v>
      </c>
      <c r="R210" s="85">
        <f t="shared" si="170"/>
        <v>2343.1109799999999</v>
      </c>
      <c r="S210" s="85">
        <f t="shared" si="170"/>
        <v>2343.1114699999998</v>
      </c>
      <c r="T210" s="84">
        <f t="shared" ref="T210:AC210" si="181">+S210-(0.711/100)</f>
        <v>2343.1043599999998</v>
      </c>
      <c r="U210" s="84">
        <f t="shared" si="181"/>
        <v>2343.0972499999998</v>
      </c>
      <c r="V210" s="84">
        <f t="shared" si="181"/>
        <v>2343.0901399999998</v>
      </c>
      <c r="W210" s="84">
        <f t="shared" si="181"/>
        <v>2343.0830299999998</v>
      </c>
      <c r="X210" s="84">
        <f t="shared" si="181"/>
        <v>2343.0759199999998</v>
      </c>
      <c r="Y210" s="84">
        <f t="shared" si="181"/>
        <v>2343.0688099999998</v>
      </c>
      <c r="Z210" s="84">
        <f t="shared" si="181"/>
        <v>2343.0616999999997</v>
      </c>
      <c r="AA210" s="84">
        <f t="shared" si="181"/>
        <v>2343.0545899999997</v>
      </c>
      <c r="AB210" s="84">
        <f t="shared" si="181"/>
        <v>2343.0474799999997</v>
      </c>
      <c r="AC210" s="84">
        <f t="shared" si="181"/>
        <v>2343.0403699999997</v>
      </c>
    </row>
    <row r="211" spans="1:29" x14ac:dyDescent="0.25">
      <c r="A211" s="56" t="s">
        <v>4</v>
      </c>
      <c r="B211" s="54" t="s">
        <v>29</v>
      </c>
      <c r="C211" s="54"/>
      <c r="D211" s="60">
        <v>1159.8499999999999</v>
      </c>
      <c r="E211" s="84">
        <f t="shared" si="166"/>
        <v>1159.8499999999999</v>
      </c>
      <c r="F211" s="60">
        <v>1159.8499999999999</v>
      </c>
      <c r="G211" s="84">
        <f t="shared" si="167"/>
        <v>1159.8499999999999</v>
      </c>
      <c r="H211" s="60">
        <v>1159.8499999999999</v>
      </c>
      <c r="I211" s="84">
        <f t="shared" si="168"/>
        <v>1791.19</v>
      </c>
      <c r="J211" s="60">
        <v>2422.5300000000002</v>
      </c>
      <c r="K211" s="84">
        <f t="shared" si="169"/>
        <v>1698.5050000000001</v>
      </c>
      <c r="L211" s="60">
        <v>974.48</v>
      </c>
      <c r="M211" s="60">
        <v>464.04</v>
      </c>
      <c r="N211" s="60">
        <v>464.04</v>
      </c>
      <c r="O211" s="60">
        <v>465.71</v>
      </c>
      <c r="P211" s="60">
        <v>465.71</v>
      </c>
      <c r="Q211" s="85">
        <f t="shared" si="170"/>
        <v>465.71048999999999</v>
      </c>
      <c r="R211" s="85">
        <f t="shared" si="170"/>
        <v>465.71098000000001</v>
      </c>
      <c r="S211" s="85">
        <f t="shared" si="170"/>
        <v>465.71147000000002</v>
      </c>
      <c r="T211" s="84">
        <f t="shared" ref="T211:AC211" si="182">+S211-(0.711/100)</f>
        <v>465.70436000000001</v>
      </c>
      <c r="U211" s="84">
        <f t="shared" si="182"/>
        <v>465.69725</v>
      </c>
      <c r="V211" s="84">
        <f t="shared" si="182"/>
        <v>465.69013999999999</v>
      </c>
      <c r="W211" s="84">
        <f t="shared" si="182"/>
        <v>465.68302999999997</v>
      </c>
      <c r="X211" s="84">
        <f t="shared" si="182"/>
        <v>465.67591999999996</v>
      </c>
      <c r="Y211" s="84">
        <f t="shared" si="182"/>
        <v>465.66880999999995</v>
      </c>
      <c r="Z211" s="84">
        <f t="shared" si="182"/>
        <v>465.66169999999994</v>
      </c>
      <c r="AA211" s="84">
        <f t="shared" si="182"/>
        <v>465.65458999999993</v>
      </c>
      <c r="AB211" s="84">
        <f t="shared" si="182"/>
        <v>465.64747999999992</v>
      </c>
      <c r="AC211" s="84">
        <f t="shared" si="182"/>
        <v>465.6403699999999</v>
      </c>
    </row>
    <row r="212" spans="1:29" x14ac:dyDescent="0.25">
      <c r="A212" s="56" t="s">
        <v>5</v>
      </c>
      <c r="B212" s="54" t="s">
        <v>29</v>
      </c>
      <c r="C212" s="54"/>
      <c r="D212" s="60">
        <v>1795.99</v>
      </c>
      <c r="E212" s="84">
        <f t="shared" si="166"/>
        <v>1795.99</v>
      </c>
      <c r="F212" s="60">
        <v>1795.99</v>
      </c>
      <c r="G212" s="84">
        <f t="shared" si="167"/>
        <v>1795.99</v>
      </c>
      <c r="H212" s="60">
        <v>1795.99</v>
      </c>
      <c r="I212" s="84">
        <f t="shared" si="168"/>
        <v>1414.6399999999999</v>
      </c>
      <c r="J212" s="60">
        <v>1033.29</v>
      </c>
      <c r="K212" s="84">
        <f t="shared" si="169"/>
        <v>2623.5</v>
      </c>
      <c r="L212" s="60">
        <v>4213.71</v>
      </c>
      <c r="M212" s="60">
        <v>26.96</v>
      </c>
      <c r="N212" s="60">
        <v>26.96</v>
      </c>
      <c r="O212" s="60">
        <v>341.55</v>
      </c>
      <c r="P212" s="60">
        <v>341.55</v>
      </c>
      <c r="Q212" s="85">
        <f t="shared" si="170"/>
        <v>341.55049000000002</v>
      </c>
      <c r="R212" s="85">
        <f t="shared" si="170"/>
        <v>341.55098000000004</v>
      </c>
      <c r="S212" s="85">
        <f t="shared" si="170"/>
        <v>341.55147000000005</v>
      </c>
      <c r="T212" s="84">
        <f t="shared" ref="T212:AC212" si="183">+S212-(0.711/100)</f>
        <v>341.54436000000004</v>
      </c>
      <c r="U212" s="84">
        <f t="shared" si="183"/>
        <v>341.53725000000003</v>
      </c>
      <c r="V212" s="84">
        <f t="shared" si="183"/>
        <v>341.53014000000002</v>
      </c>
      <c r="W212" s="84">
        <f t="shared" si="183"/>
        <v>341.52303000000001</v>
      </c>
      <c r="X212" s="84">
        <f t="shared" si="183"/>
        <v>341.51591999999999</v>
      </c>
      <c r="Y212" s="84">
        <f t="shared" si="183"/>
        <v>341.50880999999998</v>
      </c>
      <c r="Z212" s="84">
        <f t="shared" si="183"/>
        <v>341.50169999999997</v>
      </c>
      <c r="AA212" s="84">
        <f t="shared" si="183"/>
        <v>341.49458999999996</v>
      </c>
      <c r="AB212" s="84">
        <f t="shared" si="183"/>
        <v>341.48747999999995</v>
      </c>
      <c r="AC212" s="84">
        <f t="shared" si="183"/>
        <v>341.48036999999994</v>
      </c>
    </row>
    <row r="213" spans="1:29" x14ac:dyDescent="0.25">
      <c r="A213" s="56" t="s">
        <v>6</v>
      </c>
      <c r="B213" s="54" t="s">
        <v>29</v>
      </c>
      <c r="C213" s="54"/>
      <c r="D213" s="60">
        <v>0</v>
      </c>
      <c r="E213" s="84">
        <f t="shared" si="166"/>
        <v>0</v>
      </c>
      <c r="F213" s="60">
        <v>0</v>
      </c>
      <c r="G213" s="84">
        <f t="shared" si="167"/>
        <v>0</v>
      </c>
      <c r="H213" s="60">
        <v>0</v>
      </c>
      <c r="I213" s="84">
        <f t="shared" si="168"/>
        <v>0</v>
      </c>
      <c r="J213" s="60">
        <v>0</v>
      </c>
      <c r="K213" s="84">
        <f t="shared" si="169"/>
        <v>0</v>
      </c>
      <c r="L213" s="60">
        <v>0</v>
      </c>
      <c r="M213" s="60">
        <v>0</v>
      </c>
      <c r="N213" s="60">
        <v>0</v>
      </c>
      <c r="O213" s="60">
        <v>0</v>
      </c>
      <c r="P213" s="60">
        <v>0</v>
      </c>
      <c r="Q213" s="85">
        <f t="shared" si="170"/>
        <v>4.8999999999999998E-4</v>
      </c>
      <c r="R213" s="85">
        <f t="shared" si="170"/>
        <v>9.7999999999999997E-4</v>
      </c>
      <c r="S213" s="85">
        <f t="shared" si="170"/>
        <v>1.47E-3</v>
      </c>
      <c r="T213" s="84">
        <f t="shared" ref="T213:AC213" si="184">+S213-(0.711/100)</f>
        <v>-5.64E-3</v>
      </c>
      <c r="U213" s="84">
        <f t="shared" si="184"/>
        <v>-1.2750000000000001E-2</v>
      </c>
      <c r="V213" s="84">
        <f t="shared" si="184"/>
        <v>-1.9860000000000003E-2</v>
      </c>
      <c r="W213" s="84">
        <f t="shared" si="184"/>
        <v>-2.6970000000000001E-2</v>
      </c>
      <c r="X213" s="84">
        <f t="shared" si="184"/>
        <v>-3.4079999999999999E-2</v>
      </c>
      <c r="Y213" s="84">
        <f t="shared" si="184"/>
        <v>-4.1189999999999997E-2</v>
      </c>
      <c r="Z213" s="84">
        <f t="shared" si="184"/>
        <v>-4.8299999999999996E-2</v>
      </c>
      <c r="AA213" s="84">
        <f t="shared" si="184"/>
        <v>-5.5409999999999994E-2</v>
      </c>
      <c r="AB213" s="84">
        <f t="shared" si="184"/>
        <v>-6.2519999999999992E-2</v>
      </c>
      <c r="AC213" s="84">
        <f t="shared" si="184"/>
        <v>-6.9629999999999997E-2</v>
      </c>
    </row>
    <row r="214" spans="1:29" x14ac:dyDescent="0.25">
      <c r="A214" s="214"/>
      <c r="B214" s="215"/>
      <c r="C214" s="215"/>
      <c r="D214" s="115"/>
      <c r="E214" s="216"/>
      <c r="F214" s="115"/>
      <c r="G214" s="216"/>
      <c r="H214" s="115"/>
      <c r="I214" s="216"/>
      <c r="J214" s="115"/>
      <c r="K214" s="216"/>
      <c r="L214" s="115"/>
      <c r="M214" s="115"/>
      <c r="N214" s="115"/>
      <c r="O214" s="115"/>
      <c r="P214" s="115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</row>
    <row r="216" spans="1:29" x14ac:dyDescent="0.25">
      <c r="A216" s="1" t="s">
        <v>105</v>
      </c>
      <c r="B216" s="65" t="s">
        <v>106</v>
      </c>
      <c r="C216" s="65"/>
      <c r="D216" s="1">
        <v>2010</v>
      </c>
      <c r="E216" s="1">
        <v>2011</v>
      </c>
      <c r="F216" s="1">
        <v>2012</v>
      </c>
      <c r="G216" s="1">
        <v>2013</v>
      </c>
      <c r="H216" s="1">
        <v>2014</v>
      </c>
      <c r="I216" s="1">
        <v>2015</v>
      </c>
      <c r="J216" s="1">
        <v>2016</v>
      </c>
      <c r="K216" s="1">
        <v>2017</v>
      </c>
      <c r="L216" s="1">
        <v>2018</v>
      </c>
      <c r="M216" s="1">
        <v>2019</v>
      </c>
      <c r="N216" s="1">
        <v>2020</v>
      </c>
      <c r="O216" s="1">
        <v>2021</v>
      </c>
      <c r="P216" s="1">
        <v>2022</v>
      </c>
      <c r="Q216" s="1">
        <v>2023</v>
      </c>
      <c r="R216" s="1">
        <v>2024</v>
      </c>
      <c r="S216" s="1">
        <v>2025</v>
      </c>
      <c r="T216" s="1">
        <v>2026</v>
      </c>
      <c r="U216" s="1">
        <v>2027</v>
      </c>
      <c r="V216" s="1">
        <v>2028</v>
      </c>
      <c r="W216" s="1">
        <v>2029</v>
      </c>
      <c r="X216" s="1">
        <v>2030</v>
      </c>
      <c r="Y216" s="1">
        <v>2031</v>
      </c>
      <c r="Z216" s="1">
        <v>2032</v>
      </c>
      <c r="AA216" s="1">
        <v>2033</v>
      </c>
      <c r="AB216" s="1">
        <v>2034</v>
      </c>
      <c r="AC216" s="1">
        <v>2035</v>
      </c>
    </row>
    <row r="217" spans="1:29" x14ac:dyDescent="0.25">
      <c r="A217" s="54" t="s">
        <v>19</v>
      </c>
      <c r="B217" s="86" t="s">
        <v>18</v>
      </c>
      <c r="C217" s="86"/>
      <c r="D217" s="84">
        <f t="shared" ref="D217:P217" si="185">+D96</f>
        <v>35.450349455211686</v>
      </c>
      <c r="E217" s="84">
        <f t="shared" si="185"/>
        <v>35.450349455211686</v>
      </c>
      <c r="F217" s="84">
        <f t="shared" si="185"/>
        <v>35.450349455211686</v>
      </c>
      <c r="G217" s="84">
        <f t="shared" si="185"/>
        <v>35.450349455211686</v>
      </c>
      <c r="H217" s="84">
        <f t="shared" si="185"/>
        <v>35.450349455211686</v>
      </c>
      <c r="I217" s="84">
        <f t="shared" si="185"/>
        <v>27.971301260442953</v>
      </c>
      <c r="J217" s="84">
        <f t="shared" si="185"/>
        <v>20.492253065674223</v>
      </c>
      <c r="K217" s="84">
        <f t="shared" si="185"/>
        <v>26.145300649667249</v>
      </c>
      <c r="L217" s="84">
        <f t="shared" si="185"/>
        <v>31.798348233660274</v>
      </c>
      <c r="M217" s="84">
        <f t="shared" si="185"/>
        <v>5.2465438706970549</v>
      </c>
      <c r="N217" s="84">
        <f t="shared" si="185"/>
        <v>5.2465438706970549</v>
      </c>
      <c r="O217" s="84">
        <f t="shared" si="185"/>
        <v>5.8147838288109819</v>
      </c>
      <c r="P217" s="84">
        <f t="shared" si="185"/>
        <v>5.8147838288109819</v>
      </c>
      <c r="Q217" s="84">
        <f t="shared" ref="Q217:S225" si="186">+P217-(0.049/100)</f>
        <v>5.8142938288109818</v>
      </c>
      <c r="R217" s="84">
        <f t="shared" si="186"/>
        <v>5.8138038288109817</v>
      </c>
      <c r="S217" s="84">
        <f t="shared" si="186"/>
        <v>5.8133138288109816</v>
      </c>
      <c r="T217" s="84">
        <f t="shared" ref="T217:AC217" si="187">+S217+(0.711/100)</f>
        <v>5.8204238288109815</v>
      </c>
      <c r="U217" s="84">
        <f t="shared" si="187"/>
        <v>5.8275338288109815</v>
      </c>
      <c r="V217" s="84">
        <f t="shared" si="187"/>
        <v>5.8346438288109814</v>
      </c>
      <c r="W217" s="84">
        <f t="shared" si="187"/>
        <v>5.8417538288109814</v>
      </c>
      <c r="X217" s="84">
        <f t="shared" si="187"/>
        <v>5.8488638288109813</v>
      </c>
      <c r="Y217" s="84">
        <f t="shared" si="187"/>
        <v>5.8559738288109813</v>
      </c>
      <c r="Z217" s="84">
        <f t="shared" si="187"/>
        <v>5.8630838288109812</v>
      </c>
      <c r="AA217" s="84">
        <f t="shared" si="187"/>
        <v>5.8701938288109812</v>
      </c>
      <c r="AB217" s="84">
        <f t="shared" si="187"/>
        <v>5.8773038288109811</v>
      </c>
      <c r="AC217" s="84">
        <f t="shared" si="187"/>
        <v>5.8844138288109811</v>
      </c>
    </row>
    <row r="218" spans="1:29" x14ac:dyDescent="0.25">
      <c r="A218" s="54" t="s">
        <v>19</v>
      </c>
      <c r="B218" s="86" t="s">
        <v>20</v>
      </c>
      <c r="C218" s="86"/>
      <c r="D218" s="84">
        <f t="shared" ref="D218:P218" si="188">+D97</f>
        <v>346.1792516375865</v>
      </c>
      <c r="E218" s="84">
        <f t="shared" si="188"/>
        <v>346.1792516375865</v>
      </c>
      <c r="F218" s="84">
        <f t="shared" si="188"/>
        <v>346.1792516375865</v>
      </c>
      <c r="G218" s="84">
        <f t="shared" si="188"/>
        <v>346.1792516375865</v>
      </c>
      <c r="H218" s="84">
        <f t="shared" si="188"/>
        <v>346.1792516375865</v>
      </c>
      <c r="I218" s="84">
        <f t="shared" si="188"/>
        <v>273.14495587422419</v>
      </c>
      <c r="J218" s="84">
        <f t="shared" si="188"/>
        <v>200.11066011086183</v>
      </c>
      <c r="K218" s="84">
        <f t="shared" si="188"/>
        <v>255.31372050863939</v>
      </c>
      <c r="L218" s="84">
        <f t="shared" si="188"/>
        <v>310.51678090641695</v>
      </c>
      <c r="M218" s="84">
        <f t="shared" si="188"/>
        <v>51.23347608001253</v>
      </c>
      <c r="N218" s="84">
        <f t="shared" si="188"/>
        <v>51.23347608001253</v>
      </c>
      <c r="O218" s="84">
        <f t="shared" si="188"/>
        <v>56.78244489057338</v>
      </c>
      <c r="P218" s="84">
        <f t="shared" si="188"/>
        <v>56.78244489057338</v>
      </c>
      <c r="Q218" s="84">
        <f t="shared" si="186"/>
        <v>56.781954890573381</v>
      </c>
      <c r="R218" s="84">
        <f t="shared" si="186"/>
        <v>56.781464890573382</v>
      </c>
      <c r="S218" s="84">
        <f t="shared" si="186"/>
        <v>56.780974890573383</v>
      </c>
      <c r="T218" s="84">
        <f t="shared" ref="T218:AC218" si="189">+S218+(0.711/100)</f>
        <v>56.78808489057338</v>
      </c>
      <c r="U218" s="84">
        <f t="shared" si="189"/>
        <v>56.795194890573377</v>
      </c>
      <c r="V218" s="84">
        <f t="shared" si="189"/>
        <v>56.802304890573375</v>
      </c>
      <c r="W218" s="84">
        <f t="shared" si="189"/>
        <v>56.809414890573372</v>
      </c>
      <c r="X218" s="84">
        <f t="shared" si="189"/>
        <v>56.816524890573369</v>
      </c>
      <c r="Y218" s="84">
        <f t="shared" si="189"/>
        <v>56.823634890573366</v>
      </c>
      <c r="Z218" s="84">
        <f t="shared" si="189"/>
        <v>56.830744890573364</v>
      </c>
      <c r="AA218" s="84">
        <f t="shared" si="189"/>
        <v>56.837854890573361</v>
      </c>
      <c r="AB218" s="84">
        <f t="shared" si="189"/>
        <v>56.844964890573358</v>
      </c>
      <c r="AC218" s="84">
        <f t="shared" si="189"/>
        <v>56.852074890573356</v>
      </c>
    </row>
    <row r="219" spans="1:29" x14ac:dyDescent="0.25">
      <c r="A219" s="54" t="s">
        <v>19</v>
      </c>
      <c r="B219" s="86" t="s">
        <v>21</v>
      </c>
      <c r="C219" s="86"/>
      <c r="D219" s="84">
        <f t="shared" ref="D219:P219" si="190">+D98</f>
        <v>3310.1998640493071</v>
      </c>
      <c r="E219" s="84">
        <f t="shared" si="190"/>
        <v>3310.1998640493071</v>
      </c>
      <c r="F219" s="84">
        <f t="shared" si="190"/>
        <v>3310.1998640493071</v>
      </c>
      <c r="G219" s="84">
        <f t="shared" si="190"/>
        <v>3310.1998640493071</v>
      </c>
      <c r="H219" s="84">
        <f t="shared" si="190"/>
        <v>3310.1998640493071</v>
      </c>
      <c r="I219" s="84">
        <f t="shared" si="190"/>
        <v>2611.8387844548711</v>
      </c>
      <c r="J219" s="84">
        <f t="shared" si="190"/>
        <v>1913.4777048604346</v>
      </c>
      <c r="K219" s="84">
        <f t="shared" si="190"/>
        <v>2441.3347678109649</v>
      </c>
      <c r="L219" s="84">
        <f t="shared" si="190"/>
        <v>2969.1918307614956</v>
      </c>
      <c r="M219" s="84">
        <f t="shared" si="190"/>
        <v>489.89950943789398</v>
      </c>
      <c r="N219" s="84">
        <f t="shared" si="190"/>
        <v>489.89950943789398</v>
      </c>
      <c r="O219" s="84">
        <f t="shared" si="190"/>
        <v>542.95929195068879</v>
      </c>
      <c r="P219" s="84">
        <f t="shared" si="190"/>
        <v>542.95929195068879</v>
      </c>
      <c r="Q219" s="84">
        <f t="shared" si="186"/>
        <v>542.95880195068878</v>
      </c>
      <c r="R219" s="84">
        <f t="shared" si="186"/>
        <v>542.95831195068877</v>
      </c>
      <c r="S219" s="84">
        <f t="shared" si="186"/>
        <v>542.95782195068875</v>
      </c>
      <c r="T219" s="84">
        <f t="shared" ref="T219:AC219" si="191">+S219+(0.711/100)</f>
        <v>542.96493195068877</v>
      </c>
      <c r="U219" s="84">
        <f t="shared" si="191"/>
        <v>542.97204195068878</v>
      </c>
      <c r="V219" s="84">
        <f t="shared" si="191"/>
        <v>542.97915195068879</v>
      </c>
      <c r="W219" s="84">
        <f t="shared" si="191"/>
        <v>542.9862619506888</v>
      </c>
      <c r="X219" s="84">
        <f t="shared" si="191"/>
        <v>542.99337195068881</v>
      </c>
      <c r="Y219" s="84">
        <f t="shared" si="191"/>
        <v>543.00048195068882</v>
      </c>
      <c r="Z219" s="84">
        <f t="shared" si="191"/>
        <v>543.00759195068883</v>
      </c>
      <c r="AA219" s="84">
        <f t="shared" si="191"/>
        <v>543.01470195068885</v>
      </c>
      <c r="AB219" s="84">
        <f t="shared" si="191"/>
        <v>543.02181195068886</v>
      </c>
      <c r="AC219" s="84">
        <f t="shared" si="191"/>
        <v>543.02892195068887</v>
      </c>
    </row>
    <row r="220" spans="1:29" x14ac:dyDescent="0.25">
      <c r="A220" s="54" t="s">
        <v>19</v>
      </c>
      <c r="B220" s="86" t="s">
        <v>22</v>
      </c>
      <c r="C220" s="86"/>
      <c r="D220" s="84">
        <f t="shared" ref="D220:P220" si="192">+D99</f>
        <v>1345.5748980235817</v>
      </c>
      <c r="E220" s="84">
        <f t="shared" si="192"/>
        <v>1345.5748980235817</v>
      </c>
      <c r="F220" s="84">
        <f t="shared" si="192"/>
        <v>1345.5748980235817</v>
      </c>
      <c r="G220" s="84">
        <f t="shared" si="192"/>
        <v>1345.5748980235817</v>
      </c>
      <c r="H220" s="84">
        <f t="shared" si="192"/>
        <v>1345.5748980235817</v>
      </c>
      <c r="I220" s="84">
        <f t="shared" si="192"/>
        <v>1061.6956227373435</v>
      </c>
      <c r="J220" s="84">
        <f t="shared" si="192"/>
        <v>777.81634745110512</v>
      </c>
      <c r="K220" s="84">
        <f t="shared" si="192"/>
        <v>992.3868395125196</v>
      </c>
      <c r="L220" s="84">
        <f t="shared" si="192"/>
        <v>1206.9573315739342</v>
      </c>
      <c r="M220" s="84">
        <f t="shared" si="192"/>
        <v>199.14099133800156</v>
      </c>
      <c r="N220" s="84">
        <f t="shared" si="192"/>
        <v>199.14099133800156</v>
      </c>
      <c r="O220" s="84">
        <f t="shared" si="192"/>
        <v>220.70945075920093</v>
      </c>
      <c r="P220" s="84">
        <f t="shared" si="192"/>
        <v>220.70945075920093</v>
      </c>
      <c r="Q220" s="84">
        <f t="shared" si="186"/>
        <v>220.70896075920092</v>
      </c>
      <c r="R220" s="84">
        <f t="shared" si="186"/>
        <v>220.70847075920091</v>
      </c>
      <c r="S220" s="84">
        <f t="shared" si="186"/>
        <v>220.70798075920089</v>
      </c>
      <c r="T220" s="84">
        <f t="shared" ref="T220:AC220" si="193">+S220+(0.711/100)</f>
        <v>220.7150907592009</v>
      </c>
      <c r="U220" s="84">
        <f t="shared" si="193"/>
        <v>220.72220075920092</v>
      </c>
      <c r="V220" s="84">
        <f t="shared" si="193"/>
        <v>220.72931075920093</v>
      </c>
      <c r="W220" s="84">
        <f t="shared" si="193"/>
        <v>220.73642075920094</v>
      </c>
      <c r="X220" s="84">
        <f t="shared" si="193"/>
        <v>220.74353075920095</v>
      </c>
      <c r="Y220" s="84">
        <f t="shared" si="193"/>
        <v>220.75064075920096</v>
      </c>
      <c r="Z220" s="84">
        <f t="shared" si="193"/>
        <v>220.75775075920097</v>
      </c>
      <c r="AA220" s="84">
        <f t="shared" si="193"/>
        <v>220.76486075920099</v>
      </c>
      <c r="AB220" s="84">
        <f t="shared" si="193"/>
        <v>220.771970759201</v>
      </c>
      <c r="AC220" s="84">
        <f t="shared" si="193"/>
        <v>220.77908075920101</v>
      </c>
    </row>
    <row r="221" spans="1:29" x14ac:dyDescent="0.25">
      <c r="A221" s="54" t="s">
        <v>19</v>
      </c>
      <c r="B221" s="86" t="s">
        <v>23</v>
      </c>
      <c r="C221" s="86"/>
      <c r="D221" s="84">
        <f t="shared" ref="D221:P221" si="194">+D100</f>
        <v>926.66258971003924</v>
      </c>
      <c r="E221" s="84">
        <f t="shared" si="194"/>
        <v>926.66258971003924</v>
      </c>
      <c r="F221" s="84">
        <f t="shared" si="194"/>
        <v>926.66258971003924</v>
      </c>
      <c r="G221" s="84">
        <f t="shared" si="194"/>
        <v>926.66258971003924</v>
      </c>
      <c r="H221" s="84">
        <f t="shared" si="194"/>
        <v>926.66258971003924</v>
      </c>
      <c r="I221" s="84">
        <f t="shared" si="194"/>
        <v>731.16228364149924</v>
      </c>
      <c r="J221" s="84">
        <f t="shared" si="194"/>
        <v>535.66197757295924</v>
      </c>
      <c r="K221" s="84">
        <f t="shared" si="194"/>
        <v>683.43111932868112</v>
      </c>
      <c r="L221" s="84">
        <f t="shared" si="194"/>
        <v>831.20026108440311</v>
      </c>
      <c r="M221" s="84">
        <f t="shared" si="194"/>
        <v>137.14324414177867</v>
      </c>
      <c r="N221" s="84">
        <f t="shared" si="194"/>
        <v>137.14324414177867</v>
      </c>
      <c r="O221" s="84">
        <f t="shared" si="194"/>
        <v>151.99688364758509</v>
      </c>
      <c r="P221" s="84">
        <f t="shared" si="194"/>
        <v>151.99688364758509</v>
      </c>
      <c r="Q221" s="84">
        <f t="shared" si="186"/>
        <v>151.99639364758508</v>
      </c>
      <c r="R221" s="84">
        <f t="shared" si="186"/>
        <v>151.99590364758507</v>
      </c>
      <c r="S221" s="84">
        <f t="shared" si="186"/>
        <v>151.99541364758505</v>
      </c>
      <c r="T221" s="84">
        <f t="shared" ref="T221:AC221" si="195">+S221+(0.711/100)</f>
        <v>152.00252364758506</v>
      </c>
      <c r="U221" s="84">
        <f t="shared" si="195"/>
        <v>152.00963364758508</v>
      </c>
      <c r="V221" s="84">
        <f t="shared" si="195"/>
        <v>152.01674364758509</v>
      </c>
      <c r="W221" s="84">
        <f t="shared" si="195"/>
        <v>152.0238536475851</v>
      </c>
      <c r="X221" s="84">
        <f t="shared" si="195"/>
        <v>152.03096364758511</v>
      </c>
      <c r="Y221" s="84">
        <f t="shared" si="195"/>
        <v>152.03807364758512</v>
      </c>
      <c r="Z221" s="84">
        <f t="shared" si="195"/>
        <v>152.04518364758513</v>
      </c>
      <c r="AA221" s="84">
        <f t="shared" si="195"/>
        <v>152.05229364758515</v>
      </c>
      <c r="AB221" s="84">
        <f t="shared" si="195"/>
        <v>152.05940364758516</v>
      </c>
      <c r="AC221" s="84">
        <f t="shared" si="195"/>
        <v>152.06651364758517</v>
      </c>
    </row>
    <row r="222" spans="1:29" x14ac:dyDescent="0.25">
      <c r="A222" s="54" t="s">
        <v>19</v>
      </c>
      <c r="B222" s="86" t="s">
        <v>24</v>
      </c>
      <c r="C222" s="86"/>
      <c r="D222" s="84">
        <f t="shared" ref="D222:P222" si="196">+D101</f>
        <v>6780.8508624532096</v>
      </c>
      <c r="E222" s="84">
        <f t="shared" si="196"/>
        <v>6780.8508624532096</v>
      </c>
      <c r="F222" s="84">
        <f t="shared" si="196"/>
        <v>6780.8508624532096</v>
      </c>
      <c r="G222" s="84">
        <f t="shared" si="196"/>
        <v>6780.8508624532096</v>
      </c>
      <c r="H222" s="84">
        <f t="shared" si="196"/>
        <v>6780.8508624532096</v>
      </c>
      <c r="I222" s="84">
        <f t="shared" si="196"/>
        <v>5350.277929289332</v>
      </c>
      <c r="J222" s="84">
        <f t="shared" si="196"/>
        <v>3919.7049961254538</v>
      </c>
      <c r="K222" s="84">
        <f t="shared" si="196"/>
        <v>5001.0052702972998</v>
      </c>
      <c r="L222" s="84">
        <f t="shared" si="196"/>
        <v>6082.3055444691454</v>
      </c>
      <c r="M222" s="84">
        <f t="shared" si="196"/>
        <v>1003.5452986284897</v>
      </c>
      <c r="N222" s="84">
        <f t="shared" si="196"/>
        <v>1003.5452986284897</v>
      </c>
      <c r="O222" s="84">
        <f t="shared" si="196"/>
        <v>1112.2367634312643</v>
      </c>
      <c r="P222" s="84">
        <f t="shared" si="196"/>
        <v>1112.2367634312643</v>
      </c>
      <c r="Q222" s="84">
        <f t="shared" si="186"/>
        <v>1112.2362734312644</v>
      </c>
      <c r="R222" s="84">
        <f t="shared" si="186"/>
        <v>1112.2357834312645</v>
      </c>
      <c r="S222" s="84">
        <f t="shared" si="186"/>
        <v>1112.2352934312646</v>
      </c>
      <c r="T222" s="84">
        <f t="shared" ref="T222:AC222" si="197">+S222+(0.711/100)</f>
        <v>1112.2424034312646</v>
      </c>
      <c r="U222" s="84">
        <f t="shared" si="197"/>
        <v>1112.2495134312646</v>
      </c>
      <c r="V222" s="84">
        <f t="shared" si="197"/>
        <v>1112.2566234312646</v>
      </c>
      <c r="W222" s="84">
        <f t="shared" si="197"/>
        <v>1112.2637334312647</v>
      </c>
      <c r="X222" s="84">
        <f t="shared" si="197"/>
        <v>1112.2708434312647</v>
      </c>
      <c r="Y222" s="84">
        <f t="shared" si="197"/>
        <v>1112.2779534312647</v>
      </c>
      <c r="Z222" s="84">
        <f t="shared" si="197"/>
        <v>1112.2850634312647</v>
      </c>
      <c r="AA222" s="84">
        <f t="shared" si="197"/>
        <v>1112.2921734312647</v>
      </c>
      <c r="AB222" s="84">
        <f t="shared" si="197"/>
        <v>1112.2992834312647</v>
      </c>
      <c r="AC222" s="84">
        <f t="shared" si="197"/>
        <v>1112.3063934312647</v>
      </c>
    </row>
    <row r="223" spans="1:29" x14ac:dyDescent="0.25">
      <c r="A223" s="54" t="s">
        <v>19</v>
      </c>
      <c r="B223" s="86" t="s">
        <v>25</v>
      </c>
      <c r="C223" s="86"/>
      <c r="D223" s="84">
        <f t="shared" ref="D223:P223" si="198">+D102</f>
        <v>751.26524843634377</v>
      </c>
      <c r="E223" s="84">
        <f t="shared" si="198"/>
        <v>751.26524843634377</v>
      </c>
      <c r="F223" s="84">
        <f t="shared" si="198"/>
        <v>751.26524843634377</v>
      </c>
      <c r="G223" s="84">
        <f t="shared" si="198"/>
        <v>751.26524843634377</v>
      </c>
      <c r="H223" s="84">
        <f t="shared" si="198"/>
        <v>751.26524843634377</v>
      </c>
      <c r="I223" s="84">
        <f t="shared" si="198"/>
        <v>592.76895470561192</v>
      </c>
      <c r="J223" s="84">
        <f t="shared" si="198"/>
        <v>434.27266097488018</v>
      </c>
      <c r="K223" s="84">
        <f t="shared" si="198"/>
        <v>554.07227544628665</v>
      </c>
      <c r="L223" s="84">
        <f t="shared" si="198"/>
        <v>673.87188991769301</v>
      </c>
      <c r="M223" s="84">
        <f t="shared" si="198"/>
        <v>111.18497123508436</v>
      </c>
      <c r="N223" s="84">
        <f t="shared" si="198"/>
        <v>111.18497123508436</v>
      </c>
      <c r="O223" s="84">
        <f t="shared" si="198"/>
        <v>123.227135554036</v>
      </c>
      <c r="P223" s="84">
        <f t="shared" si="198"/>
        <v>123.227135554036</v>
      </c>
      <c r="Q223" s="84">
        <f t="shared" si="186"/>
        <v>123.226645554036</v>
      </c>
      <c r="R223" s="84">
        <f t="shared" si="186"/>
        <v>123.226155554036</v>
      </c>
      <c r="S223" s="84">
        <f t="shared" si="186"/>
        <v>123.225665554036</v>
      </c>
      <c r="T223" s="84">
        <f t="shared" ref="T223:AC223" si="199">+S223+(0.711/100)</f>
        <v>123.232775554036</v>
      </c>
      <c r="U223" s="84">
        <f t="shared" si="199"/>
        <v>123.23988555403599</v>
      </c>
      <c r="V223" s="84">
        <f t="shared" si="199"/>
        <v>123.24699555403599</v>
      </c>
      <c r="W223" s="84">
        <f t="shared" si="199"/>
        <v>123.25410555403599</v>
      </c>
      <c r="X223" s="84">
        <f t="shared" si="199"/>
        <v>123.26121555403599</v>
      </c>
      <c r="Y223" s="84">
        <f t="shared" si="199"/>
        <v>123.26832555403598</v>
      </c>
      <c r="Z223" s="84">
        <f t="shared" si="199"/>
        <v>123.27543555403598</v>
      </c>
      <c r="AA223" s="84">
        <f t="shared" si="199"/>
        <v>123.28254555403598</v>
      </c>
      <c r="AB223" s="84">
        <f t="shared" si="199"/>
        <v>123.28965555403597</v>
      </c>
      <c r="AC223" s="84">
        <f t="shared" si="199"/>
        <v>123.29676555403597</v>
      </c>
    </row>
    <row r="224" spans="1:29" x14ac:dyDescent="0.25">
      <c r="A224" s="54" t="s">
        <v>19</v>
      </c>
      <c r="B224" s="86" t="s">
        <v>26</v>
      </c>
      <c r="C224" s="86"/>
      <c r="D224" s="84">
        <f t="shared" ref="D224:P224" si="200">+D103</f>
        <v>186.57832370711517</v>
      </c>
      <c r="E224" s="84">
        <f t="shared" si="200"/>
        <v>186.57832370711517</v>
      </c>
      <c r="F224" s="84">
        <f t="shared" si="200"/>
        <v>186.57832370711517</v>
      </c>
      <c r="G224" s="84">
        <f t="shared" si="200"/>
        <v>186.57832370711517</v>
      </c>
      <c r="H224" s="84">
        <f t="shared" si="200"/>
        <v>186.57832370711517</v>
      </c>
      <c r="I224" s="84">
        <f t="shared" si="200"/>
        <v>147.21543175966983</v>
      </c>
      <c r="J224" s="84">
        <f t="shared" si="200"/>
        <v>107.85253981222448</v>
      </c>
      <c r="K224" s="84">
        <f t="shared" si="200"/>
        <v>137.60502908995471</v>
      </c>
      <c r="L224" s="84">
        <f t="shared" si="200"/>
        <v>167.35751836768497</v>
      </c>
      <c r="M224" s="84">
        <f t="shared" si="200"/>
        <v>27.613024291544345</v>
      </c>
      <c r="N224" s="84">
        <f t="shared" si="200"/>
        <v>27.613024291544345</v>
      </c>
      <c r="O224" s="84">
        <f t="shared" si="200"/>
        <v>30.603721434946163</v>
      </c>
      <c r="P224" s="84">
        <f t="shared" si="200"/>
        <v>30.603721434946163</v>
      </c>
      <c r="Q224" s="84">
        <f t="shared" si="186"/>
        <v>30.603231434946164</v>
      </c>
      <c r="R224" s="84">
        <f t="shared" si="186"/>
        <v>30.602741434946164</v>
      </c>
      <c r="S224" s="84">
        <f t="shared" si="186"/>
        <v>30.602251434946165</v>
      </c>
      <c r="T224" s="84">
        <f t="shared" ref="T224:AC224" si="201">+S224+(0.711/100)</f>
        <v>30.609361434946166</v>
      </c>
      <c r="U224" s="84">
        <f t="shared" si="201"/>
        <v>30.616471434946167</v>
      </c>
      <c r="V224" s="84">
        <f t="shared" si="201"/>
        <v>30.623581434946168</v>
      </c>
      <c r="W224" s="84">
        <f t="shared" si="201"/>
        <v>30.630691434946169</v>
      </c>
      <c r="X224" s="84">
        <f t="shared" si="201"/>
        <v>30.637801434946169</v>
      </c>
      <c r="Y224" s="84">
        <f t="shared" si="201"/>
        <v>30.64491143494617</v>
      </c>
      <c r="Z224" s="84">
        <f t="shared" si="201"/>
        <v>30.652021434946171</v>
      </c>
      <c r="AA224" s="84">
        <f t="shared" si="201"/>
        <v>30.659131434946172</v>
      </c>
      <c r="AB224" s="84">
        <f t="shared" si="201"/>
        <v>30.666241434946173</v>
      </c>
      <c r="AC224" s="84">
        <f t="shared" si="201"/>
        <v>30.673351434946174</v>
      </c>
    </row>
    <row r="225" spans="1:29" x14ac:dyDescent="0.25">
      <c r="A225" s="54" t="s">
        <v>19</v>
      </c>
      <c r="B225" s="86" t="s">
        <v>27</v>
      </c>
      <c r="C225" s="86"/>
      <c r="D225" s="84">
        <f t="shared" ref="D225:P225" si="202">+D104</f>
        <v>780.23861252760332</v>
      </c>
      <c r="E225" s="84">
        <f t="shared" si="202"/>
        <v>780.23861252760332</v>
      </c>
      <c r="F225" s="84">
        <f t="shared" si="202"/>
        <v>780.23861252760332</v>
      </c>
      <c r="G225" s="84">
        <f t="shared" si="202"/>
        <v>780.23861252760332</v>
      </c>
      <c r="H225" s="84">
        <f t="shared" si="202"/>
        <v>780.23861252760332</v>
      </c>
      <c r="I225" s="84">
        <f t="shared" si="202"/>
        <v>615.62973627700433</v>
      </c>
      <c r="J225" s="84">
        <f t="shared" si="202"/>
        <v>451.02086002640527</v>
      </c>
      <c r="K225" s="84">
        <f t="shared" si="202"/>
        <v>575.44067735598594</v>
      </c>
      <c r="L225" s="84">
        <f t="shared" si="202"/>
        <v>699.86049468556666</v>
      </c>
      <c r="M225" s="84">
        <f t="shared" si="202"/>
        <v>115.47294097649757</v>
      </c>
      <c r="N225" s="84">
        <f t="shared" si="202"/>
        <v>115.47294097649757</v>
      </c>
      <c r="O225" s="84">
        <f t="shared" si="202"/>
        <v>127.97952450289418</v>
      </c>
      <c r="P225" s="84">
        <f t="shared" si="202"/>
        <v>127.97952450289418</v>
      </c>
      <c r="Q225" s="84">
        <f t="shared" si="186"/>
        <v>127.97903450289418</v>
      </c>
      <c r="R225" s="84">
        <f t="shared" si="186"/>
        <v>127.97854450289418</v>
      </c>
      <c r="S225" s="84">
        <f t="shared" si="186"/>
        <v>127.97805450289418</v>
      </c>
      <c r="T225" s="84">
        <f t="shared" ref="T225:AC225" si="203">+S225+(0.711/100)</f>
        <v>127.98516450289418</v>
      </c>
      <c r="U225" s="84">
        <f t="shared" si="203"/>
        <v>127.99227450289418</v>
      </c>
      <c r="V225" s="84">
        <f t="shared" si="203"/>
        <v>127.99938450289417</v>
      </c>
      <c r="W225" s="84">
        <f t="shared" si="203"/>
        <v>128.00649450289418</v>
      </c>
      <c r="X225" s="84">
        <f t="shared" si="203"/>
        <v>128.0136045028942</v>
      </c>
      <c r="Y225" s="84">
        <f t="shared" si="203"/>
        <v>128.02071450289421</v>
      </c>
      <c r="Z225" s="84">
        <f t="shared" si="203"/>
        <v>128.02782450289422</v>
      </c>
      <c r="AA225" s="84">
        <f t="shared" si="203"/>
        <v>128.03493450289423</v>
      </c>
      <c r="AB225" s="84">
        <f t="shared" si="203"/>
        <v>128.04204450289424</v>
      </c>
      <c r="AC225" s="84">
        <f t="shared" si="203"/>
        <v>128.04915450289425</v>
      </c>
    </row>
    <row r="227" spans="1:29" x14ac:dyDescent="0.25">
      <c r="A227" s="1" t="s">
        <v>105</v>
      </c>
      <c r="B227" s="65" t="s">
        <v>106</v>
      </c>
      <c r="C227" s="65"/>
      <c r="D227" s="1">
        <v>2010</v>
      </c>
      <c r="E227" s="1">
        <v>2011</v>
      </c>
      <c r="F227" s="1">
        <v>2012</v>
      </c>
      <c r="G227" s="1">
        <v>2013</v>
      </c>
      <c r="H227" s="1">
        <v>2014</v>
      </c>
      <c r="I227" s="1">
        <v>2015</v>
      </c>
      <c r="J227" s="1">
        <v>2016</v>
      </c>
      <c r="K227" s="1">
        <v>2017</v>
      </c>
      <c r="L227" s="1">
        <v>2018</v>
      </c>
      <c r="M227" s="1">
        <v>2019</v>
      </c>
      <c r="N227" s="1">
        <v>2020</v>
      </c>
      <c r="O227" s="1">
        <v>2021</v>
      </c>
      <c r="P227" s="1">
        <v>2022</v>
      </c>
      <c r="Q227" s="1">
        <v>2023</v>
      </c>
      <c r="R227" s="1">
        <v>2024</v>
      </c>
      <c r="S227" s="1">
        <v>2025</v>
      </c>
      <c r="T227" s="1">
        <v>2026</v>
      </c>
      <c r="U227" s="1">
        <v>2027</v>
      </c>
      <c r="V227" s="1">
        <v>2028</v>
      </c>
      <c r="W227" s="1">
        <v>2029</v>
      </c>
      <c r="X227" s="1">
        <v>2030</v>
      </c>
      <c r="Y227" s="1">
        <v>2031</v>
      </c>
      <c r="Z227" s="1">
        <v>2032</v>
      </c>
      <c r="AA227" s="1">
        <v>2033</v>
      </c>
      <c r="AB227" s="1">
        <v>2034</v>
      </c>
      <c r="AC227" s="1">
        <v>2035</v>
      </c>
    </row>
    <row r="228" spans="1:29" x14ac:dyDescent="0.25">
      <c r="A228" s="54" t="s">
        <v>5</v>
      </c>
      <c r="B228" s="86" t="s">
        <v>18</v>
      </c>
      <c r="C228" s="86"/>
      <c r="D228" s="84">
        <f t="shared" ref="D228:P228" si="204">+D107</f>
        <v>9.069093063975886E-2</v>
      </c>
      <c r="E228" s="84">
        <f t="shared" si="204"/>
        <v>9.069093063975886E-2</v>
      </c>
      <c r="F228" s="84">
        <f t="shared" si="204"/>
        <v>9.069093063975886E-2</v>
      </c>
      <c r="G228" s="84">
        <f t="shared" si="204"/>
        <v>9.069093063975886E-2</v>
      </c>
      <c r="H228" s="84">
        <f t="shared" si="204"/>
        <v>9.069093063975886E-2</v>
      </c>
      <c r="I228" s="84">
        <f t="shared" si="204"/>
        <v>9.5911786917128747E-2</v>
      </c>
      <c r="J228" s="84">
        <f t="shared" si="204"/>
        <v>0.10113264319449865</v>
      </c>
      <c r="K228" s="84">
        <f t="shared" si="204"/>
        <v>7.2515977918304483E-2</v>
      </c>
      <c r="L228" s="84">
        <f t="shared" si="204"/>
        <v>4.3899312642110298E-2</v>
      </c>
      <c r="M228" s="84">
        <f t="shared" si="204"/>
        <v>4.899761360780485E-2</v>
      </c>
      <c r="N228" s="84">
        <f t="shared" si="204"/>
        <v>4.899761360780485E-2</v>
      </c>
      <c r="O228" s="84">
        <f t="shared" si="204"/>
        <v>2.9780940737110004E-2</v>
      </c>
      <c r="P228" s="84">
        <f t="shared" si="204"/>
        <v>2.9780940737110004E-2</v>
      </c>
      <c r="Q228" s="84">
        <f t="shared" ref="Q228:S236" si="205">+P228-(0.049/100)</f>
        <v>2.9290940737110003E-2</v>
      </c>
      <c r="R228" s="84">
        <f t="shared" si="205"/>
        <v>2.8800940737110002E-2</v>
      </c>
      <c r="S228" s="84">
        <f t="shared" si="205"/>
        <v>2.8310940737110001E-2</v>
      </c>
      <c r="T228" s="84">
        <f t="shared" ref="T228:AC228" si="206">+S228+(0.711/100)</f>
        <v>3.5420940737110003E-2</v>
      </c>
      <c r="U228" s="84">
        <f t="shared" si="206"/>
        <v>4.2530940737110001E-2</v>
      </c>
      <c r="V228" s="84">
        <f t="shared" si="206"/>
        <v>4.9640940737109999E-2</v>
      </c>
      <c r="W228" s="84">
        <f t="shared" si="206"/>
        <v>5.6750940737109998E-2</v>
      </c>
      <c r="X228" s="84">
        <f t="shared" si="206"/>
        <v>6.3860940737110003E-2</v>
      </c>
      <c r="Y228" s="84">
        <f t="shared" si="206"/>
        <v>7.0970940737110008E-2</v>
      </c>
      <c r="Z228" s="84">
        <f t="shared" si="206"/>
        <v>7.8080940737110013E-2</v>
      </c>
      <c r="AA228" s="84">
        <f t="shared" si="206"/>
        <v>8.5190940737110019E-2</v>
      </c>
      <c r="AB228" s="84">
        <f t="shared" si="206"/>
        <v>9.2300940737110024E-2</v>
      </c>
      <c r="AC228" s="84">
        <f t="shared" si="206"/>
        <v>9.9410940737110029E-2</v>
      </c>
    </row>
    <row r="229" spans="1:29" x14ac:dyDescent="0.25">
      <c r="A229" s="54" t="s">
        <v>5</v>
      </c>
      <c r="B229" s="86" t="s">
        <v>20</v>
      </c>
      <c r="C229" s="86"/>
      <c r="D229" s="84">
        <f t="shared" ref="D229:P229" si="207">+D108</f>
        <v>0.88561379455097156</v>
      </c>
      <c r="E229" s="84">
        <f t="shared" si="207"/>
        <v>0.88561379455097156</v>
      </c>
      <c r="F229" s="84">
        <f t="shared" si="207"/>
        <v>0.88561379455097156</v>
      </c>
      <c r="G229" s="84">
        <f t="shared" si="207"/>
        <v>0.88561379455097156</v>
      </c>
      <c r="H229" s="84">
        <f t="shared" si="207"/>
        <v>0.88561379455097156</v>
      </c>
      <c r="I229" s="84">
        <f t="shared" si="207"/>
        <v>0.93659642650755437</v>
      </c>
      <c r="J229" s="84">
        <f t="shared" si="207"/>
        <v>0.9875790584641374</v>
      </c>
      <c r="K229" s="84">
        <f t="shared" si="207"/>
        <v>0.7081320030213647</v>
      </c>
      <c r="L229" s="84">
        <f t="shared" si="207"/>
        <v>0.42868494757859188</v>
      </c>
      <c r="M229" s="84">
        <f t="shared" si="207"/>
        <v>0.47847080413713294</v>
      </c>
      <c r="N229" s="84">
        <f t="shared" si="207"/>
        <v>0.47847080413713294</v>
      </c>
      <c r="O229" s="84">
        <f t="shared" si="207"/>
        <v>0.29081642172417038</v>
      </c>
      <c r="P229" s="84">
        <f t="shared" si="207"/>
        <v>0.29081642172417038</v>
      </c>
      <c r="Q229" s="84">
        <f t="shared" si="205"/>
        <v>0.29032642172417039</v>
      </c>
      <c r="R229" s="84">
        <f t="shared" si="205"/>
        <v>0.2898364217241704</v>
      </c>
      <c r="S229" s="84">
        <f t="shared" si="205"/>
        <v>0.28934642172417041</v>
      </c>
      <c r="T229" s="84">
        <f t="shared" ref="T229:AC229" si="208">+S229+(0.711/100)</f>
        <v>0.29645642172417042</v>
      </c>
      <c r="U229" s="84">
        <f t="shared" si="208"/>
        <v>0.30356642172417042</v>
      </c>
      <c r="V229" s="84">
        <f t="shared" si="208"/>
        <v>0.31067642172417043</v>
      </c>
      <c r="W229" s="84">
        <f t="shared" si="208"/>
        <v>0.31778642172417043</v>
      </c>
      <c r="X229" s="84">
        <f t="shared" si="208"/>
        <v>0.32489642172417044</v>
      </c>
      <c r="Y229" s="84">
        <f t="shared" si="208"/>
        <v>0.33200642172417044</v>
      </c>
      <c r="Z229" s="84">
        <f t="shared" si="208"/>
        <v>0.33911642172417045</v>
      </c>
      <c r="AA229" s="84">
        <f t="shared" si="208"/>
        <v>0.34622642172417045</v>
      </c>
      <c r="AB229" s="84">
        <f t="shared" si="208"/>
        <v>0.35333642172417046</v>
      </c>
      <c r="AC229" s="84">
        <f t="shared" si="208"/>
        <v>0.36044642172417046</v>
      </c>
    </row>
    <row r="230" spans="1:29" x14ac:dyDescent="0.25">
      <c r="A230" s="54" t="s">
        <v>5</v>
      </c>
      <c r="B230" s="86" t="s">
        <v>21</v>
      </c>
      <c r="C230" s="86"/>
      <c r="D230" s="84">
        <f t="shared" ref="D230:P230" si="209">+D109</f>
        <v>8.4683257256326048</v>
      </c>
      <c r="E230" s="84">
        <f t="shared" si="209"/>
        <v>8.4683257256326048</v>
      </c>
      <c r="F230" s="84">
        <f t="shared" si="209"/>
        <v>8.4683257256326048</v>
      </c>
      <c r="G230" s="84">
        <f t="shared" si="209"/>
        <v>8.4683257256326048</v>
      </c>
      <c r="H230" s="84">
        <f t="shared" si="209"/>
        <v>8.4683257256326048</v>
      </c>
      <c r="I230" s="84">
        <f t="shared" si="209"/>
        <v>8.9558266390271299</v>
      </c>
      <c r="J230" s="84">
        <f t="shared" si="209"/>
        <v>9.4433275524216551</v>
      </c>
      <c r="K230" s="84">
        <f t="shared" si="209"/>
        <v>6.7712274754821786</v>
      </c>
      <c r="L230" s="84">
        <f t="shared" si="209"/>
        <v>4.0991273985427013</v>
      </c>
      <c r="M230" s="84">
        <f t="shared" si="209"/>
        <v>4.5751846285242097</v>
      </c>
      <c r="N230" s="84">
        <f t="shared" si="209"/>
        <v>4.5751846285242097</v>
      </c>
      <c r="O230" s="84">
        <f t="shared" si="209"/>
        <v>2.7808150693631393</v>
      </c>
      <c r="P230" s="84">
        <f t="shared" si="209"/>
        <v>2.7808150693631393</v>
      </c>
      <c r="Q230" s="84">
        <f t="shared" si="205"/>
        <v>2.7803250693631392</v>
      </c>
      <c r="R230" s="84">
        <f t="shared" si="205"/>
        <v>2.7798350693631391</v>
      </c>
      <c r="S230" s="84">
        <f t="shared" si="205"/>
        <v>2.779345069363139</v>
      </c>
      <c r="T230" s="84">
        <f t="shared" ref="T230:AC230" si="210">+S230+(0.711/100)</f>
        <v>2.7864550693631389</v>
      </c>
      <c r="U230" s="84">
        <f t="shared" si="210"/>
        <v>2.7935650693631389</v>
      </c>
      <c r="V230" s="84">
        <f t="shared" si="210"/>
        <v>2.8006750693631388</v>
      </c>
      <c r="W230" s="84">
        <f t="shared" si="210"/>
        <v>2.8077850693631388</v>
      </c>
      <c r="X230" s="84">
        <f t="shared" si="210"/>
        <v>2.8148950693631387</v>
      </c>
      <c r="Y230" s="84">
        <f t="shared" si="210"/>
        <v>2.8220050693631387</v>
      </c>
      <c r="Z230" s="84">
        <f t="shared" si="210"/>
        <v>2.8291150693631386</v>
      </c>
      <c r="AA230" s="84">
        <f t="shared" si="210"/>
        <v>2.8362250693631386</v>
      </c>
      <c r="AB230" s="84">
        <f t="shared" si="210"/>
        <v>2.8433350693631385</v>
      </c>
      <c r="AC230" s="84">
        <f t="shared" si="210"/>
        <v>2.8504450693631385</v>
      </c>
    </row>
    <row r="231" spans="1:29" x14ac:dyDescent="0.25">
      <c r="A231" s="54" t="s">
        <v>5</v>
      </c>
      <c r="B231" s="86" t="s">
        <v>22</v>
      </c>
      <c r="C231" s="86"/>
      <c r="D231" s="84">
        <f t="shared" ref="D231:P231" si="211">+D110</f>
        <v>3.4423197971978516</v>
      </c>
      <c r="E231" s="84">
        <f t="shared" si="211"/>
        <v>3.4423197971978516</v>
      </c>
      <c r="F231" s="84">
        <f t="shared" si="211"/>
        <v>3.4423197971978516</v>
      </c>
      <c r="G231" s="84">
        <f t="shared" si="211"/>
        <v>3.4423197971978516</v>
      </c>
      <c r="H231" s="84">
        <f t="shared" si="211"/>
        <v>3.4423197971978516</v>
      </c>
      <c r="I231" s="84">
        <f t="shared" si="211"/>
        <v>3.6404857747122139</v>
      </c>
      <c r="J231" s="84">
        <f t="shared" si="211"/>
        <v>3.8386517522265771</v>
      </c>
      <c r="K231" s="84">
        <f t="shared" si="211"/>
        <v>2.7524603027053631</v>
      </c>
      <c r="L231" s="84">
        <f t="shared" si="211"/>
        <v>1.6662688531841492</v>
      </c>
      <c r="M231" s="84">
        <f t="shared" si="211"/>
        <v>1.8597830471887851</v>
      </c>
      <c r="N231" s="84">
        <f t="shared" si="211"/>
        <v>1.8597830471887851</v>
      </c>
      <c r="O231" s="84">
        <f t="shared" si="211"/>
        <v>1.1303833928636189</v>
      </c>
      <c r="P231" s="84">
        <f t="shared" si="211"/>
        <v>1.1303833928636189</v>
      </c>
      <c r="Q231" s="84">
        <f t="shared" si="205"/>
        <v>1.1298933928636188</v>
      </c>
      <c r="R231" s="84">
        <f t="shared" si="205"/>
        <v>1.1294033928636187</v>
      </c>
      <c r="S231" s="84">
        <f t="shared" si="205"/>
        <v>1.1289133928636186</v>
      </c>
      <c r="T231" s="84">
        <f t="shared" ref="T231:AC231" si="212">+S231+(0.711/100)</f>
        <v>1.1360233928636185</v>
      </c>
      <c r="U231" s="84">
        <f t="shared" si="212"/>
        <v>1.1431333928636185</v>
      </c>
      <c r="V231" s="84">
        <f t="shared" si="212"/>
        <v>1.1502433928636184</v>
      </c>
      <c r="W231" s="84">
        <f t="shared" si="212"/>
        <v>1.1573533928636184</v>
      </c>
      <c r="X231" s="84">
        <f t="shared" si="212"/>
        <v>1.1644633928636183</v>
      </c>
      <c r="Y231" s="84">
        <f t="shared" si="212"/>
        <v>1.1715733928636183</v>
      </c>
      <c r="Z231" s="84">
        <f t="shared" si="212"/>
        <v>1.1786833928636182</v>
      </c>
      <c r="AA231" s="84">
        <f t="shared" si="212"/>
        <v>1.1857933928636182</v>
      </c>
      <c r="AB231" s="84">
        <f t="shared" si="212"/>
        <v>1.1929033928636181</v>
      </c>
      <c r="AC231" s="84">
        <f t="shared" si="212"/>
        <v>1.2000133928636181</v>
      </c>
    </row>
    <row r="232" spans="1:29" x14ac:dyDescent="0.25">
      <c r="A232" s="54" t="s">
        <v>5</v>
      </c>
      <c r="B232" s="86" t="s">
        <v>23</v>
      </c>
      <c r="C232" s="86"/>
      <c r="D232" s="84">
        <f t="shared" ref="D232:P232" si="213">+D111</f>
        <v>2.3706365082812315</v>
      </c>
      <c r="E232" s="84">
        <f t="shared" si="213"/>
        <v>2.3706365082812315</v>
      </c>
      <c r="F232" s="84">
        <f t="shared" si="213"/>
        <v>2.3706365082812315</v>
      </c>
      <c r="G232" s="84">
        <f t="shared" si="213"/>
        <v>2.3706365082812315</v>
      </c>
      <c r="H232" s="84">
        <f t="shared" si="213"/>
        <v>2.3706365082812315</v>
      </c>
      <c r="I232" s="84">
        <f t="shared" si="213"/>
        <v>2.5071082856498532</v>
      </c>
      <c r="J232" s="84">
        <f t="shared" si="213"/>
        <v>2.6435800630184758</v>
      </c>
      <c r="K232" s="84">
        <f t="shared" si="213"/>
        <v>1.8955481377702765</v>
      </c>
      <c r="L232" s="84">
        <f t="shared" si="213"/>
        <v>1.1475162125220773</v>
      </c>
      <c r="M232" s="84">
        <f t="shared" si="213"/>
        <v>1.2807844270416706</v>
      </c>
      <c r="N232" s="84">
        <f t="shared" si="213"/>
        <v>1.2807844270416706</v>
      </c>
      <c r="O232" s="84">
        <f t="shared" si="213"/>
        <v>0.77846577231397196</v>
      </c>
      <c r="P232" s="84">
        <f t="shared" si="213"/>
        <v>0.77846577231397196</v>
      </c>
      <c r="Q232" s="84">
        <f t="shared" si="205"/>
        <v>0.77797577231397197</v>
      </c>
      <c r="R232" s="84">
        <f t="shared" si="205"/>
        <v>0.77748577231397198</v>
      </c>
      <c r="S232" s="84">
        <f t="shared" si="205"/>
        <v>0.77699577231397199</v>
      </c>
      <c r="T232" s="84">
        <f t="shared" ref="T232:AC232" si="214">+S232+(0.711/100)</f>
        <v>0.78410577231397194</v>
      </c>
      <c r="U232" s="84">
        <f t="shared" si="214"/>
        <v>0.79121577231397189</v>
      </c>
      <c r="V232" s="84">
        <f t="shared" si="214"/>
        <v>0.79832577231397184</v>
      </c>
      <c r="W232" s="84">
        <f t="shared" si="214"/>
        <v>0.80543577231397179</v>
      </c>
      <c r="X232" s="84">
        <f t="shared" si="214"/>
        <v>0.81254577231397174</v>
      </c>
      <c r="Y232" s="84">
        <f t="shared" si="214"/>
        <v>0.81965577231397169</v>
      </c>
      <c r="Z232" s="84">
        <f t="shared" si="214"/>
        <v>0.82676577231397164</v>
      </c>
      <c r="AA232" s="84">
        <f t="shared" si="214"/>
        <v>0.83387577231397159</v>
      </c>
      <c r="AB232" s="84">
        <f t="shared" si="214"/>
        <v>0.84098577231397154</v>
      </c>
      <c r="AC232" s="84">
        <f t="shared" si="214"/>
        <v>0.84809577231397149</v>
      </c>
    </row>
    <row r="233" spans="1:29" x14ac:dyDescent="0.25">
      <c r="A233" s="54" t="s">
        <v>5</v>
      </c>
      <c r="B233" s="86" t="s">
        <v>24</v>
      </c>
      <c r="C233" s="86"/>
      <c r="D233" s="84">
        <f t="shared" ref="D233:P233" si="215">+D112</f>
        <v>17.347125901318453</v>
      </c>
      <c r="E233" s="84">
        <f t="shared" si="215"/>
        <v>17.347125901318453</v>
      </c>
      <c r="F233" s="84">
        <f t="shared" si="215"/>
        <v>17.347125901318453</v>
      </c>
      <c r="G233" s="84">
        <f t="shared" si="215"/>
        <v>17.347125901318453</v>
      </c>
      <c r="H233" s="84">
        <f t="shared" si="215"/>
        <v>17.347125901318453</v>
      </c>
      <c r="I233" s="84">
        <f t="shared" si="215"/>
        <v>18.3457577437457</v>
      </c>
      <c r="J233" s="84">
        <f t="shared" si="215"/>
        <v>19.344389586172955</v>
      </c>
      <c r="K233" s="84">
        <f t="shared" si="215"/>
        <v>13.870668102446119</v>
      </c>
      <c r="L233" s="84">
        <f t="shared" si="215"/>
        <v>8.3969466187192836</v>
      </c>
      <c r="M233" s="84">
        <f t="shared" si="215"/>
        <v>9.3721363991177249</v>
      </c>
      <c r="N233" s="84">
        <f t="shared" si="215"/>
        <v>9.3721363991177249</v>
      </c>
      <c r="O233" s="84">
        <f t="shared" si="215"/>
        <v>5.6964210730005185</v>
      </c>
      <c r="P233" s="84">
        <f t="shared" si="215"/>
        <v>5.6964210730005185</v>
      </c>
      <c r="Q233" s="84">
        <f t="shared" si="205"/>
        <v>5.6959310730005184</v>
      </c>
      <c r="R233" s="84">
        <f t="shared" si="205"/>
        <v>5.6954410730005183</v>
      </c>
      <c r="S233" s="84">
        <f t="shared" si="205"/>
        <v>5.6949510730005182</v>
      </c>
      <c r="T233" s="84">
        <f t="shared" ref="T233:AC233" si="216">+S233+(0.711/100)</f>
        <v>5.7020610730005181</v>
      </c>
      <c r="U233" s="84">
        <f t="shared" si="216"/>
        <v>5.7091710730005181</v>
      </c>
      <c r="V233" s="84">
        <f t="shared" si="216"/>
        <v>5.716281073000518</v>
      </c>
      <c r="W233" s="84">
        <f t="shared" si="216"/>
        <v>5.723391073000518</v>
      </c>
      <c r="X233" s="84">
        <f t="shared" si="216"/>
        <v>5.7305010730005179</v>
      </c>
      <c r="Y233" s="84">
        <f t="shared" si="216"/>
        <v>5.7376110730005179</v>
      </c>
      <c r="Z233" s="84">
        <f t="shared" si="216"/>
        <v>5.7447210730005178</v>
      </c>
      <c r="AA233" s="84">
        <f t="shared" si="216"/>
        <v>5.7518310730005178</v>
      </c>
      <c r="AB233" s="84">
        <f t="shared" si="216"/>
        <v>5.7589410730005177</v>
      </c>
      <c r="AC233" s="84">
        <f t="shared" si="216"/>
        <v>5.7660510730005177</v>
      </c>
    </row>
    <row r="234" spans="1:29" x14ac:dyDescent="0.25">
      <c r="A234" s="54" t="s">
        <v>5</v>
      </c>
      <c r="B234" s="86" t="s">
        <v>25</v>
      </c>
      <c r="C234" s="86"/>
      <c r="D234" s="84">
        <f t="shared" ref="D234:P234" si="217">+D113</f>
        <v>1.9219258931165539</v>
      </c>
      <c r="E234" s="84">
        <f t="shared" si="217"/>
        <v>1.9219258931165539</v>
      </c>
      <c r="F234" s="84">
        <f t="shared" si="217"/>
        <v>1.9219258931165539</v>
      </c>
      <c r="G234" s="84">
        <f t="shared" si="217"/>
        <v>1.9219258931165539</v>
      </c>
      <c r="H234" s="84">
        <f t="shared" si="217"/>
        <v>1.9219258931165539</v>
      </c>
      <c r="I234" s="84">
        <f t="shared" si="217"/>
        <v>2.0325664918283985</v>
      </c>
      <c r="J234" s="84">
        <f t="shared" si="217"/>
        <v>2.1432070905402436</v>
      </c>
      <c r="K234" s="84">
        <f t="shared" si="217"/>
        <v>1.536761555347385</v>
      </c>
      <c r="L234" s="84">
        <f t="shared" si="217"/>
        <v>0.93031602015452641</v>
      </c>
      <c r="M234" s="84">
        <f t="shared" si="217"/>
        <v>1.038359421713511</v>
      </c>
      <c r="N234" s="84">
        <f t="shared" si="217"/>
        <v>1.038359421713511</v>
      </c>
      <c r="O234" s="84">
        <f t="shared" si="217"/>
        <v>0.63111890814503058</v>
      </c>
      <c r="P234" s="84">
        <f t="shared" si="217"/>
        <v>0.63111890814503058</v>
      </c>
      <c r="Q234" s="84">
        <f t="shared" si="205"/>
        <v>0.63062890814503059</v>
      </c>
      <c r="R234" s="84">
        <f t="shared" si="205"/>
        <v>0.6301389081450306</v>
      </c>
      <c r="S234" s="84">
        <f t="shared" si="205"/>
        <v>0.62964890814503061</v>
      </c>
      <c r="T234" s="84">
        <f t="shared" ref="T234:AC234" si="218">+S234+(0.711/100)</f>
        <v>0.63675890814503056</v>
      </c>
      <c r="U234" s="84">
        <f t="shared" si="218"/>
        <v>0.64386890814503051</v>
      </c>
      <c r="V234" s="84">
        <f t="shared" si="218"/>
        <v>0.65097890814503045</v>
      </c>
      <c r="W234" s="84">
        <f t="shared" si="218"/>
        <v>0.6580889081450304</v>
      </c>
      <c r="X234" s="84">
        <f t="shared" si="218"/>
        <v>0.66519890814503035</v>
      </c>
      <c r="Y234" s="84">
        <f t="shared" si="218"/>
        <v>0.6723089081450303</v>
      </c>
      <c r="Z234" s="84">
        <f t="shared" si="218"/>
        <v>0.67941890814503025</v>
      </c>
      <c r="AA234" s="84">
        <f t="shared" si="218"/>
        <v>0.6865289081450302</v>
      </c>
      <c r="AB234" s="84">
        <f t="shared" si="218"/>
        <v>0.69363890814503015</v>
      </c>
      <c r="AC234" s="84">
        <f t="shared" si="218"/>
        <v>0.7007489081450301</v>
      </c>
    </row>
    <row r="235" spans="1:29" x14ac:dyDescent="0.25">
      <c r="A235" s="54" t="s">
        <v>5</v>
      </c>
      <c r="B235" s="86" t="s">
        <v>26</v>
      </c>
      <c r="C235" s="86"/>
      <c r="D235" s="84">
        <f t="shared" ref="D235:P235" si="219">+D114</f>
        <v>0.4773143868604896</v>
      </c>
      <c r="E235" s="84">
        <f t="shared" si="219"/>
        <v>0.4773143868604896</v>
      </c>
      <c r="F235" s="84">
        <f t="shared" si="219"/>
        <v>0.4773143868604896</v>
      </c>
      <c r="G235" s="84">
        <f t="shared" si="219"/>
        <v>0.4773143868604896</v>
      </c>
      <c r="H235" s="84">
        <f t="shared" si="219"/>
        <v>0.4773143868604896</v>
      </c>
      <c r="I235" s="84">
        <f t="shared" si="219"/>
        <v>0.50479221507705285</v>
      </c>
      <c r="J235" s="84">
        <f t="shared" si="219"/>
        <v>0.53227004329361616</v>
      </c>
      <c r="K235" s="84">
        <f t="shared" si="219"/>
        <v>0.38165800365588065</v>
      </c>
      <c r="L235" s="84">
        <f t="shared" si="219"/>
        <v>0.23104596401814509</v>
      </c>
      <c r="M235" s="84">
        <f t="shared" si="219"/>
        <v>0.25787877279300503</v>
      </c>
      <c r="N235" s="84">
        <f t="shared" si="219"/>
        <v>0.25787877279300503</v>
      </c>
      <c r="O235" s="84">
        <f t="shared" si="219"/>
        <v>0.15673972433391753</v>
      </c>
      <c r="P235" s="84">
        <f t="shared" si="219"/>
        <v>0.15673972433391753</v>
      </c>
      <c r="Q235" s="84">
        <f t="shared" si="205"/>
        <v>0.15624972433391754</v>
      </c>
      <c r="R235" s="84">
        <f t="shared" si="205"/>
        <v>0.15575972433391755</v>
      </c>
      <c r="S235" s="84">
        <f t="shared" si="205"/>
        <v>0.15526972433391756</v>
      </c>
      <c r="T235" s="84">
        <f t="shared" ref="T235:AC235" si="220">+S235+(0.711/100)</f>
        <v>0.16237972433391756</v>
      </c>
      <c r="U235" s="84">
        <f t="shared" si="220"/>
        <v>0.16948972433391757</v>
      </c>
      <c r="V235" s="84">
        <f t="shared" si="220"/>
        <v>0.17659972433391757</v>
      </c>
      <c r="W235" s="84">
        <f t="shared" si="220"/>
        <v>0.18370972433391758</v>
      </c>
      <c r="X235" s="84">
        <f t="shared" si="220"/>
        <v>0.19081972433391758</v>
      </c>
      <c r="Y235" s="84">
        <f t="shared" si="220"/>
        <v>0.19792972433391759</v>
      </c>
      <c r="Z235" s="84">
        <f t="shared" si="220"/>
        <v>0.20503972433391759</v>
      </c>
      <c r="AA235" s="84">
        <f t="shared" si="220"/>
        <v>0.2121497243339176</v>
      </c>
      <c r="AB235" s="84">
        <f t="shared" si="220"/>
        <v>0.2192597243339176</v>
      </c>
      <c r="AC235" s="84">
        <f t="shared" si="220"/>
        <v>0.22636972433391761</v>
      </c>
    </row>
    <row r="236" spans="1:29" x14ac:dyDescent="0.25">
      <c r="A236" s="54" t="s">
        <v>5</v>
      </c>
      <c r="B236" s="86" t="s">
        <v>27</v>
      </c>
      <c r="C236" s="86"/>
      <c r="D236" s="84">
        <f t="shared" ref="D236:P236" si="221">+D115</f>
        <v>1.9960470624020827</v>
      </c>
      <c r="E236" s="84">
        <f t="shared" si="221"/>
        <v>1.9960470624020827</v>
      </c>
      <c r="F236" s="84">
        <f t="shared" si="221"/>
        <v>1.9960470624020827</v>
      </c>
      <c r="G236" s="84">
        <f t="shared" si="221"/>
        <v>1.9960470624020827</v>
      </c>
      <c r="H236" s="84">
        <f t="shared" si="221"/>
        <v>1.9960470624020827</v>
      </c>
      <c r="I236" s="84">
        <f t="shared" si="221"/>
        <v>2.110954636534959</v>
      </c>
      <c r="J236" s="84">
        <f t="shared" si="221"/>
        <v>2.2258622106678358</v>
      </c>
      <c r="K236" s="84">
        <f t="shared" si="221"/>
        <v>1.5960284416531247</v>
      </c>
      <c r="L236" s="84">
        <f t="shared" si="221"/>
        <v>0.96619467263841352</v>
      </c>
      <c r="M236" s="84">
        <f t="shared" si="221"/>
        <v>1.0784048858761521</v>
      </c>
      <c r="N236" s="84">
        <f t="shared" si="221"/>
        <v>1.0784048858761521</v>
      </c>
      <c r="O236" s="84">
        <f t="shared" si="221"/>
        <v>0.65545869751852182</v>
      </c>
      <c r="P236" s="84">
        <f t="shared" si="221"/>
        <v>0.65545869751852182</v>
      </c>
      <c r="Q236" s="84">
        <f t="shared" si="205"/>
        <v>0.65496869751852183</v>
      </c>
      <c r="R236" s="84">
        <f t="shared" si="205"/>
        <v>0.65447869751852183</v>
      </c>
      <c r="S236" s="84">
        <f t="shared" si="205"/>
        <v>0.65398869751852184</v>
      </c>
      <c r="T236" s="84">
        <f t="shared" ref="T236:AC236" si="222">+S236+(0.711/100)</f>
        <v>0.66109869751852179</v>
      </c>
      <c r="U236" s="84">
        <f t="shared" si="222"/>
        <v>0.66820869751852174</v>
      </c>
      <c r="V236" s="84">
        <f t="shared" si="222"/>
        <v>0.67531869751852169</v>
      </c>
      <c r="W236" s="84">
        <f t="shared" si="222"/>
        <v>0.68242869751852164</v>
      </c>
      <c r="X236" s="84">
        <f t="shared" si="222"/>
        <v>0.68953869751852159</v>
      </c>
      <c r="Y236" s="84">
        <f t="shared" si="222"/>
        <v>0.69664869751852154</v>
      </c>
      <c r="Z236" s="84">
        <f t="shared" si="222"/>
        <v>0.70375869751852149</v>
      </c>
      <c r="AA236" s="84">
        <f t="shared" si="222"/>
        <v>0.71086869751852144</v>
      </c>
      <c r="AB236" s="84">
        <f t="shared" si="222"/>
        <v>0.71797869751852139</v>
      </c>
      <c r="AC236" s="84">
        <f t="shared" si="222"/>
        <v>0.72508869751852134</v>
      </c>
    </row>
    <row r="238" spans="1:29" x14ac:dyDescent="0.25">
      <c r="A238" s="1" t="s">
        <v>105</v>
      </c>
      <c r="B238" s="65" t="s">
        <v>106</v>
      </c>
      <c r="C238" s="65"/>
      <c r="D238" s="1">
        <v>2010</v>
      </c>
      <c r="E238" s="1">
        <v>2011</v>
      </c>
      <c r="F238" s="1">
        <v>2012</v>
      </c>
      <c r="G238" s="1">
        <v>2013</v>
      </c>
      <c r="H238" s="1">
        <v>2014</v>
      </c>
      <c r="I238" s="1">
        <v>2015</v>
      </c>
      <c r="J238" s="1">
        <v>2016</v>
      </c>
      <c r="K238" s="1">
        <v>2017</v>
      </c>
      <c r="L238" s="1">
        <v>2018</v>
      </c>
      <c r="M238" s="1">
        <v>2019</v>
      </c>
      <c r="N238" s="1">
        <v>2020</v>
      </c>
      <c r="O238" s="1">
        <v>2021</v>
      </c>
      <c r="P238" s="1">
        <v>2022</v>
      </c>
      <c r="Q238" s="1">
        <v>2023</v>
      </c>
      <c r="R238" s="1">
        <v>2024</v>
      </c>
      <c r="S238" s="1">
        <v>2025</v>
      </c>
      <c r="T238" s="1">
        <v>2026</v>
      </c>
      <c r="U238" s="1">
        <v>2027</v>
      </c>
      <c r="V238" s="1">
        <v>2028</v>
      </c>
      <c r="W238" s="1">
        <v>2029</v>
      </c>
      <c r="X238" s="1">
        <v>2030</v>
      </c>
      <c r="Y238" s="1">
        <v>2031</v>
      </c>
      <c r="Z238" s="1">
        <v>2032</v>
      </c>
      <c r="AA238" s="1">
        <v>2033</v>
      </c>
      <c r="AB238" s="1">
        <v>2034</v>
      </c>
      <c r="AC238" s="1">
        <v>2035</v>
      </c>
    </row>
    <row r="239" spans="1:29" x14ac:dyDescent="0.25">
      <c r="A239" s="54" t="s">
        <v>6</v>
      </c>
      <c r="B239" s="86" t="s">
        <v>18</v>
      </c>
      <c r="C239" s="86"/>
      <c r="D239" s="84">
        <f t="shared" ref="D239:P239" si="223">+D118</f>
        <v>0</v>
      </c>
      <c r="E239" s="84" t="e">
        <f t="shared" si="223"/>
        <v>#VALUE!</v>
      </c>
      <c r="F239" s="84">
        <f t="shared" si="223"/>
        <v>0</v>
      </c>
      <c r="G239" s="84" t="e">
        <f t="shared" si="223"/>
        <v>#VALUE!</v>
      </c>
      <c r="H239" s="84">
        <f t="shared" si="223"/>
        <v>0</v>
      </c>
      <c r="I239" s="84" t="e">
        <f t="shared" si="223"/>
        <v>#VALUE!</v>
      </c>
      <c r="J239" s="84">
        <f t="shared" si="223"/>
        <v>0</v>
      </c>
      <c r="K239" s="84" t="e">
        <f t="shared" si="223"/>
        <v>#VALUE!</v>
      </c>
      <c r="L239" s="84">
        <f t="shared" si="223"/>
        <v>0.43259573915164978</v>
      </c>
      <c r="M239" s="84">
        <f t="shared" si="223"/>
        <v>0.131036139243284</v>
      </c>
      <c r="N239" s="84">
        <f t="shared" si="223"/>
        <v>0.131036139243284</v>
      </c>
      <c r="O239" s="84">
        <f t="shared" si="223"/>
        <v>0</v>
      </c>
      <c r="P239" s="84">
        <f t="shared" si="223"/>
        <v>0</v>
      </c>
      <c r="Q239" s="84">
        <f t="shared" ref="Q239:S247" si="224">+P239-(0.049/100)</f>
        <v>-4.8999999999999998E-4</v>
      </c>
      <c r="R239" s="84">
        <f t="shared" si="224"/>
        <v>-9.7999999999999997E-4</v>
      </c>
      <c r="S239" s="84">
        <f t="shared" si="224"/>
        <v>-1.47E-3</v>
      </c>
      <c r="T239" s="84">
        <f t="shared" ref="T239:AC239" si="225">+S239+(0.711/100)</f>
        <v>5.64E-3</v>
      </c>
      <c r="U239" s="84">
        <f t="shared" si="225"/>
        <v>1.2750000000000001E-2</v>
      </c>
      <c r="V239" s="84">
        <f t="shared" si="225"/>
        <v>1.9860000000000003E-2</v>
      </c>
      <c r="W239" s="84">
        <f t="shared" si="225"/>
        <v>2.6970000000000001E-2</v>
      </c>
      <c r="X239" s="84">
        <f t="shared" si="225"/>
        <v>3.4079999999999999E-2</v>
      </c>
      <c r="Y239" s="84">
        <f t="shared" si="225"/>
        <v>4.1189999999999997E-2</v>
      </c>
      <c r="Z239" s="84">
        <f t="shared" si="225"/>
        <v>4.8299999999999996E-2</v>
      </c>
      <c r="AA239" s="84">
        <f t="shared" si="225"/>
        <v>5.5409999999999994E-2</v>
      </c>
      <c r="AB239" s="84">
        <f t="shared" si="225"/>
        <v>6.2519999999999992E-2</v>
      </c>
      <c r="AC239" s="84">
        <f t="shared" si="225"/>
        <v>6.9629999999999997E-2</v>
      </c>
    </row>
    <row r="240" spans="1:29" x14ac:dyDescent="0.25">
      <c r="A240" s="54" t="s">
        <v>6</v>
      </c>
      <c r="B240" s="86" t="s">
        <v>20</v>
      </c>
      <c r="C240" s="86"/>
      <c r="D240" s="84">
        <f t="shared" ref="D240:P240" si="226">+D119</f>
        <v>0</v>
      </c>
      <c r="E240" s="84" t="e">
        <f t="shared" si="226"/>
        <v>#VALUE!</v>
      </c>
      <c r="F240" s="84">
        <f t="shared" si="226"/>
        <v>0</v>
      </c>
      <c r="G240" s="84" t="e">
        <f t="shared" si="226"/>
        <v>#VALUE!</v>
      </c>
      <c r="H240" s="84">
        <f t="shared" si="226"/>
        <v>0</v>
      </c>
      <c r="I240" s="84" t="e">
        <f t="shared" si="226"/>
        <v>#VALUE!</v>
      </c>
      <c r="J240" s="84">
        <f t="shared" si="226"/>
        <v>0</v>
      </c>
      <c r="K240" s="84" t="e">
        <f t="shared" si="226"/>
        <v>#VALUE!</v>
      </c>
      <c r="L240" s="84">
        <f t="shared" si="226"/>
        <v>4.224377800008134</v>
      </c>
      <c r="M240" s="84">
        <f t="shared" si="226"/>
        <v>1.2795922555863497</v>
      </c>
      <c r="N240" s="84">
        <f t="shared" si="226"/>
        <v>1.2795922555863497</v>
      </c>
      <c r="O240" s="84">
        <f t="shared" si="226"/>
        <v>0</v>
      </c>
      <c r="P240" s="84">
        <f t="shared" si="226"/>
        <v>0</v>
      </c>
      <c r="Q240" s="84">
        <f t="shared" si="224"/>
        <v>-4.8999999999999998E-4</v>
      </c>
      <c r="R240" s="84">
        <f t="shared" si="224"/>
        <v>-9.7999999999999997E-4</v>
      </c>
      <c r="S240" s="84">
        <f t="shared" si="224"/>
        <v>-1.47E-3</v>
      </c>
      <c r="T240" s="84">
        <f t="shared" ref="T240:AC240" si="227">+S240+(0.711/100)</f>
        <v>5.64E-3</v>
      </c>
      <c r="U240" s="84">
        <f t="shared" si="227"/>
        <v>1.2750000000000001E-2</v>
      </c>
      <c r="V240" s="84">
        <f t="shared" si="227"/>
        <v>1.9860000000000003E-2</v>
      </c>
      <c r="W240" s="84">
        <f t="shared" si="227"/>
        <v>2.6970000000000001E-2</v>
      </c>
      <c r="X240" s="84">
        <f t="shared" si="227"/>
        <v>3.4079999999999999E-2</v>
      </c>
      <c r="Y240" s="84">
        <f t="shared" si="227"/>
        <v>4.1189999999999997E-2</v>
      </c>
      <c r="Z240" s="84">
        <f t="shared" si="227"/>
        <v>4.8299999999999996E-2</v>
      </c>
      <c r="AA240" s="84">
        <f t="shared" si="227"/>
        <v>5.5409999999999994E-2</v>
      </c>
      <c r="AB240" s="84">
        <f t="shared" si="227"/>
        <v>6.2519999999999992E-2</v>
      </c>
      <c r="AC240" s="84">
        <f t="shared" si="227"/>
        <v>6.9629999999999997E-2</v>
      </c>
    </row>
    <row r="241" spans="1:29" x14ac:dyDescent="0.25">
      <c r="A241" s="54" t="s">
        <v>6</v>
      </c>
      <c r="B241" s="86" t="s">
        <v>21</v>
      </c>
      <c r="C241" s="86"/>
      <c r="D241" s="84">
        <f t="shared" ref="D241:P241" si="228">+D120</f>
        <v>0</v>
      </c>
      <c r="E241" s="84" t="e">
        <f t="shared" si="228"/>
        <v>#VALUE!</v>
      </c>
      <c r="F241" s="84">
        <f t="shared" si="228"/>
        <v>0</v>
      </c>
      <c r="G241" s="84" t="e">
        <f t="shared" si="228"/>
        <v>#VALUE!</v>
      </c>
      <c r="H241" s="84">
        <f t="shared" si="228"/>
        <v>0</v>
      </c>
      <c r="I241" s="84" t="e">
        <f t="shared" si="228"/>
        <v>#VALUE!</v>
      </c>
      <c r="J241" s="84">
        <f t="shared" si="228"/>
        <v>0</v>
      </c>
      <c r="K241" s="84" t="e">
        <f t="shared" si="228"/>
        <v>#VALUE!</v>
      </c>
      <c r="L241" s="84">
        <f t="shared" si="228"/>
        <v>40.39391371126753</v>
      </c>
      <c r="M241" s="84">
        <f t="shared" si="228"/>
        <v>12.235586305197812</v>
      </c>
      <c r="N241" s="84">
        <f t="shared" si="228"/>
        <v>12.235586305197812</v>
      </c>
      <c r="O241" s="84">
        <f t="shared" si="228"/>
        <v>0</v>
      </c>
      <c r="P241" s="84">
        <f t="shared" si="228"/>
        <v>0</v>
      </c>
      <c r="Q241" s="84">
        <f t="shared" si="224"/>
        <v>-4.8999999999999998E-4</v>
      </c>
      <c r="R241" s="84">
        <f t="shared" si="224"/>
        <v>-9.7999999999999997E-4</v>
      </c>
      <c r="S241" s="84">
        <f t="shared" si="224"/>
        <v>-1.47E-3</v>
      </c>
      <c r="T241" s="84">
        <f t="shared" ref="T241:AC241" si="229">+S241+(0.711/100)</f>
        <v>5.64E-3</v>
      </c>
      <c r="U241" s="84">
        <f t="shared" si="229"/>
        <v>1.2750000000000001E-2</v>
      </c>
      <c r="V241" s="84">
        <f t="shared" si="229"/>
        <v>1.9860000000000003E-2</v>
      </c>
      <c r="W241" s="84">
        <f t="shared" si="229"/>
        <v>2.6970000000000001E-2</v>
      </c>
      <c r="X241" s="84">
        <f t="shared" si="229"/>
        <v>3.4079999999999999E-2</v>
      </c>
      <c r="Y241" s="84">
        <f t="shared" si="229"/>
        <v>4.1189999999999997E-2</v>
      </c>
      <c r="Z241" s="84">
        <f t="shared" si="229"/>
        <v>4.8299999999999996E-2</v>
      </c>
      <c r="AA241" s="84">
        <f t="shared" si="229"/>
        <v>5.5409999999999994E-2</v>
      </c>
      <c r="AB241" s="84">
        <f t="shared" si="229"/>
        <v>6.2519999999999992E-2</v>
      </c>
      <c r="AC241" s="84">
        <f t="shared" si="229"/>
        <v>6.9629999999999997E-2</v>
      </c>
    </row>
    <row r="242" spans="1:29" x14ac:dyDescent="0.25">
      <c r="A242" s="54" t="s">
        <v>6</v>
      </c>
      <c r="B242" s="86" t="s">
        <v>22</v>
      </c>
      <c r="C242" s="86"/>
      <c r="D242" s="84">
        <f t="shared" ref="D242:P242" si="230">+D121</f>
        <v>0</v>
      </c>
      <c r="E242" s="84" t="e">
        <f t="shared" si="230"/>
        <v>#VALUE!</v>
      </c>
      <c r="F242" s="84">
        <f t="shared" si="230"/>
        <v>0</v>
      </c>
      <c r="G242" s="84" t="e">
        <f t="shared" si="230"/>
        <v>#VALUE!</v>
      </c>
      <c r="H242" s="84">
        <f t="shared" si="230"/>
        <v>0</v>
      </c>
      <c r="I242" s="84" t="e">
        <f t="shared" si="230"/>
        <v>#VALUE!</v>
      </c>
      <c r="J242" s="84">
        <f t="shared" si="230"/>
        <v>0</v>
      </c>
      <c r="K242" s="84" t="e">
        <f t="shared" si="230"/>
        <v>#VALUE!</v>
      </c>
      <c r="L242" s="84">
        <f t="shared" si="230"/>
        <v>16.419865432633753</v>
      </c>
      <c r="M242" s="84">
        <f t="shared" si="230"/>
        <v>4.973686928599923</v>
      </c>
      <c r="N242" s="84">
        <f t="shared" si="230"/>
        <v>4.973686928599923</v>
      </c>
      <c r="O242" s="84">
        <f t="shared" si="230"/>
        <v>0</v>
      </c>
      <c r="P242" s="84">
        <f t="shared" si="230"/>
        <v>0</v>
      </c>
      <c r="Q242" s="84">
        <f t="shared" si="224"/>
        <v>-4.8999999999999998E-4</v>
      </c>
      <c r="R242" s="84">
        <f t="shared" si="224"/>
        <v>-9.7999999999999997E-4</v>
      </c>
      <c r="S242" s="84">
        <f t="shared" si="224"/>
        <v>-1.47E-3</v>
      </c>
      <c r="T242" s="84">
        <f t="shared" ref="T242:AC242" si="231">+S242+(0.711/100)</f>
        <v>5.64E-3</v>
      </c>
      <c r="U242" s="84">
        <f t="shared" si="231"/>
        <v>1.2750000000000001E-2</v>
      </c>
      <c r="V242" s="84">
        <f t="shared" si="231"/>
        <v>1.9860000000000003E-2</v>
      </c>
      <c r="W242" s="84">
        <f t="shared" si="231"/>
        <v>2.6970000000000001E-2</v>
      </c>
      <c r="X242" s="84">
        <f t="shared" si="231"/>
        <v>3.4079999999999999E-2</v>
      </c>
      <c r="Y242" s="84">
        <f t="shared" si="231"/>
        <v>4.1189999999999997E-2</v>
      </c>
      <c r="Z242" s="84">
        <f t="shared" si="231"/>
        <v>4.8299999999999996E-2</v>
      </c>
      <c r="AA242" s="84">
        <f t="shared" si="231"/>
        <v>5.5409999999999994E-2</v>
      </c>
      <c r="AB242" s="84">
        <f t="shared" si="231"/>
        <v>6.2519999999999992E-2</v>
      </c>
      <c r="AC242" s="84">
        <f t="shared" si="231"/>
        <v>6.9629999999999997E-2</v>
      </c>
    </row>
    <row r="243" spans="1:29" x14ac:dyDescent="0.25">
      <c r="A243" s="54" t="s">
        <v>6</v>
      </c>
      <c r="B243" s="86" t="s">
        <v>23</v>
      </c>
      <c r="C243" s="86"/>
      <c r="D243" s="84">
        <f t="shared" ref="D243:P243" si="232">+D122</f>
        <v>0</v>
      </c>
      <c r="E243" s="84" t="e">
        <f t="shared" si="232"/>
        <v>#VALUE!</v>
      </c>
      <c r="F243" s="84">
        <f t="shared" si="232"/>
        <v>0</v>
      </c>
      <c r="G243" s="84" t="e">
        <f t="shared" si="232"/>
        <v>#VALUE!</v>
      </c>
      <c r="H243" s="84">
        <f t="shared" si="232"/>
        <v>0</v>
      </c>
      <c r="I243" s="84" t="e">
        <f t="shared" si="232"/>
        <v>#VALUE!</v>
      </c>
      <c r="J243" s="84">
        <f t="shared" si="232"/>
        <v>0</v>
      </c>
      <c r="K243" s="84" t="e">
        <f t="shared" si="232"/>
        <v>#VALUE!</v>
      </c>
      <c r="L243" s="84">
        <f t="shared" si="232"/>
        <v>11.307936144501475</v>
      </c>
      <c r="M243" s="84">
        <f t="shared" si="232"/>
        <v>3.4252493981814767</v>
      </c>
      <c r="N243" s="84">
        <f t="shared" si="232"/>
        <v>3.4252493981814767</v>
      </c>
      <c r="O243" s="84">
        <f t="shared" si="232"/>
        <v>0</v>
      </c>
      <c r="P243" s="84">
        <f t="shared" si="232"/>
        <v>0</v>
      </c>
      <c r="Q243" s="84">
        <f t="shared" si="224"/>
        <v>-4.8999999999999998E-4</v>
      </c>
      <c r="R243" s="84">
        <f t="shared" si="224"/>
        <v>-9.7999999999999997E-4</v>
      </c>
      <c r="S243" s="84">
        <f t="shared" si="224"/>
        <v>-1.47E-3</v>
      </c>
      <c r="T243" s="84">
        <f t="shared" ref="T243:AC243" si="233">+S243+(0.711/100)</f>
        <v>5.64E-3</v>
      </c>
      <c r="U243" s="84">
        <f t="shared" si="233"/>
        <v>1.2750000000000001E-2</v>
      </c>
      <c r="V243" s="84">
        <f t="shared" si="233"/>
        <v>1.9860000000000003E-2</v>
      </c>
      <c r="W243" s="84">
        <f t="shared" si="233"/>
        <v>2.6970000000000001E-2</v>
      </c>
      <c r="X243" s="84">
        <f t="shared" si="233"/>
        <v>3.4079999999999999E-2</v>
      </c>
      <c r="Y243" s="84">
        <f t="shared" si="233"/>
        <v>4.1189999999999997E-2</v>
      </c>
      <c r="Z243" s="84">
        <f t="shared" si="233"/>
        <v>4.8299999999999996E-2</v>
      </c>
      <c r="AA243" s="84">
        <f t="shared" si="233"/>
        <v>5.5409999999999994E-2</v>
      </c>
      <c r="AB243" s="84">
        <f t="shared" si="233"/>
        <v>6.2519999999999992E-2</v>
      </c>
      <c r="AC243" s="84">
        <f t="shared" si="233"/>
        <v>6.9629999999999997E-2</v>
      </c>
    </row>
    <row r="244" spans="1:29" x14ac:dyDescent="0.25">
      <c r="A244" s="54" t="s">
        <v>6</v>
      </c>
      <c r="B244" s="86" t="s">
        <v>24</v>
      </c>
      <c r="C244" s="86"/>
      <c r="D244" s="84">
        <f t="shared" ref="D244:P244" si="234">+D123</f>
        <v>0</v>
      </c>
      <c r="E244" s="84" t="e">
        <f t="shared" si="234"/>
        <v>#VALUE!</v>
      </c>
      <c r="F244" s="84">
        <f t="shared" si="234"/>
        <v>0</v>
      </c>
      <c r="G244" s="84" t="e">
        <f t="shared" si="234"/>
        <v>#VALUE!</v>
      </c>
      <c r="H244" s="84">
        <f t="shared" si="234"/>
        <v>0</v>
      </c>
      <c r="I244" s="84" t="e">
        <f t="shared" si="234"/>
        <v>#VALUE!</v>
      </c>
      <c r="J244" s="84">
        <f t="shared" si="234"/>
        <v>0</v>
      </c>
      <c r="K244" s="84" t="e">
        <f t="shared" si="234"/>
        <v>#VALUE!</v>
      </c>
      <c r="L244" s="84">
        <f t="shared" si="234"/>
        <v>82.745790549289026</v>
      </c>
      <c r="M244" s="84">
        <f t="shared" si="234"/>
        <v>25.064252721202283</v>
      </c>
      <c r="N244" s="84">
        <f t="shared" si="234"/>
        <v>25.064252721202283</v>
      </c>
      <c r="O244" s="84">
        <f t="shared" si="234"/>
        <v>0</v>
      </c>
      <c r="P244" s="84">
        <f t="shared" si="234"/>
        <v>0</v>
      </c>
      <c r="Q244" s="84">
        <f t="shared" si="224"/>
        <v>-4.8999999999999998E-4</v>
      </c>
      <c r="R244" s="84">
        <f t="shared" si="224"/>
        <v>-9.7999999999999997E-4</v>
      </c>
      <c r="S244" s="84">
        <f t="shared" si="224"/>
        <v>-1.47E-3</v>
      </c>
      <c r="T244" s="84">
        <f t="shared" ref="T244:AC244" si="235">+S244+(0.711/100)</f>
        <v>5.64E-3</v>
      </c>
      <c r="U244" s="84">
        <f t="shared" si="235"/>
        <v>1.2750000000000001E-2</v>
      </c>
      <c r="V244" s="84">
        <f t="shared" si="235"/>
        <v>1.9860000000000003E-2</v>
      </c>
      <c r="W244" s="84">
        <f t="shared" si="235"/>
        <v>2.6970000000000001E-2</v>
      </c>
      <c r="X244" s="84">
        <f t="shared" si="235"/>
        <v>3.4079999999999999E-2</v>
      </c>
      <c r="Y244" s="84">
        <f t="shared" si="235"/>
        <v>4.1189999999999997E-2</v>
      </c>
      <c r="Z244" s="84">
        <f t="shared" si="235"/>
        <v>4.8299999999999996E-2</v>
      </c>
      <c r="AA244" s="84">
        <f t="shared" si="235"/>
        <v>5.5409999999999994E-2</v>
      </c>
      <c r="AB244" s="84">
        <f t="shared" si="235"/>
        <v>6.2519999999999992E-2</v>
      </c>
      <c r="AC244" s="84">
        <f t="shared" si="235"/>
        <v>6.9629999999999997E-2</v>
      </c>
    </row>
    <row r="245" spans="1:29" x14ac:dyDescent="0.25">
      <c r="A245" s="54" t="s">
        <v>6</v>
      </c>
      <c r="B245" s="86" t="s">
        <v>25</v>
      </c>
      <c r="C245" s="86"/>
      <c r="D245" s="84">
        <f t="shared" ref="D245:P245" si="236">+D124</f>
        <v>0</v>
      </c>
      <c r="E245" s="84" t="e">
        <f t="shared" si="236"/>
        <v>#VALUE!</v>
      </c>
      <c r="F245" s="84">
        <f t="shared" si="236"/>
        <v>0</v>
      </c>
      <c r="G245" s="84" t="e">
        <f t="shared" si="236"/>
        <v>#VALUE!</v>
      </c>
      <c r="H245" s="84">
        <f t="shared" si="236"/>
        <v>0</v>
      </c>
      <c r="I245" s="84" t="e">
        <f t="shared" si="236"/>
        <v>#VALUE!</v>
      </c>
      <c r="J245" s="84">
        <f t="shared" si="236"/>
        <v>0</v>
      </c>
      <c r="K245" s="84" t="e">
        <f t="shared" si="236"/>
        <v>#VALUE!</v>
      </c>
      <c r="L245" s="84">
        <f t="shared" si="236"/>
        <v>9.1675865101659628</v>
      </c>
      <c r="M245" s="84">
        <f t="shared" si="236"/>
        <v>2.7769231958381342</v>
      </c>
      <c r="N245" s="84">
        <f t="shared" si="236"/>
        <v>2.7769231958381342</v>
      </c>
      <c r="O245" s="84">
        <f t="shared" si="236"/>
        <v>0</v>
      </c>
      <c r="P245" s="84">
        <f t="shared" si="236"/>
        <v>0</v>
      </c>
      <c r="Q245" s="84">
        <f t="shared" si="224"/>
        <v>-4.8999999999999998E-4</v>
      </c>
      <c r="R245" s="84">
        <f t="shared" si="224"/>
        <v>-9.7999999999999997E-4</v>
      </c>
      <c r="S245" s="84">
        <f t="shared" si="224"/>
        <v>-1.47E-3</v>
      </c>
      <c r="T245" s="84">
        <f t="shared" ref="T245:AC245" si="237">+S245+(0.711/100)</f>
        <v>5.64E-3</v>
      </c>
      <c r="U245" s="84">
        <f t="shared" si="237"/>
        <v>1.2750000000000001E-2</v>
      </c>
      <c r="V245" s="84">
        <f t="shared" si="237"/>
        <v>1.9860000000000003E-2</v>
      </c>
      <c r="W245" s="84">
        <f t="shared" si="237"/>
        <v>2.6970000000000001E-2</v>
      </c>
      <c r="X245" s="84">
        <f t="shared" si="237"/>
        <v>3.4079999999999999E-2</v>
      </c>
      <c r="Y245" s="84">
        <f t="shared" si="237"/>
        <v>4.1189999999999997E-2</v>
      </c>
      <c r="Z245" s="84">
        <f t="shared" si="237"/>
        <v>4.8299999999999996E-2</v>
      </c>
      <c r="AA245" s="84">
        <f t="shared" si="237"/>
        <v>5.5409999999999994E-2</v>
      </c>
      <c r="AB245" s="84">
        <f t="shared" si="237"/>
        <v>6.2519999999999992E-2</v>
      </c>
      <c r="AC245" s="84">
        <f t="shared" si="237"/>
        <v>6.9629999999999997E-2</v>
      </c>
    </row>
    <row r="246" spans="1:29" x14ac:dyDescent="0.25">
      <c r="A246" s="54" t="s">
        <v>6</v>
      </c>
      <c r="B246" s="86" t="s">
        <v>26</v>
      </c>
      <c r="C246" s="86"/>
      <c r="D246" s="84">
        <f t="shared" ref="D246:P246" si="238">+D125</f>
        <v>0</v>
      </c>
      <c r="E246" s="84" t="e">
        <f t="shared" si="238"/>
        <v>#VALUE!</v>
      </c>
      <c r="F246" s="84">
        <f t="shared" si="238"/>
        <v>0</v>
      </c>
      <c r="G246" s="84" t="e">
        <f t="shared" si="238"/>
        <v>#VALUE!</v>
      </c>
      <c r="H246" s="84">
        <f t="shared" si="238"/>
        <v>0</v>
      </c>
      <c r="I246" s="84" t="e">
        <f t="shared" si="238"/>
        <v>#VALUE!</v>
      </c>
      <c r="J246" s="84">
        <f t="shared" si="238"/>
        <v>0</v>
      </c>
      <c r="K246" s="84" t="e">
        <f t="shared" si="238"/>
        <v>#VALUE!</v>
      </c>
      <c r="L246" s="84">
        <f t="shared" si="238"/>
        <v>2.2767896253245357</v>
      </c>
      <c r="M246" s="84">
        <f t="shared" si="238"/>
        <v>0.68965478706923711</v>
      </c>
      <c r="N246" s="84">
        <f t="shared" si="238"/>
        <v>0.68965478706923711</v>
      </c>
      <c r="O246" s="84">
        <f t="shared" si="238"/>
        <v>0</v>
      </c>
      <c r="P246" s="84">
        <f t="shared" si="238"/>
        <v>0</v>
      </c>
      <c r="Q246" s="84">
        <f t="shared" si="224"/>
        <v>-4.8999999999999998E-4</v>
      </c>
      <c r="R246" s="84">
        <f t="shared" si="224"/>
        <v>-9.7999999999999997E-4</v>
      </c>
      <c r="S246" s="84">
        <f t="shared" si="224"/>
        <v>-1.47E-3</v>
      </c>
      <c r="T246" s="84">
        <f t="shared" ref="T246:AC246" si="239">+S246+(0.711/100)</f>
        <v>5.64E-3</v>
      </c>
      <c r="U246" s="84">
        <f t="shared" si="239"/>
        <v>1.2750000000000001E-2</v>
      </c>
      <c r="V246" s="84">
        <f t="shared" si="239"/>
        <v>1.9860000000000003E-2</v>
      </c>
      <c r="W246" s="84">
        <f t="shared" si="239"/>
        <v>2.6970000000000001E-2</v>
      </c>
      <c r="X246" s="84">
        <f t="shared" si="239"/>
        <v>3.4079999999999999E-2</v>
      </c>
      <c r="Y246" s="84">
        <f t="shared" si="239"/>
        <v>4.1189999999999997E-2</v>
      </c>
      <c r="Z246" s="84">
        <f t="shared" si="239"/>
        <v>4.8299999999999996E-2</v>
      </c>
      <c r="AA246" s="84">
        <f t="shared" si="239"/>
        <v>5.5409999999999994E-2</v>
      </c>
      <c r="AB246" s="84">
        <f t="shared" si="239"/>
        <v>6.2519999999999992E-2</v>
      </c>
      <c r="AC246" s="84">
        <f t="shared" si="239"/>
        <v>6.9629999999999997E-2</v>
      </c>
    </row>
    <row r="247" spans="1:29" x14ac:dyDescent="0.25">
      <c r="A247" s="54" t="s">
        <v>6</v>
      </c>
      <c r="B247" s="86" t="s">
        <v>27</v>
      </c>
      <c r="C247" s="86"/>
      <c r="D247" s="84">
        <f t="shared" ref="D247:P247" si="240">+D126</f>
        <v>0</v>
      </c>
      <c r="E247" s="84" t="e">
        <f t="shared" si="240"/>
        <v>#VALUE!</v>
      </c>
      <c r="F247" s="84">
        <f t="shared" si="240"/>
        <v>0</v>
      </c>
      <c r="G247" s="84" t="e">
        <f t="shared" si="240"/>
        <v>#VALUE!</v>
      </c>
      <c r="H247" s="84">
        <f t="shared" si="240"/>
        <v>0</v>
      </c>
      <c r="I247" s="84" t="e">
        <f t="shared" si="240"/>
        <v>#VALUE!</v>
      </c>
      <c r="J247" s="84">
        <f t="shared" si="240"/>
        <v>0</v>
      </c>
      <c r="K247" s="84" t="e">
        <f t="shared" si="240"/>
        <v>#VALUE!</v>
      </c>
      <c r="L247" s="84">
        <f t="shared" si="240"/>
        <v>9.521144487657935</v>
      </c>
      <c r="M247" s="84">
        <f t="shared" si="240"/>
        <v>2.8840182690814955</v>
      </c>
      <c r="N247" s="84">
        <f t="shared" si="240"/>
        <v>2.8840182690814955</v>
      </c>
      <c r="O247" s="84">
        <f t="shared" si="240"/>
        <v>0</v>
      </c>
      <c r="P247" s="84">
        <f t="shared" si="240"/>
        <v>0</v>
      </c>
      <c r="Q247" s="84">
        <f t="shared" si="224"/>
        <v>-4.8999999999999998E-4</v>
      </c>
      <c r="R247" s="84">
        <f t="shared" si="224"/>
        <v>-9.7999999999999997E-4</v>
      </c>
      <c r="S247" s="84">
        <f t="shared" si="224"/>
        <v>-1.47E-3</v>
      </c>
      <c r="T247" s="84">
        <f t="shared" ref="T247:AC247" si="241">+S247+(0.711/100)</f>
        <v>5.64E-3</v>
      </c>
      <c r="U247" s="84">
        <f t="shared" si="241"/>
        <v>1.2750000000000001E-2</v>
      </c>
      <c r="V247" s="84">
        <f t="shared" si="241"/>
        <v>1.9860000000000003E-2</v>
      </c>
      <c r="W247" s="84">
        <f t="shared" si="241"/>
        <v>2.6970000000000001E-2</v>
      </c>
      <c r="X247" s="84">
        <f t="shared" si="241"/>
        <v>3.4079999999999999E-2</v>
      </c>
      <c r="Y247" s="84">
        <f t="shared" si="241"/>
        <v>4.1189999999999997E-2</v>
      </c>
      <c r="Z247" s="84">
        <f t="shared" si="241"/>
        <v>4.8299999999999996E-2</v>
      </c>
      <c r="AA247" s="84">
        <f t="shared" si="241"/>
        <v>5.5409999999999994E-2</v>
      </c>
      <c r="AB247" s="84">
        <f t="shared" si="241"/>
        <v>6.2519999999999992E-2</v>
      </c>
      <c r="AC247" s="84">
        <f t="shared" si="241"/>
        <v>6.9629999999999997E-2</v>
      </c>
    </row>
    <row r="249" spans="1:29" x14ac:dyDescent="0.25">
      <c r="A249" s="1" t="s">
        <v>105</v>
      </c>
      <c r="B249" s="65" t="s">
        <v>106</v>
      </c>
      <c r="C249" s="65"/>
      <c r="D249" s="1">
        <v>2010</v>
      </c>
      <c r="E249" s="1">
        <v>2011</v>
      </c>
      <c r="F249" s="1">
        <v>2012</v>
      </c>
      <c r="G249" s="1">
        <v>2013</v>
      </c>
      <c r="H249" s="1">
        <v>2014</v>
      </c>
      <c r="I249" s="1">
        <v>2015</v>
      </c>
      <c r="J249" s="1">
        <v>2016</v>
      </c>
      <c r="K249" s="1">
        <v>2017</v>
      </c>
      <c r="L249" s="1">
        <v>2018</v>
      </c>
      <c r="M249" s="1">
        <v>2019</v>
      </c>
      <c r="N249" s="1">
        <v>2020</v>
      </c>
      <c r="O249" s="1">
        <v>2021</v>
      </c>
      <c r="P249" s="1">
        <v>2022</v>
      </c>
      <c r="Q249" s="1">
        <v>2023</v>
      </c>
      <c r="R249" s="1">
        <v>2024</v>
      </c>
      <c r="S249" s="1">
        <v>2025</v>
      </c>
      <c r="T249" s="1">
        <v>2026</v>
      </c>
      <c r="U249" s="1">
        <v>2027</v>
      </c>
      <c r="V249" s="1">
        <v>2028</v>
      </c>
      <c r="W249" s="1">
        <v>2029</v>
      </c>
      <c r="X249" s="1">
        <v>2030</v>
      </c>
      <c r="Y249" s="1">
        <v>2031</v>
      </c>
      <c r="Z249" s="1">
        <v>2032</v>
      </c>
      <c r="AA249" s="1">
        <v>2033</v>
      </c>
      <c r="AB249" s="1">
        <v>2034</v>
      </c>
      <c r="AC249" s="1">
        <v>2035</v>
      </c>
    </row>
    <row r="250" spans="1:29" x14ac:dyDescent="0.25">
      <c r="A250" s="54" t="s">
        <v>113</v>
      </c>
      <c r="B250" s="86" t="s">
        <v>18</v>
      </c>
      <c r="C250" s="86"/>
      <c r="D250" s="84">
        <f t="shared" ref="D250:P250" si="242">+D129</f>
        <v>1.9608849868055968E-2</v>
      </c>
      <c r="E250" s="84">
        <f t="shared" si="242"/>
        <v>1.9608849868055968E-2</v>
      </c>
      <c r="F250" s="84">
        <f t="shared" si="242"/>
        <v>1.9608849868055968E-2</v>
      </c>
      <c r="G250" s="84">
        <f t="shared" si="242"/>
        <v>1.9608849868055968E-2</v>
      </c>
      <c r="H250" s="84">
        <f t="shared" si="242"/>
        <v>1.9608849868055968E-2</v>
      </c>
      <c r="I250" s="84">
        <f t="shared" si="242"/>
        <v>3.8212746180374069E-2</v>
      </c>
      <c r="J250" s="84">
        <f t="shared" si="242"/>
        <v>5.6816642492692165E-2</v>
      </c>
      <c r="K250" s="84">
        <f t="shared" si="242"/>
        <v>0.25447384916269633</v>
      </c>
      <c r="L250" s="84">
        <f t="shared" si="242"/>
        <v>0.45213105583270052</v>
      </c>
      <c r="M250" s="84">
        <f t="shared" si="242"/>
        <v>1.808916400328163E-2</v>
      </c>
      <c r="N250" s="84">
        <f t="shared" si="242"/>
        <v>1.808916400328163E-2</v>
      </c>
      <c r="O250" s="84">
        <f t="shared" si="242"/>
        <v>9.3644513651134784E-2</v>
      </c>
      <c r="P250" s="84">
        <f t="shared" si="242"/>
        <v>9.3644513651134784E-2</v>
      </c>
      <c r="Q250" s="84">
        <f t="shared" ref="Q250:S258" si="243">+P250-(0.049/100)</f>
        <v>9.3154513651134779E-2</v>
      </c>
      <c r="R250" s="84">
        <f t="shared" si="243"/>
        <v>9.2664513651134775E-2</v>
      </c>
      <c r="S250" s="84">
        <f t="shared" si="243"/>
        <v>9.2174513651134771E-2</v>
      </c>
      <c r="T250" s="84">
        <f t="shared" ref="T250:AC250" si="244">+S250+(0.711/100)</f>
        <v>9.9284513651134776E-2</v>
      </c>
      <c r="U250" s="84">
        <f t="shared" si="244"/>
        <v>0.10639451365113478</v>
      </c>
      <c r="V250" s="84">
        <f t="shared" si="244"/>
        <v>0.11350451365113479</v>
      </c>
      <c r="W250" s="84">
        <f t="shared" si="244"/>
        <v>0.12061451365113479</v>
      </c>
      <c r="X250" s="84">
        <f t="shared" si="244"/>
        <v>0.1277245136511348</v>
      </c>
      <c r="Y250" s="84">
        <f t="shared" si="244"/>
        <v>0.1348345136511348</v>
      </c>
      <c r="Z250" s="84">
        <f t="shared" si="244"/>
        <v>0.14194451365113481</v>
      </c>
      <c r="AA250" s="84">
        <f t="shared" si="244"/>
        <v>0.14905451365113481</v>
      </c>
      <c r="AB250" s="84">
        <f t="shared" si="244"/>
        <v>0.15616451365113482</v>
      </c>
      <c r="AC250" s="84">
        <f t="shared" si="244"/>
        <v>0.16327451365113482</v>
      </c>
    </row>
    <row r="251" spans="1:29" x14ac:dyDescent="0.25">
      <c r="A251" s="54" t="s">
        <v>113</v>
      </c>
      <c r="B251" s="86" t="s">
        <v>20</v>
      </c>
      <c r="C251" s="86"/>
      <c r="D251" s="84">
        <f t="shared" ref="D251:P251" si="245">+D130</f>
        <v>0.19148406368669654</v>
      </c>
      <c r="E251" s="84">
        <f t="shared" si="245"/>
        <v>0.19148406368669654</v>
      </c>
      <c r="F251" s="84">
        <f t="shared" si="245"/>
        <v>0.19148406368669654</v>
      </c>
      <c r="G251" s="84">
        <f t="shared" si="245"/>
        <v>0.19148406368669654</v>
      </c>
      <c r="H251" s="84">
        <f t="shared" si="245"/>
        <v>0.19148406368669654</v>
      </c>
      <c r="I251" s="84">
        <f t="shared" si="245"/>
        <v>0.37315456910944989</v>
      </c>
      <c r="J251" s="84">
        <f t="shared" si="245"/>
        <v>0.5548250745322032</v>
      </c>
      <c r="K251" s="84">
        <f t="shared" si="245"/>
        <v>2.4849844364941047</v>
      </c>
      <c r="L251" s="84">
        <f t="shared" si="245"/>
        <v>4.4151437984560058</v>
      </c>
      <c r="M251" s="84">
        <f t="shared" si="245"/>
        <v>0.17664404875097756</v>
      </c>
      <c r="N251" s="84">
        <f t="shared" si="245"/>
        <v>0.17664404875097756</v>
      </c>
      <c r="O251" s="84">
        <f t="shared" si="245"/>
        <v>0.91445608164378012</v>
      </c>
      <c r="P251" s="84">
        <f t="shared" si="245"/>
        <v>0.91445608164378012</v>
      </c>
      <c r="Q251" s="84">
        <f t="shared" si="243"/>
        <v>0.91396608164378013</v>
      </c>
      <c r="R251" s="84">
        <f t="shared" si="243"/>
        <v>0.91347608164378014</v>
      </c>
      <c r="S251" s="84">
        <f t="shared" si="243"/>
        <v>0.91298608164378015</v>
      </c>
      <c r="T251" s="84">
        <f t="shared" ref="T251:AC251" si="246">+S251+(0.711/100)</f>
        <v>0.92009608164378009</v>
      </c>
      <c r="U251" s="84">
        <f t="shared" si="246"/>
        <v>0.92720608164378004</v>
      </c>
      <c r="V251" s="84">
        <f t="shared" si="246"/>
        <v>0.93431608164377999</v>
      </c>
      <c r="W251" s="84">
        <f t="shared" si="246"/>
        <v>0.94142608164377994</v>
      </c>
      <c r="X251" s="84">
        <f t="shared" si="246"/>
        <v>0.94853608164377989</v>
      </c>
      <c r="Y251" s="84">
        <f t="shared" si="246"/>
        <v>0.95564608164377984</v>
      </c>
      <c r="Z251" s="84">
        <f t="shared" si="246"/>
        <v>0.96275608164377979</v>
      </c>
      <c r="AA251" s="84">
        <f t="shared" si="246"/>
        <v>0.96986608164377974</v>
      </c>
      <c r="AB251" s="84">
        <f t="shared" si="246"/>
        <v>0.97697608164377969</v>
      </c>
      <c r="AC251" s="84">
        <f t="shared" si="246"/>
        <v>0.98408608164377964</v>
      </c>
    </row>
    <row r="252" spans="1:29" x14ac:dyDescent="0.25">
      <c r="A252" s="54" t="s">
        <v>113</v>
      </c>
      <c r="B252" s="86" t="s">
        <v>21</v>
      </c>
      <c r="C252" s="86"/>
      <c r="D252" s="84">
        <f t="shared" ref="D252:P252" si="247">+D131</f>
        <v>1.8309893460827253</v>
      </c>
      <c r="E252" s="84">
        <f t="shared" si="247"/>
        <v>1.8309893460827253</v>
      </c>
      <c r="F252" s="84">
        <f t="shared" si="247"/>
        <v>1.8309893460827253</v>
      </c>
      <c r="G252" s="84">
        <f t="shared" si="247"/>
        <v>1.8309893460827253</v>
      </c>
      <c r="H252" s="84">
        <f t="shared" si="247"/>
        <v>1.8309893460827253</v>
      </c>
      <c r="I252" s="84">
        <f t="shared" si="247"/>
        <v>3.5681404881787109</v>
      </c>
      <c r="J252" s="84">
        <f t="shared" si="247"/>
        <v>5.3052916302746969</v>
      </c>
      <c r="K252" s="84">
        <f t="shared" si="247"/>
        <v>23.761664238788569</v>
      </c>
      <c r="L252" s="84">
        <f t="shared" si="247"/>
        <v>42.218036847302443</v>
      </c>
      <c r="M252" s="84">
        <f t="shared" si="247"/>
        <v>1.6890876717613141</v>
      </c>
      <c r="N252" s="84">
        <f t="shared" si="247"/>
        <v>1.6890876717613141</v>
      </c>
      <c r="O252" s="84">
        <f t="shared" si="247"/>
        <v>8.7441184958863154</v>
      </c>
      <c r="P252" s="84">
        <f t="shared" si="247"/>
        <v>8.7441184958863154</v>
      </c>
      <c r="Q252" s="84">
        <f t="shared" si="243"/>
        <v>8.7436284958863162</v>
      </c>
      <c r="R252" s="84">
        <f t="shared" si="243"/>
        <v>8.743138495886317</v>
      </c>
      <c r="S252" s="84">
        <f t="shared" si="243"/>
        <v>8.7426484958863178</v>
      </c>
      <c r="T252" s="84">
        <f t="shared" ref="T252:AC252" si="248">+S252+(0.711/100)</f>
        <v>8.7497584958863186</v>
      </c>
      <c r="U252" s="84">
        <f t="shared" si="248"/>
        <v>8.7568684958863194</v>
      </c>
      <c r="V252" s="84">
        <f t="shared" si="248"/>
        <v>8.7639784958863203</v>
      </c>
      <c r="W252" s="84">
        <f t="shared" si="248"/>
        <v>8.7710884958863211</v>
      </c>
      <c r="X252" s="84">
        <f t="shared" si="248"/>
        <v>8.778198495886322</v>
      </c>
      <c r="Y252" s="84">
        <f t="shared" si="248"/>
        <v>8.7853084958863228</v>
      </c>
      <c r="Z252" s="84">
        <f t="shared" si="248"/>
        <v>8.7924184958863236</v>
      </c>
      <c r="AA252" s="84">
        <f t="shared" si="248"/>
        <v>8.7995284958863245</v>
      </c>
      <c r="AB252" s="84">
        <f t="shared" si="248"/>
        <v>8.8066384958863253</v>
      </c>
      <c r="AC252" s="84">
        <f t="shared" si="248"/>
        <v>8.8137484958863261</v>
      </c>
    </row>
    <row r="253" spans="1:29" x14ac:dyDescent="0.25">
      <c r="A253" s="54" t="s">
        <v>113</v>
      </c>
      <c r="B253" s="86" t="s">
        <v>22</v>
      </c>
      <c r="C253" s="86"/>
      <c r="D253" s="84">
        <f t="shared" ref="D253:P253" si="249">+D132</f>
        <v>0.74428536155629221</v>
      </c>
      <c r="E253" s="84">
        <f t="shared" si="249"/>
        <v>0.74428536155629221</v>
      </c>
      <c r="F253" s="84">
        <f t="shared" si="249"/>
        <v>0.74428536155629221</v>
      </c>
      <c r="G253" s="84">
        <f t="shared" si="249"/>
        <v>0.74428536155629221</v>
      </c>
      <c r="H253" s="84">
        <f t="shared" si="249"/>
        <v>0.74428536155629221</v>
      </c>
      <c r="I253" s="84">
        <f t="shared" si="249"/>
        <v>1.4504260983328245</v>
      </c>
      <c r="J253" s="84">
        <f t="shared" si="249"/>
        <v>2.1565668351093565</v>
      </c>
      <c r="K253" s="84">
        <f t="shared" si="249"/>
        <v>9.658963279596783</v>
      </c>
      <c r="L253" s="84">
        <f t="shared" si="249"/>
        <v>17.161359724084207</v>
      </c>
      <c r="M253" s="84">
        <f t="shared" si="249"/>
        <v>0.68660324603567957</v>
      </c>
      <c r="N253" s="84">
        <f t="shared" si="249"/>
        <v>0.68660324603567957</v>
      </c>
      <c r="O253" s="84">
        <f t="shared" si="249"/>
        <v>3.5544277797822676</v>
      </c>
      <c r="P253" s="84">
        <f t="shared" si="249"/>
        <v>3.5544277797822676</v>
      </c>
      <c r="Q253" s="84">
        <f t="shared" si="243"/>
        <v>3.5539377797822675</v>
      </c>
      <c r="R253" s="84">
        <f t="shared" si="243"/>
        <v>3.5534477797822674</v>
      </c>
      <c r="S253" s="84">
        <f t="shared" si="243"/>
        <v>3.5529577797822673</v>
      </c>
      <c r="T253" s="84">
        <f t="shared" ref="T253:AC253" si="250">+S253+(0.711/100)</f>
        <v>3.5600677797822673</v>
      </c>
      <c r="U253" s="84">
        <f t="shared" si="250"/>
        <v>3.5671777797822672</v>
      </c>
      <c r="V253" s="84">
        <f t="shared" si="250"/>
        <v>3.5742877797822672</v>
      </c>
      <c r="W253" s="84">
        <f t="shared" si="250"/>
        <v>3.5813977797822671</v>
      </c>
      <c r="X253" s="84">
        <f t="shared" si="250"/>
        <v>3.5885077797822671</v>
      </c>
      <c r="Y253" s="84">
        <f t="shared" si="250"/>
        <v>3.595617779782267</v>
      </c>
      <c r="Z253" s="84">
        <f t="shared" si="250"/>
        <v>3.602727779782267</v>
      </c>
      <c r="AA253" s="84">
        <f t="shared" si="250"/>
        <v>3.6098377797822669</v>
      </c>
      <c r="AB253" s="84">
        <f t="shared" si="250"/>
        <v>3.6169477797822669</v>
      </c>
      <c r="AC253" s="84">
        <f t="shared" si="250"/>
        <v>3.6240577797822668</v>
      </c>
    </row>
    <row r="254" spans="1:29" x14ac:dyDescent="0.25">
      <c r="A254" s="54" t="s">
        <v>113</v>
      </c>
      <c r="B254" s="86" t="s">
        <v>23</v>
      </c>
      <c r="C254" s="86"/>
      <c r="D254" s="84">
        <f t="shared" ref="D254:P254" si="251">+D133</f>
        <v>0.51257005584459059</v>
      </c>
      <c r="E254" s="84">
        <f t="shared" si="251"/>
        <v>0.51257005584459059</v>
      </c>
      <c r="F254" s="84">
        <f t="shared" si="251"/>
        <v>0.51257005584459059</v>
      </c>
      <c r="G254" s="84">
        <f t="shared" si="251"/>
        <v>0.51257005584459059</v>
      </c>
      <c r="H254" s="84">
        <f t="shared" si="251"/>
        <v>0.51257005584459059</v>
      </c>
      <c r="I254" s="84">
        <f t="shared" si="251"/>
        <v>0.99887089632714587</v>
      </c>
      <c r="J254" s="84">
        <f t="shared" si="251"/>
        <v>1.4851717368097013</v>
      </c>
      <c r="K254" s="84">
        <f t="shared" si="251"/>
        <v>6.6518778997231749</v>
      </c>
      <c r="L254" s="84">
        <f t="shared" si="251"/>
        <v>11.818584062636647</v>
      </c>
      <c r="M254" s="84">
        <f t="shared" si="251"/>
        <v>0.47284587651663479</v>
      </c>
      <c r="N254" s="84">
        <f t="shared" si="251"/>
        <v>0.47284587651663479</v>
      </c>
      <c r="O254" s="84">
        <f t="shared" si="251"/>
        <v>2.4478423729428229</v>
      </c>
      <c r="P254" s="84">
        <f t="shared" si="251"/>
        <v>2.4478423729428229</v>
      </c>
      <c r="Q254" s="84">
        <f t="shared" si="243"/>
        <v>2.4473523729428228</v>
      </c>
      <c r="R254" s="84">
        <f t="shared" si="243"/>
        <v>2.4468623729428227</v>
      </c>
      <c r="S254" s="84">
        <f t="shared" si="243"/>
        <v>2.4463723729428226</v>
      </c>
      <c r="T254" s="84">
        <f t="shared" ref="T254:AC254" si="252">+S254+(0.711/100)</f>
        <v>2.4534823729428226</v>
      </c>
      <c r="U254" s="84">
        <f t="shared" si="252"/>
        <v>2.4605923729428225</v>
      </c>
      <c r="V254" s="84">
        <f t="shared" si="252"/>
        <v>2.4677023729428225</v>
      </c>
      <c r="W254" s="84">
        <f t="shared" si="252"/>
        <v>2.4748123729428224</v>
      </c>
      <c r="X254" s="84">
        <f t="shared" si="252"/>
        <v>2.4819223729428224</v>
      </c>
      <c r="Y254" s="84">
        <f t="shared" si="252"/>
        <v>2.4890323729428223</v>
      </c>
      <c r="Z254" s="84">
        <f t="shared" si="252"/>
        <v>2.4961423729428223</v>
      </c>
      <c r="AA254" s="84">
        <f t="shared" si="252"/>
        <v>2.5032523729428222</v>
      </c>
      <c r="AB254" s="84">
        <f t="shared" si="252"/>
        <v>2.5103623729428222</v>
      </c>
      <c r="AC254" s="84">
        <f t="shared" si="252"/>
        <v>2.5174723729428221</v>
      </c>
    </row>
    <row r="255" spans="1:29" x14ac:dyDescent="0.25">
      <c r="A255" s="54" t="s">
        <v>113</v>
      </c>
      <c r="B255" s="86" t="s">
        <v>24</v>
      </c>
      <c r="C255" s="86"/>
      <c r="D255" s="84">
        <f t="shared" ref="D255:P255" si="253">+D134</f>
        <v>3.750729924609395</v>
      </c>
      <c r="E255" s="84">
        <f t="shared" si="253"/>
        <v>3.750729924609395</v>
      </c>
      <c r="F255" s="84">
        <f t="shared" si="253"/>
        <v>3.750729924609395</v>
      </c>
      <c r="G255" s="84">
        <f t="shared" si="253"/>
        <v>3.750729924609395</v>
      </c>
      <c r="H255" s="84">
        <f t="shared" si="253"/>
        <v>3.750729924609395</v>
      </c>
      <c r="I255" s="84">
        <f t="shared" si="253"/>
        <v>7.3092349405825585</v>
      </c>
      <c r="J255" s="84">
        <f t="shared" si="253"/>
        <v>10.867739956555722</v>
      </c>
      <c r="K255" s="84">
        <f t="shared" si="253"/>
        <v>48.675097596618428</v>
      </c>
      <c r="L255" s="84">
        <f t="shared" si="253"/>
        <v>86.482455236681133</v>
      </c>
      <c r="M255" s="84">
        <f t="shared" si="253"/>
        <v>3.4600483554521668</v>
      </c>
      <c r="N255" s="84">
        <f t="shared" si="253"/>
        <v>3.4600483554521668</v>
      </c>
      <c r="O255" s="84">
        <f t="shared" si="253"/>
        <v>17.912079596212742</v>
      </c>
      <c r="P255" s="84">
        <f t="shared" si="253"/>
        <v>17.912079596212742</v>
      </c>
      <c r="Q255" s="84">
        <f t="shared" si="243"/>
        <v>17.911589596212742</v>
      </c>
      <c r="R255" s="84">
        <f t="shared" si="243"/>
        <v>17.911099596212743</v>
      </c>
      <c r="S255" s="84">
        <f t="shared" si="243"/>
        <v>17.910609596212744</v>
      </c>
      <c r="T255" s="84">
        <f t="shared" ref="T255:AC255" si="254">+S255+(0.711/100)</f>
        <v>17.917719596212745</v>
      </c>
      <c r="U255" s="84">
        <f t="shared" si="254"/>
        <v>17.924829596212746</v>
      </c>
      <c r="V255" s="84">
        <f t="shared" si="254"/>
        <v>17.931939596212747</v>
      </c>
      <c r="W255" s="84">
        <f t="shared" si="254"/>
        <v>17.939049596212747</v>
      </c>
      <c r="X255" s="84">
        <f t="shared" si="254"/>
        <v>17.946159596212748</v>
      </c>
      <c r="Y255" s="84">
        <f t="shared" si="254"/>
        <v>17.953269596212749</v>
      </c>
      <c r="Z255" s="84">
        <f t="shared" si="254"/>
        <v>17.96037959621275</v>
      </c>
      <c r="AA255" s="84">
        <f t="shared" si="254"/>
        <v>17.967489596212751</v>
      </c>
      <c r="AB255" s="84">
        <f t="shared" si="254"/>
        <v>17.974599596212752</v>
      </c>
      <c r="AC255" s="84">
        <f t="shared" si="254"/>
        <v>17.981709596212752</v>
      </c>
    </row>
    <row r="256" spans="1:29" x14ac:dyDescent="0.25">
      <c r="A256" s="54" t="s">
        <v>113</v>
      </c>
      <c r="B256" s="86" t="s">
        <v>25</v>
      </c>
      <c r="C256" s="86"/>
      <c r="D256" s="84">
        <f t="shared" ref="D256:P256" si="255">+D135</f>
        <v>0.41555154445763326</v>
      </c>
      <c r="E256" s="84">
        <f t="shared" si="255"/>
        <v>0.41555154445763326</v>
      </c>
      <c r="F256" s="84">
        <f t="shared" si="255"/>
        <v>0.41555154445763326</v>
      </c>
      <c r="G256" s="84">
        <f t="shared" si="255"/>
        <v>0.41555154445763326</v>
      </c>
      <c r="H256" s="84">
        <f t="shared" si="255"/>
        <v>0.41555154445763326</v>
      </c>
      <c r="I256" s="84">
        <f t="shared" si="255"/>
        <v>0.80980607226181278</v>
      </c>
      <c r="J256" s="84">
        <f t="shared" si="255"/>
        <v>1.2040606000659924</v>
      </c>
      <c r="K256" s="84">
        <f t="shared" si="255"/>
        <v>5.3928201681989361</v>
      </c>
      <c r="L256" s="84">
        <f t="shared" si="255"/>
        <v>9.5815797363318786</v>
      </c>
      <c r="M256" s="84">
        <f t="shared" si="255"/>
        <v>0.38334629976216666</v>
      </c>
      <c r="N256" s="84">
        <f t="shared" si="255"/>
        <v>0.38334629976216666</v>
      </c>
      <c r="O256" s="84">
        <f t="shared" si="255"/>
        <v>1.9845183445004848</v>
      </c>
      <c r="P256" s="84">
        <f t="shared" si="255"/>
        <v>1.9845183445004848</v>
      </c>
      <c r="Q256" s="84">
        <f t="shared" si="243"/>
        <v>1.9840283445004847</v>
      </c>
      <c r="R256" s="84">
        <f t="shared" si="243"/>
        <v>1.9835383445004846</v>
      </c>
      <c r="S256" s="84">
        <f t="shared" si="243"/>
        <v>1.9830483445004845</v>
      </c>
      <c r="T256" s="84">
        <f t="shared" ref="T256:AC256" si="256">+S256+(0.711/100)</f>
        <v>1.9901583445004845</v>
      </c>
      <c r="U256" s="84">
        <f t="shared" si="256"/>
        <v>1.9972683445004844</v>
      </c>
      <c r="V256" s="84">
        <f t="shared" si="256"/>
        <v>2.0043783445004846</v>
      </c>
      <c r="W256" s="84">
        <f t="shared" si="256"/>
        <v>2.0114883445004845</v>
      </c>
      <c r="X256" s="84">
        <f t="shared" si="256"/>
        <v>2.0185983445004845</v>
      </c>
      <c r="Y256" s="84">
        <f t="shared" si="256"/>
        <v>2.0257083445004844</v>
      </c>
      <c r="Z256" s="84">
        <f t="shared" si="256"/>
        <v>2.0328183445004844</v>
      </c>
      <c r="AA256" s="84">
        <f t="shared" si="256"/>
        <v>2.0399283445004843</v>
      </c>
      <c r="AB256" s="84">
        <f t="shared" si="256"/>
        <v>2.0470383445004843</v>
      </c>
      <c r="AC256" s="84">
        <f t="shared" si="256"/>
        <v>2.0541483445004842</v>
      </c>
    </row>
    <row r="257" spans="1:29" x14ac:dyDescent="0.25">
      <c r="A257" s="54" t="s">
        <v>113</v>
      </c>
      <c r="B257" s="86" t="s">
        <v>26</v>
      </c>
      <c r="C257" s="86"/>
      <c r="D257" s="84">
        <f t="shared" ref="D257:P257" si="257">+D136</f>
        <v>0.10320311067253829</v>
      </c>
      <c r="E257" s="84">
        <f t="shared" si="257"/>
        <v>0.10320311067253829</v>
      </c>
      <c r="F257" s="84">
        <f t="shared" si="257"/>
        <v>0.10320311067253829</v>
      </c>
      <c r="G257" s="84">
        <f t="shared" si="257"/>
        <v>0.10320311067253829</v>
      </c>
      <c r="H257" s="84">
        <f t="shared" si="257"/>
        <v>0.10320311067253829</v>
      </c>
      <c r="I257" s="84">
        <f t="shared" si="257"/>
        <v>0.20111706192310899</v>
      </c>
      <c r="J257" s="84">
        <f t="shared" si="257"/>
        <v>0.29903101317367969</v>
      </c>
      <c r="K257" s="84">
        <f t="shared" si="257"/>
        <v>1.3393183687528658</v>
      </c>
      <c r="L257" s="84">
        <f t="shared" si="257"/>
        <v>2.3796057243320519</v>
      </c>
      <c r="M257" s="84">
        <f t="shared" si="257"/>
        <v>9.5204869595416575E-2</v>
      </c>
      <c r="N257" s="84">
        <f t="shared" si="257"/>
        <v>9.5204869595416575E-2</v>
      </c>
      <c r="O257" s="84">
        <f t="shared" si="257"/>
        <v>0.49285935540554066</v>
      </c>
      <c r="P257" s="84">
        <f t="shared" si="257"/>
        <v>0.49285935540554066</v>
      </c>
      <c r="Q257" s="84">
        <f t="shared" si="243"/>
        <v>0.49236935540554067</v>
      </c>
      <c r="R257" s="84">
        <f t="shared" si="243"/>
        <v>0.49187935540554067</v>
      </c>
      <c r="S257" s="84">
        <f t="shared" si="243"/>
        <v>0.49138935540554068</v>
      </c>
      <c r="T257" s="84">
        <f t="shared" ref="T257:AC257" si="258">+S257+(0.711/100)</f>
        <v>0.49849935540554069</v>
      </c>
      <c r="U257" s="84">
        <f t="shared" si="258"/>
        <v>0.50560935540554064</v>
      </c>
      <c r="V257" s="84">
        <f t="shared" si="258"/>
        <v>0.51271935540554059</v>
      </c>
      <c r="W257" s="84">
        <f t="shared" si="258"/>
        <v>0.51982935540554054</v>
      </c>
      <c r="X257" s="84">
        <f t="shared" si="258"/>
        <v>0.52693935540554049</v>
      </c>
      <c r="Y257" s="84">
        <f t="shared" si="258"/>
        <v>0.53404935540554044</v>
      </c>
      <c r="Z257" s="84">
        <f t="shared" si="258"/>
        <v>0.54115935540554039</v>
      </c>
      <c r="AA257" s="84">
        <f t="shared" si="258"/>
        <v>0.54826935540554034</v>
      </c>
      <c r="AB257" s="84">
        <f t="shared" si="258"/>
        <v>0.55537935540554029</v>
      </c>
      <c r="AC257" s="84">
        <f t="shared" si="258"/>
        <v>0.56248935540554024</v>
      </c>
    </row>
    <row r="258" spans="1:29" x14ac:dyDescent="0.25">
      <c r="A258" s="54" t="s">
        <v>113</v>
      </c>
      <c r="B258" s="86" t="s">
        <v>27</v>
      </c>
      <c r="C258" s="86"/>
      <c r="D258" s="84">
        <f t="shared" ref="D258:P258" si="259">+D137</f>
        <v>0.43157774322207193</v>
      </c>
      <c r="E258" s="84">
        <f t="shared" si="259"/>
        <v>0.43157774322207193</v>
      </c>
      <c r="F258" s="84">
        <f t="shared" si="259"/>
        <v>0.43157774322207193</v>
      </c>
      <c r="G258" s="84">
        <f t="shared" si="259"/>
        <v>0.43157774322207193</v>
      </c>
      <c r="H258" s="84">
        <f t="shared" si="259"/>
        <v>0.43157774322207193</v>
      </c>
      <c r="I258" s="84">
        <f t="shared" si="259"/>
        <v>0.84103712710401268</v>
      </c>
      <c r="J258" s="84">
        <f t="shared" si="259"/>
        <v>1.2504965109859534</v>
      </c>
      <c r="K258" s="84">
        <f t="shared" si="259"/>
        <v>5.6008001626644388</v>
      </c>
      <c r="L258" s="84">
        <f t="shared" si="259"/>
        <v>9.9511038143429236</v>
      </c>
      <c r="M258" s="84">
        <f t="shared" si="259"/>
        <v>0.39813046812236136</v>
      </c>
      <c r="N258" s="84">
        <f t="shared" si="259"/>
        <v>0.39813046812236136</v>
      </c>
      <c r="O258" s="84">
        <f t="shared" si="259"/>
        <v>2.0610534599749073</v>
      </c>
      <c r="P258" s="84">
        <f t="shared" si="259"/>
        <v>2.0610534599749073</v>
      </c>
      <c r="Q258" s="84">
        <f t="shared" si="243"/>
        <v>2.0605634599749072</v>
      </c>
      <c r="R258" s="84">
        <f t="shared" si="243"/>
        <v>2.0600734599749071</v>
      </c>
      <c r="S258" s="84">
        <f t="shared" si="243"/>
        <v>2.059583459974907</v>
      </c>
      <c r="T258" s="84">
        <f t="shared" ref="T258:AC258" si="260">+S258+(0.711/100)</f>
        <v>2.0666934599749069</v>
      </c>
      <c r="U258" s="84">
        <f t="shared" si="260"/>
        <v>2.0738034599749069</v>
      </c>
      <c r="V258" s="84">
        <f t="shared" si="260"/>
        <v>2.0809134599749068</v>
      </c>
      <c r="W258" s="84">
        <f t="shared" si="260"/>
        <v>2.0880234599749068</v>
      </c>
      <c r="X258" s="84">
        <f t="shared" si="260"/>
        <v>2.0951334599749067</v>
      </c>
      <c r="Y258" s="84">
        <f t="shared" si="260"/>
        <v>2.1022434599749067</v>
      </c>
      <c r="Z258" s="84">
        <f t="shared" si="260"/>
        <v>2.1093534599749066</v>
      </c>
      <c r="AA258" s="84">
        <f t="shared" si="260"/>
        <v>2.1164634599749066</v>
      </c>
      <c r="AB258" s="84">
        <f t="shared" si="260"/>
        <v>2.1235734599749065</v>
      </c>
      <c r="AC258" s="84">
        <f t="shared" si="260"/>
        <v>2.1306834599749065</v>
      </c>
    </row>
    <row r="259" spans="1:29" ht="15.6" customHeight="1" x14ac:dyDescent="0.25"/>
    <row r="260" spans="1:29" x14ac:dyDescent="0.25">
      <c r="A260" s="81" t="s">
        <v>116</v>
      </c>
    </row>
    <row r="261" spans="1:29" x14ac:dyDescent="0.25">
      <c r="A261" s="1" t="s">
        <v>105</v>
      </c>
      <c r="B261" s="65" t="s">
        <v>106</v>
      </c>
      <c r="C261" s="65"/>
      <c r="D261" s="1">
        <v>2010</v>
      </c>
      <c r="E261" s="1">
        <v>2011</v>
      </c>
      <c r="F261" s="1">
        <v>2012</v>
      </c>
      <c r="G261" s="1">
        <v>2013</v>
      </c>
      <c r="H261" s="1">
        <v>2014</v>
      </c>
      <c r="I261" s="1">
        <v>2015</v>
      </c>
      <c r="J261" s="1">
        <v>2016</v>
      </c>
      <c r="K261" s="1">
        <v>2017</v>
      </c>
      <c r="L261" s="1">
        <v>2018</v>
      </c>
      <c r="M261" s="1">
        <v>2019</v>
      </c>
      <c r="N261" s="1">
        <v>2020</v>
      </c>
      <c r="O261" s="1">
        <v>2021</v>
      </c>
      <c r="P261" s="1">
        <v>2022</v>
      </c>
      <c r="Q261" s="1">
        <v>2023</v>
      </c>
      <c r="R261" s="1">
        <v>2024</v>
      </c>
      <c r="S261" s="1">
        <v>2025</v>
      </c>
      <c r="T261" s="1">
        <v>2026</v>
      </c>
      <c r="U261" s="1">
        <v>2027</v>
      </c>
      <c r="V261" s="1">
        <v>2028</v>
      </c>
      <c r="W261" s="1">
        <v>2029</v>
      </c>
      <c r="X261" s="1">
        <v>2030</v>
      </c>
      <c r="Y261" s="1">
        <v>2031</v>
      </c>
      <c r="Z261" s="1">
        <v>2032</v>
      </c>
      <c r="AA261" s="1">
        <v>2033</v>
      </c>
      <c r="AB261" s="1">
        <v>2034</v>
      </c>
      <c r="AC261" s="1">
        <v>2035</v>
      </c>
    </row>
    <row r="262" spans="1:29" x14ac:dyDescent="0.25">
      <c r="A262" s="86" t="s">
        <v>18</v>
      </c>
      <c r="B262" s="54" t="s">
        <v>19</v>
      </c>
      <c r="C262" s="54"/>
      <c r="D262" s="84">
        <v>2921.6550000000002</v>
      </c>
      <c r="E262" s="84">
        <f t="shared" ref="E262:E275" si="261">+(D262+F262)/2</f>
        <v>2921.6550000000002</v>
      </c>
      <c r="F262" s="84">
        <v>2921.6550000000002</v>
      </c>
      <c r="G262" s="84">
        <f t="shared" ref="G262:G275" si="262">+(F262+H262)/2</f>
        <v>2921.6550000000002</v>
      </c>
      <c r="H262" s="84">
        <v>2921.6550000000002</v>
      </c>
      <c r="I262" s="84">
        <f t="shared" ref="I262:I275" si="263">+(H262+J262)/2</f>
        <v>2044.4325000000001</v>
      </c>
      <c r="J262" s="84">
        <v>1167.21</v>
      </c>
      <c r="K262" s="84">
        <f t="shared" ref="K262:K275" si="264">+(J262+L262)/2</f>
        <v>1052.55</v>
      </c>
      <c r="L262" s="84">
        <v>937.89</v>
      </c>
      <c r="M262" s="84">
        <v>3382.92</v>
      </c>
      <c r="N262" s="84">
        <v>3382.92</v>
      </c>
      <c r="O262" s="84">
        <v>2392.92</v>
      </c>
      <c r="P262" s="84">
        <v>2392.92</v>
      </c>
      <c r="Q262" s="84">
        <f t="shared" ref="Q262:S275" si="265">+P262+(0.049/100)</f>
        <v>2392.92049</v>
      </c>
      <c r="R262" s="84">
        <f t="shared" si="265"/>
        <v>2392.9209799999999</v>
      </c>
      <c r="S262" s="84">
        <f t="shared" si="265"/>
        <v>2392.9214699999998</v>
      </c>
      <c r="T262" s="84">
        <f t="shared" ref="T262:AC262" si="266">+S262-(0.711/100)</f>
        <v>2392.9143599999998</v>
      </c>
      <c r="U262" s="84">
        <f t="shared" si="266"/>
        <v>2392.9072499999997</v>
      </c>
      <c r="V262" s="84">
        <f t="shared" si="266"/>
        <v>2392.9001399999997</v>
      </c>
      <c r="W262" s="84">
        <f t="shared" si="266"/>
        <v>2392.8930299999997</v>
      </c>
      <c r="X262" s="84">
        <f t="shared" si="266"/>
        <v>2392.8859199999997</v>
      </c>
      <c r="Y262" s="84">
        <f t="shared" si="266"/>
        <v>2392.8788099999997</v>
      </c>
      <c r="Z262" s="84">
        <f t="shared" si="266"/>
        <v>2392.8716999999997</v>
      </c>
      <c r="AA262" s="84">
        <f t="shared" si="266"/>
        <v>2392.8645899999997</v>
      </c>
      <c r="AB262" s="84">
        <f t="shared" si="266"/>
        <v>2392.8574799999997</v>
      </c>
      <c r="AC262" s="84">
        <f t="shared" si="266"/>
        <v>2392.8503699999997</v>
      </c>
    </row>
    <row r="263" spans="1:29" x14ac:dyDescent="0.25">
      <c r="A263" s="86" t="s">
        <v>20</v>
      </c>
      <c r="B263" s="54" t="s">
        <v>19</v>
      </c>
      <c r="C263" s="54"/>
      <c r="D263" s="84">
        <v>14129.010000000007</v>
      </c>
      <c r="E263" s="84">
        <f t="shared" si="261"/>
        <v>14129.010000000007</v>
      </c>
      <c r="F263" s="84">
        <v>14129.010000000007</v>
      </c>
      <c r="G263" s="84">
        <f t="shared" si="262"/>
        <v>14129.010000000007</v>
      </c>
      <c r="H263" s="84">
        <v>14129.010000000007</v>
      </c>
      <c r="I263" s="84">
        <f t="shared" si="263"/>
        <v>13915.642500000002</v>
      </c>
      <c r="J263" s="84">
        <v>13702.274999999998</v>
      </c>
      <c r="K263" s="84">
        <f t="shared" si="264"/>
        <v>11871.967499999999</v>
      </c>
      <c r="L263" s="84">
        <v>10041.66</v>
      </c>
      <c r="M263" s="84">
        <v>11193.21</v>
      </c>
      <c r="N263" s="84">
        <v>11193.21</v>
      </c>
      <c r="O263" s="84">
        <v>14441.400000000001</v>
      </c>
      <c r="P263" s="84">
        <v>14441.400000000001</v>
      </c>
      <c r="Q263" s="84">
        <f t="shared" si="265"/>
        <v>14441.400490000002</v>
      </c>
      <c r="R263" s="84">
        <f t="shared" si="265"/>
        <v>14441.400980000002</v>
      </c>
      <c r="S263" s="84">
        <f t="shared" si="265"/>
        <v>14441.401470000003</v>
      </c>
      <c r="T263" s="84">
        <f t="shared" ref="T263:AC263" si="267">+S263-(0.711/100)</f>
        <v>14441.394360000002</v>
      </c>
      <c r="U263" s="84">
        <f t="shared" si="267"/>
        <v>14441.387250000002</v>
      </c>
      <c r="V263" s="84">
        <f t="shared" si="267"/>
        <v>14441.380140000001</v>
      </c>
      <c r="W263" s="84">
        <f t="shared" si="267"/>
        <v>14441.373030000001</v>
      </c>
      <c r="X263" s="84">
        <f t="shared" si="267"/>
        <v>14441.36592</v>
      </c>
      <c r="Y263" s="84">
        <f t="shared" si="267"/>
        <v>14441.35881</v>
      </c>
      <c r="Z263" s="84">
        <f t="shared" si="267"/>
        <v>14441.351699999999</v>
      </c>
      <c r="AA263" s="84">
        <f t="shared" si="267"/>
        <v>14441.344589999999</v>
      </c>
      <c r="AB263" s="84">
        <f t="shared" si="267"/>
        <v>14441.337479999998</v>
      </c>
      <c r="AC263" s="84">
        <f t="shared" si="267"/>
        <v>14441.330369999998</v>
      </c>
    </row>
    <row r="264" spans="1:29" x14ac:dyDescent="0.25">
      <c r="A264" s="86" t="s">
        <v>21</v>
      </c>
      <c r="B264" s="54" t="s">
        <v>19</v>
      </c>
      <c r="C264" s="54"/>
      <c r="D264" s="84">
        <v>13631.910000000002</v>
      </c>
      <c r="E264" s="84">
        <f t="shared" si="261"/>
        <v>13631.910000000002</v>
      </c>
      <c r="F264" s="84">
        <v>13631.910000000002</v>
      </c>
      <c r="G264" s="84">
        <f t="shared" si="262"/>
        <v>13631.910000000002</v>
      </c>
      <c r="H264" s="84">
        <v>13631.910000000002</v>
      </c>
      <c r="I264" s="84">
        <f t="shared" si="263"/>
        <v>13444.094999999999</v>
      </c>
      <c r="J264" s="84">
        <v>13256.279999999997</v>
      </c>
      <c r="K264" s="84">
        <f t="shared" si="264"/>
        <v>12232.394999999999</v>
      </c>
      <c r="L264" s="84">
        <v>11208.51</v>
      </c>
      <c r="M264" s="84">
        <v>11090.66</v>
      </c>
      <c r="N264" s="84">
        <v>11090.66</v>
      </c>
      <c r="O264" s="84">
        <v>8753.94</v>
      </c>
      <c r="P264" s="84">
        <v>8753.94</v>
      </c>
      <c r="Q264" s="84">
        <f t="shared" si="265"/>
        <v>8753.9404900000009</v>
      </c>
      <c r="R264" s="84">
        <f t="shared" si="265"/>
        <v>8753.9409800000012</v>
      </c>
      <c r="S264" s="84">
        <f t="shared" si="265"/>
        <v>8753.9414700000016</v>
      </c>
      <c r="T264" s="84">
        <f t="shared" ref="T264:AC264" si="268">+S264-(0.711/100)</f>
        <v>8753.9343600000011</v>
      </c>
      <c r="U264" s="84">
        <f t="shared" si="268"/>
        <v>8753.9272500000006</v>
      </c>
      <c r="V264" s="84">
        <f t="shared" si="268"/>
        <v>8753.9201400000002</v>
      </c>
      <c r="W264" s="84">
        <f t="shared" si="268"/>
        <v>8753.9130299999997</v>
      </c>
      <c r="X264" s="84">
        <f t="shared" si="268"/>
        <v>8753.9059199999992</v>
      </c>
      <c r="Y264" s="84">
        <f t="shared" si="268"/>
        <v>8753.8988099999988</v>
      </c>
      <c r="Z264" s="84">
        <f t="shared" si="268"/>
        <v>8753.8916999999983</v>
      </c>
      <c r="AA264" s="84">
        <f t="shared" si="268"/>
        <v>8753.8845899999978</v>
      </c>
      <c r="AB264" s="84">
        <f t="shared" si="268"/>
        <v>8753.8774799999974</v>
      </c>
      <c r="AC264" s="84">
        <f t="shared" si="268"/>
        <v>8753.8703699999969</v>
      </c>
    </row>
    <row r="265" spans="1:29" x14ac:dyDescent="0.25">
      <c r="A265" s="86" t="s">
        <v>22</v>
      </c>
      <c r="B265" s="54" t="s">
        <v>19</v>
      </c>
      <c r="C265" s="54"/>
      <c r="D265" s="84">
        <v>19148.415000000001</v>
      </c>
      <c r="E265" s="84">
        <f t="shared" si="261"/>
        <v>19148.415000000001</v>
      </c>
      <c r="F265" s="84">
        <v>19148.415000000001</v>
      </c>
      <c r="G265" s="84">
        <f t="shared" si="262"/>
        <v>19148.415000000001</v>
      </c>
      <c r="H265" s="84">
        <v>19148.415000000001</v>
      </c>
      <c r="I265" s="84">
        <f t="shared" si="263"/>
        <v>15017.677500000002</v>
      </c>
      <c r="J265" s="84">
        <v>10886.94</v>
      </c>
      <c r="K265" s="84">
        <f t="shared" si="264"/>
        <v>10514.34</v>
      </c>
      <c r="L265" s="84">
        <v>10141.74</v>
      </c>
      <c r="M265" s="84">
        <v>8861.5349999999999</v>
      </c>
      <c r="N265" s="84">
        <v>8861.5349999999999</v>
      </c>
      <c r="O265" s="84">
        <v>11154.645</v>
      </c>
      <c r="P265" s="84">
        <v>11154.645</v>
      </c>
      <c r="Q265" s="84">
        <f t="shared" si="265"/>
        <v>11154.645490000001</v>
      </c>
      <c r="R265" s="84">
        <f t="shared" si="265"/>
        <v>11154.645980000001</v>
      </c>
      <c r="S265" s="84">
        <f t="shared" si="265"/>
        <v>11154.646470000002</v>
      </c>
      <c r="T265" s="84">
        <f t="shared" ref="T265:AC265" si="269">+S265-(0.711/100)</f>
        <v>11154.639360000001</v>
      </c>
      <c r="U265" s="84">
        <f t="shared" si="269"/>
        <v>11154.632250000001</v>
      </c>
      <c r="V265" s="84">
        <f t="shared" si="269"/>
        <v>11154.62514</v>
      </c>
      <c r="W265" s="84">
        <f t="shared" si="269"/>
        <v>11154.61803</v>
      </c>
      <c r="X265" s="84">
        <f t="shared" si="269"/>
        <v>11154.610919999999</v>
      </c>
      <c r="Y265" s="84">
        <f t="shared" si="269"/>
        <v>11154.603809999999</v>
      </c>
      <c r="Z265" s="84">
        <f t="shared" si="269"/>
        <v>11154.596699999998</v>
      </c>
      <c r="AA265" s="84">
        <f t="shared" si="269"/>
        <v>11154.589589999998</v>
      </c>
      <c r="AB265" s="84">
        <f t="shared" si="269"/>
        <v>11154.582479999997</v>
      </c>
      <c r="AC265" s="84">
        <f t="shared" si="269"/>
        <v>11154.575369999997</v>
      </c>
    </row>
    <row r="266" spans="1:29" x14ac:dyDescent="0.25">
      <c r="A266" s="86" t="s">
        <v>23</v>
      </c>
      <c r="B266" s="54" t="s">
        <v>19</v>
      </c>
      <c r="C266" s="54"/>
      <c r="D266" s="84">
        <v>2543.9550000000004</v>
      </c>
      <c r="E266" s="84">
        <f t="shared" si="261"/>
        <v>2543.9550000000004</v>
      </c>
      <c r="F266" s="84">
        <v>2543.9550000000004</v>
      </c>
      <c r="G266" s="84">
        <f t="shared" si="262"/>
        <v>2543.9550000000004</v>
      </c>
      <c r="H266" s="84">
        <v>2543.9550000000004</v>
      </c>
      <c r="I266" s="84">
        <f t="shared" si="263"/>
        <v>2740.3950000000004</v>
      </c>
      <c r="J266" s="84">
        <v>2936.835</v>
      </c>
      <c r="K266" s="84">
        <f t="shared" si="264"/>
        <v>2619.4974999999999</v>
      </c>
      <c r="L266" s="84">
        <v>2302.16</v>
      </c>
      <c r="M266" s="84">
        <v>3169.13</v>
      </c>
      <c r="N266" s="84">
        <v>3169.13</v>
      </c>
      <c r="O266" s="84">
        <v>1357.29</v>
      </c>
      <c r="P266" s="84">
        <v>1357.29</v>
      </c>
      <c r="Q266" s="84">
        <f t="shared" si="265"/>
        <v>1357.2904899999999</v>
      </c>
      <c r="R266" s="84">
        <f t="shared" si="265"/>
        <v>1357.2909799999998</v>
      </c>
      <c r="S266" s="84">
        <f t="shared" si="265"/>
        <v>1357.2914699999997</v>
      </c>
      <c r="T266" s="84">
        <f t="shared" ref="T266:AC266" si="270">+S266-(0.711/100)</f>
        <v>1357.2843599999997</v>
      </c>
      <c r="U266" s="84">
        <f t="shared" si="270"/>
        <v>1357.2772499999996</v>
      </c>
      <c r="V266" s="84">
        <f t="shared" si="270"/>
        <v>1357.2701399999996</v>
      </c>
      <c r="W266" s="84">
        <f t="shared" si="270"/>
        <v>1357.2630299999996</v>
      </c>
      <c r="X266" s="84">
        <f t="shared" si="270"/>
        <v>1357.2559199999996</v>
      </c>
      <c r="Y266" s="84">
        <f t="shared" si="270"/>
        <v>1357.2488099999996</v>
      </c>
      <c r="Z266" s="84">
        <f t="shared" si="270"/>
        <v>1357.2416999999996</v>
      </c>
      <c r="AA266" s="84">
        <f t="shared" si="270"/>
        <v>1357.2345899999996</v>
      </c>
      <c r="AB266" s="84">
        <f t="shared" si="270"/>
        <v>1357.2274799999996</v>
      </c>
      <c r="AC266" s="84">
        <f t="shared" si="270"/>
        <v>1357.2203699999995</v>
      </c>
    </row>
    <row r="267" spans="1:29" ht="22.5" x14ac:dyDescent="0.25">
      <c r="A267" s="86" t="s">
        <v>24</v>
      </c>
      <c r="B267" s="54" t="s">
        <v>19</v>
      </c>
      <c r="C267" s="54"/>
      <c r="D267" s="84">
        <v>22227.494999999999</v>
      </c>
      <c r="E267" s="84">
        <f t="shared" si="261"/>
        <v>22227.494999999999</v>
      </c>
      <c r="F267" s="84">
        <v>22227.494999999999</v>
      </c>
      <c r="G267" s="84">
        <f t="shared" si="262"/>
        <v>22227.494999999999</v>
      </c>
      <c r="H267" s="84">
        <v>22227.494999999999</v>
      </c>
      <c r="I267" s="84">
        <f t="shared" si="263"/>
        <v>24651.502500000002</v>
      </c>
      <c r="J267" s="84">
        <v>27075.510000000002</v>
      </c>
      <c r="K267" s="84">
        <f t="shared" si="264"/>
        <v>25636.365000000002</v>
      </c>
      <c r="L267" s="84">
        <v>24197.22</v>
      </c>
      <c r="M267" s="84">
        <v>26998.74</v>
      </c>
      <c r="N267" s="84">
        <v>26998.74</v>
      </c>
      <c r="O267" s="84">
        <v>28947.375</v>
      </c>
      <c r="P267" s="84">
        <v>28947.375</v>
      </c>
      <c r="Q267" s="84">
        <f t="shared" si="265"/>
        <v>28947.375489999999</v>
      </c>
      <c r="R267" s="84">
        <f t="shared" si="265"/>
        <v>28947.375979999997</v>
      </c>
      <c r="S267" s="84">
        <f t="shared" si="265"/>
        <v>28947.376469999996</v>
      </c>
      <c r="T267" s="84">
        <f t="shared" ref="T267:AC267" si="271">+S267-(0.711/100)</f>
        <v>28947.369359999997</v>
      </c>
      <c r="U267" s="84">
        <f t="shared" si="271"/>
        <v>28947.362249999998</v>
      </c>
      <c r="V267" s="84">
        <f t="shared" si="271"/>
        <v>28947.35514</v>
      </c>
      <c r="W267" s="84">
        <f t="shared" si="271"/>
        <v>28947.348030000001</v>
      </c>
      <c r="X267" s="84">
        <f t="shared" si="271"/>
        <v>28947.340920000002</v>
      </c>
      <c r="Y267" s="84">
        <f t="shared" si="271"/>
        <v>28947.333810000004</v>
      </c>
      <c r="Z267" s="84">
        <f t="shared" si="271"/>
        <v>28947.326700000005</v>
      </c>
      <c r="AA267" s="84">
        <f t="shared" si="271"/>
        <v>28947.319590000006</v>
      </c>
      <c r="AB267" s="84">
        <f t="shared" si="271"/>
        <v>28947.312480000008</v>
      </c>
      <c r="AC267" s="84">
        <f t="shared" si="271"/>
        <v>28947.305370000009</v>
      </c>
    </row>
    <row r="268" spans="1:29" x14ac:dyDescent="0.25">
      <c r="A268" s="86" t="s">
        <v>25</v>
      </c>
      <c r="B268" s="54" t="s">
        <v>19</v>
      </c>
      <c r="C268" s="54"/>
      <c r="D268" s="84">
        <v>19344.36</v>
      </c>
      <c r="E268" s="84">
        <f t="shared" si="261"/>
        <v>19344.36</v>
      </c>
      <c r="F268" s="84">
        <v>19344.36</v>
      </c>
      <c r="G268" s="84">
        <f t="shared" si="262"/>
        <v>19344.36</v>
      </c>
      <c r="H268" s="84">
        <v>19344.36</v>
      </c>
      <c r="I268" s="84">
        <f t="shared" si="263"/>
        <v>19871.79</v>
      </c>
      <c r="J268" s="84">
        <v>20399.220000000005</v>
      </c>
      <c r="K268" s="84">
        <f t="shared" si="264"/>
        <v>19175.940000000002</v>
      </c>
      <c r="L268" s="84">
        <v>17952.66</v>
      </c>
      <c r="M268" s="84">
        <v>16612.38</v>
      </c>
      <c r="N268" s="84">
        <v>16612.38</v>
      </c>
      <c r="O268" s="84">
        <v>23323.995000000003</v>
      </c>
      <c r="P268" s="84">
        <v>23323.995000000003</v>
      </c>
      <c r="Q268" s="84">
        <f t="shared" si="265"/>
        <v>23323.995490000001</v>
      </c>
      <c r="R268" s="84">
        <f t="shared" si="265"/>
        <v>23323.99598</v>
      </c>
      <c r="S268" s="84">
        <f t="shared" si="265"/>
        <v>23323.996469999998</v>
      </c>
      <c r="T268" s="84">
        <f t="shared" ref="T268:AC268" si="272">+S268-(0.711/100)</f>
        <v>23323.98936</v>
      </c>
      <c r="U268" s="84">
        <f t="shared" si="272"/>
        <v>23323.982250000001</v>
      </c>
      <c r="V268" s="84">
        <f t="shared" si="272"/>
        <v>23323.975140000002</v>
      </c>
      <c r="W268" s="84">
        <f t="shared" si="272"/>
        <v>23323.968030000004</v>
      </c>
      <c r="X268" s="84">
        <f t="shared" si="272"/>
        <v>23323.960920000005</v>
      </c>
      <c r="Y268" s="84">
        <f t="shared" si="272"/>
        <v>23323.953810000006</v>
      </c>
      <c r="Z268" s="84">
        <f t="shared" si="272"/>
        <v>23323.946700000008</v>
      </c>
      <c r="AA268" s="84">
        <f t="shared" si="272"/>
        <v>23323.939590000009</v>
      </c>
      <c r="AB268" s="84">
        <f t="shared" si="272"/>
        <v>23323.93248000001</v>
      </c>
      <c r="AC268" s="84">
        <f t="shared" si="272"/>
        <v>23323.925370000012</v>
      </c>
    </row>
    <row r="269" spans="1:29" x14ac:dyDescent="0.25">
      <c r="A269" s="86" t="s">
        <v>26</v>
      </c>
      <c r="B269" s="54" t="s">
        <v>19</v>
      </c>
      <c r="C269" s="54"/>
      <c r="D269" s="84">
        <v>363.52500000000009</v>
      </c>
      <c r="E269" s="84">
        <f t="shared" si="261"/>
        <v>363.52500000000009</v>
      </c>
      <c r="F269" s="84">
        <v>363.52500000000009</v>
      </c>
      <c r="G269" s="84">
        <f t="shared" si="262"/>
        <v>363.52500000000009</v>
      </c>
      <c r="H269" s="84">
        <v>363.52500000000009</v>
      </c>
      <c r="I269" s="84">
        <f t="shared" si="263"/>
        <v>561.31500000000028</v>
      </c>
      <c r="J269" s="84">
        <v>759.10500000000059</v>
      </c>
      <c r="K269" s="84">
        <f t="shared" si="264"/>
        <v>538.24750000000029</v>
      </c>
      <c r="L269" s="84">
        <v>317.39</v>
      </c>
      <c r="M269" s="84">
        <v>137.97</v>
      </c>
      <c r="N269" s="84">
        <v>137.97</v>
      </c>
      <c r="O269" s="84">
        <v>329.58</v>
      </c>
      <c r="P269" s="84">
        <v>329.58</v>
      </c>
      <c r="Q269" s="84">
        <f t="shared" si="265"/>
        <v>329.58049</v>
      </c>
      <c r="R269" s="84">
        <f t="shared" si="265"/>
        <v>329.58098000000001</v>
      </c>
      <c r="S269" s="84">
        <f t="shared" si="265"/>
        <v>329.58147000000002</v>
      </c>
      <c r="T269" s="84">
        <f t="shared" ref="T269:AC269" si="273">+S269-(0.711/100)</f>
        <v>329.57436000000001</v>
      </c>
      <c r="U269" s="84">
        <f t="shared" si="273"/>
        <v>329.56725</v>
      </c>
      <c r="V269" s="84">
        <f t="shared" si="273"/>
        <v>329.56013999999999</v>
      </c>
      <c r="W269" s="84">
        <f t="shared" si="273"/>
        <v>329.55302999999998</v>
      </c>
      <c r="X269" s="84">
        <f t="shared" si="273"/>
        <v>329.54591999999997</v>
      </c>
      <c r="Y269" s="84">
        <f t="shared" si="273"/>
        <v>329.53880999999996</v>
      </c>
      <c r="Z269" s="84">
        <f t="shared" si="273"/>
        <v>329.53169999999994</v>
      </c>
      <c r="AA269" s="84">
        <f t="shared" si="273"/>
        <v>329.52458999999993</v>
      </c>
      <c r="AB269" s="84">
        <f t="shared" si="273"/>
        <v>329.51747999999992</v>
      </c>
      <c r="AC269" s="84">
        <f t="shared" si="273"/>
        <v>329.51036999999991</v>
      </c>
    </row>
    <row r="270" spans="1:29" x14ac:dyDescent="0.25">
      <c r="A270" s="86" t="s">
        <v>27</v>
      </c>
      <c r="B270" s="54" t="s">
        <v>19</v>
      </c>
      <c r="C270" s="54"/>
      <c r="D270" s="84">
        <v>423.67500000000001</v>
      </c>
      <c r="E270" s="84">
        <f t="shared" si="261"/>
        <v>423.67500000000001</v>
      </c>
      <c r="F270" s="84">
        <v>423.67500000000001</v>
      </c>
      <c r="G270" s="84">
        <f t="shared" si="262"/>
        <v>423.67500000000001</v>
      </c>
      <c r="H270" s="84">
        <v>423.67500000000001</v>
      </c>
      <c r="I270" s="84">
        <f t="shared" si="263"/>
        <v>506.65499999999997</v>
      </c>
      <c r="J270" s="84">
        <v>589.63499999999999</v>
      </c>
      <c r="K270" s="84">
        <f t="shared" si="264"/>
        <v>463.27499999999998</v>
      </c>
      <c r="L270" s="84">
        <v>336.91500000000002</v>
      </c>
      <c r="M270" s="84">
        <v>621.04999999999995</v>
      </c>
      <c r="N270" s="84">
        <v>621.04999999999995</v>
      </c>
      <c r="O270" s="84">
        <v>667.8900000000001</v>
      </c>
      <c r="P270" s="84">
        <v>667.8900000000001</v>
      </c>
      <c r="Q270" s="84">
        <f t="shared" si="265"/>
        <v>667.89049000000011</v>
      </c>
      <c r="R270" s="84">
        <f t="shared" si="265"/>
        <v>667.89098000000013</v>
      </c>
      <c r="S270" s="84">
        <f t="shared" si="265"/>
        <v>667.89147000000014</v>
      </c>
      <c r="T270" s="84">
        <f t="shared" ref="T270:AC270" si="274">+S270-(0.711/100)</f>
        <v>667.88436000000013</v>
      </c>
      <c r="U270" s="84">
        <f t="shared" si="274"/>
        <v>667.87725000000012</v>
      </c>
      <c r="V270" s="84">
        <f t="shared" si="274"/>
        <v>667.87014000000011</v>
      </c>
      <c r="W270" s="84">
        <f t="shared" si="274"/>
        <v>667.86303000000009</v>
      </c>
      <c r="X270" s="84">
        <f t="shared" si="274"/>
        <v>667.85592000000008</v>
      </c>
      <c r="Y270" s="84">
        <f t="shared" si="274"/>
        <v>667.84881000000007</v>
      </c>
      <c r="Z270" s="84">
        <f t="shared" si="274"/>
        <v>667.84170000000006</v>
      </c>
      <c r="AA270" s="84">
        <f t="shared" si="274"/>
        <v>667.83459000000005</v>
      </c>
      <c r="AB270" s="84">
        <f t="shared" si="274"/>
        <v>667.82748000000004</v>
      </c>
      <c r="AC270" s="84">
        <f t="shared" si="274"/>
        <v>667.82037000000003</v>
      </c>
    </row>
    <row r="271" spans="1:29" x14ac:dyDescent="0.25">
      <c r="A271" s="86" t="s">
        <v>28</v>
      </c>
      <c r="B271" s="54" t="s">
        <v>19</v>
      </c>
      <c r="C271" s="54"/>
      <c r="D271" s="84">
        <v>2300.9850000000001</v>
      </c>
      <c r="E271" s="84">
        <f t="shared" si="261"/>
        <v>2300.9850000000001</v>
      </c>
      <c r="F271" s="84">
        <v>2300.9850000000001</v>
      </c>
      <c r="G271" s="84">
        <f t="shared" si="262"/>
        <v>2300.9850000000001</v>
      </c>
      <c r="H271" s="84">
        <v>2300.9850000000001</v>
      </c>
      <c r="I271" s="84">
        <f t="shared" si="263"/>
        <v>6718.8375000000005</v>
      </c>
      <c r="J271" s="84">
        <v>11136.69</v>
      </c>
      <c r="K271" s="84">
        <f t="shared" si="264"/>
        <v>9869.0625</v>
      </c>
      <c r="L271" s="84">
        <v>8601.4349999999995</v>
      </c>
      <c r="M271" s="84">
        <v>1903.73</v>
      </c>
      <c r="N271" s="84">
        <v>1903.73</v>
      </c>
      <c r="O271" s="84">
        <v>5155.1099999999997</v>
      </c>
      <c r="P271" s="84">
        <v>5155.1099999999997</v>
      </c>
      <c r="Q271" s="84">
        <f t="shared" si="265"/>
        <v>5155.11049</v>
      </c>
      <c r="R271" s="84">
        <f t="shared" si="265"/>
        <v>5155.1109800000004</v>
      </c>
      <c r="S271" s="84">
        <f t="shared" si="265"/>
        <v>5155.1114700000007</v>
      </c>
      <c r="T271" s="84">
        <f t="shared" ref="T271:AC271" si="275">+S271-(0.711/100)</f>
        <v>5155.1043600000012</v>
      </c>
      <c r="U271" s="84">
        <f t="shared" si="275"/>
        <v>5155.0972500000016</v>
      </c>
      <c r="V271" s="84">
        <f t="shared" si="275"/>
        <v>5155.0901400000021</v>
      </c>
      <c r="W271" s="84">
        <f t="shared" si="275"/>
        <v>5155.0830300000025</v>
      </c>
      <c r="X271" s="84">
        <f t="shared" si="275"/>
        <v>5155.075920000003</v>
      </c>
      <c r="Y271" s="84">
        <f t="shared" si="275"/>
        <v>5155.0688100000034</v>
      </c>
      <c r="Z271" s="84">
        <f t="shared" si="275"/>
        <v>5155.0617000000038</v>
      </c>
      <c r="AA271" s="84">
        <f t="shared" si="275"/>
        <v>5155.0545900000043</v>
      </c>
      <c r="AB271" s="84">
        <f t="shared" si="275"/>
        <v>5155.0474800000047</v>
      </c>
      <c r="AC271" s="84">
        <f t="shared" si="275"/>
        <v>5155.0403700000052</v>
      </c>
    </row>
    <row r="272" spans="1:29" x14ac:dyDescent="0.25">
      <c r="A272" s="56" t="s">
        <v>4</v>
      </c>
      <c r="B272" s="54" t="s">
        <v>19</v>
      </c>
      <c r="C272" s="54"/>
      <c r="D272" s="84">
        <v>24385.99</v>
      </c>
      <c r="E272" s="84">
        <f t="shared" si="261"/>
        <v>24385.99</v>
      </c>
      <c r="F272" s="84">
        <v>24385.99</v>
      </c>
      <c r="G272" s="84">
        <f t="shared" si="262"/>
        <v>24385.99</v>
      </c>
      <c r="H272" s="84">
        <v>24385.99</v>
      </c>
      <c r="I272" s="84">
        <f t="shared" si="263"/>
        <v>38966.805</v>
      </c>
      <c r="J272" s="84">
        <v>53547.62</v>
      </c>
      <c r="K272" s="84">
        <f t="shared" si="264"/>
        <v>34203.535000000003</v>
      </c>
      <c r="L272" s="84">
        <v>14859.45</v>
      </c>
      <c r="M272" s="84">
        <v>32440.31</v>
      </c>
      <c r="N272" s="84">
        <v>32440.31</v>
      </c>
      <c r="O272" s="84">
        <v>23216.04</v>
      </c>
      <c r="P272" s="84">
        <v>23216.04</v>
      </c>
      <c r="Q272" s="84">
        <f t="shared" si="265"/>
        <v>23216.040489999999</v>
      </c>
      <c r="R272" s="84">
        <f t="shared" si="265"/>
        <v>23216.040979999998</v>
      </c>
      <c r="S272" s="84">
        <f t="shared" si="265"/>
        <v>23216.041469999996</v>
      </c>
      <c r="T272" s="84">
        <f t="shared" ref="T272:AC272" si="276">+S272-(0.711/100)</f>
        <v>23216.034359999998</v>
      </c>
      <c r="U272" s="84">
        <f t="shared" si="276"/>
        <v>23216.027249999999</v>
      </c>
      <c r="V272" s="84">
        <f t="shared" si="276"/>
        <v>23216.020140000001</v>
      </c>
      <c r="W272" s="84">
        <f t="shared" si="276"/>
        <v>23216.013030000002</v>
      </c>
      <c r="X272" s="84">
        <f t="shared" si="276"/>
        <v>23216.005920000003</v>
      </c>
      <c r="Y272" s="84">
        <f t="shared" si="276"/>
        <v>23215.998810000005</v>
      </c>
      <c r="Z272" s="84">
        <f t="shared" si="276"/>
        <v>23215.991700000006</v>
      </c>
      <c r="AA272" s="84">
        <f t="shared" si="276"/>
        <v>23215.984590000007</v>
      </c>
      <c r="AB272" s="84">
        <f t="shared" si="276"/>
        <v>23215.977480000009</v>
      </c>
      <c r="AC272" s="84">
        <f t="shared" si="276"/>
        <v>23215.97037000001</v>
      </c>
    </row>
    <row r="273" spans="1:29" x14ac:dyDescent="0.25">
      <c r="A273" s="56" t="s">
        <v>5</v>
      </c>
      <c r="B273" s="54" t="s">
        <v>19</v>
      </c>
      <c r="C273" s="54"/>
      <c r="D273" s="84">
        <v>8319.99</v>
      </c>
      <c r="E273" s="84">
        <f t="shared" si="261"/>
        <v>8319.99</v>
      </c>
      <c r="F273" s="84">
        <v>8319.99</v>
      </c>
      <c r="G273" s="84">
        <f t="shared" si="262"/>
        <v>8319.99</v>
      </c>
      <c r="H273" s="84">
        <v>8319.99</v>
      </c>
      <c r="I273" s="84">
        <f t="shared" si="263"/>
        <v>9268.2150000000001</v>
      </c>
      <c r="J273" s="84">
        <v>10216.44</v>
      </c>
      <c r="K273" s="84">
        <f t="shared" si="264"/>
        <v>8473.6149999999998</v>
      </c>
      <c r="L273" s="84">
        <v>6730.79</v>
      </c>
      <c r="M273" s="84">
        <v>795.38</v>
      </c>
      <c r="N273" s="84">
        <v>795.38</v>
      </c>
      <c r="O273" s="84">
        <v>2562.98</v>
      </c>
      <c r="P273" s="84">
        <v>2562.98</v>
      </c>
      <c r="Q273" s="84">
        <f t="shared" si="265"/>
        <v>2562.9804899999999</v>
      </c>
      <c r="R273" s="84">
        <f t="shared" si="265"/>
        <v>2562.9809799999998</v>
      </c>
      <c r="S273" s="84">
        <f t="shared" si="265"/>
        <v>2562.9814699999997</v>
      </c>
      <c r="T273" s="84">
        <f t="shared" ref="T273:AC273" si="277">+S273-(0.711/100)</f>
        <v>2562.9743599999997</v>
      </c>
      <c r="U273" s="84">
        <f t="shared" si="277"/>
        <v>2562.9672499999997</v>
      </c>
      <c r="V273" s="84">
        <f t="shared" si="277"/>
        <v>2562.9601399999997</v>
      </c>
      <c r="W273" s="84">
        <f t="shared" si="277"/>
        <v>2562.9530299999997</v>
      </c>
      <c r="X273" s="84">
        <f t="shared" si="277"/>
        <v>2562.9459199999997</v>
      </c>
      <c r="Y273" s="84">
        <f t="shared" si="277"/>
        <v>2562.9388099999996</v>
      </c>
      <c r="Z273" s="84">
        <f t="shared" si="277"/>
        <v>2562.9316999999996</v>
      </c>
      <c r="AA273" s="84">
        <f t="shared" si="277"/>
        <v>2562.9245899999996</v>
      </c>
      <c r="AB273" s="84">
        <f t="shared" si="277"/>
        <v>2562.9174799999996</v>
      </c>
      <c r="AC273" s="84">
        <f t="shared" si="277"/>
        <v>2562.9103699999996</v>
      </c>
    </row>
    <row r="274" spans="1:29" x14ac:dyDescent="0.25">
      <c r="A274" s="56" t="s">
        <v>6</v>
      </c>
      <c r="B274" s="54" t="s">
        <v>19</v>
      </c>
      <c r="C274" s="54"/>
      <c r="D274" s="84">
        <v>0</v>
      </c>
      <c r="E274" s="84">
        <f t="shared" si="261"/>
        <v>0</v>
      </c>
      <c r="F274" s="84">
        <v>0</v>
      </c>
      <c r="G274" s="84">
        <f t="shared" si="262"/>
        <v>0</v>
      </c>
      <c r="H274" s="84">
        <v>0</v>
      </c>
      <c r="I274" s="84">
        <f t="shared" si="263"/>
        <v>0</v>
      </c>
      <c r="J274" s="84">
        <v>0</v>
      </c>
      <c r="K274" s="84">
        <f t="shared" si="264"/>
        <v>0</v>
      </c>
      <c r="L274" s="84">
        <v>0</v>
      </c>
      <c r="M274" s="84">
        <v>0</v>
      </c>
      <c r="N274" s="84">
        <v>0</v>
      </c>
      <c r="O274" s="84">
        <v>262.35000000000002</v>
      </c>
      <c r="P274" s="84">
        <v>262.35000000000002</v>
      </c>
      <c r="Q274" s="84">
        <f t="shared" si="265"/>
        <v>262.35049000000004</v>
      </c>
      <c r="R274" s="84">
        <f t="shared" si="265"/>
        <v>262.35098000000005</v>
      </c>
      <c r="S274" s="84">
        <f t="shared" si="265"/>
        <v>262.35147000000006</v>
      </c>
      <c r="T274" s="84">
        <f t="shared" ref="T274:AC274" si="278">+S274-(0.711/100)</f>
        <v>262.34436000000005</v>
      </c>
      <c r="U274" s="84">
        <f t="shared" si="278"/>
        <v>262.33725000000004</v>
      </c>
      <c r="V274" s="84">
        <f t="shared" si="278"/>
        <v>262.33014000000003</v>
      </c>
      <c r="W274" s="84">
        <f t="shared" si="278"/>
        <v>262.32303000000002</v>
      </c>
      <c r="X274" s="84">
        <f t="shared" si="278"/>
        <v>262.31592000000001</v>
      </c>
      <c r="Y274" s="84">
        <f t="shared" si="278"/>
        <v>262.30880999999999</v>
      </c>
      <c r="Z274" s="84">
        <f t="shared" si="278"/>
        <v>262.30169999999998</v>
      </c>
      <c r="AA274" s="84">
        <f t="shared" si="278"/>
        <v>262.29458999999997</v>
      </c>
      <c r="AB274" s="84">
        <f t="shared" si="278"/>
        <v>262.28747999999996</v>
      </c>
      <c r="AC274" s="84">
        <f t="shared" si="278"/>
        <v>262.28036999999995</v>
      </c>
    </row>
    <row r="275" spans="1:29" x14ac:dyDescent="0.25">
      <c r="A275" s="56" t="s">
        <v>29</v>
      </c>
      <c r="B275" s="54" t="s">
        <v>19</v>
      </c>
      <c r="C275" s="54"/>
      <c r="D275" s="84">
        <v>1280.52</v>
      </c>
      <c r="E275" s="84">
        <f t="shared" si="261"/>
        <v>1280.52</v>
      </c>
      <c r="F275" s="84">
        <v>1280.52</v>
      </c>
      <c r="G275" s="84">
        <f t="shared" si="262"/>
        <v>1280.52</v>
      </c>
      <c r="H275" s="84">
        <v>1280.52</v>
      </c>
      <c r="I275" s="84">
        <f t="shared" si="263"/>
        <v>5254.8525</v>
      </c>
      <c r="J275" s="84">
        <v>9229.1849999999995</v>
      </c>
      <c r="K275" s="84">
        <f t="shared" si="264"/>
        <v>5389.7874999999995</v>
      </c>
      <c r="L275" s="84">
        <v>1550.39</v>
      </c>
      <c r="M275" s="84">
        <v>608.72</v>
      </c>
      <c r="N275" s="84">
        <v>608.72</v>
      </c>
      <c r="O275" s="84">
        <v>3363.16</v>
      </c>
      <c r="P275" s="84">
        <v>3363.16</v>
      </c>
      <c r="Q275" s="84">
        <f t="shared" si="265"/>
        <v>3363.1604899999998</v>
      </c>
      <c r="R275" s="84">
        <f t="shared" si="265"/>
        <v>3363.1609799999997</v>
      </c>
      <c r="S275" s="84">
        <f t="shared" si="265"/>
        <v>3363.1614699999996</v>
      </c>
      <c r="T275" s="84">
        <f t="shared" ref="T275:AC275" si="279">+S275-(0.711/100)</f>
        <v>3363.1543599999995</v>
      </c>
      <c r="U275" s="84">
        <f t="shared" si="279"/>
        <v>3363.1472499999995</v>
      </c>
      <c r="V275" s="84">
        <f t="shared" si="279"/>
        <v>3363.1401399999995</v>
      </c>
      <c r="W275" s="84">
        <f t="shared" si="279"/>
        <v>3363.1330299999995</v>
      </c>
      <c r="X275" s="84">
        <f t="shared" si="279"/>
        <v>3363.1259199999995</v>
      </c>
      <c r="Y275" s="84">
        <f t="shared" si="279"/>
        <v>3363.1188099999995</v>
      </c>
      <c r="Z275" s="84">
        <f t="shared" si="279"/>
        <v>3363.1116999999995</v>
      </c>
      <c r="AA275" s="84">
        <f t="shared" si="279"/>
        <v>3363.1045899999995</v>
      </c>
      <c r="AB275" s="84">
        <f t="shared" si="279"/>
        <v>3363.0974799999995</v>
      </c>
      <c r="AC275" s="84">
        <f t="shared" si="279"/>
        <v>3363.0903699999994</v>
      </c>
    </row>
    <row r="277" spans="1:29" x14ac:dyDescent="0.25">
      <c r="A277" s="86" t="s">
        <v>18</v>
      </c>
      <c r="B277" s="54" t="s">
        <v>4</v>
      </c>
      <c r="C277" s="54"/>
      <c r="D277" s="60">
        <v>0</v>
      </c>
      <c r="E277" s="84">
        <f t="shared" ref="E277:E289" si="280">+(D277+F277)/2</f>
        <v>0</v>
      </c>
      <c r="F277" s="60">
        <v>0</v>
      </c>
      <c r="G277" s="84">
        <f t="shared" ref="G277:G289" si="281">+(F277+H277)/2</f>
        <v>0</v>
      </c>
      <c r="H277" s="60">
        <v>0</v>
      </c>
      <c r="I277" s="84">
        <f t="shared" ref="I277:I289" si="282">+(H277+J277)/2</f>
        <v>0</v>
      </c>
      <c r="J277" s="60">
        <v>0</v>
      </c>
      <c r="K277" s="84">
        <f t="shared" ref="K277:K289" si="283">+(J277+L277)/2</f>
        <v>80.887500000000003</v>
      </c>
      <c r="L277" s="60">
        <v>161.77500000000001</v>
      </c>
      <c r="M277" s="60">
        <v>23.94</v>
      </c>
      <c r="N277" s="60">
        <v>23.94</v>
      </c>
      <c r="O277" s="60">
        <v>1.62</v>
      </c>
      <c r="P277" s="60">
        <v>1.62</v>
      </c>
      <c r="Q277" s="84">
        <f t="shared" ref="Q277:S289" si="284">+P277+(0.049/100)</f>
        <v>1.6204900000000002</v>
      </c>
      <c r="R277" s="84">
        <f t="shared" si="284"/>
        <v>1.6209800000000003</v>
      </c>
      <c r="S277" s="84">
        <f t="shared" si="284"/>
        <v>1.6214700000000004</v>
      </c>
      <c r="T277" s="84">
        <f t="shared" ref="T277:AC277" si="285">+S277-(0.711/100)</f>
        <v>1.6143600000000005</v>
      </c>
      <c r="U277" s="84">
        <f t="shared" si="285"/>
        <v>1.6072500000000005</v>
      </c>
      <c r="V277" s="84">
        <f t="shared" si="285"/>
        <v>1.6001400000000006</v>
      </c>
      <c r="W277" s="84">
        <f t="shared" si="285"/>
        <v>1.5930300000000006</v>
      </c>
      <c r="X277" s="84">
        <f t="shared" si="285"/>
        <v>1.5859200000000007</v>
      </c>
      <c r="Y277" s="84">
        <f t="shared" si="285"/>
        <v>1.5788100000000007</v>
      </c>
      <c r="Z277" s="84">
        <f t="shared" si="285"/>
        <v>1.5717000000000008</v>
      </c>
      <c r="AA277" s="84">
        <f t="shared" si="285"/>
        <v>1.5645900000000008</v>
      </c>
      <c r="AB277" s="84">
        <f t="shared" si="285"/>
        <v>1.5574800000000009</v>
      </c>
      <c r="AC277" s="84">
        <f t="shared" si="285"/>
        <v>1.5503700000000009</v>
      </c>
    </row>
    <row r="278" spans="1:29" x14ac:dyDescent="0.25">
      <c r="A278" s="86" t="s">
        <v>20</v>
      </c>
      <c r="B278" s="54" t="s">
        <v>4</v>
      </c>
      <c r="C278" s="54"/>
      <c r="D278" s="60">
        <v>0</v>
      </c>
      <c r="E278" s="84">
        <f t="shared" si="280"/>
        <v>0</v>
      </c>
      <c r="F278" s="60">
        <v>0</v>
      </c>
      <c r="G278" s="84">
        <f t="shared" si="281"/>
        <v>0</v>
      </c>
      <c r="H278" s="60">
        <v>0</v>
      </c>
      <c r="I278" s="84">
        <f t="shared" si="282"/>
        <v>0</v>
      </c>
      <c r="J278" s="60">
        <v>0</v>
      </c>
      <c r="K278" s="84">
        <f t="shared" si="283"/>
        <v>303.09750000000003</v>
      </c>
      <c r="L278" s="60">
        <v>606.19500000000005</v>
      </c>
      <c r="M278" s="60">
        <v>194.535</v>
      </c>
      <c r="N278" s="60">
        <v>194.535</v>
      </c>
      <c r="O278" s="60">
        <v>465.88499999999999</v>
      </c>
      <c r="P278" s="60">
        <v>465.88499999999999</v>
      </c>
      <c r="Q278" s="84">
        <f t="shared" si="284"/>
        <v>465.88549</v>
      </c>
      <c r="R278" s="84">
        <f t="shared" si="284"/>
        <v>465.88598000000002</v>
      </c>
      <c r="S278" s="84">
        <f t="shared" si="284"/>
        <v>465.88647000000003</v>
      </c>
      <c r="T278" s="84">
        <f t="shared" ref="T278:AC278" si="286">+S278-(0.711/100)</f>
        <v>465.87936000000002</v>
      </c>
      <c r="U278" s="84">
        <f t="shared" si="286"/>
        <v>465.87225000000001</v>
      </c>
      <c r="V278" s="84">
        <f t="shared" si="286"/>
        <v>465.86514</v>
      </c>
      <c r="W278" s="84">
        <f t="shared" si="286"/>
        <v>465.85802999999999</v>
      </c>
      <c r="X278" s="84">
        <f t="shared" si="286"/>
        <v>465.85091999999997</v>
      </c>
      <c r="Y278" s="84">
        <f t="shared" si="286"/>
        <v>465.84380999999996</v>
      </c>
      <c r="Z278" s="84">
        <f t="shared" si="286"/>
        <v>465.83669999999995</v>
      </c>
      <c r="AA278" s="84">
        <f t="shared" si="286"/>
        <v>465.82958999999994</v>
      </c>
      <c r="AB278" s="84">
        <f t="shared" si="286"/>
        <v>465.82247999999993</v>
      </c>
      <c r="AC278" s="84">
        <f t="shared" si="286"/>
        <v>465.81536999999992</v>
      </c>
    </row>
    <row r="279" spans="1:29" x14ac:dyDescent="0.25">
      <c r="A279" s="86" t="s">
        <v>21</v>
      </c>
      <c r="B279" s="54" t="s">
        <v>4</v>
      </c>
      <c r="C279" s="54"/>
      <c r="D279" s="60">
        <v>0</v>
      </c>
      <c r="E279" s="84">
        <f t="shared" si="280"/>
        <v>0</v>
      </c>
      <c r="F279" s="60">
        <v>0</v>
      </c>
      <c r="G279" s="84">
        <f t="shared" si="281"/>
        <v>0</v>
      </c>
      <c r="H279" s="60">
        <v>0</v>
      </c>
      <c r="I279" s="84">
        <f t="shared" si="282"/>
        <v>0</v>
      </c>
      <c r="J279" s="60">
        <v>0</v>
      </c>
      <c r="K279" s="84">
        <f t="shared" si="283"/>
        <v>195.88499999999999</v>
      </c>
      <c r="L279" s="60">
        <v>391.77</v>
      </c>
      <c r="M279" s="60">
        <v>846.23</v>
      </c>
      <c r="N279" s="60">
        <v>846.23</v>
      </c>
      <c r="O279" s="60">
        <v>79.11</v>
      </c>
      <c r="P279" s="60">
        <v>79.11</v>
      </c>
      <c r="Q279" s="84">
        <f t="shared" si="284"/>
        <v>79.110489999999999</v>
      </c>
      <c r="R279" s="84">
        <f t="shared" si="284"/>
        <v>79.110979999999998</v>
      </c>
      <c r="S279" s="84">
        <f t="shared" si="284"/>
        <v>79.111469999999997</v>
      </c>
      <c r="T279" s="84">
        <f t="shared" ref="T279:AC279" si="287">+S279-(0.711/100)</f>
        <v>79.10436</v>
      </c>
      <c r="U279" s="84">
        <f t="shared" si="287"/>
        <v>79.097250000000003</v>
      </c>
      <c r="V279" s="84">
        <f t="shared" si="287"/>
        <v>79.090140000000005</v>
      </c>
      <c r="W279" s="84">
        <f t="shared" si="287"/>
        <v>79.083030000000008</v>
      </c>
      <c r="X279" s="84">
        <f t="shared" si="287"/>
        <v>79.075920000000011</v>
      </c>
      <c r="Y279" s="84">
        <f t="shared" si="287"/>
        <v>79.068810000000013</v>
      </c>
      <c r="Z279" s="84">
        <f t="shared" si="287"/>
        <v>79.061700000000016</v>
      </c>
      <c r="AA279" s="84">
        <f t="shared" si="287"/>
        <v>79.054590000000019</v>
      </c>
      <c r="AB279" s="84">
        <f t="shared" si="287"/>
        <v>79.047480000000022</v>
      </c>
      <c r="AC279" s="84">
        <f t="shared" si="287"/>
        <v>79.040370000000024</v>
      </c>
    </row>
    <row r="280" spans="1:29" x14ac:dyDescent="0.25">
      <c r="A280" s="86" t="s">
        <v>22</v>
      </c>
      <c r="B280" s="54" t="s">
        <v>4</v>
      </c>
      <c r="C280" s="54"/>
      <c r="D280" s="60">
        <v>0</v>
      </c>
      <c r="E280" s="84">
        <f t="shared" si="280"/>
        <v>0</v>
      </c>
      <c r="F280" s="60">
        <v>0</v>
      </c>
      <c r="G280" s="84">
        <f t="shared" si="281"/>
        <v>0</v>
      </c>
      <c r="H280" s="60">
        <v>0</v>
      </c>
      <c r="I280" s="84">
        <f t="shared" si="282"/>
        <v>0</v>
      </c>
      <c r="J280" s="60">
        <v>0</v>
      </c>
      <c r="K280" s="84">
        <f t="shared" si="283"/>
        <v>34.042499999999997</v>
      </c>
      <c r="L280" s="60">
        <v>68.084999999999994</v>
      </c>
      <c r="M280" s="60">
        <v>149.94</v>
      </c>
      <c r="N280" s="60">
        <v>149.94</v>
      </c>
      <c r="O280" s="60">
        <v>20.925000000000001</v>
      </c>
      <c r="P280" s="60">
        <v>20.925000000000001</v>
      </c>
      <c r="Q280" s="84">
        <f t="shared" si="284"/>
        <v>20.92549</v>
      </c>
      <c r="R280" s="84">
        <f t="shared" si="284"/>
        <v>20.925979999999999</v>
      </c>
      <c r="S280" s="84">
        <f t="shared" si="284"/>
        <v>20.926469999999998</v>
      </c>
      <c r="T280" s="84">
        <f t="shared" ref="T280:AC280" si="288">+S280-(0.711/100)</f>
        <v>20.919359999999998</v>
      </c>
      <c r="U280" s="84">
        <f t="shared" si="288"/>
        <v>20.912249999999997</v>
      </c>
      <c r="V280" s="84">
        <f t="shared" si="288"/>
        <v>20.905139999999996</v>
      </c>
      <c r="W280" s="84">
        <f t="shared" si="288"/>
        <v>20.898029999999995</v>
      </c>
      <c r="X280" s="84">
        <f t="shared" si="288"/>
        <v>20.890919999999994</v>
      </c>
      <c r="Y280" s="84">
        <f t="shared" si="288"/>
        <v>20.883809999999993</v>
      </c>
      <c r="Z280" s="84">
        <f t="shared" si="288"/>
        <v>20.876699999999992</v>
      </c>
      <c r="AA280" s="84">
        <f t="shared" si="288"/>
        <v>20.869589999999992</v>
      </c>
      <c r="AB280" s="84">
        <f t="shared" si="288"/>
        <v>20.862479999999991</v>
      </c>
      <c r="AC280" s="84">
        <f t="shared" si="288"/>
        <v>20.85536999999999</v>
      </c>
    </row>
    <row r="281" spans="1:29" x14ac:dyDescent="0.25">
      <c r="A281" s="86" t="s">
        <v>23</v>
      </c>
      <c r="B281" s="54" t="s">
        <v>4</v>
      </c>
      <c r="C281" s="54"/>
      <c r="D281" s="60">
        <v>0</v>
      </c>
      <c r="E281" s="84">
        <f t="shared" si="280"/>
        <v>0</v>
      </c>
      <c r="F281" s="60">
        <v>0</v>
      </c>
      <c r="G281" s="84">
        <f t="shared" si="281"/>
        <v>0</v>
      </c>
      <c r="H281" s="60">
        <v>0</v>
      </c>
      <c r="I281" s="84">
        <f t="shared" si="282"/>
        <v>0</v>
      </c>
      <c r="J281" s="60">
        <v>0</v>
      </c>
      <c r="K281" s="84">
        <f t="shared" si="283"/>
        <v>191.20500000000001</v>
      </c>
      <c r="L281" s="60">
        <v>382.41</v>
      </c>
      <c r="M281" s="60">
        <v>1335.29</v>
      </c>
      <c r="N281" s="60">
        <v>1335.29</v>
      </c>
      <c r="O281" s="60">
        <v>40.46</v>
      </c>
      <c r="P281" s="60">
        <v>40.46</v>
      </c>
      <c r="Q281" s="84">
        <f t="shared" si="284"/>
        <v>40.46049</v>
      </c>
      <c r="R281" s="84">
        <f t="shared" si="284"/>
        <v>40.460979999999999</v>
      </c>
      <c r="S281" s="84">
        <f t="shared" si="284"/>
        <v>40.461469999999998</v>
      </c>
      <c r="T281" s="84">
        <f t="shared" ref="T281:AC281" si="289">+S281-(0.711/100)</f>
        <v>40.454360000000001</v>
      </c>
      <c r="U281" s="84">
        <f t="shared" si="289"/>
        <v>40.447250000000004</v>
      </c>
      <c r="V281" s="84">
        <f t="shared" si="289"/>
        <v>40.440140000000007</v>
      </c>
      <c r="W281" s="84">
        <f t="shared" si="289"/>
        <v>40.433030000000009</v>
      </c>
      <c r="X281" s="84">
        <f t="shared" si="289"/>
        <v>40.425920000000012</v>
      </c>
      <c r="Y281" s="84">
        <f t="shared" si="289"/>
        <v>40.418810000000015</v>
      </c>
      <c r="Z281" s="84">
        <f t="shared" si="289"/>
        <v>40.411700000000017</v>
      </c>
      <c r="AA281" s="84">
        <f t="shared" si="289"/>
        <v>40.40459000000002</v>
      </c>
      <c r="AB281" s="84">
        <f t="shared" si="289"/>
        <v>40.397480000000023</v>
      </c>
      <c r="AC281" s="84">
        <f t="shared" si="289"/>
        <v>40.390370000000026</v>
      </c>
    </row>
    <row r="282" spans="1:29" ht="22.5" x14ac:dyDescent="0.25">
      <c r="A282" s="86" t="s">
        <v>24</v>
      </c>
      <c r="B282" s="54" t="s">
        <v>4</v>
      </c>
      <c r="C282" s="54"/>
      <c r="D282" s="60">
        <v>0</v>
      </c>
      <c r="E282" s="84">
        <f t="shared" si="280"/>
        <v>0</v>
      </c>
      <c r="F282" s="60">
        <v>0</v>
      </c>
      <c r="G282" s="84">
        <f t="shared" si="281"/>
        <v>0</v>
      </c>
      <c r="H282" s="60">
        <v>0</v>
      </c>
      <c r="I282" s="84">
        <f t="shared" si="282"/>
        <v>0</v>
      </c>
      <c r="J282" s="60">
        <v>0</v>
      </c>
      <c r="K282" s="84">
        <f t="shared" si="283"/>
        <v>20.317499999999999</v>
      </c>
      <c r="L282" s="60">
        <v>40.634999999999998</v>
      </c>
      <c r="M282" s="60">
        <v>342.85500000000002</v>
      </c>
      <c r="N282" s="60">
        <v>342.85500000000002</v>
      </c>
      <c r="O282" s="60">
        <v>19.754999999999999</v>
      </c>
      <c r="P282" s="60">
        <v>19.754999999999999</v>
      </c>
      <c r="Q282" s="84">
        <f t="shared" si="284"/>
        <v>19.755489999999998</v>
      </c>
      <c r="R282" s="84">
        <f t="shared" si="284"/>
        <v>19.755979999999997</v>
      </c>
      <c r="S282" s="84">
        <f t="shared" si="284"/>
        <v>19.756469999999997</v>
      </c>
      <c r="T282" s="84">
        <f t="shared" ref="T282:AC282" si="290">+S282-(0.711/100)</f>
        <v>19.749359999999996</v>
      </c>
      <c r="U282" s="84">
        <f t="shared" si="290"/>
        <v>19.742249999999995</v>
      </c>
      <c r="V282" s="84">
        <f t="shared" si="290"/>
        <v>19.735139999999994</v>
      </c>
      <c r="W282" s="84">
        <f t="shared" si="290"/>
        <v>19.728029999999993</v>
      </c>
      <c r="X282" s="84">
        <f t="shared" si="290"/>
        <v>19.720919999999992</v>
      </c>
      <c r="Y282" s="84">
        <f t="shared" si="290"/>
        <v>19.713809999999992</v>
      </c>
      <c r="Z282" s="84">
        <f t="shared" si="290"/>
        <v>19.706699999999991</v>
      </c>
      <c r="AA282" s="84">
        <f t="shared" si="290"/>
        <v>19.69958999999999</v>
      </c>
      <c r="AB282" s="84">
        <f t="shared" si="290"/>
        <v>19.692479999999989</v>
      </c>
      <c r="AC282" s="84">
        <f t="shared" si="290"/>
        <v>19.685369999999988</v>
      </c>
    </row>
    <row r="283" spans="1:29" x14ac:dyDescent="0.25">
      <c r="A283" s="86" t="s">
        <v>25</v>
      </c>
      <c r="B283" s="54" t="s">
        <v>4</v>
      </c>
      <c r="C283" s="54"/>
      <c r="D283" s="60">
        <v>0</v>
      </c>
      <c r="E283" s="84">
        <f t="shared" si="280"/>
        <v>0</v>
      </c>
      <c r="F283" s="60">
        <v>0</v>
      </c>
      <c r="G283" s="84">
        <f t="shared" si="281"/>
        <v>0</v>
      </c>
      <c r="H283" s="60">
        <v>0</v>
      </c>
      <c r="I283" s="84">
        <f t="shared" si="282"/>
        <v>0</v>
      </c>
      <c r="J283" s="60">
        <v>0</v>
      </c>
      <c r="K283" s="84">
        <f t="shared" si="283"/>
        <v>65.227500000000006</v>
      </c>
      <c r="L283" s="60">
        <v>130.45500000000001</v>
      </c>
      <c r="M283" s="60">
        <v>582.12</v>
      </c>
      <c r="N283" s="60">
        <v>582.12</v>
      </c>
      <c r="O283" s="60">
        <v>37.395000000000003</v>
      </c>
      <c r="P283" s="60">
        <v>37.395000000000003</v>
      </c>
      <c r="Q283" s="84">
        <f t="shared" si="284"/>
        <v>37.395490000000002</v>
      </c>
      <c r="R283" s="84">
        <f t="shared" si="284"/>
        <v>37.395980000000002</v>
      </c>
      <c r="S283" s="84">
        <f t="shared" si="284"/>
        <v>37.396470000000001</v>
      </c>
      <c r="T283" s="84">
        <f t="shared" ref="T283:AC283" si="291">+S283-(0.711/100)</f>
        <v>37.389360000000003</v>
      </c>
      <c r="U283" s="84">
        <f t="shared" si="291"/>
        <v>37.382250000000006</v>
      </c>
      <c r="V283" s="84">
        <f t="shared" si="291"/>
        <v>37.375140000000009</v>
      </c>
      <c r="W283" s="84">
        <f t="shared" si="291"/>
        <v>37.368030000000012</v>
      </c>
      <c r="X283" s="84">
        <f t="shared" si="291"/>
        <v>37.360920000000014</v>
      </c>
      <c r="Y283" s="84">
        <f t="shared" si="291"/>
        <v>37.353810000000017</v>
      </c>
      <c r="Z283" s="84">
        <f t="shared" si="291"/>
        <v>37.34670000000002</v>
      </c>
      <c r="AA283" s="84">
        <f t="shared" si="291"/>
        <v>37.339590000000022</v>
      </c>
      <c r="AB283" s="84">
        <f t="shared" si="291"/>
        <v>37.332480000000025</v>
      </c>
      <c r="AC283" s="84">
        <f t="shared" si="291"/>
        <v>37.325370000000028</v>
      </c>
    </row>
    <row r="284" spans="1:29" x14ac:dyDescent="0.25">
      <c r="A284" s="86" t="s">
        <v>26</v>
      </c>
      <c r="B284" s="54" t="s">
        <v>4</v>
      </c>
      <c r="C284" s="54"/>
      <c r="D284" s="60">
        <v>0</v>
      </c>
      <c r="E284" s="84">
        <f t="shared" si="280"/>
        <v>0</v>
      </c>
      <c r="F284" s="60">
        <v>0</v>
      </c>
      <c r="G284" s="84">
        <f t="shared" si="281"/>
        <v>0</v>
      </c>
      <c r="H284" s="60">
        <v>0</v>
      </c>
      <c r="I284" s="84">
        <f t="shared" si="282"/>
        <v>0</v>
      </c>
      <c r="J284" s="60">
        <v>0</v>
      </c>
      <c r="K284" s="84">
        <f t="shared" si="283"/>
        <v>8.7524999999999995</v>
      </c>
      <c r="L284" s="60">
        <v>17.504999999999999</v>
      </c>
      <c r="M284" s="60">
        <v>102.69</v>
      </c>
      <c r="N284" s="60">
        <v>102.69</v>
      </c>
      <c r="O284" s="60">
        <v>140.76</v>
      </c>
      <c r="P284" s="60">
        <v>140.76</v>
      </c>
      <c r="Q284" s="84">
        <f t="shared" si="284"/>
        <v>140.76049</v>
      </c>
      <c r="R284" s="84">
        <f t="shared" si="284"/>
        <v>140.76098000000002</v>
      </c>
      <c r="S284" s="84">
        <f t="shared" si="284"/>
        <v>140.76147000000003</v>
      </c>
      <c r="T284" s="84">
        <f t="shared" ref="T284:AC284" si="292">+S284-(0.711/100)</f>
        <v>140.75436000000002</v>
      </c>
      <c r="U284" s="84">
        <f t="shared" si="292"/>
        <v>140.74725000000001</v>
      </c>
      <c r="V284" s="84">
        <f t="shared" si="292"/>
        <v>140.74014</v>
      </c>
      <c r="W284" s="84">
        <f t="shared" si="292"/>
        <v>140.73302999999999</v>
      </c>
      <c r="X284" s="84">
        <f t="shared" si="292"/>
        <v>140.72591999999997</v>
      </c>
      <c r="Y284" s="84">
        <f t="shared" si="292"/>
        <v>140.71880999999996</v>
      </c>
      <c r="Z284" s="84">
        <f t="shared" si="292"/>
        <v>140.71169999999995</v>
      </c>
      <c r="AA284" s="84">
        <f t="shared" si="292"/>
        <v>140.70458999999994</v>
      </c>
      <c r="AB284" s="84">
        <f t="shared" si="292"/>
        <v>140.69747999999993</v>
      </c>
      <c r="AC284" s="84">
        <f t="shared" si="292"/>
        <v>140.69036999999992</v>
      </c>
    </row>
    <row r="285" spans="1:29" x14ac:dyDescent="0.25">
      <c r="A285" s="86" t="s">
        <v>27</v>
      </c>
      <c r="B285" s="54" t="s">
        <v>4</v>
      </c>
      <c r="C285" s="54"/>
      <c r="D285" s="60">
        <v>0</v>
      </c>
      <c r="E285" s="84">
        <f t="shared" si="280"/>
        <v>0</v>
      </c>
      <c r="F285" s="60">
        <v>0</v>
      </c>
      <c r="G285" s="84">
        <f t="shared" si="281"/>
        <v>0</v>
      </c>
      <c r="H285" s="60">
        <v>0</v>
      </c>
      <c r="I285" s="84">
        <f t="shared" si="282"/>
        <v>0</v>
      </c>
      <c r="J285" s="60">
        <v>0</v>
      </c>
      <c r="K285" s="84">
        <f t="shared" si="283"/>
        <v>0.87749999999999995</v>
      </c>
      <c r="L285" s="60">
        <v>1.7549999999999999</v>
      </c>
      <c r="M285" s="60">
        <v>23.535</v>
      </c>
      <c r="N285" s="60">
        <v>23.535</v>
      </c>
      <c r="O285" s="60">
        <v>0.36</v>
      </c>
      <c r="P285" s="60">
        <v>0.36</v>
      </c>
      <c r="Q285" s="84">
        <f t="shared" si="284"/>
        <v>0.36048999999999998</v>
      </c>
      <c r="R285" s="84">
        <f t="shared" si="284"/>
        <v>0.36097999999999997</v>
      </c>
      <c r="S285" s="84">
        <f t="shared" si="284"/>
        <v>0.36146999999999996</v>
      </c>
      <c r="T285" s="84">
        <f t="shared" ref="T285:AC285" si="293">+S285-(0.711/100)</f>
        <v>0.35435999999999995</v>
      </c>
      <c r="U285" s="84">
        <f t="shared" si="293"/>
        <v>0.34724999999999995</v>
      </c>
      <c r="V285" s="84">
        <f t="shared" si="293"/>
        <v>0.34013999999999994</v>
      </c>
      <c r="W285" s="84">
        <f t="shared" si="293"/>
        <v>0.33302999999999994</v>
      </c>
      <c r="X285" s="84">
        <f t="shared" si="293"/>
        <v>0.32591999999999993</v>
      </c>
      <c r="Y285" s="84">
        <f t="shared" si="293"/>
        <v>0.31880999999999993</v>
      </c>
      <c r="Z285" s="84">
        <f t="shared" si="293"/>
        <v>0.31169999999999992</v>
      </c>
      <c r="AA285" s="84">
        <f t="shared" si="293"/>
        <v>0.30458999999999992</v>
      </c>
      <c r="AB285" s="84">
        <f t="shared" si="293"/>
        <v>0.29747999999999991</v>
      </c>
      <c r="AC285" s="84">
        <f t="shared" si="293"/>
        <v>0.29036999999999991</v>
      </c>
    </row>
    <row r="286" spans="1:29" x14ac:dyDescent="0.25">
      <c r="A286" s="86" t="s">
        <v>28</v>
      </c>
      <c r="B286" s="54" t="s">
        <v>4</v>
      </c>
      <c r="C286" s="54"/>
      <c r="D286" s="60">
        <v>1629.99</v>
      </c>
      <c r="E286" s="84">
        <f t="shared" si="280"/>
        <v>1629.99</v>
      </c>
      <c r="F286" s="60">
        <v>1629.99</v>
      </c>
      <c r="G286" s="84">
        <f t="shared" si="281"/>
        <v>1629.99</v>
      </c>
      <c r="H286" s="60">
        <v>1629.99</v>
      </c>
      <c r="I286" s="84">
        <f t="shared" si="282"/>
        <v>869.76</v>
      </c>
      <c r="J286" s="60">
        <v>109.53</v>
      </c>
      <c r="K286" s="84">
        <f t="shared" si="283"/>
        <v>2240.5724999999998</v>
      </c>
      <c r="L286" s="60">
        <v>4371.6149999999998</v>
      </c>
      <c r="M286" s="60">
        <v>236.75</v>
      </c>
      <c r="N286" s="60">
        <v>236.75</v>
      </c>
      <c r="O286" s="60">
        <v>431.1</v>
      </c>
      <c r="P286" s="60">
        <v>431.1</v>
      </c>
      <c r="Q286" s="84">
        <f t="shared" si="284"/>
        <v>431.10049000000004</v>
      </c>
      <c r="R286" s="84">
        <f t="shared" si="284"/>
        <v>431.10098000000005</v>
      </c>
      <c r="S286" s="84">
        <f t="shared" si="284"/>
        <v>431.10147000000006</v>
      </c>
      <c r="T286" s="84">
        <f t="shared" ref="T286:AC286" si="294">+S286-(0.711/100)</f>
        <v>431.09436000000005</v>
      </c>
      <c r="U286" s="84">
        <f t="shared" si="294"/>
        <v>431.08725000000004</v>
      </c>
      <c r="V286" s="84">
        <f t="shared" si="294"/>
        <v>431.08014000000003</v>
      </c>
      <c r="W286" s="84">
        <f t="shared" si="294"/>
        <v>431.07303000000002</v>
      </c>
      <c r="X286" s="84">
        <f t="shared" si="294"/>
        <v>431.06592000000001</v>
      </c>
      <c r="Y286" s="84">
        <f t="shared" si="294"/>
        <v>431.05880999999999</v>
      </c>
      <c r="Z286" s="84">
        <f t="shared" si="294"/>
        <v>431.05169999999998</v>
      </c>
      <c r="AA286" s="84">
        <f t="shared" si="294"/>
        <v>431.04458999999997</v>
      </c>
      <c r="AB286" s="84">
        <f t="shared" si="294"/>
        <v>431.03747999999996</v>
      </c>
      <c r="AC286" s="84">
        <f t="shared" si="294"/>
        <v>431.03036999999995</v>
      </c>
    </row>
    <row r="287" spans="1:29" x14ac:dyDescent="0.25">
      <c r="A287" s="56" t="s">
        <v>19</v>
      </c>
      <c r="B287" s="54" t="s">
        <v>4</v>
      </c>
      <c r="C287" s="54"/>
      <c r="D287" s="60">
        <v>66529.460000000006</v>
      </c>
      <c r="E287" s="84">
        <f t="shared" si="280"/>
        <v>66529.460000000006</v>
      </c>
      <c r="F287" s="60">
        <v>66529.460000000006</v>
      </c>
      <c r="G287" s="84">
        <f t="shared" si="281"/>
        <v>66529.460000000006</v>
      </c>
      <c r="H287" s="60">
        <v>66529.460000000006</v>
      </c>
      <c r="I287" s="84">
        <f t="shared" si="282"/>
        <v>44241.83</v>
      </c>
      <c r="J287" s="60">
        <v>21954.2</v>
      </c>
      <c r="K287" s="84">
        <f t="shared" si="283"/>
        <v>19003.055</v>
      </c>
      <c r="L287" s="60">
        <v>16051.91</v>
      </c>
      <c r="M287" s="60">
        <v>3245.4</v>
      </c>
      <c r="N287" s="60">
        <v>3245.4</v>
      </c>
      <c r="O287" s="60">
        <v>10864.71</v>
      </c>
      <c r="P287" s="60">
        <v>10864.71</v>
      </c>
      <c r="Q287" s="84">
        <f t="shared" si="284"/>
        <v>10864.710489999999</v>
      </c>
      <c r="R287" s="84">
        <f t="shared" si="284"/>
        <v>10864.71098</v>
      </c>
      <c r="S287" s="84">
        <f t="shared" si="284"/>
        <v>10864.71147</v>
      </c>
      <c r="T287" s="84">
        <f t="shared" ref="T287:AC287" si="295">+S287-(0.711/100)</f>
        <v>10864.70436</v>
      </c>
      <c r="U287" s="84">
        <f t="shared" si="295"/>
        <v>10864.697249999999</v>
      </c>
      <c r="V287" s="84">
        <f t="shared" si="295"/>
        <v>10864.690139999999</v>
      </c>
      <c r="W287" s="84">
        <f t="shared" si="295"/>
        <v>10864.683029999998</v>
      </c>
      <c r="X287" s="84">
        <f t="shared" si="295"/>
        <v>10864.675919999998</v>
      </c>
      <c r="Y287" s="84">
        <f t="shared" si="295"/>
        <v>10864.668809999997</v>
      </c>
      <c r="Z287" s="84">
        <f t="shared" si="295"/>
        <v>10864.661699999997</v>
      </c>
      <c r="AA287" s="84">
        <f t="shared" si="295"/>
        <v>10864.654589999996</v>
      </c>
      <c r="AB287" s="84">
        <f t="shared" si="295"/>
        <v>10864.647479999996</v>
      </c>
      <c r="AC287" s="84">
        <f t="shared" si="295"/>
        <v>10864.640369999996</v>
      </c>
    </row>
    <row r="288" spans="1:29" x14ac:dyDescent="0.25">
      <c r="A288" s="56" t="s">
        <v>5</v>
      </c>
      <c r="B288" s="54" t="s">
        <v>4</v>
      </c>
      <c r="C288" s="54"/>
      <c r="D288" s="60">
        <v>12.48</v>
      </c>
      <c r="E288" s="84">
        <f t="shared" si="280"/>
        <v>12.48</v>
      </c>
      <c r="F288" s="60">
        <v>12.48</v>
      </c>
      <c r="G288" s="84">
        <f t="shared" si="281"/>
        <v>12.48</v>
      </c>
      <c r="H288" s="60">
        <v>12.48</v>
      </c>
      <c r="I288" s="84">
        <f t="shared" si="282"/>
        <v>1375.4549999999999</v>
      </c>
      <c r="J288" s="60">
        <v>2738.43</v>
      </c>
      <c r="K288" s="84">
        <f t="shared" si="283"/>
        <v>1722.3525</v>
      </c>
      <c r="L288" s="60">
        <v>706.27499999999998</v>
      </c>
      <c r="M288" s="60">
        <v>104.13</v>
      </c>
      <c r="N288" s="60">
        <v>104.13</v>
      </c>
      <c r="O288" s="60">
        <v>2137.0100000000002</v>
      </c>
      <c r="P288" s="60">
        <v>2137.0100000000002</v>
      </c>
      <c r="Q288" s="84">
        <f t="shared" si="284"/>
        <v>2137.0104900000001</v>
      </c>
      <c r="R288" s="84">
        <f t="shared" si="284"/>
        <v>2137.01098</v>
      </c>
      <c r="S288" s="84">
        <f t="shared" si="284"/>
        <v>2137.0114699999999</v>
      </c>
      <c r="T288" s="84">
        <f t="shared" ref="T288:AC288" si="296">+S288-(0.711/100)</f>
        <v>2137.0043599999999</v>
      </c>
      <c r="U288" s="84">
        <f t="shared" si="296"/>
        <v>2136.9972499999999</v>
      </c>
      <c r="V288" s="84">
        <f t="shared" si="296"/>
        <v>2136.9901399999999</v>
      </c>
      <c r="W288" s="84">
        <f t="shared" si="296"/>
        <v>2136.9830299999999</v>
      </c>
      <c r="X288" s="84">
        <f t="shared" si="296"/>
        <v>2136.9759199999999</v>
      </c>
      <c r="Y288" s="84">
        <f t="shared" si="296"/>
        <v>2136.9688099999998</v>
      </c>
      <c r="Z288" s="84">
        <f t="shared" si="296"/>
        <v>2136.9616999999998</v>
      </c>
      <c r="AA288" s="84">
        <f t="shared" si="296"/>
        <v>2136.9545899999998</v>
      </c>
      <c r="AB288" s="84">
        <f t="shared" si="296"/>
        <v>2136.9474799999998</v>
      </c>
      <c r="AC288" s="84">
        <f t="shared" si="296"/>
        <v>2136.9403699999998</v>
      </c>
    </row>
    <row r="289" spans="1:29" x14ac:dyDescent="0.25">
      <c r="A289" s="56" t="s">
        <v>29</v>
      </c>
      <c r="B289" s="54" t="s">
        <v>4</v>
      </c>
      <c r="C289" s="54"/>
      <c r="D289" s="60">
        <v>3687.21</v>
      </c>
      <c r="E289" s="84">
        <f t="shared" si="280"/>
        <v>3687.21</v>
      </c>
      <c r="F289" s="60">
        <v>3687.21</v>
      </c>
      <c r="G289" s="84">
        <f t="shared" si="281"/>
        <v>3687.21</v>
      </c>
      <c r="H289" s="60">
        <v>3687.21</v>
      </c>
      <c r="I289" s="84">
        <f t="shared" si="282"/>
        <v>4063.3449999999998</v>
      </c>
      <c r="J289" s="60">
        <v>4439.4799999999996</v>
      </c>
      <c r="K289" s="84">
        <f t="shared" si="283"/>
        <v>3868.1124999999997</v>
      </c>
      <c r="L289" s="60">
        <v>3296.7449999999999</v>
      </c>
      <c r="M289" s="60">
        <v>370.94</v>
      </c>
      <c r="N289" s="60">
        <v>370.94</v>
      </c>
      <c r="O289" s="60">
        <v>2590.52</v>
      </c>
      <c r="P289" s="60">
        <v>2590.52</v>
      </c>
      <c r="Q289" s="84">
        <f t="shared" si="284"/>
        <v>2590.5204899999999</v>
      </c>
      <c r="R289" s="84">
        <f t="shared" si="284"/>
        <v>2590.5209799999998</v>
      </c>
      <c r="S289" s="84">
        <f t="shared" si="284"/>
        <v>2590.5214699999997</v>
      </c>
      <c r="T289" s="84">
        <f t="shared" ref="T289:AC289" si="297">+S289-(0.711/100)</f>
        <v>2590.5143599999997</v>
      </c>
      <c r="U289" s="84">
        <f t="shared" si="297"/>
        <v>2590.5072499999997</v>
      </c>
      <c r="V289" s="84">
        <f t="shared" si="297"/>
        <v>2590.5001399999996</v>
      </c>
      <c r="W289" s="84">
        <f t="shared" si="297"/>
        <v>2590.4930299999996</v>
      </c>
      <c r="X289" s="84">
        <f t="shared" si="297"/>
        <v>2590.4859199999996</v>
      </c>
      <c r="Y289" s="84">
        <f t="shared" si="297"/>
        <v>2590.4788099999996</v>
      </c>
      <c r="Z289" s="84">
        <f t="shared" si="297"/>
        <v>2590.4716999999996</v>
      </c>
      <c r="AA289" s="84">
        <f t="shared" si="297"/>
        <v>2590.4645899999996</v>
      </c>
      <c r="AB289" s="84">
        <f t="shared" si="297"/>
        <v>2590.4574799999996</v>
      </c>
      <c r="AC289" s="84">
        <f t="shared" si="297"/>
        <v>2590.4503699999996</v>
      </c>
    </row>
    <row r="290" spans="1:29" x14ac:dyDescent="0.25">
      <c r="E290" s="84"/>
      <c r="G290" s="84"/>
      <c r="I290" s="84"/>
      <c r="K290" s="84"/>
      <c r="Q290" s="84"/>
      <c r="T290" s="84">
        <f t="shared" ref="T290:AC290" si="298">+S290-(0.711/100)</f>
        <v>-7.11E-3</v>
      </c>
      <c r="U290" s="84">
        <f t="shared" si="298"/>
        <v>-1.422E-2</v>
      </c>
      <c r="V290" s="84">
        <f t="shared" si="298"/>
        <v>-2.1330000000000002E-2</v>
      </c>
      <c r="W290" s="84">
        <f t="shared" si="298"/>
        <v>-2.844E-2</v>
      </c>
      <c r="X290" s="84">
        <f t="shared" si="298"/>
        <v>-3.5549999999999998E-2</v>
      </c>
      <c r="Y290" s="84">
        <f t="shared" si="298"/>
        <v>-4.2659999999999997E-2</v>
      </c>
      <c r="Z290" s="84">
        <f t="shared" si="298"/>
        <v>-4.9769999999999995E-2</v>
      </c>
      <c r="AA290" s="84">
        <f t="shared" si="298"/>
        <v>-5.6879999999999993E-2</v>
      </c>
      <c r="AB290" s="84">
        <f t="shared" si="298"/>
        <v>-6.3989999999999991E-2</v>
      </c>
      <c r="AC290" s="84">
        <f t="shared" si="298"/>
        <v>-7.1099999999999997E-2</v>
      </c>
    </row>
    <row r="291" spans="1:29" x14ac:dyDescent="0.25">
      <c r="A291" s="86" t="s">
        <v>18</v>
      </c>
      <c r="B291" s="54" t="s">
        <v>5</v>
      </c>
      <c r="C291" s="54"/>
      <c r="D291" s="60">
        <v>0</v>
      </c>
      <c r="E291" s="84">
        <f t="shared" ref="E291:E303" si="299">+(D291+F291)/2</f>
        <v>0</v>
      </c>
      <c r="F291" s="60">
        <v>0</v>
      </c>
      <c r="G291" s="84">
        <f t="shared" ref="G291:G303" si="300">+(F291+H291)/2</f>
        <v>0</v>
      </c>
      <c r="H291" s="60">
        <v>0</v>
      </c>
      <c r="I291" s="84">
        <f t="shared" ref="I291:I303" si="301">+(H291+J291)/2</f>
        <v>0</v>
      </c>
      <c r="J291" s="60">
        <v>0</v>
      </c>
      <c r="K291" s="84">
        <f t="shared" ref="K291:K303" si="302">+(J291+L291)/2</f>
        <v>0</v>
      </c>
      <c r="L291" s="60">
        <v>0</v>
      </c>
      <c r="M291" s="60">
        <v>57.06</v>
      </c>
      <c r="N291" s="60">
        <v>57.06</v>
      </c>
      <c r="O291" s="60">
        <v>9.1349999999999998</v>
      </c>
      <c r="P291" s="60">
        <v>9.1349999999999998</v>
      </c>
      <c r="Q291" s="85">
        <f t="shared" ref="Q291:S303" si="303">+P291+(0.049/100)</f>
        <v>9.135489999999999</v>
      </c>
      <c r="R291" s="85">
        <f t="shared" si="303"/>
        <v>9.1359799999999982</v>
      </c>
      <c r="S291" s="85">
        <f t="shared" si="303"/>
        <v>9.1364699999999974</v>
      </c>
      <c r="T291" s="84">
        <f t="shared" ref="T291:AC291" si="304">+S291-(0.711/100)</f>
        <v>9.1293599999999966</v>
      </c>
      <c r="U291" s="84">
        <f t="shared" si="304"/>
        <v>9.1222499999999958</v>
      </c>
      <c r="V291" s="84">
        <f t="shared" si="304"/>
        <v>9.1151399999999949</v>
      </c>
      <c r="W291" s="84">
        <f t="shared" si="304"/>
        <v>9.1080299999999941</v>
      </c>
      <c r="X291" s="84">
        <f t="shared" si="304"/>
        <v>9.1009199999999932</v>
      </c>
      <c r="Y291" s="84">
        <f t="shared" si="304"/>
        <v>9.0938099999999924</v>
      </c>
      <c r="Z291" s="84">
        <f t="shared" si="304"/>
        <v>9.0866999999999916</v>
      </c>
      <c r="AA291" s="84">
        <f t="shared" si="304"/>
        <v>9.0795899999999907</v>
      </c>
      <c r="AB291" s="84">
        <f t="shared" si="304"/>
        <v>9.0724799999999899</v>
      </c>
      <c r="AC291" s="84">
        <f t="shared" si="304"/>
        <v>9.065369999999989</v>
      </c>
    </row>
    <row r="292" spans="1:29" x14ac:dyDescent="0.25">
      <c r="A292" s="86" t="s">
        <v>20</v>
      </c>
      <c r="B292" s="54" t="s">
        <v>5</v>
      </c>
      <c r="C292" s="54"/>
      <c r="D292" s="60">
        <v>185.4</v>
      </c>
      <c r="E292" s="84">
        <f t="shared" si="299"/>
        <v>185.4</v>
      </c>
      <c r="F292" s="60">
        <v>185.4</v>
      </c>
      <c r="G292" s="84">
        <f t="shared" si="300"/>
        <v>185.4</v>
      </c>
      <c r="H292" s="60">
        <v>185.4</v>
      </c>
      <c r="I292" s="84">
        <f t="shared" si="301"/>
        <v>190.50749999999999</v>
      </c>
      <c r="J292" s="60">
        <v>195.61499999999998</v>
      </c>
      <c r="K292" s="84">
        <f t="shared" si="302"/>
        <v>133.49250000000001</v>
      </c>
      <c r="L292" s="60">
        <v>71.37</v>
      </c>
      <c r="M292" s="60">
        <v>97.2</v>
      </c>
      <c r="N292" s="60">
        <v>97.2</v>
      </c>
      <c r="O292" s="60">
        <v>20.34</v>
      </c>
      <c r="P292" s="60">
        <v>20.34</v>
      </c>
      <c r="Q292" s="85">
        <f t="shared" si="303"/>
        <v>20.340489999999999</v>
      </c>
      <c r="R292" s="85">
        <f t="shared" si="303"/>
        <v>20.340979999999998</v>
      </c>
      <c r="S292" s="85">
        <f t="shared" si="303"/>
        <v>20.341469999999997</v>
      </c>
      <c r="T292" s="84">
        <f t="shared" ref="T292:AC292" si="305">+S292-(0.711/100)</f>
        <v>20.334359999999997</v>
      </c>
      <c r="U292" s="84">
        <f t="shared" si="305"/>
        <v>20.327249999999996</v>
      </c>
      <c r="V292" s="84">
        <f t="shared" si="305"/>
        <v>20.320139999999995</v>
      </c>
      <c r="W292" s="84">
        <f t="shared" si="305"/>
        <v>20.313029999999994</v>
      </c>
      <c r="X292" s="84">
        <f t="shared" si="305"/>
        <v>20.305919999999993</v>
      </c>
      <c r="Y292" s="84">
        <f t="shared" si="305"/>
        <v>20.298809999999992</v>
      </c>
      <c r="Z292" s="84">
        <f t="shared" si="305"/>
        <v>20.291699999999992</v>
      </c>
      <c r="AA292" s="84">
        <f t="shared" si="305"/>
        <v>20.284589999999991</v>
      </c>
      <c r="AB292" s="84">
        <f t="shared" si="305"/>
        <v>20.27747999999999</v>
      </c>
      <c r="AC292" s="84">
        <f t="shared" si="305"/>
        <v>20.270369999999989</v>
      </c>
    </row>
    <row r="293" spans="1:29" x14ac:dyDescent="0.25">
      <c r="A293" s="86" t="s">
        <v>21</v>
      </c>
      <c r="B293" s="54" t="s">
        <v>5</v>
      </c>
      <c r="C293" s="54"/>
      <c r="D293" s="60">
        <v>0</v>
      </c>
      <c r="E293" s="84">
        <f t="shared" si="299"/>
        <v>0</v>
      </c>
      <c r="F293" s="60">
        <v>0</v>
      </c>
      <c r="G293" s="84">
        <f t="shared" si="300"/>
        <v>0</v>
      </c>
      <c r="H293" s="60">
        <v>0</v>
      </c>
      <c r="I293" s="84">
        <f t="shared" si="301"/>
        <v>0</v>
      </c>
      <c r="J293" s="60">
        <v>0</v>
      </c>
      <c r="K293" s="84">
        <f t="shared" si="302"/>
        <v>0.5625</v>
      </c>
      <c r="L293" s="60">
        <v>1.125</v>
      </c>
      <c r="M293" s="60">
        <v>731.3</v>
      </c>
      <c r="N293" s="60">
        <v>731.3</v>
      </c>
      <c r="O293" s="60">
        <v>460.125</v>
      </c>
      <c r="P293" s="60">
        <v>460.125</v>
      </c>
      <c r="Q293" s="85">
        <f t="shared" si="303"/>
        <v>460.12549000000001</v>
      </c>
      <c r="R293" s="85">
        <f t="shared" si="303"/>
        <v>460.12598000000003</v>
      </c>
      <c r="S293" s="85">
        <f t="shared" si="303"/>
        <v>460.12647000000004</v>
      </c>
      <c r="T293" s="84">
        <f t="shared" ref="T293:AC293" si="306">+S293-(0.711/100)</f>
        <v>460.11936000000003</v>
      </c>
      <c r="U293" s="84">
        <f t="shared" si="306"/>
        <v>460.11225000000002</v>
      </c>
      <c r="V293" s="84">
        <f t="shared" si="306"/>
        <v>460.10514000000001</v>
      </c>
      <c r="W293" s="84">
        <f t="shared" si="306"/>
        <v>460.09802999999999</v>
      </c>
      <c r="X293" s="84">
        <f t="shared" si="306"/>
        <v>460.09091999999998</v>
      </c>
      <c r="Y293" s="84">
        <f t="shared" si="306"/>
        <v>460.08380999999997</v>
      </c>
      <c r="Z293" s="84">
        <f t="shared" si="306"/>
        <v>460.07669999999996</v>
      </c>
      <c r="AA293" s="84">
        <f t="shared" si="306"/>
        <v>460.06958999999995</v>
      </c>
      <c r="AB293" s="84">
        <f t="shared" si="306"/>
        <v>460.06247999999994</v>
      </c>
      <c r="AC293" s="84">
        <f t="shared" si="306"/>
        <v>460.05536999999993</v>
      </c>
    </row>
    <row r="294" spans="1:29" x14ac:dyDescent="0.25">
      <c r="A294" s="86" t="s">
        <v>22</v>
      </c>
      <c r="B294" s="54" t="s">
        <v>5</v>
      </c>
      <c r="C294" s="54"/>
      <c r="D294" s="60">
        <v>0</v>
      </c>
      <c r="E294" s="84">
        <f t="shared" si="299"/>
        <v>0</v>
      </c>
      <c r="F294" s="60">
        <v>0</v>
      </c>
      <c r="G294" s="84">
        <f t="shared" si="300"/>
        <v>0</v>
      </c>
      <c r="H294" s="60">
        <v>0</v>
      </c>
      <c r="I294" s="84">
        <f t="shared" si="301"/>
        <v>0</v>
      </c>
      <c r="J294" s="60">
        <v>0</v>
      </c>
      <c r="K294" s="84">
        <f t="shared" si="302"/>
        <v>2.2949999999999999</v>
      </c>
      <c r="L294" s="60">
        <v>4.59</v>
      </c>
      <c r="M294" s="60">
        <v>237.2</v>
      </c>
      <c r="N294" s="60">
        <v>237.2</v>
      </c>
      <c r="O294" s="60">
        <v>950.44500000000005</v>
      </c>
      <c r="P294" s="60">
        <v>950.44500000000005</v>
      </c>
      <c r="Q294" s="85">
        <f t="shared" si="303"/>
        <v>950.44549000000006</v>
      </c>
      <c r="R294" s="85">
        <f t="shared" si="303"/>
        <v>950.44598000000008</v>
      </c>
      <c r="S294" s="85">
        <f t="shared" si="303"/>
        <v>950.44647000000009</v>
      </c>
      <c r="T294" s="84">
        <f t="shared" ref="T294:AC294" si="307">+S294-(0.711/100)</f>
        <v>950.43936000000008</v>
      </c>
      <c r="U294" s="84">
        <f t="shared" si="307"/>
        <v>950.43225000000007</v>
      </c>
      <c r="V294" s="84">
        <f t="shared" si="307"/>
        <v>950.42514000000006</v>
      </c>
      <c r="W294" s="84">
        <f t="shared" si="307"/>
        <v>950.41803000000004</v>
      </c>
      <c r="X294" s="84">
        <f t="shared" si="307"/>
        <v>950.41092000000003</v>
      </c>
      <c r="Y294" s="84">
        <f t="shared" si="307"/>
        <v>950.40381000000002</v>
      </c>
      <c r="Z294" s="84">
        <f t="shared" si="307"/>
        <v>950.39670000000001</v>
      </c>
      <c r="AA294" s="84">
        <f t="shared" si="307"/>
        <v>950.38959</v>
      </c>
      <c r="AB294" s="84">
        <f t="shared" si="307"/>
        <v>950.38247999999999</v>
      </c>
      <c r="AC294" s="84">
        <f t="shared" si="307"/>
        <v>950.37536999999998</v>
      </c>
    </row>
    <row r="295" spans="1:29" x14ac:dyDescent="0.25">
      <c r="A295" s="86" t="s">
        <v>23</v>
      </c>
      <c r="B295" s="54" t="s">
        <v>5</v>
      </c>
      <c r="C295" s="54"/>
      <c r="D295" s="60">
        <v>0</v>
      </c>
      <c r="E295" s="84">
        <f t="shared" si="299"/>
        <v>0</v>
      </c>
      <c r="F295" s="60">
        <v>0</v>
      </c>
      <c r="G295" s="84">
        <f t="shared" si="300"/>
        <v>0</v>
      </c>
      <c r="H295" s="60">
        <v>0</v>
      </c>
      <c r="I295" s="84">
        <f t="shared" si="301"/>
        <v>0</v>
      </c>
      <c r="J295" s="60">
        <v>0</v>
      </c>
      <c r="K295" s="84">
        <f t="shared" si="302"/>
        <v>0</v>
      </c>
      <c r="L295" s="60">
        <v>0</v>
      </c>
      <c r="M295" s="60">
        <v>54.77</v>
      </c>
      <c r="N295" s="60">
        <v>54.77</v>
      </c>
      <c r="O295" s="60">
        <v>25.56</v>
      </c>
      <c r="P295" s="60">
        <v>25.56</v>
      </c>
      <c r="Q295" s="85">
        <f t="shared" si="303"/>
        <v>25.560489999999998</v>
      </c>
      <c r="R295" s="85">
        <f t="shared" si="303"/>
        <v>25.560979999999997</v>
      </c>
      <c r="S295" s="85">
        <f t="shared" si="303"/>
        <v>25.561469999999996</v>
      </c>
      <c r="T295" s="84">
        <f t="shared" ref="T295:AC295" si="308">+S295-(0.711/100)</f>
        <v>25.554359999999996</v>
      </c>
      <c r="U295" s="84">
        <f t="shared" si="308"/>
        <v>25.547249999999995</v>
      </c>
      <c r="V295" s="84">
        <f t="shared" si="308"/>
        <v>25.540139999999994</v>
      </c>
      <c r="W295" s="84">
        <f t="shared" si="308"/>
        <v>25.533029999999993</v>
      </c>
      <c r="X295" s="84">
        <f t="shared" si="308"/>
        <v>25.525919999999992</v>
      </c>
      <c r="Y295" s="84">
        <f t="shared" si="308"/>
        <v>25.518809999999991</v>
      </c>
      <c r="Z295" s="84">
        <f t="shared" si="308"/>
        <v>25.51169999999999</v>
      </c>
      <c r="AA295" s="84">
        <f t="shared" si="308"/>
        <v>25.50458999999999</v>
      </c>
      <c r="AB295" s="84">
        <f t="shared" si="308"/>
        <v>25.497479999999989</v>
      </c>
      <c r="AC295" s="84">
        <f t="shared" si="308"/>
        <v>25.490369999999988</v>
      </c>
    </row>
    <row r="296" spans="1:29" ht="22.5" x14ac:dyDescent="0.25">
      <c r="A296" s="86" t="s">
        <v>24</v>
      </c>
      <c r="B296" s="54" t="s">
        <v>5</v>
      </c>
      <c r="C296" s="54"/>
      <c r="D296" s="60">
        <v>0</v>
      </c>
      <c r="E296" s="84">
        <f t="shared" si="299"/>
        <v>0</v>
      </c>
      <c r="F296" s="60">
        <v>0</v>
      </c>
      <c r="G296" s="84">
        <f t="shared" si="300"/>
        <v>0</v>
      </c>
      <c r="H296" s="60">
        <v>0</v>
      </c>
      <c r="I296" s="84">
        <f t="shared" si="301"/>
        <v>0</v>
      </c>
      <c r="J296" s="60">
        <v>0</v>
      </c>
      <c r="K296" s="84">
        <f t="shared" si="302"/>
        <v>0</v>
      </c>
      <c r="L296" s="60">
        <v>0</v>
      </c>
      <c r="M296" s="60">
        <v>3041.91</v>
      </c>
      <c r="N296" s="60">
        <v>3041.91</v>
      </c>
      <c r="O296" s="60">
        <v>5179.95</v>
      </c>
      <c r="P296" s="60">
        <v>5179.95</v>
      </c>
      <c r="Q296" s="85">
        <f t="shared" si="303"/>
        <v>5179.9504900000002</v>
      </c>
      <c r="R296" s="85">
        <f t="shared" si="303"/>
        <v>5179.9509800000005</v>
      </c>
      <c r="S296" s="85">
        <f t="shared" si="303"/>
        <v>5179.9514700000009</v>
      </c>
      <c r="T296" s="84">
        <f t="shared" ref="T296:AC296" si="309">+S296-(0.711/100)</f>
        <v>5179.9443600000013</v>
      </c>
      <c r="U296" s="84">
        <f t="shared" si="309"/>
        <v>5179.9372500000018</v>
      </c>
      <c r="V296" s="84">
        <f t="shared" si="309"/>
        <v>5179.9301400000022</v>
      </c>
      <c r="W296" s="84">
        <f t="shared" si="309"/>
        <v>5179.9230300000027</v>
      </c>
      <c r="X296" s="84">
        <f t="shared" si="309"/>
        <v>5179.9159200000031</v>
      </c>
      <c r="Y296" s="84">
        <f t="shared" si="309"/>
        <v>5179.9088100000035</v>
      </c>
      <c r="Z296" s="84">
        <f t="shared" si="309"/>
        <v>5179.901700000004</v>
      </c>
      <c r="AA296" s="84">
        <f t="shared" si="309"/>
        <v>5179.8945900000044</v>
      </c>
      <c r="AB296" s="84">
        <f t="shared" si="309"/>
        <v>5179.8874800000049</v>
      </c>
      <c r="AC296" s="84">
        <f t="shared" si="309"/>
        <v>5179.8803700000053</v>
      </c>
    </row>
    <row r="297" spans="1:29" x14ac:dyDescent="0.25">
      <c r="A297" s="86" t="s">
        <v>25</v>
      </c>
      <c r="B297" s="54" t="s">
        <v>5</v>
      </c>
      <c r="C297" s="54"/>
      <c r="D297" s="60">
        <v>23.204999999999998</v>
      </c>
      <c r="E297" s="84">
        <f t="shared" si="299"/>
        <v>23.204999999999998</v>
      </c>
      <c r="F297" s="60">
        <v>23.204999999999998</v>
      </c>
      <c r="G297" s="84">
        <f t="shared" si="300"/>
        <v>23.204999999999998</v>
      </c>
      <c r="H297" s="60">
        <v>23.204999999999998</v>
      </c>
      <c r="I297" s="84">
        <f t="shared" si="301"/>
        <v>53.52000000000001</v>
      </c>
      <c r="J297" s="60">
        <v>83.835000000000022</v>
      </c>
      <c r="K297" s="84">
        <f t="shared" si="302"/>
        <v>61.627500000000012</v>
      </c>
      <c r="L297" s="60">
        <v>39.42</v>
      </c>
      <c r="M297" s="60">
        <v>17.149999999999999</v>
      </c>
      <c r="N297" s="60">
        <v>17.149999999999999</v>
      </c>
      <c r="O297" s="60">
        <v>69.3</v>
      </c>
      <c r="P297" s="60">
        <v>69.3</v>
      </c>
      <c r="Q297" s="85">
        <f t="shared" si="303"/>
        <v>69.300489999999996</v>
      </c>
      <c r="R297" s="85">
        <f t="shared" si="303"/>
        <v>69.300979999999996</v>
      </c>
      <c r="S297" s="85">
        <f t="shared" si="303"/>
        <v>69.301469999999995</v>
      </c>
      <c r="T297" s="84">
        <f t="shared" ref="T297:AC297" si="310">+S297-(0.711/100)</f>
        <v>69.294359999999998</v>
      </c>
      <c r="U297" s="84">
        <f t="shared" si="310"/>
        <v>69.28725</v>
      </c>
      <c r="V297" s="84">
        <f t="shared" si="310"/>
        <v>69.280140000000003</v>
      </c>
      <c r="W297" s="84">
        <f t="shared" si="310"/>
        <v>69.273030000000006</v>
      </c>
      <c r="X297" s="84">
        <f t="shared" si="310"/>
        <v>69.265920000000008</v>
      </c>
      <c r="Y297" s="84">
        <f t="shared" si="310"/>
        <v>69.258810000000011</v>
      </c>
      <c r="Z297" s="84">
        <f t="shared" si="310"/>
        <v>69.251700000000014</v>
      </c>
      <c r="AA297" s="84">
        <f t="shared" si="310"/>
        <v>69.244590000000017</v>
      </c>
      <c r="AB297" s="84">
        <f t="shared" si="310"/>
        <v>69.237480000000019</v>
      </c>
      <c r="AC297" s="84">
        <f t="shared" si="310"/>
        <v>69.230370000000022</v>
      </c>
    </row>
    <row r="298" spans="1:29" x14ac:dyDescent="0.25">
      <c r="A298" s="86" t="s">
        <v>26</v>
      </c>
      <c r="B298" s="54" t="s">
        <v>5</v>
      </c>
      <c r="C298" s="54"/>
      <c r="D298" s="60">
        <v>709.14</v>
      </c>
      <c r="E298" s="84">
        <f t="shared" si="299"/>
        <v>709.14</v>
      </c>
      <c r="F298" s="60">
        <v>709.14</v>
      </c>
      <c r="G298" s="84">
        <f t="shared" si="300"/>
        <v>709.14</v>
      </c>
      <c r="H298" s="60">
        <v>709.14</v>
      </c>
      <c r="I298" s="84">
        <f t="shared" si="301"/>
        <v>809.33999999999992</v>
      </c>
      <c r="J298" s="60">
        <v>909.54</v>
      </c>
      <c r="K298" s="84">
        <f t="shared" si="302"/>
        <v>947.43000000000006</v>
      </c>
      <c r="L298" s="60">
        <v>985.32</v>
      </c>
      <c r="M298" s="60">
        <v>719.15</v>
      </c>
      <c r="N298" s="60">
        <v>719.15</v>
      </c>
      <c r="O298" s="60">
        <v>48.15</v>
      </c>
      <c r="P298" s="60">
        <v>48.15</v>
      </c>
      <c r="Q298" s="85">
        <f t="shared" si="303"/>
        <v>48.150489999999998</v>
      </c>
      <c r="R298" s="85">
        <f t="shared" si="303"/>
        <v>48.150979999999997</v>
      </c>
      <c r="S298" s="85">
        <f t="shared" si="303"/>
        <v>48.151469999999996</v>
      </c>
      <c r="T298" s="84">
        <f t="shared" ref="T298:AC298" si="311">+S298-(0.711/100)</f>
        <v>48.144359999999999</v>
      </c>
      <c r="U298" s="84">
        <f t="shared" si="311"/>
        <v>48.137250000000002</v>
      </c>
      <c r="V298" s="84">
        <f t="shared" si="311"/>
        <v>48.130140000000004</v>
      </c>
      <c r="W298" s="84">
        <f t="shared" si="311"/>
        <v>48.123030000000007</v>
      </c>
      <c r="X298" s="84">
        <f t="shared" si="311"/>
        <v>48.11592000000001</v>
      </c>
      <c r="Y298" s="84">
        <f t="shared" si="311"/>
        <v>48.108810000000013</v>
      </c>
      <c r="Z298" s="84">
        <f t="shared" si="311"/>
        <v>48.101700000000015</v>
      </c>
      <c r="AA298" s="84">
        <f t="shared" si="311"/>
        <v>48.094590000000018</v>
      </c>
      <c r="AB298" s="84">
        <f t="shared" si="311"/>
        <v>48.087480000000021</v>
      </c>
      <c r="AC298" s="84">
        <f t="shared" si="311"/>
        <v>48.080370000000023</v>
      </c>
    </row>
    <row r="299" spans="1:29" x14ac:dyDescent="0.25">
      <c r="A299" s="86" t="s">
        <v>27</v>
      </c>
      <c r="B299" s="54" t="s">
        <v>5</v>
      </c>
      <c r="C299" s="54"/>
      <c r="D299" s="60">
        <v>0</v>
      </c>
      <c r="E299" s="84">
        <f t="shared" si="299"/>
        <v>0</v>
      </c>
      <c r="F299" s="60">
        <v>0</v>
      </c>
      <c r="G299" s="84">
        <f t="shared" si="300"/>
        <v>0</v>
      </c>
      <c r="H299" s="60">
        <v>0</v>
      </c>
      <c r="I299" s="84">
        <f t="shared" si="301"/>
        <v>0</v>
      </c>
      <c r="J299" s="60">
        <v>0</v>
      </c>
      <c r="K299" s="84">
        <f t="shared" si="302"/>
        <v>0</v>
      </c>
      <c r="L299" s="60">
        <v>0</v>
      </c>
      <c r="M299" s="60">
        <v>552.78</v>
      </c>
      <c r="N299" s="60">
        <v>552.78</v>
      </c>
      <c r="O299" s="60">
        <v>234.63</v>
      </c>
      <c r="P299" s="60">
        <v>234.63</v>
      </c>
      <c r="Q299" s="85">
        <f t="shared" si="303"/>
        <v>234.63049000000001</v>
      </c>
      <c r="R299" s="85">
        <f t="shared" si="303"/>
        <v>234.63098000000002</v>
      </c>
      <c r="S299" s="85">
        <f t="shared" si="303"/>
        <v>234.63147000000004</v>
      </c>
      <c r="T299" s="84">
        <f t="shared" ref="T299:AC299" si="312">+S299-(0.711/100)</f>
        <v>234.62436000000002</v>
      </c>
      <c r="U299" s="84">
        <f t="shared" si="312"/>
        <v>234.61725000000001</v>
      </c>
      <c r="V299" s="84">
        <f t="shared" si="312"/>
        <v>234.61014</v>
      </c>
      <c r="W299" s="84">
        <f t="shared" si="312"/>
        <v>234.60302999999999</v>
      </c>
      <c r="X299" s="84">
        <f t="shared" si="312"/>
        <v>234.59591999999998</v>
      </c>
      <c r="Y299" s="84">
        <f t="shared" si="312"/>
        <v>234.58880999999997</v>
      </c>
      <c r="Z299" s="84">
        <f t="shared" si="312"/>
        <v>234.58169999999996</v>
      </c>
      <c r="AA299" s="84">
        <f t="shared" si="312"/>
        <v>234.57458999999994</v>
      </c>
      <c r="AB299" s="84">
        <f t="shared" si="312"/>
        <v>234.56747999999993</v>
      </c>
      <c r="AC299" s="84">
        <f t="shared" si="312"/>
        <v>234.56036999999992</v>
      </c>
    </row>
    <row r="300" spans="1:29" x14ac:dyDescent="0.25">
      <c r="A300" s="86" t="s">
        <v>28</v>
      </c>
      <c r="B300" s="54" t="s">
        <v>5</v>
      </c>
      <c r="C300" s="54"/>
      <c r="D300" s="60">
        <v>0</v>
      </c>
      <c r="E300" s="84">
        <f t="shared" si="299"/>
        <v>0</v>
      </c>
      <c r="F300" s="60">
        <v>0</v>
      </c>
      <c r="G300" s="84">
        <f t="shared" si="300"/>
        <v>0</v>
      </c>
      <c r="H300" s="60">
        <v>0</v>
      </c>
      <c r="I300" s="84">
        <f t="shared" si="301"/>
        <v>54.81</v>
      </c>
      <c r="J300" s="60">
        <v>109.62</v>
      </c>
      <c r="K300" s="84">
        <f t="shared" si="302"/>
        <v>63.765000000000001</v>
      </c>
      <c r="L300" s="60">
        <v>17.91</v>
      </c>
      <c r="M300" s="60">
        <v>18.989999999999998</v>
      </c>
      <c r="N300" s="60">
        <v>18.989999999999998</v>
      </c>
      <c r="O300" s="60">
        <v>7.2</v>
      </c>
      <c r="P300" s="60">
        <v>7.2</v>
      </c>
      <c r="Q300" s="85">
        <f t="shared" si="303"/>
        <v>7.2004900000000003</v>
      </c>
      <c r="R300" s="85">
        <f t="shared" si="303"/>
        <v>7.2009800000000004</v>
      </c>
      <c r="S300" s="85">
        <f t="shared" si="303"/>
        <v>7.2014700000000005</v>
      </c>
      <c r="T300" s="84">
        <f t="shared" ref="T300:AC300" si="313">+S300-(0.711/100)</f>
        <v>7.1943600000000005</v>
      </c>
      <c r="U300" s="84">
        <f t="shared" si="313"/>
        <v>7.1872500000000006</v>
      </c>
      <c r="V300" s="84">
        <f t="shared" si="313"/>
        <v>7.1801400000000006</v>
      </c>
      <c r="W300" s="84">
        <f t="shared" si="313"/>
        <v>7.1730300000000007</v>
      </c>
      <c r="X300" s="84">
        <f t="shared" si="313"/>
        <v>7.1659200000000007</v>
      </c>
      <c r="Y300" s="84">
        <f t="shared" si="313"/>
        <v>7.1588100000000008</v>
      </c>
      <c r="Z300" s="84">
        <f t="shared" si="313"/>
        <v>7.1517000000000008</v>
      </c>
      <c r="AA300" s="84">
        <f t="shared" si="313"/>
        <v>7.1445900000000009</v>
      </c>
      <c r="AB300" s="84">
        <f t="shared" si="313"/>
        <v>7.1374800000000009</v>
      </c>
      <c r="AC300" s="84">
        <f t="shared" si="313"/>
        <v>7.130370000000001</v>
      </c>
    </row>
    <row r="301" spans="1:29" x14ac:dyDescent="0.25">
      <c r="A301" s="56" t="s">
        <v>19</v>
      </c>
      <c r="B301" s="54" t="s">
        <v>5</v>
      </c>
      <c r="C301" s="54"/>
      <c r="D301" s="60">
        <v>7739.04</v>
      </c>
      <c r="E301" s="84">
        <f t="shared" si="299"/>
        <v>7739.04</v>
      </c>
      <c r="F301" s="60">
        <v>7739.04</v>
      </c>
      <c r="G301" s="84">
        <f t="shared" si="300"/>
        <v>7739.04</v>
      </c>
      <c r="H301" s="60">
        <v>7739.04</v>
      </c>
      <c r="I301" s="84">
        <f t="shared" si="301"/>
        <v>7635.75</v>
      </c>
      <c r="J301" s="60">
        <v>7532.46</v>
      </c>
      <c r="K301" s="84">
        <f t="shared" si="302"/>
        <v>7934.3799999999992</v>
      </c>
      <c r="L301" s="60">
        <v>8336.2999999999993</v>
      </c>
      <c r="M301" s="60">
        <v>7082.69</v>
      </c>
      <c r="N301" s="60">
        <v>7082.69</v>
      </c>
      <c r="O301" s="60">
        <v>1511.69</v>
      </c>
      <c r="P301" s="60">
        <v>1511.69</v>
      </c>
      <c r="Q301" s="85">
        <f t="shared" si="303"/>
        <v>1511.69049</v>
      </c>
      <c r="R301" s="85">
        <f t="shared" si="303"/>
        <v>1511.6909799999999</v>
      </c>
      <c r="S301" s="85">
        <f t="shared" si="303"/>
        <v>1511.6914699999998</v>
      </c>
      <c r="T301" s="84">
        <f t="shared" ref="T301:AC301" si="314">+S301-(0.711/100)</f>
        <v>1511.6843599999997</v>
      </c>
      <c r="U301" s="84">
        <f t="shared" si="314"/>
        <v>1511.6772499999997</v>
      </c>
      <c r="V301" s="84">
        <f t="shared" si="314"/>
        <v>1511.6701399999997</v>
      </c>
      <c r="W301" s="84">
        <f t="shared" si="314"/>
        <v>1511.6630299999997</v>
      </c>
      <c r="X301" s="84">
        <f t="shared" si="314"/>
        <v>1511.6559199999997</v>
      </c>
      <c r="Y301" s="84">
        <f t="shared" si="314"/>
        <v>1511.6488099999997</v>
      </c>
      <c r="Z301" s="84">
        <f t="shared" si="314"/>
        <v>1511.6416999999997</v>
      </c>
      <c r="AA301" s="84">
        <f t="shared" si="314"/>
        <v>1511.6345899999997</v>
      </c>
      <c r="AB301" s="84">
        <f t="shared" si="314"/>
        <v>1511.6274799999997</v>
      </c>
      <c r="AC301" s="84">
        <f t="shared" si="314"/>
        <v>1511.6203699999996</v>
      </c>
    </row>
    <row r="302" spans="1:29" x14ac:dyDescent="0.25">
      <c r="A302" s="56" t="s">
        <v>4</v>
      </c>
      <c r="B302" s="54" t="s">
        <v>5</v>
      </c>
      <c r="C302" s="54"/>
      <c r="D302" s="60">
        <v>420.255</v>
      </c>
      <c r="E302" s="84">
        <f t="shared" si="299"/>
        <v>420.255</v>
      </c>
      <c r="F302" s="60">
        <v>420.255</v>
      </c>
      <c r="G302" s="84">
        <f t="shared" si="300"/>
        <v>420.255</v>
      </c>
      <c r="H302" s="60">
        <v>420.255</v>
      </c>
      <c r="I302" s="84">
        <f t="shared" si="301"/>
        <v>654.66250000000002</v>
      </c>
      <c r="J302" s="60">
        <v>889.07</v>
      </c>
      <c r="K302" s="84">
        <f t="shared" si="302"/>
        <v>530.35</v>
      </c>
      <c r="L302" s="60">
        <v>171.63</v>
      </c>
      <c r="M302" s="60">
        <v>1057.5899999999999</v>
      </c>
      <c r="N302" s="60">
        <v>1057.5899999999999</v>
      </c>
      <c r="O302" s="60">
        <v>137.47999999999999</v>
      </c>
      <c r="P302" s="60">
        <v>137.47999999999999</v>
      </c>
      <c r="Q302" s="85">
        <f t="shared" si="303"/>
        <v>137.48049</v>
      </c>
      <c r="R302" s="85">
        <f t="shared" si="303"/>
        <v>137.48098000000002</v>
      </c>
      <c r="S302" s="85">
        <f t="shared" si="303"/>
        <v>137.48147000000003</v>
      </c>
      <c r="T302" s="84">
        <f t="shared" ref="T302:AC302" si="315">+S302-(0.711/100)</f>
        <v>137.47436000000002</v>
      </c>
      <c r="U302" s="84">
        <f t="shared" si="315"/>
        <v>137.46725000000001</v>
      </c>
      <c r="V302" s="84">
        <f t="shared" si="315"/>
        <v>137.46014</v>
      </c>
      <c r="W302" s="84">
        <f t="shared" si="315"/>
        <v>137.45302999999998</v>
      </c>
      <c r="X302" s="84">
        <f t="shared" si="315"/>
        <v>137.44591999999997</v>
      </c>
      <c r="Y302" s="84">
        <f t="shared" si="315"/>
        <v>137.43880999999996</v>
      </c>
      <c r="Z302" s="84">
        <f t="shared" si="315"/>
        <v>137.43169999999995</v>
      </c>
      <c r="AA302" s="84">
        <f t="shared" si="315"/>
        <v>137.42458999999994</v>
      </c>
      <c r="AB302" s="84">
        <f t="shared" si="315"/>
        <v>137.41747999999993</v>
      </c>
      <c r="AC302" s="84">
        <f t="shared" si="315"/>
        <v>137.41036999999992</v>
      </c>
    </row>
    <row r="303" spans="1:29" x14ac:dyDescent="0.25">
      <c r="A303" s="56" t="s">
        <v>29</v>
      </c>
      <c r="B303" s="54" t="s">
        <v>5</v>
      </c>
      <c r="C303" s="54"/>
      <c r="D303" s="60">
        <v>1846.79</v>
      </c>
      <c r="E303" s="84">
        <f t="shared" si="299"/>
        <v>1846.79</v>
      </c>
      <c r="F303" s="60">
        <v>1846.79</v>
      </c>
      <c r="G303" s="84">
        <f t="shared" si="300"/>
        <v>1846.79</v>
      </c>
      <c r="H303" s="60">
        <v>1846.79</v>
      </c>
      <c r="I303" s="84">
        <f t="shared" si="301"/>
        <v>2744.6800000000003</v>
      </c>
      <c r="J303" s="60">
        <v>3642.57</v>
      </c>
      <c r="K303" s="84">
        <f t="shared" si="302"/>
        <v>2664.2049999999999</v>
      </c>
      <c r="L303" s="60">
        <v>1685.84</v>
      </c>
      <c r="M303" s="60">
        <v>3312.72</v>
      </c>
      <c r="N303" s="60">
        <v>3312.72</v>
      </c>
      <c r="O303" s="60">
        <v>218.03</v>
      </c>
      <c r="P303" s="60">
        <v>218.03</v>
      </c>
      <c r="Q303" s="85">
        <f t="shared" si="303"/>
        <v>218.03049000000001</v>
      </c>
      <c r="R303" s="85">
        <f t="shared" si="303"/>
        <v>218.03098000000003</v>
      </c>
      <c r="S303" s="85">
        <f t="shared" si="303"/>
        <v>218.03147000000004</v>
      </c>
      <c r="T303" s="84">
        <f t="shared" ref="T303:AC303" si="316">+S303-(0.711/100)</f>
        <v>218.02436000000003</v>
      </c>
      <c r="U303" s="84">
        <f t="shared" si="316"/>
        <v>218.01725000000002</v>
      </c>
      <c r="V303" s="84">
        <f t="shared" si="316"/>
        <v>218.01014000000001</v>
      </c>
      <c r="W303" s="84">
        <f t="shared" si="316"/>
        <v>218.00303</v>
      </c>
      <c r="X303" s="84">
        <f t="shared" si="316"/>
        <v>217.99591999999998</v>
      </c>
      <c r="Y303" s="84">
        <f t="shared" si="316"/>
        <v>217.98880999999997</v>
      </c>
      <c r="Z303" s="84">
        <f t="shared" si="316"/>
        <v>217.98169999999996</v>
      </c>
      <c r="AA303" s="84">
        <f t="shared" si="316"/>
        <v>217.97458999999995</v>
      </c>
      <c r="AB303" s="84">
        <f t="shared" si="316"/>
        <v>217.96747999999994</v>
      </c>
      <c r="AC303" s="84">
        <f t="shared" si="316"/>
        <v>217.96036999999993</v>
      </c>
    </row>
    <row r="304" spans="1:29" x14ac:dyDescent="0.25">
      <c r="T304" s="84">
        <f t="shared" ref="T304:AC304" si="317">+S304-(0.711/100)</f>
        <v>-7.11E-3</v>
      </c>
      <c r="U304" s="84">
        <f t="shared" si="317"/>
        <v>-1.422E-2</v>
      </c>
      <c r="V304" s="84">
        <f t="shared" si="317"/>
        <v>-2.1330000000000002E-2</v>
      </c>
      <c r="W304" s="84">
        <f t="shared" si="317"/>
        <v>-2.844E-2</v>
      </c>
      <c r="X304" s="84">
        <f t="shared" si="317"/>
        <v>-3.5549999999999998E-2</v>
      </c>
      <c r="Y304" s="84">
        <f t="shared" si="317"/>
        <v>-4.2659999999999997E-2</v>
      </c>
      <c r="Z304" s="84">
        <f t="shared" si="317"/>
        <v>-4.9769999999999995E-2</v>
      </c>
      <c r="AA304" s="84">
        <f t="shared" si="317"/>
        <v>-5.6879999999999993E-2</v>
      </c>
      <c r="AB304" s="84">
        <f t="shared" si="317"/>
        <v>-6.3989999999999991E-2</v>
      </c>
      <c r="AC304" s="84">
        <f t="shared" si="317"/>
        <v>-7.1099999999999997E-2</v>
      </c>
    </row>
    <row r="305" spans="1:29" x14ac:dyDescent="0.25">
      <c r="A305" s="86" t="s">
        <v>18</v>
      </c>
      <c r="B305" s="54" t="s">
        <v>6</v>
      </c>
      <c r="C305" s="54"/>
      <c r="D305" s="60">
        <v>0</v>
      </c>
      <c r="E305" s="84">
        <f t="shared" ref="E305:E318" si="318">+(D305+F305)/2</f>
        <v>0</v>
      </c>
      <c r="F305" s="60">
        <v>0</v>
      </c>
      <c r="G305" s="84">
        <f t="shared" ref="G305:G318" si="319">+(F305+H305)/2</f>
        <v>0</v>
      </c>
      <c r="H305" s="60">
        <v>0</v>
      </c>
      <c r="I305" s="84">
        <f t="shared" ref="I305:I318" si="320">+(H305+J305)/2</f>
        <v>0</v>
      </c>
      <c r="J305" s="60">
        <v>0</v>
      </c>
      <c r="K305" s="84">
        <f t="shared" ref="K305:K318" si="321">+(J305+L305)/2</f>
        <v>5.1974999999999998</v>
      </c>
      <c r="L305" s="60">
        <v>10.395</v>
      </c>
      <c r="M305" s="60">
        <v>7.52</v>
      </c>
      <c r="N305" s="60">
        <v>7.52</v>
      </c>
      <c r="O305" s="60">
        <v>0</v>
      </c>
      <c r="P305" s="60">
        <v>0</v>
      </c>
      <c r="Q305" s="85">
        <f t="shared" ref="Q305:S318" si="322">+P305+(0.049/100)</f>
        <v>4.8999999999999998E-4</v>
      </c>
      <c r="R305" s="85">
        <f t="shared" si="322"/>
        <v>9.7999999999999997E-4</v>
      </c>
      <c r="S305" s="85">
        <f t="shared" si="322"/>
        <v>1.47E-3</v>
      </c>
      <c r="T305" s="84">
        <f t="shared" ref="T305:AC305" si="323">+S305-(0.711/100)</f>
        <v>-5.64E-3</v>
      </c>
      <c r="U305" s="84">
        <f t="shared" si="323"/>
        <v>-1.2750000000000001E-2</v>
      </c>
      <c r="V305" s="84">
        <f t="shared" si="323"/>
        <v>-1.9860000000000003E-2</v>
      </c>
      <c r="W305" s="84">
        <f t="shared" si="323"/>
        <v>-2.6970000000000001E-2</v>
      </c>
      <c r="X305" s="84">
        <f t="shared" si="323"/>
        <v>-3.4079999999999999E-2</v>
      </c>
      <c r="Y305" s="84">
        <f t="shared" si="323"/>
        <v>-4.1189999999999997E-2</v>
      </c>
      <c r="Z305" s="84">
        <f t="shared" si="323"/>
        <v>-4.8299999999999996E-2</v>
      </c>
      <c r="AA305" s="84">
        <f t="shared" si="323"/>
        <v>-5.5409999999999994E-2</v>
      </c>
      <c r="AB305" s="84">
        <f t="shared" si="323"/>
        <v>-6.2519999999999992E-2</v>
      </c>
      <c r="AC305" s="84">
        <f t="shared" si="323"/>
        <v>-6.9629999999999997E-2</v>
      </c>
    </row>
    <row r="306" spans="1:29" x14ac:dyDescent="0.25">
      <c r="A306" s="86" t="s">
        <v>20</v>
      </c>
      <c r="B306" s="54" t="s">
        <v>6</v>
      </c>
      <c r="C306" s="54"/>
      <c r="D306" s="60">
        <v>390</v>
      </c>
      <c r="E306" s="84">
        <f t="shared" si="318"/>
        <v>390</v>
      </c>
      <c r="F306" s="60">
        <v>390</v>
      </c>
      <c r="G306" s="84">
        <f t="shared" si="319"/>
        <v>390</v>
      </c>
      <c r="H306" s="60">
        <v>390</v>
      </c>
      <c r="I306" s="84">
        <f t="shared" si="320"/>
        <v>232.50749999999999</v>
      </c>
      <c r="J306" s="60">
        <v>75.015000000000001</v>
      </c>
      <c r="K306" s="84">
        <f t="shared" si="321"/>
        <v>75.240000000000009</v>
      </c>
      <c r="L306" s="60">
        <v>75.465000000000003</v>
      </c>
      <c r="M306" s="60">
        <v>527.66999999999996</v>
      </c>
      <c r="N306" s="60">
        <v>527.66999999999996</v>
      </c>
      <c r="O306" s="60">
        <v>802.49</v>
      </c>
      <c r="P306" s="60">
        <v>802.49</v>
      </c>
      <c r="Q306" s="85">
        <f t="shared" si="322"/>
        <v>802.49049000000002</v>
      </c>
      <c r="R306" s="85">
        <f t="shared" si="322"/>
        <v>802.49098000000004</v>
      </c>
      <c r="S306" s="85">
        <f t="shared" si="322"/>
        <v>802.49147000000005</v>
      </c>
      <c r="T306" s="84">
        <f t="shared" ref="T306:AC306" si="324">+S306-(0.711/100)</f>
        <v>802.48436000000004</v>
      </c>
      <c r="U306" s="84">
        <f t="shared" si="324"/>
        <v>802.47725000000003</v>
      </c>
      <c r="V306" s="84">
        <f t="shared" si="324"/>
        <v>802.47014000000001</v>
      </c>
      <c r="W306" s="84">
        <f t="shared" si="324"/>
        <v>802.46303</v>
      </c>
      <c r="X306" s="84">
        <f t="shared" si="324"/>
        <v>802.45591999999999</v>
      </c>
      <c r="Y306" s="84">
        <f t="shared" si="324"/>
        <v>802.44880999999998</v>
      </c>
      <c r="Z306" s="84">
        <f t="shared" si="324"/>
        <v>802.44169999999997</v>
      </c>
      <c r="AA306" s="84">
        <f t="shared" si="324"/>
        <v>802.43458999999996</v>
      </c>
      <c r="AB306" s="84">
        <f t="shared" si="324"/>
        <v>802.42747999999995</v>
      </c>
      <c r="AC306" s="84">
        <f t="shared" si="324"/>
        <v>802.42036999999993</v>
      </c>
    </row>
    <row r="307" spans="1:29" x14ac:dyDescent="0.25">
      <c r="A307" s="86" t="s">
        <v>21</v>
      </c>
      <c r="B307" s="54" t="s">
        <v>6</v>
      </c>
      <c r="C307" s="54"/>
      <c r="D307" s="60">
        <v>42.464999999999996</v>
      </c>
      <c r="E307" s="84">
        <f t="shared" si="318"/>
        <v>42.464999999999996</v>
      </c>
      <c r="F307" s="60">
        <v>42.464999999999996</v>
      </c>
      <c r="G307" s="84">
        <f t="shared" si="319"/>
        <v>42.464999999999996</v>
      </c>
      <c r="H307" s="60">
        <v>42.464999999999996</v>
      </c>
      <c r="I307" s="84">
        <f t="shared" si="320"/>
        <v>54.825000000000003</v>
      </c>
      <c r="J307" s="60">
        <v>67.185000000000002</v>
      </c>
      <c r="K307" s="84">
        <f t="shared" si="321"/>
        <v>89.032499999999999</v>
      </c>
      <c r="L307" s="60">
        <v>110.88</v>
      </c>
      <c r="M307" s="60">
        <v>59.4</v>
      </c>
      <c r="N307" s="60">
        <v>59.4</v>
      </c>
      <c r="O307" s="60">
        <v>123.44</v>
      </c>
      <c r="P307" s="60">
        <v>123.44</v>
      </c>
      <c r="Q307" s="85">
        <f t="shared" si="322"/>
        <v>123.44049</v>
      </c>
      <c r="R307" s="85">
        <f t="shared" si="322"/>
        <v>123.44098</v>
      </c>
      <c r="S307" s="85">
        <f t="shared" si="322"/>
        <v>123.44147</v>
      </c>
      <c r="T307" s="84">
        <f t="shared" ref="T307:AC307" si="325">+S307-(0.711/100)</f>
        <v>123.43436</v>
      </c>
      <c r="U307" s="84">
        <f t="shared" si="325"/>
        <v>123.42725</v>
      </c>
      <c r="V307" s="84">
        <f t="shared" si="325"/>
        <v>123.42014</v>
      </c>
      <c r="W307" s="84">
        <f t="shared" si="325"/>
        <v>123.41303000000001</v>
      </c>
      <c r="X307" s="84">
        <f t="shared" si="325"/>
        <v>123.40592000000001</v>
      </c>
      <c r="Y307" s="84">
        <f t="shared" si="325"/>
        <v>123.39881000000001</v>
      </c>
      <c r="Z307" s="84">
        <f t="shared" si="325"/>
        <v>123.39170000000001</v>
      </c>
      <c r="AA307" s="84">
        <f t="shared" si="325"/>
        <v>123.38459000000002</v>
      </c>
      <c r="AB307" s="84">
        <f t="shared" si="325"/>
        <v>123.37748000000002</v>
      </c>
      <c r="AC307" s="84">
        <f t="shared" si="325"/>
        <v>123.37037000000002</v>
      </c>
    </row>
    <row r="308" spans="1:29" x14ac:dyDescent="0.25">
      <c r="A308" s="86" t="s">
        <v>22</v>
      </c>
      <c r="B308" s="54" t="s">
        <v>6</v>
      </c>
      <c r="C308" s="54"/>
      <c r="D308" s="60">
        <v>51.254999999999995</v>
      </c>
      <c r="E308" s="84">
        <f t="shared" si="318"/>
        <v>51.254999999999995</v>
      </c>
      <c r="F308" s="60">
        <v>51.254999999999995</v>
      </c>
      <c r="G308" s="84">
        <f t="shared" si="319"/>
        <v>51.254999999999995</v>
      </c>
      <c r="H308" s="60">
        <v>51.254999999999995</v>
      </c>
      <c r="I308" s="84">
        <f t="shared" si="320"/>
        <v>48.959999999999994</v>
      </c>
      <c r="J308" s="60">
        <v>46.664999999999992</v>
      </c>
      <c r="K308" s="84">
        <f t="shared" si="321"/>
        <v>61.717499999999994</v>
      </c>
      <c r="L308" s="60">
        <v>76.77</v>
      </c>
      <c r="M308" s="60">
        <v>99.45</v>
      </c>
      <c r="N308" s="60">
        <v>99.45</v>
      </c>
      <c r="O308" s="60">
        <v>138.56</v>
      </c>
      <c r="P308" s="60">
        <v>138.56</v>
      </c>
      <c r="Q308" s="85">
        <f t="shared" si="322"/>
        <v>138.56049000000002</v>
      </c>
      <c r="R308" s="85">
        <f t="shared" si="322"/>
        <v>138.56098000000003</v>
      </c>
      <c r="S308" s="85">
        <f t="shared" si="322"/>
        <v>138.56147000000004</v>
      </c>
      <c r="T308" s="84">
        <f t="shared" ref="T308:AC308" si="326">+S308-(0.711/100)</f>
        <v>138.55436000000003</v>
      </c>
      <c r="U308" s="84">
        <f t="shared" si="326"/>
        <v>138.54725000000002</v>
      </c>
      <c r="V308" s="84">
        <f t="shared" si="326"/>
        <v>138.54014000000001</v>
      </c>
      <c r="W308" s="84">
        <f t="shared" si="326"/>
        <v>138.53303</v>
      </c>
      <c r="X308" s="84">
        <f t="shared" si="326"/>
        <v>138.52591999999999</v>
      </c>
      <c r="Y308" s="84">
        <f t="shared" si="326"/>
        <v>138.51880999999997</v>
      </c>
      <c r="Z308" s="84">
        <f t="shared" si="326"/>
        <v>138.51169999999996</v>
      </c>
      <c r="AA308" s="84">
        <f t="shared" si="326"/>
        <v>138.50458999999995</v>
      </c>
      <c r="AB308" s="84">
        <f t="shared" si="326"/>
        <v>138.49747999999994</v>
      </c>
      <c r="AC308" s="84">
        <f t="shared" si="326"/>
        <v>138.49036999999993</v>
      </c>
    </row>
    <row r="309" spans="1:29" x14ac:dyDescent="0.25">
      <c r="A309" s="86" t="s">
        <v>23</v>
      </c>
      <c r="B309" s="54" t="s">
        <v>6</v>
      </c>
      <c r="C309" s="54"/>
      <c r="D309" s="60">
        <v>18.059999999999999</v>
      </c>
      <c r="E309" s="84">
        <f t="shared" si="318"/>
        <v>18.059999999999999</v>
      </c>
      <c r="F309" s="60">
        <v>18.059999999999999</v>
      </c>
      <c r="G309" s="84">
        <f t="shared" si="319"/>
        <v>18.059999999999999</v>
      </c>
      <c r="H309" s="60">
        <v>18.059999999999999</v>
      </c>
      <c r="I309" s="84">
        <f t="shared" si="320"/>
        <v>21.2925</v>
      </c>
      <c r="J309" s="60">
        <v>24.525000000000002</v>
      </c>
      <c r="K309" s="84">
        <f t="shared" si="321"/>
        <v>28.17</v>
      </c>
      <c r="L309" s="60">
        <v>31.814999999999998</v>
      </c>
      <c r="M309" s="60">
        <v>39.65</v>
      </c>
      <c r="N309" s="60">
        <v>39.65</v>
      </c>
      <c r="O309" s="60">
        <v>0.54</v>
      </c>
      <c r="P309" s="60">
        <v>0.54</v>
      </c>
      <c r="Q309" s="85">
        <f t="shared" si="322"/>
        <v>0.54049000000000003</v>
      </c>
      <c r="R309" s="85">
        <f t="shared" si="322"/>
        <v>0.54098000000000002</v>
      </c>
      <c r="S309" s="85">
        <f t="shared" si="322"/>
        <v>0.54147000000000001</v>
      </c>
      <c r="T309" s="84">
        <f t="shared" ref="T309:AC309" si="327">+S309-(0.711/100)</f>
        <v>0.53436000000000006</v>
      </c>
      <c r="U309" s="84">
        <f t="shared" si="327"/>
        <v>0.52725000000000011</v>
      </c>
      <c r="V309" s="84">
        <f t="shared" si="327"/>
        <v>0.52014000000000016</v>
      </c>
      <c r="W309" s="84">
        <f t="shared" si="327"/>
        <v>0.51303000000000021</v>
      </c>
      <c r="X309" s="84">
        <f t="shared" si="327"/>
        <v>0.50592000000000026</v>
      </c>
      <c r="Y309" s="84">
        <f t="shared" si="327"/>
        <v>0.49881000000000025</v>
      </c>
      <c r="Z309" s="84">
        <f t="shared" si="327"/>
        <v>0.49170000000000025</v>
      </c>
      <c r="AA309" s="84">
        <f t="shared" si="327"/>
        <v>0.48459000000000024</v>
      </c>
      <c r="AB309" s="84">
        <f t="shared" si="327"/>
        <v>0.47748000000000024</v>
      </c>
      <c r="AC309" s="84">
        <f t="shared" si="327"/>
        <v>0.47037000000000023</v>
      </c>
    </row>
    <row r="310" spans="1:29" ht="22.5" x14ac:dyDescent="0.25">
      <c r="A310" s="86" t="s">
        <v>24</v>
      </c>
      <c r="B310" s="54" t="s">
        <v>6</v>
      </c>
      <c r="C310" s="54"/>
      <c r="D310" s="60">
        <v>102.55500000000001</v>
      </c>
      <c r="E310" s="84">
        <f t="shared" si="318"/>
        <v>102.55500000000001</v>
      </c>
      <c r="F310" s="60">
        <v>102.55500000000001</v>
      </c>
      <c r="G310" s="84">
        <f t="shared" si="319"/>
        <v>102.55500000000001</v>
      </c>
      <c r="H310" s="60">
        <v>102.55500000000001</v>
      </c>
      <c r="I310" s="84">
        <f t="shared" si="320"/>
        <v>107.23500000000001</v>
      </c>
      <c r="J310" s="60">
        <v>111.91500000000001</v>
      </c>
      <c r="K310" s="84">
        <f t="shared" si="321"/>
        <v>157.9725</v>
      </c>
      <c r="L310" s="60">
        <v>204.03</v>
      </c>
      <c r="M310" s="60">
        <v>300.74</v>
      </c>
      <c r="N310" s="60">
        <v>300.74</v>
      </c>
      <c r="O310" s="60">
        <v>861.98</v>
      </c>
      <c r="P310" s="60">
        <v>861.98</v>
      </c>
      <c r="Q310" s="85">
        <f t="shared" si="322"/>
        <v>861.98049000000003</v>
      </c>
      <c r="R310" s="85">
        <f t="shared" si="322"/>
        <v>861.98098000000005</v>
      </c>
      <c r="S310" s="85">
        <f t="shared" si="322"/>
        <v>861.98147000000006</v>
      </c>
      <c r="T310" s="84">
        <f t="shared" ref="T310:AC310" si="328">+S310-(0.711/100)</f>
        <v>861.97436000000005</v>
      </c>
      <c r="U310" s="84">
        <f t="shared" si="328"/>
        <v>861.96725000000004</v>
      </c>
      <c r="V310" s="84">
        <f t="shared" si="328"/>
        <v>861.96014000000002</v>
      </c>
      <c r="W310" s="84">
        <f t="shared" si="328"/>
        <v>861.95303000000001</v>
      </c>
      <c r="X310" s="84">
        <f t="shared" si="328"/>
        <v>861.94592</v>
      </c>
      <c r="Y310" s="84">
        <f t="shared" si="328"/>
        <v>861.93880999999999</v>
      </c>
      <c r="Z310" s="84">
        <f t="shared" si="328"/>
        <v>861.93169999999998</v>
      </c>
      <c r="AA310" s="84">
        <f t="shared" si="328"/>
        <v>861.92458999999997</v>
      </c>
      <c r="AB310" s="84">
        <f t="shared" si="328"/>
        <v>861.91747999999995</v>
      </c>
      <c r="AC310" s="84">
        <f t="shared" si="328"/>
        <v>861.91036999999994</v>
      </c>
    </row>
    <row r="311" spans="1:29" x14ac:dyDescent="0.25">
      <c r="A311" s="86" t="s">
        <v>25</v>
      </c>
      <c r="B311" s="54" t="s">
        <v>6</v>
      </c>
      <c r="C311" s="54"/>
      <c r="D311" s="60">
        <v>30.825000000000003</v>
      </c>
      <c r="E311" s="84">
        <f t="shared" si="318"/>
        <v>30.825000000000003</v>
      </c>
      <c r="F311" s="60">
        <v>30.825000000000003</v>
      </c>
      <c r="G311" s="84">
        <f t="shared" si="319"/>
        <v>30.825000000000003</v>
      </c>
      <c r="H311" s="60">
        <v>30.825000000000003</v>
      </c>
      <c r="I311" s="84">
        <f t="shared" si="320"/>
        <v>22.770000000000003</v>
      </c>
      <c r="J311" s="60">
        <v>14.715</v>
      </c>
      <c r="K311" s="84">
        <f t="shared" si="321"/>
        <v>18.09</v>
      </c>
      <c r="L311" s="60">
        <v>21.465</v>
      </c>
      <c r="M311" s="60">
        <v>33.979999999999997</v>
      </c>
      <c r="N311" s="60">
        <v>33.979999999999997</v>
      </c>
      <c r="O311" s="60">
        <v>201.56</v>
      </c>
      <c r="P311" s="60">
        <v>201.56</v>
      </c>
      <c r="Q311" s="85">
        <f t="shared" si="322"/>
        <v>201.56049000000002</v>
      </c>
      <c r="R311" s="85">
        <f t="shared" si="322"/>
        <v>201.56098000000003</v>
      </c>
      <c r="S311" s="85">
        <f t="shared" si="322"/>
        <v>201.56147000000004</v>
      </c>
      <c r="T311" s="84">
        <f t="shared" ref="T311:AC311" si="329">+S311-(0.711/100)</f>
        <v>201.55436000000003</v>
      </c>
      <c r="U311" s="84">
        <f t="shared" si="329"/>
        <v>201.54725000000002</v>
      </c>
      <c r="V311" s="84">
        <f t="shared" si="329"/>
        <v>201.54014000000001</v>
      </c>
      <c r="W311" s="84">
        <f t="shared" si="329"/>
        <v>201.53303</v>
      </c>
      <c r="X311" s="84">
        <f t="shared" si="329"/>
        <v>201.52591999999999</v>
      </c>
      <c r="Y311" s="84">
        <f t="shared" si="329"/>
        <v>201.51880999999997</v>
      </c>
      <c r="Z311" s="84">
        <f t="shared" si="329"/>
        <v>201.51169999999996</v>
      </c>
      <c r="AA311" s="84">
        <f t="shared" si="329"/>
        <v>201.50458999999995</v>
      </c>
      <c r="AB311" s="84">
        <f t="shared" si="329"/>
        <v>201.49747999999994</v>
      </c>
      <c r="AC311" s="84">
        <f t="shared" si="329"/>
        <v>201.49036999999993</v>
      </c>
    </row>
    <row r="312" spans="1:29" x14ac:dyDescent="0.25">
      <c r="A312" s="86" t="s">
        <v>26</v>
      </c>
      <c r="B312" s="54" t="s">
        <v>6</v>
      </c>
      <c r="C312" s="54"/>
      <c r="D312" s="60">
        <v>33.630000000000003</v>
      </c>
      <c r="E312" s="84">
        <f t="shared" si="318"/>
        <v>33.630000000000003</v>
      </c>
      <c r="F312" s="60">
        <v>33.630000000000003</v>
      </c>
      <c r="G312" s="84">
        <f t="shared" si="319"/>
        <v>33.630000000000003</v>
      </c>
      <c r="H312" s="60">
        <v>33.630000000000003</v>
      </c>
      <c r="I312" s="84">
        <f t="shared" si="320"/>
        <v>20.842500000000001</v>
      </c>
      <c r="J312" s="60">
        <v>8.0549999999999997</v>
      </c>
      <c r="K312" s="84">
        <f t="shared" si="321"/>
        <v>11.6775</v>
      </c>
      <c r="L312" s="60">
        <v>15.3</v>
      </c>
      <c r="M312" s="60">
        <v>2210.7199999999998</v>
      </c>
      <c r="N312" s="60">
        <v>2210.7199999999998</v>
      </c>
      <c r="O312" s="60">
        <v>78.709999999999994</v>
      </c>
      <c r="P312" s="60">
        <v>78.709999999999994</v>
      </c>
      <c r="Q312" s="85">
        <f t="shared" si="322"/>
        <v>78.710489999999993</v>
      </c>
      <c r="R312" s="85">
        <f t="shared" si="322"/>
        <v>78.710979999999992</v>
      </c>
      <c r="S312" s="85">
        <f t="shared" si="322"/>
        <v>78.711469999999991</v>
      </c>
      <c r="T312" s="84">
        <f t="shared" ref="T312:AC312" si="330">+S312-(0.711/100)</f>
        <v>78.704359999999994</v>
      </c>
      <c r="U312" s="84">
        <f t="shared" si="330"/>
        <v>78.697249999999997</v>
      </c>
      <c r="V312" s="84">
        <f t="shared" si="330"/>
        <v>78.69014</v>
      </c>
      <c r="W312" s="84">
        <f t="shared" si="330"/>
        <v>78.683030000000002</v>
      </c>
      <c r="X312" s="84">
        <f t="shared" si="330"/>
        <v>78.675920000000005</v>
      </c>
      <c r="Y312" s="84">
        <f t="shared" si="330"/>
        <v>78.668810000000008</v>
      </c>
      <c r="Z312" s="84">
        <f t="shared" si="330"/>
        <v>78.66170000000001</v>
      </c>
      <c r="AA312" s="84">
        <f t="shared" si="330"/>
        <v>78.654590000000013</v>
      </c>
      <c r="AB312" s="84">
        <f t="shared" si="330"/>
        <v>78.647480000000016</v>
      </c>
      <c r="AC312" s="84">
        <f t="shared" si="330"/>
        <v>78.640370000000019</v>
      </c>
    </row>
    <row r="313" spans="1:29" x14ac:dyDescent="0.25">
      <c r="A313" s="86" t="s">
        <v>27</v>
      </c>
      <c r="B313" s="54" t="s">
        <v>6</v>
      </c>
      <c r="C313" s="54"/>
      <c r="D313" s="60">
        <v>1.83</v>
      </c>
      <c r="E313" s="84">
        <f t="shared" si="318"/>
        <v>1.83</v>
      </c>
      <c r="F313" s="60">
        <v>1.83</v>
      </c>
      <c r="G313" s="84">
        <f t="shared" si="319"/>
        <v>1.83</v>
      </c>
      <c r="H313" s="60">
        <v>1.83</v>
      </c>
      <c r="I313" s="84">
        <f t="shared" si="320"/>
        <v>2.58</v>
      </c>
      <c r="J313" s="60">
        <v>3.33</v>
      </c>
      <c r="K313" s="84">
        <f t="shared" si="321"/>
        <v>4.6575000000000006</v>
      </c>
      <c r="L313" s="60">
        <v>5.9850000000000003</v>
      </c>
      <c r="M313" s="60">
        <v>6.53</v>
      </c>
      <c r="N313" s="60">
        <v>6.53</v>
      </c>
      <c r="O313" s="60">
        <v>13.23</v>
      </c>
      <c r="P313" s="60">
        <v>13.23</v>
      </c>
      <c r="Q313" s="85">
        <f t="shared" si="322"/>
        <v>13.23049</v>
      </c>
      <c r="R313" s="85">
        <f t="shared" si="322"/>
        <v>13.230979999999999</v>
      </c>
      <c r="S313" s="85">
        <f t="shared" si="322"/>
        <v>13.231469999999998</v>
      </c>
      <c r="T313" s="84">
        <f t="shared" ref="T313:AC313" si="331">+S313-(0.711/100)</f>
        <v>13.224359999999997</v>
      </c>
      <c r="U313" s="84">
        <f t="shared" si="331"/>
        <v>13.217249999999996</v>
      </c>
      <c r="V313" s="84">
        <f t="shared" si="331"/>
        <v>13.210139999999996</v>
      </c>
      <c r="W313" s="84">
        <f t="shared" si="331"/>
        <v>13.203029999999995</v>
      </c>
      <c r="X313" s="84">
        <f t="shared" si="331"/>
        <v>13.195919999999994</v>
      </c>
      <c r="Y313" s="84">
        <f t="shared" si="331"/>
        <v>13.188809999999993</v>
      </c>
      <c r="Z313" s="84">
        <f t="shared" si="331"/>
        <v>13.181699999999992</v>
      </c>
      <c r="AA313" s="84">
        <f t="shared" si="331"/>
        <v>13.174589999999991</v>
      </c>
      <c r="AB313" s="84">
        <f t="shared" si="331"/>
        <v>13.167479999999991</v>
      </c>
      <c r="AC313" s="84">
        <f t="shared" si="331"/>
        <v>13.16036999999999</v>
      </c>
    </row>
    <row r="314" spans="1:29" x14ac:dyDescent="0.25">
      <c r="A314" s="86" t="s">
        <v>28</v>
      </c>
      <c r="B314" s="54" t="s">
        <v>6</v>
      </c>
      <c r="C314" s="54"/>
      <c r="D314" s="60">
        <v>20.58</v>
      </c>
      <c r="E314" s="84">
        <f t="shared" si="318"/>
        <v>20.58</v>
      </c>
      <c r="F314" s="60">
        <v>20.58</v>
      </c>
      <c r="G314" s="84">
        <f t="shared" si="319"/>
        <v>20.58</v>
      </c>
      <c r="H314" s="60">
        <v>20.58</v>
      </c>
      <c r="I314" s="84">
        <f t="shared" si="320"/>
        <v>44.92</v>
      </c>
      <c r="J314" s="60">
        <v>69.260000000000005</v>
      </c>
      <c r="K314" s="84">
        <f t="shared" si="321"/>
        <v>122.875</v>
      </c>
      <c r="L314" s="60">
        <v>176.49</v>
      </c>
      <c r="M314" s="60">
        <v>53.46</v>
      </c>
      <c r="N314" s="60">
        <v>53.46</v>
      </c>
      <c r="O314" s="60">
        <v>10.98</v>
      </c>
      <c r="P314" s="60">
        <v>10.98</v>
      </c>
      <c r="Q314" s="85">
        <f t="shared" si="322"/>
        <v>10.98049</v>
      </c>
      <c r="R314" s="85">
        <f t="shared" si="322"/>
        <v>10.980979999999999</v>
      </c>
      <c r="S314" s="85">
        <f t="shared" si="322"/>
        <v>10.981469999999998</v>
      </c>
      <c r="T314" s="84">
        <f t="shared" ref="T314:AC314" si="332">+S314-(0.711/100)</f>
        <v>10.974359999999997</v>
      </c>
      <c r="U314" s="84">
        <f t="shared" si="332"/>
        <v>10.967249999999996</v>
      </c>
      <c r="V314" s="84">
        <f t="shared" si="332"/>
        <v>10.960139999999996</v>
      </c>
      <c r="W314" s="84">
        <f t="shared" si="332"/>
        <v>10.953029999999995</v>
      </c>
      <c r="X314" s="84">
        <f t="shared" si="332"/>
        <v>10.945919999999994</v>
      </c>
      <c r="Y314" s="84">
        <f t="shared" si="332"/>
        <v>10.938809999999993</v>
      </c>
      <c r="Z314" s="84">
        <f t="shared" si="332"/>
        <v>10.931699999999992</v>
      </c>
      <c r="AA314" s="84">
        <f t="shared" si="332"/>
        <v>10.924589999999991</v>
      </c>
      <c r="AB314" s="84">
        <f t="shared" si="332"/>
        <v>10.917479999999991</v>
      </c>
      <c r="AC314" s="84">
        <f t="shared" si="332"/>
        <v>10.91036999999999</v>
      </c>
    </row>
    <row r="315" spans="1:29" x14ac:dyDescent="0.25">
      <c r="A315" s="56" t="s">
        <v>19</v>
      </c>
      <c r="B315" s="54" t="s">
        <v>6</v>
      </c>
      <c r="C315" s="54"/>
      <c r="D315" s="60">
        <v>9692.42</v>
      </c>
      <c r="E315" s="84">
        <f t="shared" si="318"/>
        <v>9692.42</v>
      </c>
      <c r="F315" s="60">
        <v>9692.42</v>
      </c>
      <c r="G315" s="84">
        <f t="shared" si="319"/>
        <v>9692.42</v>
      </c>
      <c r="H315" s="60">
        <v>9692.42</v>
      </c>
      <c r="I315" s="84">
        <f t="shared" si="320"/>
        <v>6006.2650000000003</v>
      </c>
      <c r="J315" s="60">
        <v>2320.11</v>
      </c>
      <c r="K315" s="84">
        <f t="shared" si="321"/>
        <v>8269.5550000000003</v>
      </c>
      <c r="L315" s="60">
        <v>14219</v>
      </c>
      <c r="M315" s="60">
        <v>3174.03</v>
      </c>
      <c r="N315" s="60">
        <v>3174.03</v>
      </c>
      <c r="O315" s="60">
        <v>11997.5</v>
      </c>
      <c r="P315" s="60">
        <v>11997.5</v>
      </c>
      <c r="Q315" s="85">
        <f t="shared" si="322"/>
        <v>11997.50049</v>
      </c>
      <c r="R315" s="85">
        <f t="shared" si="322"/>
        <v>11997.500980000001</v>
      </c>
      <c r="S315" s="85">
        <f t="shared" si="322"/>
        <v>11997.501470000001</v>
      </c>
      <c r="T315" s="84">
        <f t="shared" ref="T315:AC315" si="333">+S315-(0.711/100)</f>
        <v>11997.494360000001</v>
      </c>
      <c r="U315" s="84">
        <f t="shared" si="333"/>
        <v>11997.48725</v>
      </c>
      <c r="V315" s="84">
        <f t="shared" si="333"/>
        <v>11997.48014</v>
      </c>
      <c r="W315" s="84">
        <f t="shared" si="333"/>
        <v>11997.473029999999</v>
      </c>
      <c r="X315" s="84">
        <f t="shared" si="333"/>
        <v>11997.465919999999</v>
      </c>
      <c r="Y315" s="84">
        <f t="shared" si="333"/>
        <v>11997.458809999998</v>
      </c>
      <c r="Z315" s="84">
        <f t="shared" si="333"/>
        <v>11997.451699999998</v>
      </c>
      <c r="AA315" s="84">
        <f t="shared" si="333"/>
        <v>11997.444589999997</v>
      </c>
      <c r="AB315" s="84">
        <f t="shared" si="333"/>
        <v>11997.437479999997</v>
      </c>
      <c r="AC315" s="84">
        <f t="shared" si="333"/>
        <v>11997.430369999996</v>
      </c>
    </row>
    <row r="316" spans="1:29" x14ac:dyDescent="0.25">
      <c r="A316" s="56" t="s">
        <v>4</v>
      </c>
      <c r="B316" s="54" t="s">
        <v>6</v>
      </c>
      <c r="C316" s="54"/>
      <c r="D316" s="60">
        <v>614.61</v>
      </c>
      <c r="E316" s="84">
        <f t="shared" si="318"/>
        <v>614.61</v>
      </c>
      <c r="F316" s="60">
        <v>614.61</v>
      </c>
      <c r="G316" s="84">
        <f t="shared" si="319"/>
        <v>614.61</v>
      </c>
      <c r="H316" s="60">
        <v>614.61</v>
      </c>
      <c r="I316" s="84">
        <f t="shared" si="320"/>
        <v>481.88499999999999</v>
      </c>
      <c r="J316" s="60">
        <v>349.16</v>
      </c>
      <c r="K316" s="84">
        <f t="shared" si="321"/>
        <v>314.82500000000005</v>
      </c>
      <c r="L316" s="60">
        <v>280.49</v>
      </c>
      <c r="M316" s="60">
        <v>230.99</v>
      </c>
      <c r="N316" s="60">
        <v>230.99</v>
      </c>
      <c r="O316" s="60">
        <v>1935.81</v>
      </c>
      <c r="P316" s="60">
        <v>1935.81</v>
      </c>
      <c r="Q316" s="85">
        <f t="shared" si="322"/>
        <v>1935.8104899999998</v>
      </c>
      <c r="R316" s="85">
        <f t="shared" si="322"/>
        <v>1935.8109799999997</v>
      </c>
      <c r="S316" s="85">
        <f t="shared" si="322"/>
        <v>1935.8114699999996</v>
      </c>
      <c r="T316" s="84">
        <f t="shared" ref="T316:AC316" si="334">+S316-(0.711/100)</f>
        <v>1935.8043599999996</v>
      </c>
      <c r="U316" s="84">
        <f t="shared" si="334"/>
        <v>1935.7972499999996</v>
      </c>
      <c r="V316" s="84">
        <f t="shared" si="334"/>
        <v>1935.7901399999996</v>
      </c>
      <c r="W316" s="84">
        <f t="shared" si="334"/>
        <v>1935.7830299999996</v>
      </c>
      <c r="X316" s="84">
        <f t="shared" si="334"/>
        <v>1935.7759199999996</v>
      </c>
      <c r="Y316" s="84">
        <f t="shared" si="334"/>
        <v>1935.7688099999996</v>
      </c>
      <c r="Z316" s="84">
        <f t="shared" si="334"/>
        <v>1935.7616999999996</v>
      </c>
      <c r="AA316" s="84">
        <f t="shared" si="334"/>
        <v>1935.7545899999996</v>
      </c>
      <c r="AB316" s="84">
        <f t="shared" si="334"/>
        <v>1935.7474799999995</v>
      </c>
      <c r="AC316" s="84">
        <f t="shared" si="334"/>
        <v>1935.7403699999995</v>
      </c>
    </row>
    <row r="317" spans="1:29" x14ac:dyDescent="0.25">
      <c r="A317" s="56" t="s">
        <v>5</v>
      </c>
      <c r="B317" s="54" t="s">
        <v>6</v>
      </c>
      <c r="C317" s="54"/>
      <c r="D317" s="60">
        <v>275.76</v>
      </c>
      <c r="E317" s="84">
        <f t="shared" si="318"/>
        <v>275.76</v>
      </c>
      <c r="F317" s="60">
        <v>275.76</v>
      </c>
      <c r="G317" s="84">
        <f t="shared" si="319"/>
        <v>275.76</v>
      </c>
      <c r="H317" s="60">
        <v>275.76</v>
      </c>
      <c r="I317" s="84">
        <f t="shared" si="320"/>
        <v>261.45</v>
      </c>
      <c r="J317" s="60">
        <v>247.14</v>
      </c>
      <c r="K317" s="84">
        <f t="shared" si="321"/>
        <v>345.35500000000002</v>
      </c>
      <c r="L317" s="60">
        <v>443.57</v>
      </c>
      <c r="M317" s="60">
        <v>95151.11</v>
      </c>
      <c r="N317" s="60">
        <v>95151.11</v>
      </c>
      <c r="O317" s="60">
        <v>494.06</v>
      </c>
      <c r="P317" s="60">
        <v>494.06</v>
      </c>
      <c r="Q317" s="85">
        <f t="shared" si="322"/>
        <v>494.06049000000002</v>
      </c>
      <c r="R317" s="85">
        <f t="shared" si="322"/>
        <v>494.06098000000003</v>
      </c>
      <c r="S317" s="85">
        <f t="shared" si="322"/>
        <v>494.06147000000004</v>
      </c>
      <c r="T317" s="84">
        <f t="shared" ref="T317:AC317" si="335">+S317-(0.711/100)</f>
        <v>494.05436000000003</v>
      </c>
      <c r="U317" s="84">
        <f t="shared" si="335"/>
        <v>494.04725000000002</v>
      </c>
      <c r="V317" s="84">
        <f t="shared" si="335"/>
        <v>494.04014000000001</v>
      </c>
      <c r="W317" s="84">
        <f t="shared" si="335"/>
        <v>494.03303</v>
      </c>
      <c r="X317" s="84">
        <f t="shared" si="335"/>
        <v>494.02591999999999</v>
      </c>
      <c r="Y317" s="84">
        <f t="shared" si="335"/>
        <v>494.01880999999997</v>
      </c>
      <c r="Z317" s="84">
        <f t="shared" si="335"/>
        <v>494.01169999999996</v>
      </c>
      <c r="AA317" s="84">
        <f t="shared" si="335"/>
        <v>494.00458999999995</v>
      </c>
      <c r="AB317" s="84">
        <f t="shared" si="335"/>
        <v>493.99747999999994</v>
      </c>
      <c r="AC317" s="84">
        <f t="shared" si="335"/>
        <v>493.99036999999993</v>
      </c>
    </row>
    <row r="318" spans="1:29" x14ac:dyDescent="0.25">
      <c r="A318" s="56" t="s">
        <v>29</v>
      </c>
      <c r="B318" s="54" t="s">
        <v>6</v>
      </c>
      <c r="C318" s="54"/>
      <c r="D318" s="60">
        <v>223.995</v>
      </c>
      <c r="E318" s="84">
        <f t="shared" si="318"/>
        <v>223.995</v>
      </c>
      <c r="F318" s="60">
        <v>223.995</v>
      </c>
      <c r="G318" s="84">
        <f t="shared" si="319"/>
        <v>223.995</v>
      </c>
      <c r="H318" s="60">
        <v>223.995</v>
      </c>
      <c r="I318" s="84">
        <f t="shared" si="320"/>
        <v>174.42750000000001</v>
      </c>
      <c r="J318" s="60">
        <v>124.86</v>
      </c>
      <c r="K318" s="84">
        <f t="shared" si="321"/>
        <v>436.92</v>
      </c>
      <c r="L318" s="60">
        <v>748.98</v>
      </c>
      <c r="M318" s="60">
        <v>871.12</v>
      </c>
      <c r="N318" s="60">
        <v>871.12</v>
      </c>
      <c r="O318" s="60">
        <v>2832.75</v>
      </c>
      <c r="P318" s="60">
        <v>2832.75</v>
      </c>
      <c r="Q318" s="85">
        <f t="shared" si="322"/>
        <v>2832.7504899999999</v>
      </c>
      <c r="R318" s="85">
        <f t="shared" si="322"/>
        <v>2832.7509799999998</v>
      </c>
      <c r="S318" s="85">
        <f t="shared" si="322"/>
        <v>2832.7514699999997</v>
      </c>
      <c r="T318" s="84">
        <f t="shared" ref="T318:AC318" si="336">+S318-(0.711/100)</f>
        <v>2832.7443599999997</v>
      </c>
      <c r="U318" s="84">
        <f t="shared" si="336"/>
        <v>2832.7372499999997</v>
      </c>
      <c r="V318" s="84">
        <f t="shared" si="336"/>
        <v>2832.7301399999997</v>
      </c>
      <c r="W318" s="84">
        <f t="shared" si="336"/>
        <v>2832.7230299999997</v>
      </c>
      <c r="X318" s="84">
        <f t="shared" si="336"/>
        <v>2832.7159199999996</v>
      </c>
      <c r="Y318" s="84">
        <f t="shared" si="336"/>
        <v>2832.7088099999996</v>
      </c>
      <c r="Z318" s="84">
        <f t="shared" si="336"/>
        <v>2832.7016999999996</v>
      </c>
      <c r="AA318" s="84">
        <f t="shared" si="336"/>
        <v>2832.6945899999996</v>
      </c>
      <c r="AB318" s="84">
        <f t="shared" si="336"/>
        <v>2832.6874799999996</v>
      </c>
      <c r="AC318" s="84">
        <f t="shared" si="336"/>
        <v>2832.6803699999996</v>
      </c>
    </row>
    <row r="320" spans="1:29" x14ac:dyDescent="0.25">
      <c r="A320" s="86" t="s">
        <v>18</v>
      </c>
      <c r="B320" s="54" t="s">
        <v>29</v>
      </c>
      <c r="C320" s="54"/>
      <c r="D320" s="60">
        <v>0.42</v>
      </c>
      <c r="E320" s="84">
        <f t="shared" ref="E320:E333" si="337">+(D320+F320)/2</f>
        <v>0.42</v>
      </c>
      <c r="F320" s="60">
        <v>0.42</v>
      </c>
      <c r="G320" s="84">
        <f t="shared" ref="G320:G333" si="338">+(F320+H320)/2</f>
        <v>0.42</v>
      </c>
      <c r="H320" s="60">
        <v>0.42</v>
      </c>
      <c r="I320" s="84">
        <f t="shared" ref="I320:I333" si="339">+(H320+J320)/2</f>
        <v>18.772500000000001</v>
      </c>
      <c r="J320" s="60">
        <v>37.125</v>
      </c>
      <c r="K320" s="84">
        <f t="shared" ref="K320:K333" si="340">+(J320+L320)/2</f>
        <v>28.372500000000002</v>
      </c>
      <c r="L320" s="60">
        <v>19.62</v>
      </c>
      <c r="M320" s="60">
        <v>8.3699999999999992</v>
      </c>
      <c r="N320" s="60">
        <v>8.3699999999999992</v>
      </c>
      <c r="O320" s="60">
        <v>0.72</v>
      </c>
      <c r="P320" s="60">
        <v>0.72</v>
      </c>
      <c r="Q320" s="85">
        <f t="shared" ref="Q320:S333" si="341">+P320+(0.049/100)</f>
        <v>0.72048999999999996</v>
      </c>
      <c r="R320" s="85">
        <f t="shared" si="341"/>
        <v>0.72097999999999995</v>
      </c>
      <c r="S320" s="85">
        <f t="shared" si="341"/>
        <v>0.72146999999999994</v>
      </c>
      <c r="T320" s="84">
        <f t="shared" ref="T320:AC320" si="342">+S320-(0.711/100)</f>
        <v>0.71435999999999999</v>
      </c>
      <c r="U320" s="84">
        <f t="shared" si="342"/>
        <v>0.70725000000000005</v>
      </c>
      <c r="V320" s="84">
        <f t="shared" si="342"/>
        <v>0.7001400000000001</v>
      </c>
      <c r="W320" s="84">
        <f t="shared" si="342"/>
        <v>0.69303000000000015</v>
      </c>
      <c r="X320" s="84">
        <f t="shared" si="342"/>
        <v>0.6859200000000002</v>
      </c>
      <c r="Y320" s="84">
        <f t="shared" si="342"/>
        <v>0.67881000000000025</v>
      </c>
      <c r="Z320" s="84">
        <f t="shared" si="342"/>
        <v>0.6717000000000003</v>
      </c>
      <c r="AA320" s="84">
        <f t="shared" si="342"/>
        <v>0.66459000000000035</v>
      </c>
      <c r="AB320" s="84">
        <f t="shared" si="342"/>
        <v>0.6574800000000004</v>
      </c>
      <c r="AC320" s="84">
        <f t="shared" si="342"/>
        <v>0.65037000000000045</v>
      </c>
    </row>
    <row r="321" spans="1:29" x14ac:dyDescent="0.25">
      <c r="A321" s="86" t="s">
        <v>20</v>
      </c>
      <c r="B321" s="54" t="s">
        <v>29</v>
      </c>
      <c r="C321" s="54"/>
      <c r="D321" s="60">
        <v>497.68499999999995</v>
      </c>
      <c r="E321" s="84">
        <f t="shared" si="337"/>
        <v>497.68499999999995</v>
      </c>
      <c r="F321" s="60">
        <v>497.68499999999995</v>
      </c>
      <c r="G321" s="84">
        <f t="shared" si="338"/>
        <v>497.68499999999995</v>
      </c>
      <c r="H321" s="60">
        <v>497.68499999999995</v>
      </c>
      <c r="I321" s="84">
        <f t="shared" si="339"/>
        <v>486.75749999999994</v>
      </c>
      <c r="J321" s="60">
        <v>475.83</v>
      </c>
      <c r="K321" s="84">
        <f t="shared" si="340"/>
        <v>299.45249999999999</v>
      </c>
      <c r="L321" s="60">
        <v>123.075</v>
      </c>
      <c r="M321" s="60">
        <v>87.35</v>
      </c>
      <c r="N321" s="60">
        <v>87.35</v>
      </c>
      <c r="O321" s="60">
        <v>13.32</v>
      </c>
      <c r="P321" s="60">
        <v>13.32</v>
      </c>
      <c r="Q321" s="85">
        <f t="shared" si="341"/>
        <v>13.320489999999999</v>
      </c>
      <c r="R321" s="85">
        <f t="shared" si="341"/>
        <v>13.320979999999999</v>
      </c>
      <c r="S321" s="85">
        <f t="shared" si="341"/>
        <v>13.321469999999998</v>
      </c>
      <c r="T321" s="84">
        <f t="shared" ref="T321:AC321" si="343">+S321-(0.711/100)</f>
        <v>13.314359999999997</v>
      </c>
      <c r="U321" s="84">
        <f t="shared" si="343"/>
        <v>13.307249999999996</v>
      </c>
      <c r="V321" s="84">
        <f t="shared" si="343"/>
        <v>13.300139999999995</v>
      </c>
      <c r="W321" s="84">
        <f t="shared" si="343"/>
        <v>13.293029999999995</v>
      </c>
      <c r="X321" s="84">
        <f t="shared" si="343"/>
        <v>13.285919999999994</v>
      </c>
      <c r="Y321" s="84">
        <f t="shared" si="343"/>
        <v>13.278809999999993</v>
      </c>
      <c r="Z321" s="84">
        <f t="shared" si="343"/>
        <v>13.271699999999992</v>
      </c>
      <c r="AA321" s="84">
        <f t="shared" si="343"/>
        <v>13.264589999999991</v>
      </c>
      <c r="AB321" s="84">
        <f t="shared" si="343"/>
        <v>13.25747999999999</v>
      </c>
      <c r="AC321" s="84">
        <f t="shared" si="343"/>
        <v>13.25036999999999</v>
      </c>
    </row>
    <row r="322" spans="1:29" x14ac:dyDescent="0.25">
      <c r="A322" s="86" t="s">
        <v>21</v>
      </c>
      <c r="B322" s="54" t="s">
        <v>29</v>
      </c>
      <c r="C322" s="54"/>
      <c r="D322" s="60">
        <v>52.04999999999999</v>
      </c>
      <c r="E322" s="84">
        <f t="shared" si="337"/>
        <v>52.04999999999999</v>
      </c>
      <c r="F322" s="60">
        <v>52.04999999999999</v>
      </c>
      <c r="G322" s="84">
        <f t="shared" si="338"/>
        <v>52.04999999999999</v>
      </c>
      <c r="H322" s="60">
        <v>52.04999999999999</v>
      </c>
      <c r="I322" s="84">
        <f t="shared" si="339"/>
        <v>244.83750000000001</v>
      </c>
      <c r="J322" s="60">
        <v>437.625</v>
      </c>
      <c r="K322" s="84">
        <f t="shared" si="340"/>
        <v>332.03250000000003</v>
      </c>
      <c r="L322" s="60">
        <v>226.44</v>
      </c>
      <c r="M322" s="60">
        <v>220.41</v>
      </c>
      <c r="N322" s="60">
        <v>220.41</v>
      </c>
      <c r="O322" s="60">
        <v>38.299999999999997</v>
      </c>
      <c r="P322" s="60">
        <v>38.299999999999997</v>
      </c>
      <c r="Q322" s="85">
        <f t="shared" si="341"/>
        <v>38.300489999999996</v>
      </c>
      <c r="R322" s="85">
        <f t="shared" si="341"/>
        <v>38.300979999999996</v>
      </c>
      <c r="S322" s="85">
        <f t="shared" si="341"/>
        <v>38.301469999999995</v>
      </c>
      <c r="T322" s="84">
        <f t="shared" ref="T322:AC322" si="344">+S322-(0.711/100)</f>
        <v>38.294359999999998</v>
      </c>
      <c r="U322" s="84">
        <f t="shared" si="344"/>
        <v>38.28725</v>
      </c>
      <c r="V322" s="84">
        <f t="shared" si="344"/>
        <v>38.280140000000003</v>
      </c>
      <c r="W322" s="84">
        <f t="shared" si="344"/>
        <v>38.273030000000006</v>
      </c>
      <c r="X322" s="84">
        <f t="shared" si="344"/>
        <v>38.265920000000008</v>
      </c>
      <c r="Y322" s="84">
        <f t="shared" si="344"/>
        <v>38.258810000000011</v>
      </c>
      <c r="Z322" s="84">
        <f t="shared" si="344"/>
        <v>38.251700000000014</v>
      </c>
      <c r="AA322" s="84">
        <f t="shared" si="344"/>
        <v>38.244590000000017</v>
      </c>
      <c r="AB322" s="84">
        <f t="shared" si="344"/>
        <v>38.237480000000019</v>
      </c>
      <c r="AC322" s="84">
        <f t="shared" si="344"/>
        <v>38.230370000000022</v>
      </c>
    </row>
    <row r="323" spans="1:29" x14ac:dyDescent="0.25">
      <c r="A323" s="86" t="s">
        <v>22</v>
      </c>
      <c r="B323" s="54" t="s">
        <v>29</v>
      </c>
      <c r="C323" s="54"/>
      <c r="D323" s="60">
        <v>22.185000000000002</v>
      </c>
      <c r="E323" s="84">
        <f t="shared" si="337"/>
        <v>22.185000000000002</v>
      </c>
      <c r="F323" s="60">
        <v>22.185000000000002</v>
      </c>
      <c r="G323" s="84">
        <f t="shared" si="338"/>
        <v>22.185000000000002</v>
      </c>
      <c r="H323" s="60">
        <v>22.185000000000002</v>
      </c>
      <c r="I323" s="84">
        <f t="shared" si="339"/>
        <v>63.247500000000002</v>
      </c>
      <c r="J323" s="60">
        <v>104.31</v>
      </c>
      <c r="K323" s="84">
        <f t="shared" si="340"/>
        <v>125.86499999999999</v>
      </c>
      <c r="L323" s="60">
        <v>147.41999999999999</v>
      </c>
      <c r="M323" s="60">
        <v>49.95</v>
      </c>
      <c r="N323" s="60">
        <v>49.95</v>
      </c>
      <c r="O323" s="60">
        <v>62.06</v>
      </c>
      <c r="P323" s="60">
        <v>62.06</v>
      </c>
      <c r="Q323" s="85">
        <f t="shared" si="341"/>
        <v>62.060490000000001</v>
      </c>
      <c r="R323" s="85">
        <f t="shared" si="341"/>
        <v>62.060980000000001</v>
      </c>
      <c r="S323" s="85">
        <f t="shared" si="341"/>
        <v>62.06147</v>
      </c>
      <c r="T323" s="84">
        <f t="shared" ref="T323:AC323" si="345">+S323-(0.711/100)</f>
        <v>62.054360000000003</v>
      </c>
      <c r="U323" s="84">
        <f t="shared" si="345"/>
        <v>62.047250000000005</v>
      </c>
      <c r="V323" s="84">
        <f t="shared" si="345"/>
        <v>62.040140000000008</v>
      </c>
      <c r="W323" s="84">
        <f t="shared" si="345"/>
        <v>62.033030000000011</v>
      </c>
      <c r="X323" s="84">
        <f t="shared" si="345"/>
        <v>62.025920000000013</v>
      </c>
      <c r="Y323" s="84">
        <f t="shared" si="345"/>
        <v>62.018810000000016</v>
      </c>
      <c r="Z323" s="84">
        <f t="shared" si="345"/>
        <v>62.011700000000019</v>
      </c>
      <c r="AA323" s="84">
        <f t="shared" si="345"/>
        <v>62.004590000000022</v>
      </c>
      <c r="AB323" s="84">
        <f t="shared" si="345"/>
        <v>61.997480000000024</v>
      </c>
      <c r="AC323" s="84">
        <f t="shared" si="345"/>
        <v>61.990370000000027</v>
      </c>
    </row>
    <row r="324" spans="1:29" x14ac:dyDescent="0.25">
      <c r="A324" s="86" t="s">
        <v>23</v>
      </c>
      <c r="B324" s="54" t="s">
        <v>29</v>
      </c>
      <c r="C324" s="54"/>
      <c r="D324" s="60">
        <v>76.410000000000011</v>
      </c>
      <c r="E324" s="84">
        <f t="shared" si="337"/>
        <v>76.410000000000011</v>
      </c>
      <c r="F324" s="60">
        <v>76.410000000000011</v>
      </c>
      <c r="G324" s="84">
        <f t="shared" si="338"/>
        <v>76.410000000000011</v>
      </c>
      <c r="H324" s="60">
        <v>76.410000000000011</v>
      </c>
      <c r="I324" s="84">
        <f t="shared" si="339"/>
        <v>147.91500000000002</v>
      </c>
      <c r="J324" s="60">
        <v>219.42000000000002</v>
      </c>
      <c r="K324" s="84">
        <f t="shared" si="340"/>
        <v>177.32249999999999</v>
      </c>
      <c r="L324" s="60">
        <v>135.22499999999999</v>
      </c>
      <c r="M324" s="60">
        <v>102.15</v>
      </c>
      <c r="N324" s="60">
        <v>102.15</v>
      </c>
      <c r="O324" s="60">
        <v>7.34</v>
      </c>
      <c r="P324" s="60">
        <v>7.34</v>
      </c>
      <c r="Q324" s="85">
        <f t="shared" si="341"/>
        <v>7.34049</v>
      </c>
      <c r="R324" s="85">
        <f t="shared" si="341"/>
        <v>7.3409800000000001</v>
      </c>
      <c r="S324" s="85">
        <f t="shared" si="341"/>
        <v>7.3414700000000002</v>
      </c>
      <c r="T324" s="84">
        <f t="shared" ref="T324:AC324" si="346">+S324-(0.711/100)</f>
        <v>7.3343600000000002</v>
      </c>
      <c r="U324" s="84">
        <f t="shared" si="346"/>
        <v>7.3272500000000003</v>
      </c>
      <c r="V324" s="84">
        <f t="shared" si="346"/>
        <v>7.3201400000000003</v>
      </c>
      <c r="W324" s="84">
        <f t="shared" si="346"/>
        <v>7.3130300000000004</v>
      </c>
      <c r="X324" s="84">
        <f t="shared" si="346"/>
        <v>7.3059200000000004</v>
      </c>
      <c r="Y324" s="84">
        <f t="shared" si="346"/>
        <v>7.2988100000000005</v>
      </c>
      <c r="Z324" s="84">
        <f t="shared" si="346"/>
        <v>7.2917000000000005</v>
      </c>
      <c r="AA324" s="84">
        <f t="shared" si="346"/>
        <v>7.2845900000000006</v>
      </c>
      <c r="AB324" s="84">
        <f t="shared" si="346"/>
        <v>7.2774800000000006</v>
      </c>
      <c r="AC324" s="84">
        <f t="shared" si="346"/>
        <v>7.2703700000000007</v>
      </c>
    </row>
    <row r="325" spans="1:29" ht="22.5" x14ac:dyDescent="0.25">
      <c r="A325" s="86" t="s">
        <v>24</v>
      </c>
      <c r="B325" s="54" t="s">
        <v>29</v>
      </c>
      <c r="C325" s="54"/>
      <c r="D325" s="60">
        <v>64.304999999999993</v>
      </c>
      <c r="E325" s="84">
        <f t="shared" si="337"/>
        <v>64.304999999999993</v>
      </c>
      <c r="F325" s="60">
        <v>64.304999999999993</v>
      </c>
      <c r="G325" s="84">
        <f t="shared" si="338"/>
        <v>64.304999999999993</v>
      </c>
      <c r="H325" s="60">
        <v>64.304999999999993</v>
      </c>
      <c r="I325" s="84">
        <f t="shared" si="339"/>
        <v>285.27749999999997</v>
      </c>
      <c r="J325" s="60">
        <v>506.25</v>
      </c>
      <c r="K325" s="84">
        <f t="shared" si="340"/>
        <v>589.18499999999995</v>
      </c>
      <c r="L325" s="60">
        <v>672.11999999999989</v>
      </c>
      <c r="M325" s="60">
        <v>582.98</v>
      </c>
      <c r="N325" s="60">
        <v>582.98</v>
      </c>
      <c r="O325" s="60">
        <v>170.37</v>
      </c>
      <c r="P325" s="60">
        <v>170.37</v>
      </c>
      <c r="Q325" s="85">
        <f t="shared" si="341"/>
        <v>170.37049000000002</v>
      </c>
      <c r="R325" s="85">
        <f t="shared" si="341"/>
        <v>170.37098000000003</v>
      </c>
      <c r="S325" s="85">
        <f t="shared" si="341"/>
        <v>170.37147000000004</v>
      </c>
      <c r="T325" s="84">
        <f t="shared" ref="T325:AC325" si="347">+S325-(0.711/100)</f>
        <v>170.36436000000003</v>
      </c>
      <c r="U325" s="84">
        <f t="shared" si="347"/>
        <v>170.35725000000002</v>
      </c>
      <c r="V325" s="84">
        <f t="shared" si="347"/>
        <v>170.35014000000001</v>
      </c>
      <c r="W325" s="84">
        <f t="shared" si="347"/>
        <v>170.34303</v>
      </c>
      <c r="X325" s="84">
        <f t="shared" si="347"/>
        <v>170.33591999999999</v>
      </c>
      <c r="Y325" s="84">
        <f t="shared" si="347"/>
        <v>170.32880999999998</v>
      </c>
      <c r="Z325" s="84">
        <f t="shared" si="347"/>
        <v>170.32169999999996</v>
      </c>
      <c r="AA325" s="84">
        <f t="shared" si="347"/>
        <v>170.31458999999995</v>
      </c>
      <c r="AB325" s="84">
        <f t="shared" si="347"/>
        <v>170.30747999999994</v>
      </c>
      <c r="AC325" s="84">
        <f t="shared" si="347"/>
        <v>170.30036999999993</v>
      </c>
    </row>
    <row r="326" spans="1:29" x14ac:dyDescent="0.25">
      <c r="A326" s="86" t="s">
        <v>25</v>
      </c>
      <c r="B326" s="54" t="s">
        <v>29</v>
      </c>
      <c r="C326" s="54"/>
      <c r="D326" s="60">
        <v>17.655000000000001</v>
      </c>
      <c r="E326" s="84">
        <f t="shared" si="337"/>
        <v>17.655000000000001</v>
      </c>
      <c r="F326" s="60">
        <v>17.655000000000001</v>
      </c>
      <c r="G326" s="84">
        <f t="shared" si="338"/>
        <v>17.655000000000001</v>
      </c>
      <c r="H326" s="60">
        <v>17.655000000000001</v>
      </c>
      <c r="I326" s="84">
        <f t="shared" si="339"/>
        <v>32.362499999999997</v>
      </c>
      <c r="J326" s="60">
        <v>47.07</v>
      </c>
      <c r="K326" s="84">
        <f t="shared" si="340"/>
        <v>62.617499999999993</v>
      </c>
      <c r="L326" s="60">
        <v>78.164999999999978</v>
      </c>
      <c r="M326" s="60">
        <v>73.22</v>
      </c>
      <c r="N326" s="60">
        <v>73.22</v>
      </c>
      <c r="O326" s="60">
        <v>3.38</v>
      </c>
      <c r="P326" s="60">
        <v>3.38</v>
      </c>
      <c r="Q326" s="85">
        <f t="shared" si="341"/>
        <v>3.38049</v>
      </c>
      <c r="R326" s="85">
        <f t="shared" si="341"/>
        <v>3.3809800000000001</v>
      </c>
      <c r="S326" s="85">
        <f t="shared" si="341"/>
        <v>3.3814700000000002</v>
      </c>
      <c r="T326" s="84">
        <f t="shared" ref="T326:AC326" si="348">+S326-(0.711/100)</f>
        <v>3.3743600000000002</v>
      </c>
      <c r="U326" s="84">
        <f t="shared" si="348"/>
        <v>3.3672500000000003</v>
      </c>
      <c r="V326" s="84">
        <f t="shared" si="348"/>
        <v>3.3601400000000003</v>
      </c>
      <c r="W326" s="84">
        <f t="shared" si="348"/>
        <v>3.3530300000000004</v>
      </c>
      <c r="X326" s="84">
        <f t="shared" si="348"/>
        <v>3.3459200000000004</v>
      </c>
      <c r="Y326" s="84">
        <f t="shared" si="348"/>
        <v>3.3388100000000005</v>
      </c>
      <c r="Z326" s="84">
        <f t="shared" si="348"/>
        <v>3.3317000000000005</v>
      </c>
      <c r="AA326" s="84">
        <f t="shared" si="348"/>
        <v>3.3245900000000006</v>
      </c>
      <c r="AB326" s="84">
        <f t="shared" si="348"/>
        <v>3.3174800000000007</v>
      </c>
      <c r="AC326" s="84">
        <f t="shared" si="348"/>
        <v>3.3103700000000007</v>
      </c>
    </row>
    <row r="327" spans="1:29" x14ac:dyDescent="0.25">
      <c r="A327" s="86" t="s">
        <v>26</v>
      </c>
      <c r="B327" s="54" t="s">
        <v>29</v>
      </c>
      <c r="C327" s="54"/>
      <c r="D327" s="60">
        <v>71.250000000000014</v>
      </c>
      <c r="E327" s="84">
        <f t="shared" si="337"/>
        <v>71.250000000000014</v>
      </c>
      <c r="F327" s="60">
        <v>71.250000000000014</v>
      </c>
      <c r="G327" s="84">
        <f t="shared" si="338"/>
        <v>71.250000000000014</v>
      </c>
      <c r="H327" s="60">
        <v>71.250000000000014</v>
      </c>
      <c r="I327" s="84">
        <f t="shared" si="339"/>
        <v>133.34249999999997</v>
      </c>
      <c r="J327" s="60">
        <v>195.43499999999995</v>
      </c>
      <c r="K327" s="84">
        <f t="shared" si="340"/>
        <v>191.65499999999997</v>
      </c>
      <c r="L327" s="60">
        <v>187.87500000000003</v>
      </c>
      <c r="M327" s="60">
        <v>191.3</v>
      </c>
      <c r="N327" s="60">
        <v>191.3</v>
      </c>
      <c r="O327" s="60">
        <v>19.940000000000001</v>
      </c>
      <c r="P327" s="60">
        <v>19.940000000000001</v>
      </c>
      <c r="Q327" s="85">
        <f t="shared" si="341"/>
        <v>19.94049</v>
      </c>
      <c r="R327" s="85">
        <f t="shared" si="341"/>
        <v>19.94098</v>
      </c>
      <c r="S327" s="85">
        <f t="shared" si="341"/>
        <v>19.941469999999999</v>
      </c>
      <c r="T327" s="84">
        <f t="shared" ref="T327:AC327" si="349">+S327-(0.711/100)</f>
        <v>19.934359999999998</v>
      </c>
      <c r="U327" s="84">
        <f t="shared" si="349"/>
        <v>19.927249999999997</v>
      </c>
      <c r="V327" s="84">
        <f t="shared" si="349"/>
        <v>19.920139999999996</v>
      </c>
      <c r="W327" s="84">
        <f t="shared" si="349"/>
        <v>19.913029999999996</v>
      </c>
      <c r="X327" s="84">
        <f t="shared" si="349"/>
        <v>19.905919999999995</v>
      </c>
      <c r="Y327" s="84">
        <f t="shared" si="349"/>
        <v>19.898809999999994</v>
      </c>
      <c r="Z327" s="84">
        <f t="shared" si="349"/>
        <v>19.891699999999993</v>
      </c>
      <c r="AA327" s="84">
        <f t="shared" si="349"/>
        <v>19.884589999999992</v>
      </c>
      <c r="AB327" s="84">
        <f t="shared" si="349"/>
        <v>19.877479999999991</v>
      </c>
      <c r="AC327" s="84">
        <f t="shared" si="349"/>
        <v>19.870369999999991</v>
      </c>
    </row>
    <row r="328" spans="1:29" x14ac:dyDescent="0.25">
      <c r="A328" s="86" t="s">
        <v>27</v>
      </c>
      <c r="B328" s="54" t="s">
        <v>29</v>
      </c>
      <c r="C328" s="54"/>
      <c r="D328" s="60">
        <v>1.6050000000000002</v>
      </c>
      <c r="E328" s="84">
        <f t="shared" si="337"/>
        <v>1.6050000000000002</v>
      </c>
      <c r="F328" s="60">
        <v>1.6050000000000002</v>
      </c>
      <c r="G328" s="84">
        <f t="shared" si="338"/>
        <v>1.6050000000000002</v>
      </c>
      <c r="H328" s="60">
        <v>1.6050000000000002</v>
      </c>
      <c r="I328" s="84">
        <f t="shared" si="339"/>
        <v>6.7424999999999997</v>
      </c>
      <c r="J328" s="60">
        <v>11.879999999999999</v>
      </c>
      <c r="K328" s="84">
        <f t="shared" si="340"/>
        <v>9.3149999999999995</v>
      </c>
      <c r="L328" s="60">
        <v>6.75</v>
      </c>
      <c r="M328" s="60">
        <v>8.5500000000000007</v>
      </c>
      <c r="N328" s="60">
        <v>8.5500000000000007</v>
      </c>
      <c r="O328" s="60">
        <v>9.6300000000000008</v>
      </c>
      <c r="P328" s="60">
        <v>9.6300000000000008</v>
      </c>
      <c r="Q328" s="85">
        <f t="shared" si="341"/>
        <v>9.63049</v>
      </c>
      <c r="R328" s="85">
        <f t="shared" si="341"/>
        <v>9.6309799999999992</v>
      </c>
      <c r="S328" s="85">
        <f t="shared" si="341"/>
        <v>9.6314699999999984</v>
      </c>
      <c r="T328" s="84">
        <f t="shared" ref="T328:AC328" si="350">+S328-(0.711/100)</f>
        <v>9.6243599999999976</v>
      </c>
      <c r="U328" s="84">
        <f t="shared" si="350"/>
        <v>9.6172499999999967</v>
      </c>
      <c r="V328" s="84">
        <f t="shared" si="350"/>
        <v>9.6101399999999959</v>
      </c>
      <c r="W328" s="84">
        <f t="shared" si="350"/>
        <v>9.6030299999999951</v>
      </c>
      <c r="X328" s="84">
        <f t="shared" si="350"/>
        <v>9.5959199999999942</v>
      </c>
      <c r="Y328" s="84">
        <f t="shared" si="350"/>
        <v>9.5888099999999934</v>
      </c>
      <c r="Z328" s="84">
        <f t="shared" si="350"/>
        <v>9.5816999999999926</v>
      </c>
      <c r="AA328" s="84">
        <f t="shared" si="350"/>
        <v>9.5745899999999917</v>
      </c>
      <c r="AB328" s="84">
        <f t="shared" si="350"/>
        <v>9.5674799999999909</v>
      </c>
      <c r="AC328" s="84">
        <f t="shared" si="350"/>
        <v>9.56036999999999</v>
      </c>
    </row>
    <row r="329" spans="1:29" x14ac:dyDescent="0.25">
      <c r="A329" s="86" t="s">
        <v>28</v>
      </c>
      <c r="B329" s="54" t="s">
        <v>29</v>
      </c>
      <c r="C329" s="54"/>
      <c r="D329" s="60">
        <v>34.950000000000003</v>
      </c>
      <c r="E329" s="84">
        <f t="shared" si="337"/>
        <v>34.950000000000003</v>
      </c>
      <c r="F329" s="60">
        <v>34.950000000000003</v>
      </c>
      <c r="G329" s="84">
        <f t="shared" si="338"/>
        <v>34.950000000000003</v>
      </c>
      <c r="H329" s="60">
        <v>34.950000000000003</v>
      </c>
      <c r="I329" s="84">
        <f t="shared" si="339"/>
        <v>105.4725</v>
      </c>
      <c r="J329" s="60">
        <v>175.995</v>
      </c>
      <c r="K329" s="84">
        <f t="shared" si="340"/>
        <v>180.22750000000002</v>
      </c>
      <c r="L329" s="60">
        <v>184.46</v>
      </c>
      <c r="M329" s="60">
        <v>7.38</v>
      </c>
      <c r="N329" s="60">
        <v>7.38</v>
      </c>
      <c r="O329" s="60">
        <v>10.35</v>
      </c>
      <c r="P329" s="60">
        <v>10.35</v>
      </c>
      <c r="Q329" s="85">
        <f t="shared" si="341"/>
        <v>10.350489999999999</v>
      </c>
      <c r="R329" s="85">
        <f t="shared" si="341"/>
        <v>10.350979999999998</v>
      </c>
      <c r="S329" s="85">
        <f t="shared" si="341"/>
        <v>10.351469999999997</v>
      </c>
      <c r="T329" s="84">
        <f t="shared" ref="T329:AC329" si="351">+S329-(0.711/100)</f>
        <v>10.344359999999996</v>
      </c>
      <c r="U329" s="84">
        <f t="shared" si="351"/>
        <v>10.337249999999996</v>
      </c>
      <c r="V329" s="84">
        <f t="shared" si="351"/>
        <v>10.330139999999995</v>
      </c>
      <c r="W329" s="84">
        <f t="shared" si="351"/>
        <v>10.323029999999994</v>
      </c>
      <c r="X329" s="84">
        <f t="shared" si="351"/>
        <v>10.315919999999993</v>
      </c>
      <c r="Y329" s="84">
        <f t="shared" si="351"/>
        <v>10.308809999999992</v>
      </c>
      <c r="Z329" s="84">
        <f t="shared" si="351"/>
        <v>10.301699999999991</v>
      </c>
      <c r="AA329" s="84">
        <f t="shared" si="351"/>
        <v>10.294589999999991</v>
      </c>
      <c r="AB329" s="84">
        <f t="shared" si="351"/>
        <v>10.28747999999999</v>
      </c>
      <c r="AC329" s="84">
        <f t="shared" si="351"/>
        <v>10.280369999999989</v>
      </c>
    </row>
    <row r="330" spans="1:29" x14ac:dyDescent="0.25">
      <c r="A330" s="56" t="s">
        <v>19</v>
      </c>
      <c r="B330" s="54" t="s">
        <v>29</v>
      </c>
      <c r="C330" s="54"/>
      <c r="D330" s="60">
        <v>3381.8250000000003</v>
      </c>
      <c r="E330" s="84">
        <f t="shared" si="337"/>
        <v>3381.8250000000003</v>
      </c>
      <c r="F330" s="60">
        <v>3381.8250000000003</v>
      </c>
      <c r="G330" s="84">
        <f t="shared" si="338"/>
        <v>3381.8250000000003</v>
      </c>
      <c r="H330" s="60">
        <v>3381.8250000000003</v>
      </c>
      <c r="I330" s="84">
        <f t="shared" si="339"/>
        <v>2758.6950000000002</v>
      </c>
      <c r="J330" s="60">
        <v>2135.5650000000001</v>
      </c>
      <c r="K330" s="84">
        <f t="shared" si="340"/>
        <v>3725.7825000000003</v>
      </c>
      <c r="L330" s="60">
        <v>5316</v>
      </c>
      <c r="M330" s="60">
        <v>196.43</v>
      </c>
      <c r="N330" s="60">
        <v>196.43</v>
      </c>
      <c r="O330" s="60">
        <v>2343.11</v>
      </c>
      <c r="P330" s="60">
        <v>2343.11</v>
      </c>
      <c r="Q330" s="85">
        <f t="shared" si="341"/>
        <v>2343.11049</v>
      </c>
      <c r="R330" s="85">
        <f t="shared" si="341"/>
        <v>2343.1109799999999</v>
      </c>
      <c r="S330" s="85">
        <f t="shared" si="341"/>
        <v>2343.1114699999998</v>
      </c>
      <c r="T330" s="84">
        <f t="shared" ref="T330:AC330" si="352">+S330-(0.711/100)</f>
        <v>2343.1043599999998</v>
      </c>
      <c r="U330" s="84">
        <f t="shared" si="352"/>
        <v>2343.0972499999998</v>
      </c>
      <c r="V330" s="84">
        <f t="shared" si="352"/>
        <v>2343.0901399999998</v>
      </c>
      <c r="W330" s="84">
        <f t="shared" si="352"/>
        <v>2343.0830299999998</v>
      </c>
      <c r="X330" s="84">
        <f t="shared" si="352"/>
        <v>2343.0759199999998</v>
      </c>
      <c r="Y330" s="84">
        <f t="shared" si="352"/>
        <v>2343.0688099999998</v>
      </c>
      <c r="Z330" s="84">
        <f t="shared" si="352"/>
        <v>2343.0616999999997</v>
      </c>
      <c r="AA330" s="84">
        <f t="shared" si="352"/>
        <v>2343.0545899999997</v>
      </c>
      <c r="AB330" s="84">
        <f t="shared" si="352"/>
        <v>2343.0474799999997</v>
      </c>
      <c r="AC330" s="84">
        <f t="shared" si="352"/>
        <v>2343.0403699999997</v>
      </c>
    </row>
    <row r="331" spans="1:29" x14ac:dyDescent="0.25">
      <c r="A331" s="56" t="s">
        <v>4</v>
      </c>
      <c r="B331" s="54" t="s">
        <v>29</v>
      </c>
      <c r="C331" s="54"/>
      <c r="D331" s="60">
        <v>1159.8499999999999</v>
      </c>
      <c r="E331" s="84">
        <f t="shared" si="337"/>
        <v>1159.8499999999999</v>
      </c>
      <c r="F331" s="60">
        <v>1159.8499999999999</v>
      </c>
      <c r="G331" s="84">
        <f t="shared" si="338"/>
        <v>1159.8499999999999</v>
      </c>
      <c r="H331" s="60">
        <v>1159.8499999999999</v>
      </c>
      <c r="I331" s="84">
        <f t="shared" si="339"/>
        <v>1791.19</v>
      </c>
      <c r="J331" s="60">
        <v>2422.5300000000002</v>
      </c>
      <c r="K331" s="84">
        <f t="shared" si="340"/>
        <v>1698.5050000000001</v>
      </c>
      <c r="L331" s="60">
        <v>974.48</v>
      </c>
      <c r="M331" s="60">
        <v>464.04</v>
      </c>
      <c r="N331" s="60">
        <v>464.04</v>
      </c>
      <c r="O331" s="60">
        <v>465.71</v>
      </c>
      <c r="P331" s="60">
        <v>465.71</v>
      </c>
      <c r="Q331" s="85">
        <f t="shared" si="341"/>
        <v>465.71048999999999</v>
      </c>
      <c r="R331" s="85">
        <f t="shared" si="341"/>
        <v>465.71098000000001</v>
      </c>
      <c r="S331" s="85">
        <f t="shared" si="341"/>
        <v>465.71147000000002</v>
      </c>
      <c r="T331" s="84">
        <f t="shared" ref="T331:AC331" si="353">+S331-(0.711/100)</f>
        <v>465.70436000000001</v>
      </c>
      <c r="U331" s="84">
        <f t="shared" si="353"/>
        <v>465.69725</v>
      </c>
      <c r="V331" s="84">
        <f t="shared" si="353"/>
        <v>465.69013999999999</v>
      </c>
      <c r="W331" s="84">
        <f t="shared" si="353"/>
        <v>465.68302999999997</v>
      </c>
      <c r="X331" s="84">
        <f t="shared" si="353"/>
        <v>465.67591999999996</v>
      </c>
      <c r="Y331" s="84">
        <f t="shared" si="353"/>
        <v>465.66880999999995</v>
      </c>
      <c r="Z331" s="84">
        <f t="shared" si="353"/>
        <v>465.66169999999994</v>
      </c>
      <c r="AA331" s="84">
        <f t="shared" si="353"/>
        <v>465.65458999999993</v>
      </c>
      <c r="AB331" s="84">
        <f t="shared" si="353"/>
        <v>465.64747999999992</v>
      </c>
      <c r="AC331" s="84">
        <f t="shared" si="353"/>
        <v>465.6403699999999</v>
      </c>
    </row>
    <row r="332" spans="1:29" x14ac:dyDescent="0.25">
      <c r="A332" s="56" t="s">
        <v>5</v>
      </c>
      <c r="B332" s="54" t="s">
        <v>29</v>
      </c>
      <c r="C332" s="54"/>
      <c r="D332" s="60">
        <v>1795.99</v>
      </c>
      <c r="E332" s="84">
        <f t="shared" si="337"/>
        <v>1795.99</v>
      </c>
      <c r="F332" s="60">
        <v>1795.99</v>
      </c>
      <c r="G332" s="84">
        <f t="shared" si="338"/>
        <v>1795.99</v>
      </c>
      <c r="H332" s="60">
        <v>1795.99</v>
      </c>
      <c r="I332" s="84">
        <f t="shared" si="339"/>
        <v>1414.6399999999999</v>
      </c>
      <c r="J332" s="60">
        <v>1033.29</v>
      </c>
      <c r="K332" s="84">
        <f t="shared" si="340"/>
        <v>2623.5</v>
      </c>
      <c r="L332" s="60">
        <v>4213.71</v>
      </c>
      <c r="M332" s="60">
        <v>26.96</v>
      </c>
      <c r="N332" s="60">
        <v>26.96</v>
      </c>
      <c r="O332" s="60">
        <v>341.55</v>
      </c>
      <c r="P332" s="60">
        <v>341.55</v>
      </c>
      <c r="Q332" s="85">
        <f t="shared" si="341"/>
        <v>341.55049000000002</v>
      </c>
      <c r="R332" s="85">
        <f t="shared" si="341"/>
        <v>341.55098000000004</v>
      </c>
      <c r="S332" s="85">
        <f t="shared" si="341"/>
        <v>341.55147000000005</v>
      </c>
      <c r="T332" s="84">
        <f t="shared" ref="T332:AC332" si="354">+S332-(0.711/100)</f>
        <v>341.54436000000004</v>
      </c>
      <c r="U332" s="84">
        <f t="shared" si="354"/>
        <v>341.53725000000003</v>
      </c>
      <c r="V332" s="84">
        <f t="shared" si="354"/>
        <v>341.53014000000002</v>
      </c>
      <c r="W332" s="84">
        <f t="shared" si="354"/>
        <v>341.52303000000001</v>
      </c>
      <c r="X332" s="84">
        <f t="shared" si="354"/>
        <v>341.51591999999999</v>
      </c>
      <c r="Y332" s="84">
        <f t="shared" si="354"/>
        <v>341.50880999999998</v>
      </c>
      <c r="Z332" s="84">
        <f t="shared" si="354"/>
        <v>341.50169999999997</v>
      </c>
      <c r="AA332" s="84">
        <f t="shared" si="354"/>
        <v>341.49458999999996</v>
      </c>
      <c r="AB332" s="84">
        <f t="shared" si="354"/>
        <v>341.48747999999995</v>
      </c>
      <c r="AC332" s="84">
        <f t="shared" si="354"/>
        <v>341.48036999999994</v>
      </c>
    </row>
    <row r="333" spans="1:29" x14ac:dyDescent="0.25">
      <c r="A333" s="56" t="s">
        <v>6</v>
      </c>
      <c r="B333" s="54" t="s">
        <v>29</v>
      </c>
      <c r="C333" s="54"/>
      <c r="D333" s="60">
        <v>0</v>
      </c>
      <c r="E333" s="84">
        <f t="shared" si="337"/>
        <v>0</v>
      </c>
      <c r="F333" s="60">
        <v>0</v>
      </c>
      <c r="G333" s="84">
        <f t="shared" si="338"/>
        <v>0</v>
      </c>
      <c r="H333" s="60">
        <v>0</v>
      </c>
      <c r="I333" s="84">
        <f t="shared" si="339"/>
        <v>0</v>
      </c>
      <c r="J333" s="60">
        <v>0</v>
      </c>
      <c r="K333" s="84">
        <f t="shared" si="340"/>
        <v>0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85">
        <f t="shared" si="341"/>
        <v>4.8999999999999998E-4</v>
      </c>
      <c r="R333" s="85">
        <f t="shared" si="341"/>
        <v>9.7999999999999997E-4</v>
      </c>
      <c r="S333" s="85">
        <f t="shared" si="341"/>
        <v>1.47E-3</v>
      </c>
      <c r="T333" s="84">
        <f t="shared" ref="T333:AC333" si="355">+S333-(0.711/100)</f>
        <v>-5.64E-3</v>
      </c>
      <c r="U333" s="84">
        <f t="shared" si="355"/>
        <v>-1.2750000000000001E-2</v>
      </c>
      <c r="V333" s="84">
        <f t="shared" si="355"/>
        <v>-1.9860000000000003E-2</v>
      </c>
      <c r="W333" s="84">
        <f t="shared" si="355"/>
        <v>-2.6970000000000001E-2</v>
      </c>
      <c r="X333" s="84">
        <f t="shared" si="355"/>
        <v>-3.4079999999999999E-2</v>
      </c>
      <c r="Y333" s="84">
        <f t="shared" si="355"/>
        <v>-4.1189999999999997E-2</v>
      </c>
      <c r="Z333" s="84">
        <f t="shared" si="355"/>
        <v>-4.8299999999999996E-2</v>
      </c>
      <c r="AA333" s="84">
        <f t="shared" si="355"/>
        <v>-5.5409999999999994E-2</v>
      </c>
      <c r="AB333" s="84">
        <f t="shared" si="355"/>
        <v>-6.2519999999999992E-2</v>
      </c>
      <c r="AC333" s="84">
        <f t="shared" si="355"/>
        <v>-6.9629999999999997E-2</v>
      </c>
    </row>
    <row r="334" spans="1:29" x14ac:dyDescent="0.25">
      <c r="A334" s="214"/>
      <c r="B334" s="215"/>
      <c r="C334" s="215"/>
      <c r="D334" s="115"/>
      <c r="E334" s="216"/>
      <c r="F334" s="115"/>
      <c r="G334" s="216"/>
      <c r="H334" s="115"/>
      <c r="I334" s="216"/>
      <c r="J334" s="115"/>
      <c r="K334" s="216"/>
      <c r="L334" s="115"/>
      <c r="M334" s="115"/>
      <c r="N334" s="115"/>
      <c r="O334" s="115"/>
      <c r="P334" s="115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</row>
    <row r="336" spans="1:29" x14ac:dyDescent="0.25">
      <c r="A336" s="1" t="s">
        <v>105</v>
      </c>
      <c r="B336" s="65" t="s">
        <v>106</v>
      </c>
      <c r="C336" s="65"/>
      <c r="D336" s="1">
        <v>2010</v>
      </c>
      <c r="E336" s="1">
        <v>2011</v>
      </c>
      <c r="F336" s="1">
        <v>2012</v>
      </c>
      <c r="G336" s="1">
        <v>2013</v>
      </c>
      <c r="H336" s="1">
        <v>2014</v>
      </c>
      <c r="I336" s="1">
        <v>2015</v>
      </c>
      <c r="J336" s="1">
        <v>2016</v>
      </c>
      <c r="K336" s="1">
        <v>2017</v>
      </c>
      <c r="L336" s="1">
        <v>2018</v>
      </c>
      <c r="M336" s="1">
        <v>2019</v>
      </c>
      <c r="N336" s="1">
        <v>2020</v>
      </c>
      <c r="O336" s="1">
        <v>2021</v>
      </c>
      <c r="P336" s="1">
        <v>2022</v>
      </c>
      <c r="Q336" s="1">
        <v>2023</v>
      </c>
      <c r="R336" s="1">
        <v>2024</v>
      </c>
      <c r="S336" s="1">
        <v>2025</v>
      </c>
      <c r="T336" s="1">
        <v>2026</v>
      </c>
      <c r="U336" s="1">
        <v>2027</v>
      </c>
      <c r="V336" s="1">
        <v>2028</v>
      </c>
      <c r="W336" s="1">
        <v>2029</v>
      </c>
      <c r="X336" s="1">
        <v>2030</v>
      </c>
      <c r="Y336" s="1">
        <v>2031</v>
      </c>
      <c r="Z336" s="1">
        <v>2032</v>
      </c>
      <c r="AA336" s="1">
        <v>2033</v>
      </c>
      <c r="AB336" s="1">
        <v>2034</v>
      </c>
      <c r="AC336" s="1">
        <v>2035</v>
      </c>
    </row>
    <row r="337" spans="1:29" x14ac:dyDescent="0.25">
      <c r="A337" s="54" t="s">
        <v>19</v>
      </c>
      <c r="B337" s="86" t="s">
        <v>18</v>
      </c>
      <c r="C337" s="86"/>
      <c r="D337" s="84">
        <f t="shared" ref="D337:P337" si="356">+D217</f>
        <v>35.450349455211686</v>
      </c>
      <c r="E337" s="84">
        <f t="shared" si="356"/>
        <v>35.450349455211686</v>
      </c>
      <c r="F337" s="84">
        <f t="shared" si="356"/>
        <v>35.450349455211686</v>
      </c>
      <c r="G337" s="84">
        <f t="shared" si="356"/>
        <v>35.450349455211686</v>
      </c>
      <c r="H337" s="84">
        <f t="shared" si="356"/>
        <v>35.450349455211686</v>
      </c>
      <c r="I337" s="84">
        <f t="shared" si="356"/>
        <v>27.971301260442953</v>
      </c>
      <c r="J337" s="84">
        <f t="shared" si="356"/>
        <v>20.492253065674223</v>
      </c>
      <c r="K337" s="84">
        <f t="shared" si="356"/>
        <v>26.145300649667249</v>
      </c>
      <c r="L337" s="84">
        <f t="shared" si="356"/>
        <v>31.798348233660274</v>
      </c>
      <c r="M337" s="84">
        <f t="shared" si="356"/>
        <v>5.2465438706970549</v>
      </c>
      <c r="N337" s="84">
        <f t="shared" si="356"/>
        <v>5.2465438706970549</v>
      </c>
      <c r="O337" s="84">
        <f t="shared" si="356"/>
        <v>5.8147838288109819</v>
      </c>
      <c r="P337" s="84">
        <f t="shared" si="356"/>
        <v>5.8147838288109819</v>
      </c>
      <c r="Q337" s="84">
        <f t="shared" ref="Q337:S345" si="357">+P337-(0.049/100)</f>
        <v>5.8142938288109818</v>
      </c>
      <c r="R337" s="84">
        <f t="shared" si="357"/>
        <v>5.8138038288109817</v>
      </c>
      <c r="S337" s="84">
        <f t="shared" si="357"/>
        <v>5.8133138288109816</v>
      </c>
      <c r="T337" s="84">
        <f t="shared" ref="T337:AC337" si="358">+S337+(0.711/100)</f>
        <v>5.8204238288109815</v>
      </c>
      <c r="U337" s="84">
        <f t="shared" si="358"/>
        <v>5.8275338288109815</v>
      </c>
      <c r="V337" s="84">
        <f t="shared" si="358"/>
        <v>5.8346438288109814</v>
      </c>
      <c r="W337" s="84">
        <f t="shared" si="358"/>
        <v>5.8417538288109814</v>
      </c>
      <c r="X337" s="84">
        <f t="shared" si="358"/>
        <v>5.8488638288109813</v>
      </c>
      <c r="Y337" s="84">
        <f t="shared" si="358"/>
        <v>5.8559738288109813</v>
      </c>
      <c r="Z337" s="84">
        <f t="shared" si="358"/>
        <v>5.8630838288109812</v>
      </c>
      <c r="AA337" s="84">
        <f t="shared" si="358"/>
        <v>5.8701938288109812</v>
      </c>
      <c r="AB337" s="84">
        <f t="shared" si="358"/>
        <v>5.8773038288109811</v>
      </c>
      <c r="AC337" s="84">
        <f t="shared" si="358"/>
        <v>5.8844138288109811</v>
      </c>
    </row>
    <row r="338" spans="1:29" x14ac:dyDescent="0.25">
      <c r="A338" s="54" t="s">
        <v>19</v>
      </c>
      <c r="B338" s="86" t="s">
        <v>20</v>
      </c>
      <c r="C338" s="86"/>
      <c r="D338" s="84">
        <f t="shared" ref="D338:P338" si="359">+D218</f>
        <v>346.1792516375865</v>
      </c>
      <c r="E338" s="84">
        <f t="shared" si="359"/>
        <v>346.1792516375865</v>
      </c>
      <c r="F338" s="84">
        <f t="shared" si="359"/>
        <v>346.1792516375865</v>
      </c>
      <c r="G338" s="84">
        <f t="shared" si="359"/>
        <v>346.1792516375865</v>
      </c>
      <c r="H338" s="84">
        <f t="shared" si="359"/>
        <v>346.1792516375865</v>
      </c>
      <c r="I338" s="84">
        <f t="shared" si="359"/>
        <v>273.14495587422419</v>
      </c>
      <c r="J338" s="84">
        <f t="shared" si="359"/>
        <v>200.11066011086183</v>
      </c>
      <c r="K338" s="84">
        <f t="shared" si="359"/>
        <v>255.31372050863939</v>
      </c>
      <c r="L338" s="84">
        <f t="shared" si="359"/>
        <v>310.51678090641695</v>
      </c>
      <c r="M338" s="84">
        <f t="shared" si="359"/>
        <v>51.23347608001253</v>
      </c>
      <c r="N338" s="84">
        <f t="shared" si="359"/>
        <v>51.23347608001253</v>
      </c>
      <c r="O338" s="84">
        <f t="shared" si="359"/>
        <v>56.78244489057338</v>
      </c>
      <c r="P338" s="84">
        <f t="shared" si="359"/>
        <v>56.78244489057338</v>
      </c>
      <c r="Q338" s="84">
        <f t="shared" si="357"/>
        <v>56.781954890573381</v>
      </c>
      <c r="R338" s="84">
        <f t="shared" si="357"/>
        <v>56.781464890573382</v>
      </c>
      <c r="S338" s="84">
        <f t="shared" si="357"/>
        <v>56.780974890573383</v>
      </c>
      <c r="T338" s="84">
        <f t="shared" ref="T338:AC338" si="360">+S338+(0.711/100)</f>
        <v>56.78808489057338</v>
      </c>
      <c r="U338" s="84">
        <f t="shared" si="360"/>
        <v>56.795194890573377</v>
      </c>
      <c r="V338" s="84">
        <f t="shared" si="360"/>
        <v>56.802304890573375</v>
      </c>
      <c r="W338" s="84">
        <f t="shared" si="360"/>
        <v>56.809414890573372</v>
      </c>
      <c r="X338" s="84">
        <f t="shared" si="360"/>
        <v>56.816524890573369</v>
      </c>
      <c r="Y338" s="84">
        <f t="shared" si="360"/>
        <v>56.823634890573366</v>
      </c>
      <c r="Z338" s="84">
        <f t="shared" si="360"/>
        <v>56.830744890573364</v>
      </c>
      <c r="AA338" s="84">
        <f t="shared" si="360"/>
        <v>56.837854890573361</v>
      </c>
      <c r="AB338" s="84">
        <f t="shared" si="360"/>
        <v>56.844964890573358</v>
      </c>
      <c r="AC338" s="84">
        <f t="shared" si="360"/>
        <v>56.852074890573356</v>
      </c>
    </row>
    <row r="339" spans="1:29" x14ac:dyDescent="0.25">
      <c r="A339" s="54" t="s">
        <v>19</v>
      </c>
      <c r="B339" s="86" t="s">
        <v>21</v>
      </c>
      <c r="C339" s="86"/>
      <c r="D339" s="84">
        <f t="shared" ref="D339:P339" si="361">+D219</f>
        <v>3310.1998640493071</v>
      </c>
      <c r="E339" s="84">
        <f t="shared" si="361"/>
        <v>3310.1998640493071</v>
      </c>
      <c r="F339" s="84">
        <f t="shared" si="361"/>
        <v>3310.1998640493071</v>
      </c>
      <c r="G339" s="84">
        <f t="shared" si="361"/>
        <v>3310.1998640493071</v>
      </c>
      <c r="H339" s="84">
        <f t="shared" si="361"/>
        <v>3310.1998640493071</v>
      </c>
      <c r="I339" s="84">
        <f t="shared" si="361"/>
        <v>2611.8387844548711</v>
      </c>
      <c r="J339" s="84">
        <f t="shared" si="361"/>
        <v>1913.4777048604346</v>
      </c>
      <c r="K339" s="84">
        <f t="shared" si="361"/>
        <v>2441.3347678109649</v>
      </c>
      <c r="L339" s="84">
        <f t="shared" si="361"/>
        <v>2969.1918307614956</v>
      </c>
      <c r="M339" s="84">
        <f t="shared" si="361"/>
        <v>489.89950943789398</v>
      </c>
      <c r="N339" s="84">
        <f t="shared" si="361"/>
        <v>489.89950943789398</v>
      </c>
      <c r="O339" s="84">
        <f t="shared" si="361"/>
        <v>542.95929195068879</v>
      </c>
      <c r="P339" s="84">
        <f t="shared" si="361"/>
        <v>542.95929195068879</v>
      </c>
      <c r="Q339" s="84">
        <f t="shared" si="357"/>
        <v>542.95880195068878</v>
      </c>
      <c r="R339" s="84">
        <f t="shared" si="357"/>
        <v>542.95831195068877</v>
      </c>
      <c r="S339" s="84">
        <f t="shared" si="357"/>
        <v>542.95782195068875</v>
      </c>
      <c r="T339" s="84">
        <f t="shared" ref="T339:AC339" si="362">+S339+(0.711/100)</f>
        <v>542.96493195068877</v>
      </c>
      <c r="U339" s="84">
        <f t="shared" si="362"/>
        <v>542.97204195068878</v>
      </c>
      <c r="V339" s="84">
        <f t="shared" si="362"/>
        <v>542.97915195068879</v>
      </c>
      <c r="W339" s="84">
        <f t="shared" si="362"/>
        <v>542.9862619506888</v>
      </c>
      <c r="X339" s="84">
        <f t="shared" si="362"/>
        <v>542.99337195068881</v>
      </c>
      <c r="Y339" s="84">
        <f t="shared" si="362"/>
        <v>543.00048195068882</v>
      </c>
      <c r="Z339" s="84">
        <f t="shared" si="362"/>
        <v>543.00759195068883</v>
      </c>
      <c r="AA339" s="84">
        <f t="shared" si="362"/>
        <v>543.01470195068885</v>
      </c>
      <c r="AB339" s="84">
        <f t="shared" si="362"/>
        <v>543.02181195068886</v>
      </c>
      <c r="AC339" s="84">
        <f t="shared" si="362"/>
        <v>543.02892195068887</v>
      </c>
    </row>
    <row r="340" spans="1:29" x14ac:dyDescent="0.25">
      <c r="A340" s="54" t="s">
        <v>19</v>
      </c>
      <c r="B340" s="86" t="s">
        <v>22</v>
      </c>
      <c r="C340" s="86"/>
      <c r="D340" s="84">
        <f t="shared" ref="D340:P340" si="363">+D220</f>
        <v>1345.5748980235817</v>
      </c>
      <c r="E340" s="84">
        <f t="shared" si="363"/>
        <v>1345.5748980235817</v>
      </c>
      <c r="F340" s="84">
        <f t="shared" si="363"/>
        <v>1345.5748980235817</v>
      </c>
      <c r="G340" s="84">
        <f t="shared" si="363"/>
        <v>1345.5748980235817</v>
      </c>
      <c r="H340" s="84">
        <f t="shared" si="363"/>
        <v>1345.5748980235817</v>
      </c>
      <c r="I340" s="84">
        <f t="shared" si="363"/>
        <v>1061.6956227373435</v>
      </c>
      <c r="J340" s="84">
        <f t="shared" si="363"/>
        <v>777.81634745110512</v>
      </c>
      <c r="K340" s="84">
        <f t="shared" si="363"/>
        <v>992.3868395125196</v>
      </c>
      <c r="L340" s="84">
        <f t="shared" si="363"/>
        <v>1206.9573315739342</v>
      </c>
      <c r="M340" s="84">
        <f t="shared" si="363"/>
        <v>199.14099133800156</v>
      </c>
      <c r="N340" s="84">
        <f t="shared" si="363"/>
        <v>199.14099133800156</v>
      </c>
      <c r="O340" s="84">
        <f t="shared" si="363"/>
        <v>220.70945075920093</v>
      </c>
      <c r="P340" s="84">
        <f t="shared" si="363"/>
        <v>220.70945075920093</v>
      </c>
      <c r="Q340" s="84">
        <f t="shared" si="357"/>
        <v>220.70896075920092</v>
      </c>
      <c r="R340" s="84">
        <f t="shared" si="357"/>
        <v>220.70847075920091</v>
      </c>
      <c r="S340" s="84">
        <f t="shared" si="357"/>
        <v>220.70798075920089</v>
      </c>
      <c r="T340" s="84">
        <f t="shared" ref="T340:AC340" si="364">+S340+(0.711/100)</f>
        <v>220.7150907592009</v>
      </c>
      <c r="U340" s="84">
        <f t="shared" si="364"/>
        <v>220.72220075920092</v>
      </c>
      <c r="V340" s="84">
        <f t="shared" si="364"/>
        <v>220.72931075920093</v>
      </c>
      <c r="W340" s="84">
        <f t="shared" si="364"/>
        <v>220.73642075920094</v>
      </c>
      <c r="X340" s="84">
        <f t="shared" si="364"/>
        <v>220.74353075920095</v>
      </c>
      <c r="Y340" s="84">
        <f t="shared" si="364"/>
        <v>220.75064075920096</v>
      </c>
      <c r="Z340" s="84">
        <f t="shared" si="364"/>
        <v>220.75775075920097</v>
      </c>
      <c r="AA340" s="84">
        <f t="shared" si="364"/>
        <v>220.76486075920099</v>
      </c>
      <c r="AB340" s="84">
        <f t="shared" si="364"/>
        <v>220.771970759201</v>
      </c>
      <c r="AC340" s="84">
        <f t="shared" si="364"/>
        <v>220.77908075920101</v>
      </c>
    </row>
    <row r="341" spans="1:29" x14ac:dyDescent="0.25">
      <c r="A341" s="54" t="s">
        <v>19</v>
      </c>
      <c r="B341" s="86" t="s">
        <v>23</v>
      </c>
      <c r="C341" s="86"/>
      <c r="D341" s="84">
        <f t="shared" ref="D341:P341" si="365">+D221</f>
        <v>926.66258971003924</v>
      </c>
      <c r="E341" s="84">
        <f t="shared" si="365"/>
        <v>926.66258971003924</v>
      </c>
      <c r="F341" s="84">
        <f t="shared" si="365"/>
        <v>926.66258971003924</v>
      </c>
      <c r="G341" s="84">
        <f t="shared" si="365"/>
        <v>926.66258971003924</v>
      </c>
      <c r="H341" s="84">
        <f t="shared" si="365"/>
        <v>926.66258971003924</v>
      </c>
      <c r="I341" s="84">
        <f t="shared" si="365"/>
        <v>731.16228364149924</v>
      </c>
      <c r="J341" s="84">
        <f t="shared" si="365"/>
        <v>535.66197757295924</v>
      </c>
      <c r="K341" s="84">
        <f t="shared" si="365"/>
        <v>683.43111932868112</v>
      </c>
      <c r="L341" s="84">
        <f t="shared" si="365"/>
        <v>831.20026108440311</v>
      </c>
      <c r="M341" s="84">
        <f t="shared" si="365"/>
        <v>137.14324414177867</v>
      </c>
      <c r="N341" s="84">
        <f t="shared" si="365"/>
        <v>137.14324414177867</v>
      </c>
      <c r="O341" s="84">
        <f t="shared" si="365"/>
        <v>151.99688364758509</v>
      </c>
      <c r="P341" s="84">
        <f t="shared" si="365"/>
        <v>151.99688364758509</v>
      </c>
      <c r="Q341" s="84">
        <f t="shared" si="357"/>
        <v>151.99639364758508</v>
      </c>
      <c r="R341" s="84">
        <f t="shared" si="357"/>
        <v>151.99590364758507</v>
      </c>
      <c r="S341" s="84">
        <f t="shared" si="357"/>
        <v>151.99541364758505</v>
      </c>
      <c r="T341" s="84">
        <f t="shared" ref="T341:AC341" si="366">+S341+(0.711/100)</f>
        <v>152.00252364758506</v>
      </c>
      <c r="U341" s="84">
        <f t="shared" si="366"/>
        <v>152.00963364758508</v>
      </c>
      <c r="V341" s="84">
        <f t="shared" si="366"/>
        <v>152.01674364758509</v>
      </c>
      <c r="W341" s="84">
        <f t="shared" si="366"/>
        <v>152.0238536475851</v>
      </c>
      <c r="X341" s="84">
        <f t="shared" si="366"/>
        <v>152.03096364758511</v>
      </c>
      <c r="Y341" s="84">
        <f t="shared" si="366"/>
        <v>152.03807364758512</v>
      </c>
      <c r="Z341" s="84">
        <f t="shared" si="366"/>
        <v>152.04518364758513</v>
      </c>
      <c r="AA341" s="84">
        <f t="shared" si="366"/>
        <v>152.05229364758515</v>
      </c>
      <c r="AB341" s="84">
        <f t="shared" si="366"/>
        <v>152.05940364758516</v>
      </c>
      <c r="AC341" s="84">
        <f t="shared" si="366"/>
        <v>152.06651364758517</v>
      </c>
    </row>
    <row r="342" spans="1:29" x14ac:dyDescent="0.25">
      <c r="A342" s="54" t="s">
        <v>19</v>
      </c>
      <c r="B342" s="86" t="s">
        <v>24</v>
      </c>
      <c r="C342" s="86"/>
      <c r="D342" s="84">
        <f t="shared" ref="D342:P342" si="367">+D222</f>
        <v>6780.8508624532096</v>
      </c>
      <c r="E342" s="84">
        <f t="shared" si="367"/>
        <v>6780.8508624532096</v>
      </c>
      <c r="F342" s="84">
        <f t="shared" si="367"/>
        <v>6780.8508624532096</v>
      </c>
      <c r="G342" s="84">
        <f t="shared" si="367"/>
        <v>6780.8508624532096</v>
      </c>
      <c r="H342" s="84">
        <f t="shared" si="367"/>
        <v>6780.8508624532096</v>
      </c>
      <c r="I342" s="84">
        <f t="shared" si="367"/>
        <v>5350.277929289332</v>
      </c>
      <c r="J342" s="84">
        <f t="shared" si="367"/>
        <v>3919.7049961254538</v>
      </c>
      <c r="K342" s="84">
        <f t="shared" si="367"/>
        <v>5001.0052702972998</v>
      </c>
      <c r="L342" s="84">
        <f t="shared" si="367"/>
        <v>6082.3055444691454</v>
      </c>
      <c r="M342" s="84">
        <f t="shared" si="367"/>
        <v>1003.5452986284897</v>
      </c>
      <c r="N342" s="84">
        <f t="shared" si="367"/>
        <v>1003.5452986284897</v>
      </c>
      <c r="O342" s="84">
        <f t="shared" si="367"/>
        <v>1112.2367634312643</v>
      </c>
      <c r="P342" s="84">
        <f t="shared" si="367"/>
        <v>1112.2367634312643</v>
      </c>
      <c r="Q342" s="84">
        <f t="shared" si="357"/>
        <v>1112.2362734312644</v>
      </c>
      <c r="R342" s="84">
        <f t="shared" si="357"/>
        <v>1112.2357834312645</v>
      </c>
      <c r="S342" s="84">
        <f t="shared" si="357"/>
        <v>1112.2352934312646</v>
      </c>
      <c r="T342" s="84">
        <f t="shared" ref="T342:AC342" si="368">+S342+(0.711/100)</f>
        <v>1112.2424034312646</v>
      </c>
      <c r="U342" s="84">
        <f t="shared" si="368"/>
        <v>1112.2495134312646</v>
      </c>
      <c r="V342" s="84">
        <f t="shared" si="368"/>
        <v>1112.2566234312646</v>
      </c>
      <c r="W342" s="84">
        <f t="shared" si="368"/>
        <v>1112.2637334312647</v>
      </c>
      <c r="X342" s="84">
        <f t="shared" si="368"/>
        <v>1112.2708434312647</v>
      </c>
      <c r="Y342" s="84">
        <f t="shared" si="368"/>
        <v>1112.2779534312647</v>
      </c>
      <c r="Z342" s="84">
        <f t="shared" si="368"/>
        <v>1112.2850634312647</v>
      </c>
      <c r="AA342" s="84">
        <f t="shared" si="368"/>
        <v>1112.2921734312647</v>
      </c>
      <c r="AB342" s="84">
        <f t="shared" si="368"/>
        <v>1112.2992834312647</v>
      </c>
      <c r="AC342" s="84">
        <f t="shared" si="368"/>
        <v>1112.3063934312647</v>
      </c>
    </row>
    <row r="343" spans="1:29" x14ac:dyDescent="0.25">
      <c r="A343" s="54" t="s">
        <v>19</v>
      </c>
      <c r="B343" s="86" t="s">
        <v>25</v>
      </c>
      <c r="C343" s="86"/>
      <c r="D343" s="84">
        <f t="shared" ref="D343:P343" si="369">+D223</f>
        <v>751.26524843634377</v>
      </c>
      <c r="E343" s="84">
        <f t="shared" si="369"/>
        <v>751.26524843634377</v>
      </c>
      <c r="F343" s="84">
        <f t="shared" si="369"/>
        <v>751.26524843634377</v>
      </c>
      <c r="G343" s="84">
        <f t="shared" si="369"/>
        <v>751.26524843634377</v>
      </c>
      <c r="H343" s="84">
        <f t="shared" si="369"/>
        <v>751.26524843634377</v>
      </c>
      <c r="I343" s="84">
        <f t="shared" si="369"/>
        <v>592.76895470561192</v>
      </c>
      <c r="J343" s="84">
        <f t="shared" si="369"/>
        <v>434.27266097488018</v>
      </c>
      <c r="K343" s="84">
        <f t="shared" si="369"/>
        <v>554.07227544628665</v>
      </c>
      <c r="L343" s="84">
        <f t="shared" si="369"/>
        <v>673.87188991769301</v>
      </c>
      <c r="M343" s="84">
        <f t="shared" si="369"/>
        <v>111.18497123508436</v>
      </c>
      <c r="N343" s="84">
        <f t="shared" si="369"/>
        <v>111.18497123508436</v>
      </c>
      <c r="O343" s="84">
        <f t="shared" si="369"/>
        <v>123.227135554036</v>
      </c>
      <c r="P343" s="84">
        <f t="shared" si="369"/>
        <v>123.227135554036</v>
      </c>
      <c r="Q343" s="84">
        <f t="shared" si="357"/>
        <v>123.226645554036</v>
      </c>
      <c r="R343" s="84">
        <f t="shared" si="357"/>
        <v>123.226155554036</v>
      </c>
      <c r="S343" s="84">
        <f t="shared" si="357"/>
        <v>123.225665554036</v>
      </c>
      <c r="T343" s="84">
        <f t="shared" ref="T343:AC343" si="370">+S343+(0.711/100)</f>
        <v>123.232775554036</v>
      </c>
      <c r="U343" s="84">
        <f t="shared" si="370"/>
        <v>123.23988555403599</v>
      </c>
      <c r="V343" s="84">
        <f t="shared" si="370"/>
        <v>123.24699555403599</v>
      </c>
      <c r="W343" s="84">
        <f t="shared" si="370"/>
        <v>123.25410555403599</v>
      </c>
      <c r="X343" s="84">
        <f t="shared" si="370"/>
        <v>123.26121555403599</v>
      </c>
      <c r="Y343" s="84">
        <f t="shared" si="370"/>
        <v>123.26832555403598</v>
      </c>
      <c r="Z343" s="84">
        <f t="shared" si="370"/>
        <v>123.27543555403598</v>
      </c>
      <c r="AA343" s="84">
        <f t="shared" si="370"/>
        <v>123.28254555403598</v>
      </c>
      <c r="AB343" s="84">
        <f t="shared" si="370"/>
        <v>123.28965555403597</v>
      </c>
      <c r="AC343" s="84">
        <f t="shared" si="370"/>
        <v>123.29676555403597</v>
      </c>
    </row>
    <row r="344" spans="1:29" x14ac:dyDescent="0.25">
      <c r="A344" s="54" t="s">
        <v>19</v>
      </c>
      <c r="B344" s="86" t="s">
        <v>26</v>
      </c>
      <c r="C344" s="86"/>
      <c r="D344" s="84">
        <f t="shared" ref="D344:P344" si="371">+D224</f>
        <v>186.57832370711517</v>
      </c>
      <c r="E344" s="84">
        <f t="shared" si="371"/>
        <v>186.57832370711517</v>
      </c>
      <c r="F344" s="84">
        <f t="shared" si="371"/>
        <v>186.57832370711517</v>
      </c>
      <c r="G344" s="84">
        <f t="shared" si="371"/>
        <v>186.57832370711517</v>
      </c>
      <c r="H344" s="84">
        <f t="shared" si="371"/>
        <v>186.57832370711517</v>
      </c>
      <c r="I344" s="84">
        <f t="shared" si="371"/>
        <v>147.21543175966983</v>
      </c>
      <c r="J344" s="84">
        <f t="shared" si="371"/>
        <v>107.85253981222448</v>
      </c>
      <c r="K344" s="84">
        <f t="shared" si="371"/>
        <v>137.60502908995471</v>
      </c>
      <c r="L344" s="84">
        <f t="shared" si="371"/>
        <v>167.35751836768497</v>
      </c>
      <c r="M344" s="84">
        <f t="shared" si="371"/>
        <v>27.613024291544345</v>
      </c>
      <c r="N344" s="84">
        <f t="shared" si="371"/>
        <v>27.613024291544345</v>
      </c>
      <c r="O344" s="84">
        <f t="shared" si="371"/>
        <v>30.603721434946163</v>
      </c>
      <c r="P344" s="84">
        <f t="shared" si="371"/>
        <v>30.603721434946163</v>
      </c>
      <c r="Q344" s="84">
        <f t="shared" si="357"/>
        <v>30.603231434946164</v>
      </c>
      <c r="R344" s="84">
        <f t="shared" si="357"/>
        <v>30.602741434946164</v>
      </c>
      <c r="S344" s="84">
        <f t="shared" si="357"/>
        <v>30.602251434946165</v>
      </c>
      <c r="T344" s="84">
        <f t="shared" ref="T344:AC344" si="372">+S344+(0.711/100)</f>
        <v>30.609361434946166</v>
      </c>
      <c r="U344" s="84">
        <f t="shared" si="372"/>
        <v>30.616471434946167</v>
      </c>
      <c r="V344" s="84">
        <f t="shared" si="372"/>
        <v>30.623581434946168</v>
      </c>
      <c r="W344" s="84">
        <f t="shared" si="372"/>
        <v>30.630691434946169</v>
      </c>
      <c r="X344" s="84">
        <f t="shared" si="372"/>
        <v>30.637801434946169</v>
      </c>
      <c r="Y344" s="84">
        <f t="shared" si="372"/>
        <v>30.64491143494617</v>
      </c>
      <c r="Z344" s="84">
        <f t="shared" si="372"/>
        <v>30.652021434946171</v>
      </c>
      <c r="AA344" s="84">
        <f t="shared" si="372"/>
        <v>30.659131434946172</v>
      </c>
      <c r="AB344" s="84">
        <f t="shared" si="372"/>
        <v>30.666241434946173</v>
      </c>
      <c r="AC344" s="84">
        <f t="shared" si="372"/>
        <v>30.673351434946174</v>
      </c>
    </row>
    <row r="345" spans="1:29" x14ac:dyDescent="0.25">
      <c r="A345" s="54" t="s">
        <v>19</v>
      </c>
      <c r="B345" s="86" t="s">
        <v>27</v>
      </c>
      <c r="C345" s="86"/>
      <c r="D345" s="84">
        <f t="shared" ref="D345:P345" si="373">+D225</f>
        <v>780.23861252760332</v>
      </c>
      <c r="E345" s="84">
        <f t="shared" si="373"/>
        <v>780.23861252760332</v>
      </c>
      <c r="F345" s="84">
        <f t="shared" si="373"/>
        <v>780.23861252760332</v>
      </c>
      <c r="G345" s="84">
        <f t="shared" si="373"/>
        <v>780.23861252760332</v>
      </c>
      <c r="H345" s="84">
        <f t="shared" si="373"/>
        <v>780.23861252760332</v>
      </c>
      <c r="I345" s="84">
        <f t="shared" si="373"/>
        <v>615.62973627700433</v>
      </c>
      <c r="J345" s="84">
        <f t="shared" si="373"/>
        <v>451.02086002640527</v>
      </c>
      <c r="K345" s="84">
        <f t="shared" si="373"/>
        <v>575.44067735598594</v>
      </c>
      <c r="L345" s="84">
        <f t="shared" si="373"/>
        <v>699.86049468556666</v>
      </c>
      <c r="M345" s="84">
        <f t="shared" si="373"/>
        <v>115.47294097649757</v>
      </c>
      <c r="N345" s="84">
        <f t="shared" si="373"/>
        <v>115.47294097649757</v>
      </c>
      <c r="O345" s="84">
        <f t="shared" si="373"/>
        <v>127.97952450289418</v>
      </c>
      <c r="P345" s="84">
        <f t="shared" si="373"/>
        <v>127.97952450289418</v>
      </c>
      <c r="Q345" s="84">
        <f t="shared" si="357"/>
        <v>127.97903450289418</v>
      </c>
      <c r="R345" s="84">
        <f t="shared" si="357"/>
        <v>127.97854450289418</v>
      </c>
      <c r="S345" s="84">
        <f t="shared" si="357"/>
        <v>127.97805450289418</v>
      </c>
      <c r="T345" s="84">
        <f t="shared" ref="T345:AC345" si="374">+S345+(0.711/100)</f>
        <v>127.98516450289418</v>
      </c>
      <c r="U345" s="84">
        <f t="shared" si="374"/>
        <v>127.99227450289418</v>
      </c>
      <c r="V345" s="84">
        <f t="shared" si="374"/>
        <v>127.99938450289417</v>
      </c>
      <c r="W345" s="84">
        <f t="shared" si="374"/>
        <v>128.00649450289418</v>
      </c>
      <c r="X345" s="84">
        <f t="shared" si="374"/>
        <v>128.0136045028942</v>
      </c>
      <c r="Y345" s="84">
        <f t="shared" si="374"/>
        <v>128.02071450289421</v>
      </c>
      <c r="Z345" s="84">
        <f t="shared" si="374"/>
        <v>128.02782450289422</v>
      </c>
      <c r="AA345" s="84">
        <f t="shared" si="374"/>
        <v>128.03493450289423</v>
      </c>
      <c r="AB345" s="84">
        <f t="shared" si="374"/>
        <v>128.04204450289424</v>
      </c>
      <c r="AC345" s="84">
        <f t="shared" si="374"/>
        <v>128.04915450289425</v>
      </c>
    </row>
    <row r="347" spans="1:29" x14ac:dyDescent="0.25">
      <c r="A347" s="1" t="s">
        <v>105</v>
      </c>
      <c r="B347" s="65" t="s">
        <v>106</v>
      </c>
      <c r="C347" s="65"/>
      <c r="D347" s="1">
        <v>2010</v>
      </c>
      <c r="E347" s="1">
        <v>2011</v>
      </c>
      <c r="F347" s="1">
        <v>2012</v>
      </c>
      <c r="G347" s="1">
        <v>2013</v>
      </c>
      <c r="H347" s="1">
        <v>2014</v>
      </c>
      <c r="I347" s="1">
        <v>2015</v>
      </c>
      <c r="J347" s="1">
        <v>2016</v>
      </c>
      <c r="K347" s="1">
        <v>2017</v>
      </c>
      <c r="L347" s="1">
        <v>2018</v>
      </c>
      <c r="M347" s="1">
        <v>2019</v>
      </c>
      <c r="N347" s="1">
        <v>2020</v>
      </c>
      <c r="O347" s="1">
        <v>2021</v>
      </c>
      <c r="P347" s="1">
        <v>2022</v>
      </c>
      <c r="Q347" s="1">
        <v>2023</v>
      </c>
      <c r="R347" s="1">
        <v>2024</v>
      </c>
      <c r="S347" s="1">
        <v>2025</v>
      </c>
      <c r="T347" s="1">
        <v>2026</v>
      </c>
      <c r="U347" s="1">
        <v>2027</v>
      </c>
      <c r="V347" s="1">
        <v>2028</v>
      </c>
      <c r="W347" s="1">
        <v>2029</v>
      </c>
      <c r="X347" s="1">
        <v>2030</v>
      </c>
      <c r="Y347" s="1">
        <v>2031</v>
      </c>
      <c r="Z347" s="1">
        <v>2032</v>
      </c>
      <c r="AA347" s="1">
        <v>2033</v>
      </c>
      <c r="AB347" s="1">
        <v>2034</v>
      </c>
      <c r="AC347" s="1">
        <v>2035</v>
      </c>
    </row>
    <row r="348" spans="1:29" x14ac:dyDescent="0.25">
      <c r="A348" s="54" t="s">
        <v>5</v>
      </c>
      <c r="B348" s="86" t="s">
        <v>18</v>
      </c>
      <c r="C348" s="86"/>
      <c r="D348" s="84">
        <f t="shared" ref="D348:P348" si="375">+D228</f>
        <v>9.069093063975886E-2</v>
      </c>
      <c r="E348" s="84">
        <f t="shared" si="375"/>
        <v>9.069093063975886E-2</v>
      </c>
      <c r="F348" s="84">
        <f t="shared" si="375"/>
        <v>9.069093063975886E-2</v>
      </c>
      <c r="G348" s="84">
        <f t="shared" si="375"/>
        <v>9.069093063975886E-2</v>
      </c>
      <c r="H348" s="84">
        <f t="shared" si="375"/>
        <v>9.069093063975886E-2</v>
      </c>
      <c r="I348" s="84">
        <f t="shared" si="375"/>
        <v>9.5911786917128747E-2</v>
      </c>
      <c r="J348" s="84">
        <f t="shared" si="375"/>
        <v>0.10113264319449865</v>
      </c>
      <c r="K348" s="84">
        <f t="shared" si="375"/>
        <v>7.2515977918304483E-2</v>
      </c>
      <c r="L348" s="84">
        <f t="shared" si="375"/>
        <v>4.3899312642110298E-2</v>
      </c>
      <c r="M348" s="84">
        <f t="shared" si="375"/>
        <v>4.899761360780485E-2</v>
      </c>
      <c r="N348" s="84">
        <f t="shared" si="375"/>
        <v>4.899761360780485E-2</v>
      </c>
      <c r="O348" s="84">
        <f t="shared" si="375"/>
        <v>2.9780940737110004E-2</v>
      </c>
      <c r="P348" s="84">
        <f t="shared" si="375"/>
        <v>2.9780940737110004E-2</v>
      </c>
      <c r="Q348" s="84">
        <f t="shared" ref="Q348:S356" si="376">+P348-(0.049/100)</f>
        <v>2.9290940737110003E-2</v>
      </c>
      <c r="R348" s="84">
        <f t="shared" si="376"/>
        <v>2.8800940737110002E-2</v>
      </c>
      <c r="S348" s="84">
        <f t="shared" si="376"/>
        <v>2.8310940737110001E-2</v>
      </c>
      <c r="T348" s="84">
        <f t="shared" ref="T348:AC348" si="377">+S348+(0.711/100)</f>
        <v>3.5420940737110003E-2</v>
      </c>
      <c r="U348" s="84">
        <f t="shared" si="377"/>
        <v>4.2530940737110001E-2</v>
      </c>
      <c r="V348" s="84">
        <f t="shared" si="377"/>
        <v>4.9640940737109999E-2</v>
      </c>
      <c r="W348" s="84">
        <f t="shared" si="377"/>
        <v>5.6750940737109998E-2</v>
      </c>
      <c r="X348" s="84">
        <f t="shared" si="377"/>
        <v>6.3860940737110003E-2</v>
      </c>
      <c r="Y348" s="84">
        <f t="shared" si="377"/>
        <v>7.0970940737110008E-2</v>
      </c>
      <c r="Z348" s="84">
        <f t="shared" si="377"/>
        <v>7.8080940737110013E-2</v>
      </c>
      <c r="AA348" s="84">
        <f t="shared" si="377"/>
        <v>8.5190940737110019E-2</v>
      </c>
      <c r="AB348" s="84">
        <f t="shared" si="377"/>
        <v>9.2300940737110024E-2</v>
      </c>
      <c r="AC348" s="84">
        <f t="shared" si="377"/>
        <v>9.9410940737110029E-2</v>
      </c>
    </row>
    <row r="349" spans="1:29" x14ac:dyDescent="0.25">
      <c r="A349" s="54" t="s">
        <v>5</v>
      </c>
      <c r="B349" s="86" t="s">
        <v>20</v>
      </c>
      <c r="C349" s="86"/>
      <c r="D349" s="84">
        <f t="shared" ref="D349:P349" si="378">+D229</f>
        <v>0.88561379455097156</v>
      </c>
      <c r="E349" s="84">
        <f t="shared" si="378"/>
        <v>0.88561379455097156</v>
      </c>
      <c r="F349" s="84">
        <f t="shared" si="378"/>
        <v>0.88561379455097156</v>
      </c>
      <c r="G349" s="84">
        <f t="shared" si="378"/>
        <v>0.88561379455097156</v>
      </c>
      <c r="H349" s="84">
        <f t="shared" si="378"/>
        <v>0.88561379455097156</v>
      </c>
      <c r="I349" s="84">
        <f t="shared" si="378"/>
        <v>0.93659642650755437</v>
      </c>
      <c r="J349" s="84">
        <f t="shared" si="378"/>
        <v>0.9875790584641374</v>
      </c>
      <c r="K349" s="84">
        <f t="shared" si="378"/>
        <v>0.7081320030213647</v>
      </c>
      <c r="L349" s="84">
        <f t="shared" si="378"/>
        <v>0.42868494757859188</v>
      </c>
      <c r="M349" s="84">
        <f t="shared" si="378"/>
        <v>0.47847080413713294</v>
      </c>
      <c r="N349" s="84">
        <f t="shared" si="378"/>
        <v>0.47847080413713294</v>
      </c>
      <c r="O349" s="84">
        <f t="shared" si="378"/>
        <v>0.29081642172417038</v>
      </c>
      <c r="P349" s="84">
        <f t="shared" si="378"/>
        <v>0.29081642172417038</v>
      </c>
      <c r="Q349" s="84">
        <f t="shared" si="376"/>
        <v>0.29032642172417039</v>
      </c>
      <c r="R349" s="84">
        <f t="shared" si="376"/>
        <v>0.2898364217241704</v>
      </c>
      <c r="S349" s="84">
        <f t="shared" si="376"/>
        <v>0.28934642172417041</v>
      </c>
      <c r="T349" s="84">
        <f t="shared" ref="T349:AC349" si="379">+S349+(0.711/100)</f>
        <v>0.29645642172417042</v>
      </c>
      <c r="U349" s="84">
        <f t="shared" si="379"/>
        <v>0.30356642172417042</v>
      </c>
      <c r="V349" s="84">
        <f t="shared" si="379"/>
        <v>0.31067642172417043</v>
      </c>
      <c r="W349" s="84">
        <f t="shared" si="379"/>
        <v>0.31778642172417043</v>
      </c>
      <c r="X349" s="84">
        <f t="shared" si="379"/>
        <v>0.32489642172417044</v>
      </c>
      <c r="Y349" s="84">
        <f t="shared" si="379"/>
        <v>0.33200642172417044</v>
      </c>
      <c r="Z349" s="84">
        <f t="shared" si="379"/>
        <v>0.33911642172417045</v>
      </c>
      <c r="AA349" s="84">
        <f t="shared" si="379"/>
        <v>0.34622642172417045</v>
      </c>
      <c r="AB349" s="84">
        <f t="shared" si="379"/>
        <v>0.35333642172417046</v>
      </c>
      <c r="AC349" s="84">
        <f t="shared" si="379"/>
        <v>0.36044642172417046</v>
      </c>
    </row>
    <row r="350" spans="1:29" x14ac:dyDescent="0.25">
      <c r="A350" s="54" t="s">
        <v>5</v>
      </c>
      <c r="B350" s="86" t="s">
        <v>21</v>
      </c>
      <c r="C350" s="86"/>
      <c r="D350" s="84">
        <f t="shared" ref="D350:P350" si="380">+D230</f>
        <v>8.4683257256326048</v>
      </c>
      <c r="E350" s="84">
        <f t="shared" si="380"/>
        <v>8.4683257256326048</v>
      </c>
      <c r="F350" s="84">
        <f t="shared" si="380"/>
        <v>8.4683257256326048</v>
      </c>
      <c r="G350" s="84">
        <f t="shared" si="380"/>
        <v>8.4683257256326048</v>
      </c>
      <c r="H350" s="84">
        <f t="shared" si="380"/>
        <v>8.4683257256326048</v>
      </c>
      <c r="I350" s="84">
        <f t="shared" si="380"/>
        <v>8.9558266390271299</v>
      </c>
      <c r="J350" s="84">
        <f t="shared" si="380"/>
        <v>9.4433275524216551</v>
      </c>
      <c r="K350" s="84">
        <f t="shared" si="380"/>
        <v>6.7712274754821786</v>
      </c>
      <c r="L350" s="84">
        <f t="shared" si="380"/>
        <v>4.0991273985427013</v>
      </c>
      <c r="M350" s="84">
        <f t="shared" si="380"/>
        <v>4.5751846285242097</v>
      </c>
      <c r="N350" s="84">
        <f t="shared" si="380"/>
        <v>4.5751846285242097</v>
      </c>
      <c r="O350" s="84">
        <f t="shared" si="380"/>
        <v>2.7808150693631393</v>
      </c>
      <c r="P350" s="84">
        <f t="shared" si="380"/>
        <v>2.7808150693631393</v>
      </c>
      <c r="Q350" s="84">
        <f t="shared" si="376"/>
        <v>2.7803250693631392</v>
      </c>
      <c r="R350" s="84">
        <f t="shared" si="376"/>
        <v>2.7798350693631391</v>
      </c>
      <c r="S350" s="84">
        <f t="shared" si="376"/>
        <v>2.779345069363139</v>
      </c>
      <c r="T350" s="84">
        <f t="shared" ref="T350:AC350" si="381">+S350+(0.711/100)</f>
        <v>2.7864550693631389</v>
      </c>
      <c r="U350" s="84">
        <f t="shared" si="381"/>
        <v>2.7935650693631389</v>
      </c>
      <c r="V350" s="84">
        <f t="shared" si="381"/>
        <v>2.8006750693631388</v>
      </c>
      <c r="W350" s="84">
        <f t="shared" si="381"/>
        <v>2.8077850693631388</v>
      </c>
      <c r="X350" s="84">
        <f t="shared" si="381"/>
        <v>2.8148950693631387</v>
      </c>
      <c r="Y350" s="84">
        <f t="shared" si="381"/>
        <v>2.8220050693631387</v>
      </c>
      <c r="Z350" s="84">
        <f t="shared" si="381"/>
        <v>2.8291150693631386</v>
      </c>
      <c r="AA350" s="84">
        <f t="shared" si="381"/>
        <v>2.8362250693631386</v>
      </c>
      <c r="AB350" s="84">
        <f t="shared" si="381"/>
        <v>2.8433350693631385</v>
      </c>
      <c r="AC350" s="84">
        <f t="shared" si="381"/>
        <v>2.8504450693631385</v>
      </c>
    </row>
    <row r="351" spans="1:29" x14ac:dyDescent="0.25">
      <c r="A351" s="54" t="s">
        <v>5</v>
      </c>
      <c r="B351" s="86" t="s">
        <v>22</v>
      </c>
      <c r="C351" s="86"/>
      <c r="D351" s="84">
        <f t="shared" ref="D351:P351" si="382">+D231</f>
        <v>3.4423197971978516</v>
      </c>
      <c r="E351" s="84">
        <f t="shared" si="382"/>
        <v>3.4423197971978516</v>
      </c>
      <c r="F351" s="84">
        <f t="shared" si="382"/>
        <v>3.4423197971978516</v>
      </c>
      <c r="G351" s="84">
        <f t="shared" si="382"/>
        <v>3.4423197971978516</v>
      </c>
      <c r="H351" s="84">
        <f t="shared" si="382"/>
        <v>3.4423197971978516</v>
      </c>
      <c r="I351" s="84">
        <f t="shared" si="382"/>
        <v>3.6404857747122139</v>
      </c>
      <c r="J351" s="84">
        <f t="shared" si="382"/>
        <v>3.8386517522265771</v>
      </c>
      <c r="K351" s="84">
        <f t="shared" si="382"/>
        <v>2.7524603027053631</v>
      </c>
      <c r="L351" s="84">
        <f t="shared" si="382"/>
        <v>1.6662688531841492</v>
      </c>
      <c r="M351" s="84">
        <f t="shared" si="382"/>
        <v>1.8597830471887851</v>
      </c>
      <c r="N351" s="84">
        <f t="shared" si="382"/>
        <v>1.8597830471887851</v>
      </c>
      <c r="O351" s="84">
        <f t="shared" si="382"/>
        <v>1.1303833928636189</v>
      </c>
      <c r="P351" s="84">
        <f t="shared" si="382"/>
        <v>1.1303833928636189</v>
      </c>
      <c r="Q351" s="84">
        <f t="shared" si="376"/>
        <v>1.1298933928636188</v>
      </c>
      <c r="R351" s="84">
        <f t="shared" si="376"/>
        <v>1.1294033928636187</v>
      </c>
      <c r="S351" s="84">
        <f t="shared" si="376"/>
        <v>1.1289133928636186</v>
      </c>
      <c r="T351" s="84">
        <f t="shared" ref="T351:AC351" si="383">+S351+(0.711/100)</f>
        <v>1.1360233928636185</v>
      </c>
      <c r="U351" s="84">
        <f t="shared" si="383"/>
        <v>1.1431333928636185</v>
      </c>
      <c r="V351" s="84">
        <f t="shared" si="383"/>
        <v>1.1502433928636184</v>
      </c>
      <c r="W351" s="84">
        <f t="shared" si="383"/>
        <v>1.1573533928636184</v>
      </c>
      <c r="X351" s="84">
        <f t="shared" si="383"/>
        <v>1.1644633928636183</v>
      </c>
      <c r="Y351" s="84">
        <f t="shared" si="383"/>
        <v>1.1715733928636183</v>
      </c>
      <c r="Z351" s="84">
        <f t="shared" si="383"/>
        <v>1.1786833928636182</v>
      </c>
      <c r="AA351" s="84">
        <f t="shared" si="383"/>
        <v>1.1857933928636182</v>
      </c>
      <c r="AB351" s="84">
        <f t="shared" si="383"/>
        <v>1.1929033928636181</v>
      </c>
      <c r="AC351" s="84">
        <f t="shared" si="383"/>
        <v>1.2000133928636181</v>
      </c>
    </row>
    <row r="352" spans="1:29" x14ac:dyDescent="0.25">
      <c r="A352" s="54" t="s">
        <v>5</v>
      </c>
      <c r="B352" s="86" t="s">
        <v>23</v>
      </c>
      <c r="C352" s="86"/>
      <c r="D352" s="84">
        <f t="shared" ref="D352:P352" si="384">+D232</f>
        <v>2.3706365082812315</v>
      </c>
      <c r="E352" s="84">
        <f t="shared" si="384"/>
        <v>2.3706365082812315</v>
      </c>
      <c r="F352" s="84">
        <f t="shared" si="384"/>
        <v>2.3706365082812315</v>
      </c>
      <c r="G352" s="84">
        <f t="shared" si="384"/>
        <v>2.3706365082812315</v>
      </c>
      <c r="H352" s="84">
        <f t="shared" si="384"/>
        <v>2.3706365082812315</v>
      </c>
      <c r="I352" s="84">
        <f t="shared" si="384"/>
        <v>2.5071082856498532</v>
      </c>
      <c r="J352" s="84">
        <f t="shared" si="384"/>
        <v>2.6435800630184758</v>
      </c>
      <c r="K352" s="84">
        <f t="shared" si="384"/>
        <v>1.8955481377702765</v>
      </c>
      <c r="L352" s="84">
        <f t="shared" si="384"/>
        <v>1.1475162125220773</v>
      </c>
      <c r="M352" s="84">
        <f t="shared" si="384"/>
        <v>1.2807844270416706</v>
      </c>
      <c r="N352" s="84">
        <f t="shared" si="384"/>
        <v>1.2807844270416706</v>
      </c>
      <c r="O352" s="84">
        <f t="shared" si="384"/>
        <v>0.77846577231397196</v>
      </c>
      <c r="P352" s="84">
        <f t="shared" si="384"/>
        <v>0.77846577231397196</v>
      </c>
      <c r="Q352" s="84">
        <f t="shared" si="376"/>
        <v>0.77797577231397197</v>
      </c>
      <c r="R352" s="84">
        <f t="shared" si="376"/>
        <v>0.77748577231397198</v>
      </c>
      <c r="S352" s="84">
        <f t="shared" si="376"/>
        <v>0.77699577231397199</v>
      </c>
      <c r="T352" s="84">
        <f t="shared" ref="T352:AC352" si="385">+S352+(0.711/100)</f>
        <v>0.78410577231397194</v>
      </c>
      <c r="U352" s="84">
        <f t="shared" si="385"/>
        <v>0.79121577231397189</v>
      </c>
      <c r="V352" s="84">
        <f t="shared" si="385"/>
        <v>0.79832577231397184</v>
      </c>
      <c r="W352" s="84">
        <f t="shared" si="385"/>
        <v>0.80543577231397179</v>
      </c>
      <c r="X352" s="84">
        <f t="shared" si="385"/>
        <v>0.81254577231397174</v>
      </c>
      <c r="Y352" s="84">
        <f t="shared" si="385"/>
        <v>0.81965577231397169</v>
      </c>
      <c r="Z352" s="84">
        <f t="shared" si="385"/>
        <v>0.82676577231397164</v>
      </c>
      <c r="AA352" s="84">
        <f t="shared" si="385"/>
        <v>0.83387577231397159</v>
      </c>
      <c r="AB352" s="84">
        <f t="shared" si="385"/>
        <v>0.84098577231397154</v>
      </c>
      <c r="AC352" s="84">
        <f t="shared" si="385"/>
        <v>0.84809577231397149</v>
      </c>
    </row>
    <row r="353" spans="1:29" x14ac:dyDescent="0.25">
      <c r="A353" s="54" t="s">
        <v>5</v>
      </c>
      <c r="B353" s="86" t="s">
        <v>24</v>
      </c>
      <c r="C353" s="86"/>
      <c r="D353" s="84">
        <f t="shared" ref="D353:P353" si="386">+D233</f>
        <v>17.347125901318453</v>
      </c>
      <c r="E353" s="84">
        <f t="shared" si="386"/>
        <v>17.347125901318453</v>
      </c>
      <c r="F353" s="84">
        <f t="shared" si="386"/>
        <v>17.347125901318453</v>
      </c>
      <c r="G353" s="84">
        <f t="shared" si="386"/>
        <v>17.347125901318453</v>
      </c>
      <c r="H353" s="84">
        <f t="shared" si="386"/>
        <v>17.347125901318453</v>
      </c>
      <c r="I353" s="84">
        <f t="shared" si="386"/>
        <v>18.3457577437457</v>
      </c>
      <c r="J353" s="84">
        <f t="shared" si="386"/>
        <v>19.344389586172955</v>
      </c>
      <c r="K353" s="84">
        <f t="shared" si="386"/>
        <v>13.870668102446119</v>
      </c>
      <c r="L353" s="84">
        <f t="shared" si="386"/>
        <v>8.3969466187192836</v>
      </c>
      <c r="M353" s="84">
        <f t="shared" si="386"/>
        <v>9.3721363991177249</v>
      </c>
      <c r="N353" s="84">
        <f t="shared" si="386"/>
        <v>9.3721363991177249</v>
      </c>
      <c r="O353" s="84">
        <f t="shared" si="386"/>
        <v>5.6964210730005185</v>
      </c>
      <c r="P353" s="84">
        <f t="shared" si="386"/>
        <v>5.6964210730005185</v>
      </c>
      <c r="Q353" s="84">
        <f t="shared" si="376"/>
        <v>5.6959310730005184</v>
      </c>
      <c r="R353" s="84">
        <f t="shared" si="376"/>
        <v>5.6954410730005183</v>
      </c>
      <c r="S353" s="84">
        <f t="shared" si="376"/>
        <v>5.6949510730005182</v>
      </c>
      <c r="T353" s="84">
        <f t="shared" ref="T353:AC353" si="387">+S353+(0.711/100)</f>
        <v>5.7020610730005181</v>
      </c>
      <c r="U353" s="84">
        <f t="shared" si="387"/>
        <v>5.7091710730005181</v>
      </c>
      <c r="V353" s="84">
        <f t="shared" si="387"/>
        <v>5.716281073000518</v>
      </c>
      <c r="W353" s="84">
        <f t="shared" si="387"/>
        <v>5.723391073000518</v>
      </c>
      <c r="X353" s="84">
        <f t="shared" si="387"/>
        <v>5.7305010730005179</v>
      </c>
      <c r="Y353" s="84">
        <f t="shared" si="387"/>
        <v>5.7376110730005179</v>
      </c>
      <c r="Z353" s="84">
        <f t="shared" si="387"/>
        <v>5.7447210730005178</v>
      </c>
      <c r="AA353" s="84">
        <f t="shared" si="387"/>
        <v>5.7518310730005178</v>
      </c>
      <c r="AB353" s="84">
        <f t="shared" si="387"/>
        <v>5.7589410730005177</v>
      </c>
      <c r="AC353" s="84">
        <f t="shared" si="387"/>
        <v>5.7660510730005177</v>
      </c>
    </row>
    <row r="354" spans="1:29" x14ac:dyDescent="0.25">
      <c r="A354" s="54" t="s">
        <v>5</v>
      </c>
      <c r="B354" s="86" t="s">
        <v>25</v>
      </c>
      <c r="C354" s="86"/>
      <c r="D354" s="84">
        <f t="shared" ref="D354:P354" si="388">+D234</f>
        <v>1.9219258931165539</v>
      </c>
      <c r="E354" s="84">
        <f t="shared" si="388"/>
        <v>1.9219258931165539</v>
      </c>
      <c r="F354" s="84">
        <f t="shared" si="388"/>
        <v>1.9219258931165539</v>
      </c>
      <c r="G354" s="84">
        <f t="shared" si="388"/>
        <v>1.9219258931165539</v>
      </c>
      <c r="H354" s="84">
        <f t="shared" si="388"/>
        <v>1.9219258931165539</v>
      </c>
      <c r="I354" s="84">
        <f t="shared" si="388"/>
        <v>2.0325664918283985</v>
      </c>
      <c r="J354" s="84">
        <f t="shared" si="388"/>
        <v>2.1432070905402436</v>
      </c>
      <c r="K354" s="84">
        <f t="shared" si="388"/>
        <v>1.536761555347385</v>
      </c>
      <c r="L354" s="84">
        <f t="shared" si="388"/>
        <v>0.93031602015452641</v>
      </c>
      <c r="M354" s="84">
        <f t="shared" si="388"/>
        <v>1.038359421713511</v>
      </c>
      <c r="N354" s="84">
        <f t="shared" si="388"/>
        <v>1.038359421713511</v>
      </c>
      <c r="O354" s="84">
        <f t="shared" si="388"/>
        <v>0.63111890814503058</v>
      </c>
      <c r="P354" s="84">
        <f t="shared" si="388"/>
        <v>0.63111890814503058</v>
      </c>
      <c r="Q354" s="84">
        <f t="shared" si="376"/>
        <v>0.63062890814503059</v>
      </c>
      <c r="R354" s="84">
        <f t="shared" si="376"/>
        <v>0.6301389081450306</v>
      </c>
      <c r="S354" s="84">
        <f t="shared" si="376"/>
        <v>0.62964890814503061</v>
      </c>
      <c r="T354" s="84">
        <f t="shared" ref="T354:AC354" si="389">+S354+(0.711/100)</f>
        <v>0.63675890814503056</v>
      </c>
      <c r="U354" s="84">
        <f t="shared" si="389"/>
        <v>0.64386890814503051</v>
      </c>
      <c r="V354" s="84">
        <f t="shared" si="389"/>
        <v>0.65097890814503045</v>
      </c>
      <c r="W354" s="84">
        <f t="shared" si="389"/>
        <v>0.6580889081450304</v>
      </c>
      <c r="X354" s="84">
        <f t="shared" si="389"/>
        <v>0.66519890814503035</v>
      </c>
      <c r="Y354" s="84">
        <f t="shared" si="389"/>
        <v>0.6723089081450303</v>
      </c>
      <c r="Z354" s="84">
        <f t="shared" si="389"/>
        <v>0.67941890814503025</v>
      </c>
      <c r="AA354" s="84">
        <f t="shared" si="389"/>
        <v>0.6865289081450302</v>
      </c>
      <c r="AB354" s="84">
        <f t="shared" si="389"/>
        <v>0.69363890814503015</v>
      </c>
      <c r="AC354" s="84">
        <f t="shared" si="389"/>
        <v>0.7007489081450301</v>
      </c>
    </row>
    <row r="355" spans="1:29" x14ac:dyDescent="0.25">
      <c r="A355" s="54" t="s">
        <v>5</v>
      </c>
      <c r="B355" s="86" t="s">
        <v>26</v>
      </c>
      <c r="C355" s="86"/>
      <c r="D355" s="84">
        <f t="shared" ref="D355:P355" si="390">+D235</f>
        <v>0.4773143868604896</v>
      </c>
      <c r="E355" s="84">
        <f t="shared" si="390"/>
        <v>0.4773143868604896</v>
      </c>
      <c r="F355" s="84">
        <f t="shared" si="390"/>
        <v>0.4773143868604896</v>
      </c>
      <c r="G355" s="84">
        <f t="shared" si="390"/>
        <v>0.4773143868604896</v>
      </c>
      <c r="H355" s="84">
        <f t="shared" si="390"/>
        <v>0.4773143868604896</v>
      </c>
      <c r="I355" s="84">
        <f t="shared" si="390"/>
        <v>0.50479221507705285</v>
      </c>
      <c r="J355" s="84">
        <f t="shared" si="390"/>
        <v>0.53227004329361616</v>
      </c>
      <c r="K355" s="84">
        <f t="shared" si="390"/>
        <v>0.38165800365588065</v>
      </c>
      <c r="L355" s="84">
        <f t="shared" si="390"/>
        <v>0.23104596401814509</v>
      </c>
      <c r="M355" s="84">
        <f t="shared" si="390"/>
        <v>0.25787877279300503</v>
      </c>
      <c r="N355" s="84">
        <f t="shared" si="390"/>
        <v>0.25787877279300503</v>
      </c>
      <c r="O355" s="84">
        <f t="shared" si="390"/>
        <v>0.15673972433391753</v>
      </c>
      <c r="P355" s="84">
        <f t="shared" si="390"/>
        <v>0.15673972433391753</v>
      </c>
      <c r="Q355" s="84">
        <f t="shared" si="376"/>
        <v>0.15624972433391754</v>
      </c>
      <c r="R355" s="84">
        <f t="shared" si="376"/>
        <v>0.15575972433391755</v>
      </c>
      <c r="S355" s="84">
        <f t="shared" si="376"/>
        <v>0.15526972433391756</v>
      </c>
      <c r="T355" s="84">
        <f t="shared" ref="T355:AC355" si="391">+S355+(0.711/100)</f>
        <v>0.16237972433391756</v>
      </c>
      <c r="U355" s="84">
        <f t="shared" si="391"/>
        <v>0.16948972433391757</v>
      </c>
      <c r="V355" s="84">
        <f t="shared" si="391"/>
        <v>0.17659972433391757</v>
      </c>
      <c r="W355" s="84">
        <f t="shared" si="391"/>
        <v>0.18370972433391758</v>
      </c>
      <c r="X355" s="84">
        <f t="shared" si="391"/>
        <v>0.19081972433391758</v>
      </c>
      <c r="Y355" s="84">
        <f t="shared" si="391"/>
        <v>0.19792972433391759</v>
      </c>
      <c r="Z355" s="84">
        <f t="shared" si="391"/>
        <v>0.20503972433391759</v>
      </c>
      <c r="AA355" s="84">
        <f t="shared" si="391"/>
        <v>0.2121497243339176</v>
      </c>
      <c r="AB355" s="84">
        <f t="shared" si="391"/>
        <v>0.2192597243339176</v>
      </c>
      <c r="AC355" s="84">
        <f t="shared" si="391"/>
        <v>0.22636972433391761</v>
      </c>
    </row>
    <row r="356" spans="1:29" x14ac:dyDescent="0.25">
      <c r="A356" s="54" t="s">
        <v>5</v>
      </c>
      <c r="B356" s="86" t="s">
        <v>27</v>
      </c>
      <c r="C356" s="86"/>
      <c r="D356" s="84">
        <f t="shared" ref="D356:P356" si="392">+D236</f>
        <v>1.9960470624020827</v>
      </c>
      <c r="E356" s="84">
        <f t="shared" si="392"/>
        <v>1.9960470624020827</v>
      </c>
      <c r="F356" s="84">
        <f t="shared" si="392"/>
        <v>1.9960470624020827</v>
      </c>
      <c r="G356" s="84">
        <f t="shared" si="392"/>
        <v>1.9960470624020827</v>
      </c>
      <c r="H356" s="84">
        <f t="shared" si="392"/>
        <v>1.9960470624020827</v>
      </c>
      <c r="I356" s="84">
        <f t="shared" si="392"/>
        <v>2.110954636534959</v>
      </c>
      <c r="J356" s="84">
        <f t="shared" si="392"/>
        <v>2.2258622106678358</v>
      </c>
      <c r="K356" s="84">
        <f t="shared" si="392"/>
        <v>1.5960284416531247</v>
      </c>
      <c r="L356" s="84">
        <f t="shared" si="392"/>
        <v>0.96619467263841352</v>
      </c>
      <c r="M356" s="84">
        <f t="shared" si="392"/>
        <v>1.0784048858761521</v>
      </c>
      <c r="N356" s="84">
        <f t="shared" si="392"/>
        <v>1.0784048858761521</v>
      </c>
      <c r="O356" s="84">
        <f t="shared" si="392"/>
        <v>0.65545869751852182</v>
      </c>
      <c r="P356" s="84">
        <f t="shared" si="392"/>
        <v>0.65545869751852182</v>
      </c>
      <c r="Q356" s="84">
        <f t="shared" si="376"/>
        <v>0.65496869751852183</v>
      </c>
      <c r="R356" s="84">
        <f t="shared" si="376"/>
        <v>0.65447869751852183</v>
      </c>
      <c r="S356" s="84">
        <f t="shared" si="376"/>
        <v>0.65398869751852184</v>
      </c>
      <c r="T356" s="84">
        <f t="shared" ref="T356:AC356" si="393">+S356+(0.711/100)</f>
        <v>0.66109869751852179</v>
      </c>
      <c r="U356" s="84">
        <f t="shared" si="393"/>
        <v>0.66820869751852174</v>
      </c>
      <c r="V356" s="84">
        <f t="shared" si="393"/>
        <v>0.67531869751852169</v>
      </c>
      <c r="W356" s="84">
        <f t="shared" si="393"/>
        <v>0.68242869751852164</v>
      </c>
      <c r="X356" s="84">
        <f t="shared" si="393"/>
        <v>0.68953869751852159</v>
      </c>
      <c r="Y356" s="84">
        <f t="shared" si="393"/>
        <v>0.69664869751852154</v>
      </c>
      <c r="Z356" s="84">
        <f t="shared" si="393"/>
        <v>0.70375869751852149</v>
      </c>
      <c r="AA356" s="84">
        <f t="shared" si="393"/>
        <v>0.71086869751852144</v>
      </c>
      <c r="AB356" s="84">
        <f t="shared" si="393"/>
        <v>0.71797869751852139</v>
      </c>
      <c r="AC356" s="84">
        <f t="shared" si="393"/>
        <v>0.72508869751852134</v>
      </c>
    </row>
    <row r="358" spans="1:29" x14ac:dyDescent="0.25">
      <c r="A358" s="1" t="s">
        <v>105</v>
      </c>
      <c r="B358" s="65" t="s">
        <v>106</v>
      </c>
      <c r="C358" s="65"/>
      <c r="D358" s="1">
        <v>2010</v>
      </c>
      <c r="E358" s="1">
        <v>2011</v>
      </c>
      <c r="F358" s="1">
        <v>2012</v>
      </c>
      <c r="G358" s="1">
        <v>2013</v>
      </c>
      <c r="H358" s="1">
        <v>2014</v>
      </c>
      <c r="I358" s="1">
        <v>2015</v>
      </c>
      <c r="J358" s="1">
        <v>2016</v>
      </c>
      <c r="K358" s="1">
        <v>2017</v>
      </c>
      <c r="L358" s="1">
        <v>2018</v>
      </c>
      <c r="M358" s="1">
        <v>2019</v>
      </c>
      <c r="N358" s="1">
        <v>2020</v>
      </c>
      <c r="O358" s="1">
        <v>2021</v>
      </c>
      <c r="P358" s="1">
        <v>2022</v>
      </c>
      <c r="Q358" s="1">
        <v>2023</v>
      </c>
      <c r="R358" s="1">
        <v>2024</v>
      </c>
      <c r="S358" s="1">
        <v>2025</v>
      </c>
      <c r="T358" s="1">
        <v>2026</v>
      </c>
      <c r="U358" s="1">
        <v>2027</v>
      </c>
      <c r="V358" s="1">
        <v>2028</v>
      </c>
      <c r="W358" s="1">
        <v>2029</v>
      </c>
      <c r="X358" s="1">
        <v>2030</v>
      </c>
      <c r="Y358" s="1">
        <v>2031</v>
      </c>
      <c r="Z358" s="1">
        <v>2032</v>
      </c>
      <c r="AA358" s="1">
        <v>2033</v>
      </c>
      <c r="AB358" s="1">
        <v>2034</v>
      </c>
      <c r="AC358" s="1">
        <v>2035</v>
      </c>
    </row>
    <row r="359" spans="1:29" x14ac:dyDescent="0.25">
      <c r="A359" s="54" t="s">
        <v>6</v>
      </c>
      <c r="B359" s="86" t="s">
        <v>18</v>
      </c>
      <c r="C359" s="86"/>
      <c r="D359" s="84">
        <f t="shared" ref="D359:P359" si="394">+D239</f>
        <v>0</v>
      </c>
      <c r="E359" s="84" t="e">
        <f t="shared" si="394"/>
        <v>#VALUE!</v>
      </c>
      <c r="F359" s="84">
        <f t="shared" si="394"/>
        <v>0</v>
      </c>
      <c r="G359" s="84" t="e">
        <f t="shared" si="394"/>
        <v>#VALUE!</v>
      </c>
      <c r="H359" s="84">
        <f t="shared" si="394"/>
        <v>0</v>
      </c>
      <c r="I359" s="84" t="e">
        <f t="shared" si="394"/>
        <v>#VALUE!</v>
      </c>
      <c r="J359" s="84">
        <f t="shared" si="394"/>
        <v>0</v>
      </c>
      <c r="K359" s="84" t="e">
        <f t="shared" si="394"/>
        <v>#VALUE!</v>
      </c>
      <c r="L359" s="84">
        <f t="shared" si="394"/>
        <v>0.43259573915164978</v>
      </c>
      <c r="M359" s="84">
        <f t="shared" si="394"/>
        <v>0.131036139243284</v>
      </c>
      <c r="N359" s="84">
        <f t="shared" si="394"/>
        <v>0.131036139243284</v>
      </c>
      <c r="O359" s="84">
        <f t="shared" si="394"/>
        <v>0</v>
      </c>
      <c r="P359" s="84">
        <f t="shared" si="394"/>
        <v>0</v>
      </c>
      <c r="Q359" s="84">
        <f t="shared" ref="Q359:S367" si="395">+P359-(0.049/100)</f>
        <v>-4.8999999999999998E-4</v>
      </c>
      <c r="R359" s="84">
        <f t="shared" si="395"/>
        <v>-9.7999999999999997E-4</v>
      </c>
      <c r="S359" s="84">
        <f t="shared" si="395"/>
        <v>-1.47E-3</v>
      </c>
      <c r="T359" s="84">
        <f t="shared" ref="T359:AC359" si="396">+S359+(0.711/100)</f>
        <v>5.64E-3</v>
      </c>
      <c r="U359" s="84">
        <f t="shared" si="396"/>
        <v>1.2750000000000001E-2</v>
      </c>
      <c r="V359" s="84">
        <f t="shared" si="396"/>
        <v>1.9860000000000003E-2</v>
      </c>
      <c r="W359" s="84">
        <f t="shared" si="396"/>
        <v>2.6970000000000001E-2</v>
      </c>
      <c r="X359" s="84">
        <f t="shared" si="396"/>
        <v>3.4079999999999999E-2</v>
      </c>
      <c r="Y359" s="84">
        <f t="shared" si="396"/>
        <v>4.1189999999999997E-2</v>
      </c>
      <c r="Z359" s="84">
        <f t="shared" si="396"/>
        <v>4.8299999999999996E-2</v>
      </c>
      <c r="AA359" s="84">
        <f t="shared" si="396"/>
        <v>5.5409999999999994E-2</v>
      </c>
      <c r="AB359" s="84">
        <f t="shared" si="396"/>
        <v>6.2519999999999992E-2</v>
      </c>
      <c r="AC359" s="84">
        <f t="shared" si="396"/>
        <v>6.9629999999999997E-2</v>
      </c>
    </row>
    <row r="360" spans="1:29" x14ac:dyDescent="0.25">
      <c r="A360" s="54" t="s">
        <v>6</v>
      </c>
      <c r="B360" s="86" t="s">
        <v>20</v>
      </c>
      <c r="C360" s="86"/>
      <c r="D360" s="84">
        <f t="shared" ref="D360:P360" si="397">+D240</f>
        <v>0</v>
      </c>
      <c r="E360" s="84" t="e">
        <f t="shared" si="397"/>
        <v>#VALUE!</v>
      </c>
      <c r="F360" s="84">
        <f t="shared" si="397"/>
        <v>0</v>
      </c>
      <c r="G360" s="84" t="e">
        <f t="shared" si="397"/>
        <v>#VALUE!</v>
      </c>
      <c r="H360" s="84">
        <f t="shared" si="397"/>
        <v>0</v>
      </c>
      <c r="I360" s="84" t="e">
        <f t="shared" si="397"/>
        <v>#VALUE!</v>
      </c>
      <c r="J360" s="84">
        <f t="shared" si="397"/>
        <v>0</v>
      </c>
      <c r="K360" s="84" t="e">
        <f t="shared" si="397"/>
        <v>#VALUE!</v>
      </c>
      <c r="L360" s="84">
        <f t="shared" si="397"/>
        <v>4.224377800008134</v>
      </c>
      <c r="M360" s="84">
        <f t="shared" si="397"/>
        <v>1.2795922555863497</v>
      </c>
      <c r="N360" s="84">
        <f t="shared" si="397"/>
        <v>1.2795922555863497</v>
      </c>
      <c r="O360" s="84">
        <f t="shared" si="397"/>
        <v>0</v>
      </c>
      <c r="P360" s="84">
        <f t="shared" si="397"/>
        <v>0</v>
      </c>
      <c r="Q360" s="84">
        <f t="shared" si="395"/>
        <v>-4.8999999999999998E-4</v>
      </c>
      <c r="R360" s="84">
        <f t="shared" si="395"/>
        <v>-9.7999999999999997E-4</v>
      </c>
      <c r="S360" s="84">
        <f t="shared" si="395"/>
        <v>-1.47E-3</v>
      </c>
      <c r="T360" s="84">
        <f t="shared" ref="T360:AC360" si="398">+S360+(0.711/100)</f>
        <v>5.64E-3</v>
      </c>
      <c r="U360" s="84">
        <f t="shared" si="398"/>
        <v>1.2750000000000001E-2</v>
      </c>
      <c r="V360" s="84">
        <f t="shared" si="398"/>
        <v>1.9860000000000003E-2</v>
      </c>
      <c r="W360" s="84">
        <f t="shared" si="398"/>
        <v>2.6970000000000001E-2</v>
      </c>
      <c r="X360" s="84">
        <f t="shared" si="398"/>
        <v>3.4079999999999999E-2</v>
      </c>
      <c r="Y360" s="84">
        <f t="shared" si="398"/>
        <v>4.1189999999999997E-2</v>
      </c>
      <c r="Z360" s="84">
        <f t="shared" si="398"/>
        <v>4.8299999999999996E-2</v>
      </c>
      <c r="AA360" s="84">
        <f t="shared" si="398"/>
        <v>5.5409999999999994E-2</v>
      </c>
      <c r="AB360" s="84">
        <f t="shared" si="398"/>
        <v>6.2519999999999992E-2</v>
      </c>
      <c r="AC360" s="84">
        <f t="shared" si="398"/>
        <v>6.9629999999999997E-2</v>
      </c>
    </row>
    <row r="361" spans="1:29" x14ac:dyDescent="0.25">
      <c r="A361" s="54" t="s">
        <v>6</v>
      </c>
      <c r="B361" s="86" t="s">
        <v>21</v>
      </c>
      <c r="C361" s="86"/>
      <c r="D361" s="84">
        <f t="shared" ref="D361:P361" si="399">+D241</f>
        <v>0</v>
      </c>
      <c r="E361" s="84" t="e">
        <f t="shared" si="399"/>
        <v>#VALUE!</v>
      </c>
      <c r="F361" s="84">
        <f t="shared" si="399"/>
        <v>0</v>
      </c>
      <c r="G361" s="84" t="e">
        <f t="shared" si="399"/>
        <v>#VALUE!</v>
      </c>
      <c r="H361" s="84">
        <f t="shared" si="399"/>
        <v>0</v>
      </c>
      <c r="I361" s="84" t="e">
        <f t="shared" si="399"/>
        <v>#VALUE!</v>
      </c>
      <c r="J361" s="84">
        <f t="shared" si="399"/>
        <v>0</v>
      </c>
      <c r="K361" s="84" t="e">
        <f t="shared" si="399"/>
        <v>#VALUE!</v>
      </c>
      <c r="L361" s="84">
        <f t="shared" si="399"/>
        <v>40.39391371126753</v>
      </c>
      <c r="M361" s="84">
        <f t="shared" si="399"/>
        <v>12.235586305197812</v>
      </c>
      <c r="N361" s="84">
        <f t="shared" si="399"/>
        <v>12.235586305197812</v>
      </c>
      <c r="O361" s="84">
        <f t="shared" si="399"/>
        <v>0</v>
      </c>
      <c r="P361" s="84">
        <f t="shared" si="399"/>
        <v>0</v>
      </c>
      <c r="Q361" s="84">
        <f t="shared" si="395"/>
        <v>-4.8999999999999998E-4</v>
      </c>
      <c r="R361" s="84">
        <f t="shared" si="395"/>
        <v>-9.7999999999999997E-4</v>
      </c>
      <c r="S361" s="84">
        <f t="shared" si="395"/>
        <v>-1.47E-3</v>
      </c>
      <c r="T361" s="84">
        <f t="shared" ref="T361:AC361" si="400">+S361+(0.711/100)</f>
        <v>5.64E-3</v>
      </c>
      <c r="U361" s="84">
        <f t="shared" si="400"/>
        <v>1.2750000000000001E-2</v>
      </c>
      <c r="V361" s="84">
        <f t="shared" si="400"/>
        <v>1.9860000000000003E-2</v>
      </c>
      <c r="W361" s="84">
        <f t="shared" si="400"/>
        <v>2.6970000000000001E-2</v>
      </c>
      <c r="X361" s="84">
        <f t="shared" si="400"/>
        <v>3.4079999999999999E-2</v>
      </c>
      <c r="Y361" s="84">
        <f t="shared" si="400"/>
        <v>4.1189999999999997E-2</v>
      </c>
      <c r="Z361" s="84">
        <f t="shared" si="400"/>
        <v>4.8299999999999996E-2</v>
      </c>
      <c r="AA361" s="84">
        <f t="shared" si="400"/>
        <v>5.5409999999999994E-2</v>
      </c>
      <c r="AB361" s="84">
        <f t="shared" si="400"/>
        <v>6.2519999999999992E-2</v>
      </c>
      <c r="AC361" s="84">
        <f t="shared" si="400"/>
        <v>6.9629999999999997E-2</v>
      </c>
    </row>
    <row r="362" spans="1:29" x14ac:dyDescent="0.25">
      <c r="A362" s="54" t="s">
        <v>6</v>
      </c>
      <c r="B362" s="86" t="s">
        <v>22</v>
      </c>
      <c r="C362" s="86"/>
      <c r="D362" s="84">
        <f t="shared" ref="D362:P362" si="401">+D242</f>
        <v>0</v>
      </c>
      <c r="E362" s="84" t="e">
        <f t="shared" si="401"/>
        <v>#VALUE!</v>
      </c>
      <c r="F362" s="84">
        <f t="shared" si="401"/>
        <v>0</v>
      </c>
      <c r="G362" s="84" t="e">
        <f t="shared" si="401"/>
        <v>#VALUE!</v>
      </c>
      <c r="H362" s="84">
        <f t="shared" si="401"/>
        <v>0</v>
      </c>
      <c r="I362" s="84" t="e">
        <f t="shared" si="401"/>
        <v>#VALUE!</v>
      </c>
      <c r="J362" s="84">
        <f t="shared" si="401"/>
        <v>0</v>
      </c>
      <c r="K362" s="84" t="e">
        <f t="shared" si="401"/>
        <v>#VALUE!</v>
      </c>
      <c r="L362" s="84">
        <f t="shared" si="401"/>
        <v>16.419865432633753</v>
      </c>
      <c r="M362" s="84">
        <f t="shared" si="401"/>
        <v>4.973686928599923</v>
      </c>
      <c r="N362" s="84">
        <f t="shared" si="401"/>
        <v>4.973686928599923</v>
      </c>
      <c r="O362" s="84">
        <f t="shared" si="401"/>
        <v>0</v>
      </c>
      <c r="P362" s="84">
        <f t="shared" si="401"/>
        <v>0</v>
      </c>
      <c r="Q362" s="84">
        <f t="shared" si="395"/>
        <v>-4.8999999999999998E-4</v>
      </c>
      <c r="R362" s="84">
        <f t="shared" si="395"/>
        <v>-9.7999999999999997E-4</v>
      </c>
      <c r="S362" s="84">
        <f t="shared" si="395"/>
        <v>-1.47E-3</v>
      </c>
      <c r="T362" s="84">
        <f t="shared" ref="T362:AC362" si="402">+S362+(0.711/100)</f>
        <v>5.64E-3</v>
      </c>
      <c r="U362" s="84">
        <f t="shared" si="402"/>
        <v>1.2750000000000001E-2</v>
      </c>
      <c r="V362" s="84">
        <f t="shared" si="402"/>
        <v>1.9860000000000003E-2</v>
      </c>
      <c r="W362" s="84">
        <f t="shared" si="402"/>
        <v>2.6970000000000001E-2</v>
      </c>
      <c r="X362" s="84">
        <f t="shared" si="402"/>
        <v>3.4079999999999999E-2</v>
      </c>
      <c r="Y362" s="84">
        <f t="shared" si="402"/>
        <v>4.1189999999999997E-2</v>
      </c>
      <c r="Z362" s="84">
        <f t="shared" si="402"/>
        <v>4.8299999999999996E-2</v>
      </c>
      <c r="AA362" s="84">
        <f t="shared" si="402"/>
        <v>5.5409999999999994E-2</v>
      </c>
      <c r="AB362" s="84">
        <f t="shared" si="402"/>
        <v>6.2519999999999992E-2</v>
      </c>
      <c r="AC362" s="84">
        <f t="shared" si="402"/>
        <v>6.9629999999999997E-2</v>
      </c>
    </row>
    <row r="363" spans="1:29" x14ac:dyDescent="0.25">
      <c r="A363" s="54" t="s">
        <v>6</v>
      </c>
      <c r="B363" s="86" t="s">
        <v>23</v>
      </c>
      <c r="C363" s="86"/>
      <c r="D363" s="84">
        <f t="shared" ref="D363:P363" si="403">+D243</f>
        <v>0</v>
      </c>
      <c r="E363" s="84" t="e">
        <f t="shared" si="403"/>
        <v>#VALUE!</v>
      </c>
      <c r="F363" s="84">
        <f t="shared" si="403"/>
        <v>0</v>
      </c>
      <c r="G363" s="84" t="e">
        <f t="shared" si="403"/>
        <v>#VALUE!</v>
      </c>
      <c r="H363" s="84">
        <f t="shared" si="403"/>
        <v>0</v>
      </c>
      <c r="I363" s="84" t="e">
        <f t="shared" si="403"/>
        <v>#VALUE!</v>
      </c>
      <c r="J363" s="84">
        <f t="shared" si="403"/>
        <v>0</v>
      </c>
      <c r="K363" s="84" t="e">
        <f t="shared" si="403"/>
        <v>#VALUE!</v>
      </c>
      <c r="L363" s="84">
        <f t="shared" si="403"/>
        <v>11.307936144501475</v>
      </c>
      <c r="M363" s="84">
        <f t="shared" si="403"/>
        <v>3.4252493981814767</v>
      </c>
      <c r="N363" s="84">
        <f t="shared" si="403"/>
        <v>3.4252493981814767</v>
      </c>
      <c r="O363" s="84">
        <f t="shared" si="403"/>
        <v>0</v>
      </c>
      <c r="P363" s="84">
        <f t="shared" si="403"/>
        <v>0</v>
      </c>
      <c r="Q363" s="84">
        <f t="shared" si="395"/>
        <v>-4.8999999999999998E-4</v>
      </c>
      <c r="R363" s="84">
        <f t="shared" si="395"/>
        <v>-9.7999999999999997E-4</v>
      </c>
      <c r="S363" s="84">
        <f t="shared" si="395"/>
        <v>-1.47E-3</v>
      </c>
      <c r="T363" s="84">
        <f t="shared" ref="T363:AC363" si="404">+S363+(0.711/100)</f>
        <v>5.64E-3</v>
      </c>
      <c r="U363" s="84">
        <f t="shared" si="404"/>
        <v>1.2750000000000001E-2</v>
      </c>
      <c r="V363" s="84">
        <f t="shared" si="404"/>
        <v>1.9860000000000003E-2</v>
      </c>
      <c r="W363" s="84">
        <f t="shared" si="404"/>
        <v>2.6970000000000001E-2</v>
      </c>
      <c r="X363" s="84">
        <f t="shared" si="404"/>
        <v>3.4079999999999999E-2</v>
      </c>
      <c r="Y363" s="84">
        <f t="shared" si="404"/>
        <v>4.1189999999999997E-2</v>
      </c>
      <c r="Z363" s="84">
        <f t="shared" si="404"/>
        <v>4.8299999999999996E-2</v>
      </c>
      <c r="AA363" s="84">
        <f t="shared" si="404"/>
        <v>5.5409999999999994E-2</v>
      </c>
      <c r="AB363" s="84">
        <f t="shared" si="404"/>
        <v>6.2519999999999992E-2</v>
      </c>
      <c r="AC363" s="84">
        <f t="shared" si="404"/>
        <v>6.9629999999999997E-2</v>
      </c>
    </row>
    <row r="364" spans="1:29" x14ac:dyDescent="0.25">
      <c r="A364" s="54" t="s">
        <v>6</v>
      </c>
      <c r="B364" s="86" t="s">
        <v>24</v>
      </c>
      <c r="C364" s="86"/>
      <c r="D364" s="84">
        <f t="shared" ref="D364:P364" si="405">+D244</f>
        <v>0</v>
      </c>
      <c r="E364" s="84" t="e">
        <f t="shared" si="405"/>
        <v>#VALUE!</v>
      </c>
      <c r="F364" s="84">
        <f t="shared" si="405"/>
        <v>0</v>
      </c>
      <c r="G364" s="84" t="e">
        <f t="shared" si="405"/>
        <v>#VALUE!</v>
      </c>
      <c r="H364" s="84">
        <f t="shared" si="405"/>
        <v>0</v>
      </c>
      <c r="I364" s="84" t="e">
        <f t="shared" si="405"/>
        <v>#VALUE!</v>
      </c>
      <c r="J364" s="84">
        <f t="shared" si="405"/>
        <v>0</v>
      </c>
      <c r="K364" s="84" t="e">
        <f t="shared" si="405"/>
        <v>#VALUE!</v>
      </c>
      <c r="L364" s="84">
        <f t="shared" si="405"/>
        <v>82.745790549289026</v>
      </c>
      <c r="M364" s="84">
        <f t="shared" si="405"/>
        <v>25.064252721202283</v>
      </c>
      <c r="N364" s="84">
        <f t="shared" si="405"/>
        <v>25.064252721202283</v>
      </c>
      <c r="O364" s="84">
        <f t="shared" si="405"/>
        <v>0</v>
      </c>
      <c r="P364" s="84">
        <f t="shared" si="405"/>
        <v>0</v>
      </c>
      <c r="Q364" s="84">
        <f t="shared" si="395"/>
        <v>-4.8999999999999998E-4</v>
      </c>
      <c r="R364" s="84">
        <f t="shared" si="395"/>
        <v>-9.7999999999999997E-4</v>
      </c>
      <c r="S364" s="84">
        <f t="shared" si="395"/>
        <v>-1.47E-3</v>
      </c>
      <c r="T364" s="84">
        <f t="shared" ref="T364:AC364" si="406">+S364+(0.711/100)</f>
        <v>5.64E-3</v>
      </c>
      <c r="U364" s="84">
        <f t="shared" si="406"/>
        <v>1.2750000000000001E-2</v>
      </c>
      <c r="V364" s="84">
        <f t="shared" si="406"/>
        <v>1.9860000000000003E-2</v>
      </c>
      <c r="W364" s="84">
        <f t="shared" si="406"/>
        <v>2.6970000000000001E-2</v>
      </c>
      <c r="X364" s="84">
        <f t="shared" si="406"/>
        <v>3.4079999999999999E-2</v>
      </c>
      <c r="Y364" s="84">
        <f t="shared" si="406"/>
        <v>4.1189999999999997E-2</v>
      </c>
      <c r="Z364" s="84">
        <f t="shared" si="406"/>
        <v>4.8299999999999996E-2</v>
      </c>
      <c r="AA364" s="84">
        <f t="shared" si="406"/>
        <v>5.5409999999999994E-2</v>
      </c>
      <c r="AB364" s="84">
        <f t="shared" si="406"/>
        <v>6.2519999999999992E-2</v>
      </c>
      <c r="AC364" s="84">
        <f t="shared" si="406"/>
        <v>6.9629999999999997E-2</v>
      </c>
    </row>
    <row r="365" spans="1:29" x14ac:dyDescent="0.25">
      <c r="A365" s="54" t="s">
        <v>6</v>
      </c>
      <c r="B365" s="86" t="s">
        <v>25</v>
      </c>
      <c r="C365" s="86"/>
      <c r="D365" s="84">
        <f t="shared" ref="D365:P365" si="407">+D245</f>
        <v>0</v>
      </c>
      <c r="E365" s="84" t="e">
        <f t="shared" si="407"/>
        <v>#VALUE!</v>
      </c>
      <c r="F365" s="84">
        <f t="shared" si="407"/>
        <v>0</v>
      </c>
      <c r="G365" s="84" t="e">
        <f t="shared" si="407"/>
        <v>#VALUE!</v>
      </c>
      <c r="H365" s="84">
        <f t="shared" si="407"/>
        <v>0</v>
      </c>
      <c r="I365" s="84" t="e">
        <f t="shared" si="407"/>
        <v>#VALUE!</v>
      </c>
      <c r="J365" s="84">
        <f t="shared" si="407"/>
        <v>0</v>
      </c>
      <c r="K365" s="84" t="e">
        <f t="shared" si="407"/>
        <v>#VALUE!</v>
      </c>
      <c r="L365" s="84">
        <f t="shared" si="407"/>
        <v>9.1675865101659628</v>
      </c>
      <c r="M365" s="84">
        <f t="shared" si="407"/>
        <v>2.7769231958381342</v>
      </c>
      <c r="N365" s="84">
        <f t="shared" si="407"/>
        <v>2.7769231958381342</v>
      </c>
      <c r="O365" s="84">
        <f t="shared" si="407"/>
        <v>0</v>
      </c>
      <c r="P365" s="84">
        <f t="shared" si="407"/>
        <v>0</v>
      </c>
      <c r="Q365" s="84">
        <f t="shared" si="395"/>
        <v>-4.8999999999999998E-4</v>
      </c>
      <c r="R365" s="84">
        <f t="shared" si="395"/>
        <v>-9.7999999999999997E-4</v>
      </c>
      <c r="S365" s="84">
        <f t="shared" si="395"/>
        <v>-1.47E-3</v>
      </c>
      <c r="T365" s="84">
        <f t="shared" ref="T365:AC365" si="408">+S365+(0.711/100)</f>
        <v>5.64E-3</v>
      </c>
      <c r="U365" s="84">
        <f t="shared" si="408"/>
        <v>1.2750000000000001E-2</v>
      </c>
      <c r="V365" s="84">
        <f t="shared" si="408"/>
        <v>1.9860000000000003E-2</v>
      </c>
      <c r="W365" s="84">
        <f t="shared" si="408"/>
        <v>2.6970000000000001E-2</v>
      </c>
      <c r="X365" s="84">
        <f t="shared" si="408"/>
        <v>3.4079999999999999E-2</v>
      </c>
      <c r="Y365" s="84">
        <f t="shared" si="408"/>
        <v>4.1189999999999997E-2</v>
      </c>
      <c r="Z365" s="84">
        <f t="shared" si="408"/>
        <v>4.8299999999999996E-2</v>
      </c>
      <c r="AA365" s="84">
        <f t="shared" si="408"/>
        <v>5.5409999999999994E-2</v>
      </c>
      <c r="AB365" s="84">
        <f t="shared" si="408"/>
        <v>6.2519999999999992E-2</v>
      </c>
      <c r="AC365" s="84">
        <f t="shared" si="408"/>
        <v>6.9629999999999997E-2</v>
      </c>
    </row>
    <row r="366" spans="1:29" x14ac:dyDescent="0.25">
      <c r="A366" s="54" t="s">
        <v>6</v>
      </c>
      <c r="B366" s="86" t="s">
        <v>26</v>
      </c>
      <c r="C366" s="86"/>
      <c r="D366" s="84">
        <f t="shared" ref="D366:P366" si="409">+D246</f>
        <v>0</v>
      </c>
      <c r="E366" s="84" t="e">
        <f t="shared" si="409"/>
        <v>#VALUE!</v>
      </c>
      <c r="F366" s="84">
        <f t="shared" si="409"/>
        <v>0</v>
      </c>
      <c r="G366" s="84" t="e">
        <f t="shared" si="409"/>
        <v>#VALUE!</v>
      </c>
      <c r="H366" s="84">
        <f t="shared" si="409"/>
        <v>0</v>
      </c>
      <c r="I366" s="84" t="e">
        <f t="shared" si="409"/>
        <v>#VALUE!</v>
      </c>
      <c r="J366" s="84">
        <f t="shared" si="409"/>
        <v>0</v>
      </c>
      <c r="K366" s="84" t="e">
        <f t="shared" si="409"/>
        <v>#VALUE!</v>
      </c>
      <c r="L366" s="84">
        <f t="shared" si="409"/>
        <v>2.2767896253245357</v>
      </c>
      <c r="M366" s="84">
        <f t="shared" si="409"/>
        <v>0.68965478706923711</v>
      </c>
      <c r="N366" s="84">
        <f t="shared" si="409"/>
        <v>0.68965478706923711</v>
      </c>
      <c r="O366" s="84">
        <f t="shared" si="409"/>
        <v>0</v>
      </c>
      <c r="P366" s="84">
        <f t="shared" si="409"/>
        <v>0</v>
      </c>
      <c r="Q366" s="84">
        <f t="shared" si="395"/>
        <v>-4.8999999999999998E-4</v>
      </c>
      <c r="R366" s="84">
        <f t="shared" si="395"/>
        <v>-9.7999999999999997E-4</v>
      </c>
      <c r="S366" s="84">
        <f t="shared" si="395"/>
        <v>-1.47E-3</v>
      </c>
      <c r="T366" s="84">
        <f t="shared" ref="T366:AC366" si="410">+S366+(0.711/100)</f>
        <v>5.64E-3</v>
      </c>
      <c r="U366" s="84">
        <f t="shared" si="410"/>
        <v>1.2750000000000001E-2</v>
      </c>
      <c r="V366" s="84">
        <f t="shared" si="410"/>
        <v>1.9860000000000003E-2</v>
      </c>
      <c r="W366" s="84">
        <f t="shared" si="410"/>
        <v>2.6970000000000001E-2</v>
      </c>
      <c r="X366" s="84">
        <f t="shared" si="410"/>
        <v>3.4079999999999999E-2</v>
      </c>
      <c r="Y366" s="84">
        <f t="shared" si="410"/>
        <v>4.1189999999999997E-2</v>
      </c>
      <c r="Z366" s="84">
        <f t="shared" si="410"/>
        <v>4.8299999999999996E-2</v>
      </c>
      <c r="AA366" s="84">
        <f t="shared" si="410"/>
        <v>5.5409999999999994E-2</v>
      </c>
      <c r="AB366" s="84">
        <f t="shared" si="410"/>
        <v>6.2519999999999992E-2</v>
      </c>
      <c r="AC366" s="84">
        <f t="shared" si="410"/>
        <v>6.9629999999999997E-2</v>
      </c>
    </row>
    <row r="367" spans="1:29" x14ac:dyDescent="0.25">
      <c r="A367" s="54" t="s">
        <v>6</v>
      </c>
      <c r="B367" s="86" t="s">
        <v>27</v>
      </c>
      <c r="C367" s="86"/>
      <c r="D367" s="84">
        <f t="shared" ref="D367:P367" si="411">+D247</f>
        <v>0</v>
      </c>
      <c r="E367" s="84" t="e">
        <f t="shared" si="411"/>
        <v>#VALUE!</v>
      </c>
      <c r="F367" s="84">
        <f t="shared" si="411"/>
        <v>0</v>
      </c>
      <c r="G367" s="84" t="e">
        <f t="shared" si="411"/>
        <v>#VALUE!</v>
      </c>
      <c r="H367" s="84">
        <f t="shared" si="411"/>
        <v>0</v>
      </c>
      <c r="I367" s="84" t="e">
        <f t="shared" si="411"/>
        <v>#VALUE!</v>
      </c>
      <c r="J367" s="84">
        <f t="shared" si="411"/>
        <v>0</v>
      </c>
      <c r="K367" s="84" t="e">
        <f t="shared" si="411"/>
        <v>#VALUE!</v>
      </c>
      <c r="L367" s="84">
        <f t="shared" si="411"/>
        <v>9.521144487657935</v>
      </c>
      <c r="M367" s="84">
        <f t="shared" si="411"/>
        <v>2.8840182690814955</v>
      </c>
      <c r="N367" s="84">
        <f t="shared" si="411"/>
        <v>2.8840182690814955</v>
      </c>
      <c r="O367" s="84">
        <f t="shared" si="411"/>
        <v>0</v>
      </c>
      <c r="P367" s="84">
        <f t="shared" si="411"/>
        <v>0</v>
      </c>
      <c r="Q367" s="84">
        <f t="shared" si="395"/>
        <v>-4.8999999999999998E-4</v>
      </c>
      <c r="R367" s="84">
        <f t="shared" si="395"/>
        <v>-9.7999999999999997E-4</v>
      </c>
      <c r="S367" s="84">
        <f t="shared" si="395"/>
        <v>-1.47E-3</v>
      </c>
      <c r="T367" s="84">
        <f t="shared" ref="T367:AC367" si="412">+S367+(0.711/100)</f>
        <v>5.64E-3</v>
      </c>
      <c r="U367" s="84">
        <f t="shared" si="412"/>
        <v>1.2750000000000001E-2</v>
      </c>
      <c r="V367" s="84">
        <f t="shared" si="412"/>
        <v>1.9860000000000003E-2</v>
      </c>
      <c r="W367" s="84">
        <f t="shared" si="412"/>
        <v>2.6970000000000001E-2</v>
      </c>
      <c r="X367" s="84">
        <f t="shared" si="412"/>
        <v>3.4079999999999999E-2</v>
      </c>
      <c r="Y367" s="84">
        <f t="shared" si="412"/>
        <v>4.1189999999999997E-2</v>
      </c>
      <c r="Z367" s="84">
        <f t="shared" si="412"/>
        <v>4.8299999999999996E-2</v>
      </c>
      <c r="AA367" s="84">
        <f t="shared" si="412"/>
        <v>5.5409999999999994E-2</v>
      </c>
      <c r="AB367" s="84">
        <f t="shared" si="412"/>
        <v>6.2519999999999992E-2</v>
      </c>
      <c r="AC367" s="84">
        <f t="shared" si="412"/>
        <v>6.9629999999999997E-2</v>
      </c>
    </row>
    <row r="369" spans="1:29" x14ac:dyDescent="0.25">
      <c r="A369" s="1" t="s">
        <v>105</v>
      </c>
      <c r="B369" s="65" t="s">
        <v>106</v>
      </c>
      <c r="C369" s="65"/>
      <c r="D369" s="1">
        <v>2010</v>
      </c>
      <c r="E369" s="1">
        <v>2011</v>
      </c>
      <c r="F369" s="1">
        <v>2012</v>
      </c>
      <c r="G369" s="1">
        <v>2013</v>
      </c>
      <c r="H369" s="1">
        <v>2014</v>
      </c>
      <c r="I369" s="1">
        <v>2015</v>
      </c>
      <c r="J369" s="1">
        <v>2016</v>
      </c>
      <c r="K369" s="1">
        <v>2017</v>
      </c>
      <c r="L369" s="1">
        <v>2018</v>
      </c>
      <c r="M369" s="1">
        <v>2019</v>
      </c>
      <c r="N369" s="1">
        <v>2020</v>
      </c>
      <c r="O369" s="1">
        <v>2021</v>
      </c>
      <c r="P369" s="1">
        <v>2022</v>
      </c>
      <c r="Q369" s="1">
        <v>2023</v>
      </c>
      <c r="R369" s="1">
        <v>2024</v>
      </c>
      <c r="S369" s="1">
        <v>2025</v>
      </c>
      <c r="T369" s="1">
        <v>2026</v>
      </c>
      <c r="U369" s="1">
        <v>2027</v>
      </c>
      <c r="V369" s="1">
        <v>2028</v>
      </c>
      <c r="W369" s="1">
        <v>2029</v>
      </c>
      <c r="X369" s="1">
        <v>2030</v>
      </c>
      <c r="Y369" s="1">
        <v>2031</v>
      </c>
      <c r="Z369" s="1">
        <v>2032</v>
      </c>
      <c r="AA369" s="1">
        <v>2033</v>
      </c>
      <c r="AB369" s="1">
        <v>2034</v>
      </c>
      <c r="AC369" s="1">
        <v>2035</v>
      </c>
    </row>
    <row r="370" spans="1:29" x14ac:dyDescent="0.25">
      <c r="A370" s="54" t="s">
        <v>113</v>
      </c>
      <c r="B370" s="86" t="s">
        <v>18</v>
      </c>
      <c r="C370" s="86"/>
      <c r="D370" s="84">
        <f t="shared" ref="D370:P370" si="413">+D250</f>
        <v>1.9608849868055968E-2</v>
      </c>
      <c r="E370" s="84">
        <f t="shared" si="413"/>
        <v>1.9608849868055968E-2</v>
      </c>
      <c r="F370" s="84">
        <f t="shared" si="413"/>
        <v>1.9608849868055968E-2</v>
      </c>
      <c r="G370" s="84">
        <f t="shared" si="413"/>
        <v>1.9608849868055968E-2</v>
      </c>
      <c r="H370" s="84">
        <f t="shared" si="413"/>
        <v>1.9608849868055968E-2</v>
      </c>
      <c r="I370" s="84">
        <f t="shared" si="413"/>
        <v>3.8212746180374069E-2</v>
      </c>
      <c r="J370" s="84">
        <f t="shared" si="413"/>
        <v>5.6816642492692165E-2</v>
      </c>
      <c r="K370" s="84">
        <f t="shared" si="413"/>
        <v>0.25447384916269633</v>
      </c>
      <c r="L370" s="84">
        <f t="shared" si="413"/>
        <v>0.45213105583270052</v>
      </c>
      <c r="M370" s="84">
        <f t="shared" si="413"/>
        <v>1.808916400328163E-2</v>
      </c>
      <c r="N370" s="84">
        <f t="shared" si="413"/>
        <v>1.808916400328163E-2</v>
      </c>
      <c r="O370" s="84">
        <f t="shared" si="413"/>
        <v>9.3644513651134784E-2</v>
      </c>
      <c r="P370" s="84">
        <f t="shared" si="413"/>
        <v>9.3644513651134784E-2</v>
      </c>
      <c r="Q370" s="84">
        <f t="shared" ref="Q370:S378" si="414">+P370-(0.049/100)</f>
        <v>9.3154513651134779E-2</v>
      </c>
      <c r="R370" s="84">
        <f t="shared" si="414"/>
        <v>9.2664513651134775E-2</v>
      </c>
      <c r="S370" s="84">
        <f t="shared" si="414"/>
        <v>9.2174513651134771E-2</v>
      </c>
      <c r="T370" s="84">
        <f t="shared" ref="T370:AC370" si="415">+S370+(0.711/100)</f>
        <v>9.9284513651134776E-2</v>
      </c>
      <c r="U370" s="84">
        <f t="shared" si="415"/>
        <v>0.10639451365113478</v>
      </c>
      <c r="V370" s="84">
        <f t="shared" si="415"/>
        <v>0.11350451365113479</v>
      </c>
      <c r="W370" s="84">
        <f t="shared" si="415"/>
        <v>0.12061451365113479</v>
      </c>
      <c r="X370" s="84">
        <f t="shared" si="415"/>
        <v>0.1277245136511348</v>
      </c>
      <c r="Y370" s="84">
        <f t="shared" si="415"/>
        <v>0.1348345136511348</v>
      </c>
      <c r="Z370" s="84">
        <f t="shared" si="415"/>
        <v>0.14194451365113481</v>
      </c>
      <c r="AA370" s="84">
        <f t="shared" si="415"/>
        <v>0.14905451365113481</v>
      </c>
      <c r="AB370" s="84">
        <f t="shared" si="415"/>
        <v>0.15616451365113482</v>
      </c>
      <c r="AC370" s="84">
        <f t="shared" si="415"/>
        <v>0.16327451365113482</v>
      </c>
    </row>
    <row r="371" spans="1:29" x14ac:dyDescent="0.25">
      <c r="A371" s="54" t="s">
        <v>113</v>
      </c>
      <c r="B371" s="86" t="s">
        <v>20</v>
      </c>
      <c r="C371" s="86"/>
      <c r="D371" s="84">
        <f t="shared" ref="D371:P371" si="416">+D251</f>
        <v>0.19148406368669654</v>
      </c>
      <c r="E371" s="84">
        <f t="shared" si="416"/>
        <v>0.19148406368669654</v>
      </c>
      <c r="F371" s="84">
        <f t="shared" si="416"/>
        <v>0.19148406368669654</v>
      </c>
      <c r="G371" s="84">
        <f t="shared" si="416"/>
        <v>0.19148406368669654</v>
      </c>
      <c r="H371" s="84">
        <f t="shared" si="416"/>
        <v>0.19148406368669654</v>
      </c>
      <c r="I371" s="84">
        <f t="shared" si="416"/>
        <v>0.37315456910944989</v>
      </c>
      <c r="J371" s="84">
        <f t="shared" si="416"/>
        <v>0.5548250745322032</v>
      </c>
      <c r="K371" s="84">
        <f t="shared" si="416"/>
        <v>2.4849844364941047</v>
      </c>
      <c r="L371" s="84">
        <f t="shared" si="416"/>
        <v>4.4151437984560058</v>
      </c>
      <c r="M371" s="84">
        <f t="shared" si="416"/>
        <v>0.17664404875097756</v>
      </c>
      <c r="N371" s="84">
        <f t="shared" si="416"/>
        <v>0.17664404875097756</v>
      </c>
      <c r="O371" s="84">
        <f t="shared" si="416"/>
        <v>0.91445608164378012</v>
      </c>
      <c r="P371" s="84">
        <f t="shared" si="416"/>
        <v>0.91445608164378012</v>
      </c>
      <c r="Q371" s="84">
        <f t="shared" si="414"/>
        <v>0.91396608164378013</v>
      </c>
      <c r="R371" s="84">
        <f t="shared" si="414"/>
        <v>0.91347608164378014</v>
      </c>
      <c r="S371" s="84">
        <f t="shared" si="414"/>
        <v>0.91298608164378015</v>
      </c>
      <c r="T371" s="84">
        <f t="shared" ref="T371:AC371" si="417">+S371+(0.711/100)</f>
        <v>0.92009608164378009</v>
      </c>
      <c r="U371" s="84">
        <f t="shared" si="417"/>
        <v>0.92720608164378004</v>
      </c>
      <c r="V371" s="84">
        <f t="shared" si="417"/>
        <v>0.93431608164377999</v>
      </c>
      <c r="W371" s="84">
        <f t="shared" si="417"/>
        <v>0.94142608164377994</v>
      </c>
      <c r="X371" s="84">
        <f t="shared" si="417"/>
        <v>0.94853608164377989</v>
      </c>
      <c r="Y371" s="84">
        <f t="shared" si="417"/>
        <v>0.95564608164377984</v>
      </c>
      <c r="Z371" s="84">
        <f t="shared" si="417"/>
        <v>0.96275608164377979</v>
      </c>
      <c r="AA371" s="84">
        <f t="shared" si="417"/>
        <v>0.96986608164377974</v>
      </c>
      <c r="AB371" s="84">
        <f t="shared" si="417"/>
        <v>0.97697608164377969</v>
      </c>
      <c r="AC371" s="84">
        <f t="shared" si="417"/>
        <v>0.98408608164377964</v>
      </c>
    </row>
    <row r="372" spans="1:29" x14ac:dyDescent="0.25">
      <c r="A372" s="54" t="s">
        <v>113</v>
      </c>
      <c r="B372" s="86" t="s">
        <v>21</v>
      </c>
      <c r="C372" s="86"/>
      <c r="D372" s="84">
        <f t="shared" ref="D372:P372" si="418">+D252</f>
        <v>1.8309893460827253</v>
      </c>
      <c r="E372" s="84">
        <f t="shared" si="418"/>
        <v>1.8309893460827253</v>
      </c>
      <c r="F372" s="84">
        <f t="shared" si="418"/>
        <v>1.8309893460827253</v>
      </c>
      <c r="G372" s="84">
        <f t="shared" si="418"/>
        <v>1.8309893460827253</v>
      </c>
      <c r="H372" s="84">
        <f t="shared" si="418"/>
        <v>1.8309893460827253</v>
      </c>
      <c r="I372" s="84">
        <f t="shared" si="418"/>
        <v>3.5681404881787109</v>
      </c>
      <c r="J372" s="84">
        <f t="shared" si="418"/>
        <v>5.3052916302746969</v>
      </c>
      <c r="K372" s="84">
        <f t="shared" si="418"/>
        <v>23.761664238788569</v>
      </c>
      <c r="L372" s="84">
        <f t="shared" si="418"/>
        <v>42.218036847302443</v>
      </c>
      <c r="M372" s="84">
        <f t="shared" si="418"/>
        <v>1.6890876717613141</v>
      </c>
      <c r="N372" s="84">
        <f t="shared" si="418"/>
        <v>1.6890876717613141</v>
      </c>
      <c r="O372" s="84">
        <f t="shared" si="418"/>
        <v>8.7441184958863154</v>
      </c>
      <c r="P372" s="84">
        <f t="shared" si="418"/>
        <v>8.7441184958863154</v>
      </c>
      <c r="Q372" s="84">
        <f t="shared" si="414"/>
        <v>8.7436284958863162</v>
      </c>
      <c r="R372" s="84">
        <f t="shared" si="414"/>
        <v>8.743138495886317</v>
      </c>
      <c r="S372" s="84">
        <f t="shared" si="414"/>
        <v>8.7426484958863178</v>
      </c>
      <c r="T372" s="84">
        <f t="shared" ref="T372:AC372" si="419">+S372+(0.711/100)</f>
        <v>8.7497584958863186</v>
      </c>
      <c r="U372" s="84">
        <f t="shared" si="419"/>
        <v>8.7568684958863194</v>
      </c>
      <c r="V372" s="84">
        <f t="shared" si="419"/>
        <v>8.7639784958863203</v>
      </c>
      <c r="W372" s="84">
        <f t="shared" si="419"/>
        <v>8.7710884958863211</v>
      </c>
      <c r="X372" s="84">
        <f t="shared" si="419"/>
        <v>8.778198495886322</v>
      </c>
      <c r="Y372" s="84">
        <f t="shared" si="419"/>
        <v>8.7853084958863228</v>
      </c>
      <c r="Z372" s="84">
        <f t="shared" si="419"/>
        <v>8.7924184958863236</v>
      </c>
      <c r="AA372" s="84">
        <f t="shared" si="419"/>
        <v>8.7995284958863245</v>
      </c>
      <c r="AB372" s="84">
        <f t="shared" si="419"/>
        <v>8.8066384958863253</v>
      </c>
      <c r="AC372" s="84">
        <f t="shared" si="419"/>
        <v>8.8137484958863261</v>
      </c>
    </row>
    <row r="373" spans="1:29" x14ac:dyDescent="0.25">
      <c r="A373" s="54" t="s">
        <v>113</v>
      </c>
      <c r="B373" s="86" t="s">
        <v>22</v>
      </c>
      <c r="C373" s="86"/>
      <c r="D373" s="84">
        <f t="shared" ref="D373:P373" si="420">+D253</f>
        <v>0.74428536155629221</v>
      </c>
      <c r="E373" s="84">
        <f t="shared" si="420"/>
        <v>0.74428536155629221</v>
      </c>
      <c r="F373" s="84">
        <f t="shared" si="420"/>
        <v>0.74428536155629221</v>
      </c>
      <c r="G373" s="84">
        <f t="shared" si="420"/>
        <v>0.74428536155629221</v>
      </c>
      <c r="H373" s="84">
        <f t="shared" si="420"/>
        <v>0.74428536155629221</v>
      </c>
      <c r="I373" s="84">
        <f t="shared" si="420"/>
        <v>1.4504260983328245</v>
      </c>
      <c r="J373" s="84">
        <f t="shared" si="420"/>
        <v>2.1565668351093565</v>
      </c>
      <c r="K373" s="84">
        <f t="shared" si="420"/>
        <v>9.658963279596783</v>
      </c>
      <c r="L373" s="84">
        <f t="shared" si="420"/>
        <v>17.161359724084207</v>
      </c>
      <c r="M373" s="84">
        <f t="shared" si="420"/>
        <v>0.68660324603567957</v>
      </c>
      <c r="N373" s="84">
        <f t="shared" si="420"/>
        <v>0.68660324603567957</v>
      </c>
      <c r="O373" s="84">
        <f t="shared" si="420"/>
        <v>3.5544277797822676</v>
      </c>
      <c r="P373" s="84">
        <f t="shared" si="420"/>
        <v>3.5544277797822676</v>
      </c>
      <c r="Q373" s="84">
        <f t="shared" si="414"/>
        <v>3.5539377797822675</v>
      </c>
      <c r="R373" s="84">
        <f t="shared" si="414"/>
        <v>3.5534477797822674</v>
      </c>
      <c r="S373" s="84">
        <f t="shared" si="414"/>
        <v>3.5529577797822673</v>
      </c>
      <c r="T373" s="84">
        <f t="shared" ref="T373:AC373" si="421">+S373+(0.711/100)</f>
        <v>3.5600677797822673</v>
      </c>
      <c r="U373" s="84">
        <f t="shared" si="421"/>
        <v>3.5671777797822672</v>
      </c>
      <c r="V373" s="84">
        <f t="shared" si="421"/>
        <v>3.5742877797822672</v>
      </c>
      <c r="W373" s="84">
        <f t="shared" si="421"/>
        <v>3.5813977797822671</v>
      </c>
      <c r="X373" s="84">
        <f t="shared" si="421"/>
        <v>3.5885077797822671</v>
      </c>
      <c r="Y373" s="84">
        <f t="shared" si="421"/>
        <v>3.595617779782267</v>
      </c>
      <c r="Z373" s="84">
        <f t="shared" si="421"/>
        <v>3.602727779782267</v>
      </c>
      <c r="AA373" s="84">
        <f t="shared" si="421"/>
        <v>3.6098377797822669</v>
      </c>
      <c r="AB373" s="84">
        <f t="shared" si="421"/>
        <v>3.6169477797822669</v>
      </c>
      <c r="AC373" s="84">
        <f t="shared" si="421"/>
        <v>3.6240577797822668</v>
      </c>
    </row>
    <row r="374" spans="1:29" x14ac:dyDescent="0.25">
      <c r="A374" s="54" t="s">
        <v>113</v>
      </c>
      <c r="B374" s="86" t="s">
        <v>23</v>
      </c>
      <c r="C374" s="86"/>
      <c r="D374" s="84">
        <f t="shared" ref="D374:P374" si="422">+D254</f>
        <v>0.51257005584459059</v>
      </c>
      <c r="E374" s="84">
        <f t="shared" si="422"/>
        <v>0.51257005584459059</v>
      </c>
      <c r="F374" s="84">
        <f t="shared" si="422"/>
        <v>0.51257005584459059</v>
      </c>
      <c r="G374" s="84">
        <f t="shared" si="422"/>
        <v>0.51257005584459059</v>
      </c>
      <c r="H374" s="84">
        <f t="shared" si="422"/>
        <v>0.51257005584459059</v>
      </c>
      <c r="I374" s="84">
        <f t="shared" si="422"/>
        <v>0.99887089632714587</v>
      </c>
      <c r="J374" s="84">
        <f t="shared" si="422"/>
        <v>1.4851717368097013</v>
      </c>
      <c r="K374" s="84">
        <f t="shared" si="422"/>
        <v>6.6518778997231749</v>
      </c>
      <c r="L374" s="84">
        <f t="shared" si="422"/>
        <v>11.818584062636647</v>
      </c>
      <c r="M374" s="84">
        <f t="shared" si="422"/>
        <v>0.47284587651663479</v>
      </c>
      <c r="N374" s="84">
        <f t="shared" si="422"/>
        <v>0.47284587651663479</v>
      </c>
      <c r="O374" s="84">
        <f t="shared" si="422"/>
        <v>2.4478423729428229</v>
      </c>
      <c r="P374" s="84">
        <f t="shared" si="422"/>
        <v>2.4478423729428229</v>
      </c>
      <c r="Q374" s="84">
        <f t="shared" si="414"/>
        <v>2.4473523729428228</v>
      </c>
      <c r="R374" s="84">
        <f t="shared" si="414"/>
        <v>2.4468623729428227</v>
      </c>
      <c r="S374" s="84">
        <f t="shared" si="414"/>
        <v>2.4463723729428226</v>
      </c>
      <c r="T374" s="84">
        <f t="shared" ref="T374:AC374" si="423">+S374+(0.711/100)</f>
        <v>2.4534823729428226</v>
      </c>
      <c r="U374" s="84">
        <f t="shared" si="423"/>
        <v>2.4605923729428225</v>
      </c>
      <c r="V374" s="84">
        <f t="shared" si="423"/>
        <v>2.4677023729428225</v>
      </c>
      <c r="W374" s="84">
        <f t="shared" si="423"/>
        <v>2.4748123729428224</v>
      </c>
      <c r="X374" s="84">
        <f t="shared" si="423"/>
        <v>2.4819223729428224</v>
      </c>
      <c r="Y374" s="84">
        <f t="shared" si="423"/>
        <v>2.4890323729428223</v>
      </c>
      <c r="Z374" s="84">
        <f t="shared" si="423"/>
        <v>2.4961423729428223</v>
      </c>
      <c r="AA374" s="84">
        <f t="shared" si="423"/>
        <v>2.5032523729428222</v>
      </c>
      <c r="AB374" s="84">
        <f t="shared" si="423"/>
        <v>2.5103623729428222</v>
      </c>
      <c r="AC374" s="84">
        <f t="shared" si="423"/>
        <v>2.5174723729428221</v>
      </c>
    </row>
    <row r="375" spans="1:29" x14ac:dyDescent="0.25">
      <c r="A375" s="54" t="s">
        <v>113</v>
      </c>
      <c r="B375" s="86" t="s">
        <v>24</v>
      </c>
      <c r="C375" s="86"/>
      <c r="D375" s="84">
        <f t="shared" ref="D375:P375" si="424">+D255</f>
        <v>3.750729924609395</v>
      </c>
      <c r="E375" s="84">
        <f t="shared" si="424"/>
        <v>3.750729924609395</v>
      </c>
      <c r="F375" s="84">
        <f t="shared" si="424"/>
        <v>3.750729924609395</v>
      </c>
      <c r="G375" s="84">
        <f t="shared" si="424"/>
        <v>3.750729924609395</v>
      </c>
      <c r="H375" s="84">
        <f t="shared" si="424"/>
        <v>3.750729924609395</v>
      </c>
      <c r="I375" s="84">
        <f t="shared" si="424"/>
        <v>7.3092349405825585</v>
      </c>
      <c r="J375" s="84">
        <f t="shared" si="424"/>
        <v>10.867739956555722</v>
      </c>
      <c r="K375" s="84">
        <f t="shared" si="424"/>
        <v>48.675097596618428</v>
      </c>
      <c r="L375" s="84">
        <f t="shared" si="424"/>
        <v>86.482455236681133</v>
      </c>
      <c r="M375" s="84">
        <f t="shared" si="424"/>
        <v>3.4600483554521668</v>
      </c>
      <c r="N375" s="84">
        <f t="shared" si="424"/>
        <v>3.4600483554521668</v>
      </c>
      <c r="O375" s="84">
        <f t="shared" si="424"/>
        <v>17.912079596212742</v>
      </c>
      <c r="P375" s="84">
        <f t="shared" si="424"/>
        <v>17.912079596212742</v>
      </c>
      <c r="Q375" s="84">
        <f t="shared" si="414"/>
        <v>17.911589596212742</v>
      </c>
      <c r="R375" s="84">
        <f t="shared" si="414"/>
        <v>17.911099596212743</v>
      </c>
      <c r="S375" s="84">
        <f t="shared" si="414"/>
        <v>17.910609596212744</v>
      </c>
      <c r="T375" s="84">
        <f t="shared" ref="T375:AC375" si="425">+S375+(0.711/100)</f>
        <v>17.917719596212745</v>
      </c>
      <c r="U375" s="84">
        <f t="shared" si="425"/>
        <v>17.924829596212746</v>
      </c>
      <c r="V375" s="84">
        <f t="shared" si="425"/>
        <v>17.931939596212747</v>
      </c>
      <c r="W375" s="84">
        <f t="shared" si="425"/>
        <v>17.939049596212747</v>
      </c>
      <c r="X375" s="84">
        <f t="shared" si="425"/>
        <v>17.946159596212748</v>
      </c>
      <c r="Y375" s="84">
        <f t="shared" si="425"/>
        <v>17.953269596212749</v>
      </c>
      <c r="Z375" s="84">
        <f t="shared" si="425"/>
        <v>17.96037959621275</v>
      </c>
      <c r="AA375" s="84">
        <f t="shared" si="425"/>
        <v>17.967489596212751</v>
      </c>
      <c r="AB375" s="84">
        <f t="shared" si="425"/>
        <v>17.974599596212752</v>
      </c>
      <c r="AC375" s="84">
        <f t="shared" si="425"/>
        <v>17.981709596212752</v>
      </c>
    </row>
    <row r="376" spans="1:29" x14ac:dyDescent="0.25">
      <c r="A376" s="54" t="s">
        <v>113</v>
      </c>
      <c r="B376" s="86" t="s">
        <v>25</v>
      </c>
      <c r="C376" s="86"/>
      <c r="D376" s="84">
        <f t="shared" ref="D376:P376" si="426">+D256</f>
        <v>0.41555154445763326</v>
      </c>
      <c r="E376" s="84">
        <f t="shared" si="426"/>
        <v>0.41555154445763326</v>
      </c>
      <c r="F376" s="84">
        <f t="shared" si="426"/>
        <v>0.41555154445763326</v>
      </c>
      <c r="G376" s="84">
        <f t="shared" si="426"/>
        <v>0.41555154445763326</v>
      </c>
      <c r="H376" s="84">
        <f t="shared" si="426"/>
        <v>0.41555154445763326</v>
      </c>
      <c r="I376" s="84">
        <f t="shared" si="426"/>
        <v>0.80980607226181278</v>
      </c>
      <c r="J376" s="84">
        <f t="shared" si="426"/>
        <v>1.2040606000659924</v>
      </c>
      <c r="K376" s="84">
        <f t="shared" si="426"/>
        <v>5.3928201681989361</v>
      </c>
      <c r="L376" s="84">
        <f t="shared" si="426"/>
        <v>9.5815797363318786</v>
      </c>
      <c r="M376" s="84">
        <f t="shared" si="426"/>
        <v>0.38334629976216666</v>
      </c>
      <c r="N376" s="84">
        <f t="shared" si="426"/>
        <v>0.38334629976216666</v>
      </c>
      <c r="O376" s="84">
        <f t="shared" si="426"/>
        <v>1.9845183445004848</v>
      </c>
      <c r="P376" s="84">
        <f t="shared" si="426"/>
        <v>1.9845183445004848</v>
      </c>
      <c r="Q376" s="84">
        <f t="shared" si="414"/>
        <v>1.9840283445004847</v>
      </c>
      <c r="R376" s="84">
        <f t="shared" si="414"/>
        <v>1.9835383445004846</v>
      </c>
      <c r="S376" s="84">
        <f t="shared" si="414"/>
        <v>1.9830483445004845</v>
      </c>
      <c r="T376" s="84">
        <f t="shared" ref="T376:AC376" si="427">+S376+(0.711/100)</f>
        <v>1.9901583445004845</v>
      </c>
      <c r="U376" s="84">
        <f t="shared" si="427"/>
        <v>1.9972683445004844</v>
      </c>
      <c r="V376" s="84">
        <f t="shared" si="427"/>
        <v>2.0043783445004846</v>
      </c>
      <c r="W376" s="84">
        <f t="shared" si="427"/>
        <v>2.0114883445004845</v>
      </c>
      <c r="X376" s="84">
        <f t="shared" si="427"/>
        <v>2.0185983445004845</v>
      </c>
      <c r="Y376" s="84">
        <f t="shared" si="427"/>
        <v>2.0257083445004844</v>
      </c>
      <c r="Z376" s="84">
        <f t="shared" si="427"/>
        <v>2.0328183445004844</v>
      </c>
      <c r="AA376" s="84">
        <f t="shared" si="427"/>
        <v>2.0399283445004843</v>
      </c>
      <c r="AB376" s="84">
        <f t="shared" si="427"/>
        <v>2.0470383445004843</v>
      </c>
      <c r="AC376" s="84">
        <f t="shared" si="427"/>
        <v>2.0541483445004842</v>
      </c>
    </row>
    <row r="377" spans="1:29" x14ac:dyDescent="0.25">
      <c r="A377" s="54" t="s">
        <v>113</v>
      </c>
      <c r="B377" s="86" t="s">
        <v>26</v>
      </c>
      <c r="C377" s="86"/>
      <c r="D377" s="84">
        <f t="shared" ref="D377:P377" si="428">+D257</f>
        <v>0.10320311067253829</v>
      </c>
      <c r="E377" s="84">
        <f t="shared" si="428"/>
        <v>0.10320311067253829</v>
      </c>
      <c r="F377" s="84">
        <f t="shared" si="428"/>
        <v>0.10320311067253829</v>
      </c>
      <c r="G377" s="84">
        <f t="shared" si="428"/>
        <v>0.10320311067253829</v>
      </c>
      <c r="H377" s="84">
        <f t="shared" si="428"/>
        <v>0.10320311067253829</v>
      </c>
      <c r="I377" s="84">
        <f t="shared" si="428"/>
        <v>0.20111706192310899</v>
      </c>
      <c r="J377" s="84">
        <f t="shared" si="428"/>
        <v>0.29903101317367969</v>
      </c>
      <c r="K377" s="84">
        <f t="shared" si="428"/>
        <v>1.3393183687528658</v>
      </c>
      <c r="L377" s="84">
        <f t="shared" si="428"/>
        <v>2.3796057243320519</v>
      </c>
      <c r="M377" s="84">
        <f t="shared" si="428"/>
        <v>9.5204869595416575E-2</v>
      </c>
      <c r="N377" s="84">
        <f t="shared" si="428"/>
        <v>9.5204869595416575E-2</v>
      </c>
      <c r="O377" s="84">
        <f t="shared" si="428"/>
        <v>0.49285935540554066</v>
      </c>
      <c r="P377" s="84">
        <f t="shared" si="428"/>
        <v>0.49285935540554066</v>
      </c>
      <c r="Q377" s="84">
        <f t="shared" si="414"/>
        <v>0.49236935540554067</v>
      </c>
      <c r="R377" s="84">
        <f t="shared" si="414"/>
        <v>0.49187935540554067</v>
      </c>
      <c r="S377" s="84">
        <f t="shared" si="414"/>
        <v>0.49138935540554068</v>
      </c>
      <c r="T377" s="84">
        <f t="shared" ref="T377:AC377" si="429">+S377+(0.711/100)</f>
        <v>0.49849935540554069</v>
      </c>
      <c r="U377" s="84">
        <f t="shared" si="429"/>
        <v>0.50560935540554064</v>
      </c>
      <c r="V377" s="84">
        <f t="shared" si="429"/>
        <v>0.51271935540554059</v>
      </c>
      <c r="W377" s="84">
        <f t="shared" si="429"/>
        <v>0.51982935540554054</v>
      </c>
      <c r="X377" s="84">
        <f t="shared" si="429"/>
        <v>0.52693935540554049</v>
      </c>
      <c r="Y377" s="84">
        <f t="shared" si="429"/>
        <v>0.53404935540554044</v>
      </c>
      <c r="Z377" s="84">
        <f t="shared" si="429"/>
        <v>0.54115935540554039</v>
      </c>
      <c r="AA377" s="84">
        <f t="shared" si="429"/>
        <v>0.54826935540554034</v>
      </c>
      <c r="AB377" s="84">
        <f t="shared" si="429"/>
        <v>0.55537935540554029</v>
      </c>
      <c r="AC377" s="84">
        <f t="shared" si="429"/>
        <v>0.56248935540554024</v>
      </c>
    </row>
    <row r="378" spans="1:29" x14ac:dyDescent="0.25">
      <c r="A378" s="54" t="s">
        <v>113</v>
      </c>
      <c r="B378" s="86" t="s">
        <v>27</v>
      </c>
      <c r="C378" s="86"/>
      <c r="D378" s="84">
        <f t="shared" ref="D378:P378" si="430">+D258</f>
        <v>0.43157774322207193</v>
      </c>
      <c r="E378" s="84">
        <f t="shared" si="430"/>
        <v>0.43157774322207193</v>
      </c>
      <c r="F378" s="84">
        <f t="shared" si="430"/>
        <v>0.43157774322207193</v>
      </c>
      <c r="G378" s="84">
        <f t="shared" si="430"/>
        <v>0.43157774322207193</v>
      </c>
      <c r="H378" s="84">
        <f t="shared" si="430"/>
        <v>0.43157774322207193</v>
      </c>
      <c r="I378" s="84">
        <f t="shared" si="430"/>
        <v>0.84103712710401268</v>
      </c>
      <c r="J378" s="84">
        <f t="shared" si="430"/>
        <v>1.2504965109859534</v>
      </c>
      <c r="K378" s="84">
        <f t="shared" si="430"/>
        <v>5.6008001626644388</v>
      </c>
      <c r="L378" s="84">
        <f t="shared" si="430"/>
        <v>9.9511038143429236</v>
      </c>
      <c r="M378" s="84">
        <f t="shared" si="430"/>
        <v>0.39813046812236136</v>
      </c>
      <c r="N378" s="84">
        <f t="shared" si="430"/>
        <v>0.39813046812236136</v>
      </c>
      <c r="O378" s="84">
        <f t="shared" si="430"/>
        <v>2.0610534599749073</v>
      </c>
      <c r="P378" s="84">
        <f t="shared" si="430"/>
        <v>2.0610534599749073</v>
      </c>
      <c r="Q378" s="84">
        <f t="shared" si="414"/>
        <v>2.0605634599749072</v>
      </c>
      <c r="R378" s="84">
        <f t="shared" si="414"/>
        <v>2.0600734599749071</v>
      </c>
      <c r="S378" s="84">
        <f t="shared" si="414"/>
        <v>2.059583459974907</v>
      </c>
      <c r="T378" s="84">
        <f t="shared" ref="T378:AC378" si="431">+S378+(0.711/100)</f>
        <v>2.0666934599749069</v>
      </c>
      <c r="U378" s="84">
        <f t="shared" si="431"/>
        <v>2.0738034599749069</v>
      </c>
      <c r="V378" s="84">
        <f t="shared" si="431"/>
        <v>2.0809134599749068</v>
      </c>
      <c r="W378" s="84">
        <f t="shared" si="431"/>
        <v>2.0880234599749068</v>
      </c>
      <c r="X378" s="84">
        <f t="shared" si="431"/>
        <v>2.0951334599749067</v>
      </c>
      <c r="Y378" s="84">
        <f t="shared" si="431"/>
        <v>2.1022434599749067</v>
      </c>
      <c r="Z378" s="84">
        <f t="shared" si="431"/>
        <v>2.1093534599749066</v>
      </c>
      <c r="AA378" s="84">
        <f t="shared" si="431"/>
        <v>2.1164634599749066</v>
      </c>
      <c r="AB378" s="84">
        <f t="shared" si="431"/>
        <v>2.1235734599749065</v>
      </c>
      <c r="AC378" s="84">
        <f t="shared" si="431"/>
        <v>2.1306834599749065</v>
      </c>
    </row>
  </sheetData>
  <pageMargins left="0.7" right="0.7" top="0.75" bottom="0.75" header="0.3" footer="0.3"/>
  <pageSetup orientation="portrait" horizontalDpi="200" verticalDpi="200" copies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0BD7-0C11-47EF-A4D3-49D24D31417C}">
  <dimension ref="A1:O174"/>
  <sheetViews>
    <sheetView topLeftCell="A46" workbookViewId="0">
      <selection activeCell="B73" sqref="B73"/>
    </sheetView>
  </sheetViews>
  <sheetFormatPr defaultColWidth="10.85546875" defaultRowHeight="15" x14ac:dyDescent="0.25"/>
  <cols>
    <col min="1" max="1" width="31.42578125" customWidth="1"/>
    <col min="2" max="14" width="17" customWidth="1"/>
  </cols>
  <sheetData>
    <row r="1" spans="1:14" x14ac:dyDescent="0.25">
      <c r="A1" s="73" t="s">
        <v>117</v>
      </c>
    </row>
    <row r="2" spans="1:14" ht="15.75" x14ac:dyDescent="0.25">
      <c r="A2" s="119" t="s">
        <v>129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</row>
    <row r="3" spans="1:14" ht="15.75" x14ac:dyDescent="0.25">
      <c r="A3" s="120" t="s">
        <v>18</v>
      </c>
      <c r="B3" s="75">
        <f>+INGEI!C$2*'5ta'!$R87/1000</f>
        <v>-47.104315326287015</v>
      </c>
      <c r="C3" s="75">
        <f>+INGEI!D$2*'5ta'!$R87/1000</f>
        <v>-49.090335979503038</v>
      </c>
      <c r="D3" s="75">
        <f>+INGEI!E$2*'5ta'!$R87/1000</f>
        <v>-51.076356632719076</v>
      </c>
      <c r="E3" s="75">
        <f>+INGEI!F$2*'5ta'!$R87/1000</f>
        <v>-55.513178899701778</v>
      </c>
      <c r="F3" s="75">
        <f>+INGEI!G$2*'5ta'!$R87/1000</f>
        <v>-59.950001166684494</v>
      </c>
      <c r="G3" s="75">
        <f>+INGEI!H$2*'5ta'!$R87/1000</f>
        <v>-55.869808139529198</v>
      </c>
      <c r="H3" s="75">
        <f>+INGEI!I$2*'5ta'!$R87/1000</f>
        <v>-51.789615112373887</v>
      </c>
      <c r="I3" s="75">
        <f>+INGEI!J$2*'5ta'!$R87/1000</f>
        <v>-54.896715298127091</v>
      </c>
      <c r="J3" s="75">
        <f>+INGEI!K$2*'5ta'!$R87/1000</f>
        <v>-58.003815483880302</v>
      </c>
      <c r="K3" s="75">
        <f>+INGEI!L$2*'5ta'!$R87/1000</f>
        <v>-59.682984836251826</v>
      </c>
      <c r="L3" s="75">
        <f>+INGEI!M$2*'5ta'!$R87/1000</f>
        <v>-58.529983711645627</v>
      </c>
      <c r="M3" s="75">
        <f>+INGEI!N$2*'5ta'!$R87/1000</f>
        <v>-51.643183469471666</v>
      </c>
      <c r="N3" s="75">
        <f>+INGEI!O$2*'5ta'!$R87/1000</f>
        <v>-45.720088583104378</v>
      </c>
    </row>
    <row r="4" spans="1:14" ht="15.75" x14ac:dyDescent="0.25">
      <c r="A4" s="120" t="s">
        <v>20</v>
      </c>
      <c r="B4" s="75">
        <f>+INGEI!C$2*'5ta'!$R88/1000</f>
        <v>-459.98239450803652</v>
      </c>
      <c r="C4" s="75">
        <f>+INGEI!D$2*'5ta'!$R88/1000</f>
        <v>-479.37625533120644</v>
      </c>
      <c r="D4" s="75">
        <f>+INGEI!E$2*'5ta'!$R88/1000</f>
        <v>-498.77011615437647</v>
      </c>
      <c r="E4" s="75">
        <f>+INGEI!F$2*'5ta'!$R88/1000</f>
        <v>-542.09651026999916</v>
      </c>
      <c r="F4" s="75">
        <f>+INGEI!G$2*'5ta'!$R88/1000</f>
        <v>-585.42290438562202</v>
      </c>
      <c r="G4" s="75">
        <f>+INGEI!H$2*'5ta'!$R88/1000</f>
        <v>-545.57906108410361</v>
      </c>
      <c r="H4" s="75">
        <f>+INGEI!I$2*'5ta'!$R88/1000</f>
        <v>-505.73521778258532</v>
      </c>
      <c r="I4" s="75">
        <f>+INGEI!J$2*'5ta'!$R88/1000</f>
        <v>-536.07662861764607</v>
      </c>
      <c r="J4" s="75">
        <f>+INGEI!K$2*'5ta'!$R88/1000</f>
        <v>-566.41803945270681</v>
      </c>
      <c r="K4" s="75">
        <f>+INGEI!L$2*'5ta'!$R88/1000</f>
        <v>-582.8154402882376</v>
      </c>
      <c r="L4" s="75">
        <f>+INGEI!M$2*'5ta'!$R88/1000</f>
        <v>-571.55616999648055</v>
      </c>
      <c r="M4" s="75">
        <f>+INGEI!N$2*'5ta'!$R88/1000</f>
        <v>-504.30528557218497</v>
      </c>
      <c r="N4" s="75">
        <f>+INGEI!O$2*'5ta'!$R88/1000</f>
        <v>-446.46516307264216</v>
      </c>
    </row>
    <row r="5" spans="1:14" ht="31.5" x14ac:dyDescent="0.25">
      <c r="A5" s="120" t="s">
        <v>21</v>
      </c>
      <c r="B5" s="75">
        <f>+INGEI!C$2*'5ta'!$R89/1000</f>
        <v>-4398.3966472942038</v>
      </c>
      <c r="C5" s="75">
        <f>+INGEI!D$2*'5ta'!$R89/1000</f>
        <v>-4583.8426414043779</v>
      </c>
      <c r="D5" s="75">
        <f>+INGEI!E$2*'5ta'!$R89/1000</f>
        <v>-4769.2886355145538</v>
      </c>
      <c r="E5" s="75">
        <f>+INGEI!F$2*'5ta'!$R89/1000</f>
        <v>-5183.5798538150239</v>
      </c>
      <c r="F5" s="75">
        <f>+INGEI!G$2*'5ta'!$R89/1000</f>
        <v>-5597.8710721154957</v>
      </c>
      <c r="G5" s="75">
        <f>+INGEI!H$2*'5ta'!$R89/1000</f>
        <v>-5216.8803453287737</v>
      </c>
      <c r="H5" s="75">
        <f>+INGEI!I$2*'5ta'!$R89/1000</f>
        <v>-4835.8896185420499</v>
      </c>
      <c r="I5" s="75">
        <f>+INGEI!J$2*'5ta'!$R89/1000</f>
        <v>-5126.0171566488925</v>
      </c>
      <c r="J5" s="75">
        <f>+INGEI!K$2*'5ta'!$R89/1000</f>
        <v>-5416.1446947557361</v>
      </c>
      <c r="K5" s="75">
        <f>+INGEI!L$2*'5ta'!$R89/1000</f>
        <v>-5572.9382453795042</v>
      </c>
      <c r="L5" s="75">
        <f>+INGEI!M$2*'5ta'!$R89/1000</f>
        <v>-5465.2760015773056</v>
      </c>
      <c r="M5" s="75">
        <f>+INGEI!N$2*'5ta'!$R89/1000</f>
        <v>-4822.2164668841269</v>
      </c>
      <c r="N5" s="75">
        <f>+INGEI!O$2*'5ta'!$R89/1000</f>
        <v>-4269.1435581847263</v>
      </c>
    </row>
    <row r="6" spans="1:14" ht="31.5" x14ac:dyDescent="0.25">
      <c r="A6" s="120" t="s">
        <v>22</v>
      </c>
      <c r="B6" s="75">
        <f>+INGEI!C$2*'5ta'!$R90/1000</f>
        <v>-1787.9198728835443</v>
      </c>
      <c r="C6" s="75">
        <f>+INGEI!D$2*'5ta'!$R90/1000</f>
        <v>-1863.3024735910531</v>
      </c>
      <c r="D6" s="75">
        <f>+INGEI!E$2*'5ta'!$R90/1000</f>
        <v>-1938.6850742985625</v>
      </c>
      <c r="E6" s="75">
        <f>+INGEI!F$2*'5ta'!$R90/1000</f>
        <v>-2107.0917828695642</v>
      </c>
      <c r="F6" s="75">
        <f>+INGEI!G$2*'5ta'!$R90/1000</f>
        <v>-2275.4984914405663</v>
      </c>
      <c r="G6" s="75">
        <f>+INGEI!H$2*'5ta'!$R90/1000</f>
        <v>-2120.6282179227442</v>
      </c>
      <c r="H6" s="75">
        <f>+INGEI!I$2*'5ta'!$R90/1000</f>
        <v>-1965.7579444049215</v>
      </c>
      <c r="I6" s="75">
        <f>+INGEI!J$2*'5ta'!$R90/1000</f>
        <v>-2083.6929176800377</v>
      </c>
      <c r="J6" s="75">
        <f>+INGEI!K$2*'5ta'!$R90/1000</f>
        <v>-2201.6278909551538</v>
      </c>
      <c r="K6" s="75">
        <f>+INGEI!L$2*'5ta'!$R90/1000</f>
        <v>-2265.3634581584124</v>
      </c>
      <c r="L6" s="75">
        <f>+INGEI!M$2*'5ta'!$R90/1000</f>
        <v>-2221.5994503417</v>
      </c>
      <c r="M6" s="75">
        <f>+INGEI!N$2*'5ta'!$R90/1000</f>
        <v>-1960.1998964309651</v>
      </c>
      <c r="N6" s="75">
        <f>+INGEI!O$2*'5ta'!$R90/1000</f>
        <v>-1735.3793256837853</v>
      </c>
    </row>
    <row r="7" spans="1:14" ht="31.5" x14ac:dyDescent="0.25">
      <c r="A7" s="120" t="s">
        <v>23</v>
      </c>
      <c r="B7" s="75">
        <f>+INGEI!C$2*'5ta'!$R91/1000</f>
        <v>-1231.2941197356324</v>
      </c>
      <c r="C7" s="75">
        <f>+INGEI!D$2*'5ta'!$R91/1000</f>
        <v>-1283.2081648722515</v>
      </c>
      <c r="D7" s="75">
        <f>+INGEI!E$2*'5ta'!$R91/1000</f>
        <v>-1335.122210008871</v>
      </c>
      <c r="E7" s="75">
        <f>+INGEI!F$2*'5ta'!$R91/1000</f>
        <v>-1451.0995494480712</v>
      </c>
      <c r="F7" s="75">
        <f>+INGEI!G$2*'5ta'!$R91/1000</f>
        <v>-1567.0768888872719</v>
      </c>
      <c r="G7" s="75">
        <f>+INGEI!H$2*'5ta'!$R91/1000</f>
        <v>-1460.4217417543086</v>
      </c>
      <c r="H7" s="75">
        <f>+INGEI!I$2*'5ta'!$R91/1000</f>
        <v>-1353.7665946213449</v>
      </c>
      <c r="I7" s="75">
        <f>+INGEI!J$2*'5ta'!$R91/1000</f>
        <v>-1434.9853568864746</v>
      </c>
      <c r="J7" s="75">
        <f>+INGEI!K$2*'5ta'!$R91/1000</f>
        <v>-1516.2041191516043</v>
      </c>
      <c r="K7" s="75">
        <f>+INGEI!L$2*'5ta'!$R91/1000</f>
        <v>-1560.09715390423</v>
      </c>
      <c r="L7" s="75">
        <f>+INGEI!M$2*'5ta'!$R91/1000</f>
        <v>-1529.9580149539622</v>
      </c>
      <c r="M7" s="75">
        <f>+INGEI!N$2*'5ta'!$R91/1000</f>
        <v>-1349.9389109027768</v>
      </c>
      <c r="N7" s="75">
        <f>+INGEI!O$2*'5ta'!$R91/1000</f>
        <v>-1195.110805373552</v>
      </c>
    </row>
    <row r="8" spans="1:14" ht="31.5" x14ac:dyDescent="0.25">
      <c r="A8" s="120" t="s">
        <v>24</v>
      </c>
      <c r="B8" s="75">
        <f>+INGEI!C$2*'5ta'!$R92/1000</f>
        <v>-9009.991216280212</v>
      </c>
      <c r="C8" s="75">
        <f>+INGEI!D$2*'5ta'!$R92/1000</f>
        <v>-9389.8720937938178</v>
      </c>
      <c r="D8" s="75">
        <f>+INGEI!E$2*'5ta'!$R92/1000</f>
        <v>-9769.7529713074255</v>
      </c>
      <c r="E8" s="75">
        <f>+INGEI!F$2*'5ta'!$R92/1000</f>
        <v>-10618.416822523659</v>
      </c>
      <c r="F8" s="75">
        <f>+INGEI!G$2*'5ta'!$R92/1000</f>
        <v>-11467.080673739893</v>
      </c>
      <c r="G8" s="75">
        <f>+INGEI!H$2*'5ta'!$R92/1000</f>
        <v>-10686.631938188879</v>
      </c>
      <c r="H8" s="75">
        <f>+INGEI!I$2*'5ta'!$R92/1000</f>
        <v>-9906.1832026378615</v>
      </c>
      <c r="I8" s="75">
        <f>+INGEI!J$2*'5ta'!$R92/1000</f>
        <v>-10500.501264323309</v>
      </c>
      <c r="J8" s="75">
        <f>+INGEI!K$2*'5ta'!$R92/1000</f>
        <v>-11094.819326008756</v>
      </c>
      <c r="K8" s="75">
        <f>+INGEI!L$2*'5ta'!$R92/1000</f>
        <v>-11416.006482869336</v>
      </c>
      <c r="L8" s="75">
        <f>+INGEI!M$2*'5ta'!$R92/1000</f>
        <v>-11195.463419391974</v>
      </c>
      <c r="M8" s="75">
        <f>+INGEI!N$2*'5ta'!$R92/1000</f>
        <v>-9878.1741379227624</v>
      </c>
      <c r="N8" s="75">
        <f>+INGEI!O$2*'5ta'!$R92/1000</f>
        <v>-8745.219916431688</v>
      </c>
    </row>
    <row r="9" spans="1:14" ht="31.5" x14ac:dyDescent="0.25">
      <c r="A9" s="120" t="s">
        <v>25</v>
      </c>
      <c r="B9" s="75">
        <f>+INGEI!C$2*'5ta'!$R93/1000</f>
        <v>-998.23656747689404</v>
      </c>
      <c r="C9" s="75">
        <f>+INGEI!D$2*'5ta'!$R93/1000</f>
        <v>-1040.324397988215</v>
      </c>
      <c r="D9" s="75">
        <f>+INGEI!E$2*'5ta'!$R93/1000</f>
        <v>-1082.412228499536</v>
      </c>
      <c r="E9" s="75">
        <f>+INGEI!F$2*'5ta'!$R93/1000</f>
        <v>-1176.4375465541266</v>
      </c>
      <c r="F9" s="75">
        <f>+INGEI!G$2*'5ta'!$R93/1000</f>
        <v>-1270.4628646087174</v>
      </c>
      <c r="G9" s="75">
        <f>+INGEI!H$2*'5ta'!$R93/1000</f>
        <v>-1183.9952479188792</v>
      </c>
      <c r="H9" s="75">
        <f>+INGEI!I$2*'5ta'!$R93/1000</f>
        <v>-1097.5276312290407</v>
      </c>
      <c r="I9" s="75">
        <f>+INGEI!J$2*'5ta'!$R93/1000</f>
        <v>-1163.3734248203173</v>
      </c>
      <c r="J9" s="75">
        <f>+INGEI!K$2*'5ta'!$R93/1000</f>
        <v>-1229.2192184115936</v>
      </c>
      <c r="K9" s="75">
        <f>+INGEI!L$2*'5ta'!$R93/1000</f>
        <v>-1264.8042436669832</v>
      </c>
      <c r="L9" s="75">
        <f>+INGEI!M$2*'5ta'!$R93/1000</f>
        <v>-1240.369796908735</v>
      </c>
      <c r="M9" s="75">
        <f>+INGEI!N$2*'5ta'!$R93/1000</f>
        <v>-1094.4244458930859</v>
      </c>
      <c r="N9" s="75">
        <f>+INGEI!O$2*'5ta'!$R93/1000</f>
        <v>-968.90197799920259</v>
      </c>
    </row>
    <row r="10" spans="1:14" ht="15.75" x14ac:dyDescent="0.25">
      <c r="A10" s="120" t="s">
        <v>26</v>
      </c>
      <c r="B10" s="75">
        <f>+INGEI!C$2*'5ta'!$R94/1000</f>
        <v>-247.91417653170566</v>
      </c>
      <c r="C10" s="75">
        <f>+INGEI!D$2*'5ta'!$R94/1000</f>
        <v>-258.36677883377638</v>
      </c>
      <c r="D10" s="75">
        <f>+INGEI!E$2*'5ta'!$R94/1000</f>
        <v>-268.8193811358471</v>
      </c>
      <c r="E10" s="75">
        <f>+INGEI!F$2*'5ta'!$R94/1000</f>
        <v>-292.17076903135728</v>
      </c>
      <c r="F10" s="75">
        <f>+INGEI!G$2*'5ta'!$R94/1000</f>
        <v>-315.52215692686741</v>
      </c>
      <c r="G10" s="75">
        <f>+INGEI!H$2*'5ta'!$R94/1000</f>
        <v>-294.04774025377094</v>
      </c>
      <c r="H10" s="75">
        <f>+INGEI!I$2*'5ta'!$R94/1000</f>
        <v>-272.57332358067441</v>
      </c>
      <c r="I10" s="75">
        <f>+INGEI!J$2*'5ta'!$R94/1000</f>
        <v>-288.92626658848087</v>
      </c>
      <c r="J10" s="75">
        <f>+INGEI!K$2*'5ta'!$R94/1000</f>
        <v>-305.27920959628727</v>
      </c>
      <c r="K10" s="75">
        <f>+INGEI!L$2*'5ta'!$R94/1000</f>
        <v>-314.11682637018299</v>
      </c>
      <c r="L10" s="75">
        <f>+INGEI!M$2*'5ta'!$R94/1000</f>
        <v>-308.04847950287677</v>
      </c>
      <c r="M10" s="75">
        <f>+INGEI!N$2*'5ta'!$R94/1000</f>
        <v>-271.80264089657584</v>
      </c>
      <c r="N10" s="75">
        <f>+INGEI!O$2*'5ta'!$R94/1000</f>
        <v>-240.62886878883353</v>
      </c>
    </row>
    <row r="11" spans="1:14" ht="15.75" x14ac:dyDescent="0.25">
      <c r="A11" s="120" t="s">
        <v>27</v>
      </c>
      <c r="B11" s="75">
        <f>+INGEI!C$2*'5ta'!$R95/1000</f>
        <v>-1036.7346499835919</v>
      </c>
      <c r="C11" s="75">
        <f>+INGEI!D$2*'5ta'!$R95/1000</f>
        <v>-1080.4456436050843</v>
      </c>
      <c r="D11" s="75">
        <f>+INGEI!E$2*'5ta'!$R95/1000</f>
        <v>-1124.156637226577</v>
      </c>
      <c r="E11" s="75">
        <f>+INGEI!F$2*'5ta'!$R95/1000</f>
        <v>-1221.8081442729547</v>
      </c>
      <c r="F11" s="75">
        <f>+INGEI!G$2*'5ta'!$R95/1000</f>
        <v>-1319.4596513193326</v>
      </c>
      <c r="G11" s="75">
        <f>+INGEI!H$2*'5ta'!$R95/1000</f>
        <v>-1229.6573166378496</v>
      </c>
      <c r="H11" s="75">
        <f>+INGEI!I$2*'5ta'!$R95/1000</f>
        <v>-1139.8549819563664</v>
      </c>
      <c r="I11" s="75">
        <f>+INGEI!J$2*'5ta'!$R95/1000</f>
        <v>-1208.2401904288301</v>
      </c>
      <c r="J11" s="75">
        <f>+INGEI!K$2*'5ta'!$R95/1000</f>
        <v>-1276.6253989012937</v>
      </c>
      <c r="K11" s="75">
        <f>+INGEI!L$2*'5ta'!$R95/1000</f>
        <v>-1313.5827994862584</v>
      </c>
      <c r="L11" s="75">
        <f>+INGEI!M$2*'5ta'!$R95/1000</f>
        <v>-1288.2060116257578</v>
      </c>
      <c r="M11" s="75">
        <f>+INGEI!N$2*'5ta'!$R95/1000</f>
        <v>-1136.6321188917154</v>
      </c>
      <c r="N11" s="75">
        <f>+INGEI!O$2*'5ta'!$R95/1000</f>
        <v>-1006.2687400526066</v>
      </c>
    </row>
    <row r="12" spans="1:14" ht="15.75" x14ac:dyDescent="0.25">
      <c r="A12" s="121" t="s">
        <v>14</v>
      </c>
      <c r="B12" s="122">
        <f t="shared" ref="B12:N12" si="0">+SUM(B3:B11)</f>
        <v>-19217.573960020109</v>
      </c>
      <c r="C12" s="122">
        <f t="shared" si="0"/>
        <v>-20027.828785399288</v>
      </c>
      <c r="D12" s="122">
        <f t="shared" si="0"/>
        <v>-20838.083610778467</v>
      </c>
      <c r="E12" s="122">
        <f t="shared" si="0"/>
        <v>-22648.214157684459</v>
      </c>
      <c r="F12" s="122">
        <f t="shared" si="0"/>
        <v>-24458.34470459045</v>
      </c>
      <c r="G12" s="122">
        <f t="shared" si="0"/>
        <v>-22793.711417228842</v>
      </c>
      <c r="H12" s="122">
        <f t="shared" si="0"/>
        <v>-21129.078129867219</v>
      </c>
      <c r="I12" s="122">
        <f t="shared" si="0"/>
        <v>-22396.70992129212</v>
      </c>
      <c r="J12" s="122">
        <f t="shared" si="0"/>
        <v>-23664.341712717007</v>
      </c>
      <c r="K12" s="122">
        <f t="shared" si="0"/>
        <v>-24349.407634959396</v>
      </c>
      <c r="L12" s="122">
        <f t="shared" si="0"/>
        <v>-23879.00732801043</v>
      </c>
      <c r="M12" s="122">
        <f t="shared" si="0"/>
        <v>-21069.337086863663</v>
      </c>
      <c r="N12" s="122">
        <f t="shared" si="0"/>
        <v>-18652.838444170142</v>
      </c>
    </row>
    <row r="13" spans="1:14" ht="15.75" x14ac:dyDescent="0.25">
      <c r="A13" s="121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</row>
    <row r="14" spans="1:14" ht="15.75" x14ac:dyDescent="0.25">
      <c r="A14" s="119" t="s">
        <v>118</v>
      </c>
      <c r="B14" s="1">
        <v>2010</v>
      </c>
      <c r="C14" s="1">
        <v>2011</v>
      </c>
      <c r="D14" s="1">
        <v>2012</v>
      </c>
      <c r="E14" s="1">
        <v>2013</v>
      </c>
      <c r="F14" s="1">
        <v>2014</v>
      </c>
      <c r="G14" s="1">
        <v>2015</v>
      </c>
      <c r="H14" s="1">
        <v>2016</v>
      </c>
      <c r="I14" s="1">
        <v>2017</v>
      </c>
      <c r="J14" s="1">
        <v>2018</v>
      </c>
      <c r="K14" s="1">
        <v>2019</v>
      </c>
      <c r="L14" s="1">
        <v>2020</v>
      </c>
      <c r="M14" s="1">
        <v>2021</v>
      </c>
      <c r="N14" s="1">
        <v>2022</v>
      </c>
    </row>
    <row r="15" spans="1:14" ht="15.75" x14ac:dyDescent="0.25">
      <c r="A15" s="120" t="s">
        <v>18</v>
      </c>
      <c r="B15" s="77">
        <f>+Coberturas!B2</f>
        <v>12.348319999999999</v>
      </c>
      <c r="C15" s="77">
        <f>+Coberturas!C2</f>
        <v>13.402625</v>
      </c>
      <c r="D15" s="77">
        <f>+Coberturas!D2</f>
        <v>14.45693</v>
      </c>
      <c r="E15" s="77">
        <f>+Coberturas!E2</f>
        <v>14.584459999999998</v>
      </c>
      <c r="F15" s="77">
        <f>+Coberturas!F2</f>
        <v>14.71199</v>
      </c>
      <c r="G15" s="77">
        <f>+Coberturas!G2</f>
        <v>14.755529999999998</v>
      </c>
      <c r="H15" s="77">
        <f>+Coberturas!H2</f>
        <v>14.799069999999999</v>
      </c>
      <c r="I15" s="77">
        <f>+Coberturas!I2</f>
        <v>14.779864999999999</v>
      </c>
      <c r="J15" s="77">
        <f>+Coberturas!J2</f>
        <v>14.76066</v>
      </c>
      <c r="K15" s="77">
        <f>+Coberturas!K2</f>
        <v>14.76066</v>
      </c>
      <c r="L15" s="77">
        <f>+Coberturas!L2</f>
        <v>14.76066</v>
      </c>
      <c r="M15" s="77">
        <f>+Coberturas!M2</f>
        <v>13.635</v>
      </c>
      <c r="N15" s="77">
        <f>+Coberturas!N2</f>
        <v>13.635</v>
      </c>
    </row>
    <row r="16" spans="1:14" ht="15.75" x14ac:dyDescent="0.25">
      <c r="A16" s="120" t="s">
        <v>20</v>
      </c>
      <c r="B16" s="77">
        <f>+Coberturas!B3</f>
        <v>120.58364</v>
      </c>
      <c r="C16" s="77">
        <f>+Coberturas!C3</f>
        <v>126.21503000000001</v>
      </c>
      <c r="D16" s="77">
        <f>+Coberturas!D3</f>
        <v>131.84642000000002</v>
      </c>
      <c r="E16" s="77">
        <f>+Coberturas!E3</f>
        <v>136.01050000000001</v>
      </c>
      <c r="F16" s="77">
        <f>+Coberturas!F3</f>
        <v>140.17457999999999</v>
      </c>
      <c r="G16" s="77">
        <f>+Coberturas!G3</f>
        <v>140.004625</v>
      </c>
      <c r="H16" s="77">
        <f>+Coberturas!H3</f>
        <v>139.83467000000002</v>
      </c>
      <c r="I16" s="77">
        <f>+Coberturas!I3</f>
        <v>139.85384000000005</v>
      </c>
      <c r="J16" s="77">
        <f>+Coberturas!J3</f>
        <v>139.87301000000002</v>
      </c>
      <c r="K16" s="77">
        <f>+Coberturas!K3</f>
        <v>139.87301000000002</v>
      </c>
      <c r="L16" s="77">
        <f>+Coberturas!L3</f>
        <v>139.87301000000002</v>
      </c>
      <c r="M16" s="77">
        <f>+Coberturas!M3</f>
        <v>139.38600000000002</v>
      </c>
      <c r="N16" s="77">
        <f>+Coberturas!N3</f>
        <v>139.38600000000002</v>
      </c>
    </row>
    <row r="17" spans="1:15" ht="31.5" x14ac:dyDescent="0.25">
      <c r="A17" s="120" t="s">
        <v>21</v>
      </c>
      <c r="B17" s="77">
        <f>+Coberturas!B4</f>
        <v>1153.0325599999999</v>
      </c>
      <c r="C17" s="77">
        <f>+Coberturas!C4</f>
        <v>1158.7425649999998</v>
      </c>
      <c r="D17" s="77">
        <f>+Coberturas!D4</f>
        <v>1164.4525700000002</v>
      </c>
      <c r="E17" s="77">
        <f>+Coberturas!E4</f>
        <v>1198.650245</v>
      </c>
      <c r="F17" s="77">
        <f>+Coberturas!F4</f>
        <v>1232.8479199999999</v>
      </c>
      <c r="G17" s="77">
        <f>+Coberturas!G4</f>
        <v>1233.796515</v>
      </c>
      <c r="H17" s="77">
        <f>+Coberturas!H4</f>
        <v>1234.7451100000003</v>
      </c>
      <c r="I17" s="77">
        <f>+Coberturas!I4</f>
        <v>1245.5305000000001</v>
      </c>
      <c r="J17" s="77">
        <f>+Coberturas!J4</f>
        <v>1256.3158900000001</v>
      </c>
      <c r="K17" s="77">
        <f>+Coberturas!K4</f>
        <v>1256.3158900000001</v>
      </c>
      <c r="L17" s="77">
        <f>+Coberturas!L4</f>
        <v>1256.3158900000001</v>
      </c>
      <c r="M17" s="77">
        <f>+Coberturas!M4</f>
        <v>1257.5179999999998</v>
      </c>
      <c r="N17" s="77">
        <f>+Coberturas!N4</f>
        <v>1257.5179999999998</v>
      </c>
    </row>
    <row r="18" spans="1:15" ht="31.5" x14ac:dyDescent="0.25">
      <c r="A18" s="120" t="s">
        <v>22</v>
      </c>
      <c r="B18" s="77">
        <f>+Coberturas!B5</f>
        <v>468.70030000000003</v>
      </c>
      <c r="C18" s="77">
        <f>+Coberturas!C5</f>
        <v>469.70792499999999</v>
      </c>
      <c r="D18" s="77">
        <f>+Coberturas!D5</f>
        <v>470.71555000000001</v>
      </c>
      <c r="E18" s="77">
        <f>+Coberturas!E5</f>
        <v>488.97562999999997</v>
      </c>
      <c r="F18" s="77">
        <f>+Coberturas!F5</f>
        <v>507.23570999999998</v>
      </c>
      <c r="G18" s="77">
        <f>+Coberturas!G5</f>
        <v>506.69036499999999</v>
      </c>
      <c r="H18" s="77">
        <f>+Coberturas!H5</f>
        <v>506.14502000000005</v>
      </c>
      <c r="I18" s="77">
        <f>+Coberturas!I5</f>
        <v>514.642335</v>
      </c>
      <c r="J18" s="77">
        <f>+Coberturas!J5</f>
        <v>523.13965000000007</v>
      </c>
      <c r="K18" s="77">
        <f>+Coberturas!K5</f>
        <v>523.13965000000007</v>
      </c>
      <c r="L18" s="77">
        <f>+Coberturas!L5</f>
        <v>523.13965000000007</v>
      </c>
      <c r="M18" s="77">
        <f>+Coberturas!M5</f>
        <v>515.14400000000001</v>
      </c>
      <c r="N18" s="77">
        <f>+Coberturas!N5</f>
        <v>515.14400000000001</v>
      </c>
    </row>
    <row r="19" spans="1:15" ht="31.5" x14ac:dyDescent="0.25">
      <c r="A19" s="120" t="s">
        <v>23</v>
      </c>
      <c r="B19" s="77">
        <f>+Coberturas!B6</f>
        <v>322.78176000000002</v>
      </c>
      <c r="C19" s="77">
        <f>+Coberturas!C6</f>
        <v>325.37089000000003</v>
      </c>
      <c r="D19" s="77">
        <f>+Coberturas!D6</f>
        <v>327.96002000000004</v>
      </c>
      <c r="E19" s="77">
        <f>+Coberturas!E6</f>
        <v>333.55776000000003</v>
      </c>
      <c r="F19" s="77">
        <f>+Coberturas!F6</f>
        <v>339.15550000000002</v>
      </c>
      <c r="G19" s="77">
        <f>+Coberturas!G6</f>
        <v>340.20731000000001</v>
      </c>
      <c r="H19" s="77">
        <f>+Coberturas!H6</f>
        <v>341.25912</v>
      </c>
      <c r="I19" s="77">
        <f>+Coberturas!I6</f>
        <v>357.94489000000004</v>
      </c>
      <c r="J19" s="77">
        <f>+Coberturas!J6</f>
        <v>374.63065999999992</v>
      </c>
      <c r="K19" s="77">
        <f>+Coberturas!K6</f>
        <v>374.63065999999992</v>
      </c>
      <c r="L19" s="77">
        <f>+Coberturas!L6</f>
        <v>374.63065999999992</v>
      </c>
      <c r="M19" s="77">
        <f>+Coberturas!M6</f>
        <v>375.10900000000004</v>
      </c>
      <c r="N19" s="77">
        <f>+Coberturas!N6</f>
        <v>375.10900000000004</v>
      </c>
    </row>
    <row r="20" spans="1:15" ht="31.5" x14ac:dyDescent="0.25">
      <c r="A20" s="120" t="s">
        <v>24</v>
      </c>
      <c r="B20" s="77">
        <f>+Coberturas!B7</f>
        <v>2361.9546099999998</v>
      </c>
      <c r="C20" s="77">
        <f>+Coberturas!C7</f>
        <v>2536.3037899999999</v>
      </c>
      <c r="D20" s="77">
        <f>+Coberturas!D7</f>
        <v>2710.6529700000006</v>
      </c>
      <c r="E20" s="77">
        <f>+Coberturas!E7</f>
        <v>2768.5833699999998</v>
      </c>
      <c r="F20" s="77">
        <f>+Coberturas!F7</f>
        <v>2826.51377</v>
      </c>
      <c r="G20" s="77">
        <f>+Coberturas!G7</f>
        <v>2858.75821</v>
      </c>
      <c r="H20" s="77">
        <f>+Coberturas!H7</f>
        <v>2891.0026499999999</v>
      </c>
      <c r="I20" s="77">
        <f>+Coberturas!I7</f>
        <v>2955.7263049999997</v>
      </c>
      <c r="J20" s="77">
        <f>+Coberturas!J7</f>
        <v>3020.4499599999999</v>
      </c>
      <c r="K20" s="77">
        <f>+Coberturas!K7</f>
        <v>3020.4499599999999</v>
      </c>
      <c r="L20" s="77">
        <f>+Coberturas!L7</f>
        <v>3020.4499599999999</v>
      </c>
      <c r="M20" s="77">
        <f>+Coberturas!M7</f>
        <v>2928.8820000000001</v>
      </c>
      <c r="N20" s="77">
        <f>+Coberturas!N7</f>
        <v>2928.8820000000001</v>
      </c>
    </row>
    <row r="21" spans="1:15" ht="31.5" x14ac:dyDescent="0.25">
      <c r="A21" s="120" t="s">
        <v>25</v>
      </c>
      <c r="B21" s="77">
        <f>+Coberturas!B8</f>
        <v>261.68610000000001</v>
      </c>
      <c r="C21" s="77">
        <f>+Coberturas!C8</f>
        <v>263.62240000000003</v>
      </c>
      <c r="D21" s="77">
        <f>+Coberturas!D8</f>
        <v>265.55870000000004</v>
      </c>
      <c r="E21" s="77">
        <f>+Coberturas!E8</f>
        <v>269.70002000000005</v>
      </c>
      <c r="F21" s="77">
        <f>+Coberturas!F8</f>
        <v>273.84134000000006</v>
      </c>
      <c r="G21" s="77">
        <f>+Coberturas!G8</f>
        <v>268.73807500000004</v>
      </c>
      <c r="H21" s="77">
        <f>+Coberturas!H8</f>
        <v>263.63481000000002</v>
      </c>
      <c r="I21" s="77">
        <f>+Coberturas!I8</f>
        <v>262.90870499999994</v>
      </c>
      <c r="J21" s="77">
        <f>+Coberturas!J8</f>
        <v>262.18259999999998</v>
      </c>
      <c r="K21" s="77">
        <f>+Coberturas!K8</f>
        <v>262.18259999999998</v>
      </c>
      <c r="L21" s="77">
        <f>+Coberturas!L8</f>
        <v>262.18259999999998</v>
      </c>
      <c r="M21" s="77">
        <f>+Coberturas!M8</f>
        <v>240.48699999999999</v>
      </c>
      <c r="N21" s="77">
        <f>+Coberturas!N8</f>
        <v>240.48699999999999</v>
      </c>
    </row>
    <row r="22" spans="1:15" ht="15.75" x14ac:dyDescent="0.25">
      <c r="A22" s="120" t="s">
        <v>26</v>
      </c>
      <c r="B22" s="77">
        <f>+Coberturas!B9</f>
        <v>64.990300000000005</v>
      </c>
      <c r="C22" s="77">
        <f>+Coberturas!C9</f>
        <v>65.33518500000001</v>
      </c>
      <c r="D22" s="77">
        <f>+Coberturas!D9</f>
        <v>65.680070000000001</v>
      </c>
      <c r="E22" s="77">
        <f>+Coberturas!E9</f>
        <v>64.106674999999996</v>
      </c>
      <c r="F22" s="77">
        <f>+Coberturas!F9</f>
        <v>62.533279999999998</v>
      </c>
      <c r="G22" s="77">
        <f>+Coberturas!G9</f>
        <v>65.738849999999999</v>
      </c>
      <c r="H22" s="77">
        <f>+Coberturas!H9</f>
        <v>68.944419999999994</v>
      </c>
      <c r="I22" s="77">
        <f>+Coberturas!I9</f>
        <v>68.62894</v>
      </c>
      <c r="J22" s="77">
        <f>+Coberturas!J9</f>
        <v>68.313460000000006</v>
      </c>
      <c r="K22" s="77">
        <f>+Coberturas!K9</f>
        <v>68.313460000000006</v>
      </c>
      <c r="L22" s="77">
        <f>+Coberturas!L9</f>
        <v>68.313460000000006</v>
      </c>
      <c r="M22" s="77">
        <f>+Coberturas!M9</f>
        <v>98.086999999999989</v>
      </c>
      <c r="N22" s="77">
        <f>+Coberturas!N9</f>
        <v>98.086999999999989</v>
      </c>
    </row>
    <row r="23" spans="1:15" ht="15.75" x14ac:dyDescent="0.25">
      <c r="A23" s="120" t="s">
        <v>27</v>
      </c>
      <c r="B23" s="77">
        <f>+Coberturas!B10</f>
        <v>271.77831000000003</v>
      </c>
      <c r="C23" s="77">
        <f>+Coberturas!C10</f>
        <v>272.68513999999999</v>
      </c>
      <c r="D23" s="77">
        <f>+Coberturas!D10</f>
        <v>273.59196999999995</v>
      </c>
      <c r="E23" s="77">
        <f>+Coberturas!E10</f>
        <v>278.16317499999997</v>
      </c>
      <c r="F23" s="77">
        <f>+Coberturas!F10</f>
        <v>282.73437999999999</v>
      </c>
      <c r="G23" s="77">
        <f>+Coberturas!G10</f>
        <v>289.39154000000008</v>
      </c>
      <c r="H23" s="77">
        <f>+Coberturas!H10</f>
        <v>296.0487</v>
      </c>
      <c r="I23" s="77">
        <f>+Coberturas!I10</f>
        <v>298.13771499999996</v>
      </c>
      <c r="J23" s="77">
        <f>+Coberturas!J10</f>
        <v>300.22672999999998</v>
      </c>
      <c r="K23" s="77">
        <f>+Coberturas!K10</f>
        <v>300.22672999999998</v>
      </c>
      <c r="L23" s="77">
        <f>+Coberturas!L10</f>
        <v>300.22672999999998</v>
      </c>
      <c r="M23" s="77">
        <f>+Coberturas!M10</f>
        <v>272.84699999999998</v>
      </c>
      <c r="N23" s="77">
        <f>+Coberturas!N10</f>
        <v>272.84699999999998</v>
      </c>
    </row>
    <row r="24" spans="1:15" ht="15.75" x14ac:dyDescent="0.25">
      <c r="A24" s="123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</row>
    <row r="25" spans="1:15" ht="15.75" x14ac:dyDescent="0.25">
      <c r="A25" s="119" t="s">
        <v>119</v>
      </c>
      <c r="B25" s="1">
        <v>2010</v>
      </c>
      <c r="C25" s="1">
        <v>2011</v>
      </c>
      <c r="D25" s="1">
        <v>2012</v>
      </c>
      <c r="E25" s="1">
        <v>2013</v>
      </c>
      <c r="F25" s="1">
        <v>2014</v>
      </c>
      <c r="G25" s="1">
        <v>2015</v>
      </c>
      <c r="H25" s="1">
        <v>2016</v>
      </c>
      <c r="I25" s="1">
        <v>2017</v>
      </c>
      <c r="J25" s="1">
        <v>2018</v>
      </c>
      <c r="K25" s="1">
        <v>2019</v>
      </c>
      <c r="L25" s="1">
        <v>2020</v>
      </c>
      <c r="M25" s="1">
        <v>2021</v>
      </c>
      <c r="N25" s="1">
        <v>2022</v>
      </c>
    </row>
    <row r="26" spans="1:15" x14ac:dyDescent="0.25">
      <c r="A26" s="124" t="s">
        <v>120</v>
      </c>
      <c r="B26" s="126">
        <f t="shared" ref="B26:N26" si="1">+B3/B15</f>
        <v>-3.8146335150277135</v>
      </c>
      <c r="C26" s="126">
        <f t="shared" si="1"/>
        <v>-3.6627403944751893</v>
      </c>
      <c r="D26" s="126">
        <f t="shared" si="1"/>
        <v>-3.5330015869703373</v>
      </c>
      <c r="E26" s="126">
        <f t="shared" si="1"/>
        <v>-3.8063239159832989</v>
      </c>
      <c r="F26" s="126">
        <f t="shared" si="1"/>
        <v>-4.074907688673286</v>
      </c>
      <c r="G26" s="126">
        <f t="shared" si="1"/>
        <v>-3.7863640370443625</v>
      </c>
      <c r="H26" s="126">
        <f t="shared" si="1"/>
        <v>-3.4995182205620958</v>
      </c>
      <c r="I26" s="126">
        <f t="shared" si="1"/>
        <v>-3.7142907122715325</v>
      </c>
      <c r="J26" s="126">
        <f t="shared" si="1"/>
        <v>-3.9296220822023069</v>
      </c>
      <c r="K26" s="126">
        <f t="shared" si="1"/>
        <v>-4.0433818566549071</v>
      </c>
      <c r="L26" s="126">
        <f t="shared" si="1"/>
        <v>-3.9652687421596071</v>
      </c>
      <c r="M26" s="126">
        <f t="shared" si="1"/>
        <v>-3.7875455423154869</v>
      </c>
      <c r="N26" s="126">
        <f t="shared" si="1"/>
        <v>-3.3531418102753485</v>
      </c>
      <c r="O26" s="127">
        <f t="shared" ref="O26:O34" si="2">+AVERAGE(B26:N26)</f>
        <v>-3.7669800080473439</v>
      </c>
    </row>
    <row r="27" spans="1:15" x14ac:dyDescent="0.25">
      <c r="A27" s="125" t="s">
        <v>121</v>
      </c>
      <c r="B27" s="126">
        <f t="shared" ref="B27:N27" si="3">+B4/B16</f>
        <v>-3.8146335150277144</v>
      </c>
      <c r="C27" s="126">
        <f t="shared" si="3"/>
        <v>-3.7980916799782594</v>
      </c>
      <c r="D27" s="126">
        <f t="shared" si="3"/>
        <v>-3.7829629060415626</v>
      </c>
      <c r="E27" s="126">
        <f t="shared" si="3"/>
        <v>-3.9856960328062843</v>
      </c>
      <c r="F27" s="126">
        <f t="shared" si="3"/>
        <v>-4.1763842230568624</v>
      </c>
      <c r="G27" s="126">
        <f t="shared" si="3"/>
        <v>-3.8968645577537426</v>
      </c>
      <c r="H27" s="126">
        <f t="shared" si="3"/>
        <v>-3.616665436279753</v>
      </c>
      <c r="I27" s="126">
        <f t="shared" si="3"/>
        <v>-3.833120553698389</v>
      </c>
      <c r="J27" s="126">
        <f t="shared" si="3"/>
        <v>-4.0495163395190161</v>
      </c>
      <c r="K27" s="126">
        <f t="shared" si="3"/>
        <v>-4.166746967754805</v>
      </c>
      <c r="L27" s="126">
        <f t="shared" si="3"/>
        <v>-4.0862505925659312</v>
      </c>
      <c r="M27" s="126">
        <f t="shared" si="3"/>
        <v>-3.6180483375101149</v>
      </c>
      <c r="N27" s="126">
        <f t="shared" si="3"/>
        <v>-3.2030846933884471</v>
      </c>
      <c r="O27" s="127">
        <f t="shared" si="2"/>
        <v>-3.8483127565677604</v>
      </c>
    </row>
    <row r="28" spans="1:15" x14ac:dyDescent="0.25">
      <c r="A28" s="125" t="s">
        <v>122</v>
      </c>
      <c r="B28" s="126">
        <f t="shared" ref="B28:N28" si="4">+B5/B17</f>
        <v>-3.8146335150277149</v>
      </c>
      <c r="C28" s="126">
        <f t="shared" si="4"/>
        <v>-3.9558766371928167</v>
      </c>
      <c r="D28" s="126">
        <f t="shared" si="4"/>
        <v>-4.0957345609315396</v>
      </c>
      <c r="E28" s="126">
        <f t="shared" si="4"/>
        <v>-4.3245140735903522</v>
      </c>
      <c r="F28" s="126">
        <f t="shared" si="4"/>
        <v>-4.5406014653579465</v>
      </c>
      <c r="G28" s="126">
        <f t="shared" si="4"/>
        <v>-4.2283150275625259</v>
      </c>
      <c r="H28" s="126">
        <f t="shared" si="4"/>
        <v>-3.9165084189254644</v>
      </c>
      <c r="I28" s="126">
        <f t="shared" si="4"/>
        <v>-4.1155292115679964</v>
      </c>
      <c r="J28" s="126">
        <f t="shared" si="4"/>
        <v>-4.3111328431543878</v>
      </c>
      <c r="K28" s="126">
        <f t="shared" si="4"/>
        <v>-4.4359370837691978</v>
      </c>
      <c r="L28" s="126">
        <f t="shared" si="4"/>
        <v>-4.3502402899459511</v>
      </c>
      <c r="M28" s="126">
        <f t="shared" si="4"/>
        <v>-3.8347096955145989</v>
      </c>
      <c r="N28" s="126">
        <f t="shared" si="4"/>
        <v>-3.3948965805536995</v>
      </c>
      <c r="O28" s="127">
        <f t="shared" si="2"/>
        <v>-4.1014330310072449</v>
      </c>
    </row>
    <row r="29" spans="1:15" x14ac:dyDescent="0.25">
      <c r="A29" s="125" t="s">
        <v>123</v>
      </c>
      <c r="B29" s="126">
        <f t="shared" ref="B29:N29" si="5">+B6/B18</f>
        <v>-3.8146335150277144</v>
      </c>
      <c r="C29" s="126">
        <f t="shared" si="5"/>
        <v>-3.9669385471642897</v>
      </c>
      <c r="D29" s="126">
        <f t="shared" si="5"/>
        <v>-4.1185915236889086</v>
      </c>
      <c r="E29" s="126">
        <f t="shared" si="5"/>
        <v>-4.3091959058768721</v>
      </c>
      <c r="F29" s="126">
        <f t="shared" si="5"/>
        <v>-4.4860770773425367</v>
      </c>
      <c r="G29" s="126">
        <f t="shared" si="5"/>
        <v>-4.1852546730837172</v>
      </c>
      <c r="H29" s="126">
        <f t="shared" si="5"/>
        <v>-3.8837840277573439</v>
      </c>
      <c r="I29" s="126">
        <f t="shared" si="5"/>
        <v>-4.0488175495318268</v>
      </c>
      <c r="J29" s="126">
        <f t="shared" si="5"/>
        <v>-4.2084898190285394</v>
      </c>
      <c r="K29" s="126">
        <f t="shared" si="5"/>
        <v>-4.3303226168355087</v>
      </c>
      <c r="L29" s="126">
        <f t="shared" si="5"/>
        <v>-4.2466661633116507</v>
      </c>
      <c r="M29" s="126">
        <f t="shared" si="5"/>
        <v>-3.8051494270164556</v>
      </c>
      <c r="N29" s="126">
        <f t="shared" si="5"/>
        <v>-3.3687266583397752</v>
      </c>
      <c r="O29" s="127">
        <f t="shared" si="2"/>
        <v>-4.0594344233850101</v>
      </c>
    </row>
    <row r="30" spans="1:15" x14ac:dyDescent="0.25">
      <c r="A30" s="125" t="s">
        <v>124</v>
      </c>
      <c r="B30" s="126">
        <f t="shared" ref="B30:N30" si="6">+B7/B19</f>
        <v>-3.8146335150277153</v>
      </c>
      <c r="C30" s="126">
        <f t="shared" si="6"/>
        <v>-3.943832113783293</v>
      </c>
      <c r="D30" s="126">
        <f t="shared" si="6"/>
        <v>-4.0709907567662391</v>
      </c>
      <c r="E30" s="126">
        <f t="shared" si="6"/>
        <v>-4.3503696314787312</v>
      </c>
      <c r="F30" s="126">
        <f t="shared" si="6"/>
        <v>-4.6205262450034628</v>
      </c>
      <c r="G30" s="126">
        <f t="shared" si="6"/>
        <v>-4.2927406285135632</v>
      </c>
      <c r="H30" s="126">
        <f t="shared" si="6"/>
        <v>-3.9669755774478492</v>
      </c>
      <c r="I30" s="126">
        <f t="shared" si="6"/>
        <v>-4.008956118598241</v>
      </c>
      <c r="J30" s="126">
        <f t="shared" si="6"/>
        <v>-4.0471970958052514</v>
      </c>
      <c r="K30" s="126">
        <f t="shared" si="6"/>
        <v>-4.1643605835791186</v>
      </c>
      <c r="L30" s="126">
        <f t="shared" si="6"/>
        <v>-4.0839103103679832</v>
      </c>
      <c r="M30" s="126">
        <f t="shared" si="6"/>
        <v>-3.5987910471430347</v>
      </c>
      <c r="N30" s="126">
        <f t="shared" si="6"/>
        <v>-3.1860360731775348</v>
      </c>
      <c r="O30" s="127">
        <f t="shared" si="2"/>
        <v>-4.0114861305147702</v>
      </c>
    </row>
    <row r="31" spans="1:15" x14ac:dyDescent="0.25">
      <c r="A31" s="125" t="s">
        <v>125</v>
      </c>
      <c r="B31" s="126">
        <f t="shared" ref="B31:N31" si="7">+B8/B20</f>
        <v>-3.814633515027714</v>
      </c>
      <c r="C31" s="126">
        <f t="shared" si="7"/>
        <v>-3.7021874630380212</v>
      </c>
      <c r="D31" s="126">
        <f t="shared" si="7"/>
        <v>-3.6042064695974059</v>
      </c>
      <c r="E31" s="126">
        <f t="shared" si="7"/>
        <v>-3.8353249310038513</v>
      </c>
      <c r="F31" s="126">
        <f t="shared" si="7"/>
        <v>-4.0569696830947661</v>
      </c>
      <c r="G31" s="126">
        <f t="shared" si="7"/>
        <v>-3.738207694797973</v>
      </c>
      <c r="H31" s="126">
        <f t="shared" si="7"/>
        <v>-3.426556251215426</v>
      </c>
      <c r="I31" s="126">
        <f t="shared" si="7"/>
        <v>-3.5525959377768945</v>
      </c>
      <c r="J31" s="126">
        <f t="shared" si="7"/>
        <v>-3.6732339462457957</v>
      </c>
      <c r="K31" s="126">
        <f t="shared" si="7"/>
        <v>-3.7795714658584632</v>
      </c>
      <c r="L31" s="126">
        <f t="shared" si="7"/>
        <v>-3.7065548403894013</v>
      </c>
      <c r="M31" s="126">
        <f t="shared" si="7"/>
        <v>-3.3726774031602371</v>
      </c>
      <c r="N31" s="126">
        <f t="shared" si="7"/>
        <v>-2.9858560080029473</v>
      </c>
      <c r="O31" s="127">
        <f t="shared" si="2"/>
        <v>-3.6345058160929922</v>
      </c>
    </row>
    <row r="32" spans="1:15" x14ac:dyDescent="0.25">
      <c r="A32" s="125" t="s">
        <v>126</v>
      </c>
      <c r="B32" s="126">
        <f t="shared" ref="B32:N32" si="8">+B9/B21</f>
        <v>-3.8146335150277144</v>
      </c>
      <c r="C32" s="126">
        <f t="shared" si="8"/>
        <v>-3.946267077411536</v>
      </c>
      <c r="D32" s="126">
        <f t="shared" si="8"/>
        <v>-4.0759810486326975</v>
      </c>
      <c r="E32" s="126">
        <f t="shared" si="8"/>
        <v>-4.3620224668656915</v>
      </c>
      <c r="F32" s="126">
        <f t="shared" si="8"/>
        <v>-4.6394122399807021</v>
      </c>
      <c r="G32" s="126">
        <f t="shared" si="8"/>
        <v>-4.4057592059438511</v>
      </c>
      <c r="H32" s="126">
        <f t="shared" si="8"/>
        <v>-4.16306037593837</v>
      </c>
      <c r="I32" s="126">
        <f t="shared" si="8"/>
        <v>-4.4250091484050236</v>
      </c>
      <c r="J32" s="126">
        <f t="shared" si="8"/>
        <v>-4.6884088357182883</v>
      </c>
      <c r="K32" s="126">
        <f t="shared" si="8"/>
        <v>-4.8241349489515448</v>
      </c>
      <c r="L32" s="126">
        <f t="shared" si="8"/>
        <v>-4.7309386546198535</v>
      </c>
      <c r="M32" s="126">
        <f t="shared" si="8"/>
        <v>-4.5508673894767115</v>
      </c>
      <c r="N32" s="126">
        <f t="shared" si="8"/>
        <v>-4.0289162324749475</v>
      </c>
      <c r="O32" s="127">
        <f t="shared" si="2"/>
        <v>-4.3581085491882261</v>
      </c>
    </row>
    <row r="33" spans="1:15" x14ac:dyDescent="0.25">
      <c r="A33" s="125" t="s">
        <v>127</v>
      </c>
      <c r="B33" s="126">
        <f t="shared" ref="B33:N33" si="9">+B10/B22</f>
        <v>-3.814633515027714</v>
      </c>
      <c r="C33" s="126">
        <f t="shared" si="9"/>
        <v>-3.9544814763098373</v>
      </c>
      <c r="D33" s="126">
        <f t="shared" si="9"/>
        <v>-4.092860758763611</v>
      </c>
      <c r="E33" s="126">
        <f t="shared" si="9"/>
        <v>-4.5575717198147823</v>
      </c>
      <c r="F33" s="126">
        <f t="shared" si="9"/>
        <v>-5.04566779364312</v>
      </c>
      <c r="G33" s="126">
        <f t="shared" si="9"/>
        <v>-4.4729675108976039</v>
      </c>
      <c r="H33" s="126">
        <f t="shared" si="9"/>
        <v>-3.9535226140226349</v>
      </c>
      <c r="I33" s="126">
        <f t="shared" si="9"/>
        <v>-4.2099771115287643</v>
      </c>
      <c r="J33" s="126">
        <f t="shared" si="9"/>
        <v>-4.4688002861557186</v>
      </c>
      <c r="K33" s="126">
        <f t="shared" si="9"/>
        <v>-4.5981688875103526</v>
      </c>
      <c r="L33" s="126">
        <f t="shared" si="9"/>
        <v>-4.5093379767746615</v>
      </c>
      <c r="M33" s="126">
        <f t="shared" si="9"/>
        <v>-2.7710363340358648</v>
      </c>
      <c r="N33" s="126">
        <f t="shared" si="9"/>
        <v>-2.4532187628211033</v>
      </c>
      <c r="O33" s="127">
        <f t="shared" si="2"/>
        <v>-4.0694034421004437</v>
      </c>
    </row>
    <row r="34" spans="1:15" x14ac:dyDescent="0.25">
      <c r="A34" s="125" t="s">
        <v>128</v>
      </c>
      <c r="B34" s="126">
        <f t="shared" ref="B34:N34" si="10">+B11/B23</f>
        <v>-3.8146335150277144</v>
      </c>
      <c r="C34" s="126">
        <f t="shared" si="10"/>
        <v>-3.9622461407507736</v>
      </c>
      <c r="D34" s="126">
        <f t="shared" si="10"/>
        <v>-4.1088802322179898</v>
      </c>
      <c r="E34" s="126">
        <f t="shared" si="10"/>
        <v>-4.3924151508299216</v>
      </c>
      <c r="F34" s="126">
        <f t="shared" si="10"/>
        <v>-4.6667817734770445</v>
      </c>
      <c r="G34" s="126">
        <f t="shared" si="10"/>
        <v>-4.2491128684613564</v>
      </c>
      <c r="H34" s="126">
        <f t="shared" si="10"/>
        <v>-3.8502279589687993</v>
      </c>
      <c r="I34" s="126">
        <f t="shared" si="10"/>
        <v>-4.0526244404497103</v>
      </c>
      <c r="J34" s="126">
        <f t="shared" si="10"/>
        <v>-4.2522043220511838</v>
      </c>
      <c r="K34" s="126">
        <f t="shared" si="10"/>
        <v>-4.3753026237412591</v>
      </c>
      <c r="L34" s="126">
        <f t="shared" si="10"/>
        <v>-4.2907772123613306</v>
      </c>
      <c r="M34" s="126">
        <f t="shared" si="10"/>
        <v>-4.1658223066103552</v>
      </c>
      <c r="N34" s="126">
        <f t="shared" si="10"/>
        <v>-3.6880330003723945</v>
      </c>
      <c r="O34" s="127">
        <f t="shared" si="2"/>
        <v>-4.1437739650246019</v>
      </c>
    </row>
    <row r="36" spans="1:15" x14ac:dyDescent="0.25">
      <c r="A36" s="73" t="s">
        <v>130</v>
      </c>
    </row>
    <row r="37" spans="1:15" ht="15.75" x14ac:dyDescent="0.25">
      <c r="A37" s="119" t="s">
        <v>129</v>
      </c>
      <c r="B37" s="1">
        <v>2010</v>
      </c>
      <c r="C37" s="1">
        <v>2011</v>
      </c>
      <c r="D37" s="1">
        <v>2012</v>
      </c>
      <c r="E37" s="1">
        <v>2013</v>
      </c>
      <c r="F37" s="1">
        <v>2014</v>
      </c>
      <c r="G37" s="1">
        <v>2015</v>
      </c>
      <c r="H37" s="1">
        <v>2016</v>
      </c>
      <c r="I37" s="1">
        <v>2017</v>
      </c>
      <c r="J37" s="1">
        <v>2018</v>
      </c>
      <c r="K37" s="1">
        <v>2019</v>
      </c>
      <c r="L37" s="1">
        <v>2020</v>
      </c>
      <c r="M37" s="1">
        <v>2021</v>
      </c>
      <c r="N37" s="1">
        <v>2022</v>
      </c>
    </row>
    <row r="38" spans="1:15" ht="15.75" x14ac:dyDescent="0.25">
      <c r="A38" s="120" t="s">
        <v>18</v>
      </c>
      <c r="B38" s="78">
        <f>(+INGEI!C$3)*'5ta'!$R87/1000</f>
        <v>-0.63971014159293182</v>
      </c>
      <c r="C38" s="78">
        <f>(+INGEI!D$3)*'5ta'!$R87/1000</f>
        <v>-0.63971014159293182</v>
      </c>
      <c r="D38" s="78">
        <f>(+INGEI!E$3)*'5ta'!$R87/1000</f>
        <v>-0.63971014159293182</v>
      </c>
      <c r="E38" s="78">
        <f>(+INGEI!F$3)*'5ta'!$R87/1000</f>
        <v>-0.63971014159293182</v>
      </c>
      <c r="F38" s="78">
        <f>(+INGEI!G$3)*'5ta'!$R87/1000</f>
        <v>-0.63971014159293182</v>
      </c>
      <c r="G38" s="78">
        <f>(+INGEI!H$3)*'5ta'!$R87/1000</f>
        <v>-0.45214728988900216</v>
      </c>
      <c r="H38" s="78">
        <f>(+INGEI!I$3)*'5ta'!$R87/1000</f>
        <v>-0.26458443818507249</v>
      </c>
      <c r="I38" s="78">
        <f>(+INGEI!J$3)*'5ta'!$R87/1000</f>
        <v>-0.34976231633003163</v>
      </c>
      <c r="J38" s="78">
        <f>(+INGEI!K$3)*'5ta'!$R87/1000</f>
        <v>-0.43494019447499083</v>
      </c>
      <c r="K38" s="78">
        <f>(+INGEI!L$3)*'5ta'!$R87/1000</f>
        <v>-9.6263962363031544E-2</v>
      </c>
      <c r="L38" s="78">
        <f>(+INGEI!M$3)*'5ta'!$R87/1000</f>
        <v>-9.6263962363031544E-2</v>
      </c>
      <c r="M38" s="78">
        <f>(+INGEI!N$3)*'5ta'!$R87/1000</f>
        <v>-0.11710017775665922</v>
      </c>
      <c r="N38" s="78">
        <f>(+INGEI!O$3)*'5ta'!$R87/1000</f>
        <v>-0.11710017775665922</v>
      </c>
    </row>
    <row r="39" spans="1:15" ht="15.75" x14ac:dyDescent="0.25">
      <c r="A39" s="120" t="s">
        <v>20</v>
      </c>
      <c r="B39" s="78">
        <f>(+INGEI!C$3)*'5ta'!$R88/1000</f>
        <v>-6.2468884364991446</v>
      </c>
      <c r="C39" s="78">
        <f>(+INGEI!D$3)*'5ta'!$R88/1000</f>
        <v>-6.2468884364991446</v>
      </c>
      <c r="D39" s="78">
        <f>(+INGEI!E$3)*'5ta'!$R88/1000</f>
        <v>-6.2468884364991446</v>
      </c>
      <c r="E39" s="78">
        <f>(+INGEI!F$3)*'5ta'!$R88/1000</f>
        <v>-6.2468884364991446</v>
      </c>
      <c r="F39" s="78">
        <f>(+INGEI!G$3)*'5ta'!$R88/1000</f>
        <v>-6.2468884364991446</v>
      </c>
      <c r="G39" s="78">
        <f>(+INGEI!H$3)*'5ta'!$R88/1000</f>
        <v>-4.4153023270332383</v>
      </c>
      <c r="H39" s="78">
        <f>(+INGEI!I$3)*'5ta'!$R88/1000</f>
        <v>-2.5837162175673321</v>
      </c>
      <c r="I39" s="78">
        <f>(+INGEI!J$3)*'5ta'!$R88/1000</f>
        <v>-3.4154940297875873</v>
      </c>
      <c r="J39" s="78">
        <f>(+INGEI!K$3)*'5ta'!$R88/1000</f>
        <v>-4.2472718420078435</v>
      </c>
      <c r="K39" s="78">
        <f>(+INGEI!L$3)*'5ta'!$R88/1000</f>
        <v>-0.94003548519615188</v>
      </c>
      <c r="L39" s="78">
        <f>(+INGEI!M$3)*'5ta'!$R88/1000</f>
        <v>-0.94003548519615188</v>
      </c>
      <c r="M39" s="78">
        <f>(+INGEI!N$3)*'5ta'!$R88/1000</f>
        <v>-1.1435050013722519</v>
      </c>
      <c r="N39" s="78">
        <f>(+INGEI!O$3)*'5ta'!$R88/1000</f>
        <v>-1.1435050013722519</v>
      </c>
    </row>
    <row r="40" spans="1:15" ht="31.5" x14ac:dyDescent="0.25">
      <c r="A40" s="120" t="s">
        <v>21</v>
      </c>
      <c r="B40" s="78">
        <f>(+INGEI!C$3)*'5ta'!$R89/1000</f>
        <v>-59.733358239733072</v>
      </c>
      <c r="C40" s="78">
        <f>(+INGEI!D$3)*'5ta'!$R89/1000</f>
        <v>-59.733358239733072</v>
      </c>
      <c r="D40" s="78">
        <f>(+INGEI!E$3)*'5ta'!$R89/1000</f>
        <v>-59.733358239733072</v>
      </c>
      <c r="E40" s="78">
        <f>(+INGEI!F$3)*'5ta'!$R89/1000</f>
        <v>-59.733358239733072</v>
      </c>
      <c r="F40" s="78">
        <f>(+INGEI!G$3)*'5ta'!$R89/1000</f>
        <v>-59.733358239733072</v>
      </c>
      <c r="G40" s="78">
        <f>(+INGEI!H$3)*'5ta'!$R89/1000</f>
        <v>-42.219552713063663</v>
      </c>
      <c r="H40" s="78">
        <f>(+INGEI!I$3)*'5ta'!$R89/1000</f>
        <v>-24.705747186394255</v>
      </c>
      <c r="I40" s="78">
        <f>(+INGEI!J$3)*'5ta'!$R89/1000</f>
        <v>-32.659287983267866</v>
      </c>
      <c r="J40" s="78">
        <f>(+INGEI!K$3)*'5ta'!$R89/1000</f>
        <v>-40.612828780141477</v>
      </c>
      <c r="K40" s="78">
        <f>(+INGEI!L$3)*'5ta'!$R89/1000</f>
        <v>-8.9887112545828032</v>
      </c>
      <c r="L40" s="78">
        <f>(+INGEI!M$3)*'5ta'!$R89/1000</f>
        <v>-8.9887112545828032</v>
      </c>
      <c r="M40" s="78">
        <f>(+INGEI!N$3)*'5ta'!$R89/1000</f>
        <v>-10.934306669669709</v>
      </c>
      <c r="N40" s="78">
        <f>(+INGEI!O$3)*'5ta'!$R89/1000</f>
        <v>-10.934306669669709</v>
      </c>
    </row>
    <row r="41" spans="1:15" ht="31.5" x14ac:dyDescent="0.25">
      <c r="A41" s="120" t="s">
        <v>22</v>
      </c>
      <c r="B41" s="78">
        <f>(+INGEI!C$3)*'5ta'!$R90/1000</f>
        <v>-24.281224917855194</v>
      </c>
      <c r="C41" s="78">
        <f>(+INGEI!D$3)*'5ta'!$R90/1000</f>
        <v>-24.281224917855194</v>
      </c>
      <c r="D41" s="78">
        <f>(+INGEI!E$3)*'5ta'!$R90/1000</f>
        <v>-24.281224917855194</v>
      </c>
      <c r="E41" s="78">
        <f>(+INGEI!F$3)*'5ta'!$R90/1000</f>
        <v>-24.281224917855194</v>
      </c>
      <c r="F41" s="78">
        <f>(+INGEI!G$3)*'5ta'!$R90/1000</f>
        <v>-24.281224917855194</v>
      </c>
      <c r="G41" s="78">
        <f>(+INGEI!H$3)*'5ta'!$R90/1000</f>
        <v>-17.16197591374068</v>
      </c>
      <c r="H41" s="78">
        <f>(+INGEI!I$3)*'5ta'!$R90/1000</f>
        <v>-10.042726909626165</v>
      </c>
      <c r="I41" s="78">
        <f>(+INGEI!J$3)*'5ta'!$R90/1000</f>
        <v>-13.275789953012293</v>
      </c>
      <c r="J41" s="78">
        <f>(+INGEI!K$3)*'5ta'!$R90/1000</f>
        <v>-16.508852996398424</v>
      </c>
      <c r="K41" s="78">
        <f>(+INGEI!L$3)*'5ta'!$R90/1000</f>
        <v>-3.6538531588703238</v>
      </c>
      <c r="L41" s="78">
        <f>(+INGEI!M$3)*'5ta'!$R90/1000</f>
        <v>-3.6538531588703238</v>
      </c>
      <c r="M41" s="78">
        <f>(+INGEI!N$3)*'5ta'!$R90/1000</f>
        <v>-4.4447251484088133</v>
      </c>
      <c r="N41" s="78">
        <f>(+INGEI!O$3)*'5ta'!$R90/1000</f>
        <v>-4.4447251484088133</v>
      </c>
    </row>
    <row r="42" spans="1:15" ht="31.5" x14ac:dyDescent="0.25">
      <c r="A42" s="120" t="s">
        <v>23</v>
      </c>
      <c r="B42" s="78">
        <f>(+INGEI!C$3)*'5ta'!$R91/1000</f>
        <v>-16.721850858514824</v>
      </c>
      <c r="C42" s="78">
        <f>(+INGEI!D$3)*'5ta'!$R91/1000</f>
        <v>-16.721850858514824</v>
      </c>
      <c r="D42" s="78">
        <f>(+INGEI!E$3)*'5ta'!$R91/1000</f>
        <v>-16.721850858514824</v>
      </c>
      <c r="E42" s="78">
        <f>(+INGEI!F$3)*'5ta'!$R91/1000</f>
        <v>-16.721850858514824</v>
      </c>
      <c r="F42" s="78">
        <f>(+INGEI!G$3)*'5ta'!$R91/1000</f>
        <v>-16.721850858514824</v>
      </c>
      <c r="G42" s="78">
        <f>(+INGEI!H$3)*'5ta'!$R91/1000</f>
        <v>-11.819008416497333</v>
      </c>
      <c r="H42" s="78">
        <f>(+INGEI!I$3)*'5ta'!$R91/1000</f>
        <v>-6.916165974479842</v>
      </c>
      <c r="I42" s="78">
        <f>(+INGEI!J$3)*'5ta'!$R91/1000</f>
        <v>-9.1426927749430202</v>
      </c>
      <c r="J42" s="78">
        <f>(+INGEI!K$3)*'5ta'!$R91/1000</f>
        <v>-11.369219575406198</v>
      </c>
      <c r="K42" s="78">
        <f>(+INGEI!L$3)*'5ta'!$R91/1000</f>
        <v>-2.5163140569820901</v>
      </c>
      <c r="L42" s="78">
        <f>(+INGEI!M$3)*'5ta'!$R91/1000</f>
        <v>-2.5163140569820901</v>
      </c>
      <c r="M42" s="78">
        <f>(+INGEI!N$3)*'5ta'!$R91/1000</f>
        <v>-3.0609671171954829</v>
      </c>
      <c r="N42" s="78">
        <f>(+INGEI!O$3)*'5ta'!$R91/1000</f>
        <v>-3.0609671171954829</v>
      </c>
    </row>
    <row r="43" spans="1:15" ht="31.5" x14ac:dyDescent="0.25">
      <c r="A43" s="120" t="s">
        <v>24</v>
      </c>
      <c r="B43" s="78">
        <f>(+INGEI!C$3)*'5ta'!$R92/1000</f>
        <v>-122.3620960583446</v>
      </c>
      <c r="C43" s="78">
        <f>(+INGEI!D$3)*'5ta'!$R92/1000</f>
        <v>-122.3620960583446</v>
      </c>
      <c r="D43" s="78">
        <f>(+INGEI!E$3)*'5ta'!$R92/1000</f>
        <v>-122.3620960583446</v>
      </c>
      <c r="E43" s="78">
        <f>(+INGEI!F$3)*'5ta'!$R92/1000</f>
        <v>-122.3620960583446</v>
      </c>
      <c r="F43" s="78">
        <f>(+INGEI!G$3)*'5ta'!$R92/1000</f>
        <v>-122.3620960583446</v>
      </c>
      <c r="G43" s="78">
        <f>(+INGEI!H$3)*'5ta'!$R92/1000</f>
        <v>-86.485560444848772</v>
      </c>
      <c r="H43" s="78">
        <f>(+INGEI!I$3)*'5ta'!$R92/1000</f>
        <v>-50.609024831352926</v>
      </c>
      <c r="I43" s="78">
        <f>(+INGEI!J$3)*'5ta'!$R92/1000</f>
        <v>-66.901628355921815</v>
      </c>
      <c r="J43" s="78">
        <f>(+INGEI!K$3)*'5ta'!$R92/1000</f>
        <v>-83.194231880490719</v>
      </c>
      <c r="K43" s="78">
        <f>(+INGEI!L$3)*'5ta'!$R92/1000</f>
        <v>-18.413120949265068</v>
      </c>
      <c r="L43" s="78">
        <f>(+INGEI!M$3)*'5ta'!$R92/1000</f>
        <v>-18.413120949265068</v>
      </c>
      <c r="M43" s="78">
        <f>(+INGEI!N$3)*'5ta'!$R92/1000</f>
        <v>-22.398618167018729</v>
      </c>
      <c r="N43" s="78">
        <f>(+INGEI!O$3)*'5ta'!$R92/1000</f>
        <v>-22.398618167018729</v>
      </c>
    </row>
    <row r="44" spans="1:15" ht="31.5" x14ac:dyDescent="0.25">
      <c r="A44" s="120" t="s">
        <v>25</v>
      </c>
      <c r="B44" s="78">
        <f>(+INGEI!C$3)*'5ta'!$R93/1000</f>
        <v>-13.55676335597896</v>
      </c>
      <c r="C44" s="78">
        <f>(+INGEI!D$3)*'5ta'!$R93/1000</f>
        <v>-13.55676335597896</v>
      </c>
      <c r="D44" s="78">
        <f>(+INGEI!E$3)*'5ta'!$R93/1000</f>
        <v>-13.55676335597896</v>
      </c>
      <c r="E44" s="78">
        <f>(+INGEI!F$3)*'5ta'!$R93/1000</f>
        <v>-13.55676335597896</v>
      </c>
      <c r="F44" s="78">
        <f>(+INGEI!G$3)*'5ta'!$R93/1000</f>
        <v>-13.55676335597896</v>
      </c>
      <c r="G44" s="78">
        <f>(+INGEI!H$3)*'5ta'!$R93/1000</f>
        <v>-9.5819237691137271</v>
      </c>
      <c r="H44" s="78">
        <f>(+INGEI!I$3)*'5ta'!$R93/1000</f>
        <v>-5.6070841822484923</v>
      </c>
      <c r="I44" s="78">
        <f>(+INGEI!J$3)*'5ta'!$R93/1000</f>
        <v>-7.4121772425214365</v>
      </c>
      <c r="J44" s="78">
        <f>(+INGEI!K$3)*'5ta'!$R93/1000</f>
        <v>-9.2172703027943825</v>
      </c>
      <c r="K44" s="78">
        <f>(+INGEI!L$3)*'5ta'!$R93/1000</f>
        <v>-2.0400298082110373</v>
      </c>
      <c r="L44" s="78">
        <f>(+INGEI!M$3)*'5ta'!$R93/1000</f>
        <v>-2.0400298082110373</v>
      </c>
      <c r="M44" s="78">
        <f>(+INGEI!N$3)*'5ta'!$R93/1000</f>
        <v>-2.4815917328387105</v>
      </c>
      <c r="N44" s="78">
        <f>(+INGEI!O$3)*'5ta'!$R93/1000</f>
        <v>-2.4815917328387105</v>
      </c>
    </row>
    <row r="45" spans="1:15" ht="15.75" x14ac:dyDescent="0.25">
      <c r="A45" s="120" t="s">
        <v>26</v>
      </c>
      <c r="B45" s="78">
        <f>(+INGEI!C$3)*'5ta'!$R94/1000</f>
        <v>-3.3668510384543908</v>
      </c>
      <c r="C45" s="78">
        <f>(+INGEI!D$3)*'5ta'!$R94/1000</f>
        <v>-3.3668510384543908</v>
      </c>
      <c r="D45" s="78">
        <f>(+INGEI!E$3)*'5ta'!$R94/1000</f>
        <v>-3.3668510384543908</v>
      </c>
      <c r="E45" s="78">
        <f>(+INGEI!F$3)*'5ta'!$R94/1000</f>
        <v>-3.3668510384543908</v>
      </c>
      <c r="F45" s="78">
        <f>(+INGEI!G$3)*'5ta'!$R94/1000</f>
        <v>-3.3668510384543908</v>
      </c>
      <c r="G45" s="78">
        <f>(+INGEI!H$3)*'5ta'!$R94/1000</f>
        <v>-2.379691165605784</v>
      </c>
      <c r="H45" s="78">
        <f>(+INGEI!I$3)*'5ta'!$R94/1000</f>
        <v>-1.3925312927571782</v>
      </c>
      <c r="I45" s="78">
        <f>(+INGEI!J$3)*'5ta'!$R94/1000</f>
        <v>-1.8408299968727453</v>
      </c>
      <c r="J45" s="78">
        <f>(+INGEI!K$3)*'5ta'!$R94/1000</f>
        <v>-2.2891287009883126</v>
      </c>
      <c r="K45" s="78">
        <f>(+INGEI!L$3)*'5ta'!$R94/1000</f>
        <v>-0.50664574558823627</v>
      </c>
      <c r="L45" s="78">
        <f>(+INGEI!M$3)*'5ta'!$R94/1000</f>
        <v>-0.50664574558823627</v>
      </c>
      <c r="M45" s="78">
        <f>(+INGEI!N$3)*'5ta'!$R94/1000</f>
        <v>-0.61630858954567191</v>
      </c>
      <c r="N45" s="78">
        <f>(+INGEI!O$3)*'5ta'!$R94/1000</f>
        <v>-0.61630858954567191</v>
      </c>
    </row>
    <row r="46" spans="1:15" ht="15.75" x14ac:dyDescent="0.25">
      <c r="A46" s="120" t="s">
        <v>27</v>
      </c>
      <c r="B46" s="78">
        <f>(+INGEI!C$3)*'5ta'!$R95/1000</f>
        <v>-14.079594728026786</v>
      </c>
      <c r="C46" s="78">
        <f>(+INGEI!D$3)*'5ta'!$R95/1000</f>
        <v>-14.079594728026786</v>
      </c>
      <c r="D46" s="78">
        <f>(+INGEI!E$3)*'5ta'!$R95/1000</f>
        <v>-14.079594728026786</v>
      </c>
      <c r="E46" s="78">
        <f>(+INGEI!F$3)*'5ta'!$R95/1000</f>
        <v>-14.079594728026786</v>
      </c>
      <c r="F46" s="78">
        <f>(+INGEI!G$3)*'5ta'!$R95/1000</f>
        <v>-14.079594728026786</v>
      </c>
      <c r="G46" s="78">
        <f>(+INGEI!H$3)*'5ta'!$R95/1000</f>
        <v>-9.951461115124415</v>
      </c>
      <c r="H46" s="78">
        <f>(+INGEI!I$3)*'5ta'!$R95/1000</f>
        <v>-5.8233275022220417</v>
      </c>
      <c r="I46" s="78">
        <f>(+INGEI!J$3)*'5ta'!$R95/1000</f>
        <v>-7.6980359460931869</v>
      </c>
      <c r="J46" s="78">
        <f>(+INGEI!K$3)*'5ta'!$R95/1000</f>
        <v>-9.572744389964333</v>
      </c>
      <c r="K46" s="78">
        <f>(+INGEI!L$3)*'5ta'!$R95/1000</f>
        <v>-2.1187057838579113</v>
      </c>
      <c r="L46" s="78">
        <f>(+INGEI!M$3)*'5ta'!$R95/1000</f>
        <v>-2.1187057838579113</v>
      </c>
      <c r="M46" s="78">
        <f>(+INGEI!N$3)*'5ta'!$R95/1000</f>
        <v>-2.5772970259439698</v>
      </c>
      <c r="N46" s="78">
        <f>(+INGEI!O$3)*'5ta'!$R95/1000</f>
        <v>-2.5772970259439698</v>
      </c>
    </row>
    <row r="47" spans="1:15" ht="15.75" x14ac:dyDescent="0.25">
      <c r="A47" s="121" t="s">
        <v>14</v>
      </c>
      <c r="B47" s="122">
        <f t="shared" ref="B47:N47" si="11">+SUM(B38:B46)</f>
        <v>-260.98833777499993</v>
      </c>
      <c r="C47" s="122">
        <f t="shared" si="11"/>
        <v>-260.98833777499993</v>
      </c>
      <c r="D47" s="122">
        <f t="shared" si="11"/>
        <v>-260.98833777499993</v>
      </c>
      <c r="E47" s="122">
        <f t="shared" si="11"/>
        <v>-260.98833777499993</v>
      </c>
      <c r="F47" s="122">
        <f t="shared" si="11"/>
        <v>-260.98833777499993</v>
      </c>
      <c r="G47" s="122">
        <f t="shared" si="11"/>
        <v>-184.46662315491659</v>
      </c>
      <c r="H47" s="122">
        <f t="shared" si="11"/>
        <v>-107.9449085348333</v>
      </c>
      <c r="I47" s="122">
        <f t="shared" si="11"/>
        <v>-142.69569859875</v>
      </c>
      <c r="J47" s="122">
        <f t="shared" si="11"/>
        <v>-177.44648866266667</v>
      </c>
      <c r="K47" s="122">
        <f t="shared" si="11"/>
        <v>-39.273680204916651</v>
      </c>
      <c r="L47" s="122">
        <f t="shared" si="11"/>
        <v>-39.273680204916651</v>
      </c>
      <c r="M47" s="122">
        <f t="shared" si="11"/>
        <v>-47.77441962975</v>
      </c>
      <c r="N47" s="122">
        <f t="shared" si="11"/>
        <v>-47.77441962975</v>
      </c>
    </row>
    <row r="48" spans="1:15" ht="15.75" x14ac:dyDescent="0.25">
      <c r="A48" s="121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</row>
    <row r="49" spans="1:15" ht="15.75" x14ac:dyDescent="0.25">
      <c r="A49" s="119" t="s">
        <v>118</v>
      </c>
      <c r="B49" s="1">
        <v>2010</v>
      </c>
      <c r="C49" s="1">
        <v>2011</v>
      </c>
      <c r="D49" s="1">
        <v>2012</v>
      </c>
      <c r="E49" s="1">
        <v>2013</v>
      </c>
      <c r="F49" s="1">
        <v>2014</v>
      </c>
      <c r="G49" s="1">
        <v>2015</v>
      </c>
      <c r="H49" s="1">
        <v>2016</v>
      </c>
      <c r="I49" s="1">
        <v>2017</v>
      </c>
      <c r="J49" s="1">
        <v>2018</v>
      </c>
      <c r="K49" s="1">
        <v>2019</v>
      </c>
      <c r="L49" s="1">
        <v>2020</v>
      </c>
      <c r="M49" s="1">
        <v>2021</v>
      </c>
      <c r="N49" s="1">
        <v>2022</v>
      </c>
    </row>
    <row r="50" spans="1:15" ht="15.75" x14ac:dyDescent="0.25">
      <c r="A50" s="120" t="s">
        <v>18</v>
      </c>
      <c r="B50" s="75">
        <f>+('Cambio uso de suelo'!C96)/1000</f>
        <v>3.5450349455211687E-2</v>
      </c>
      <c r="C50" s="75">
        <f>+('Cambio uso de suelo'!D96)/1000</f>
        <v>3.5450349455211687E-2</v>
      </c>
      <c r="D50" s="75">
        <f>+('Cambio uso de suelo'!E96)/1000</f>
        <v>3.5450349455211687E-2</v>
      </c>
      <c r="E50" s="75">
        <f>+('Cambio uso de suelo'!F96)/1000</f>
        <v>3.5450349455211687E-2</v>
      </c>
      <c r="F50" s="75">
        <f>+('Cambio uso de suelo'!G96)/1000</f>
        <v>3.5450349455211687E-2</v>
      </c>
      <c r="G50" s="75">
        <f>+('Cambio uso de suelo'!H96)/1000</f>
        <v>2.7971301260442952E-2</v>
      </c>
      <c r="H50" s="75">
        <f>+('Cambio uso de suelo'!I96)/1000</f>
        <v>2.0492253065674225E-2</v>
      </c>
      <c r="I50" s="75">
        <f>+('Cambio uso de suelo'!J96)/1000</f>
        <v>2.614530064966725E-2</v>
      </c>
      <c r="J50" s="75">
        <f>+('Cambio uso de suelo'!K96)/1000</f>
        <v>3.1798348233660276E-2</v>
      </c>
      <c r="K50" s="75">
        <f>+('Cambio uso de suelo'!L96)/1000</f>
        <v>5.2465438706970546E-3</v>
      </c>
      <c r="L50" s="75">
        <f>+('Cambio uso de suelo'!M96)/1000</f>
        <v>5.2465438706970546E-3</v>
      </c>
      <c r="M50" s="75">
        <f>+('Cambio uso de suelo'!N96)/1000</f>
        <v>5.8147838288109821E-3</v>
      </c>
      <c r="N50" s="75">
        <f>+('Cambio uso de suelo'!O96)/1000</f>
        <v>5.8147838288109821E-3</v>
      </c>
    </row>
    <row r="51" spans="1:15" ht="15.75" x14ac:dyDescent="0.25">
      <c r="A51" s="120" t="s">
        <v>20</v>
      </c>
      <c r="B51" s="75">
        <f>+('Cambio uso de suelo'!C97)/1000</f>
        <v>0.3461792516375865</v>
      </c>
      <c r="C51" s="75">
        <f>+('Cambio uso de suelo'!D97)/1000</f>
        <v>0.3461792516375865</v>
      </c>
      <c r="D51" s="75">
        <f>+('Cambio uso de suelo'!E97)/1000</f>
        <v>0.3461792516375865</v>
      </c>
      <c r="E51" s="75">
        <f>+('Cambio uso de suelo'!F97)/1000</f>
        <v>0.3461792516375865</v>
      </c>
      <c r="F51" s="75">
        <f>+('Cambio uso de suelo'!G97)/1000</f>
        <v>0.3461792516375865</v>
      </c>
      <c r="G51" s="75">
        <f>+('Cambio uso de suelo'!H97)/1000</f>
        <v>0.27314495587422422</v>
      </c>
      <c r="H51" s="75">
        <f>+('Cambio uso de suelo'!I97)/1000</f>
        <v>0.20011066011086182</v>
      </c>
      <c r="I51" s="75">
        <f>+('Cambio uso de suelo'!J97)/1000</f>
        <v>0.25531372050863937</v>
      </c>
      <c r="J51" s="75">
        <f>+('Cambio uso de suelo'!K97)/1000</f>
        <v>0.31051678090641693</v>
      </c>
      <c r="K51" s="75">
        <f>+('Cambio uso de suelo'!L97)/1000</f>
        <v>5.1233476080012531E-2</v>
      </c>
      <c r="L51" s="75">
        <f>+('Cambio uso de suelo'!M97)/1000</f>
        <v>5.1233476080012531E-2</v>
      </c>
      <c r="M51" s="75">
        <f>+('Cambio uso de suelo'!N97)/1000</f>
        <v>5.678244489057338E-2</v>
      </c>
      <c r="N51" s="75">
        <f>+('Cambio uso de suelo'!O97)/1000</f>
        <v>5.678244489057338E-2</v>
      </c>
    </row>
    <row r="52" spans="1:15" ht="31.5" x14ac:dyDescent="0.25">
      <c r="A52" s="120" t="s">
        <v>21</v>
      </c>
      <c r="B52" s="75">
        <f>+('Cambio uso de suelo'!C98)/1000</f>
        <v>3.3101998640493071</v>
      </c>
      <c r="C52" s="75">
        <f>+('Cambio uso de suelo'!D98)/1000</f>
        <v>3.3101998640493071</v>
      </c>
      <c r="D52" s="75">
        <f>+('Cambio uso de suelo'!E98)/1000</f>
        <v>3.3101998640493071</v>
      </c>
      <c r="E52" s="75">
        <f>+('Cambio uso de suelo'!F98)/1000</f>
        <v>3.3101998640493071</v>
      </c>
      <c r="F52" s="75">
        <f>+('Cambio uso de suelo'!G98)/1000</f>
        <v>3.3101998640493071</v>
      </c>
      <c r="G52" s="75">
        <f>+('Cambio uso de suelo'!H98)/1000</f>
        <v>2.6118387844548709</v>
      </c>
      <c r="H52" s="75">
        <f>+('Cambio uso de suelo'!I98)/1000</f>
        <v>1.9134777048604346</v>
      </c>
      <c r="I52" s="75">
        <f>+('Cambio uso de suelo'!J98)/1000</f>
        <v>2.4413347678109649</v>
      </c>
      <c r="J52" s="75">
        <f>+('Cambio uso de suelo'!K98)/1000</f>
        <v>2.9691918307614955</v>
      </c>
      <c r="K52" s="75">
        <f>+('Cambio uso de suelo'!L98)/1000</f>
        <v>0.48989950943789401</v>
      </c>
      <c r="L52" s="75">
        <f>+('Cambio uso de suelo'!M98)/1000</f>
        <v>0.48989950943789401</v>
      </c>
      <c r="M52" s="75">
        <f>+('Cambio uso de suelo'!N98)/1000</f>
        <v>0.54295929195068882</v>
      </c>
      <c r="N52" s="75">
        <f>+('Cambio uso de suelo'!O98)/1000</f>
        <v>0.54295929195068882</v>
      </c>
    </row>
    <row r="53" spans="1:15" ht="31.5" x14ac:dyDescent="0.25">
      <c r="A53" s="120" t="s">
        <v>22</v>
      </c>
      <c r="B53" s="75">
        <f>+('Cambio uso de suelo'!C99)/1000</f>
        <v>1.3455748980235818</v>
      </c>
      <c r="C53" s="75">
        <f>+('Cambio uso de suelo'!D99)/1000</f>
        <v>1.3455748980235818</v>
      </c>
      <c r="D53" s="75">
        <f>+('Cambio uso de suelo'!E99)/1000</f>
        <v>1.3455748980235818</v>
      </c>
      <c r="E53" s="75">
        <f>+('Cambio uso de suelo'!F99)/1000</f>
        <v>1.3455748980235818</v>
      </c>
      <c r="F53" s="75">
        <f>+('Cambio uso de suelo'!G99)/1000</f>
        <v>1.3455748980235818</v>
      </c>
      <c r="G53" s="75">
        <f>+('Cambio uso de suelo'!H99)/1000</f>
        <v>1.0616956227373435</v>
      </c>
      <c r="H53" s="75">
        <f>+('Cambio uso de suelo'!I99)/1000</f>
        <v>0.77781634745110506</v>
      </c>
      <c r="I53" s="75">
        <f>+('Cambio uso de suelo'!J99)/1000</f>
        <v>0.9923868395125196</v>
      </c>
      <c r="J53" s="75">
        <f>+('Cambio uso de suelo'!K99)/1000</f>
        <v>1.2069573315739341</v>
      </c>
      <c r="K53" s="75">
        <f>+('Cambio uso de suelo'!L99)/1000</f>
        <v>0.19914099133800156</v>
      </c>
      <c r="L53" s="75">
        <f>+('Cambio uso de suelo'!M99)/1000</f>
        <v>0.19914099133800156</v>
      </c>
      <c r="M53" s="75">
        <f>+('Cambio uso de suelo'!N99)/1000</f>
        <v>0.22070945075920093</v>
      </c>
      <c r="N53" s="75">
        <f>+('Cambio uso de suelo'!O99)/1000</f>
        <v>0.22070945075920093</v>
      </c>
    </row>
    <row r="54" spans="1:15" ht="31.5" x14ac:dyDescent="0.25">
      <c r="A54" s="120" t="s">
        <v>23</v>
      </c>
      <c r="B54" s="75">
        <f>+('Cambio uso de suelo'!C100)/1000</f>
        <v>0.92666258971003923</v>
      </c>
      <c r="C54" s="75">
        <f>+('Cambio uso de suelo'!D100)/1000</f>
        <v>0.92666258971003923</v>
      </c>
      <c r="D54" s="75">
        <f>+('Cambio uso de suelo'!E100)/1000</f>
        <v>0.92666258971003923</v>
      </c>
      <c r="E54" s="75">
        <f>+('Cambio uso de suelo'!F100)/1000</f>
        <v>0.92666258971003923</v>
      </c>
      <c r="F54" s="75">
        <f>+('Cambio uso de suelo'!G100)/1000</f>
        <v>0.92666258971003923</v>
      </c>
      <c r="G54" s="75">
        <f>+('Cambio uso de suelo'!H100)/1000</f>
        <v>0.73116228364149927</v>
      </c>
      <c r="H54" s="75">
        <f>+('Cambio uso de suelo'!I100)/1000</f>
        <v>0.53566197757295919</v>
      </c>
      <c r="I54" s="75">
        <f>+('Cambio uso de suelo'!J100)/1000</f>
        <v>0.68343111932868117</v>
      </c>
      <c r="J54" s="75">
        <f>+('Cambio uso de suelo'!K100)/1000</f>
        <v>0.83120026108440315</v>
      </c>
      <c r="K54" s="75">
        <f>+('Cambio uso de suelo'!L100)/1000</f>
        <v>0.13714324414177867</v>
      </c>
      <c r="L54" s="75">
        <f>+('Cambio uso de suelo'!M100)/1000</f>
        <v>0.13714324414177867</v>
      </c>
      <c r="M54" s="75">
        <f>+('Cambio uso de suelo'!N100)/1000</f>
        <v>0.1519968836475851</v>
      </c>
      <c r="N54" s="75">
        <f>+('Cambio uso de suelo'!O100)/1000</f>
        <v>0.1519968836475851</v>
      </c>
    </row>
    <row r="55" spans="1:15" ht="31.5" x14ac:dyDescent="0.25">
      <c r="A55" s="120" t="s">
        <v>24</v>
      </c>
      <c r="B55" s="75">
        <f>+('Cambio uso de suelo'!C101)/1000</f>
        <v>6.7808508624532093</v>
      </c>
      <c r="C55" s="75">
        <f>+('Cambio uso de suelo'!D101)/1000</f>
        <v>6.7808508624532093</v>
      </c>
      <c r="D55" s="75">
        <f>+('Cambio uso de suelo'!E101)/1000</f>
        <v>6.7808508624532093</v>
      </c>
      <c r="E55" s="75">
        <f>+('Cambio uso de suelo'!F101)/1000</f>
        <v>6.7808508624532093</v>
      </c>
      <c r="F55" s="75">
        <f>+('Cambio uso de suelo'!G101)/1000</f>
        <v>6.7808508624532093</v>
      </c>
      <c r="G55" s="75">
        <f>+('Cambio uso de suelo'!H101)/1000</f>
        <v>5.3502779292893319</v>
      </c>
      <c r="H55" s="75">
        <f>+('Cambio uso de suelo'!I101)/1000</f>
        <v>3.919704996125454</v>
      </c>
      <c r="I55" s="75">
        <f>+('Cambio uso de suelo'!J101)/1000</f>
        <v>5.0010052702973002</v>
      </c>
      <c r="J55" s="75">
        <f>+('Cambio uso de suelo'!K101)/1000</f>
        <v>6.0823055444691452</v>
      </c>
      <c r="K55" s="75">
        <f>+('Cambio uso de suelo'!L101)/1000</f>
        <v>1.0035452986284896</v>
      </c>
      <c r="L55" s="75">
        <f>+('Cambio uso de suelo'!M101)/1000</f>
        <v>1.0035452986284896</v>
      </c>
      <c r="M55" s="75">
        <f>+('Cambio uso de suelo'!N101)/1000</f>
        <v>1.1122367634312642</v>
      </c>
      <c r="N55" s="75">
        <f>+('Cambio uso de suelo'!O101)/1000</f>
        <v>1.1122367634312642</v>
      </c>
    </row>
    <row r="56" spans="1:15" ht="31.5" x14ac:dyDescent="0.25">
      <c r="A56" s="120" t="s">
        <v>25</v>
      </c>
      <c r="B56" s="75">
        <f>+('Cambio uso de suelo'!C102)/1000</f>
        <v>0.75126524843634379</v>
      </c>
      <c r="C56" s="75">
        <f>+('Cambio uso de suelo'!D102)/1000</f>
        <v>0.75126524843634379</v>
      </c>
      <c r="D56" s="75">
        <f>+('Cambio uso de suelo'!E102)/1000</f>
        <v>0.75126524843634379</v>
      </c>
      <c r="E56" s="75">
        <f>+('Cambio uso de suelo'!F102)/1000</f>
        <v>0.75126524843634379</v>
      </c>
      <c r="F56" s="75">
        <f>+('Cambio uso de suelo'!G102)/1000</f>
        <v>0.75126524843634379</v>
      </c>
      <c r="G56" s="75">
        <f>+('Cambio uso de suelo'!H102)/1000</f>
        <v>0.59276895470561197</v>
      </c>
      <c r="H56" s="75">
        <f>+('Cambio uso de suelo'!I102)/1000</f>
        <v>0.43427266097488021</v>
      </c>
      <c r="I56" s="75">
        <f>+('Cambio uso de suelo'!J102)/1000</f>
        <v>0.55407227544628668</v>
      </c>
      <c r="J56" s="75">
        <f>+('Cambio uso de suelo'!K102)/1000</f>
        <v>0.67387188991769298</v>
      </c>
      <c r="K56" s="75">
        <f>+('Cambio uso de suelo'!L102)/1000</f>
        <v>0.11118497123508436</v>
      </c>
      <c r="L56" s="75">
        <f>+('Cambio uso de suelo'!M102)/1000</f>
        <v>0.11118497123508436</v>
      </c>
      <c r="M56" s="75">
        <f>+('Cambio uso de suelo'!N102)/1000</f>
        <v>0.123227135554036</v>
      </c>
      <c r="N56" s="75">
        <f>+('Cambio uso de suelo'!O102)/1000</f>
        <v>0.123227135554036</v>
      </c>
    </row>
    <row r="57" spans="1:15" ht="15.75" x14ac:dyDescent="0.25">
      <c r="A57" s="120" t="s">
        <v>26</v>
      </c>
      <c r="B57" s="75">
        <f>+('Cambio uso de suelo'!C103)/1000</f>
        <v>0.18657832370711516</v>
      </c>
      <c r="C57" s="75">
        <f>+('Cambio uso de suelo'!D103)/1000</f>
        <v>0.18657832370711516</v>
      </c>
      <c r="D57" s="75">
        <f>+('Cambio uso de suelo'!E103)/1000</f>
        <v>0.18657832370711516</v>
      </c>
      <c r="E57" s="75">
        <f>+('Cambio uso de suelo'!F103)/1000</f>
        <v>0.18657832370711516</v>
      </c>
      <c r="F57" s="75">
        <f>+('Cambio uso de suelo'!G103)/1000</f>
        <v>0.18657832370711516</v>
      </c>
      <c r="G57" s="75">
        <f>+('Cambio uso de suelo'!H103)/1000</f>
        <v>0.14721543175966983</v>
      </c>
      <c r="H57" s="75">
        <f>+('Cambio uso de suelo'!I103)/1000</f>
        <v>0.10785253981222448</v>
      </c>
      <c r="I57" s="75">
        <f>+('Cambio uso de suelo'!J103)/1000</f>
        <v>0.1376050290899547</v>
      </c>
      <c r="J57" s="75">
        <f>+('Cambio uso de suelo'!K103)/1000</f>
        <v>0.16735751836768498</v>
      </c>
      <c r="K57" s="75">
        <f>+('Cambio uso de suelo'!L103)/1000</f>
        <v>2.7613024291544344E-2</v>
      </c>
      <c r="L57" s="75">
        <f>+('Cambio uso de suelo'!M103)/1000</f>
        <v>2.7613024291544344E-2</v>
      </c>
      <c r="M57" s="75">
        <f>+('Cambio uso de suelo'!N103)/1000</f>
        <v>3.0603721434946163E-2</v>
      </c>
      <c r="N57" s="75">
        <f>+('Cambio uso de suelo'!O103)/1000</f>
        <v>3.0603721434946163E-2</v>
      </c>
    </row>
    <row r="58" spans="1:15" ht="15.75" x14ac:dyDescent="0.25">
      <c r="A58" s="120" t="s">
        <v>27</v>
      </c>
      <c r="B58" s="75">
        <f>+('Cambio uso de suelo'!C104)/1000</f>
        <v>0.78023861252760329</v>
      </c>
      <c r="C58" s="75">
        <f>+('Cambio uso de suelo'!D104)/1000</f>
        <v>0.78023861252760329</v>
      </c>
      <c r="D58" s="75">
        <f>+('Cambio uso de suelo'!E104)/1000</f>
        <v>0.78023861252760329</v>
      </c>
      <c r="E58" s="75">
        <f>+('Cambio uso de suelo'!F104)/1000</f>
        <v>0.78023861252760329</v>
      </c>
      <c r="F58" s="75">
        <f>+('Cambio uso de suelo'!G104)/1000</f>
        <v>0.78023861252760329</v>
      </c>
      <c r="G58" s="75">
        <f>+('Cambio uso de suelo'!H104)/1000</f>
        <v>0.61562973627700435</v>
      </c>
      <c r="H58" s="75">
        <f>+('Cambio uso de suelo'!I104)/1000</f>
        <v>0.45102086002640529</v>
      </c>
      <c r="I58" s="75">
        <f>+('Cambio uso de suelo'!J104)/1000</f>
        <v>0.57544067735598592</v>
      </c>
      <c r="J58" s="75">
        <f>+('Cambio uso de suelo'!K104)/1000</f>
        <v>0.69986049468556666</v>
      </c>
      <c r="K58" s="75">
        <f>+('Cambio uso de suelo'!L104)/1000</f>
        <v>0.11547294097649757</v>
      </c>
      <c r="L58" s="75">
        <f>+('Cambio uso de suelo'!M104)/1000</f>
        <v>0.11547294097649757</v>
      </c>
      <c r="M58" s="75">
        <f>+('Cambio uso de suelo'!N104)/1000</f>
        <v>0.12797952450289418</v>
      </c>
      <c r="N58" s="75">
        <f>+('Cambio uso de suelo'!O104)/1000</f>
        <v>0.12797952450289418</v>
      </c>
    </row>
    <row r="59" spans="1:15" ht="15.75" x14ac:dyDescent="0.25">
      <c r="A59" s="123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</row>
    <row r="60" spans="1:15" ht="15.75" x14ac:dyDescent="0.25">
      <c r="A60" s="119" t="s">
        <v>119</v>
      </c>
      <c r="B60" s="1">
        <v>2010</v>
      </c>
      <c r="C60" s="1">
        <v>2011</v>
      </c>
      <c r="D60" s="1">
        <v>2012</v>
      </c>
      <c r="E60" s="1">
        <v>2013</v>
      </c>
      <c r="F60" s="1">
        <v>2014</v>
      </c>
      <c r="G60" s="1">
        <v>2015</v>
      </c>
      <c r="H60" s="1">
        <v>2016</v>
      </c>
      <c r="I60" s="1">
        <v>2017</v>
      </c>
      <c r="J60" s="1">
        <v>2018</v>
      </c>
      <c r="K60" s="1">
        <v>2019</v>
      </c>
      <c r="L60" s="1">
        <v>2020</v>
      </c>
      <c r="M60" s="1">
        <v>2021</v>
      </c>
      <c r="N60" s="1">
        <v>2022</v>
      </c>
    </row>
    <row r="61" spans="1:15" x14ac:dyDescent="0.25">
      <c r="A61" s="27" t="s">
        <v>131</v>
      </c>
      <c r="B61" s="126">
        <f t="shared" ref="B61:N61" si="12">+B38/B50</f>
        <v>-18.045242188688373</v>
      </c>
      <c r="C61" s="126">
        <f t="shared" si="12"/>
        <v>-18.045242188688373</v>
      </c>
      <c r="D61" s="126">
        <f t="shared" si="12"/>
        <v>-18.045242188688373</v>
      </c>
      <c r="E61" s="126">
        <f t="shared" si="12"/>
        <v>-18.045242188688373</v>
      </c>
      <c r="F61" s="126">
        <f t="shared" si="12"/>
        <v>-18.045242188688373</v>
      </c>
      <c r="G61" s="126">
        <f t="shared" si="12"/>
        <v>-16.164685571079577</v>
      </c>
      <c r="H61" s="126">
        <f t="shared" si="12"/>
        <v>-12.911437182486663</v>
      </c>
      <c r="I61" s="126">
        <f t="shared" si="12"/>
        <v>-13.377636043151909</v>
      </c>
      <c r="J61" s="126">
        <f t="shared" si="12"/>
        <v>-13.678075077326911</v>
      </c>
      <c r="K61" s="126">
        <f t="shared" si="12"/>
        <v>-18.348071556340944</v>
      </c>
      <c r="L61" s="126">
        <f t="shared" si="12"/>
        <v>-18.348071556340944</v>
      </c>
      <c r="M61" s="126">
        <f t="shared" si="12"/>
        <v>-20.138354443453849</v>
      </c>
      <c r="N61" s="126">
        <f t="shared" si="12"/>
        <v>-20.138354443453849</v>
      </c>
      <c r="O61" s="127">
        <f t="shared" ref="O61:O69" si="13">+AVERAGE(B61:N61)</f>
        <v>-17.179299755159736</v>
      </c>
    </row>
    <row r="62" spans="1:15" x14ac:dyDescent="0.25">
      <c r="A62" s="128" t="s">
        <v>132</v>
      </c>
      <c r="B62" s="126">
        <f t="shared" ref="B62:N62" si="14">+B39/B51</f>
        <v>-18.045242188688373</v>
      </c>
      <c r="C62" s="126">
        <f t="shared" si="14"/>
        <v>-18.045242188688373</v>
      </c>
      <c r="D62" s="126">
        <f t="shared" si="14"/>
        <v>-18.045242188688373</v>
      </c>
      <c r="E62" s="126">
        <f t="shared" si="14"/>
        <v>-18.045242188688373</v>
      </c>
      <c r="F62" s="126">
        <f t="shared" si="14"/>
        <v>-18.045242188688373</v>
      </c>
      <c r="G62" s="126">
        <f t="shared" si="14"/>
        <v>-16.16468557107957</v>
      </c>
      <c r="H62" s="126">
        <f t="shared" si="14"/>
        <v>-12.911437182486663</v>
      </c>
      <c r="I62" s="126">
        <f t="shared" si="14"/>
        <v>-13.377636043151911</v>
      </c>
      <c r="J62" s="126">
        <f t="shared" si="14"/>
        <v>-13.678075077326914</v>
      </c>
      <c r="K62" s="126">
        <f t="shared" si="14"/>
        <v>-18.34807155634094</v>
      </c>
      <c r="L62" s="126">
        <f t="shared" si="14"/>
        <v>-18.34807155634094</v>
      </c>
      <c r="M62" s="126">
        <f t="shared" si="14"/>
        <v>-20.138354443453853</v>
      </c>
      <c r="N62" s="126">
        <f t="shared" si="14"/>
        <v>-20.138354443453853</v>
      </c>
      <c r="O62" s="127">
        <f t="shared" si="13"/>
        <v>-17.179299755159736</v>
      </c>
    </row>
    <row r="63" spans="1:15" x14ac:dyDescent="0.25">
      <c r="A63" s="27" t="s">
        <v>133</v>
      </c>
      <c r="B63" s="126">
        <f t="shared" ref="B63:N63" si="15">+B40/B52</f>
        <v>-18.045242188688373</v>
      </c>
      <c r="C63" s="126">
        <f t="shared" si="15"/>
        <v>-18.045242188688373</v>
      </c>
      <c r="D63" s="126">
        <f t="shared" si="15"/>
        <v>-18.045242188688373</v>
      </c>
      <c r="E63" s="126">
        <f t="shared" si="15"/>
        <v>-18.045242188688373</v>
      </c>
      <c r="F63" s="126">
        <f t="shared" si="15"/>
        <v>-18.045242188688373</v>
      </c>
      <c r="G63" s="126">
        <f t="shared" si="15"/>
        <v>-16.164685571079573</v>
      </c>
      <c r="H63" s="126">
        <f t="shared" si="15"/>
        <v>-12.911437182486663</v>
      </c>
      <c r="I63" s="126">
        <f t="shared" si="15"/>
        <v>-13.377636043151911</v>
      </c>
      <c r="J63" s="126">
        <f t="shared" si="15"/>
        <v>-13.678075077326911</v>
      </c>
      <c r="K63" s="126">
        <f t="shared" si="15"/>
        <v>-18.34807155634094</v>
      </c>
      <c r="L63" s="126">
        <f t="shared" si="15"/>
        <v>-18.34807155634094</v>
      </c>
      <c r="M63" s="126">
        <f t="shared" si="15"/>
        <v>-20.138354443453849</v>
      </c>
      <c r="N63" s="126">
        <f t="shared" si="15"/>
        <v>-20.138354443453849</v>
      </c>
      <c r="O63" s="127">
        <f t="shared" si="13"/>
        <v>-17.179299755159736</v>
      </c>
    </row>
    <row r="64" spans="1:15" x14ac:dyDescent="0.25">
      <c r="A64" s="128" t="s">
        <v>134</v>
      </c>
      <c r="B64" s="126">
        <f t="shared" ref="B64:N64" si="16">+B41/B53</f>
        <v>-18.045242188688373</v>
      </c>
      <c r="C64" s="126">
        <f t="shared" si="16"/>
        <v>-18.045242188688373</v>
      </c>
      <c r="D64" s="126">
        <f t="shared" si="16"/>
        <v>-18.045242188688373</v>
      </c>
      <c r="E64" s="126">
        <f t="shared" si="16"/>
        <v>-18.045242188688373</v>
      </c>
      <c r="F64" s="126">
        <f t="shared" si="16"/>
        <v>-18.045242188688373</v>
      </c>
      <c r="G64" s="126">
        <f t="shared" si="16"/>
        <v>-16.164685571079573</v>
      </c>
      <c r="H64" s="126">
        <f t="shared" si="16"/>
        <v>-12.911437182486665</v>
      </c>
      <c r="I64" s="126">
        <f t="shared" si="16"/>
        <v>-13.377636043151911</v>
      </c>
      <c r="J64" s="126">
        <f t="shared" si="16"/>
        <v>-13.678075077326913</v>
      </c>
      <c r="K64" s="126">
        <f t="shared" si="16"/>
        <v>-18.34807155634094</v>
      </c>
      <c r="L64" s="126">
        <f t="shared" si="16"/>
        <v>-18.34807155634094</v>
      </c>
      <c r="M64" s="126">
        <f t="shared" si="16"/>
        <v>-20.138354443453853</v>
      </c>
      <c r="N64" s="126">
        <f t="shared" si="16"/>
        <v>-20.138354443453853</v>
      </c>
      <c r="O64" s="127">
        <f t="shared" si="13"/>
        <v>-17.179299755159736</v>
      </c>
    </row>
    <row r="65" spans="1:15" x14ac:dyDescent="0.25">
      <c r="A65" s="27" t="s">
        <v>135</v>
      </c>
      <c r="B65" s="126">
        <f t="shared" ref="B65:N65" si="17">+B42/B54</f>
        <v>-18.045242188688373</v>
      </c>
      <c r="C65" s="126">
        <f t="shared" si="17"/>
        <v>-18.045242188688373</v>
      </c>
      <c r="D65" s="126">
        <f t="shared" si="17"/>
        <v>-18.045242188688373</v>
      </c>
      <c r="E65" s="126">
        <f t="shared" si="17"/>
        <v>-18.045242188688373</v>
      </c>
      <c r="F65" s="126">
        <f t="shared" si="17"/>
        <v>-18.045242188688373</v>
      </c>
      <c r="G65" s="126">
        <f t="shared" si="17"/>
        <v>-16.164685571079573</v>
      </c>
      <c r="H65" s="126">
        <f t="shared" si="17"/>
        <v>-12.911437182486663</v>
      </c>
      <c r="I65" s="126">
        <f t="shared" si="17"/>
        <v>-13.377636043151911</v>
      </c>
      <c r="J65" s="126">
        <f t="shared" si="17"/>
        <v>-13.678075077326914</v>
      </c>
      <c r="K65" s="126">
        <f t="shared" si="17"/>
        <v>-18.348071556340937</v>
      </c>
      <c r="L65" s="126">
        <f t="shared" si="17"/>
        <v>-18.348071556340937</v>
      </c>
      <c r="M65" s="126">
        <f t="shared" si="17"/>
        <v>-20.138354443453849</v>
      </c>
      <c r="N65" s="126">
        <f t="shared" si="17"/>
        <v>-20.138354443453849</v>
      </c>
      <c r="O65" s="127">
        <f t="shared" si="13"/>
        <v>-17.179299755159732</v>
      </c>
    </row>
    <row r="66" spans="1:15" x14ac:dyDescent="0.25">
      <c r="A66" s="128" t="s">
        <v>136</v>
      </c>
      <c r="B66" s="126">
        <f t="shared" ref="B66:N66" si="18">+B43/B55</f>
        <v>-18.045242188688373</v>
      </c>
      <c r="C66" s="126">
        <f t="shared" si="18"/>
        <v>-18.045242188688373</v>
      </c>
      <c r="D66" s="126">
        <f t="shared" si="18"/>
        <v>-18.045242188688373</v>
      </c>
      <c r="E66" s="126">
        <f t="shared" si="18"/>
        <v>-18.045242188688373</v>
      </c>
      <c r="F66" s="126">
        <f t="shared" si="18"/>
        <v>-18.045242188688373</v>
      </c>
      <c r="G66" s="126">
        <f t="shared" si="18"/>
        <v>-16.164685571079577</v>
      </c>
      <c r="H66" s="126">
        <f t="shared" si="18"/>
        <v>-12.911437182486662</v>
      </c>
      <c r="I66" s="126">
        <f t="shared" si="18"/>
        <v>-13.377636043151908</v>
      </c>
      <c r="J66" s="126">
        <f t="shared" si="18"/>
        <v>-13.678075077326914</v>
      </c>
      <c r="K66" s="126">
        <f t="shared" si="18"/>
        <v>-18.348071556340944</v>
      </c>
      <c r="L66" s="126">
        <f t="shared" si="18"/>
        <v>-18.348071556340944</v>
      </c>
      <c r="M66" s="126">
        <f t="shared" si="18"/>
        <v>-20.138354443453849</v>
      </c>
      <c r="N66" s="126">
        <f t="shared" si="18"/>
        <v>-20.138354443453849</v>
      </c>
      <c r="O66" s="127">
        <f t="shared" si="13"/>
        <v>-17.179299755159736</v>
      </c>
    </row>
    <row r="67" spans="1:15" x14ac:dyDescent="0.25">
      <c r="A67" s="27" t="s">
        <v>137</v>
      </c>
      <c r="B67" s="126">
        <f t="shared" ref="B67:N67" si="19">+B44/B56</f>
        <v>-18.04524218868837</v>
      </c>
      <c r="C67" s="126">
        <f t="shared" si="19"/>
        <v>-18.04524218868837</v>
      </c>
      <c r="D67" s="126">
        <f t="shared" si="19"/>
        <v>-18.04524218868837</v>
      </c>
      <c r="E67" s="126">
        <f t="shared" si="19"/>
        <v>-18.04524218868837</v>
      </c>
      <c r="F67" s="126">
        <f t="shared" si="19"/>
        <v>-18.04524218868837</v>
      </c>
      <c r="G67" s="126">
        <f t="shared" si="19"/>
        <v>-16.164685571079573</v>
      </c>
      <c r="H67" s="126">
        <f t="shared" si="19"/>
        <v>-12.911437182486662</v>
      </c>
      <c r="I67" s="126">
        <f t="shared" si="19"/>
        <v>-13.377636043151908</v>
      </c>
      <c r="J67" s="126">
        <f t="shared" si="19"/>
        <v>-13.678075077326914</v>
      </c>
      <c r="K67" s="126">
        <f t="shared" si="19"/>
        <v>-18.348071556340944</v>
      </c>
      <c r="L67" s="126">
        <f t="shared" si="19"/>
        <v>-18.348071556340944</v>
      </c>
      <c r="M67" s="126">
        <f t="shared" si="19"/>
        <v>-20.138354443453849</v>
      </c>
      <c r="N67" s="126">
        <f t="shared" si="19"/>
        <v>-20.138354443453849</v>
      </c>
      <c r="O67" s="127">
        <f t="shared" si="13"/>
        <v>-17.179299755159736</v>
      </c>
    </row>
    <row r="68" spans="1:15" x14ac:dyDescent="0.25">
      <c r="A68" s="128" t="s">
        <v>138</v>
      </c>
      <c r="B68" s="126">
        <f t="shared" ref="B68:N68" si="20">+B45/B57</f>
        <v>-18.045242188688373</v>
      </c>
      <c r="C68" s="126">
        <f t="shared" si="20"/>
        <v>-18.045242188688373</v>
      </c>
      <c r="D68" s="126">
        <f t="shared" si="20"/>
        <v>-18.045242188688373</v>
      </c>
      <c r="E68" s="126">
        <f t="shared" si="20"/>
        <v>-18.045242188688373</v>
      </c>
      <c r="F68" s="126">
        <f t="shared" si="20"/>
        <v>-18.045242188688373</v>
      </c>
      <c r="G68" s="126">
        <f t="shared" si="20"/>
        <v>-16.16468557107957</v>
      </c>
      <c r="H68" s="126">
        <f t="shared" si="20"/>
        <v>-12.911437182486663</v>
      </c>
      <c r="I68" s="126">
        <f t="shared" si="20"/>
        <v>-13.377636043151911</v>
      </c>
      <c r="J68" s="126">
        <f t="shared" si="20"/>
        <v>-13.678075077326911</v>
      </c>
      <c r="K68" s="126">
        <f t="shared" si="20"/>
        <v>-18.34807155634094</v>
      </c>
      <c r="L68" s="126">
        <f t="shared" si="20"/>
        <v>-18.34807155634094</v>
      </c>
      <c r="M68" s="126">
        <f t="shared" si="20"/>
        <v>-20.138354443453849</v>
      </c>
      <c r="N68" s="126">
        <f t="shared" si="20"/>
        <v>-20.138354443453849</v>
      </c>
      <c r="O68" s="127">
        <f t="shared" si="13"/>
        <v>-17.179299755159736</v>
      </c>
    </row>
    <row r="69" spans="1:15" x14ac:dyDescent="0.25">
      <c r="A69" s="27" t="s">
        <v>139</v>
      </c>
      <c r="B69" s="126">
        <f t="shared" ref="B69:N69" si="21">+B46/B58</f>
        <v>-18.04524218868837</v>
      </c>
      <c r="C69" s="126">
        <f t="shared" si="21"/>
        <v>-18.04524218868837</v>
      </c>
      <c r="D69" s="126">
        <f t="shared" si="21"/>
        <v>-18.04524218868837</v>
      </c>
      <c r="E69" s="126">
        <f t="shared" si="21"/>
        <v>-18.04524218868837</v>
      </c>
      <c r="F69" s="126">
        <f t="shared" si="21"/>
        <v>-18.04524218868837</v>
      </c>
      <c r="G69" s="126">
        <f t="shared" si="21"/>
        <v>-16.164685571079573</v>
      </c>
      <c r="H69" s="126">
        <f t="shared" si="21"/>
        <v>-12.911437182486662</v>
      </c>
      <c r="I69" s="126">
        <f t="shared" si="21"/>
        <v>-13.377636043151911</v>
      </c>
      <c r="J69" s="126">
        <f t="shared" si="21"/>
        <v>-13.678075077326913</v>
      </c>
      <c r="K69" s="126">
        <f t="shared" si="21"/>
        <v>-18.34807155634094</v>
      </c>
      <c r="L69" s="126">
        <f t="shared" si="21"/>
        <v>-18.34807155634094</v>
      </c>
      <c r="M69" s="126">
        <f t="shared" si="21"/>
        <v>-20.138354443453849</v>
      </c>
      <c r="N69" s="126">
        <f t="shared" si="21"/>
        <v>-20.138354443453849</v>
      </c>
      <c r="O69" s="127">
        <f t="shared" si="13"/>
        <v>-17.179299755159732</v>
      </c>
    </row>
    <row r="71" spans="1:15" x14ac:dyDescent="0.25">
      <c r="A71" s="73" t="s">
        <v>140</v>
      </c>
    </row>
    <row r="72" spans="1:15" ht="15.75" x14ac:dyDescent="0.25">
      <c r="A72" s="119" t="s">
        <v>129</v>
      </c>
      <c r="B72" s="1">
        <v>2010</v>
      </c>
      <c r="C72" s="1">
        <v>2011</v>
      </c>
      <c r="D72" s="1">
        <v>2012</v>
      </c>
      <c r="E72" s="1">
        <v>2013</v>
      </c>
      <c r="F72" s="1">
        <v>2014</v>
      </c>
      <c r="G72" s="1">
        <v>2015</v>
      </c>
      <c r="H72" s="1">
        <v>2016</v>
      </c>
      <c r="I72" s="1">
        <v>2017</v>
      </c>
      <c r="J72" s="1">
        <v>2018</v>
      </c>
      <c r="K72" s="1">
        <v>2019</v>
      </c>
      <c r="L72" s="1">
        <v>2020</v>
      </c>
      <c r="M72" s="1">
        <v>2021</v>
      </c>
      <c r="N72" s="1">
        <v>2022</v>
      </c>
    </row>
    <row r="73" spans="1:15" ht="15.75" x14ac:dyDescent="0.25">
      <c r="A73" s="120" t="s">
        <v>18</v>
      </c>
      <c r="B73" s="78">
        <f>+INGEI!C$5*'5ta'!$R87/1000</f>
        <v>-1.8709410512163845E-3</v>
      </c>
      <c r="C73" s="78">
        <f>+INGEI!D$5*'5ta'!$R87/1000</f>
        <v>-1.8709410512163845E-3</v>
      </c>
      <c r="D73" s="78">
        <f>+INGEI!E$5*'5ta'!$R87/1000</f>
        <v>-1.8709410512163845E-3</v>
      </c>
      <c r="E73" s="78">
        <f>+INGEI!F$5*'5ta'!$R87/1000</f>
        <v>-1.8709410512163845E-3</v>
      </c>
      <c r="F73" s="78">
        <f>+INGEI!G$5*'5ta'!$R87/1000</f>
        <v>-1.8709410512163845E-3</v>
      </c>
      <c r="G73" s="78">
        <f>+INGEI!H$5*'5ta'!$R87/1000</f>
        <v>-1.9786465765972198E-3</v>
      </c>
      <c r="H73" s="78">
        <f>+INGEI!I$5*'5ta'!$R87/1000</f>
        <v>-2.0863521019780546E-3</v>
      </c>
      <c r="I73" s="78">
        <f>+INGEI!J$5*'5ta'!$R87/1000</f>
        <v>-1.4959943513577496E-3</v>
      </c>
      <c r="J73" s="78">
        <f>+INGEI!K$5*'5ta'!$R87/1000</f>
        <v>-9.0563660073744441E-4</v>
      </c>
      <c r="K73" s="78">
        <f>+INGEI!L$5*'5ta'!$R87/1000</f>
        <v>-1.0108138274004196E-3</v>
      </c>
      <c r="L73" s="78">
        <f>+INGEI!M$5*'5ta'!$R87/1000</f>
        <v>-1.0108138274004196E-3</v>
      </c>
      <c r="M73" s="78">
        <f>+INGEI!N$5*'5ta'!$R87/1000</f>
        <v>-6.1437658843997494E-4</v>
      </c>
      <c r="N73" s="78">
        <f>+INGEI!O$5*'5ta'!$R87/1000</f>
        <v>-6.1437658843997494E-4</v>
      </c>
    </row>
    <row r="74" spans="1:15" ht="15.75" x14ac:dyDescent="0.25">
      <c r="A74" s="120" t="s">
        <v>20</v>
      </c>
      <c r="B74" s="78">
        <f>+INGEI!C$5*'5ta'!$R88/1000</f>
        <v>-1.8270087119632315E-2</v>
      </c>
      <c r="C74" s="78">
        <f>+INGEI!D$5*'5ta'!$R88/1000</f>
        <v>-1.8270087119632315E-2</v>
      </c>
      <c r="D74" s="78">
        <f>+INGEI!E$5*'5ta'!$R88/1000</f>
        <v>-1.8270087119632315E-2</v>
      </c>
      <c r="E74" s="78">
        <f>+INGEI!F$5*'5ta'!$R88/1000</f>
        <v>-1.8270087119632315E-2</v>
      </c>
      <c r="F74" s="78">
        <f>+INGEI!G$5*'5ta'!$R88/1000</f>
        <v>-1.8270087119632315E-2</v>
      </c>
      <c r="G74" s="78">
        <f>+INGEI!H$5*'5ta'!$R88/1000</f>
        <v>-1.9321851594357092E-2</v>
      </c>
      <c r="H74" s="78">
        <f>+INGEI!I$5*'5ta'!$R88/1000</f>
        <v>-2.0373616069081869E-2</v>
      </c>
      <c r="I74" s="78">
        <f>+INGEI!J$5*'5ta'!$R88/1000</f>
        <v>-1.4608662903630325E-2</v>
      </c>
      <c r="J74" s="78">
        <f>+INGEI!K$5*'5ta'!$R88/1000</f>
        <v>-8.8437097381787767E-3</v>
      </c>
      <c r="K74" s="78">
        <f>+INGEI!L$5*'5ta'!$R88/1000</f>
        <v>-9.8707849059851346E-3</v>
      </c>
      <c r="L74" s="78">
        <f>+INGEI!M$5*'5ta'!$R88/1000</f>
        <v>-9.8707849059851346E-3</v>
      </c>
      <c r="M74" s="78">
        <f>+INGEI!N$5*'5ta'!$R88/1000</f>
        <v>-5.9995015811765574E-3</v>
      </c>
      <c r="N74" s="78">
        <f>+INGEI!O$5*'5ta'!$R88/1000</f>
        <v>-5.9995015811765574E-3</v>
      </c>
    </row>
    <row r="75" spans="1:15" ht="31.5" x14ac:dyDescent="0.25">
      <c r="A75" s="120" t="s">
        <v>21</v>
      </c>
      <c r="B75" s="78">
        <f>+INGEI!C$5*'5ta'!$R89/1000</f>
        <v>-0.17470036004032283</v>
      </c>
      <c r="C75" s="78">
        <f>+INGEI!D$5*'5ta'!$R89/1000</f>
        <v>-0.17470036004032283</v>
      </c>
      <c r="D75" s="78">
        <f>+INGEI!E$5*'5ta'!$R89/1000</f>
        <v>-0.17470036004032283</v>
      </c>
      <c r="E75" s="78">
        <f>+INGEI!F$5*'5ta'!$R89/1000</f>
        <v>-0.17470036004032283</v>
      </c>
      <c r="F75" s="78">
        <f>+INGEI!G$5*'5ta'!$R89/1000</f>
        <v>-0.17470036004032283</v>
      </c>
      <c r="G75" s="78">
        <f>+INGEI!H$5*'5ta'!$R89/1000</f>
        <v>-0.1847574348210225</v>
      </c>
      <c r="H75" s="78">
        <f>+INGEI!I$5*'5ta'!$R89/1000</f>
        <v>-0.19481450960172217</v>
      </c>
      <c r="I75" s="78">
        <f>+INGEI!J$5*'5ta'!$R89/1000</f>
        <v>-0.13968946356197165</v>
      </c>
      <c r="J75" s="78">
        <f>+INGEI!K$5*'5ta'!$R89/1000</f>
        <v>-8.456441752222113E-2</v>
      </c>
      <c r="K75" s="78">
        <f>+INGEI!L$5*'5ta'!$R89/1000</f>
        <v>-9.4385410735298728E-2</v>
      </c>
      <c r="L75" s="78">
        <f>+INGEI!M$5*'5ta'!$R89/1000</f>
        <v>-9.4385410735298728E-2</v>
      </c>
      <c r="M75" s="78">
        <f>+INGEI!N$5*'5ta'!$R89/1000</f>
        <v>-5.7367820932160064E-2</v>
      </c>
      <c r="N75" s="78">
        <f>+INGEI!O$5*'5ta'!$R89/1000</f>
        <v>-5.7367820932160064E-2</v>
      </c>
    </row>
    <row r="76" spans="1:15" ht="31.5" x14ac:dyDescent="0.25">
      <c r="A76" s="120" t="s">
        <v>22</v>
      </c>
      <c r="B76" s="78">
        <f>+INGEI!C$5*'5ta'!$R90/1000</f>
        <v>-7.1014569754220408E-2</v>
      </c>
      <c r="C76" s="78">
        <f>+INGEI!D$5*'5ta'!$R90/1000</f>
        <v>-7.1014569754220408E-2</v>
      </c>
      <c r="D76" s="78">
        <f>+INGEI!E$5*'5ta'!$R90/1000</f>
        <v>-7.1014569754220408E-2</v>
      </c>
      <c r="E76" s="78">
        <f>+INGEI!F$5*'5ta'!$R90/1000</f>
        <v>-7.1014569754220408E-2</v>
      </c>
      <c r="F76" s="78">
        <f>+INGEI!G$5*'5ta'!$R90/1000</f>
        <v>-7.1014569754220408E-2</v>
      </c>
      <c r="G76" s="78">
        <f>+INGEI!H$5*'5ta'!$R90/1000</f>
        <v>-7.5102705796828234E-2</v>
      </c>
      <c r="H76" s="78">
        <f>+INGEI!I$5*'5ta'!$R90/1000</f>
        <v>-7.9190841839436046E-2</v>
      </c>
      <c r="I76" s="78">
        <f>+INGEI!J$5*'5ta'!$R90/1000</f>
        <v>-5.6782866112935426E-2</v>
      </c>
      <c r="J76" s="78">
        <f>+INGEI!K$5*'5ta'!$R90/1000</f>
        <v>-3.4374890386434799E-2</v>
      </c>
      <c r="K76" s="78">
        <f>+INGEI!L$5*'5ta'!$R90/1000</f>
        <v>-3.836706079423962E-2</v>
      </c>
      <c r="L76" s="78">
        <f>+INGEI!M$5*'5ta'!$R90/1000</f>
        <v>-3.836706079423962E-2</v>
      </c>
      <c r="M76" s="78">
        <f>+INGEI!N$5*'5ta'!$R90/1000</f>
        <v>-2.3319649257129132E-2</v>
      </c>
      <c r="N76" s="78">
        <f>+INGEI!O$5*'5ta'!$R90/1000</f>
        <v>-2.3319649257129132E-2</v>
      </c>
    </row>
    <row r="77" spans="1:15" ht="31.5" x14ac:dyDescent="0.25">
      <c r="A77" s="120" t="s">
        <v>23</v>
      </c>
      <c r="B77" s="78">
        <f>+INGEI!C$5*'5ta'!$R91/1000</f>
        <v>-4.8905895325669795E-2</v>
      </c>
      <c r="C77" s="78">
        <f>+INGEI!D$5*'5ta'!$R91/1000</f>
        <v>-4.8905895325669795E-2</v>
      </c>
      <c r="D77" s="78">
        <f>+INGEI!E$5*'5ta'!$R91/1000</f>
        <v>-4.8905895325669795E-2</v>
      </c>
      <c r="E77" s="78">
        <f>+INGEI!F$5*'5ta'!$R91/1000</f>
        <v>-4.8905895325669795E-2</v>
      </c>
      <c r="F77" s="78">
        <f>+INGEI!G$5*'5ta'!$R91/1000</f>
        <v>-4.8905895325669795E-2</v>
      </c>
      <c r="G77" s="78">
        <f>+INGEI!H$5*'5ta'!$R91/1000</f>
        <v>-5.1721288759282676E-2</v>
      </c>
      <c r="H77" s="78">
        <f>+INGEI!I$5*'5ta'!$R91/1000</f>
        <v>-5.4536682192895564E-2</v>
      </c>
      <c r="I77" s="78">
        <f>+INGEI!J$5*'5ta'!$R91/1000</f>
        <v>-3.9104889546214619E-2</v>
      </c>
      <c r="J77" s="78">
        <f>+INGEI!K$5*'5ta'!$R91/1000</f>
        <v>-2.3673096899533678E-2</v>
      </c>
      <c r="K77" s="78">
        <f>+INGEI!L$5*'5ta'!$R91/1000</f>
        <v>-2.642240128540917E-2</v>
      </c>
      <c r="L77" s="78">
        <f>+INGEI!M$5*'5ta'!$R91/1000</f>
        <v>-2.642240128540917E-2</v>
      </c>
      <c r="M77" s="78">
        <f>+INGEI!N$5*'5ta'!$R91/1000</f>
        <v>-1.6059638600186162E-2</v>
      </c>
      <c r="N77" s="78">
        <f>+INGEI!O$5*'5ta'!$R91/1000</f>
        <v>-1.6059638600186162E-2</v>
      </c>
    </row>
    <row r="78" spans="1:15" ht="31.5" x14ac:dyDescent="0.25">
      <c r="A78" s="120" t="s">
        <v>24</v>
      </c>
      <c r="B78" s="78">
        <f>+INGEI!C$5*'5ta'!$R92/1000</f>
        <v>-0.35786874983469696</v>
      </c>
      <c r="C78" s="78">
        <f>+INGEI!D$5*'5ta'!$R92/1000</f>
        <v>-0.35786874983469696</v>
      </c>
      <c r="D78" s="78">
        <f>+INGEI!E$5*'5ta'!$R92/1000</f>
        <v>-0.35786874983469696</v>
      </c>
      <c r="E78" s="78">
        <f>+INGEI!F$5*'5ta'!$R92/1000</f>
        <v>-0.35786874983469696</v>
      </c>
      <c r="F78" s="78">
        <f>+INGEI!G$5*'5ta'!$R92/1000</f>
        <v>-0.35786874983469696</v>
      </c>
      <c r="G78" s="78">
        <f>+INGEI!H$5*'5ta'!$R92/1000</f>
        <v>-0.37847038327112681</v>
      </c>
      <c r="H78" s="78">
        <f>+INGEI!I$5*'5ta'!$R92/1000</f>
        <v>-0.39907201670755665</v>
      </c>
      <c r="I78" s="78">
        <f>+INGEI!J$5*'5ta'!$R92/1000</f>
        <v>-0.28614991794214895</v>
      </c>
      <c r="J78" s="78">
        <f>+INGEI!K$5*'5ta'!$R92/1000</f>
        <v>-0.17322781917674115</v>
      </c>
      <c r="K78" s="78">
        <f>+INGEI!L$5*'5ta'!$R92/1000</f>
        <v>-0.19334584619447545</v>
      </c>
      <c r="L78" s="78">
        <f>+INGEI!M$5*'5ta'!$R92/1000</f>
        <v>-0.19334584619447545</v>
      </c>
      <c r="M78" s="78">
        <f>+INGEI!N$5*'5ta'!$R92/1000</f>
        <v>-0.11751635974301536</v>
      </c>
      <c r="N78" s="78">
        <f>+INGEI!O$5*'5ta'!$R92/1000</f>
        <v>-0.11751635974301536</v>
      </c>
    </row>
    <row r="79" spans="1:15" ht="31.5" x14ac:dyDescent="0.25">
      <c r="A79" s="120" t="s">
        <v>25</v>
      </c>
      <c r="B79" s="78">
        <f>+INGEI!C$5*'5ta'!$R93/1000</f>
        <v>-3.9649058902159647E-2</v>
      </c>
      <c r="C79" s="78">
        <f>+INGEI!D$5*'5ta'!$R93/1000</f>
        <v>-3.9649058902159647E-2</v>
      </c>
      <c r="D79" s="78">
        <f>+INGEI!E$5*'5ta'!$R93/1000</f>
        <v>-3.9649058902159647E-2</v>
      </c>
      <c r="E79" s="78">
        <f>+INGEI!F$5*'5ta'!$R93/1000</f>
        <v>-3.9649058902159647E-2</v>
      </c>
      <c r="F79" s="78">
        <f>+INGEI!G$5*'5ta'!$R93/1000</f>
        <v>-3.9649058902159647E-2</v>
      </c>
      <c r="G79" s="78">
        <f>+INGEI!H$5*'5ta'!$R93/1000</f>
        <v>-4.1931558779500187E-2</v>
      </c>
      <c r="H79" s="78">
        <f>+INGEI!I$5*'5ta'!$R93/1000</f>
        <v>-4.4214058656840728E-2</v>
      </c>
      <c r="I79" s="78">
        <f>+INGEI!J$5*'5ta'!$R93/1000</f>
        <v>-3.1703173178929546E-2</v>
      </c>
      <c r="J79" s="78">
        <f>+INGEI!K$5*'5ta'!$R93/1000</f>
        <v>-1.9192287701018357E-2</v>
      </c>
      <c r="K79" s="78">
        <f>+INGEI!L$5*'5ta'!$R93/1000</f>
        <v>-2.1421207769031655E-2</v>
      </c>
      <c r="L79" s="78">
        <f>+INGEI!M$5*'5ta'!$R93/1000</f>
        <v>-2.1421207769031655E-2</v>
      </c>
      <c r="M79" s="78">
        <f>+INGEI!N$5*'5ta'!$R93/1000</f>
        <v>-1.3019893666519991E-2</v>
      </c>
      <c r="N79" s="78">
        <f>+INGEI!O$5*'5ta'!$R93/1000</f>
        <v>-1.3019893666519991E-2</v>
      </c>
    </row>
    <row r="80" spans="1:15" ht="15.75" x14ac:dyDescent="0.25">
      <c r="A80" s="120" t="s">
        <v>26</v>
      </c>
      <c r="B80" s="78">
        <f>+INGEI!C$5*'5ta'!$R94/1000</f>
        <v>-9.8469281813937624E-3</v>
      </c>
      <c r="C80" s="78">
        <f>+INGEI!D$5*'5ta'!$R94/1000</f>
        <v>-9.8469281813937624E-3</v>
      </c>
      <c r="D80" s="78">
        <f>+INGEI!E$5*'5ta'!$R94/1000</f>
        <v>-9.8469281813937624E-3</v>
      </c>
      <c r="E80" s="78">
        <f>+INGEI!F$5*'5ta'!$R94/1000</f>
        <v>-9.8469281813937624E-3</v>
      </c>
      <c r="F80" s="78">
        <f>+INGEI!G$5*'5ta'!$R94/1000</f>
        <v>-9.8469281813937624E-3</v>
      </c>
      <c r="G80" s="78">
        <f>+INGEI!H$5*'5ta'!$R94/1000</f>
        <v>-1.0413791884809133E-2</v>
      </c>
      <c r="H80" s="78">
        <f>+INGEI!I$5*'5ta'!$R94/1000</f>
        <v>-1.0980655588224503E-2</v>
      </c>
      <c r="I80" s="78">
        <f>+INGEI!J$5*'5ta'!$R94/1000</f>
        <v>-7.8735505472036331E-3</v>
      </c>
      <c r="J80" s="78">
        <f>+INGEI!K$5*'5ta'!$R94/1000</f>
        <v>-4.7664455061827643E-3</v>
      </c>
      <c r="K80" s="78">
        <f>+INGEI!L$5*'5ta'!$R94/1000</f>
        <v>-5.3200025498935481E-3</v>
      </c>
      <c r="L80" s="78">
        <f>+INGEI!M$5*'5ta'!$R94/1000</f>
        <v>-5.3200025498935481E-3</v>
      </c>
      <c r="M80" s="78">
        <f>+INGEI!N$5*'5ta'!$R94/1000</f>
        <v>-3.2335183082144378E-3</v>
      </c>
      <c r="N80" s="78">
        <f>+INGEI!O$5*'5ta'!$R94/1000</f>
        <v>-3.2335183082144378E-3</v>
      </c>
    </row>
    <row r="81" spans="1:15" ht="15.75" x14ac:dyDescent="0.25">
      <c r="A81" s="120" t="s">
        <v>27</v>
      </c>
      <c r="B81" s="78">
        <f>+INGEI!C$5*'5ta'!$R95/1000</f>
        <v>-4.1178168124021128E-2</v>
      </c>
      <c r="C81" s="78">
        <f>+INGEI!D$5*'5ta'!$R95/1000</f>
        <v>-4.1178168124021128E-2</v>
      </c>
      <c r="D81" s="78">
        <f>+INGEI!E$5*'5ta'!$R95/1000</f>
        <v>-4.1178168124021128E-2</v>
      </c>
      <c r="E81" s="78">
        <f>+INGEI!F$5*'5ta'!$R95/1000</f>
        <v>-4.1178168124021128E-2</v>
      </c>
      <c r="F81" s="78">
        <f>+INGEI!G$5*'5ta'!$R95/1000</f>
        <v>-4.1178168124021128E-2</v>
      </c>
      <c r="G81" s="78">
        <f>+INGEI!H$5*'5ta'!$R95/1000</f>
        <v>-4.3548695099809367E-2</v>
      </c>
      <c r="H81" s="78">
        <f>+INGEI!I$5*'5ta'!$R95/1000</f>
        <v>-4.5919222075597607E-2</v>
      </c>
      <c r="I81" s="78">
        <f>+INGEI!J$5*'5ta'!$R95/1000</f>
        <v>-3.2925840647274732E-2</v>
      </c>
      <c r="J81" s="78">
        <f>+INGEI!K$5*'5ta'!$R95/1000</f>
        <v>-1.9932459218951849E-2</v>
      </c>
      <c r="K81" s="78">
        <f>+INGEI!L$5*'5ta'!$R95/1000</f>
        <v>-2.2247340021599518E-2</v>
      </c>
      <c r="L81" s="78">
        <f>+INGEI!M$5*'5ta'!$R95/1000</f>
        <v>-2.2247340021599518E-2</v>
      </c>
      <c r="M81" s="78">
        <f>+INGEI!N$5*'5ta'!$R95/1000</f>
        <v>-1.3522020073158288E-2</v>
      </c>
      <c r="N81" s="78">
        <f>+INGEI!O$5*'5ta'!$R95/1000</f>
        <v>-1.3522020073158288E-2</v>
      </c>
    </row>
    <row r="82" spans="1:15" ht="15.75" x14ac:dyDescent="0.25">
      <c r="A82" s="121" t="s">
        <v>14</v>
      </c>
      <c r="B82" s="122">
        <f t="shared" ref="B82:N82" si="22">+SUM(B73:B81)</f>
        <v>-0.76330475833333322</v>
      </c>
      <c r="C82" s="122">
        <f t="shared" si="22"/>
        <v>-0.76330475833333322</v>
      </c>
      <c r="D82" s="122">
        <f t="shared" si="22"/>
        <v>-0.76330475833333322</v>
      </c>
      <c r="E82" s="122">
        <f t="shared" si="22"/>
        <v>-0.76330475833333322</v>
      </c>
      <c r="F82" s="122">
        <f t="shared" si="22"/>
        <v>-0.76330475833333322</v>
      </c>
      <c r="G82" s="122">
        <f t="shared" si="22"/>
        <v>-0.80724635658333332</v>
      </c>
      <c r="H82" s="122">
        <f t="shared" si="22"/>
        <v>-0.85118795483333309</v>
      </c>
      <c r="I82" s="122">
        <f t="shared" si="22"/>
        <v>-0.61033435879166664</v>
      </c>
      <c r="J82" s="122">
        <f t="shared" si="22"/>
        <v>-0.36948076274999991</v>
      </c>
      <c r="K82" s="122">
        <f t="shared" si="22"/>
        <v>-0.41239086808333325</v>
      </c>
      <c r="L82" s="122">
        <f t="shared" si="22"/>
        <v>-0.41239086808333325</v>
      </c>
      <c r="M82" s="122">
        <f t="shared" si="22"/>
        <v>-0.25065277874999997</v>
      </c>
      <c r="N82" s="122">
        <f t="shared" si="22"/>
        <v>-0.25065277874999997</v>
      </c>
    </row>
    <row r="83" spans="1:15" ht="15.75" x14ac:dyDescent="0.25">
      <c r="A83" s="121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</row>
    <row r="84" spans="1:15" ht="15.75" x14ac:dyDescent="0.25">
      <c r="A84" s="119" t="s">
        <v>118</v>
      </c>
      <c r="B84" s="1">
        <v>2010</v>
      </c>
      <c r="C84" s="1">
        <v>2011</v>
      </c>
      <c r="D84" s="1">
        <v>2012</v>
      </c>
      <c r="E84" s="1">
        <v>2013</v>
      </c>
      <c r="F84" s="1">
        <v>2014</v>
      </c>
      <c r="G84" s="1">
        <v>2015</v>
      </c>
      <c r="H84" s="1">
        <v>2016</v>
      </c>
      <c r="I84" s="1">
        <v>2017</v>
      </c>
      <c r="J84" s="1">
        <v>2018</v>
      </c>
      <c r="K84" s="1">
        <v>2019</v>
      </c>
      <c r="L84" s="1">
        <v>2020</v>
      </c>
      <c r="M84" s="1">
        <v>2021</v>
      </c>
      <c r="N84" s="1">
        <v>2022</v>
      </c>
    </row>
    <row r="85" spans="1:15" ht="15.75" x14ac:dyDescent="0.25">
      <c r="A85" s="120" t="s">
        <v>18</v>
      </c>
      <c r="B85" s="126">
        <f>+'Cambio uso de suelo (BAU)'!D118/1000</f>
        <v>9.0690930639758862E-8</v>
      </c>
      <c r="C85" s="126">
        <f>+'Cambio uso de suelo (BAU)'!E118/1000</f>
        <v>9.0690930639758862E-8</v>
      </c>
      <c r="D85" s="126">
        <f>+'Cambio uso de suelo (BAU)'!F118/1000</f>
        <v>9.0690930639758862E-8</v>
      </c>
      <c r="E85" s="126">
        <f>+'Cambio uso de suelo (BAU)'!G118/1000</f>
        <v>9.0690930639758862E-8</v>
      </c>
      <c r="F85" s="126">
        <f>+'Cambio uso de suelo (BAU)'!H118/1000</f>
        <v>9.0690930639758862E-8</v>
      </c>
      <c r="G85" s="126">
        <f>+'Cambio uso de suelo (BAU)'!I118/1000</f>
        <v>9.5911786917128745E-8</v>
      </c>
      <c r="H85" s="126">
        <f>+'Cambio uso de suelo (BAU)'!J118/1000</f>
        <v>1.0113264319449864E-7</v>
      </c>
      <c r="I85" s="126">
        <f>+'Cambio uso de suelo (BAU)'!K118/1000</f>
        <v>7.2515977918304491E-8</v>
      </c>
      <c r="J85" s="126">
        <f>+'Cambio uso de suelo (BAU)'!L118/1000</f>
        <v>4.3899312642110301E-8</v>
      </c>
      <c r="K85" s="126">
        <f>+'Cambio uso de suelo (BAU)'!M118/1000</f>
        <v>4.8997613607804848E-8</v>
      </c>
      <c r="L85" s="126">
        <f>+'Cambio uso de suelo (BAU)'!N118/1000</f>
        <v>4.8997613607804848E-8</v>
      </c>
      <c r="M85" s="126">
        <f>+'Cambio uso de suelo (BAU)'!O118/1000</f>
        <v>2.9780940737110002E-8</v>
      </c>
      <c r="N85" s="126">
        <f>+'Cambio uso de suelo (BAU)'!P118/1000</f>
        <v>2.9780940737110002E-8</v>
      </c>
    </row>
    <row r="86" spans="1:15" ht="15.75" x14ac:dyDescent="0.25">
      <c r="A86" s="120" t="s">
        <v>20</v>
      </c>
      <c r="B86" s="126">
        <f>+'Cambio uso de suelo (BAU)'!D119/1000</f>
        <v>8.8561379455097153E-7</v>
      </c>
      <c r="C86" s="126">
        <f>+'Cambio uso de suelo (BAU)'!E119/1000</f>
        <v>8.8561379455097153E-7</v>
      </c>
      <c r="D86" s="126">
        <f>+'Cambio uso de suelo (BAU)'!F119/1000</f>
        <v>8.8561379455097153E-7</v>
      </c>
      <c r="E86" s="126">
        <f>+'Cambio uso de suelo (BAU)'!G119/1000</f>
        <v>8.8561379455097153E-7</v>
      </c>
      <c r="F86" s="126">
        <f>+'Cambio uso de suelo (BAU)'!H119/1000</f>
        <v>8.8561379455097153E-7</v>
      </c>
      <c r="G86" s="126">
        <f>+'Cambio uso de suelo (BAU)'!I119/1000</f>
        <v>9.3659642650755433E-7</v>
      </c>
      <c r="H86" s="126">
        <f>+'Cambio uso de suelo (BAU)'!J119/1000</f>
        <v>9.8757905846413735E-7</v>
      </c>
      <c r="I86" s="126">
        <f>+'Cambio uso de suelo (BAU)'!K119/1000</f>
        <v>7.081320030213647E-7</v>
      </c>
      <c r="J86" s="126">
        <f>+'Cambio uso de suelo (BAU)'!L119/1000</f>
        <v>4.286849475785919E-7</v>
      </c>
      <c r="K86" s="126">
        <f>+'Cambio uso de suelo (BAU)'!M119/1000</f>
        <v>4.7847080413713297E-7</v>
      </c>
      <c r="L86" s="126">
        <f>+'Cambio uso de suelo (BAU)'!N119/1000</f>
        <v>4.7847080413713297E-7</v>
      </c>
      <c r="M86" s="126">
        <f>+'Cambio uso de suelo (BAU)'!O119/1000</f>
        <v>2.9081642172417039E-7</v>
      </c>
      <c r="N86" s="126">
        <f>+'Cambio uso de suelo (BAU)'!P119/1000</f>
        <v>2.9081642172417039E-7</v>
      </c>
    </row>
    <row r="87" spans="1:15" ht="31.5" x14ac:dyDescent="0.25">
      <c r="A87" s="120" t="s">
        <v>21</v>
      </c>
      <c r="B87" s="126">
        <f>+'Cambio uso de suelo (BAU)'!D120/1000</f>
        <v>8.4683257256326056E-6</v>
      </c>
      <c r="C87" s="126">
        <f>+'Cambio uso de suelo (BAU)'!E120/1000</f>
        <v>8.4683257256326056E-6</v>
      </c>
      <c r="D87" s="126">
        <f>+'Cambio uso de suelo (BAU)'!F120/1000</f>
        <v>8.4683257256326056E-6</v>
      </c>
      <c r="E87" s="126">
        <f>+'Cambio uso de suelo (BAU)'!G120/1000</f>
        <v>8.4683257256326056E-6</v>
      </c>
      <c r="F87" s="126">
        <f>+'Cambio uso de suelo (BAU)'!H120/1000</f>
        <v>8.4683257256326056E-6</v>
      </c>
      <c r="G87" s="126">
        <f>+'Cambio uso de suelo (BAU)'!I120/1000</f>
        <v>8.9558266390271301E-6</v>
      </c>
      <c r="H87" s="126">
        <f>+'Cambio uso de suelo (BAU)'!J120/1000</f>
        <v>9.4433275524216546E-6</v>
      </c>
      <c r="I87" s="126">
        <f>+'Cambio uso de suelo (BAU)'!K120/1000</f>
        <v>6.7712274754821781E-6</v>
      </c>
      <c r="J87" s="126">
        <f>+'Cambio uso de suelo (BAU)'!L120/1000</f>
        <v>4.0991273985427016E-6</v>
      </c>
      <c r="K87" s="126">
        <f>+'Cambio uso de suelo (BAU)'!M120/1000</f>
        <v>4.5751846285242096E-6</v>
      </c>
      <c r="L87" s="126">
        <f>+'Cambio uso de suelo (BAU)'!N120/1000</f>
        <v>4.5751846285242096E-6</v>
      </c>
      <c r="M87" s="126">
        <f>+'Cambio uso de suelo (BAU)'!O120/1000</f>
        <v>2.7808150693631392E-6</v>
      </c>
      <c r="N87" s="126">
        <f>+'Cambio uso de suelo (BAU)'!P120/1000</f>
        <v>2.7808150693631392E-6</v>
      </c>
    </row>
    <row r="88" spans="1:15" ht="31.5" x14ac:dyDescent="0.25">
      <c r="A88" s="120" t="s">
        <v>22</v>
      </c>
      <c r="B88" s="126">
        <f>+'Cambio uso de suelo (BAU)'!D121/1000</f>
        <v>3.4423197971978518E-6</v>
      </c>
      <c r="C88" s="126">
        <f>+'Cambio uso de suelo (BAU)'!E121/1000</f>
        <v>3.4423197971978518E-6</v>
      </c>
      <c r="D88" s="126">
        <f>+'Cambio uso de suelo (BAU)'!F121/1000</f>
        <v>3.4423197971978518E-6</v>
      </c>
      <c r="E88" s="126">
        <f>+'Cambio uso de suelo (BAU)'!G121/1000</f>
        <v>3.4423197971978518E-6</v>
      </c>
      <c r="F88" s="126">
        <f>+'Cambio uso de suelo (BAU)'!H121/1000</f>
        <v>3.4423197971978518E-6</v>
      </c>
      <c r="G88" s="126">
        <f>+'Cambio uso de suelo (BAU)'!I121/1000</f>
        <v>3.6404857747122137E-6</v>
      </c>
      <c r="H88" s="126">
        <f>+'Cambio uso de suelo (BAU)'!J121/1000</f>
        <v>3.8386517522265776E-6</v>
      </c>
      <c r="I88" s="126">
        <f>+'Cambio uso de suelo (BAU)'!K121/1000</f>
        <v>2.752460302705363E-6</v>
      </c>
      <c r="J88" s="126">
        <f>+'Cambio uso de suelo (BAU)'!L121/1000</f>
        <v>1.6662688531841492E-6</v>
      </c>
      <c r="K88" s="126">
        <f>+'Cambio uso de suelo (BAU)'!M121/1000</f>
        <v>1.859783047188785E-6</v>
      </c>
      <c r="L88" s="126">
        <f>+'Cambio uso de suelo (BAU)'!N121/1000</f>
        <v>1.859783047188785E-6</v>
      </c>
      <c r="M88" s="126">
        <f>+'Cambio uso de suelo (BAU)'!O121/1000</f>
        <v>1.1303833928636188E-6</v>
      </c>
      <c r="N88" s="126">
        <f>+'Cambio uso de suelo (BAU)'!P121/1000</f>
        <v>1.1303833928636188E-6</v>
      </c>
    </row>
    <row r="89" spans="1:15" ht="31.5" x14ac:dyDescent="0.25">
      <c r="A89" s="120" t="s">
        <v>23</v>
      </c>
      <c r="B89" s="126">
        <f>+'Cambio uso de suelo (BAU)'!D122/1000</f>
        <v>2.3706365082812316E-6</v>
      </c>
      <c r="C89" s="126">
        <f>+'Cambio uso de suelo (BAU)'!E122/1000</f>
        <v>2.3706365082812316E-6</v>
      </c>
      <c r="D89" s="126">
        <f>+'Cambio uso de suelo (BAU)'!F122/1000</f>
        <v>2.3706365082812316E-6</v>
      </c>
      <c r="E89" s="126">
        <f>+'Cambio uso de suelo (BAU)'!G122/1000</f>
        <v>2.3706365082812316E-6</v>
      </c>
      <c r="F89" s="126">
        <f>+'Cambio uso de suelo (BAU)'!H122/1000</f>
        <v>2.3706365082812316E-6</v>
      </c>
      <c r="G89" s="126">
        <f>+'Cambio uso de suelo (BAU)'!I122/1000</f>
        <v>2.5071082856498534E-6</v>
      </c>
      <c r="H89" s="126">
        <f>+'Cambio uso de suelo (BAU)'!J122/1000</f>
        <v>2.6435800630184757E-6</v>
      </c>
      <c r="I89" s="126">
        <f>+'Cambio uso de suelo (BAU)'!K122/1000</f>
        <v>1.8955481377702764E-6</v>
      </c>
      <c r="J89" s="126">
        <f>+'Cambio uso de suelo (BAU)'!L122/1000</f>
        <v>1.1475162125220774E-6</v>
      </c>
      <c r="K89" s="126">
        <f>+'Cambio uso de suelo (BAU)'!M122/1000</f>
        <v>1.2807844270416707E-6</v>
      </c>
      <c r="L89" s="126">
        <f>+'Cambio uso de suelo (BAU)'!N122/1000</f>
        <v>1.2807844270416707E-6</v>
      </c>
      <c r="M89" s="126">
        <f>+'Cambio uso de suelo (BAU)'!O122/1000</f>
        <v>7.78465772313972E-7</v>
      </c>
      <c r="N89" s="126">
        <f>+'Cambio uso de suelo (BAU)'!P122/1000</f>
        <v>7.78465772313972E-7</v>
      </c>
    </row>
    <row r="90" spans="1:15" ht="31.5" x14ac:dyDescent="0.25">
      <c r="A90" s="120" t="s">
        <v>24</v>
      </c>
      <c r="B90" s="126">
        <f>+'Cambio uso de suelo (BAU)'!D123/1000</f>
        <v>1.7347125901318452E-5</v>
      </c>
      <c r="C90" s="126">
        <f>+'Cambio uso de suelo (BAU)'!E123/1000</f>
        <v>1.7347125901318452E-5</v>
      </c>
      <c r="D90" s="126">
        <f>+'Cambio uso de suelo (BAU)'!F123/1000</f>
        <v>1.7347125901318452E-5</v>
      </c>
      <c r="E90" s="126">
        <f>+'Cambio uso de suelo (BAU)'!G123/1000</f>
        <v>1.7347125901318452E-5</v>
      </c>
      <c r="F90" s="126">
        <f>+'Cambio uso de suelo (BAU)'!H123/1000</f>
        <v>1.7347125901318452E-5</v>
      </c>
      <c r="G90" s="126">
        <f>+'Cambio uso de suelo (BAU)'!I123/1000</f>
        <v>1.8345757743745701E-5</v>
      </c>
      <c r="H90" s="126">
        <f>+'Cambio uso de suelo (BAU)'!J123/1000</f>
        <v>1.9344389586172953E-5</v>
      </c>
      <c r="I90" s="126">
        <f>+'Cambio uso de suelo (BAU)'!K123/1000</f>
        <v>1.3870668102446121E-5</v>
      </c>
      <c r="J90" s="126">
        <f>+'Cambio uso de suelo (BAU)'!L123/1000</f>
        <v>8.3969466187192838E-6</v>
      </c>
      <c r="K90" s="126">
        <f>+'Cambio uso de suelo (BAU)'!M123/1000</f>
        <v>9.3721363991177249E-6</v>
      </c>
      <c r="L90" s="126">
        <f>+'Cambio uso de suelo (BAU)'!N123/1000</f>
        <v>9.3721363991177249E-6</v>
      </c>
      <c r="M90" s="126">
        <f>+'Cambio uso de suelo (BAU)'!O123/1000</f>
        <v>5.6964210730005183E-6</v>
      </c>
      <c r="N90" s="126">
        <f>+'Cambio uso de suelo (BAU)'!P123/1000</f>
        <v>5.6964210730005183E-6</v>
      </c>
    </row>
    <row r="91" spans="1:15" ht="31.5" x14ac:dyDescent="0.25">
      <c r="A91" s="120" t="s">
        <v>25</v>
      </c>
      <c r="B91" s="126">
        <f>+'Cambio uso de suelo (BAU)'!D124/1000</f>
        <v>1.9219258931165538E-6</v>
      </c>
      <c r="C91" s="126">
        <f>+'Cambio uso de suelo (BAU)'!E124/1000</f>
        <v>1.9219258931165538E-6</v>
      </c>
      <c r="D91" s="126">
        <f>+'Cambio uso de suelo (BAU)'!F124/1000</f>
        <v>1.9219258931165538E-6</v>
      </c>
      <c r="E91" s="126">
        <f>+'Cambio uso de suelo (BAU)'!G124/1000</f>
        <v>1.9219258931165538E-6</v>
      </c>
      <c r="F91" s="126">
        <f>+'Cambio uso de suelo (BAU)'!H124/1000</f>
        <v>1.9219258931165538E-6</v>
      </c>
      <c r="G91" s="126">
        <f>+'Cambio uso de suelo (BAU)'!I124/1000</f>
        <v>2.0325664918283986E-6</v>
      </c>
      <c r="H91" s="126">
        <f>+'Cambio uso de suelo (BAU)'!J124/1000</f>
        <v>2.1432070905402437E-6</v>
      </c>
      <c r="I91" s="126">
        <f>+'Cambio uso de suelo (BAU)'!K124/1000</f>
        <v>1.536761555347385E-6</v>
      </c>
      <c r="J91" s="126">
        <f>+'Cambio uso de suelo (BAU)'!L124/1000</f>
        <v>9.3031602015452644E-7</v>
      </c>
      <c r="K91" s="126">
        <f>+'Cambio uso de suelo (BAU)'!M124/1000</f>
        <v>1.0383594217135111E-6</v>
      </c>
      <c r="L91" s="126">
        <f>+'Cambio uso de suelo (BAU)'!N124/1000</f>
        <v>1.0383594217135111E-6</v>
      </c>
      <c r="M91" s="126">
        <f>+'Cambio uso de suelo (BAU)'!O124/1000</f>
        <v>6.3111890814503063E-7</v>
      </c>
      <c r="N91" s="126">
        <f>+'Cambio uso de suelo (BAU)'!P124/1000</f>
        <v>6.3111890814503063E-7</v>
      </c>
    </row>
    <row r="92" spans="1:15" ht="15.75" x14ac:dyDescent="0.25">
      <c r="A92" s="120" t="s">
        <v>26</v>
      </c>
      <c r="B92" s="126">
        <f>+'Cambio uso de suelo (BAU)'!D125/1000</f>
        <v>4.7731438686048961E-7</v>
      </c>
      <c r="C92" s="126">
        <f>+'Cambio uso de suelo (BAU)'!E125/1000</f>
        <v>4.7731438686048961E-7</v>
      </c>
      <c r="D92" s="126">
        <f>+'Cambio uso de suelo (BAU)'!F125/1000</f>
        <v>4.7731438686048961E-7</v>
      </c>
      <c r="E92" s="126">
        <f>+'Cambio uso de suelo (BAU)'!G125/1000</f>
        <v>4.7731438686048961E-7</v>
      </c>
      <c r="F92" s="126">
        <f>+'Cambio uso de suelo (BAU)'!H125/1000</f>
        <v>4.7731438686048961E-7</v>
      </c>
      <c r="G92" s="126">
        <f>+'Cambio uso de suelo (BAU)'!I125/1000</f>
        <v>5.0479221507705284E-7</v>
      </c>
      <c r="H92" s="126">
        <f>+'Cambio uso de suelo (BAU)'!J125/1000</f>
        <v>5.3227004329361617E-7</v>
      </c>
      <c r="I92" s="126">
        <f>+'Cambio uso de suelo (BAU)'!K125/1000</f>
        <v>3.8165800365588064E-7</v>
      </c>
      <c r="J92" s="126">
        <f>+'Cambio uso de suelo (BAU)'!L125/1000</f>
        <v>2.3104596401814508E-7</v>
      </c>
      <c r="K92" s="126">
        <f>+'Cambio uso de suelo (BAU)'!M125/1000</f>
        <v>2.5787877279300503E-7</v>
      </c>
      <c r="L92" s="126">
        <f>+'Cambio uso de suelo (BAU)'!N125/1000</f>
        <v>2.5787877279300503E-7</v>
      </c>
      <c r="M92" s="126">
        <f>+'Cambio uso de suelo (BAU)'!O125/1000</f>
        <v>1.5673972433391753E-7</v>
      </c>
      <c r="N92" s="126">
        <f>+'Cambio uso de suelo (BAU)'!P125/1000</f>
        <v>1.5673972433391753E-7</v>
      </c>
    </row>
    <row r="93" spans="1:15" ht="15.75" x14ac:dyDescent="0.25">
      <c r="A93" s="120" t="s">
        <v>27</v>
      </c>
      <c r="B93" s="126">
        <f>+'Cambio uso de suelo (BAU)'!D126/1000</f>
        <v>1.9960470624020826E-6</v>
      </c>
      <c r="C93" s="126">
        <f>+'Cambio uso de suelo (BAU)'!E126/1000</f>
        <v>1.9960470624020826E-6</v>
      </c>
      <c r="D93" s="126">
        <f>+'Cambio uso de suelo (BAU)'!F126/1000</f>
        <v>1.9960470624020826E-6</v>
      </c>
      <c r="E93" s="126">
        <f>+'Cambio uso de suelo (BAU)'!G126/1000</f>
        <v>1.9960470624020826E-6</v>
      </c>
      <c r="F93" s="126">
        <f>+'Cambio uso de suelo (BAU)'!H126/1000</f>
        <v>1.9960470624020826E-6</v>
      </c>
      <c r="G93" s="126">
        <f>+'Cambio uso de suelo (BAU)'!I126/1000</f>
        <v>2.1109546365349589E-6</v>
      </c>
      <c r="H93" s="126">
        <f>+'Cambio uso de suelo (BAU)'!J126/1000</f>
        <v>2.225862210667836E-6</v>
      </c>
      <c r="I93" s="126">
        <f>+'Cambio uso de suelo (BAU)'!K126/1000</f>
        <v>1.5960284416531246E-6</v>
      </c>
      <c r="J93" s="126">
        <f>+'Cambio uso de suelo (BAU)'!L126/1000</f>
        <v>9.661946726384135E-7</v>
      </c>
      <c r="K93" s="126">
        <f>+'Cambio uso de suelo (BAU)'!M126/1000</f>
        <v>1.0784048858761522E-6</v>
      </c>
      <c r="L93" s="126">
        <f>+'Cambio uso de suelo (BAU)'!N126/1000</f>
        <v>1.0784048858761522E-6</v>
      </c>
      <c r="M93" s="126">
        <f>+'Cambio uso de suelo (BAU)'!O126/1000</f>
        <v>6.5545869751852181E-7</v>
      </c>
      <c r="N93" s="126">
        <f>+'Cambio uso de suelo (BAU)'!P126/1000</f>
        <v>6.5545869751852181E-7</v>
      </c>
    </row>
    <row r="94" spans="1:15" ht="15.75" x14ac:dyDescent="0.25">
      <c r="A94" s="123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</row>
    <row r="95" spans="1:15" ht="15.75" x14ac:dyDescent="0.25">
      <c r="A95" s="119" t="s">
        <v>119</v>
      </c>
      <c r="B95" s="1">
        <v>2010</v>
      </c>
      <c r="C95" s="1">
        <v>2011</v>
      </c>
      <c r="D95" s="1">
        <v>2012</v>
      </c>
      <c r="E95" s="1">
        <v>2013</v>
      </c>
      <c r="F95" s="1">
        <v>2014</v>
      </c>
      <c r="G95" s="1">
        <v>2015</v>
      </c>
      <c r="H95" s="1">
        <v>2016</v>
      </c>
      <c r="I95" s="1">
        <v>2017</v>
      </c>
      <c r="J95" s="1">
        <v>2018</v>
      </c>
      <c r="K95" s="1">
        <v>2019</v>
      </c>
      <c r="L95" s="1">
        <v>2020</v>
      </c>
      <c r="M95" s="1">
        <v>2021</v>
      </c>
      <c r="N95" s="1">
        <v>2022</v>
      </c>
    </row>
    <row r="96" spans="1:15" x14ac:dyDescent="0.25">
      <c r="A96" s="27" t="s">
        <v>141</v>
      </c>
      <c r="B96" s="126">
        <f t="shared" ref="B96:N96" si="23">+B73/B85</f>
        <v>-20629.85833333333</v>
      </c>
      <c r="C96" s="126">
        <f t="shared" si="23"/>
        <v>-20629.85833333333</v>
      </c>
      <c r="D96" s="126">
        <f t="shared" si="23"/>
        <v>-20629.85833333333</v>
      </c>
      <c r="E96" s="126">
        <f t="shared" si="23"/>
        <v>-20629.85833333333</v>
      </c>
      <c r="F96" s="126">
        <f t="shared" si="23"/>
        <v>-20629.85833333333</v>
      </c>
      <c r="G96" s="126">
        <f t="shared" si="23"/>
        <v>-20629.858333333337</v>
      </c>
      <c r="H96" s="126">
        <f t="shared" si="23"/>
        <v>-20629.858333333334</v>
      </c>
      <c r="I96" s="126">
        <f t="shared" si="23"/>
        <v>-20629.85833333333</v>
      </c>
      <c r="J96" s="126">
        <f t="shared" si="23"/>
        <v>-20629.85833333333</v>
      </c>
      <c r="K96" s="126">
        <f t="shared" si="23"/>
        <v>-20629.858333333334</v>
      </c>
      <c r="L96" s="126">
        <f t="shared" si="23"/>
        <v>-20629.858333333334</v>
      </c>
      <c r="M96" s="126">
        <f t="shared" si="23"/>
        <v>-20629.858333333334</v>
      </c>
      <c r="N96" s="126">
        <f t="shared" si="23"/>
        <v>-20629.858333333334</v>
      </c>
      <c r="O96" s="127">
        <f t="shared" ref="O96:O104" si="24">+AVERAGE(B96:N96)</f>
        <v>-20629.858333333334</v>
      </c>
    </row>
    <row r="97" spans="1:15" x14ac:dyDescent="0.25">
      <c r="A97" s="128" t="s">
        <v>142</v>
      </c>
      <c r="B97" s="126">
        <f t="shared" ref="B97:N97" si="25">+B74/B86</f>
        <v>-20629.858333333334</v>
      </c>
      <c r="C97" s="126">
        <f t="shared" si="25"/>
        <v>-20629.858333333334</v>
      </c>
      <c r="D97" s="126">
        <f t="shared" si="25"/>
        <v>-20629.858333333334</v>
      </c>
      <c r="E97" s="126">
        <f t="shared" si="25"/>
        <v>-20629.858333333334</v>
      </c>
      <c r="F97" s="126">
        <f t="shared" si="25"/>
        <v>-20629.858333333334</v>
      </c>
      <c r="G97" s="126">
        <f t="shared" si="25"/>
        <v>-20629.858333333334</v>
      </c>
      <c r="H97" s="126">
        <f t="shared" si="25"/>
        <v>-20629.85833333333</v>
      </c>
      <c r="I97" s="126">
        <f t="shared" si="25"/>
        <v>-20629.858333333334</v>
      </c>
      <c r="J97" s="126">
        <f t="shared" si="25"/>
        <v>-20629.858333333334</v>
      </c>
      <c r="K97" s="126">
        <f t="shared" si="25"/>
        <v>-20629.858333333334</v>
      </c>
      <c r="L97" s="126">
        <f t="shared" si="25"/>
        <v>-20629.858333333334</v>
      </c>
      <c r="M97" s="126">
        <f t="shared" si="25"/>
        <v>-20629.858333333334</v>
      </c>
      <c r="N97" s="126">
        <f t="shared" si="25"/>
        <v>-20629.858333333334</v>
      </c>
      <c r="O97" s="127">
        <f t="shared" si="24"/>
        <v>-20629.858333333334</v>
      </c>
    </row>
    <row r="98" spans="1:15" x14ac:dyDescent="0.25">
      <c r="A98" s="27" t="s">
        <v>143</v>
      </c>
      <c r="B98" s="126">
        <f t="shared" ref="B98:N98" si="26">+B75/B87</f>
        <v>-20629.85833333333</v>
      </c>
      <c r="C98" s="126">
        <f t="shared" si="26"/>
        <v>-20629.85833333333</v>
      </c>
      <c r="D98" s="126">
        <f t="shared" si="26"/>
        <v>-20629.85833333333</v>
      </c>
      <c r="E98" s="126">
        <f t="shared" si="26"/>
        <v>-20629.85833333333</v>
      </c>
      <c r="F98" s="126">
        <f t="shared" si="26"/>
        <v>-20629.85833333333</v>
      </c>
      <c r="G98" s="126">
        <f t="shared" si="26"/>
        <v>-20629.858333333334</v>
      </c>
      <c r="H98" s="126">
        <f t="shared" si="26"/>
        <v>-20629.858333333337</v>
      </c>
      <c r="I98" s="126">
        <f t="shared" si="26"/>
        <v>-20629.858333333334</v>
      </c>
      <c r="J98" s="126">
        <f t="shared" si="26"/>
        <v>-20629.85833333333</v>
      </c>
      <c r="K98" s="126">
        <f t="shared" si="26"/>
        <v>-20629.85833333333</v>
      </c>
      <c r="L98" s="126">
        <f t="shared" si="26"/>
        <v>-20629.85833333333</v>
      </c>
      <c r="M98" s="126">
        <f t="shared" si="26"/>
        <v>-20629.858333333334</v>
      </c>
      <c r="N98" s="126">
        <f t="shared" si="26"/>
        <v>-20629.858333333334</v>
      </c>
      <c r="O98" s="127">
        <f t="shared" si="24"/>
        <v>-20629.858333333334</v>
      </c>
    </row>
    <row r="99" spans="1:15" x14ac:dyDescent="0.25">
      <c r="A99" s="128" t="s">
        <v>144</v>
      </c>
      <c r="B99" s="126">
        <f t="shared" ref="B99:N99" si="27">+B76/B88</f>
        <v>-20629.85833333333</v>
      </c>
      <c r="C99" s="126">
        <f t="shared" si="27"/>
        <v>-20629.85833333333</v>
      </c>
      <c r="D99" s="126">
        <f t="shared" si="27"/>
        <v>-20629.85833333333</v>
      </c>
      <c r="E99" s="126">
        <f t="shared" si="27"/>
        <v>-20629.85833333333</v>
      </c>
      <c r="F99" s="126">
        <f t="shared" si="27"/>
        <v>-20629.85833333333</v>
      </c>
      <c r="G99" s="126">
        <f t="shared" si="27"/>
        <v>-20629.858333333337</v>
      </c>
      <c r="H99" s="126">
        <f t="shared" si="27"/>
        <v>-20629.85833333333</v>
      </c>
      <c r="I99" s="126">
        <f t="shared" si="27"/>
        <v>-20629.858333333334</v>
      </c>
      <c r="J99" s="126">
        <f t="shared" si="27"/>
        <v>-20629.858333333334</v>
      </c>
      <c r="K99" s="126">
        <f t="shared" si="27"/>
        <v>-20629.858333333337</v>
      </c>
      <c r="L99" s="126">
        <f t="shared" si="27"/>
        <v>-20629.858333333337</v>
      </c>
      <c r="M99" s="126">
        <f t="shared" si="27"/>
        <v>-20629.85833333333</v>
      </c>
      <c r="N99" s="126">
        <f t="shared" si="27"/>
        <v>-20629.85833333333</v>
      </c>
      <c r="O99" s="127">
        <f t="shared" si="24"/>
        <v>-20629.858333333334</v>
      </c>
    </row>
    <row r="100" spans="1:15" x14ac:dyDescent="0.25">
      <c r="A100" s="27" t="s">
        <v>145</v>
      </c>
      <c r="B100" s="126">
        <f t="shared" ref="B100:N100" si="28">+B77/B89</f>
        <v>-20629.85833333333</v>
      </c>
      <c r="C100" s="126">
        <f t="shared" si="28"/>
        <v>-20629.85833333333</v>
      </c>
      <c r="D100" s="126">
        <f t="shared" si="28"/>
        <v>-20629.85833333333</v>
      </c>
      <c r="E100" s="126">
        <f t="shared" si="28"/>
        <v>-20629.85833333333</v>
      </c>
      <c r="F100" s="126">
        <f t="shared" si="28"/>
        <v>-20629.85833333333</v>
      </c>
      <c r="G100" s="126">
        <f t="shared" si="28"/>
        <v>-20629.858333333334</v>
      </c>
      <c r="H100" s="126">
        <f t="shared" si="28"/>
        <v>-20629.858333333334</v>
      </c>
      <c r="I100" s="126">
        <f t="shared" si="28"/>
        <v>-20629.858333333334</v>
      </c>
      <c r="J100" s="126">
        <f t="shared" si="28"/>
        <v>-20629.85833333333</v>
      </c>
      <c r="K100" s="126">
        <f t="shared" si="28"/>
        <v>-20629.858333333334</v>
      </c>
      <c r="L100" s="126">
        <f t="shared" si="28"/>
        <v>-20629.858333333334</v>
      </c>
      <c r="M100" s="126">
        <f t="shared" si="28"/>
        <v>-20629.85833333333</v>
      </c>
      <c r="N100" s="126">
        <f t="shared" si="28"/>
        <v>-20629.85833333333</v>
      </c>
      <c r="O100" s="127">
        <f t="shared" si="24"/>
        <v>-20629.858333333334</v>
      </c>
    </row>
    <row r="101" spans="1:15" x14ac:dyDescent="0.25">
      <c r="A101" s="128" t="s">
        <v>146</v>
      </c>
      <c r="B101" s="126">
        <f t="shared" ref="B101:N101" si="29">+B78/B90</f>
        <v>-20629.858333333334</v>
      </c>
      <c r="C101" s="126">
        <f t="shared" si="29"/>
        <v>-20629.858333333334</v>
      </c>
      <c r="D101" s="126">
        <f t="shared" si="29"/>
        <v>-20629.858333333334</v>
      </c>
      <c r="E101" s="126">
        <f t="shared" si="29"/>
        <v>-20629.858333333334</v>
      </c>
      <c r="F101" s="126">
        <f t="shared" si="29"/>
        <v>-20629.858333333334</v>
      </c>
      <c r="G101" s="126">
        <f t="shared" si="29"/>
        <v>-20629.858333333334</v>
      </c>
      <c r="H101" s="126">
        <f t="shared" si="29"/>
        <v>-20629.858333333334</v>
      </c>
      <c r="I101" s="126">
        <f t="shared" si="29"/>
        <v>-20629.858333333334</v>
      </c>
      <c r="J101" s="126">
        <f t="shared" si="29"/>
        <v>-20629.85833333333</v>
      </c>
      <c r="K101" s="126">
        <f t="shared" si="29"/>
        <v>-20629.858333333334</v>
      </c>
      <c r="L101" s="126">
        <f t="shared" si="29"/>
        <v>-20629.858333333334</v>
      </c>
      <c r="M101" s="126">
        <f t="shared" si="29"/>
        <v>-20629.858333333334</v>
      </c>
      <c r="N101" s="126">
        <f t="shared" si="29"/>
        <v>-20629.858333333334</v>
      </c>
      <c r="O101" s="127">
        <f t="shared" si="24"/>
        <v>-20629.858333333334</v>
      </c>
    </row>
    <row r="102" spans="1:15" x14ac:dyDescent="0.25">
      <c r="A102" s="27" t="s">
        <v>147</v>
      </c>
      <c r="B102" s="126">
        <f t="shared" ref="B102:N102" si="30">+B79/B91</f>
        <v>-20629.858333333334</v>
      </c>
      <c r="C102" s="126">
        <f t="shared" si="30"/>
        <v>-20629.858333333334</v>
      </c>
      <c r="D102" s="126">
        <f t="shared" si="30"/>
        <v>-20629.858333333334</v>
      </c>
      <c r="E102" s="126">
        <f t="shared" si="30"/>
        <v>-20629.858333333334</v>
      </c>
      <c r="F102" s="126">
        <f t="shared" si="30"/>
        <v>-20629.858333333334</v>
      </c>
      <c r="G102" s="126">
        <f t="shared" si="30"/>
        <v>-20629.858333333334</v>
      </c>
      <c r="H102" s="126">
        <f t="shared" si="30"/>
        <v>-20629.85833333333</v>
      </c>
      <c r="I102" s="126">
        <f t="shared" si="30"/>
        <v>-20629.858333333334</v>
      </c>
      <c r="J102" s="126">
        <f t="shared" si="30"/>
        <v>-20629.85833333333</v>
      </c>
      <c r="K102" s="126">
        <f t="shared" si="30"/>
        <v>-20629.85833333333</v>
      </c>
      <c r="L102" s="126">
        <f t="shared" si="30"/>
        <v>-20629.85833333333</v>
      </c>
      <c r="M102" s="126">
        <f t="shared" si="30"/>
        <v>-20629.858333333326</v>
      </c>
      <c r="N102" s="126">
        <f t="shared" si="30"/>
        <v>-20629.858333333326</v>
      </c>
      <c r="O102" s="127">
        <f>+AVERAGE(B102:N102)</f>
        <v>-20629.858333333334</v>
      </c>
    </row>
    <row r="103" spans="1:15" x14ac:dyDescent="0.25">
      <c r="A103" s="128" t="s">
        <v>148</v>
      </c>
      <c r="B103" s="126">
        <f t="shared" ref="B103:N103" si="31">+B80/B92</f>
        <v>-20629.858333333334</v>
      </c>
      <c r="C103" s="126">
        <f t="shared" si="31"/>
        <v>-20629.858333333334</v>
      </c>
      <c r="D103" s="126">
        <f t="shared" si="31"/>
        <v>-20629.858333333334</v>
      </c>
      <c r="E103" s="126">
        <f t="shared" si="31"/>
        <v>-20629.858333333334</v>
      </c>
      <c r="F103" s="126">
        <f t="shared" si="31"/>
        <v>-20629.858333333334</v>
      </c>
      <c r="G103" s="126">
        <f t="shared" si="31"/>
        <v>-20629.858333333337</v>
      </c>
      <c r="H103" s="126">
        <f t="shared" si="31"/>
        <v>-20629.858333333334</v>
      </c>
      <c r="I103" s="126">
        <f t="shared" si="31"/>
        <v>-20629.858333333334</v>
      </c>
      <c r="J103" s="126">
        <f t="shared" si="31"/>
        <v>-20629.858333333337</v>
      </c>
      <c r="K103" s="126">
        <f t="shared" si="31"/>
        <v>-20629.858333333334</v>
      </c>
      <c r="L103" s="126">
        <f t="shared" si="31"/>
        <v>-20629.858333333334</v>
      </c>
      <c r="M103" s="126">
        <f t="shared" si="31"/>
        <v>-20629.858333333334</v>
      </c>
      <c r="N103" s="126">
        <f t="shared" si="31"/>
        <v>-20629.858333333334</v>
      </c>
      <c r="O103" s="127">
        <f t="shared" si="24"/>
        <v>-20629.858333333334</v>
      </c>
    </row>
    <row r="104" spans="1:15" x14ac:dyDescent="0.25">
      <c r="A104" s="27" t="s">
        <v>149</v>
      </c>
      <c r="B104" s="126">
        <f t="shared" ref="B104:N104" si="32">+B81/B93</f>
        <v>-20629.858333333337</v>
      </c>
      <c r="C104" s="126">
        <f t="shared" si="32"/>
        <v>-20629.858333333337</v>
      </c>
      <c r="D104" s="126">
        <f t="shared" si="32"/>
        <v>-20629.858333333337</v>
      </c>
      <c r="E104" s="126">
        <f t="shared" si="32"/>
        <v>-20629.858333333337</v>
      </c>
      <c r="F104" s="126">
        <f t="shared" si="32"/>
        <v>-20629.858333333337</v>
      </c>
      <c r="G104" s="126">
        <f t="shared" si="32"/>
        <v>-20629.858333333337</v>
      </c>
      <c r="H104" s="126">
        <f t="shared" si="32"/>
        <v>-20629.85833333333</v>
      </c>
      <c r="I104" s="126">
        <f t="shared" si="32"/>
        <v>-20629.858333333337</v>
      </c>
      <c r="J104" s="126">
        <f t="shared" si="32"/>
        <v>-20629.858333333337</v>
      </c>
      <c r="K104" s="126">
        <f t="shared" si="32"/>
        <v>-20629.85833333333</v>
      </c>
      <c r="L104" s="126">
        <f t="shared" si="32"/>
        <v>-20629.85833333333</v>
      </c>
      <c r="M104" s="126">
        <f t="shared" si="32"/>
        <v>-20629.85833333333</v>
      </c>
      <c r="N104" s="126">
        <f t="shared" si="32"/>
        <v>-20629.85833333333</v>
      </c>
      <c r="O104" s="127">
        <f t="shared" si="24"/>
        <v>-20629.858333333337</v>
      </c>
    </row>
    <row r="106" spans="1:15" x14ac:dyDescent="0.25">
      <c r="A106" s="73" t="s">
        <v>150</v>
      </c>
    </row>
    <row r="107" spans="1:15" ht="15.75" x14ac:dyDescent="0.25">
      <c r="A107" s="119" t="s">
        <v>129</v>
      </c>
      <c r="B107" s="1">
        <v>2010</v>
      </c>
      <c r="C107" s="1">
        <v>2011</v>
      </c>
      <c r="D107" s="1">
        <v>2012</v>
      </c>
      <c r="E107" s="1">
        <v>2013</v>
      </c>
      <c r="F107" s="1">
        <v>2014</v>
      </c>
      <c r="G107" s="1">
        <v>2015</v>
      </c>
      <c r="H107" s="1">
        <v>2016</v>
      </c>
      <c r="I107" s="1">
        <v>2017</v>
      </c>
      <c r="J107" s="1">
        <v>2018</v>
      </c>
      <c r="K107" s="1">
        <v>2019</v>
      </c>
      <c r="L107" s="1">
        <v>2020</v>
      </c>
      <c r="M107" s="1">
        <v>2021</v>
      </c>
      <c r="N107" s="1">
        <v>2022</v>
      </c>
    </row>
    <row r="108" spans="1:15" ht="15.75" x14ac:dyDescent="0.25">
      <c r="A108" s="120" t="s">
        <v>18</v>
      </c>
      <c r="B108" s="78">
        <f>+INGEI!C$6*'5ta'!$R87/1000</f>
        <v>0</v>
      </c>
      <c r="C108" s="78">
        <f>+INGEI!D$6*'5ta'!$R87/1000</f>
        <v>0</v>
      </c>
      <c r="D108" s="78">
        <f>+INGEI!E$6*'5ta'!$R87/1000</f>
        <v>0</v>
      </c>
      <c r="E108" s="78">
        <f>+INGEI!F$6*'5ta'!$R87/1000</f>
        <v>0</v>
      </c>
      <c r="F108" s="78">
        <f>+INGEI!G$6*'5ta'!$R87/1000</f>
        <v>0</v>
      </c>
      <c r="G108" s="78">
        <f>+INGEI!H$6*'5ta'!$R87/1000</f>
        <v>0</v>
      </c>
      <c r="H108" s="78">
        <f>+INGEI!I$6*'5ta'!$R87/1000</f>
        <v>0</v>
      </c>
      <c r="I108" s="78">
        <f>+INGEI!J$6*'5ta'!$R87/1000</f>
        <v>-4.4621944071510768E-3</v>
      </c>
      <c r="J108" s="78">
        <f>+INGEI!K$6*'5ta'!$R87/1000</f>
        <v>-8.9243888143021536E-3</v>
      </c>
      <c r="K108" s="78">
        <f>+INGEI!L$6*'5ta'!$R87/1000</f>
        <v>-2.7032569891358893E-3</v>
      </c>
      <c r="L108" s="78">
        <f>+INGEI!M$6*'5ta'!$R87/1000</f>
        <v>-2.7032569891358893E-3</v>
      </c>
      <c r="M108" s="78">
        <f>+INGEI!N$6*'5ta'!$R87/1000</f>
        <v>0</v>
      </c>
      <c r="N108" s="78">
        <f>+INGEI!O$6*'5ta'!$R87/1000</f>
        <v>0</v>
      </c>
    </row>
    <row r="109" spans="1:15" ht="15.75" x14ac:dyDescent="0.25">
      <c r="A109" s="120" t="s">
        <v>20</v>
      </c>
      <c r="B109" s="78">
        <f>+INGEI!C$6*'5ta'!$R88/1000</f>
        <v>0</v>
      </c>
      <c r="C109" s="78">
        <f>+INGEI!D$6*'5ta'!$R88/1000</f>
        <v>0</v>
      </c>
      <c r="D109" s="78">
        <f>+INGEI!E$6*'5ta'!$R88/1000</f>
        <v>0</v>
      </c>
      <c r="E109" s="78">
        <f>+INGEI!F$6*'5ta'!$R88/1000</f>
        <v>0</v>
      </c>
      <c r="F109" s="78">
        <f>+INGEI!G$6*'5ta'!$R88/1000</f>
        <v>0</v>
      </c>
      <c r="G109" s="78">
        <f>+INGEI!H$6*'5ta'!$R88/1000</f>
        <v>0</v>
      </c>
      <c r="H109" s="78">
        <f>+INGEI!I$6*'5ta'!$R88/1000</f>
        <v>0</v>
      </c>
      <c r="I109" s="78">
        <f>+INGEI!J$6*'5ta'!$R88/1000</f>
        <v>-4.3574157780323072E-2</v>
      </c>
      <c r="J109" s="78">
        <f>+INGEI!K$6*'5ta'!$R88/1000</f>
        <v>-8.7148315560646145E-2</v>
      </c>
      <c r="K109" s="78">
        <f>+INGEI!L$6*'5ta'!$R88/1000</f>
        <v>-2.6397806957176851E-2</v>
      </c>
      <c r="L109" s="78">
        <f>+INGEI!M$6*'5ta'!$R88/1000</f>
        <v>-2.6397806957176851E-2</v>
      </c>
      <c r="M109" s="78">
        <f>+INGEI!N$6*'5ta'!$R88/1000</f>
        <v>0</v>
      </c>
      <c r="N109" s="78">
        <f>+INGEI!O$6*'5ta'!$R88/1000</f>
        <v>0</v>
      </c>
    </row>
    <row r="110" spans="1:15" ht="31.5" x14ac:dyDescent="0.25">
      <c r="A110" s="120" t="s">
        <v>21</v>
      </c>
      <c r="B110" s="78">
        <f>+INGEI!C$6*'5ta'!$R89/1000</f>
        <v>0</v>
      </c>
      <c r="C110" s="78">
        <f>+INGEI!D$6*'5ta'!$R89/1000</f>
        <v>0</v>
      </c>
      <c r="D110" s="78">
        <f>+INGEI!E$6*'5ta'!$R89/1000</f>
        <v>0</v>
      </c>
      <c r="E110" s="78">
        <f>+INGEI!F$6*'5ta'!$R89/1000</f>
        <v>0</v>
      </c>
      <c r="F110" s="78">
        <f>+INGEI!G$6*'5ta'!$R89/1000</f>
        <v>0</v>
      </c>
      <c r="G110" s="78">
        <f>+INGEI!H$6*'5ta'!$R89/1000</f>
        <v>0</v>
      </c>
      <c r="H110" s="78">
        <f>+INGEI!I$6*'5ta'!$R89/1000</f>
        <v>0</v>
      </c>
      <c r="I110" s="78">
        <f>+INGEI!J$6*'5ta'!$R89/1000</f>
        <v>-0.41666035869616996</v>
      </c>
      <c r="J110" s="78">
        <f>+INGEI!K$6*'5ta'!$R89/1000</f>
        <v>-0.83332071739233993</v>
      </c>
      <c r="K110" s="78">
        <f>+INGEI!L$6*'5ta'!$R89/1000</f>
        <v>-0.25241841210150429</v>
      </c>
      <c r="L110" s="78">
        <f>+INGEI!M$6*'5ta'!$R89/1000</f>
        <v>-0.25241841210150429</v>
      </c>
      <c r="M110" s="78">
        <f>+INGEI!N$6*'5ta'!$R89/1000</f>
        <v>0</v>
      </c>
      <c r="N110" s="78">
        <f>+INGEI!O$6*'5ta'!$R89/1000</f>
        <v>0</v>
      </c>
    </row>
    <row r="111" spans="1:15" ht="31.5" x14ac:dyDescent="0.25">
      <c r="A111" s="120" t="s">
        <v>22</v>
      </c>
      <c r="B111" s="78">
        <f>+INGEI!C$6*'5ta'!$R90/1000</f>
        <v>0</v>
      </c>
      <c r="C111" s="78">
        <f>+INGEI!D$6*'5ta'!$R90/1000</f>
        <v>0</v>
      </c>
      <c r="D111" s="78">
        <f>+INGEI!E$6*'5ta'!$R90/1000</f>
        <v>0</v>
      </c>
      <c r="E111" s="78">
        <f>+INGEI!F$6*'5ta'!$R90/1000</f>
        <v>0</v>
      </c>
      <c r="F111" s="78">
        <f>+INGEI!G$6*'5ta'!$R90/1000</f>
        <v>0</v>
      </c>
      <c r="G111" s="78">
        <f>+INGEI!H$6*'5ta'!$R90/1000</f>
        <v>0</v>
      </c>
      <c r="H111" s="78">
        <f>+INGEI!I$6*'5ta'!$R90/1000</f>
        <v>0</v>
      </c>
      <c r="I111" s="78">
        <f>+INGEI!J$6*'5ta'!$R90/1000</f>
        <v>-0.16936974886381567</v>
      </c>
      <c r="J111" s="78">
        <f>+INGEI!K$6*'5ta'!$R90/1000</f>
        <v>-0.33873949772763134</v>
      </c>
      <c r="K111" s="78">
        <f>+INGEI!L$6*'5ta'!$R90/1000</f>
        <v>-0.10260645673136819</v>
      </c>
      <c r="L111" s="78">
        <f>+INGEI!M$6*'5ta'!$R90/1000</f>
        <v>-0.10260645673136819</v>
      </c>
      <c r="M111" s="78">
        <f>+INGEI!N$6*'5ta'!$R90/1000</f>
        <v>0</v>
      </c>
      <c r="N111" s="78">
        <f>+INGEI!O$6*'5ta'!$R90/1000</f>
        <v>0</v>
      </c>
    </row>
    <row r="112" spans="1:15" ht="31.5" x14ac:dyDescent="0.25">
      <c r="A112" s="120" t="s">
        <v>23</v>
      </c>
      <c r="B112" s="78">
        <f>+INGEI!C$6*'5ta'!$R91/1000</f>
        <v>0</v>
      </c>
      <c r="C112" s="78">
        <f>+INGEI!D$6*'5ta'!$R91/1000</f>
        <v>0</v>
      </c>
      <c r="D112" s="78">
        <f>+INGEI!E$6*'5ta'!$R91/1000</f>
        <v>0</v>
      </c>
      <c r="E112" s="78">
        <f>+INGEI!F$6*'5ta'!$R91/1000</f>
        <v>0</v>
      </c>
      <c r="F112" s="78">
        <f>+INGEI!G$6*'5ta'!$R91/1000</f>
        <v>0</v>
      </c>
      <c r="G112" s="78">
        <f>+INGEI!H$6*'5ta'!$R91/1000</f>
        <v>0</v>
      </c>
      <c r="H112" s="78">
        <f>+INGEI!I$6*'5ta'!$R91/1000</f>
        <v>0</v>
      </c>
      <c r="I112" s="78">
        <f>+INGEI!J$6*'5ta'!$R91/1000</f>
        <v>-0.11664056035172246</v>
      </c>
      <c r="J112" s="78">
        <f>+INGEI!K$6*'5ta'!$R91/1000</f>
        <v>-0.23328112070344492</v>
      </c>
      <c r="K112" s="78">
        <f>+INGEI!L$6*'5ta'!$R91/1000</f>
        <v>-7.0662409840819104E-2</v>
      </c>
      <c r="L112" s="78">
        <f>+INGEI!M$6*'5ta'!$R91/1000</f>
        <v>-7.0662409840819104E-2</v>
      </c>
      <c r="M112" s="78">
        <f>+INGEI!N$6*'5ta'!$R91/1000</f>
        <v>0</v>
      </c>
      <c r="N112" s="78">
        <f>+INGEI!O$6*'5ta'!$R91/1000</f>
        <v>0</v>
      </c>
    </row>
    <row r="113" spans="1:14" ht="31.5" x14ac:dyDescent="0.25">
      <c r="A113" s="120" t="s">
        <v>24</v>
      </c>
      <c r="B113" s="78">
        <f>+INGEI!C$6*'5ta'!$R92/1000</f>
        <v>0</v>
      </c>
      <c r="C113" s="78">
        <f>+INGEI!D$6*'5ta'!$R92/1000</f>
        <v>0</v>
      </c>
      <c r="D113" s="78">
        <f>+INGEI!E$6*'5ta'!$R92/1000</f>
        <v>0</v>
      </c>
      <c r="E113" s="78">
        <f>+INGEI!F$6*'5ta'!$R92/1000</f>
        <v>0</v>
      </c>
      <c r="F113" s="78">
        <f>+INGEI!G$6*'5ta'!$R92/1000</f>
        <v>0</v>
      </c>
      <c r="G113" s="78">
        <f>+INGEI!H$6*'5ta'!$R92/1000</f>
        <v>0</v>
      </c>
      <c r="H113" s="78">
        <f>+INGEI!I$6*'5ta'!$R92/1000</f>
        <v>0</v>
      </c>
      <c r="I113" s="78">
        <f>+INGEI!J$6*'5ta'!$R92/1000</f>
        <v>-0.8535169683557523</v>
      </c>
      <c r="J113" s="78">
        <f>+INGEI!K$6*'5ta'!$R92/1000</f>
        <v>-1.7070339367115046</v>
      </c>
      <c r="K113" s="78">
        <f>+INGEI!L$6*'5ta'!$R92/1000</f>
        <v>-0.51707198286926759</v>
      </c>
      <c r="L113" s="78">
        <f>+INGEI!M$6*'5ta'!$R92/1000</f>
        <v>-0.51707198286926759</v>
      </c>
      <c r="M113" s="78">
        <f>+INGEI!N$6*'5ta'!$R92/1000</f>
        <v>0</v>
      </c>
      <c r="N113" s="78">
        <f>+INGEI!O$6*'5ta'!$R92/1000</f>
        <v>0</v>
      </c>
    </row>
    <row r="114" spans="1:14" ht="31.5" x14ac:dyDescent="0.25">
      <c r="A114" s="120" t="s">
        <v>25</v>
      </c>
      <c r="B114" s="78">
        <f>+INGEI!C$6*'5ta'!$R93/1000</f>
        <v>0</v>
      </c>
      <c r="C114" s="78">
        <f>+INGEI!D$6*'5ta'!$R93/1000</f>
        <v>0</v>
      </c>
      <c r="D114" s="78">
        <f>+INGEI!E$6*'5ta'!$R93/1000</f>
        <v>0</v>
      </c>
      <c r="E114" s="78">
        <f>+INGEI!F$6*'5ta'!$R93/1000</f>
        <v>0</v>
      </c>
      <c r="F114" s="78">
        <f>+INGEI!G$6*'5ta'!$R93/1000</f>
        <v>0</v>
      </c>
      <c r="G114" s="78">
        <f>+INGEI!H$6*'5ta'!$R93/1000</f>
        <v>0</v>
      </c>
      <c r="H114" s="78">
        <f>+INGEI!I$6*'5ta'!$R93/1000</f>
        <v>0</v>
      </c>
      <c r="I114" s="78">
        <f>+INGEI!J$6*'5ta'!$R93/1000</f>
        <v>-9.4563005481650753E-2</v>
      </c>
      <c r="J114" s="78">
        <f>+INGEI!K$6*'5ta'!$R93/1000</f>
        <v>-0.18912601096330151</v>
      </c>
      <c r="K114" s="78">
        <f>+INGEI!L$6*'5ta'!$R93/1000</f>
        <v>-5.728753213268796E-2</v>
      </c>
      <c r="L114" s="78">
        <f>+INGEI!M$6*'5ta'!$R93/1000</f>
        <v>-5.728753213268796E-2</v>
      </c>
      <c r="M114" s="78">
        <f>+INGEI!N$6*'5ta'!$R93/1000</f>
        <v>0</v>
      </c>
      <c r="N114" s="78">
        <f>+INGEI!O$6*'5ta'!$R93/1000</f>
        <v>0</v>
      </c>
    </row>
    <row r="115" spans="1:14" ht="15.75" x14ac:dyDescent="0.25">
      <c r="A115" s="120" t="s">
        <v>26</v>
      </c>
      <c r="B115" s="78">
        <f>+INGEI!C$6*'5ta'!$R94/1000</f>
        <v>0</v>
      </c>
      <c r="C115" s="78">
        <f>+INGEI!D$6*'5ta'!$R94/1000</f>
        <v>0</v>
      </c>
      <c r="D115" s="78">
        <f>+INGEI!E$6*'5ta'!$R94/1000</f>
        <v>0</v>
      </c>
      <c r="E115" s="78">
        <f>+INGEI!F$6*'5ta'!$R94/1000</f>
        <v>0</v>
      </c>
      <c r="F115" s="78">
        <f>+INGEI!G$6*'5ta'!$R94/1000</f>
        <v>0</v>
      </c>
      <c r="G115" s="78">
        <f>+INGEI!H$6*'5ta'!$R94/1000</f>
        <v>0</v>
      </c>
      <c r="H115" s="78">
        <f>+INGEI!I$6*'5ta'!$R94/1000</f>
        <v>0</v>
      </c>
      <c r="I115" s="78">
        <f>+INGEI!J$6*'5ta'!$R94/1000</f>
        <v>-2.3484923712624121E-2</v>
      </c>
      <c r="J115" s="78">
        <f>+INGEI!K$6*'5ta'!$R94/1000</f>
        <v>-4.6969847425248241E-2</v>
      </c>
      <c r="K115" s="78">
        <f>+INGEI!L$6*'5ta'!$R94/1000</f>
        <v>-1.4227480556143526E-2</v>
      </c>
      <c r="L115" s="78">
        <f>+INGEI!M$6*'5ta'!$R94/1000</f>
        <v>-1.4227480556143526E-2</v>
      </c>
      <c r="M115" s="78">
        <f>+INGEI!N$6*'5ta'!$R94/1000</f>
        <v>0</v>
      </c>
      <c r="N115" s="78">
        <f>+INGEI!O$6*'5ta'!$R94/1000</f>
        <v>0</v>
      </c>
    </row>
    <row r="116" spans="1:14" ht="15.75" x14ac:dyDescent="0.25">
      <c r="A116" s="120" t="s">
        <v>27</v>
      </c>
      <c r="B116" s="78">
        <f>+INGEI!C$6*'5ta'!$R95/1000</f>
        <v>0</v>
      </c>
      <c r="C116" s="78">
        <f>+INGEI!D$6*'5ta'!$R95/1000</f>
        <v>0</v>
      </c>
      <c r="D116" s="78">
        <f>+INGEI!E$6*'5ta'!$R95/1000</f>
        <v>0</v>
      </c>
      <c r="E116" s="78">
        <f>+INGEI!F$6*'5ta'!$R95/1000</f>
        <v>0</v>
      </c>
      <c r="F116" s="78">
        <f>+INGEI!G$6*'5ta'!$R95/1000</f>
        <v>0</v>
      </c>
      <c r="G116" s="78">
        <f>+INGEI!H$6*'5ta'!$R95/1000</f>
        <v>0</v>
      </c>
      <c r="H116" s="78">
        <f>+INGEI!I$6*'5ta'!$R95/1000</f>
        <v>0</v>
      </c>
      <c r="I116" s="78">
        <f>+INGEI!J$6*'5ta'!$R95/1000</f>
        <v>-9.8209930975790366E-2</v>
      </c>
      <c r="J116" s="78">
        <f>+INGEI!K$6*'5ta'!$R95/1000</f>
        <v>-0.19641986195158073</v>
      </c>
      <c r="K116" s="78">
        <f>+INGEI!L$6*'5ta'!$R95/1000</f>
        <v>-5.9496888321896466E-2</v>
      </c>
      <c r="L116" s="78">
        <f>+INGEI!M$6*'5ta'!$R95/1000</f>
        <v>-5.9496888321896466E-2</v>
      </c>
      <c r="M116" s="78">
        <f>+INGEI!N$6*'5ta'!$R95/1000</f>
        <v>0</v>
      </c>
      <c r="N116" s="78">
        <f>+INGEI!O$6*'5ta'!$R95/1000</f>
        <v>0</v>
      </c>
    </row>
    <row r="117" spans="1:14" ht="15.75" x14ac:dyDescent="0.25">
      <c r="A117" s="121" t="s">
        <v>14</v>
      </c>
      <c r="B117" s="122">
        <f t="shared" ref="B117:N117" si="33">+SUM(B108:B116)</f>
        <v>0</v>
      </c>
      <c r="C117" s="122">
        <f t="shared" si="33"/>
        <v>0</v>
      </c>
      <c r="D117" s="122">
        <f t="shared" si="33"/>
        <v>0</v>
      </c>
      <c r="E117" s="122">
        <f t="shared" si="33"/>
        <v>0</v>
      </c>
      <c r="F117" s="122">
        <f t="shared" si="33"/>
        <v>0</v>
      </c>
      <c r="G117" s="122">
        <f t="shared" si="33"/>
        <v>0</v>
      </c>
      <c r="H117" s="122">
        <f t="shared" si="33"/>
        <v>0</v>
      </c>
      <c r="I117" s="122">
        <f t="shared" si="33"/>
        <v>-1.8204818486249998</v>
      </c>
      <c r="J117" s="122">
        <f t="shared" si="33"/>
        <v>-3.6409636972499997</v>
      </c>
      <c r="K117" s="122">
        <f t="shared" si="33"/>
        <v>-1.1028722264999999</v>
      </c>
      <c r="L117" s="122">
        <f t="shared" si="33"/>
        <v>-1.1028722264999999</v>
      </c>
      <c r="M117" s="122">
        <f t="shared" si="33"/>
        <v>0</v>
      </c>
      <c r="N117" s="122">
        <f t="shared" si="33"/>
        <v>0</v>
      </c>
    </row>
    <row r="118" spans="1:14" ht="15.75" x14ac:dyDescent="0.25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</row>
    <row r="119" spans="1:14" ht="15.75" x14ac:dyDescent="0.25">
      <c r="A119" s="119" t="s">
        <v>118</v>
      </c>
      <c r="B119" s="1">
        <v>2010</v>
      </c>
      <c r="C119" s="1">
        <v>2011</v>
      </c>
      <c r="D119" s="1">
        <v>2012</v>
      </c>
      <c r="E119" s="1">
        <v>2013</v>
      </c>
      <c r="F119" s="1">
        <v>2014</v>
      </c>
      <c r="G119" s="1">
        <v>2015</v>
      </c>
      <c r="H119" s="1">
        <v>2016</v>
      </c>
      <c r="I119" s="1">
        <v>2017</v>
      </c>
      <c r="J119" s="1">
        <v>2018</v>
      </c>
      <c r="K119" s="1">
        <v>2019</v>
      </c>
      <c r="L119" s="1">
        <v>2020</v>
      </c>
      <c r="M119" s="1">
        <v>2021</v>
      </c>
      <c r="N119" s="1">
        <v>2022</v>
      </c>
    </row>
    <row r="120" spans="1:14" ht="15.75" x14ac:dyDescent="0.25">
      <c r="A120" s="120" t="s">
        <v>18</v>
      </c>
      <c r="B120" s="126">
        <f>+'Cambio uso de suelo (BAU)'!D140/1000</f>
        <v>1.9608849868055969E-8</v>
      </c>
      <c r="C120" s="126">
        <f>+'Cambio uso de suelo (BAU)'!E140/1000</f>
        <v>1.9608849868055969E-8</v>
      </c>
      <c r="D120" s="126">
        <f>+'Cambio uso de suelo (BAU)'!F140/1000</f>
        <v>1.9608849868055969E-8</v>
      </c>
      <c r="E120" s="126">
        <f>+'Cambio uso de suelo (BAU)'!G140/1000</f>
        <v>1.9608849868055969E-8</v>
      </c>
      <c r="F120" s="126">
        <f>+'Cambio uso de suelo (BAU)'!H140/1000</f>
        <v>1.9608849868055969E-8</v>
      </c>
      <c r="G120" s="126">
        <f>+'Cambio uso de suelo (BAU)'!I140/1000</f>
        <v>3.8212746180374069E-8</v>
      </c>
      <c r="H120" s="126">
        <f>+'Cambio uso de suelo (BAU)'!J140/1000</f>
        <v>5.6816642492692169E-8</v>
      </c>
      <c r="I120" s="126">
        <f>+'Cambio uso de suelo (BAU)'!K140/1000</f>
        <v>2.5447384916269636E-7</v>
      </c>
      <c r="J120" s="126">
        <f>+'Cambio uso de suelo (BAU)'!L140/1000</f>
        <v>4.5213105583270054E-7</v>
      </c>
      <c r="K120" s="126">
        <f>+'Cambio uso de suelo (BAU)'!M140/1000</f>
        <v>1.8089164003281631E-8</v>
      </c>
      <c r="L120" s="126">
        <f>+'Cambio uso de suelo (BAU)'!N140/1000</f>
        <v>1.8089164003281631E-8</v>
      </c>
      <c r="M120" s="126">
        <f>+'Cambio uso de suelo (BAU)'!O140/1000</f>
        <v>9.3644513651134776E-8</v>
      </c>
      <c r="N120" s="126">
        <f>+'Cambio uso de suelo (BAU)'!P140/1000</f>
        <v>9.3644513651134776E-8</v>
      </c>
    </row>
    <row r="121" spans="1:14" ht="15.75" x14ac:dyDescent="0.25">
      <c r="A121" s="120" t="s">
        <v>20</v>
      </c>
      <c r="B121" s="126">
        <f>+'Cambio uso de suelo (BAU)'!D141/1000</f>
        <v>1.9148406368669656E-7</v>
      </c>
      <c r="C121" s="126">
        <f>+'Cambio uso de suelo (BAU)'!E141/1000</f>
        <v>1.9148406368669656E-7</v>
      </c>
      <c r="D121" s="126">
        <f>+'Cambio uso de suelo (BAU)'!F141/1000</f>
        <v>1.9148406368669656E-7</v>
      </c>
      <c r="E121" s="126">
        <f>+'Cambio uso de suelo (BAU)'!G141/1000</f>
        <v>1.9148406368669656E-7</v>
      </c>
      <c r="F121" s="126">
        <f>+'Cambio uso de suelo (BAU)'!H141/1000</f>
        <v>1.9148406368669656E-7</v>
      </c>
      <c r="G121" s="126">
        <f>+'Cambio uso de suelo (BAU)'!I141/1000</f>
        <v>3.7315456910944987E-7</v>
      </c>
      <c r="H121" s="126">
        <f>+'Cambio uso de suelo (BAU)'!J141/1000</f>
        <v>5.5482507453220327E-7</v>
      </c>
      <c r="I121" s="126">
        <f>+'Cambio uso de suelo (BAU)'!K141/1000</f>
        <v>2.4849844364941046E-6</v>
      </c>
      <c r="J121" s="126">
        <f>+'Cambio uso de suelo (BAU)'!L141/1000</f>
        <v>4.4151437984560063E-6</v>
      </c>
      <c r="K121" s="126">
        <f>+'Cambio uso de suelo (BAU)'!M141/1000</f>
        <v>1.7664404875097758E-7</v>
      </c>
      <c r="L121" s="126">
        <f>+'Cambio uso de suelo (BAU)'!N141/1000</f>
        <v>1.7664404875097758E-7</v>
      </c>
      <c r="M121" s="126">
        <f>+'Cambio uso de suelo (BAU)'!O141/1000</f>
        <v>9.1445608164378011E-7</v>
      </c>
      <c r="N121" s="126">
        <f>+'Cambio uso de suelo (BAU)'!P141/1000</f>
        <v>9.1445608164378011E-7</v>
      </c>
    </row>
    <row r="122" spans="1:14" ht="31.5" x14ac:dyDescent="0.25">
      <c r="A122" s="120" t="s">
        <v>21</v>
      </c>
      <c r="B122" s="126">
        <f>+'Cambio uso de suelo (BAU)'!D142/1000</f>
        <v>1.8309893460827253E-6</v>
      </c>
      <c r="C122" s="126">
        <f>+'Cambio uso de suelo (BAU)'!E142/1000</f>
        <v>1.8309893460827253E-6</v>
      </c>
      <c r="D122" s="126">
        <f>+'Cambio uso de suelo (BAU)'!F142/1000</f>
        <v>1.8309893460827253E-6</v>
      </c>
      <c r="E122" s="126">
        <f>+'Cambio uso de suelo (BAU)'!G142/1000</f>
        <v>1.8309893460827253E-6</v>
      </c>
      <c r="F122" s="126">
        <f>+'Cambio uso de suelo (BAU)'!H142/1000</f>
        <v>1.8309893460827253E-6</v>
      </c>
      <c r="G122" s="126">
        <f>+'Cambio uso de suelo (BAU)'!I142/1000</f>
        <v>3.5681404881787109E-6</v>
      </c>
      <c r="H122" s="126">
        <f>+'Cambio uso de suelo (BAU)'!J142/1000</f>
        <v>5.3052916302746972E-6</v>
      </c>
      <c r="I122" s="126">
        <f>+'Cambio uso de suelo (BAU)'!K142/1000</f>
        <v>2.3761664238788571E-5</v>
      </c>
      <c r="J122" s="126">
        <f>+'Cambio uso de suelo (BAU)'!L142/1000</f>
        <v>4.2218036847302446E-5</v>
      </c>
      <c r="K122" s="126">
        <f>+'Cambio uso de suelo (BAU)'!M142/1000</f>
        <v>1.689087671761314E-6</v>
      </c>
      <c r="L122" s="126">
        <f>+'Cambio uso de suelo (BAU)'!N142/1000</f>
        <v>1.689087671761314E-6</v>
      </c>
      <c r="M122" s="126">
        <f>+'Cambio uso de suelo (BAU)'!O142/1000</f>
        <v>8.7441184958863155E-6</v>
      </c>
      <c r="N122" s="126">
        <f>+'Cambio uso de suelo (BAU)'!P142/1000</f>
        <v>8.7441184958863155E-6</v>
      </c>
    </row>
    <row r="123" spans="1:14" ht="31.5" x14ac:dyDescent="0.25">
      <c r="A123" s="120" t="s">
        <v>22</v>
      </c>
      <c r="B123" s="126">
        <f>+'Cambio uso de suelo (BAU)'!D143/1000</f>
        <v>7.4428536155629223E-7</v>
      </c>
      <c r="C123" s="126">
        <f>+'Cambio uso de suelo (BAU)'!E143/1000</f>
        <v>7.4428536155629223E-7</v>
      </c>
      <c r="D123" s="126">
        <f>+'Cambio uso de suelo (BAU)'!F143/1000</f>
        <v>7.4428536155629223E-7</v>
      </c>
      <c r="E123" s="126">
        <f>+'Cambio uso de suelo (BAU)'!G143/1000</f>
        <v>7.4428536155629223E-7</v>
      </c>
      <c r="F123" s="126">
        <f>+'Cambio uso de suelo (BAU)'!H143/1000</f>
        <v>7.4428536155629223E-7</v>
      </c>
      <c r="G123" s="126">
        <f>+'Cambio uso de suelo (BAU)'!I143/1000</f>
        <v>1.4504260983328246E-6</v>
      </c>
      <c r="H123" s="126">
        <f>+'Cambio uso de suelo (BAU)'!J143/1000</f>
        <v>2.1565668351093565E-6</v>
      </c>
      <c r="I123" s="126">
        <f>+'Cambio uso de suelo (BAU)'!K143/1000</f>
        <v>9.6589632795967826E-6</v>
      </c>
      <c r="J123" s="126">
        <f>+'Cambio uso de suelo (BAU)'!L143/1000</f>
        <v>1.7161359724084207E-5</v>
      </c>
      <c r="K123" s="126">
        <f>+'Cambio uso de suelo (BAU)'!M143/1000</f>
        <v>6.8660324603567961E-7</v>
      </c>
      <c r="L123" s="126">
        <f>+'Cambio uso de suelo (BAU)'!N143/1000</f>
        <v>6.8660324603567961E-7</v>
      </c>
      <c r="M123" s="126">
        <f>+'Cambio uso de suelo (BAU)'!O143/1000</f>
        <v>3.5544277797822674E-6</v>
      </c>
      <c r="N123" s="126">
        <f>+'Cambio uso de suelo (BAU)'!P143/1000</f>
        <v>3.5544277797822674E-6</v>
      </c>
    </row>
    <row r="124" spans="1:14" ht="31.5" x14ac:dyDescent="0.25">
      <c r="A124" s="120" t="s">
        <v>23</v>
      </c>
      <c r="B124" s="126">
        <f>+'Cambio uso de suelo (BAU)'!D144/1000</f>
        <v>5.1257005584459061E-7</v>
      </c>
      <c r="C124" s="126">
        <f>+'Cambio uso de suelo (BAU)'!E144/1000</f>
        <v>5.1257005584459061E-7</v>
      </c>
      <c r="D124" s="126">
        <f>+'Cambio uso de suelo (BAU)'!F144/1000</f>
        <v>5.1257005584459061E-7</v>
      </c>
      <c r="E124" s="126">
        <f>+'Cambio uso de suelo (BAU)'!G144/1000</f>
        <v>5.1257005584459061E-7</v>
      </c>
      <c r="F124" s="126">
        <f>+'Cambio uso de suelo (BAU)'!H144/1000</f>
        <v>5.1257005584459061E-7</v>
      </c>
      <c r="G124" s="126">
        <f>+'Cambio uso de suelo (BAU)'!I144/1000</f>
        <v>9.988708963271459E-7</v>
      </c>
      <c r="H124" s="126">
        <f>+'Cambio uso de suelo (BAU)'!J144/1000</f>
        <v>1.4851717368097014E-6</v>
      </c>
      <c r="I124" s="126">
        <f>+'Cambio uso de suelo (BAU)'!K144/1000</f>
        <v>6.6518778997231749E-6</v>
      </c>
      <c r="J124" s="126">
        <f>+'Cambio uso de suelo (BAU)'!L144/1000</f>
        <v>1.1818584062636648E-5</v>
      </c>
      <c r="K124" s="126">
        <f>+'Cambio uso de suelo (BAU)'!M144/1000</f>
        <v>4.728458765166348E-7</v>
      </c>
      <c r="L124" s="126">
        <f>+'Cambio uso de suelo (BAU)'!N144/1000</f>
        <v>4.728458765166348E-7</v>
      </c>
      <c r="M124" s="126">
        <f>+'Cambio uso de suelo (BAU)'!O144/1000</f>
        <v>2.4478423729428227E-6</v>
      </c>
      <c r="N124" s="126">
        <f>+'Cambio uso de suelo (BAU)'!P144/1000</f>
        <v>2.4478423729428227E-6</v>
      </c>
    </row>
    <row r="125" spans="1:14" ht="31.5" x14ac:dyDescent="0.25">
      <c r="A125" s="120" t="s">
        <v>24</v>
      </c>
      <c r="B125" s="126">
        <f>+'Cambio uso de suelo (BAU)'!D145/1000</f>
        <v>3.750729924609395E-6</v>
      </c>
      <c r="C125" s="126">
        <f>+'Cambio uso de suelo (BAU)'!E145/1000</f>
        <v>3.750729924609395E-6</v>
      </c>
      <c r="D125" s="126">
        <f>+'Cambio uso de suelo (BAU)'!F145/1000</f>
        <v>3.750729924609395E-6</v>
      </c>
      <c r="E125" s="126">
        <f>+'Cambio uso de suelo (BAU)'!G145/1000</f>
        <v>3.750729924609395E-6</v>
      </c>
      <c r="F125" s="126">
        <f>+'Cambio uso de suelo (BAU)'!H145/1000</f>
        <v>3.750729924609395E-6</v>
      </c>
      <c r="G125" s="126">
        <f>+'Cambio uso de suelo (BAU)'!I145/1000</f>
        <v>7.3092349405825583E-6</v>
      </c>
      <c r="H125" s="126">
        <f>+'Cambio uso de suelo (BAU)'!J145/1000</f>
        <v>1.0867739956555721E-5</v>
      </c>
      <c r="I125" s="126">
        <f>+'Cambio uso de suelo (BAU)'!K145/1000</f>
        <v>4.8675097596618427E-5</v>
      </c>
      <c r="J125" s="126">
        <f>+'Cambio uso de suelo (BAU)'!L145/1000</f>
        <v>8.6482455236681132E-5</v>
      </c>
      <c r="K125" s="126">
        <f>+'Cambio uso de suelo (BAU)'!M145/1000</f>
        <v>3.4600483554521666E-6</v>
      </c>
      <c r="L125" s="126">
        <f>+'Cambio uso de suelo (BAU)'!N145/1000</f>
        <v>3.4600483554521666E-6</v>
      </c>
      <c r="M125" s="126">
        <f>+'Cambio uso de suelo (BAU)'!O145/1000</f>
        <v>1.7912079596212743E-5</v>
      </c>
      <c r="N125" s="126">
        <f>+'Cambio uso de suelo (BAU)'!P145/1000</f>
        <v>1.7912079596212743E-5</v>
      </c>
    </row>
    <row r="126" spans="1:14" ht="31.5" x14ac:dyDescent="0.25">
      <c r="A126" s="120" t="s">
        <v>25</v>
      </c>
      <c r="B126" s="126">
        <f>+'Cambio uso de suelo (BAU)'!D146/1000</f>
        <v>4.1555154445763329E-7</v>
      </c>
      <c r="C126" s="126">
        <f>+'Cambio uso de suelo (BAU)'!E146/1000</f>
        <v>4.1555154445763329E-7</v>
      </c>
      <c r="D126" s="126">
        <f>+'Cambio uso de suelo (BAU)'!F146/1000</f>
        <v>4.1555154445763329E-7</v>
      </c>
      <c r="E126" s="126">
        <f>+'Cambio uso de suelo (BAU)'!G146/1000</f>
        <v>4.1555154445763329E-7</v>
      </c>
      <c r="F126" s="126">
        <f>+'Cambio uso de suelo (BAU)'!H146/1000</f>
        <v>4.1555154445763329E-7</v>
      </c>
      <c r="G126" s="126">
        <f>+'Cambio uso de suelo (BAU)'!I146/1000</f>
        <v>8.0980607226181276E-7</v>
      </c>
      <c r="H126" s="126">
        <f>+'Cambio uso de suelo (BAU)'!J146/1000</f>
        <v>1.2040606000659924E-6</v>
      </c>
      <c r="I126" s="126">
        <f>+'Cambio uso de suelo (BAU)'!K146/1000</f>
        <v>5.3928201681989364E-6</v>
      </c>
      <c r="J126" s="126">
        <f>+'Cambio uso de suelo (BAU)'!L146/1000</f>
        <v>9.5815797363318794E-6</v>
      </c>
      <c r="K126" s="126">
        <f>+'Cambio uso de suelo (BAU)'!M146/1000</f>
        <v>3.8334629976216667E-7</v>
      </c>
      <c r="L126" s="126">
        <f>+'Cambio uso de suelo (BAU)'!N146/1000</f>
        <v>3.8334629976216667E-7</v>
      </c>
      <c r="M126" s="126">
        <f>+'Cambio uso de suelo (BAU)'!O146/1000</f>
        <v>1.9845183445004849E-6</v>
      </c>
      <c r="N126" s="126">
        <f>+'Cambio uso de suelo (BAU)'!P146/1000</f>
        <v>1.9845183445004849E-6</v>
      </c>
    </row>
    <row r="127" spans="1:14" ht="15.75" x14ac:dyDescent="0.25">
      <c r="A127" s="120" t="s">
        <v>26</v>
      </c>
      <c r="B127" s="126">
        <f>+'Cambio uso de suelo (BAU)'!D147/1000</f>
        <v>1.032031106725383E-7</v>
      </c>
      <c r="C127" s="126">
        <f>+'Cambio uso de suelo (BAU)'!E147/1000</f>
        <v>1.032031106725383E-7</v>
      </c>
      <c r="D127" s="126">
        <f>+'Cambio uso de suelo (BAU)'!F147/1000</f>
        <v>1.032031106725383E-7</v>
      </c>
      <c r="E127" s="126">
        <f>+'Cambio uso de suelo (BAU)'!G147/1000</f>
        <v>1.032031106725383E-7</v>
      </c>
      <c r="F127" s="126">
        <f>+'Cambio uso de suelo (BAU)'!H147/1000</f>
        <v>1.032031106725383E-7</v>
      </c>
      <c r="G127" s="126">
        <f>+'Cambio uso de suelo (BAU)'!I147/1000</f>
        <v>2.0111706192310897E-7</v>
      </c>
      <c r="H127" s="126">
        <f>+'Cambio uso de suelo (BAU)'!J147/1000</f>
        <v>2.9903101317367973E-7</v>
      </c>
      <c r="I127" s="126">
        <f>+'Cambio uso de suelo (BAU)'!K147/1000</f>
        <v>1.3393183687528659E-6</v>
      </c>
      <c r="J127" s="126">
        <f>+'Cambio uso de suelo (BAU)'!L147/1000</f>
        <v>2.3796057243320518E-6</v>
      </c>
      <c r="K127" s="126">
        <f>+'Cambio uso de suelo (BAU)'!M147/1000</f>
        <v>9.5204869595416582E-8</v>
      </c>
      <c r="L127" s="126">
        <f>+'Cambio uso de suelo (BAU)'!N147/1000</f>
        <v>9.5204869595416582E-8</v>
      </c>
      <c r="M127" s="126">
        <f>+'Cambio uso de suelo (BAU)'!O147/1000</f>
        <v>4.9285935540554066E-7</v>
      </c>
      <c r="N127" s="126">
        <f>+'Cambio uso de suelo (BAU)'!P147/1000</f>
        <v>4.9285935540554066E-7</v>
      </c>
    </row>
    <row r="128" spans="1:14" ht="15.75" x14ac:dyDescent="0.25">
      <c r="A128" s="120" t="s">
        <v>27</v>
      </c>
      <c r="B128" s="126">
        <f>+'Cambio uso de suelo (BAU)'!D148/1000</f>
        <v>4.3157774322207194E-7</v>
      </c>
      <c r="C128" s="126">
        <f>+'Cambio uso de suelo (BAU)'!E148/1000</f>
        <v>4.3157774322207194E-7</v>
      </c>
      <c r="D128" s="126">
        <f>+'Cambio uso de suelo (BAU)'!F148/1000</f>
        <v>4.3157774322207194E-7</v>
      </c>
      <c r="E128" s="126">
        <f>+'Cambio uso de suelo (BAU)'!G148/1000</f>
        <v>4.3157774322207194E-7</v>
      </c>
      <c r="F128" s="126">
        <f>+'Cambio uso de suelo (BAU)'!H148/1000</f>
        <v>4.3157774322207194E-7</v>
      </c>
      <c r="G128" s="126">
        <f>+'Cambio uso de suelo (BAU)'!I148/1000</f>
        <v>8.4103712710401265E-7</v>
      </c>
      <c r="H128" s="126">
        <f>+'Cambio uso de suelo (BAU)'!J148/1000</f>
        <v>1.2504965109859535E-6</v>
      </c>
      <c r="I128" s="126">
        <f>+'Cambio uso de suelo (BAU)'!K148/1000</f>
        <v>5.6008001626644391E-6</v>
      </c>
      <c r="J128" s="126">
        <f>+'Cambio uso de suelo (BAU)'!L148/1000</f>
        <v>9.9511038143429238E-6</v>
      </c>
      <c r="K128" s="126">
        <f>+'Cambio uso de suelo (BAU)'!M148/1000</f>
        <v>3.9813046812236136E-7</v>
      </c>
      <c r="L128" s="126">
        <f>+'Cambio uso de suelo (BAU)'!N148/1000</f>
        <v>3.9813046812236136E-7</v>
      </c>
      <c r="M128" s="126">
        <f>+'Cambio uso de suelo (BAU)'!O148/1000</f>
        <v>2.0610534599749073E-6</v>
      </c>
      <c r="N128" s="126">
        <f>+'Cambio uso de suelo (BAU)'!P148/1000</f>
        <v>2.0610534599749073E-6</v>
      </c>
    </row>
    <row r="129" spans="1:15" ht="15.75" x14ac:dyDescent="0.25">
      <c r="A129" s="123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</row>
    <row r="130" spans="1:15" ht="15.75" x14ac:dyDescent="0.25">
      <c r="A130" s="119" t="s">
        <v>119</v>
      </c>
      <c r="B130" s="1">
        <v>2010</v>
      </c>
      <c r="C130" s="1">
        <v>2011</v>
      </c>
      <c r="D130" s="1">
        <v>2012</v>
      </c>
      <c r="E130" s="1">
        <v>2013</v>
      </c>
      <c r="F130" s="1">
        <v>2014</v>
      </c>
      <c r="G130" s="1">
        <v>2015</v>
      </c>
      <c r="H130" s="1">
        <v>2016</v>
      </c>
      <c r="I130" s="1">
        <v>2017</v>
      </c>
      <c r="J130" s="1">
        <v>2018</v>
      </c>
      <c r="K130" s="1">
        <v>2019</v>
      </c>
      <c r="L130" s="1">
        <v>2020</v>
      </c>
      <c r="M130" s="1">
        <v>2021</v>
      </c>
      <c r="N130" s="1">
        <v>2022</v>
      </c>
    </row>
    <row r="131" spans="1:15" x14ac:dyDescent="0.25">
      <c r="A131" s="27" t="s">
        <v>161</v>
      </c>
      <c r="B131" s="112">
        <v>0</v>
      </c>
      <c r="C131" s="112">
        <v>0</v>
      </c>
      <c r="D131" s="112">
        <v>0</v>
      </c>
      <c r="E131" s="112">
        <v>0</v>
      </c>
      <c r="F131" s="112">
        <v>0</v>
      </c>
      <c r="G131" s="112">
        <v>0</v>
      </c>
      <c r="H131" s="112">
        <v>0</v>
      </c>
      <c r="I131" s="112">
        <v>0</v>
      </c>
      <c r="J131" s="126">
        <f t="shared" ref="J131:N139" si="34">+J108/J120</f>
        <v>-19738.499930879319</v>
      </c>
      <c r="K131" s="126">
        <f t="shared" si="34"/>
        <v>-149440.68109756097</v>
      </c>
      <c r="L131" s="126">
        <f t="shared" si="34"/>
        <v>-149440.68109756097</v>
      </c>
      <c r="M131" s="126">
        <f t="shared" si="34"/>
        <v>0</v>
      </c>
      <c r="N131" s="126">
        <f t="shared" si="34"/>
        <v>0</v>
      </c>
      <c r="O131" s="127">
        <f t="shared" ref="O131:O139" si="35">+AVERAGE(B131:N131)</f>
        <v>-24509.220163538561</v>
      </c>
    </row>
    <row r="132" spans="1:15" x14ac:dyDescent="0.25">
      <c r="A132" s="128" t="s">
        <v>162</v>
      </c>
      <c r="B132" s="112">
        <v>0</v>
      </c>
      <c r="C132" s="112">
        <v>0</v>
      </c>
      <c r="D132" s="112">
        <v>0</v>
      </c>
      <c r="E132" s="112">
        <v>0</v>
      </c>
      <c r="F132" s="112">
        <v>0</v>
      </c>
      <c r="G132" s="112">
        <v>0</v>
      </c>
      <c r="H132" s="112">
        <v>0</v>
      </c>
      <c r="I132" s="112">
        <v>0</v>
      </c>
      <c r="J132" s="126">
        <f t="shared" si="34"/>
        <v>-19738.499930879323</v>
      </c>
      <c r="K132" s="126">
        <f t="shared" si="34"/>
        <v>-149440.68109756097</v>
      </c>
      <c r="L132" s="126">
        <f t="shared" si="34"/>
        <v>-149440.68109756097</v>
      </c>
      <c r="M132" s="126">
        <f t="shared" si="34"/>
        <v>0</v>
      </c>
      <c r="N132" s="126">
        <f t="shared" si="34"/>
        <v>0</v>
      </c>
      <c r="O132" s="127">
        <f t="shared" si="35"/>
        <v>-24509.220163538561</v>
      </c>
    </row>
    <row r="133" spans="1:15" x14ac:dyDescent="0.25">
      <c r="A133" s="27" t="s">
        <v>163</v>
      </c>
      <c r="B133" s="112">
        <v>0</v>
      </c>
      <c r="C133" s="112">
        <v>0</v>
      </c>
      <c r="D133" s="112">
        <v>0</v>
      </c>
      <c r="E133" s="112">
        <v>0</v>
      </c>
      <c r="F133" s="112">
        <v>0</v>
      </c>
      <c r="G133" s="112">
        <v>0</v>
      </c>
      <c r="H133" s="112">
        <v>0</v>
      </c>
      <c r="I133" s="112">
        <v>0</v>
      </c>
      <c r="J133" s="126">
        <f t="shared" si="34"/>
        <v>-19738.499930879319</v>
      </c>
      <c r="K133" s="126">
        <f t="shared" si="34"/>
        <v>-149440.681097561</v>
      </c>
      <c r="L133" s="126">
        <f t="shared" si="34"/>
        <v>-149440.681097561</v>
      </c>
      <c r="M133" s="126">
        <f t="shared" si="34"/>
        <v>0</v>
      </c>
      <c r="N133" s="126">
        <f t="shared" si="34"/>
        <v>0</v>
      </c>
      <c r="O133" s="127">
        <f t="shared" si="35"/>
        <v>-24509.220163538561</v>
      </c>
    </row>
    <row r="134" spans="1:15" x14ac:dyDescent="0.25">
      <c r="A134" s="128" t="s">
        <v>164</v>
      </c>
      <c r="B134" s="112">
        <v>0</v>
      </c>
      <c r="C134" s="112">
        <v>0</v>
      </c>
      <c r="D134" s="112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26">
        <f t="shared" si="34"/>
        <v>-19738.499930879327</v>
      </c>
      <c r="K134" s="126">
        <f t="shared" si="34"/>
        <v>-149440.68109756097</v>
      </c>
      <c r="L134" s="126">
        <f t="shared" si="34"/>
        <v>-149440.68109756097</v>
      </c>
      <c r="M134" s="126">
        <f t="shared" si="34"/>
        <v>0</v>
      </c>
      <c r="N134" s="126">
        <f t="shared" si="34"/>
        <v>0</v>
      </c>
      <c r="O134" s="127">
        <f t="shared" si="35"/>
        <v>-24509.220163538561</v>
      </c>
    </row>
    <row r="135" spans="1:15" x14ac:dyDescent="0.25">
      <c r="A135" s="27" t="s">
        <v>165</v>
      </c>
      <c r="B135" s="112">
        <v>0</v>
      </c>
      <c r="C135" s="112">
        <v>0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26">
        <f t="shared" si="34"/>
        <v>-19738.499930879319</v>
      </c>
      <c r="K135" s="126">
        <f t="shared" si="34"/>
        <v>-149440.68109756094</v>
      </c>
      <c r="L135" s="126">
        <f t="shared" si="34"/>
        <v>-149440.68109756094</v>
      </c>
      <c r="M135" s="126">
        <f t="shared" si="34"/>
        <v>0</v>
      </c>
      <c r="N135" s="126">
        <f t="shared" si="34"/>
        <v>0</v>
      </c>
      <c r="O135" s="127">
        <f t="shared" si="35"/>
        <v>-24509.22016353855</v>
      </c>
    </row>
    <row r="136" spans="1:15" x14ac:dyDescent="0.25">
      <c r="A136" s="128" t="s">
        <v>166</v>
      </c>
      <c r="B136" s="112">
        <v>0</v>
      </c>
      <c r="C136" s="112">
        <v>0</v>
      </c>
      <c r="D136" s="112">
        <v>0</v>
      </c>
      <c r="E136" s="112">
        <v>0</v>
      </c>
      <c r="F136" s="112">
        <v>0</v>
      </c>
      <c r="G136" s="112">
        <v>0</v>
      </c>
      <c r="H136" s="112">
        <v>0</v>
      </c>
      <c r="I136" s="112">
        <v>0</v>
      </c>
      <c r="J136" s="126">
        <f t="shared" si="34"/>
        <v>-19738.499930879323</v>
      </c>
      <c r="K136" s="126">
        <f t="shared" si="34"/>
        <v>-149440.681097561</v>
      </c>
      <c r="L136" s="126">
        <f t="shared" si="34"/>
        <v>-149440.681097561</v>
      </c>
      <c r="M136" s="126">
        <f t="shared" si="34"/>
        <v>0</v>
      </c>
      <c r="N136" s="126">
        <f t="shared" si="34"/>
        <v>0</v>
      </c>
      <c r="O136" s="127">
        <f t="shared" si="35"/>
        <v>-24509.220163538565</v>
      </c>
    </row>
    <row r="137" spans="1:15" x14ac:dyDescent="0.25">
      <c r="A137" s="27" t="s">
        <v>167</v>
      </c>
      <c r="B137" s="112">
        <v>0</v>
      </c>
      <c r="C137" s="112">
        <v>0</v>
      </c>
      <c r="D137" s="112">
        <v>0</v>
      </c>
      <c r="E137" s="112">
        <v>0</v>
      </c>
      <c r="F137" s="112">
        <v>0</v>
      </c>
      <c r="G137" s="112">
        <v>0</v>
      </c>
      <c r="H137" s="112">
        <v>0</v>
      </c>
      <c r="I137" s="112">
        <v>0</v>
      </c>
      <c r="J137" s="126">
        <f t="shared" si="34"/>
        <v>-19738.499930879319</v>
      </c>
      <c r="K137" s="126">
        <f t="shared" si="34"/>
        <v>-149440.68109756097</v>
      </c>
      <c r="L137" s="126">
        <f t="shared" si="34"/>
        <v>-149440.68109756097</v>
      </c>
      <c r="M137" s="126">
        <f t="shared" si="34"/>
        <v>0</v>
      </c>
      <c r="N137" s="126">
        <f t="shared" si="34"/>
        <v>0</v>
      </c>
      <c r="O137" s="127">
        <f t="shared" si="35"/>
        <v>-24509.220163538561</v>
      </c>
    </row>
    <row r="138" spans="1:15" x14ac:dyDescent="0.25">
      <c r="A138" s="128" t="s">
        <v>168</v>
      </c>
      <c r="B138" s="112">
        <v>0</v>
      </c>
      <c r="C138" s="112">
        <v>0</v>
      </c>
      <c r="D138" s="112">
        <v>0</v>
      </c>
      <c r="E138" s="112">
        <v>0</v>
      </c>
      <c r="F138" s="112">
        <v>0</v>
      </c>
      <c r="G138" s="112">
        <v>0</v>
      </c>
      <c r="H138" s="112">
        <v>0</v>
      </c>
      <c r="I138" s="112">
        <v>0</v>
      </c>
      <c r="J138" s="126">
        <f t="shared" si="34"/>
        <v>-19738.499930879319</v>
      </c>
      <c r="K138" s="126">
        <f t="shared" si="34"/>
        <v>-149440.68109756094</v>
      </c>
      <c r="L138" s="126">
        <f t="shared" si="34"/>
        <v>-149440.68109756094</v>
      </c>
      <c r="M138" s="126">
        <f t="shared" si="34"/>
        <v>0</v>
      </c>
      <c r="N138" s="126">
        <f t="shared" si="34"/>
        <v>0</v>
      </c>
      <c r="O138" s="127">
        <f t="shared" si="35"/>
        <v>-24509.22016353855</v>
      </c>
    </row>
    <row r="139" spans="1:15" x14ac:dyDescent="0.25">
      <c r="A139" s="27" t="s">
        <v>169</v>
      </c>
      <c r="B139" s="112">
        <v>0</v>
      </c>
      <c r="C139" s="112">
        <v>0</v>
      </c>
      <c r="D139" s="112">
        <v>0</v>
      </c>
      <c r="E139" s="112">
        <v>0</v>
      </c>
      <c r="F139" s="112">
        <v>0</v>
      </c>
      <c r="G139" s="112">
        <v>0</v>
      </c>
      <c r="H139" s="112">
        <v>0</v>
      </c>
      <c r="I139" s="112">
        <v>0</v>
      </c>
      <c r="J139" s="126">
        <f t="shared" si="34"/>
        <v>-19738.499930879319</v>
      </c>
      <c r="K139" s="126">
        <f t="shared" si="34"/>
        <v>-149440.68109756097</v>
      </c>
      <c r="L139" s="126">
        <f t="shared" si="34"/>
        <v>-149440.68109756097</v>
      </c>
      <c r="M139" s="126">
        <f t="shared" si="34"/>
        <v>0</v>
      </c>
      <c r="N139" s="126">
        <f t="shared" si="34"/>
        <v>0</v>
      </c>
      <c r="O139" s="127">
        <f t="shared" si="35"/>
        <v>-24509.220163538561</v>
      </c>
    </row>
    <row r="141" spans="1:15" x14ac:dyDescent="0.25">
      <c r="A141" s="73" t="s">
        <v>151</v>
      </c>
    </row>
    <row r="142" spans="1:15" ht="15.75" x14ac:dyDescent="0.25">
      <c r="A142" s="119" t="s">
        <v>129</v>
      </c>
      <c r="B142" s="1">
        <v>2010</v>
      </c>
      <c r="C142" s="1">
        <v>2011</v>
      </c>
      <c r="D142" s="1">
        <v>2012</v>
      </c>
      <c r="E142" s="1">
        <v>2013</v>
      </c>
      <c r="F142" s="1">
        <v>2014</v>
      </c>
      <c r="G142" s="1">
        <v>2015</v>
      </c>
      <c r="H142" s="1">
        <v>2016</v>
      </c>
      <c r="I142" s="1">
        <v>2017</v>
      </c>
      <c r="J142" s="1">
        <v>2018</v>
      </c>
      <c r="K142" s="1">
        <v>2019</v>
      </c>
      <c r="L142" s="1">
        <v>2020</v>
      </c>
      <c r="M142" s="1">
        <v>2021</v>
      </c>
      <c r="N142" s="1">
        <v>2022</v>
      </c>
    </row>
    <row r="143" spans="1:15" ht="15.75" x14ac:dyDescent="0.25">
      <c r="A143" s="120" t="s">
        <v>18</v>
      </c>
      <c r="B143" s="78">
        <f>+INGEI!C$7*'5ta'!$R87/1000</f>
        <v>-4.0452779485759664E-4</v>
      </c>
      <c r="C143" s="78">
        <f>+INGEI!D$7*'5ta'!$R87/1000</f>
        <v>-4.0452779485759664E-4</v>
      </c>
      <c r="D143" s="78">
        <f>+INGEI!E$7*'5ta'!$R87/1000</f>
        <v>-4.0452779485759664E-4</v>
      </c>
      <c r="E143" s="78">
        <f>+INGEI!F$7*'5ta'!$R87/1000</f>
        <v>-4.0452779485759664E-4</v>
      </c>
      <c r="F143" s="78">
        <f>+INGEI!G$7*'5ta'!$R87/1000</f>
        <v>-4.0452779485759664E-4</v>
      </c>
      <c r="G143" s="78">
        <f>+INGEI!H$7*'5ta'!$R87/1000</f>
        <v>-7.8832354022874147E-4</v>
      </c>
      <c r="H143" s="78">
        <f>+INGEI!I$7*'5ta'!$R87/1000</f>
        <v>-1.1721192855998863E-3</v>
      </c>
      <c r="I143" s="78">
        <f>+INGEI!J$7*'5ta'!$R87/1000</f>
        <v>-5.2497594577644606E-3</v>
      </c>
      <c r="J143" s="78">
        <f>+INGEI!K$7*'5ta'!$R87/1000</f>
        <v>-9.3273996299290327E-3</v>
      </c>
      <c r="K143" s="78">
        <f>+INGEI!L$7*'5ta'!$R87/1000</f>
        <v>-3.7317689075613288E-4</v>
      </c>
      <c r="L143" s="78">
        <f>+INGEI!M$7*'5ta'!$R87/1000</f>
        <v>-3.7317689075613288E-4</v>
      </c>
      <c r="M143" s="78">
        <f>+INGEI!N$7*'5ta'!$R87/1000</f>
        <v>-1.9318777686963095E-3</v>
      </c>
      <c r="N143" s="78">
        <f>+INGEI!O$7*'5ta'!$R87/1000</f>
        <v>-1.9318777686963095E-3</v>
      </c>
    </row>
    <row r="144" spans="1:15" ht="15.75" x14ac:dyDescent="0.25">
      <c r="A144" s="120" t="s">
        <v>20</v>
      </c>
      <c r="B144" s="78">
        <f>+INGEI!C$7*'5ta'!$R88/1000</f>
        <v>-3.9502891069475281E-3</v>
      </c>
      <c r="C144" s="78">
        <f>+INGEI!D$7*'5ta'!$R88/1000</f>
        <v>-3.9502891069475281E-3</v>
      </c>
      <c r="D144" s="78">
        <f>+INGEI!E$7*'5ta'!$R88/1000</f>
        <v>-3.9502891069475281E-3</v>
      </c>
      <c r="E144" s="78">
        <f>+INGEI!F$7*'5ta'!$R88/1000</f>
        <v>-3.9502891069475281E-3</v>
      </c>
      <c r="F144" s="78">
        <f>+INGEI!G$7*'5ta'!$R88/1000</f>
        <v>-3.9502891069475281E-3</v>
      </c>
      <c r="G144" s="78">
        <f>+INGEI!H$7*'5ta'!$R88/1000</f>
        <v>-7.6981258971639942E-3</v>
      </c>
      <c r="H144" s="78">
        <f>+INGEI!I$7*'5ta'!$R88/1000</f>
        <v>-1.144596268738046E-2</v>
      </c>
      <c r="I144" s="78">
        <f>+INGEI!J$7*'5ta'!$R88/1000</f>
        <v>-5.126487688541153E-2</v>
      </c>
      <c r="J144" s="78">
        <f>+INGEI!K$7*'5ta'!$R88/1000</f>
        <v>-9.1083791083442611E-2</v>
      </c>
      <c r="K144" s="78">
        <f>+INGEI!L$7*'5ta'!$R88/1000</f>
        <v>-3.6441417011590935E-3</v>
      </c>
      <c r="L144" s="78">
        <f>+INGEI!M$7*'5ta'!$R88/1000</f>
        <v>-3.6441417011590935E-3</v>
      </c>
      <c r="M144" s="78">
        <f>+INGEI!N$7*'5ta'!$R88/1000</f>
        <v>-1.8865145492219109E-2</v>
      </c>
      <c r="N144" s="78">
        <f>+INGEI!O$7*'5ta'!$R88/1000</f>
        <v>-1.8865145492219109E-2</v>
      </c>
    </row>
    <row r="145" spans="1:14" ht="31.5" x14ac:dyDescent="0.25">
      <c r="A145" s="120" t="s">
        <v>21</v>
      </c>
      <c r="B145" s="78">
        <f>+INGEI!C$7*'5ta'!$R89/1000</f>
        <v>-3.7773050819529266E-2</v>
      </c>
      <c r="C145" s="78">
        <f>+INGEI!D$7*'5ta'!$R89/1000</f>
        <v>-3.7773050819529266E-2</v>
      </c>
      <c r="D145" s="78">
        <f>+INGEI!E$7*'5ta'!$R89/1000</f>
        <v>-3.7773050819529266E-2</v>
      </c>
      <c r="E145" s="78">
        <f>+INGEI!F$7*'5ta'!$R89/1000</f>
        <v>-3.7773050819529266E-2</v>
      </c>
      <c r="F145" s="78">
        <f>+INGEI!G$7*'5ta'!$R89/1000</f>
        <v>-3.7773050819529266E-2</v>
      </c>
      <c r="G145" s="78">
        <f>+INGEI!H$7*'5ta'!$R89/1000</f>
        <v>-7.3610232784557653E-2</v>
      </c>
      <c r="H145" s="78">
        <f>+INGEI!I$7*'5ta'!$R89/1000</f>
        <v>-0.10944741474958603</v>
      </c>
      <c r="I145" s="78">
        <f>+INGEI!J$7*'5ta'!$R89/1000</f>
        <v>-0.49019976701044093</v>
      </c>
      <c r="J145" s="78">
        <f>+INGEI!K$7*'5ta'!$R89/1000</f>
        <v>-0.87095211927129579</v>
      </c>
      <c r="K145" s="78">
        <f>+INGEI!L$7*'5ta'!$R89/1000</f>
        <v>-3.4845639381015737E-2</v>
      </c>
      <c r="L145" s="78">
        <f>+INGEI!M$7*'5ta'!$R89/1000</f>
        <v>-3.4845639381015737E-2</v>
      </c>
      <c r="M145" s="78">
        <f>+INGEI!N$7*'5ta'!$R89/1000</f>
        <v>-0.18039036640182582</v>
      </c>
      <c r="N145" s="78">
        <f>+INGEI!O$7*'5ta'!$R89/1000</f>
        <v>-0.18039036640182582</v>
      </c>
    </row>
    <row r="146" spans="1:14" ht="31.5" x14ac:dyDescent="0.25">
      <c r="A146" s="120" t="s">
        <v>22</v>
      </c>
      <c r="B146" s="78">
        <f>+INGEI!C$7*'5ta'!$R90/1000</f>
        <v>-1.5354501568480089E-2</v>
      </c>
      <c r="C146" s="78">
        <f>+INGEI!D$7*'5ta'!$R90/1000</f>
        <v>-1.5354501568480089E-2</v>
      </c>
      <c r="D146" s="78">
        <f>+INGEI!E$7*'5ta'!$R90/1000</f>
        <v>-1.5354501568480089E-2</v>
      </c>
      <c r="E146" s="78">
        <f>+INGEI!F$7*'5ta'!$R90/1000</f>
        <v>-1.5354501568480089E-2</v>
      </c>
      <c r="F146" s="78">
        <f>+INGEI!G$7*'5ta'!$R90/1000</f>
        <v>-1.5354501568480089E-2</v>
      </c>
      <c r="G146" s="78">
        <f>+INGEI!H$7*'5ta'!$R90/1000</f>
        <v>-2.9922084931575572E-2</v>
      </c>
      <c r="H146" s="78">
        <f>+INGEI!I$7*'5ta'!$R90/1000</f>
        <v>-4.4489668294671054E-2</v>
      </c>
      <c r="I146" s="78">
        <f>+INGEI!J$7*'5ta'!$R90/1000</f>
        <v>-0.19926304410495033</v>
      </c>
      <c r="J146" s="78">
        <f>+INGEI!K$7*'5ta'!$R90/1000</f>
        <v>-0.35403641991522961</v>
      </c>
      <c r="K146" s="78">
        <f>+INGEI!L$7*'5ta'!$R90/1000</f>
        <v>-1.4164527696922878E-2</v>
      </c>
      <c r="L146" s="78">
        <f>+INGEI!M$7*'5ta'!$R90/1000</f>
        <v>-1.4164527696922878E-2</v>
      </c>
      <c r="M146" s="78">
        <f>+INGEI!N$7*'5ta'!$R90/1000</f>
        <v>-7.3327520646637834E-2</v>
      </c>
      <c r="N146" s="78">
        <f>+INGEI!O$7*'5ta'!$R90/1000</f>
        <v>-7.3327520646637834E-2</v>
      </c>
    </row>
    <row r="147" spans="1:14" ht="31.5" x14ac:dyDescent="0.25">
      <c r="A147" s="120" t="s">
        <v>23</v>
      </c>
      <c r="B147" s="78">
        <f>+INGEI!C$7*'5ta'!$R91/1000</f>
        <v>-1.057424763798266E-2</v>
      </c>
      <c r="C147" s="78">
        <f>+INGEI!D$7*'5ta'!$R91/1000</f>
        <v>-1.057424763798266E-2</v>
      </c>
      <c r="D147" s="78">
        <f>+INGEI!E$7*'5ta'!$R91/1000</f>
        <v>-1.057424763798266E-2</v>
      </c>
      <c r="E147" s="78">
        <f>+INGEI!F$7*'5ta'!$R91/1000</f>
        <v>-1.057424763798266E-2</v>
      </c>
      <c r="F147" s="78">
        <f>+INGEI!G$7*'5ta'!$R91/1000</f>
        <v>-1.057424763798266E-2</v>
      </c>
      <c r="G147" s="78">
        <f>+INGEI!H$7*'5ta'!$R91/1000</f>
        <v>-2.0606565084518705E-2</v>
      </c>
      <c r="H147" s="78">
        <f>+INGEI!I$7*'5ta'!$R91/1000</f>
        <v>-3.0638882531054755E-2</v>
      </c>
      <c r="I147" s="78">
        <f>+INGEI!J$7*'5ta'!$R91/1000</f>
        <v>-0.13722729872191994</v>
      </c>
      <c r="J147" s="78">
        <f>+INGEI!K$7*'5ta'!$R91/1000</f>
        <v>-0.24381571491278511</v>
      </c>
      <c r="K147" s="78">
        <f>+INGEI!L$7*'5ta'!$R91/1000</f>
        <v>-9.7547434460390006E-3</v>
      </c>
      <c r="L147" s="78">
        <f>+INGEI!M$7*'5ta'!$R91/1000</f>
        <v>-9.7547434460390006E-3</v>
      </c>
      <c r="M147" s="78">
        <f>+INGEI!N$7*'5ta'!$R91/1000</f>
        <v>-5.049876471331062E-2</v>
      </c>
      <c r="N147" s="78">
        <f>+INGEI!O$7*'5ta'!$R91/1000</f>
        <v>-5.049876471331062E-2</v>
      </c>
    </row>
    <row r="148" spans="1:14" ht="31.5" x14ac:dyDescent="0.25">
      <c r="A148" s="120" t="s">
        <v>24</v>
      </c>
      <c r="B148" s="78">
        <f>+INGEI!C$7*'5ta'!$R92/1000</f>
        <v>-7.7377026991285847E-2</v>
      </c>
      <c r="C148" s="78">
        <f>+INGEI!D$7*'5ta'!$R92/1000</f>
        <v>-7.7377026991285847E-2</v>
      </c>
      <c r="D148" s="78">
        <f>+INGEI!E$7*'5ta'!$R92/1000</f>
        <v>-7.7377026991285847E-2</v>
      </c>
      <c r="E148" s="78">
        <f>+INGEI!F$7*'5ta'!$R92/1000</f>
        <v>-7.7377026991285847E-2</v>
      </c>
      <c r="F148" s="78">
        <f>+INGEI!G$7*'5ta'!$R92/1000</f>
        <v>-7.7377026991285847E-2</v>
      </c>
      <c r="G148" s="78">
        <f>+INGEI!H$7*'5ta'!$R92/1000</f>
        <v>-0.15078848134926826</v>
      </c>
      <c r="H148" s="78">
        <f>+INGEI!I$7*'5ta'!$R92/1000</f>
        <v>-0.22419993570725069</v>
      </c>
      <c r="I148" s="78">
        <f>+INGEI!J$7*'5ta'!$R92/1000</f>
        <v>-1.0041603677794118</v>
      </c>
      <c r="J148" s="78">
        <f>+INGEI!K$7*'5ta'!$R92/1000</f>
        <v>-1.7841207998515729</v>
      </c>
      <c r="K148" s="78">
        <f>+INGEI!L$7*'5ta'!$R92/1000</f>
        <v>-7.1380307399461176E-2</v>
      </c>
      <c r="L148" s="78">
        <f>+INGEI!M$7*'5ta'!$R92/1000</f>
        <v>-7.1380307399461176E-2</v>
      </c>
      <c r="M148" s="78">
        <f>+INGEI!N$7*'5ta'!$R92/1000</f>
        <v>-0.36952456704464748</v>
      </c>
      <c r="N148" s="78">
        <f>+INGEI!O$7*'5ta'!$R92/1000</f>
        <v>-0.36952456704464748</v>
      </c>
    </row>
    <row r="149" spans="1:14" ht="31.5" x14ac:dyDescent="0.25">
      <c r="A149" s="120" t="s">
        <v>25</v>
      </c>
      <c r="B149" s="78">
        <f>+INGEI!C$7*'5ta'!$R93/1000</f>
        <v>-8.5727694923588421E-3</v>
      </c>
      <c r="C149" s="78">
        <f>+INGEI!D$7*'5ta'!$R93/1000</f>
        <v>-8.5727694923588421E-3</v>
      </c>
      <c r="D149" s="78">
        <f>+INGEI!E$7*'5ta'!$R93/1000</f>
        <v>-8.5727694923588421E-3</v>
      </c>
      <c r="E149" s="78">
        <f>+INGEI!F$7*'5ta'!$R93/1000</f>
        <v>-8.5727694923588421E-3</v>
      </c>
      <c r="F149" s="78">
        <f>+INGEI!G$7*'5ta'!$R93/1000</f>
        <v>-8.5727694923588421E-3</v>
      </c>
      <c r="G149" s="78">
        <f>+INGEI!H$7*'5ta'!$R93/1000</f>
        <v>-1.6706184548234294E-2</v>
      </c>
      <c r="H149" s="78">
        <f>+INGEI!I$7*'5ta'!$R93/1000</f>
        <v>-2.4839599604109745E-2</v>
      </c>
      <c r="I149" s="78">
        <f>+INGEI!J$7*'5ta'!$R93/1000</f>
        <v>-0.11125311608708686</v>
      </c>
      <c r="J149" s="78">
        <f>+INGEI!K$7*'5ta'!$R93/1000</f>
        <v>-0.197666632570064</v>
      </c>
      <c r="K149" s="78">
        <f>+INGEI!L$7*'5ta'!$R93/1000</f>
        <v>-7.9083798567010314E-3</v>
      </c>
      <c r="L149" s="78">
        <f>+INGEI!M$7*'5ta'!$R93/1000</f>
        <v>-7.9083798567010314E-3</v>
      </c>
      <c r="M149" s="78">
        <f>+INGEI!N$7*'5ta'!$R93/1000</f>
        <v>-4.0940432299036579E-2</v>
      </c>
      <c r="N149" s="78">
        <f>+INGEI!O$7*'5ta'!$R93/1000</f>
        <v>-4.0940432299036579E-2</v>
      </c>
    </row>
    <row r="150" spans="1:14" ht="15.75" x14ac:dyDescent="0.25">
      <c r="A150" s="120" t="s">
        <v>26</v>
      </c>
      <c r="B150" s="78">
        <f>+INGEI!C$7*'5ta'!$R94/1000</f>
        <v>-2.1290655527337866E-3</v>
      </c>
      <c r="C150" s="78">
        <f>+INGEI!D$7*'5ta'!$R94/1000</f>
        <v>-2.1290655527337866E-3</v>
      </c>
      <c r="D150" s="78">
        <f>+INGEI!E$7*'5ta'!$R94/1000</f>
        <v>-2.1290655527337866E-3</v>
      </c>
      <c r="E150" s="78">
        <f>+INGEI!F$7*'5ta'!$R94/1000</f>
        <v>-2.1290655527337866E-3</v>
      </c>
      <c r="F150" s="78">
        <f>+INGEI!G$7*'5ta'!$R94/1000</f>
        <v>-2.1290655527337866E-3</v>
      </c>
      <c r="G150" s="78">
        <f>+INGEI!H$7*'5ta'!$R94/1000</f>
        <v>-4.1490164958899664E-3</v>
      </c>
      <c r="H150" s="78">
        <f>+INGEI!I$7*'5ta'!$R94/1000</f>
        <v>-6.1689674390461458E-3</v>
      </c>
      <c r="I150" s="78">
        <f>+INGEI!J$7*'5ta'!$R94/1000</f>
        <v>-2.762994821060271E-2</v>
      </c>
      <c r="J150" s="78">
        <f>+INGEI!K$7*'5ta'!$R94/1000</f>
        <v>-4.909092898215927E-2</v>
      </c>
      <c r="K150" s="78">
        <f>+INGEI!L$7*'5ta'!$R94/1000</f>
        <v>-1.9640629723969177E-3</v>
      </c>
      <c r="L150" s="78">
        <f>+INGEI!M$7*'5ta'!$R94/1000</f>
        <v>-1.9640629723969177E-3</v>
      </c>
      <c r="M150" s="78">
        <f>+INGEI!N$7*'5ta'!$R94/1000</f>
        <v>-1.0167643513522794E-2</v>
      </c>
      <c r="N150" s="78">
        <f>+INGEI!O$7*'5ta'!$R94/1000</f>
        <v>-1.0167643513522794E-2</v>
      </c>
    </row>
    <row r="151" spans="1:14" ht="15.75" x14ac:dyDescent="0.25">
      <c r="A151" s="120" t="s">
        <v>27</v>
      </c>
      <c r="B151" s="78">
        <f>+INGEI!C$7*'5ta'!$R95/1000</f>
        <v>-8.9033877024910536E-3</v>
      </c>
      <c r="C151" s="78">
        <f>+INGEI!D$7*'5ta'!$R95/1000</f>
        <v>-8.9033877024910536E-3</v>
      </c>
      <c r="D151" s="78">
        <f>+INGEI!E$7*'5ta'!$R95/1000</f>
        <v>-8.9033877024910536E-3</v>
      </c>
      <c r="E151" s="78">
        <f>+INGEI!F$7*'5ta'!$R95/1000</f>
        <v>-8.9033877024910536E-3</v>
      </c>
      <c r="F151" s="78">
        <f>+INGEI!G$7*'5ta'!$R95/1000</f>
        <v>-8.9033877024910536E-3</v>
      </c>
      <c r="G151" s="78">
        <f>+INGEI!H$7*'5ta'!$R95/1000</f>
        <v>-1.7350476785229444E-2</v>
      </c>
      <c r="H151" s="78">
        <f>+INGEI!I$7*'5ta'!$R95/1000</f>
        <v>-2.5797565867967831E-2</v>
      </c>
      <c r="I151" s="78">
        <f>+INGEI!J$7*'5ta'!$R95/1000</f>
        <v>-0.11554371390907764</v>
      </c>
      <c r="J151" s="78">
        <f>+INGEI!K$7*'5ta'!$R95/1000</f>
        <v>-0.20528986195018745</v>
      </c>
      <c r="K151" s="78">
        <f>+INGEI!L$7*'5ta'!$R95/1000</f>
        <v>-8.2133751555479965E-3</v>
      </c>
      <c r="L151" s="78">
        <f>+INGEI!M$7*'5ta'!$R95/1000</f>
        <v>-8.2133751555479965E-3</v>
      </c>
      <c r="M151" s="78">
        <f>+INGEI!N$7*'5ta'!$R95/1000</f>
        <v>-4.2519344745103306E-2</v>
      </c>
      <c r="N151" s="78">
        <f>+INGEI!O$7*'5ta'!$R95/1000</f>
        <v>-4.2519344745103306E-2</v>
      </c>
    </row>
    <row r="152" spans="1:14" ht="15.75" x14ac:dyDescent="0.25">
      <c r="A152" s="121" t="s">
        <v>14</v>
      </c>
      <c r="B152" s="122">
        <f t="shared" ref="B152:N152" si="36">+SUM(B143:B151)</f>
        <v>-0.16503886666666667</v>
      </c>
      <c r="C152" s="122">
        <f t="shared" si="36"/>
        <v>-0.16503886666666667</v>
      </c>
      <c r="D152" s="122">
        <f t="shared" si="36"/>
        <v>-0.16503886666666667</v>
      </c>
      <c r="E152" s="122">
        <f t="shared" si="36"/>
        <v>-0.16503886666666667</v>
      </c>
      <c r="F152" s="122">
        <f t="shared" si="36"/>
        <v>-0.16503886666666667</v>
      </c>
      <c r="G152" s="122">
        <f t="shared" si="36"/>
        <v>-0.32161949141666663</v>
      </c>
      <c r="H152" s="122">
        <f t="shared" si="36"/>
        <v>-0.47820011616666663</v>
      </c>
      <c r="I152" s="122">
        <f t="shared" si="36"/>
        <v>-2.1417918921666663</v>
      </c>
      <c r="J152" s="122">
        <f t="shared" si="36"/>
        <v>-3.8053836681666651</v>
      </c>
      <c r="K152" s="122">
        <f t="shared" si="36"/>
        <v>-0.15224835449999999</v>
      </c>
      <c r="L152" s="122">
        <f t="shared" si="36"/>
        <v>-0.15224835449999999</v>
      </c>
      <c r="M152" s="122">
        <f t="shared" si="36"/>
        <v>-0.78816566262499987</v>
      </c>
      <c r="N152" s="122">
        <f t="shared" si="36"/>
        <v>-0.78816566262499987</v>
      </c>
    </row>
    <row r="153" spans="1:14" ht="15.75" x14ac:dyDescent="0.25">
      <c r="A153" s="121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</row>
    <row r="154" spans="1:14" ht="15.75" x14ac:dyDescent="0.25">
      <c r="A154" s="119" t="s">
        <v>118</v>
      </c>
      <c r="B154" s="1">
        <v>2010</v>
      </c>
      <c r="C154" s="1">
        <v>2011</v>
      </c>
      <c r="D154" s="1">
        <v>2012</v>
      </c>
      <c r="E154" s="1">
        <v>2013</v>
      </c>
      <c r="F154" s="1">
        <v>2014</v>
      </c>
      <c r="G154" s="1">
        <v>2015</v>
      </c>
      <c r="H154" s="1">
        <v>2016</v>
      </c>
      <c r="I154" s="1">
        <v>2017</v>
      </c>
      <c r="J154" s="1">
        <v>2018</v>
      </c>
      <c r="K154" s="1">
        <v>2019</v>
      </c>
      <c r="L154" s="1">
        <v>2020</v>
      </c>
      <c r="M154" s="1">
        <v>2021</v>
      </c>
      <c r="N154" s="1">
        <v>2022</v>
      </c>
    </row>
    <row r="155" spans="1:14" ht="15.75" x14ac:dyDescent="0.25">
      <c r="A155" s="120" t="s">
        <v>18</v>
      </c>
      <c r="B155" s="126">
        <f>'Cambio uso de suelo (BAU)'!D140/1000</f>
        <v>1.9608849868055969E-8</v>
      </c>
      <c r="C155" s="126">
        <f>'Cambio uso de suelo (BAU)'!E140/1000</f>
        <v>1.9608849868055969E-8</v>
      </c>
      <c r="D155" s="126">
        <f>'Cambio uso de suelo (BAU)'!F140/1000</f>
        <v>1.9608849868055969E-8</v>
      </c>
      <c r="E155" s="126">
        <f>'Cambio uso de suelo (BAU)'!G140/1000</f>
        <v>1.9608849868055969E-8</v>
      </c>
      <c r="F155" s="126">
        <f>'Cambio uso de suelo (BAU)'!H140/1000</f>
        <v>1.9608849868055969E-8</v>
      </c>
      <c r="G155" s="126">
        <f>'Cambio uso de suelo (BAU)'!I140/1000</f>
        <v>3.8212746180374069E-8</v>
      </c>
      <c r="H155" s="126">
        <f>'Cambio uso de suelo (BAU)'!J140/1000</f>
        <v>5.6816642492692169E-8</v>
      </c>
      <c r="I155" s="126">
        <f>'Cambio uso de suelo (BAU)'!K140/1000</f>
        <v>2.5447384916269636E-7</v>
      </c>
      <c r="J155" s="126">
        <f>'Cambio uso de suelo (BAU)'!L140/1000</f>
        <v>4.5213105583270054E-7</v>
      </c>
      <c r="K155" s="126">
        <f>'Cambio uso de suelo (BAU)'!M140/1000</f>
        <v>1.8089164003281631E-8</v>
      </c>
      <c r="L155" s="126">
        <f>'Cambio uso de suelo (BAU)'!N140/1000</f>
        <v>1.8089164003281631E-8</v>
      </c>
      <c r="M155" s="126">
        <f>'Cambio uso de suelo (BAU)'!O140/1000</f>
        <v>9.3644513651134776E-8</v>
      </c>
      <c r="N155" s="126">
        <f>'Cambio uso de suelo (BAU)'!P140/1000</f>
        <v>9.3644513651134776E-8</v>
      </c>
    </row>
    <row r="156" spans="1:14" ht="15.75" x14ac:dyDescent="0.25">
      <c r="A156" s="120" t="s">
        <v>20</v>
      </c>
      <c r="B156" s="126">
        <f>'Cambio uso de suelo (BAU)'!D141/1000</f>
        <v>1.9148406368669656E-7</v>
      </c>
      <c r="C156" s="126">
        <f>'Cambio uso de suelo (BAU)'!E141/1000</f>
        <v>1.9148406368669656E-7</v>
      </c>
      <c r="D156" s="126">
        <f>'Cambio uso de suelo (BAU)'!F141/1000</f>
        <v>1.9148406368669656E-7</v>
      </c>
      <c r="E156" s="126">
        <f>'Cambio uso de suelo (BAU)'!G141/1000</f>
        <v>1.9148406368669656E-7</v>
      </c>
      <c r="F156" s="126">
        <f>'Cambio uso de suelo (BAU)'!H141/1000</f>
        <v>1.9148406368669656E-7</v>
      </c>
      <c r="G156" s="126">
        <f>'Cambio uso de suelo (BAU)'!I141/1000</f>
        <v>3.7315456910944987E-7</v>
      </c>
      <c r="H156" s="126">
        <f>'Cambio uso de suelo (BAU)'!J141/1000</f>
        <v>5.5482507453220327E-7</v>
      </c>
      <c r="I156" s="126">
        <f>'Cambio uso de suelo (BAU)'!K141/1000</f>
        <v>2.4849844364941046E-6</v>
      </c>
      <c r="J156" s="126">
        <f>'Cambio uso de suelo (BAU)'!L141/1000</f>
        <v>4.4151437984560063E-6</v>
      </c>
      <c r="K156" s="126">
        <f>'Cambio uso de suelo (BAU)'!M141/1000</f>
        <v>1.7664404875097758E-7</v>
      </c>
      <c r="L156" s="126">
        <f>'Cambio uso de suelo (BAU)'!N141/1000</f>
        <v>1.7664404875097758E-7</v>
      </c>
      <c r="M156" s="126">
        <f>'Cambio uso de suelo (BAU)'!O141/1000</f>
        <v>9.1445608164378011E-7</v>
      </c>
      <c r="N156" s="126">
        <f>'Cambio uso de suelo (BAU)'!P141/1000</f>
        <v>9.1445608164378011E-7</v>
      </c>
    </row>
    <row r="157" spans="1:14" ht="31.5" x14ac:dyDescent="0.25">
      <c r="A157" s="120" t="s">
        <v>21</v>
      </c>
      <c r="B157" s="126">
        <f>'Cambio uso de suelo (BAU)'!D142/1000</f>
        <v>1.8309893460827253E-6</v>
      </c>
      <c r="C157" s="126">
        <f>'Cambio uso de suelo (BAU)'!E142/1000</f>
        <v>1.8309893460827253E-6</v>
      </c>
      <c r="D157" s="126">
        <f>'Cambio uso de suelo (BAU)'!F142/1000</f>
        <v>1.8309893460827253E-6</v>
      </c>
      <c r="E157" s="126">
        <f>'Cambio uso de suelo (BAU)'!G142/1000</f>
        <v>1.8309893460827253E-6</v>
      </c>
      <c r="F157" s="126">
        <f>'Cambio uso de suelo (BAU)'!H142/1000</f>
        <v>1.8309893460827253E-6</v>
      </c>
      <c r="G157" s="126">
        <f>'Cambio uso de suelo (BAU)'!I142/1000</f>
        <v>3.5681404881787109E-6</v>
      </c>
      <c r="H157" s="126">
        <f>'Cambio uso de suelo (BAU)'!J142/1000</f>
        <v>5.3052916302746972E-6</v>
      </c>
      <c r="I157" s="126">
        <f>'Cambio uso de suelo (BAU)'!K142/1000</f>
        <v>2.3761664238788571E-5</v>
      </c>
      <c r="J157" s="126">
        <f>'Cambio uso de suelo (BAU)'!L142/1000</f>
        <v>4.2218036847302446E-5</v>
      </c>
      <c r="K157" s="126">
        <f>'Cambio uso de suelo (BAU)'!M142/1000</f>
        <v>1.689087671761314E-6</v>
      </c>
      <c r="L157" s="126">
        <f>'Cambio uso de suelo (BAU)'!N142/1000</f>
        <v>1.689087671761314E-6</v>
      </c>
      <c r="M157" s="126">
        <f>'Cambio uso de suelo (BAU)'!O142/1000</f>
        <v>8.7441184958863155E-6</v>
      </c>
      <c r="N157" s="126">
        <f>'Cambio uso de suelo (BAU)'!P142/1000</f>
        <v>8.7441184958863155E-6</v>
      </c>
    </row>
    <row r="158" spans="1:14" ht="31.5" x14ac:dyDescent="0.25">
      <c r="A158" s="120" t="s">
        <v>22</v>
      </c>
      <c r="B158" s="126">
        <f>'Cambio uso de suelo (BAU)'!D143/1000</f>
        <v>7.4428536155629223E-7</v>
      </c>
      <c r="C158" s="126">
        <f>'Cambio uso de suelo (BAU)'!E143/1000</f>
        <v>7.4428536155629223E-7</v>
      </c>
      <c r="D158" s="126">
        <f>'Cambio uso de suelo (BAU)'!F143/1000</f>
        <v>7.4428536155629223E-7</v>
      </c>
      <c r="E158" s="126">
        <f>'Cambio uso de suelo (BAU)'!G143/1000</f>
        <v>7.4428536155629223E-7</v>
      </c>
      <c r="F158" s="126">
        <f>'Cambio uso de suelo (BAU)'!H143/1000</f>
        <v>7.4428536155629223E-7</v>
      </c>
      <c r="G158" s="126">
        <f>'Cambio uso de suelo (BAU)'!I143/1000</f>
        <v>1.4504260983328246E-6</v>
      </c>
      <c r="H158" s="126">
        <f>'Cambio uso de suelo (BAU)'!J143/1000</f>
        <v>2.1565668351093565E-6</v>
      </c>
      <c r="I158" s="126">
        <f>'Cambio uso de suelo (BAU)'!K143/1000</f>
        <v>9.6589632795967826E-6</v>
      </c>
      <c r="J158" s="126">
        <f>'Cambio uso de suelo (BAU)'!L143/1000</f>
        <v>1.7161359724084207E-5</v>
      </c>
      <c r="K158" s="126">
        <f>'Cambio uso de suelo (BAU)'!M143/1000</f>
        <v>6.8660324603567961E-7</v>
      </c>
      <c r="L158" s="126">
        <f>'Cambio uso de suelo (BAU)'!N143/1000</f>
        <v>6.8660324603567961E-7</v>
      </c>
      <c r="M158" s="126">
        <f>'Cambio uso de suelo (BAU)'!O143/1000</f>
        <v>3.5544277797822674E-6</v>
      </c>
      <c r="N158" s="126">
        <f>'Cambio uso de suelo (BAU)'!P143/1000</f>
        <v>3.5544277797822674E-6</v>
      </c>
    </row>
    <row r="159" spans="1:14" ht="31.5" x14ac:dyDescent="0.25">
      <c r="A159" s="120" t="s">
        <v>23</v>
      </c>
      <c r="B159" s="126">
        <f>'Cambio uso de suelo (BAU)'!D144/1000</f>
        <v>5.1257005584459061E-7</v>
      </c>
      <c r="C159" s="126">
        <f>'Cambio uso de suelo (BAU)'!E144/1000</f>
        <v>5.1257005584459061E-7</v>
      </c>
      <c r="D159" s="126">
        <f>'Cambio uso de suelo (BAU)'!F144/1000</f>
        <v>5.1257005584459061E-7</v>
      </c>
      <c r="E159" s="126">
        <f>'Cambio uso de suelo (BAU)'!G144/1000</f>
        <v>5.1257005584459061E-7</v>
      </c>
      <c r="F159" s="126">
        <f>'Cambio uso de suelo (BAU)'!H144/1000</f>
        <v>5.1257005584459061E-7</v>
      </c>
      <c r="G159" s="126">
        <f>'Cambio uso de suelo (BAU)'!I144/1000</f>
        <v>9.988708963271459E-7</v>
      </c>
      <c r="H159" s="126">
        <f>'Cambio uso de suelo (BAU)'!J144/1000</f>
        <v>1.4851717368097014E-6</v>
      </c>
      <c r="I159" s="126">
        <f>'Cambio uso de suelo (BAU)'!K144/1000</f>
        <v>6.6518778997231749E-6</v>
      </c>
      <c r="J159" s="126">
        <f>'Cambio uso de suelo (BAU)'!L144/1000</f>
        <v>1.1818584062636648E-5</v>
      </c>
      <c r="K159" s="126">
        <f>'Cambio uso de suelo (BAU)'!M144/1000</f>
        <v>4.728458765166348E-7</v>
      </c>
      <c r="L159" s="126">
        <f>'Cambio uso de suelo (BAU)'!N144/1000</f>
        <v>4.728458765166348E-7</v>
      </c>
      <c r="M159" s="126">
        <f>'Cambio uso de suelo (BAU)'!O144/1000</f>
        <v>2.4478423729428227E-6</v>
      </c>
      <c r="N159" s="126">
        <f>'Cambio uso de suelo (BAU)'!P144/1000</f>
        <v>2.4478423729428227E-6</v>
      </c>
    </row>
    <row r="160" spans="1:14" ht="31.5" x14ac:dyDescent="0.25">
      <c r="A160" s="120" t="s">
        <v>24</v>
      </c>
      <c r="B160" s="126">
        <f>'Cambio uso de suelo (BAU)'!D145/1000</f>
        <v>3.750729924609395E-6</v>
      </c>
      <c r="C160" s="126">
        <f>'Cambio uso de suelo (BAU)'!E145/1000</f>
        <v>3.750729924609395E-6</v>
      </c>
      <c r="D160" s="126">
        <f>'Cambio uso de suelo (BAU)'!F145/1000</f>
        <v>3.750729924609395E-6</v>
      </c>
      <c r="E160" s="126">
        <f>'Cambio uso de suelo (BAU)'!G145/1000</f>
        <v>3.750729924609395E-6</v>
      </c>
      <c r="F160" s="126">
        <f>'Cambio uso de suelo (BAU)'!H145/1000</f>
        <v>3.750729924609395E-6</v>
      </c>
      <c r="G160" s="126">
        <f>'Cambio uso de suelo (BAU)'!I145/1000</f>
        <v>7.3092349405825583E-6</v>
      </c>
      <c r="H160" s="126">
        <f>'Cambio uso de suelo (BAU)'!J145/1000</f>
        <v>1.0867739956555721E-5</v>
      </c>
      <c r="I160" s="126">
        <f>'Cambio uso de suelo (BAU)'!K145/1000</f>
        <v>4.8675097596618427E-5</v>
      </c>
      <c r="J160" s="126">
        <f>'Cambio uso de suelo (BAU)'!L145/1000</f>
        <v>8.6482455236681132E-5</v>
      </c>
      <c r="K160" s="126">
        <f>'Cambio uso de suelo (BAU)'!M145/1000</f>
        <v>3.4600483554521666E-6</v>
      </c>
      <c r="L160" s="126">
        <f>'Cambio uso de suelo (BAU)'!N145/1000</f>
        <v>3.4600483554521666E-6</v>
      </c>
      <c r="M160" s="126">
        <f>'Cambio uso de suelo (BAU)'!O145/1000</f>
        <v>1.7912079596212743E-5</v>
      </c>
      <c r="N160" s="126">
        <f>'Cambio uso de suelo (BAU)'!P145/1000</f>
        <v>1.7912079596212743E-5</v>
      </c>
    </row>
    <row r="161" spans="1:15" ht="31.5" x14ac:dyDescent="0.25">
      <c r="A161" s="120" t="s">
        <v>25</v>
      </c>
      <c r="B161" s="126">
        <f>'Cambio uso de suelo (BAU)'!D146/1000</f>
        <v>4.1555154445763329E-7</v>
      </c>
      <c r="C161" s="126">
        <f>'Cambio uso de suelo (BAU)'!E146/1000</f>
        <v>4.1555154445763329E-7</v>
      </c>
      <c r="D161" s="126">
        <f>'Cambio uso de suelo (BAU)'!F146/1000</f>
        <v>4.1555154445763329E-7</v>
      </c>
      <c r="E161" s="126">
        <f>'Cambio uso de suelo (BAU)'!G146/1000</f>
        <v>4.1555154445763329E-7</v>
      </c>
      <c r="F161" s="126">
        <f>'Cambio uso de suelo (BAU)'!H146/1000</f>
        <v>4.1555154445763329E-7</v>
      </c>
      <c r="G161" s="126">
        <f>'Cambio uso de suelo (BAU)'!I146/1000</f>
        <v>8.0980607226181276E-7</v>
      </c>
      <c r="H161" s="126">
        <f>'Cambio uso de suelo (BAU)'!J146/1000</f>
        <v>1.2040606000659924E-6</v>
      </c>
      <c r="I161" s="126">
        <f>'Cambio uso de suelo (BAU)'!K146/1000</f>
        <v>5.3928201681989364E-6</v>
      </c>
      <c r="J161" s="126">
        <f>'Cambio uso de suelo (BAU)'!L146/1000</f>
        <v>9.5815797363318794E-6</v>
      </c>
      <c r="K161" s="126">
        <f>'Cambio uso de suelo (BAU)'!M146/1000</f>
        <v>3.8334629976216667E-7</v>
      </c>
      <c r="L161" s="126">
        <f>'Cambio uso de suelo (BAU)'!N146/1000</f>
        <v>3.8334629976216667E-7</v>
      </c>
      <c r="M161" s="126">
        <f>'Cambio uso de suelo (BAU)'!O146/1000</f>
        <v>1.9845183445004849E-6</v>
      </c>
      <c r="N161" s="126">
        <f>'Cambio uso de suelo (BAU)'!P146/1000</f>
        <v>1.9845183445004849E-6</v>
      </c>
    </row>
    <row r="162" spans="1:15" ht="15.75" x14ac:dyDescent="0.25">
      <c r="A162" s="120" t="s">
        <v>26</v>
      </c>
      <c r="B162" s="126">
        <f>'Cambio uso de suelo (BAU)'!D147/1000</f>
        <v>1.032031106725383E-7</v>
      </c>
      <c r="C162" s="126">
        <f>'Cambio uso de suelo (BAU)'!E147/1000</f>
        <v>1.032031106725383E-7</v>
      </c>
      <c r="D162" s="126">
        <f>'Cambio uso de suelo (BAU)'!F147/1000</f>
        <v>1.032031106725383E-7</v>
      </c>
      <c r="E162" s="126">
        <f>'Cambio uso de suelo (BAU)'!G147/1000</f>
        <v>1.032031106725383E-7</v>
      </c>
      <c r="F162" s="126">
        <f>'Cambio uso de suelo (BAU)'!H147/1000</f>
        <v>1.032031106725383E-7</v>
      </c>
      <c r="G162" s="126">
        <f>'Cambio uso de suelo (BAU)'!I147/1000</f>
        <v>2.0111706192310897E-7</v>
      </c>
      <c r="H162" s="126">
        <f>'Cambio uso de suelo (BAU)'!J147/1000</f>
        <v>2.9903101317367973E-7</v>
      </c>
      <c r="I162" s="126">
        <f>'Cambio uso de suelo (BAU)'!K147/1000</f>
        <v>1.3393183687528659E-6</v>
      </c>
      <c r="J162" s="126">
        <f>'Cambio uso de suelo (BAU)'!L147/1000</f>
        <v>2.3796057243320518E-6</v>
      </c>
      <c r="K162" s="126">
        <f>'Cambio uso de suelo (BAU)'!M147/1000</f>
        <v>9.5204869595416582E-8</v>
      </c>
      <c r="L162" s="126">
        <f>'Cambio uso de suelo (BAU)'!N147/1000</f>
        <v>9.5204869595416582E-8</v>
      </c>
      <c r="M162" s="126">
        <f>'Cambio uso de suelo (BAU)'!O147/1000</f>
        <v>4.9285935540554066E-7</v>
      </c>
      <c r="N162" s="126">
        <f>'Cambio uso de suelo (BAU)'!P147/1000</f>
        <v>4.9285935540554066E-7</v>
      </c>
    </row>
    <row r="163" spans="1:15" ht="15.75" x14ac:dyDescent="0.25">
      <c r="A163" s="120" t="s">
        <v>27</v>
      </c>
      <c r="B163" s="126">
        <f>'Cambio uso de suelo (BAU)'!D148/1000</f>
        <v>4.3157774322207194E-7</v>
      </c>
      <c r="C163" s="126">
        <f>'Cambio uso de suelo (BAU)'!E148/1000</f>
        <v>4.3157774322207194E-7</v>
      </c>
      <c r="D163" s="126">
        <f>'Cambio uso de suelo (BAU)'!F148/1000</f>
        <v>4.3157774322207194E-7</v>
      </c>
      <c r="E163" s="126">
        <f>'Cambio uso de suelo (BAU)'!G148/1000</f>
        <v>4.3157774322207194E-7</v>
      </c>
      <c r="F163" s="126">
        <f>'Cambio uso de suelo (BAU)'!H148/1000</f>
        <v>4.3157774322207194E-7</v>
      </c>
      <c r="G163" s="126">
        <f>'Cambio uso de suelo (BAU)'!I148/1000</f>
        <v>8.4103712710401265E-7</v>
      </c>
      <c r="H163" s="126">
        <f>'Cambio uso de suelo (BAU)'!J148/1000</f>
        <v>1.2504965109859535E-6</v>
      </c>
      <c r="I163" s="126">
        <f>'Cambio uso de suelo (BAU)'!K148/1000</f>
        <v>5.6008001626644391E-6</v>
      </c>
      <c r="J163" s="126">
        <f>'Cambio uso de suelo (BAU)'!L148/1000</f>
        <v>9.9511038143429238E-6</v>
      </c>
      <c r="K163" s="126">
        <f>'Cambio uso de suelo (BAU)'!M148/1000</f>
        <v>3.9813046812236136E-7</v>
      </c>
      <c r="L163" s="126">
        <f>'Cambio uso de suelo (BAU)'!N148/1000</f>
        <v>3.9813046812236136E-7</v>
      </c>
      <c r="M163" s="126">
        <f>'Cambio uso de suelo (BAU)'!O148/1000</f>
        <v>2.0610534599749073E-6</v>
      </c>
      <c r="N163" s="126">
        <f>'Cambio uso de suelo (BAU)'!P148/1000</f>
        <v>2.0610534599749073E-6</v>
      </c>
    </row>
    <row r="164" spans="1:15" ht="15.75" x14ac:dyDescent="0.25">
      <c r="A164" s="123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</row>
    <row r="165" spans="1:15" ht="15.75" x14ac:dyDescent="0.25">
      <c r="A165" s="119" t="s">
        <v>119</v>
      </c>
      <c r="B165" s="1">
        <v>2010</v>
      </c>
      <c r="C165" s="1">
        <v>2011</v>
      </c>
      <c r="D165" s="1">
        <v>2012</v>
      </c>
      <c r="E165" s="1">
        <v>2013</v>
      </c>
      <c r="F165" s="1">
        <v>2014</v>
      </c>
      <c r="G165" s="1">
        <v>2015</v>
      </c>
      <c r="H165" s="1">
        <v>2016</v>
      </c>
      <c r="I165" s="1">
        <v>2017</v>
      </c>
      <c r="J165" s="1">
        <v>2018</v>
      </c>
      <c r="K165" s="1">
        <v>2019</v>
      </c>
      <c r="L165" s="1">
        <v>2020</v>
      </c>
      <c r="M165" s="1">
        <v>2021</v>
      </c>
      <c r="N165" s="1">
        <v>2022</v>
      </c>
    </row>
    <row r="166" spans="1:15" ht="15.75" thickBot="1" x14ac:dyDescent="0.3">
      <c r="A166" s="28" t="s">
        <v>152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26">
        <f t="shared" ref="J166:N174" si="37">+J143/J155</f>
        <v>-20629.858333333326</v>
      </c>
      <c r="K166" s="126">
        <f t="shared" si="37"/>
        <v>-20629.858333333334</v>
      </c>
      <c r="L166" s="126">
        <f t="shared" si="37"/>
        <v>-20629.858333333334</v>
      </c>
      <c r="M166" s="126">
        <f t="shared" si="37"/>
        <v>-20629.908719408457</v>
      </c>
      <c r="N166" s="126">
        <f t="shared" si="37"/>
        <v>-20629.908719408457</v>
      </c>
      <c r="O166" s="127">
        <f t="shared" ref="O166:O174" si="38">+AVERAGE(B166:N166)</f>
        <v>-7934.5686491397628</v>
      </c>
    </row>
    <row r="167" spans="1:15" x14ac:dyDescent="0.25">
      <c r="A167" s="128" t="s">
        <v>153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26">
        <f t="shared" si="37"/>
        <v>-20629.85833333333</v>
      </c>
      <c r="K167" s="126">
        <f t="shared" si="37"/>
        <v>-20629.85833333333</v>
      </c>
      <c r="L167" s="126">
        <f t="shared" si="37"/>
        <v>-20629.85833333333</v>
      </c>
      <c r="M167" s="126">
        <f t="shared" si="37"/>
        <v>-20629.908719408453</v>
      </c>
      <c r="N167" s="126">
        <f t="shared" si="37"/>
        <v>-20629.908719408453</v>
      </c>
      <c r="O167" s="127">
        <f t="shared" si="38"/>
        <v>-7934.568649139761</v>
      </c>
    </row>
    <row r="168" spans="1:15" x14ac:dyDescent="0.25">
      <c r="A168" s="27" t="s">
        <v>154</v>
      </c>
      <c r="B168" s="112">
        <v>0</v>
      </c>
      <c r="C168" s="112">
        <v>0</v>
      </c>
      <c r="D168" s="112">
        <v>0</v>
      </c>
      <c r="E168" s="112">
        <v>0</v>
      </c>
      <c r="F168" s="112">
        <v>0</v>
      </c>
      <c r="G168" s="112">
        <v>0</v>
      </c>
      <c r="H168" s="112">
        <v>0</v>
      </c>
      <c r="I168" s="112">
        <v>0</v>
      </c>
      <c r="J168" s="126">
        <f t="shared" si="37"/>
        <v>-20629.858333333326</v>
      </c>
      <c r="K168" s="126">
        <f t="shared" si="37"/>
        <v>-20629.85833333333</v>
      </c>
      <c r="L168" s="126">
        <f t="shared" si="37"/>
        <v>-20629.85833333333</v>
      </c>
      <c r="M168" s="126">
        <f t="shared" si="37"/>
        <v>-20629.908719408453</v>
      </c>
      <c r="N168" s="126">
        <f t="shared" si="37"/>
        <v>-20629.908719408453</v>
      </c>
      <c r="O168" s="127">
        <f t="shared" si="38"/>
        <v>-7934.568649139761</v>
      </c>
    </row>
    <row r="169" spans="1:15" x14ac:dyDescent="0.25">
      <c r="A169" s="128" t="s">
        <v>155</v>
      </c>
      <c r="B169" s="112">
        <v>0</v>
      </c>
      <c r="C169" s="112">
        <v>0</v>
      </c>
      <c r="D169" s="112">
        <v>0</v>
      </c>
      <c r="E169" s="112">
        <v>0</v>
      </c>
      <c r="F169" s="112">
        <v>0</v>
      </c>
      <c r="G169" s="112">
        <v>0</v>
      </c>
      <c r="H169" s="112">
        <v>0</v>
      </c>
      <c r="I169" s="112">
        <v>0</v>
      </c>
      <c r="J169" s="126">
        <f t="shared" si="37"/>
        <v>-20629.858333333334</v>
      </c>
      <c r="K169" s="126">
        <f t="shared" si="37"/>
        <v>-20629.85833333333</v>
      </c>
      <c r="L169" s="126">
        <f t="shared" si="37"/>
        <v>-20629.85833333333</v>
      </c>
      <c r="M169" s="126">
        <f t="shared" si="37"/>
        <v>-20629.908719408453</v>
      </c>
      <c r="N169" s="126">
        <f t="shared" si="37"/>
        <v>-20629.908719408453</v>
      </c>
      <c r="O169" s="127">
        <f t="shared" si="38"/>
        <v>-7934.568649139761</v>
      </c>
    </row>
    <row r="170" spans="1:15" x14ac:dyDescent="0.25">
      <c r="A170" s="27" t="s">
        <v>156</v>
      </c>
      <c r="B170" s="112">
        <v>0</v>
      </c>
      <c r="C170" s="112">
        <v>0</v>
      </c>
      <c r="D170" s="112">
        <v>0</v>
      </c>
      <c r="E170" s="112">
        <v>0</v>
      </c>
      <c r="F170" s="112">
        <v>0</v>
      </c>
      <c r="G170" s="112">
        <v>0</v>
      </c>
      <c r="H170" s="112">
        <v>0</v>
      </c>
      <c r="I170" s="112">
        <v>0</v>
      </c>
      <c r="J170" s="126">
        <f t="shared" si="37"/>
        <v>-20629.858333333326</v>
      </c>
      <c r="K170" s="126">
        <f t="shared" si="37"/>
        <v>-20629.85833333333</v>
      </c>
      <c r="L170" s="126">
        <f t="shared" si="37"/>
        <v>-20629.85833333333</v>
      </c>
      <c r="M170" s="126">
        <f t="shared" si="37"/>
        <v>-20629.908719408453</v>
      </c>
      <c r="N170" s="126">
        <f t="shared" si="37"/>
        <v>-20629.908719408453</v>
      </c>
      <c r="O170" s="127">
        <f t="shared" si="38"/>
        <v>-7934.568649139761</v>
      </c>
    </row>
    <row r="171" spans="1:15" x14ac:dyDescent="0.25">
      <c r="A171" s="128" t="s">
        <v>157</v>
      </c>
      <c r="B171" s="112">
        <v>0</v>
      </c>
      <c r="C171" s="112">
        <v>0</v>
      </c>
      <c r="D171" s="112">
        <v>0</v>
      </c>
      <c r="E171" s="112">
        <v>0</v>
      </c>
      <c r="F171" s="112">
        <v>0</v>
      </c>
      <c r="G171" s="112">
        <v>0</v>
      </c>
      <c r="H171" s="112">
        <v>0</v>
      </c>
      <c r="I171" s="112">
        <v>0</v>
      </c>
      <c r="J171" s="126">
        <f t="shared" si="37"/>
        <v>-20629.85833333333</v>
      </c>
      <c r="K171" s="126">
        <f t="shared" si="37"/>
        <v>-20629.858333333334</v>
      </c>
      <c r="L171" s="126">
        <f t="shared" si="37"/>
        <v>-20629.858333333334</v>
      </c>
      <c r="M171" s="126">
        <f t="shared" si="37"/>
        <v>-20629.908719408453</v>
      </c>
      <c r="N171" s="126">
        <f t="shared" si="37"/>
        <v>-20629.908719408453</v>
      </c>
      <c r="O171" s="127">
        <f t="shared" si="38"/>
        <v>-7934.5686491397628</v>
      </c>
    </row>
    <row r="172" spans="1:15" x14ac:dyDescent="0.25">
      <c r="A172" s="27" t="s">
        <v>158</v>
      </c>
      <c r="B172" s="112">
        <v>0</v>
      </c>
      <c r="C172" s="112">
        <v>0</v>
      </c>
      <c r="D172" s="112">
        <v>0</v>
      </c>
      <c r="E172" s="112">
        <v>0</v>
      </c>
      <c r="F172" s="112">
        <v>0</v>
      </c>
      <c r="G172" s="112">
        <v>0</v>
      </c>
      <c r="H172" s="112">
        <v>0</v>
      </c>
      <c r="I172" s="112">
        <v>0</v>
      </c>
      <c r="J172" s="126">
        <f t="shared" si="37"/>
        <v>-20629.85833333333</v>
      </c>
      <c r="K172" s="126">
        <f t="shared" si="37"/>
        <v>-20629.85833333333</v>
      </c>
      <c r="L172" s="126">
        <f t="shared" si="37"/>
        <v>-20629.85833333333</v>
      </c>
      <c r="M172" s="126">
        <f t="shared" si="37"/>
        <v>-20629.90871940845</v>
      </c>
      <c r="N172" s="126">
        <f t="shared" si="37"/>
        <v>-20629.90871940845</v>
      </c>
      <c r="O172" s="127">
        <f t="shared" si="38"/>
        <v>-7934.568649139761</v>
      </c>
    </row>
    <row r="173" spans="1:15" x14ac:dyDescent="0.25">
      <c r="A173" s="128" t="s">
        <v>159</v>
      </c>
      <c r="B173" s="112">
        <v>0</v>
      </c>
      <c r="C173" s="112">
        <v>0</v>
      </c>
      <c r="D173" s="112">
        <v>0</v>
      </c>
      <c r="E173" s="112">
        <v>0</v>
      </c>
      <c r="F173" s="112">
        <v>0</v>
      </c>
      <c r="G173" s="112">
        <v>0</v>
      </c>
      <c r="H173" s="112">
        <v>0</v>
      </c>
      <c r="I173" s="112">
        <v>0</v>
      </c>
      <c r="J173" s="126">
        <f t="shared" si="37"/>
        <v>-20629.85833333333</v>
      </c>
      <c r="K173" s="126">
        <f t="shared" si="37"/>
        <v>-20629.85833333333</v>
      </c>
      <c r="L173" s="126">
        <f t="shared" si="37"/>
        <v>-20629.85833333333</v>
      </c>
      <c r="M173" s="126">
        <f t="shared" si="37"/>
        <v>-20629.908719408457</v>
      </c>
      <c r="N173" s="126">
        <f t="shared" si="37"/>
        <v>-20629.908719408457</v>
      </c>
      <c r="O173" s="127">
        <f t="shared" si="38"/>
        <v>-7934.5686491397628</v>
      </c>
    </row>
    <row r="174" spans="1:15" x14ac:dyDescent="0.25">
      <c r="A174" s="27" t="s">
        <v>160</v>
      </c>
      <c r="B174" s="112">
        <v>0</v>
      </c>
      <c r="C174" s="112">
        <v>0</v>
      </c>
      <c r="D174" s="112">
        <v>0</v>
      </c>
      <c r="E174" s="112">
        <v>0</v>
      </c>
      <c r="F174" s="112">
        <v>0</v>
      </c>
      <c r="G174" s="112">
        <v>0</v>
      </c>
      <c r="H174" s="112">
        <v>0</v>
      </c>
      <c r="I174" s="112">
        <v>0</v>
      </c>
      <c r="J174" s="126">
        <f t="shared" si="37"/>
        <v>-20629.85833333333</v>
      </c>
      <c r="K174" s="126">
        <f t="shared" si="37"/>
        <v>-20629.85833333333</v>
      </c>
      <c r="L174" s="126">
        <f t="shared" si="37"/>
        <v>-20629.85833333333</v>
      </c>
      <c r="M174" s="126">
        <f t="shared" si="37"/>
        <v>-20629.908719408457</v>
      </c>
      <c r="N174" s="126">
        <f t="shared" si="37"/>
        <v>-20629.908719408457</v>
      </c>
      <c r="O174" s="127">
        <f t="shared" si="38"/>
        <v>-7934.5686491397628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367F-E651-4819-A9FF-746C9231076E}">
  <dimension ref="A1:AA14"/>
  <sheetViews>
    <sheetView topLeftCell="G1" workbookViewId="0">
      <selection activeCell="AA13" sqref="AA13"/>
    </sheetView>
  </sheetViews>
  <sheetFormatPr defaultColWidth="8.85546875" defaultRowHeight="15" x14ac:dyDescent="0.25"/>
  <cols>
    <col min="1" max="1" width="24.28515625" bestFit="1" customWidth="1"/>
    <col min="2" max="27" width="6.5703125" bestFit="1" customWidth="1"/>
  </cols>
  <sheetData>
    <row r="1" spans="1:27" x14ac:dyDescent="0.25">
      <c r="A1" s="80" t="s">
        <v>98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</row>
    <row r="2" spans="1:27" x14ac:dyDescent="0.25">
      <c r="A2" s="73" t="s">
        <v>451</v>
      </c>
      <c r="B2" s="74">
        <f>+INGEI!C38/1000000</f>
        <v>20.215795470045396</v>
      </c>
      <c r="C2" s="74">
        <f>+INGEI!D38/1000000</f>
        <v>19.405540644666218</v>
      </c>
      <c r="D2" s="74">
        <f>+INGEI!E38/1000000</f>
        <v>18.595285819287039</v>
      </c>
      <c r="E2" s="74">
        <f>+INGEI!F38/1000000</f>
        <v>16.785155272381051</v>
      </c>
      <c r="F2" s="74">
        <f>+INGEI!G38/1000000</f>
        <v>14.975024725475059</v>
      </c>
      <c r="G2" s="74">
        <f>+INGEI!H38/1000000</f>
        <v>17.334511943916041</v>
      </c>
      <c r="H2" s="74">
        <f>+INGEI!I38/1000000</f>
        <v>19.693999162357031</v>
      </c>
      <c r="I2" s="74">
        <f>+INGEI!J38/1000000</f>
        <v>17.717536256045918</v>
      </c>
      <c r="J2" s="74">
        <f>+INGEI!K38/1000000</f>
        <v>15.74107334973481</v>
      </c>
      <c r="K2" s="74">
        <f>+INGEI!L38/1000000</f>
        <v>15.32127645443752</v>
      </c>
      <c r="L2" s="74">
        <f>+INGEI!M38/1000000</f>
        <v>15.79167676138648</v>
      </c>
      <c r="M2" s="74">
        <f>+INGEI!N38/1000000</f>
        <v>21.865731262168545</v>
      </c>
      <c r="N2" s="74">
        <f>+INGEI!O38/1000000</f>
        <v>24.28222990486206</v>
      </c>
      <c r="O2" s="74">
        <f>+INGEI!P38/1000</f>
        <v>22.678280319469199</v>
      </c>
      <c r="P2" s="74">
        <f>+INGEI!Q38/1000</f>
        <v>22.302116189196351</v>
      </c>
      <c r="Q2" s="74">
        <f>+INGEI!R38/1000</f>
        <v>21.807316163019024</v>
      </c>
      <c r="R2" s="74">
        <f>+INGEI!S38/1000</f>
        <v>21.358544206442708</v>
      </c>
      <c r="S2" s="74">
        <f>+INGEI!T38/1000</f>
        <v>21.046288462247393</v>
      </c>
      <c r="T2" s="74">
        <f>+INGEI!U38/1000</f>
        <v>20.606864204669193</v>
      </c>
      <c r="U2" s="74">
        <f>+INGEI!V38/1000</f>
        <v>20.099052443939197</v>
      </c>
      <c r="V2" s="74">
        <f>+INGEI!W38/1000</f>
        <v>19.743604910603437</v>
      </c>
      <c r="W2" s="74">
        <f>+INGEI!X38/1000</f>
        <v>19.451862904553519</v>
      </c>
      <c r="X2" s="74">
        <f>+INGEI!Y38/1000</f>
        <v>18.973818222904587</v>
      </c>
      <c r="Y2" s="74">
        <f>+INGEI!Z38/1000</f>
        <v>18.651840048722971</v>
      </c>
      <c r="Z2" s="74">
        <f>+INGEI!AA38/1000</f>
        <v>18.208765628068143</v>
      </c>
      <c r="AA2" s="74">
        <f>+INGEI!AB38/1000</f>
        <v>17.847329574451884</v>
      </c>
    </row>
    <row r="3" spans="1:27" x14ac:dyDescent="0.25">
      <c r="A3" s="73" t="s">
        <v>100</v>
      </c>
      <c r="B3" s="391">
        <v>21.136158060400003</v>
      </c>
      <c r="C3" s="391">
        <v>20.02670736040001</v>
      </c>
      <c r="D3" s="391">
        <v>18.914260060400011</v>
      </c>
      <c r="E3" s="391">
        <v>16.92989346040001</v>
      </c>
      <c r="F3" s="391">
        <v>14.945427360400007</v>
      </c>
      <c r="G3" s="391">
        <v>15.795514237999981</v>
      </c>
      <c r="H3" s="391">
        <v>16.645215190699997</v>
      </c>
      <c r="I3" s="391">
        <v>14.609081596800003</v>
      </c>
      <c r="J3" s="391">
        <v>12.264330840400001</v>
      </c>
      <c r="K3" s="391">
        <v>16.209436901499995</v>
      </c>
      <c r="L3" s="391">
        <v>16.525164401499989</v>
      </c>
      <c r="M3" s="391">
        <v>20.506625169899991</v>
      </c>
      <c r="N3" s="391">
        <v>23.090459671000005</v>
      </c>
      <c r="O3" s="391">
        <v>24.665165702600007</v>
      </c>
      <c r="P3" s="391">
        <v>24.346978522400011</v>
      </c>
      <c r="Q3" s="391">
        <v>24.018858722500017</v>
      </c>
      <c r="R3" s="391">
        <v>23.704479692600003</v>
      </c>
      <c r="S3" s="391">
        <v>23.386025522599994</v>
      </c>
      <c r="T3" s="391">
        <v>23.066825021199985</v>
      </c>
      <c r="U3" s="391">
        <v>22.756631281200001</v>
      </c>
      <c r="V3" s="391">
        <v>22.447789991099999</v>
      </c>
      <c r="W3" s="391">
        <v>22.136345081200005</v>
      </c>
      <c r="X3" s="391">
        <v>21.8315136911</v>
      </c>
      <c r="Y3" s="391">
        <v>21.526946141099994</v>
      </c>
      <c r="Z3" s="391">
        <v>21.229836771200002</v>
      </c>
      <c r="AA3" s="391">
        <v>20.925272709900021</v>
      </c>
    </row>
    <row r="4" spans="1:27" x14ac:dyDescent="0.25">
      <c r="A4" s="73" t="s">
        <v>452</v>
      </c>
      <c r="B4" s="79">
        <f t="shared" ref="B4:AA4" si="0">+((B3-B2)/B3)</f>
        <v>4.3544460053928501E-2</v>
      </c>
      <c r="C4" s="79">
        <f t="shared" si="0"/>
        <v>3.1016916787932017E-2</v>
      </c>
      <c r="D4" s="79">
        <f t="shared" si="0"/>
        <v>1.6864219911028665E-2</v>
      </c>
      <c r="E4" s="79">
        <f t="shared" si="0"/>
        <v>8.5492675046957498E-3</v>
      </c>
      <c r="F4" s="79">
        <f t="shared" si="0"/>
        <v>-1.9803625792243441E-3</v>
      </c>
      <c r="G4" s="79">
        <f t="shared" si="0"/>
        <v>-9.7432580081098202E-2</v>
      </c>
      <c r="H4" s="79">
        <f t="shared" si="0"/>
        <v>-0.18316278502427824</v>
      </c>
      <c r="I4" s="79">
        <f t="shared" si="0"/>
        <v>-0.21277550122841368</v>
      </c>
      <c r="J4" s="79">
        <f t="shared" si="0"/>
        <v>-0.28348407708328055</v>
      </c>
      <c r="K4" s="79">
        <f t="shared" si="0"/>
        <v>5.4792800790031529E-2</v>
      </c>
      <c r="L4" s="79">
        <f t="shared" si="0"/>
        <v>4.4386102449118774E-2</v>
      </c>
      <c r="M4" s="79">
        <f t="shared" si="0"/>
        <v>-6.6276439004867349E-2</v>
      </c>
      <c r="N4" s="79">
        <f t="shared" si="0"/>
        <v>-5.1613101291302345E-2</v>
      </c>
      <c r="O4" s="79">
        <f t="shared" si="0"/>
        <v>8.0554309145442565E-2</v>
      </c>
      <c r="P4" s="79">
        <f t="shared" si="0"/>
        <v>8.398834094843928E-2</v>
      </c>
      <c r="Q4" s="79">
        <f t="shared" si="0"/>
        <v>9.2075255740993969E-2</v>
      </c>
      <c r="R4" s="79">
        <f t="shared" si="0"/>
        <v>9.8965913472027919E-2</v>
      </c>
      <c r="S4" s="79">
        <f t="shared" si="0"/>
        <v>0.10004851222331494</v>
      </c>
      <c r="T4" s="79">
        <f t="shared" si="0"/>
        <v>0.10664496801228258</v>
      </c>
      <c r="U4" s="79">
        <f t="shared" si="0"/>
        <v>0.11678261182077142</v>
      </c>
      <c r="V4" s="79">
        <f t="shared" si="0"/>
        <v>0.12046553721184601</v>
      </c>
      <c r="W4" s="79">
        <f t="shared" si="0"/>
        <v>0.12127034371750775</v>
      </c>
      <c r="X4" s="79">
        <f t="shared" si="0"/>
        <v>0.13089772466672353</v>
      </c>
      <c r="Y4" s="79">
        <f t="shared" si="0"/>
        <v>0.13355847473821525</v>
      </c>
      <c r="Z4" s="79">
        <f t="shared" si="0"/>
        <v>0.14230307918477206</v>
      </c>
      <c r="AA4" s="79">
        <f t="shared" si="0"/>
        <v>0.14709213963992557</v>
      </c>
    </row>
    <row r="6" spans="1:27" x14ac:dyDescent="0.25">
      <c r="A6" s="80" t="s">
        <v>58</v>
      </c>
      <c r="B6" s="1">
        <v>2010</v>
      </c>
      <c r="C6" s="1">
        <v>2011</v>
      </c>
      <c r="D6" s="1">
        <v>2012</v>
      </c>
      <c r="E6" s="1">
        <v>2013</v>
      </c>
      <c r="F6" s="1">
        <v>2014</v>
      </c>
      <c r="G6" s="1">
        <v>2015</v>
      </c>
      <c r="H6" s="1">
        <v>2016</v>
      </c>
      <c r="I6" s="1">
        <v>2017</v>
      </c>
      <c r="J6" s="1">
        <v>2018</v>
      </c>
      <c r="K6" s="1">
        <v>2019</v>
      </c>
      <c r="L6" s="1">
        <v>2020</v>
      </c>
      <c r="M6" s="1">
        <v>2021</v>
      </c>
      <c r="N6" s="1">
        <v>2022</v>
      </c>
      <c r="O6" s="1">
        <v>2023</v>
      </c>
      <c r="P6" s="1">
        <v>2024</v>
      </c>
      <c r="Q6" s="1">
        <v>2025</v>
      </c>
      <c r="R6" s="1">
        <v>2026</v>
      </c>
      <c r="S6" s="1">
        <v>2027</v>
      </c>
      <c r="T6" s="1">
        <v>2028</v>
      </c>
      <c r="U6" s="1">
        <v>2029</v>
      </c>
      <c r="V6" s="1">
        <v>2030</v>
      </c>
      <c r="W6" s="1">
        <v>2031</v>
      </c>
      <c r="X6" s="1">
        <v>2032</v>
      </c>
      <c r="Y6" s="1">
        <v>2033</v>
      </c>
      <c r="Z6" s="1">
        <v>2034</v>
      </c>
      <c r="AA6" s="1">
        <v>2035</v>
      </c>
    </row>
    <row r="7" spans="1:27" x14ac:dyDescent="0.25">
      <c r="A7" s="73" t="s">
        <v>451</v>
      </c>
      <c r="B7" s="137">
        <v>22.152471834956401</v>
      </c>
      <c r="C7" s="137">
        <v>21.038959378388508</v>
      </c>
      <c r="D7" s="137">
        <v>19.925446921820608</v>
      </c>
      <c r="E7" s="137">
        <v>17.940881878605264</v>
      </c>
      <c r="F7" s="137">
        <v>15.95631683538992</v>
      </c>
      <c r="G7" s="137">
        <v>16.940862606867608</v>
      </c>
      <c r="H7" s="137">
        <v>17.925408378345296</v>
      </c>
      <c r="I7" s="137">
        <v>15.46315539590552</v>
      </c>
      <c r="J7" s="137">
        <v>13.000902413465745</v>
      </c>
      <c r="K7" s="137">
        <v>16.714724408871945</v>
      </c>
      <c r="L7" s="137">
        <v>17.030456086415466</v>
      </c>
      <c r="M7" s="137">
        <v>20.560692466328337</v>
      </c>
      <c r="N7" s="137">
        <v>23.144492436596778</v>
      </c>
      <c r="O7" s="137">
        <v>22.678280319469206</v>
      </c>
      <c r="P7" s="137">
        <v>22.302116189196351</v>
      </c>
      <c r="Q7" s="137">
        <v>21.807316163019024</v>
      </c>
      <c r="R7" s="137">
        <v>21.195920407361974</v>
      </c>
      <c r="S7" s="137">
        <v>20.88390469874625</v>
      </c>
      <c r="T7" s="137">
        <v>20.444719324576855</v>
      </c>
      <c r="U7" s="137">
        <v>20.097301626334268</v>
      </c>
      <c r="V7" s="137">
        <v>19.741862496923016</v>
      </c>
      <c r="W7" s="137">
        <v>19.450128854458761</v>
      </c>
      <c r="X7" s="137">
        <v>18.972092496250283</v>
      </c>
      <c r="Y7" s="137">
        <v>18.650122605556607</v>
      </c>
      <c r="Z7" s="137">
        <v>18.207056428628981</v>
      </c>
      <c r="AA7" s="137">
        <v>17.84562857917</v>
      </c>
    </row>
    <row r="8" spans="1:27" x14ac:dyDescent="0.25">
      <c r="A8" s="73" t="s">
        <v>100</v>
      </c>
      <c r="B8" s="391">
        <v>21.1386214604</v>
      </c>
      <c r="C8" s="391">
        <v>20.0291707604</v>
      </c>
      <c r="D8" s="391">
        <v>18.9167234604</v>
      </c>
      <c r="E8" s="391">
        <v>16.932356860399999</v>
      </c>
      <c r="F8" s="391">
        <v>14.947890760399996</v>
      </c>
      <c r="G8" s="391">
        <v>15.796465637999965</v>
      </c>
      <c r="H8" s="391">
        <v>16.646920690699996</v>
      </c>
      <c r="I8" s="391">
        <v>14.614740986800001</v>
      </c>
      <c r="J8" s="391">
        <v>12.368676550400012</v>
      </c>
      <c r="K8" s="391">
        <v>16.226859001499992</v>
      </c>
      <c r="L8" s="391">
        <v>16.542586501499986</v>
      </c>
      <c r="M8" s="391">
        <v>20.505838917899979</v>
      </c>
      <c r="N8" s="391">
        <v>23.089673418999986</v>
      </c>
      <c r="O8" s="391">
        <v>24.65678861060001</v>
      </c>
      <c r="P8" s="391">
        <v>24.343549350400014</v>
      </c>
      <c r="Q8" s="391">
        <v>24.012529950500014</v>
      </c>
      <c r="R8" s="391">
        <v>23.598992574600015</v>
      </c>
      <c r="S8" s="391">
        <v>22.354102265600005</v>
      </c>
      <c r="T8" s="391">
        <v>22.024830714199997</v>
      </c>
      <c r="U8" s="391">
        <v>21.708675094207955</v>
      </c>
      <c r="V8" s="391">
        <v>21.387965444099997</v>
      </c>
      <c r="W8" s="391">
        <v>21.071475814200014</v>
      </c>
      <c r="X8" s="391">
        <v>20.759393084100015</v>
      </c>
      <c r="Y8" s="391">
        <v>20.443913354099998</v>
      </c>
      <c r="Z8" s="391">
        <v>20.144936914200009</v>
      </c>
      <c r="AA8" s="391">
        <v>19.833230052899999</v>
      </c>
    </row>
    <row r="9" spans="1:27" x14ac:dyDescent="0.25">
      <c r="A9" s="73" t="s">
        <v>452</v>
      </c>
      <c r="B9" s="79">
        <f t="shared" ref="B9:AA9" si="1">+((B8-B7)/B8)</f>
        <v>-4.7961991109765435E-2</v>
      </c>
      <c r="C9" s="79">
        <f t="shared" si="1"/>
        <v>-5.0415897396260574E-2</v>
      </c>
      <c r="D9" s="79">
        <f t="shared" si="1"/>
        <v>-5.3324428172365872E-2</v>
      </c>
      <c r="E9" s="79">
        <f t="shared" si="1"/>
        <v>-5.9561998753045457E-2</v>
      </c>
      <c r="F9" s="79">
        <f t="shared" si="1"/>
        <v>-6.7462767232782397E-2</v>
      </c>
      <c r="G9" s="79">
        <f t="shared" si="1"/>
        <v>-7.2446393711937826E-2</v>
      </c>
      <c r="H9" s="79">
        <f t="shared" si="1"/>
        <v>-7.6800251013362589E-2</v>
      </c>
      <c r="I9" s="79">
        <f t="shared" si="1"/>
        <v>-5.805196341637564E-2</v>
      </c>
      <c r="J9" s="79">
        <f t="shared" si="1"/>
        <v>-5.1115077711793348E-2</v>
      </c>
      <c r="K9" s="79">
        <f t="shared" si="1"/>
        <v>-3.0065301444158397E-2</v>
      </c>
      <c r="L9" s="79">
        <f t="shared" si="1"/>
        <v>-2.9491735459339582E-2</v>
      </c>
      <c r="M9" s="79">
        <f t="shared" si="1"/>
        <v>-2.6750209366209108E-3</v>
      </c>
      <c r="N9" s="79">
        <f t="shared" si="1"/>
        <v>-2.3741789934405215E-3</v>
      </c>
      <c r="O9" s="79">
        <f t="shared" si="1"/>
        <v>8.0241929408448556E-2</v>
      </c>
      <c r="P9" s="79">
        <f t="shared" si="1"/>
        <v>8.3859306291755614E-2</v>
      </c>
      <c r="Q9" s="79">
        <f t="shared" si="1"/>
        <v>9.1835961975971228E-2</v>
      </c>
      <c r="R9" s="79">
        <f t="shared" si="1"/>
        <v>0.10182943867800977</v>
      </c>
      <c r="S9" s="79">
        <f t="shared" si="1"/>
        <v>6.5768580164196289E-2</v>
      </c>
      <c r="T9" s="79">
        <f t="shared" si="1"/>
        <v>7.1742271717185155E-2</v>
      </c>
      <c r="U9" s="79">
        <f t="shared" si="1"/>
        <v>7.4227167751182294E-2</v>
      </c>
      <c r="V9" s="79">
        <f t="shared" si="1"/>
        <v>7.696398011672817E-2</v>
      </c>
      <c r="W9" s="79">
        <f t="shared" si="1"/>
        <v>7.6945106932122476E-2</v>
      </c>
      <c r="X9" s="79">
        <f t="shared" si="1"/>
        <v>8.6095994261925546E-2</v>
      </c>
      <c r="Y9" s="79">
        <f t="shared" si="1"/>
        <v>8.7742044170992739E-2</v>
      </c>
      <c r="Z9" s="79">
        <f t="shared" si="1"/>
        <v>9.6196900185129483E-2</v>
      </c>
      <c r="AA9" s="79">
        <f t="shared" si="1"/>
        <v>0.1002157222211706</v>
      </c>
    </row>
    <row r="11" spans="1:27" x14ac:dyDescent="0.25">
      <c r="A11" s="80" t="s">
        <v>54</v>
      </c>
      <c r="B11" s="1">
        <v>2010</v>
      </c>
      <c r="C11" s="1">
        <v>2011</v>
      </c>
      <c r="D11" s="1">
        <v>2012</v>
      </c>
      <c r="E11" s="1">
        <v>2013</v>
      </c>
      <c r="F11" s="1">
        <v>2014</v>
      </c>
      <c r="G11" s="1">
        <v>2015</v>
      </c>
      <c r="H11" s="1">
        <v>2016</v>
      </c>
      <c r="I11" s="1">
        <v>2017</v>
      </c>
      <c r="J11" s="1">
        <v>2018</v>
      </c>
      <c r="K11" s="1">
        <v>2019</v>
      </c>
      <c r="L11" s="1">
        <v>2020</v>
      </c>
      <c r="M11" s="1">
        <v>2021</v>
      </c>
      <c r="N11" s="1">
        <v>2022</v>
      </c>
      <c r="O11" s="1">
        <v>2023</v>
      </c>
      <c r="P11" s="1">
        <v>2024</v>
      </c>
      <c r="Q11" s="1">
        <v>2025</v>
      </c>
      <c r="R11" s="1">
        <v>2026</v>
      </c>
      <c r="S11" s="1">
        <v>2027</v>
      </c>
      <c r="T11" s="1">
        <v>2028</v>
      </c>
      <c r="U11" s="1">
        <v>2029</v>
      </c>
      <c r="V11" s="1">
        <v>2030</v>
      </c>
      <c r="W11" s="1">
        <v>2031</v>
      </c>
      <c r="X11" s="1">
        <v>2032</v>
      </c>
      <c r="Y11" s="1">
        <v>2033</v>
      </c>
      <c r="Z11" s="1">
        <v>2034</v>
      </c>
      <c r="AA11" s="1">
        <v>2035</v>
      </c>
    </row>
    <row r="12" spans="1:27" x14ac:dyDescent="0.25">
      <c r="A12" s="73" t="s">
        <v>451</v>
      </c>
      <c r="B12" s="392">
        <v>22.152471834956401</v>
      </c>
      <c r="C12" s="392">
        <v>21.038959378388508</v>
      </c>
      <c r="D12" s="392">
        <v>19.925446921820608</v>
      </c>
      <c r="E12" s="392">
        <v>17.940881878605264</v>
      </c>
      <c r="F12" s="392">
        <v>15.95631683538992</v>
      </c>
      <c r="G12" s="392">
        <v>16.940862606867608</v>
      </c>
      <c r="H12" s="392">
        <v>17.925408378345296</v>
      </c>
      <c r="I12" s="392">
        <v>15.46315539590552</v>
      </c>
      <c r="J12" s="392">
        <v>13.000902413465745</v>
      </c>
      <c r="K12" s="392">
        <v>16.714724408871945</v>
      </c>
      <c r="L12" s="392">
        <v>17.030456086415466</v>
      </c>
      <c r="M12" s="392">
        <v>20.560692466328337</v>
      </c>
      <c r="N12" s="392">
        <v>23.144492436596778</v>
      </c>
      <c r="O12" s="392">
        <v>22.678280319469206</v>
      </c>
      <c r="P12" s="392">
        <v>22.302116189196351</v>
      </c>
      <c r="Q12" s="392">
        <v>21.807316163019024</v>
      </c>
      <c r="R12" s="392">
        <v>19.677723714244379</v>
      </c>
      <c r="S12" s="392">
        <v>19.071588285453434</v>
      </c>
      <c r="T12" s="392">
        <v>18.338233990902594</v>
      </c>
      <c r="U12" s="392">
        <v>17.696603563150585</v>
      </c>
      <c r="V12" s="392">
        <v>17.047107291823828</v>
      </c>
      <c r="W12" s="392">
        <v>16.461007740939596</v>
      </c>
      <c r="X12" s="392">
        <v>15.688604783606277</v>
      </c>
      <c r="Y12" s="392">
        <v>15.072267605088179</v>
      </c>
      <c r="Z12" s="392">
        <v>14.334833453635103</v>
      </c>
      <c r="AA12" s="392">
        <v>13.679036944941599</v>
      </c>
    </row>
    <row r="13" spans="1:27" x14ac:dyDescent="0.25">
      <c r="A13" s="73" t="s">
        <v>100</v>
      </c>
      <c r="B13" s="391">
        <v>21.136158060400003</v>
      </c>
      <c r="C13" s="391">
        <v>20.02670736040001</v>
      </c>
      <c r="D13" s="391">
        <v>18.914260060400011</v>
      </c>
      <c r="E13" s="391">
        <v>16.92989346040001</v>
      </c>
      <c r="F13" s="391">
        <v>14.945427360400007</v>
      </c>
      <c r="G13" s="391">
        <v>15.795512137999978</v>
      </c>
      <c r="H13" s="391">
        <v>16.645215190699997</v>
      </c>
      <c r="I13" s="391">
        <v>14.61636518680001</v>
      </c>
      <c r="J13" s="391">
        <v>12.36857665040001</v>
      </c>
      <c r="K13" s="391">
        <v>16.2264006015</v>
      </c>
      <c r="L13" s="391">
        <v>16.542128101499994</v>
      </c>
      <c r="M13" s="391">
        <v>20.505477117899986</v>
      </c>
      <c r="N13" s="391">
        <v>23.089311619</v>
      </c>
      <c r="O13" s="391">
        <v>24.658848610600003</v>
      </c>
      <c r="P13" s="391">
        <v>24.342202350400012</v>
      </c>
      <c r="Q13" s="391">
        <v>24.012013450500017</v>
      </c>
      <c r="R13" s="391">
        <v>16.007595719600001</v>
      </c>
      <c r="S13" s="391">
        <v>16.657887165599995</v>
      </c>
      <c r="T13" s="391">
        <v>15.827031074199988</v>
      </c>
      <c r="U13" s="391">
        <v>15.518938914199987</v>
      </c>
      <c r="V13" s="391">
        <v>15.210112504099998</v>
      </c>
      <c r="W13" s="391">
        <v>14.900338364199994</v>
      </c>
      <c r="X13" s="391">
        <v>14.598097084102919</v>
      </c>
      <c r="Y13" s="391">
        <v>14.293742494099996</v>
      </c>
      <c r="Z13" s="391">
        <v>13.99917669419998</v>
      </c>
      <c r="AA13" s="391">
        <v>13.694635012899978</v>
      </c>
    </row>
    <row r="14" spans="1:27" x14ac:dyDescent="0.25">
      <c r="A14" s="73" t="s">
        <v>452</v>
      </c>
      <c r="B14" s="79">
        <f t="shared" ref="B14:AA14" si="2">+((B13-B12)/B13)</f>
        <v>-4.808413012677689E-2</v>
      </c>
      <c r="C14" s="79">
        <f t="shared" si="2"/>
        <v>-5.0545104583196915E-2</v>
      </c>
      <c r="D14" s="79">
        <f t="shared" si="2"/>
        <v>-5.3461613522893067E-2</v>
      </c>
      <c r="E14" s="79">
        <f t="shared" si="2"/>
        <v>-5.971617131377787E-2</v>
      </c>
      <c r="F14" s="79">
        <f t="shared" si="2"/>
        <v>-6.7638713207251969E-2</v>
      </c>
      <c r="G14" s="79">
        <f t="shared" si="2"/>
        <v>-7.2511132203951043E-2</v>
      </c>
      <c r="H14" s="79">
        <f t="shared" si="2"/>
        <v>-7.6910581988784837E-2</v>
      </c>
      <c r="I14" s="79">
        <f t="shared" si="2"/>
        <v>-5.7934390546717014E-2</v>
      </c>
      <c r="J14" s="79">
        <f t="shared" si="2"/>
        <v>-5.1123567483836944E-2</v>
      </c>
      <c r="K14" s="79">
        <f t="shared" si="2"/>
        <v>-3.0094401054464481E-2</v>
      </c>
      <c r="L14" s="79">
        <f t="shared" si="2"/>
        <v>-2.952026377254276E-2</v>
      </c>
      <c r="M14" s="79">
        <f t="shared" si="2"/>
        <v>-2.6927122012758244E-3</v>
      </c>
      <c r="N14" s="79">
        <f t="shared" si="2"/>
        <v>-2.3898857838347163E-3</v>
      </c>
      <c r="O14" s="79">
        <f t="shared" si="2"/>
        <v>8.0318765989723401E-2</v>
      </c>
      <c r="P14" s="79">
        <f t="shared" si="2"/>
        <v>8.3808610734440639E-2</v>
      </c>
      <c r="Q14" s="79">
        <f t="shared" si="2"/>
        <v>9.1816427307351997E-2</v>
      </c>
      <c r="R14" s="79">
        <f t="shared" si="2"/>
        <v>-0.22927415577784768</v>
      </c>
      <c r="S14" s="79">
        <f t="shared" si="2"/>
        <v>-0.14489839532818691</v>
      </c>
      <c r="T14" s="79">
        <f t="shared" si="2"/>
        <v>-0.15866544425986354</v>
      </c>
      <c r="U14" s="79">
        <f t="shared" si="2"/>
        <v>-0.14032303761167672</v>
      </c>
      <c r="V14" s="79">
        <f t="shared" si="2"/>
        <v>-0.12077456936815256</v>
      </c>
      <c r="W14" s="79">
        <f t="shared" si="2"/>
        <v>-0.10474053263711874</v>
      </c>
      <c r="X14" s="79">
        <f t="shared" si="2"/>
        <v>-7.4702044603532719E-2</v>
      </c>
      <c r="Y14" s="79">
        <f t="shared" si="2"/>
        <v>-5.4466149177483283E-2</v>
      </c>
      <c r="Z14" s="79">
        <f t="shared" si="2"/>
        <v>-2.3976892839290286E-2</v>
      </c>
      <c r="AA14" s="79">
        <f t="shared" si="2"/>
        <v>1.138991140960397E-3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EF0B-AF64-4C62-A89D-B2C97F853222}">
  <dimension ref="A1:AB124"/>
  <sheetViews>
    <sheetView topLeftCell="J25" workbookViewId="0">
      <selection activeCell="Q45" sqref="Q45"/>
    </sheetView>
  </sheetViews>
  <sheetFormatPr defaultColWidth="10.85546875" defaultRowHeight="15" x14ac:dyDescent="0.25"/>
  <cols>
    <col min="1" max="1" width="37.7109375" style="64" customWidth="1"/>
    <col min="2" max="2" width="46" customWidth="1"/>
    <col min="3" max="3" width="31.5703125" customWidth="1"/>
    <col min="4" max="18" width="12.5703125" bestFit="1" customWidth="1"/>
    <col min="19" max="28" width="13.5703125" bestFit="1" customWidth="1"/>
  </cols>
  <sheetData>
    <row r="1" spans="1:28" ht="48.75" thickBot="1" x14ac:dyDescent="0.3">
      <c r="A1" s="547" t="s">
        <v>501</v>
      </c>
      <c r="B1" s="543" t="s">
        <v>502</v>
      </c>
      <c r="C1" s="543" t="s">
        <v>503</v>
      </c>
      <c r="D1" t="s">
        <v>511</v>
      </c>
    </row>
    <row r="2" spans="1:28" x14ac:dyDescent="0.25">
      <c r="A2" s="544" t="s">
        <v>504</v>
      </c>
      <c r="B2" s="549" t="s">
        <v>58</v>
      </c>
      <c r="C2" s="549">
        <v>17.392676667264865</v>
      </c>
      <c r="D2">
        <f>+C2/1000</f>
        <v>1.7392676667264864E-2</v>
      </c>
    </row>
    <row r="3" spans="1:28" ht="15.75" thickBot="1" x14ac:dyDescent="0.3">
      <c r="A3" s="545" t="s">
        <v>505</v>
      </c>
      <c r="B3" s="550" t="s">
        <v>58</v>
      </c>
      <c r="C3" s="550">
        <v>481.94283926027117</v>
      </c>
      <c r="D3">
        <f>+C3/1000</f>
        <v>0.48194283926027115</v>
      </c>
    </row>
    <row r="4" spans="1:28" x14ac:dyDescent="0.25">
      <c r="A4" s="548" t="s">
        <v>506</v>
      </c>
      <c r="B4" s="551" t="s">
        <v>507</v>
      </c>
      <c r="C4" s="551">
        <v>2.3208824115682458</v>
      </c>
    </row>
    <row r="5" spans="1:28" x14ac:dyDescent="0.25">
      <c r="A5" s="546" t="s">
        <v>508</v>
      </c>
      <c r="B5" s="552" t="s">
        <v>507</v>
      </c>
      <c r="C5" s="552">
        <v>424.90613330000002</v>
      </c>
    </row>
    <row r="6" spans="1:28" x14ac:dyDescent="0.25">
      <c r="A6" s="546" t="s">
        <v>509</v>
      </c>
      <c r="B6" s="552" t="s">
        <v>507</v>
      </c>
      <c r="C6" s="552">
        <v>9015.6398135902782</v>
      </c>
    </row>
    <row r="7" spans="1:28" ht="15.75" thickBot="1" x14ac:dyDescent="0.3">
      <c r="A7" s="545" t="s">
        <v>510</v>
      </c>
      <c r="B7" s="550" t="s">
        <v>507</v>
      </c>
      <c r="C7" s="550">
        <v>67593.687737404471</v>
      </c>
    </row>
    <row r="9" spans="1:28" s="76" customFormat="1" x14ac:dyDescent="0.25">
      <c r="A9" s="68" t="s">
        <v>101</v>
      </c>
      <c r="B9" s="76" t="s">
        <v>86</v>
      </c>
      <c r="C9" s="76">
        <v>2010</v>
      </c>
      <c r="D9" s="76">
        <v>2011</v>
      </c>
      <c r="E9" s="76">
        <v>2012</v>
      </c>
      <c r="F9" s="76">
        <v>2013</v>
      </c>
      <c r="G9" s="76">
        <v>2014</v>
      </c>
      <c r="H9" s="76">
        <v>2015</v>
      </c>
      <c r="I9" s="76">
        <v>2016</v>
      </c>
      <c r="J9" s="76">
        <v>2017</v>
      </c>
      <c r="K9" s="76">
        <v>2018</v>
      </c>
      <c r="L9" s="76">
        <v>2019</v>
      </c>
      <c r="M9" s="76">
        <v>2020</v>
      </c>
      <c r="N9" s="76">
        <v>2021</v>
      </c>
      <c r="O9" s="76">
        <v>2022</v>
      </c>
      <c r="P9" s="76">
        <v>2023</v>
      </c>
      <c r="Q9" s="76">
        <v>2024</v>
      </c>
      <c r="R9" s="76">
        <v>2025</v>
      </c>
      <c r="S9" s="76">
        <v>2026</v>
      </c>
      <c r="T9" s="76">
        <v>2027</v>
      </c>
      <c r="U9" s="76">
        <v>2028</v>
      </c>
      <c r="V9" s="76">
        <v>2029</v>
      </c>
      <c r="W9" s="76">
        <v>2030</v>
      </c>
      <c r="X9" s="76">
        <v>2031</v>
      </c>
      <c r="Y9" s="76">
        <v>2032</v>
      </c>
      <c r="Z9" s="76">
        <v>2033</v>
      </c>
      <c r="AA9" s="76">
        <v>2034</v>
      </c>
      <c r="AB9" s="76">
        <v>2035</v>
      </c>
    </row>
    <row r="10" spans="1:28" s="76" customFormat="1" x14ac:dyDescent="0.25">
      <c r="A10" s="68" t="s">
        <v>102</v>
      </c>
      <c r="B10" s="76" t="s">
        <v>104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0.27500000000000002</v>
      </c>
      <c r="T10" s="76">
        <v>0.27368000000000003</v>
      </c>
      <c r="U10" s="76">
        <v>0.27236633599999999</v>
      </c>
      <c r="V10" s="76">
        <v>0.27105897758719999</v>
      </c>
      <c r="W10" s="76">
        <v>0.26975789449478144</v>
      </c>
      <c r="X10" s="76">
        <v>0.26846305660120651</v>
      </c>
      <c r="Y10" s="76">
        <v>0.26717443392952073</v>
      </c>
      <c r="Z10" s="76">
        <v>0.26589199664665897</v>
      </c>
      <c r="AA10" s="76">
        <v>0.26461571506275505</v>
      </c>
      <c r="AB10" s="76">
        <v>0.26334555963045381</v>
      </c>
    </row>
    <row r="11" spans="1:28" s="76" customFormat="1" x14ac:dyDescent="0.25">
      <c r="A11" s="68" t="s">
        <v>103</v>
      </c>
      <c r="B11" s="76" t="s">
        <v>92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0.08</v>
      </c>
      <c r="T11" s="76">
        <v>7.9616000000000006E-2</v>
      </c>
      <c r="U11" s="76">
        <v>7.9233843200000001E-2</v>
      </c>
      <c r="V11" s="76">
        <v>7.8853520752639988E-2</v>
      </c>
      <c r="W11" s="76">
        <v>7.847502385302732E-2</v>
      </c>
      <c r="X11" s="76">
        <v>7.8098343738532791E-2</v>
      </c>
      <c r="Y11" s="76">
        <v>7.7723471688587842E-2</v>
      </c>
      <c r="Z11" s="76">
        <v>7.7350399024482611E-2</v>
      </c>
      <c r="AA11" s="76">
        <v>7.6979117109165107E-2</v>
      </c>
      <c r="AB11" s="76">
        <v>7.6609617347041109E-2</v>
      </c>
    </row>
    <row r="12" spans="1:28" s="76" customFormat="1" x14ac:dyDescent="0.25">
      <c r="A12" s="68"/>
    </row>
    <row r="13" spans="1:28" s="76" customFormat="1" x14ac:dyDescent="0.25">
      <c r="A13" s="68"/>
    </row>
    <row r="14" spans="1:28" s="76" customFormat="1" ht="15.75" thickBot="1" x14ac:dyDescent="0.3">
      <c r="A14" s="68" t="s">
        <v>97</v>
      </c>
      <c r="B14" s="76" t="s">
        <v>86</v>
      </c>
      <c r="C14" s="76">
        <v>2010</v>
      </c>
      <c r="D14" s="76">
        <v>2011</v>
      </c>
      <c r="E14" s="76">
        <v>2012</v>
      </c>
      <c r="F14" s="76">
        <v>2013</v>
      </c>
      <c r="G14" s="76">
        <v>2014</v>
      </c>
      <c r="H14" s="76">
        <v>2015</v>
      </c>
      <c r="I14" s="76">
        <v>2016</v>
      </c>
      <c r="J14" s="76">
        <v>2017</v>
      </c>
      <c r="K14" s="76">
        <v>2018</v>
      </c>
      <c r="L14" s="76">
        <v>2019</v>
      </c>
      <c r="M14" s="76">
        <v>2020</v>
      </c>
      <c r="N14" s="76">
        <v>2021</v>
      </c>
      <c r="O14" s="76">
        <v>2022</v>
      </c>
      <c r="P14" s="76">
        <v>2023</v>
      </c>
      <c r="Q14" s="76">
        <v>2024</v>
      </c>
      <c r="R14" s="76">
        <v>2025</v>
      </c>
      <c r="S14" s="76">
        <v>2026</v>
      </c>
      <c r="T14" s="76">
        <v>2027</v>
      </c>
      <c r="U14" s="76">
        <v>2028</v>
      </c>
      <c r="V14" s="76">
        <v>2029</v>
      </c>
      <c r="W14" s="76">
        <v>2030</v>
      </c>
      <c r="X14" s="76">
        <v>2031</v>
      </c>
      <c r="Y14" s="76">
        <v>2032</v>
      </c>
      <c r="Z14" s="76">
        <v>2033</v>
      </c>
      <c r="AA14" s="76">
        <v>2034</v>
      </c>
      <c r="AB14" s="76">
        <v>2035</v>
      </c>
    </row>
    <row r="15" spans="1:28" s="76" customFormat="1" x14ac:dyDescent="0.25">
      <c r="A15" s="68" t="s">
        <v>76</v>
      </c>
      <c r="B15" s="76" t="s">
        <v>87</v>
      </c>
      <c r="C15" s="572">
        <v>0</v>
      </c>
      <c r="D15" s="572">
        <v>0</v>
      </c>
      <c r="E15" s="572">
        <v>0</v>
      </c>
      <c r="F15" s="572">
        <v>0</v>
      </c>
      <c r="G15" s="572">
        <v>0</v>
      </c>
      <c r="H15" s="572">
        <v>0</v>
      </c>
      <c r="I15" s="572">
        <v>0</v>
      </c>
      <c r="J15" s="572">
        <v>0</v>
      </c>
      <c r="K15" s="572">
        <v>0</v>
      </c>
      <c r="L15" s="572">
        <v>0</v>
      </c>
      <c r="M15" s="572">
        <v>0</v>
      </c>
      <c r="N15" s="572">
        <v>0</v>
      </c>
      <c r="O15" s="572">
        <v>0</v>
      </c>
      <c r="P15" s="572">
        <v>0</v>
      </c>
      <c r="Q15" s="572">
        <v>0</v>
      </c>
      <c r="R15" s="572">
        <v>0</v>
      </c>
      <c r="S15" s="70">
        <v>5.4629208942999996E-2</v>
      </c>
      <c r="T15" s="70">
        <v>5.4629208942999996E-2</v>
      </c>
      <c r="U15" s="70">
        <v>5.4629208942999996E-2</v>
      </c>
      <c r="V15" s="70">
        <v>5.4629208942999996E-2</v>
      </c>
      <c r="W15" s="70">
        <v>5.4629208942999996E-2</v>
      </c>
      <c r="X15" s="70">
        <v>5.4629208942999996E-2</v>
      </c>
      <c r="Y15" s="70">
        <v>5.4629208942999996E-2</v>
      </c>
      <c r="Z15" s="70">
        <v>5.4629208942999996E-2</v>
      </c>
      <c r="AA15" s="70">
        <v>5.4629208942999996E-2</v>
      </c>
      <c r="AB15" s="70">
        <v>5.4629208942999996E-2</v>
      </c>
    </row>
    <row r="16" spans="1:28" s="76" customFormat="1" x14ac:dyDescent="0.25">
      <c r="A16" s="68" t="s">
        <v>77</v>
      </c>
      <c r="B16" s="76" t="s">
        <v>88</v>
      </c>
      <c r="C16" s="571">
        <v>0</v>
      </c>
      <c r="D16" s="571">
        <v>0</v>
      </c>
      <c r="E16" s="571">
        <v>0</v>
      </c>
      <c r="F16" s="571">
        <v>0</v>
      </c>
      <c r="G16" s="571">
        <v>0</v>
      </c>
      <c r="H16" s="571">
        <v>0</v>
      </c>
      <c r="I16" s="571">
        <v>0</v>
      </c>
      <c r="J16" s="571">
        <v>0</v>
      </c>
      <c r="K16" s="571">
        <v>0</v>
      </c>
      <c r="L16" s="571">
        <v>0</v>
      </c>
      <c r="M16" s="571">
        <v>0</v>
      </c>
      <c r="N16" s="571">
        <v>0</v>
      </c>
      <c r="O16" s="571">
        <v>0</v>
      </c>
      <c r="P16" s="571">
        <v>0</v>
      </c>
      <c r="Q16" s="571">
        <v>0</v>
      </c>
      <c r="R16" s="571">
        <v>0</v>
      </c>
      <c r="S16" s="70">
        <v>3.6844415009239261E-3</v>
      </c>
      <c r="T16" s="70">
        <v>3.6844415009239261E-3</v>
      </c>
      <c r="U16" s="70">
        <v>3.6844415009239261E-3</v>
      </c>
      <c r="V16" s="70">
        <v>3.6844415009239261E-3</v>
      </c>
      <c r="W16" s="70">
        <v>3.6844415009239261E-3</v>
      </c>
      <c r="X16" s="70">
        <v>3.6844415009239261E-3</v>
      </c>
      <c r="Y16" s="70">
        <v>3.6844415009239261E-3</v>
      </c>
      <c r="Z16" s="70">
        <v>3.6844415009239261E-3</v>
      </c>
      <c r="AA16" s="70">
        <v>3.6844415009239261E-3</v>
      </c>
      <c r="AB16" s="70">
        <v>3.6844415009239261E-3</v>
      </c>
    </row>
    <row r="17" spans="1:28" s="76" customFormat="1" x14ac:dyDescent="0.25">
      <c r="A17" s="68" t="s">
        <v>78</v>
      </c>
      <c r="B17" s="76" t="s">
        <v>89</v>
      </c>
      <c r="C17" s="571">
        <v>0</v>
      </c>
      <c r="D17" s="571">
        <v>0</v>
      </c>
      <c r="E17" s="571">
        <v>0</v>
      </c>
      <c r="F17" s="571">
        <v>0</v>
      </c>
      <c r="G17" s="571">
        <v>0</v>
      </c>
      <c r="H17" s="571">
        <v>0</v>
      </c>
      <c r="I17" s="571">
        <v>0</v>
      </c>
      <c r="J17" s="571">
        <v>0</v>
      </c>
      <c r="K17" s="571">
        <v>0</v>
      </c>
      <c r="L17" s="571">
        <v>0</v>
      </c>
      <c r="M17" s="571">
        <v>0</v>
      </c>
      <c r="N17" s="571">
        <v>0</v>
      </c>
      <c r="O17" s="571">
        <v>0</v>
      </c>
      <c r="P17" s="571">
        <v>0</v>
      </c>
      <c r="Q17" s="571">
        <v>0</v>
      </c>
      <c r="R17" s="571">
        <v>0</v>
      </c>
      <c r="S17" s="70">
        <v>2.1778430961543131E-2</v>
      </c>
      <c r="T17" s="70">
        <v>2.1778430961543131E-2</v>
      </c>
      <c r="U17" s="70">
        <v>2.1778430961543131E-2</v>
      </c>
      <c r="V17" s="70">
        <v>2.1778430961543131E-2</v>
      </c>
      <c r="W17" s="70">
        <v>2.1778430961543131E-2</v>
      </c>
      <c r="X17" s="70">
        <v>2.1778430961543131E-2</v>
      </c>
      <c r="Y17" s="70">
        <v>2.1778430961543131E-2</v>
      </c>
      <c r="Z17" s="70">
        <v>2.1778430961543131E-2</v>
      </c>
      <c r="AA17" s="70">
        <v>2.1778430961543131E-2</v>
      </c>
      <c r="AB17" s="70">
        <v>2.1778430961543131E-2</v>
      </c>
    </row>
    <row r="18" spans="1:28" s="76" customFormat="1" x14ac:dyDescent="0.25">
      <c r="A18" s="68" t="s">
        <v>79</v>
      </c>
      <c r="B18" s="76" t="s">
        <v>90</v>
      </c>
      <c r="C18" s="571">
        <v>0</v>
      </c>
      <c r="D18" s="571">
        <v>0</v>
      </c>
      <c r="E18" s="571">
        <v>0</v>
      </c>
      <c r="F18" s="571">
        <v>0</v>
      </c>
      <c r="G18" s="571">
        <v>0</v>
      </c>
      <c r="H18" s="571">
        <v>0</v>
      </c>
      <c r="I18" s="571">
        <v>0</v>
      </c>
      <c r="J18" s="571">
        <v>0</v>
      </c>
      <c r="K18" s="571">
        <v>0</v>
      </c>
      <c r="L18" s="571">
        <v>0</v>
      </c>
      <c r="M18" s="571">
        <v>0</v>
      </c>
      <c r="N18" s="571">
        <v>0</v>
      </c>
      <c r="O18" s="571">
        <v>0</v>
      </c>
      <c r="P18" s="571">
        <v>0</v>
      </c>
      <c r="Q18" s="571">
        <v>0</v>
      </c>
      <c r="R18" s="571">
        <v>0</v>
      </c>
      <c r="S18" s="70">
        <v>1.1095741391407673E-4</v>
      </c>
      <c r="T18" s="70">
        <v>1.1095741391407673E-4</v>
      </c>
      <c r="U18" s="70">
        <v>1.1095741391407673E-4</v>
      </c>
      <c r="V18" s="70">
        <v>1.1095741391407673E-4</v>
      </c>
      <c r="W18" s="70">
        <v>1.1095741391407673E-4</v>
      </c>
      <c r="X18" s="70">
        <v>1.1095741391407673E-4</v>
      </c>
      <c r="Y18" s="70">
        <v>1.1095741391407673E-4</v>
      </c>
      <c r="Z18" s="70">
        <v>1.1095741391407673E-4</v>
      </c>
      <c r="AA18" s="70">
        <v>1.1095741391407673E-4</v>
      </c>
      <c r="AB18" s="70">
        <v>1.1095741391407673E-4</v>
      </c>
    </row>
    <row r="19" spans="1:28" s="76" customFormat="1" x14ac:dyDescent="0.25">
      <c r="A19" s="68" t="s">
        <v>80</v>
      </c>
      <c r="B19" s="76" t="s">
        <v>91</v>
      </c>
      <c r="C19" s="571">
        <v>0</v>
      </c>
      <c r="D19" s="571">
        <v>0</v>
      </c>
      <c r="E19" s="571">
        <v>0</v>
      </c>
      <c r="F19" s="571">
        <v>0</v>
      </c>
      <c r="G19" s="571">
        <v>0</v>
      </c>
      <c r="H19" s="571">
        <v>0</v>
      </c>
      <c r="I19" s="571">
        <v>0</v>
      </c>
      <c r="J19" s="571">
        <v>0</v>
      </c>
      <c r="K19" s="571">
        <v>0</v>
      </c>
      <c r="L19" s="571">
        <v>0</v>
      </c>
      <c r="M19" s="571">
        <v>0</v>
      </c>
      <c r="N19" s="571">
        <v>0</v>
      </c>
      <c r="O19" s="571">
        <v>0</v>
      </c>
      <c r="P19" s="571">
        <v>0</v>
      </c>
      <c r="Q19" s="571">
        <v>0</v>
      </c>
      <c r="R19" s="571">
        <v>0</v>
      </c>
      <c r="S19" s="70">
        <v>1.6887862513844034E-3</v>
      </c>
      <c r="T19" s="70">
        <v>1.6887862513844034E-3</v>
      </c>
      <c r="U19" s="70">
        <v>1.6887862513844034E-3</v>
      </c>
      <c r="V19" s="70">
        <v>1.6887862513844034E-3</v>
      </c>
      <c r="W19" s="70">
        <v>1.6887862513844034E-3</v>
      </c>
      <c r="X19" s="70">
        <v>1.6887862513844034E-3</v>
      </c>
      <c r="Y19" s="70">
        <v>1.6887862513844034E-3</v>
      </c>
      <c r="Z19" s="70">
        <v>1.6887862513844034E-3</v>
      </c>
      <c r="AA19" s="70">
        <v>1.6887862513844034E-3</v>
      </c>
      <c r="AB19" s="70">
        <v>1.6887862513844034E-3</v>
      </c>
    </row>
    <row r="20" spans="1:28" s="76" customFormat="1" x14ac:dyDescent="0.25">
      <c r="A20" s="68" t="s">
        <v>81</v>
      </c>
      <c r="B20" s="76" t="s">
        <v>92</v>
      </c>
      <c r="C20" s="571">
        <v>0</v>
      </c>
      <c r="D20" s="571">
        <v>0</v>
      </c>
      <c r="E20" s="571">
        <v>0</v>
      </c>
      <c r="F20" s="571">
        <v>0</v>
      </c>
      <c r="G20" s="571">
        <v>0</v>
      </c>
      <c r="H20" s="571">
        <v>0</v>
      </c>
      <c r="I20" s="571">
        <v>0</v>
      </c>
      <c r="J20" s="571">
        <v>0</v>
      </c>
      <c r="K20" s="571">
        <v>0</v>
      </c>
      <c r="L20" s="571">
        <v>0</v>
      </c>
      <c r="M20" s="571">
        <v>0</v>
      </c>
      <c r="N20" s="571">
        <v>0</v>
      </c>
      <c r="O20" s="571">
        <v>0</v>
      </c>
      <c r="P20" s="571">
        <v>0</v>
      </c>
      <c r="Q20" s="571">
        <v>0</v>
      </c>
      <c r="R20" s="571">
        <v>0</v>
      </c>
      <c r="S20" s="70">
        <v>2.7183111448104702E-3</v>
      </c>
      <c r="T20" s="70">
        <v>2.7183111448104702E-3</v>
      </c>
      <c r="U20" s="70">
        <v>2.7183111448104702E-3</v>
      </c>
      <c r="V20" s="70">
        <v>2.7183111448104702E-3</v>
      </c>
      <c r="W20" s="70">
        <v>2.7183111448104702E-3</v>
      </c>
      <c r="X20" s="70">
        <v>2.7183111448104702E-3</v>
      </c>
      <c r="Y20" s="70">
        <v>2.7183111448104702E-3</v>
      </c>
      <c r="Z20" s="70">
        <v>2.7183111448104702E-3</v>
      </c>
      <c r="AA20" s="70">
        <v>2.7183111448104702E-3</v>
      </c>
      <c r="AB20" s="70">
        <v>2.7183111448104702E-3</v>
      </c>
    </row>
    <row r="21" spans="1:28" s="76" customFormat="1" x14ac:dyDescent="0.25">
      <c r="A21" s="68" t="s">
        <v>82</v>
      </c>
      <c r="B21" s="76" t="s">
        <v>93</v>
      </c>
      <c r="C21" s="571">
        <v>0</v>
      </c>
      <c r="D21" s="571">
        <v>0</v>
      </c>
      <c r="E21" s="571">
        <v>0</v>
      </c>
      <c r="F21" s="571">
        <v>0</v>
      </c>
      <c r="G21" s="571">
        <v>0</v>
      </c>
      <c r="H21" s="571">
        <v>0</v>
      </c>
      <c r="I21" s="571">
        <v>0</v>
      </c>
      <c r="J21" s="571">
        <v>0</v>
      </c>
      <c r="K21" s="571">
        <v>0</v>
      </c>
      <c r="L21" s="571">
        <v>0</v>
      </c>
      <c r="M21" s="571">
        <v>0</v>
      </c>
      <c r="N21" s="571">
        <v>0</v>
      </c>
      <c r="O21" s="571">
        <v>0</v>
      </c>
      <c r="P21" s="571">
        <v>0</v>
      </c>
      <c r="Q21" s="571">
        <v>0</v>
      </c>
      <c r="R21" s="571">
        <v>0</v>
      </c>
      <c r="S21" s="70">
        <v>3.6617914538683945E-4</v>
      </c>
      <c r="T21" s="70">
        <v>3.6617914538683945E-4</v>
      </c>
      <c r="U21" s="70">
        <v>3.6617914538683945E-4</v>
      </c>
      <c r="V21" s="70">
        <v>3.6617914538683945E-4</v>
      </c>
      <c r="W21" s="70">
        <v>3.6617914538683945E-4</v>
      </c>
      <c r="X21" s="70">
        <v>3.6617914538683945E-4</v>
      </c>
      <c r="Y21" s="70">
        <v>3.6617914538683945E-4</v>
      </c>
      <c r="Z21" s="70">
        <v>3.6617914538683945E-4</v>
      </c>
      <c r="AA21" s="70">
        <v>3.6617914538683945E-4</v>
      </c>
      <c r="AB21" s="70">
        <v>3.6617914538683945E-4</v>
      </c>
    </row>
    <row r="22" spans="1:28" s="76" customFormat="1" x14ac:dyDescent="0.25">
      <c r="A22" s="68" t="s">
        <v>83</v>
      </c>
      <c r="B22" s="76" t="s">
        <v>94</v>
      </c>
      <c r="C22" s="571">
        <v>0</v>
      </c>
      <c r="D22" s="571">
        <v>0</v>
      </c>
      <c r="E22" s="571">
        <v>0</v>
      </c>
      <c r="F22" s="571">
        <v>0</v>
      </c>
      <c r="G22" s="571">
        <v>0</v>
      </c>
      <c r="H22" s="571">
        <v>0</v>
      </c>
      <c r="I22" s="571">
        <v>0</v>
      </c>
      <c r="J22" s="571">
        <v>0</v>
      </c>
      <c r="K22" s="571">
        <v>0</v>
      </c>
      <c r="L22" s="571">
        <v>0</v>
      </c>
      <c r="M22" s="571">
        <v>0</v>
      </c>
      <c r="N22" s="571">
        <v>0</v>
      </c>
      <c r="O22" s="571">
        <v>0</v>
      </c>
      <c r="P22" s="571">
        <v>0</v>
      </c>
      <c r="Q22" s="571">
        <v>0</v>
      </c>
      <c r="R22" s="571">
        <v>0</v>
      </c>
      <c r="S22" s="70">
        <v>1.3635047053613698E-3</v>
      </c>
      <c r="T22" s="70">
        <v>1.3635047053613698E-3</v>
      </c>
      <c r="U22" s="70">
        <v>1.3635047053613698E-3</v>
      </c>
      <c r="V22" s="70">
        <v>1.3635047053613698E-3</v>
      </c>
      <c r="W22" s="70">
        <v>1.3635047053613698E-3</v>
      </c>
      <c r="X22" s="70">
        <v>1.3635047053613698E-3</v>
      </c>
      <c r="Y22" s="70">
        <v>1.3635047053613698E-3</v>
      </c>
      <c r="Z22" s="70">
        <v>1.3635047053613698E-3</v>
      </c>
      <c r="AA22" s="70">
        <v>1.3635047053613698E-3</v>
      </c>
      <c r="AB22" s="70">
        <v>1.3635047053613698E-3</v>
      </c>
    </row>
    <row r="23" spans="1:28" s="76" customFormat="1" x14ac:dyDescent="0.25">
      <c r="A23" s="68" t="s">
        <v>84</v>
      </c>
      <c r="B23" s="76" t="s">
        <v>95</v>
      </c>
      <c r="C23" s="571">
        <v>0</v>
      </c>
      <c r="D23" s="571">
        <v>0</v>
      </c>
      <c r="E23" s="571">
        <v>0</v>
      </c>
      <c r="F23" s="571">
        <v>0</v>
      </c>
      <c r="G23" s="571">
        <v>0</v>
      </c>
      <c r="H23" s="571">
        <v>0</v>
      </c>
      <c r="I23" s="571">
        <v>0</v>
      </c>
      <c r="J23" s="571">
        <v>0</v>
      </c>
      <c r="K23" s="571">
        <v>0</v>
      </c>
      <c r="L23" s="571">
        <v>0</v>
      </c>
      <c r="M23" s="571">
        <v>0</v>
      </c>
      <c r="N23" s="571">
        <v>0</v>
      </c>
      <c r="O23" s="571">
        <v>0</v>
      </c>
      <c r="P23" s="571">
        <v>0</v>
      </c>
      <c r="Q23" s="571">
        <v>0</v>
      </c>
      <c r="R23" s="571">
        <v>0</v>
      </c>
      <c r="S23" s="70">
        <v>3.9664720974399999E-2</v>
      </c>
      <c r="T23" s="70">
        <v>3.9664720974399999E-2</v>
      </c>
      <c r="U23" s="70">
        <v>3.9664720974399999E-2</v>
      </c>
      <c r="V23" s="70">
        <v>3.9664720974399999E-2</v>
      </c>
      <c r="W23" s="70">
        <v>3.9664720974399999E-2</v>
      </c>
      <c r="X23" s="70">
        <v>3.9664720974399999E-2</v>
      </c>
      <c r="Y23" s="70">
        <v>3.9664720974399999E-2</v>
      </c>
      <c r="Z23" s="70">
        <v>3.9664720974399999E-2</v>
      </c>
      <c r="AA23" s="70">
        <v>3.9664720974399999E-2</v>
      </c>
      <c r="AB23" s="70">
        <v>3.9664720974399999E-2</v>
      </c>
    </row>
    <row r="24" spans="1:28" s="76" customFormat="1" ht="15.75" thickBot="1" x14ac:dyDescent="0.3">
      <c r="A24" s="68" t="s">
        <v>85</v>
      </c>
      <c r="B24" s="76" t="s">
        <v>96</v>
      </c>
      <c r="C24" s="573">
        <v>0</v>
      </c>
      <c r="D24" s="573">
        <v>0</v>
      </c>
      <c r="E24" s="573">
        <v>0</v>
      </c>
      <c r="F24" s="573">
        <v>0</v>
      </c>
      <c r="G24" s="573">
        <v>0</v>
      </c>
      <c r="H24" s="573">
        <v>0</v>
      </c>
      <c r="I24" s="573">
        <v>0</v>
      </c>
      <c r="J24" s="573">
        <v>0</v>
      </c>
      <c r="K24" s="573">
        <v>0</v>
      </c>
      <c r="L24" s="573">
        <v>0</v>
      </c>
      <c r="M24" s="573">
        <v>0</v>
      </c>
      <c r="N24" s="573">
        <v>0</v>
      </c>
      <c r="O24" s="573">
        <v>0</v>
      </c>
      <c r="P24" s="573">
        <v>0</v>
      </c>
      <c r="Q24" s="573">
        <v>0</v>
      </c>
      <c r="R24" s="573">
        <v>0</v>
      </c>
      <c r="S24" s="70">
        <v>0.3</v>
      </c>
      <c r="T24" s="70">
        <v>0.3</v>
      </c>
      <c r="U24" s="70">
        <v>0.3</v>
      </c>
      <c r="V24" s="70">
        <v>0.3</v>
      </c>
      <c r="W24" s="70">
        <v>0</v>
      </c>
      <c r="X24" s="70">
        <v>0</v>
      </c>
      <c r="Y24" s="70">
        <v>0</v>
      </c>
      <c r="Z24" s="70">
        <v>0</v>
      </c>
      <c r="AA24" s="70">
        <v>0</v>
      </c>
      <c r="AB24" s="70">
        <v>0</v>
      </c>
    </row>
    <row r="25" spans="1:28" x14ac:dyDescent="0.25">
      <c r="A25" s="68" t="s">
        <v>102</v>
      </c>
      <c r="B25" s="76" t="s">
        <v>104</v>
      </c>
      <c r="C25" s="574">
        <v>0</v>
      </c>
      <c r="D25" s="574">
        <v>0</v>
      </c>
      <c r="E25" s="574">
        <v>0</v>
      </c>
      <c r="F25" s="574">
        <v>0</v>
      </c>
      <c r="G25" s="574">
        <v>0</v>
      </c>
      <c r="H25" s="574">
        <v>0</v>
      </c>
      <c r="I25" s="574">
        <v>0</v>
      </c>
      <c r="J25" s="574">
        <v>0</v>
      </c>
      <c r="K25" s="574">
        <v>0</v>
      </c>
      <c r="L25" s="574">
        <v>0</v>
      </c>
      <c r="M25" s="574">
        <v>0</v>
      </c>
      <c r="N25" s="574">
        <v>0</v>
      </c>
      <c r="O25" s="574">
        <v>0</v>
      </c>
      <c r="P25" s="574">
        <v>0</v>
      </c>
      <c r="Q25" s="574">
        <v>0</v>
      </c>
      <c r="R25" s="574">
        <v>0</v>
      </c>
      <c r="S25" s="575">
        <v>2.8000000000000001E-2</v>
      </c>
      <c r="T25" s="575">
        <v>2.7E-2</v>
      </c>
      <c r="U25" s="575">
        <v>2.5999999999999999E-2</v>
      </c>
      <c r="V25" s="575">
        <v>0</v>
      </c>
      <c r="W25" s="575">
        <v>0</v>
      </c>
      <c r="X25" s="575">
        <v>0</v>
      </c>
      <c r="Y25" s="575">
        <v>0</v>
      </c>
      <c r="Z25" s="575">
        <v>0</v>
      </c>
      <c r="AA25" s="575">
        <v>0</v>
      </c>
      <c r="AB25" s="575">
        <v>0</v>
      </c>
    </row>
    <row r="26" spans="1:28" ht="15.75" thickBot="1" x14ac:dyDescent="0.3">
      <c r="A26" s="68" t="s">
        <v>103</v>
      </c>
      <c r="B26" s="76" t="s">
        <v>92</v>
      </c>
      <c r="C26" s="576">
        <v>0</v>
      </c>
      <c r="D26" s="576">
        <v>0</v>
      </c>
      <c r="E26" s="576">
        <v>0</v>
      </c>
      <c r="F26" s="576">
        <v>0</v>
      </c>
      <c r="G26" s="576">
        <v>0</v>
      </c>
      <c r="H26" s="576">
        <v>0</v>
      </c>
      <c r="I26" s="576">
        <v>0</v>
      </c>
      <c r="J26" s="576">
        <v>0</v>
      </c>
      <c r="K26" s="576">
        <v>0</v>
      </c>
      <c r="L26" s="576">
        <v>0</v>
      </c>
      <c r="M26" s="576">
        <v>0</v>
      </c>
      <c r="N26" s="576">
        <v>0</v>
      </c>
      <c r="O26" s="576">
        <v>0</v>
      </c>
      <c r="P26" s="576">
        <v>0</v>
      </c>
      <c r="Q26" s="576">
        <v>0</v>
      </c>
      <c r="R26" s="576">
        <v>0</v>
      </c>
      <c r="S26" s="577">
        <v>0.08</v>
      </c>
      <c r="T26" s="577">
        <v>0.08</v>
      </c>
      <c r="U26" s="577">
        <v>0.08</v>
      </c>
      <c r="V26" s="577">
        <v>0.08</v>
      </c>
      <c r="W26" s="577">
        <v>0.08</v>
      </c>
      <c r="X26" s="577">
        <v>0.08</v>
      </c>
      <c r="Y26" s="577">
        <v>0.08</v>
      </c>
      <c r="Z26" s="577">
        <v>0.08</v>
      </c>
      <c r="AA26" s="577">
        <v>0.08</v>
      </c>
      <c r="AB26" s="577">
        <v>0.08</v>
      </c>
    </row>
    <row r="27" spans="1:28" x14ac:dyDescent="0.25">
      <c r="A27" s="68" t="s">
        <v>524</v>
      </c>
      <c r="B27" s="76" t="s">
        <v>525</v>
      </c>
    </row>
    <row r="29" spans="1:28" x14ac:dyDescent="0.25">
      <c r="O29" s="1" t="s">
        <v>58</v>
      </c>
    </row>
    <row r="30" spans="1:28" x14ac:dyDescent="0.25">
      <c r="A30" s="65" t="s">
        <v>54</v>
      </c>
      <c r="O30" s="581" t="s">
        <v>530</v>
      </c>
      <c r="P30" s="76"/>
      <c r="Q30" s="76"/>
    </row>
    <row r="31" spans="1:28" x14ac:dyDescent="0.25">
      <c r="A31" s="584" t="s">
        <v>526</v>
      </c>
      <c r="B31" s="76"/>
      <c r="C31" s="76"/>
      <c r="O31" s="1"/>
      <c r="P31" s="1"/>
      <c r="Q31" s="553"/>
    </row>
    <row r="32" spans="1:28" x14ac:dyDescent="0.25">
      <c r="A32" s="65" t="s">
        <v>528</v>
      </c>
      <c r="B32" s="1" t="s">
        <v>522</v>
      </c>
      <c r="C32" s="553" t="s">
        <v>527</v>
      </c>
      <c r="Q32" s="554"/>
    </row>
    <row r="33" spans="1:24" ht="15.75" thickBot="1" x14ac:dyDescent="0.3">
      <c r="A33" s="64">
        <v>2026</v>
      </c>
      <c r="B33">
        <v>3000</v>
      </c>
      <c r="C33" s="554">
        <v>898.17430788244815</v>
      </c>
      <c r="O33" t="s">
        <v>531</v>
      </c>
      <c r="P33" t="s">
        <v>512</v>
      </c>
      <c r="Q33" s="554"/>
    </row>
    <row r="34" spans="1:24" x14ac:dyDescent="0.25">
      <c r="A34" s="64">
        <v>2027</v>
      </c>
      <c r="B34">
        <v>3000</v>
      </c>
      <c r="C34" s="554">
        <v>654.76907044630457</v>
      </c>
      <c r="O34" s="569" t="s">
        <v>529</v>
      </c>
      <c r="P34" s="560">
        <f>+P35*P36</f>
        <v>3.1880169</v>
      </c>
      <c r="Q34" s="560">
        <v>0</v>
      </c>
      <c r="R34" s="560">
        <v>0</v>
      </c>
      <c r="S34" s="566">
        <v>0</v>
      </c>
      <c r="T34" s="388">
        <f>+P34+P39</f>
        <v>4.8990425000000002</v>
      </c>
      <c r="U34" s="388"/>
    </row>
    <row r="35" spans="1:24" x14ac:dyDescent="0.25">
      <c r="A35" s="64">
        <v>2028</v>
      </c>
      <c r="B35">
        <v>3000</v>
      </c>
      <c r="C35" s="554">
        <v>459.86524563581355</v>
      </c>
      <c r="O35" s="570" t="s">
        <v>118</v>
      </c>
      <c r="P35" s="565">
        <f>8.13/1000</f>
        <v>8.1300000000000001E-3</v>
      </c>
      <c r="Q35" s="565">
        <v>0</v>
      </c>
      <c r="R35" s="565">
        <v>0</v>
      </c>
      <c r="S35" s="563">
        <v>0</v>
      </c>
      <c r="T35" s="388">
        <f>+SUM(P44:X44)</f>
        <v>39.867930000000001</v>
      </c>
    </row>
    <row r="36" spans="1:24" ht="15.75" thickBot="1" x14ac:dyDescent="0.3">
      <c r="A36" s="64">
        <v>2029</v>
      </c>
      <c r="B36">
        <v>3000</v>
      </c>
      <c r="C36" s="554">
        <v>308.07378760367976</v>
      </c>
      <c r="O36" s="567" t="s">
        <v>119</v>
      </c>
      <c r="P36" s="562">
        <v>392.13</v>
      </c>
      <c r="Q36" s="562">
        <v>0</v>
      </c>
      <c r="R36" s="562">
        <v>0</v>
      </c>
      <c r="S36" s="561">
        <v>0</v>
      </c>
      <c r="T36" s="388">
        <f>+T34+T35</f>
        <v>44.766972500000001</v>
      </c>
      <c r="U36" t="s">
        <v>549</v>
      </c>
    </row>
    <row r="37" spans="1:24" ht="15.75" thickBot="1" x14ac:dyDescent="0.3"/>
    <row r="38" spans="1:24" ht="15.75" thickBot="1" x14ac:dyDescent="0.3">
      <c r="A38" s="585" t="s">
        <v>529</v>
      </c>
      <c r="B38" s="560">
        <f>+C33/1000</f>
        <v>0.89817430788244812</v>
      </c>
      <c r="C38" s="560">
        <f>+C34/1000</f>
        <v>0.65476907044630461</v>
      </c>
      <c r="D38" s="560">
        <f>+C35/1000</f>
        <v>0.45986524563581355</v>
      </c>
      <c r="E38" s="566">
        <f>+C36/1000</f>
        <v>0.30807378760367976</v>
      </c>
      <c r="F38" s="74"/>
      <c r="G38" s="74"/>
      <c r="H38" s="74"/>
      <c r="I38" s="74"/>
      <c r="O38" t="s">
        <v>531</v>
      </c>
      <c r="P38" t="s">
        <v>513</v>
      </c>
      <c r="Q38" s="554"/>
    </row>
    <row r="39" spans="1:24" x14ac:dyDescent="0.25">
      <c r="A39" s="586" t="s">
        <v>118</v>
      </c>
      <c r="B39" s="565">
        <f>3000/1000</f>
        <v>3</v>
      </c>
      <c r="C39" s="565">
        <f t="shared" ref="C39:E39" si="0">3000/1000</f>
        <v>3</v>
      </c>
      <c r="D39" s="565">
        <f t="shared" si="0"/>
        <v>3</v>
      </c>
      <c r="E39" s="563">
        <f t="shared" si="0"/>
        <v>3</v>
      </c>
      <c r="F39" s="74"/>
      <c r="G39" s="74"/>
      <c r="H39" s="74"/>
      <c r="I39" s="74"/>
      <c r="O39" s="569" t="s">
        <v>529</v>
      </c>
      <c r="P39" s="560">
        <f>+P40*P41</f>
        <v>1.7110255999999999</v>
      </c>
      <c r="Q39" s="560">
        <v>0</v>
      </c>
      <c r="R39" s="560">
        <v>0</v>
      </c>
      <c r="S39" s="566">
        <v>0</v>
      </c>
    </row>
    <row r="40" spans="1:24" ht="15.75" thickBot="1" x14ac:dyDescent="0.3">
      <c r="A40" s="587" t="s">
        <v>119</v>
      </c>
      <c r="B40" s="562">
        <f>+B38/B39</f>
        <v>0.29939143596081602</v>
      </c>
      <c r="C40" s="562">
        <f t="shared" ref="C40:E40" si="1">+C38/C39</f>
        <v>0.21825635681543487</v>
      </c>
      <c r="D40" s="562">
        <f t="shared" si="1"/>
        <v>0.15328841521193784</v>
      </c>
      <c r="E40" s="561">
        <f t="shared" si="1"/>
        <v>0.10269126253455992</v>
      </c>
      <c r="F40" s="74"/>
      <c r="G40" s="74"/>
      <c r="H40" s="74"/>
      <c r="I40" s="74"/>
      <c r="O40" s="570" t="s">
        <v>118</v>
      </c>
      <c r="P40" s="565">
        <f>3.76/1000</f>
        <v>3.7599999999999999E-3</v>
      </c>
      <c r="Q40" s="565">
        <v>0</v>
      </c>
      <c r="R40" s="565">
        <v>0</v>
      </c>
      <c r="S40" s="563">
        <v>0</v>
      </c>
    </row>
    <row r="41" spans="1:24" ht="15.75" thickBot="1" x14ac:dyDescent="0.3">
      <c r="O41" s="567" t="s">
        <v>119</v>
      </c>
      <c r="P41" s="562">
        <v>455.06</v>
      </c>
      <c r="Q41" s="562">
        <v>0</v>
      </c>
      <c r="R41" s="562">
        <v>0</v>
      </c>
      <c r="S41" s="561">
        <v>0</v>
      </c>
    </row>
    <row r="42" spans="1:24" x14ac:dyDescent="0.25">
      <c r="G42">
        <f>689380/(2035-2025)</f>
        <v>68938</v>
      </c>
    </row>
    <row r="43" spans="1:24" ht="15.75" thickBot="1" x14ac:dyDescent="0.3">
      <c r="G43">
        <f>+G42/1000</f>
        <v>68.938000000000002</v>
      </c>
      <c r="O43" t="s">
        <v>512</v>
      </c>
      <c r="P43" s="76">
        <v>2027</v>
      </c>
      <c r="Q43" s="564">
        <v>2028</v>
      </c>
      <c r="R43" s="76">
        <v>2029</v>
      </c>
      <c r="S43" s="564">
        <v>2030</v>
      </c>
      <c r="T43" s="76">
        <v>2031</v>
      </c>
      <c r="U43" s="564">
        <v>2032</v>
      </c>
      <c r="V43" s="76">
        <v>2033</v>
      </c>
      <c r="W43" s="564">
        <v>2034</v>
      </c>
      <c r="X43" s="76">
        <v>2035</v>
      </c>
    </row>
    <row r="44" spans="1:24" x14ac:dyDescent="0.25">
      <c r="A44" s="588" t="s">
        <v>532</v>
      </c>
      <c r="O44" s="569" t="s">
        <v>529</v>
      </c>
      <c r="P44" s="560">
        <f>4429.77/1000</f>
        <v>4.4297700000000004</v>
      </c>
      <c r="Q44" s="560">
        <f>4429.77/1000</f>
        <v>4.4297700000000004</v>
      </c>
      <c r="R44" s="560">
        <f t="shared" ref="R44:X44" si="2">4429.77/1000</f>
        <v>4.4297700000000004</v>
      </c>
      <c r="S44" s="560">
        <f t="shared" si="2"/>
        <v>4.4297700000000004</v>
      </c>
      <c r="T44" s="560">
        <f t="shared" si="2"/>
        <v>4.4297700000000004</v>
      </c>
      <c r="U44" s="560">
        <f t="shared" si="2"/>
        <v>4.4297700000000004</v>
      </c>
      <c r="V44" s="560">
        <f t="shared" si="2"/>
        <v>4.4297700000000004</v>
      </c>
      <c r="W44" s="560">
        <f t="shared" si="2"/>
        <v>4.4297700000000004</v>
      </c>
      <c r="X44" s="566">
        <f t="shared" si="2"/>
        <v>4.4297700000000004</v>
      </c>
    </row>
    <row r="45" spans="1:24" ht="15.75" thickBot="1" x14ac:dyDescent="0.3">
      <c r="O45" s="570" t="s">
        <v>118</v>
      </c>
      <c r="P45" s="565">
        <f>+P44/P46</f>
        <v>1.1296935448206731E-2</v>
      </c>
      <c r="Q45" s="565">
        <f t="shared" ref="Q45:X45" si="3">+Q44/Q46</f>
        <v>1.1296935448206731E-2</v>
      </c>
      <c r="R45" s="565">
        <f t="shared" si="3"/>
        <v>1.1296935448206731E-2</v>
      </c>
      <c r="S45" s="565">
        <f t="shared" si="3"/>
        <v>1.1296935448206731E-2</v>
      </c>
      <c r="T45" s="565">
        <f t="shared" si="3"/>
        <v>1.1268198941332156E-2</v>
      </c>
      <c r="U45" s="565">
        <f t="shared" si="3"/>
        <v>1.1239608260123492E-2</v>
      </c>
      <c r="V45" s="565">
        <f t="shared" si="3"/>
        <v>1.1211162297384282E-2</v>
      </c>
      <c r="W45" s="565">
        <f t="shared" si="3"/>
        <v>1.1182859957098454E-2</v>
      </c>
      <c r="X45" s="563">
        <f t="shared" si="3"/>
        <v>1.1154700154289541E-2</v>
      </c>
    </row>
    <row r="46" spans="1:24" ht="15.75" thickBot="1" x14ac:dyDescent="0.3">
      <c r="A46" s="589" t="s">
        <v>514</v>
      </c>
      <c r="B46" s="578">
        <v>2026</v>
      </c>
      <c r="C46" s="578">
        <v>2027</v>
      </c>
      <c r="D46" s="579">
        <v>2028</v>
      </c>
      <c r="E46" s="578">
        <v>2029</v>
      </c>
      <c r="F46" s="578">
        <v>2030</v>
      </c>
      <c r="G46" s="578">
        <v>2031</v>
      </c>
      <c r="H46" s="578">
        <v>2032</v>
      </c>
      <c r="I46" s="578">
        <v>2033</v>
      </c>
      <c r="J46" s="578">
        <v>2034</v>
      </c>
      <c r="K46" s="580">
        <v>2035</v>
      </c>
      <c r="O46" s="567" t="s">
        <v>119</v>
      </c>
      <c r="P46" s="562">
        <v>392.12138728323703</v>
      </c>
      <c r="Q46" s="562">
        <v>392.12138728323703</v>
      </c>
      <c r="R46" s="562">
        <v>392.12138728323703</v>
      </c>
      <c r="S46" s="561">
        <v>392.12138728323703</v>
      </c>
      <c r="T46" s="561">
        <v>393.12138728323703</v>
      </c>
      <c r="U46" s="561">
        <v>394.12138728323703</v>
      </c>
      <c r="V46" s="561">
        <v>395.12138728323703</v>
      </c>
      <c r="W46" s="561">
        <v>396.12138728323703</v>
      </c>
      <c r="X46" s="561">
        <v>397.12138728323703</v>
      </c>
    </row>
    <row r="47" spans="1:24" x14ac:dyDescent="0.25">
      <c r="A47" s="585" t="s">
        <v>529</v>
      </c>
      <c r="B47" s="560">
        <f>+B48*B49</f>
        <v>3231.0322050000004</v>
      </c>
      <c r="C47" s="560">
        <f t="shared" ref="C47:K47" si="4">+C48*C49</f>
        <v>3231.032205</v>
      </c>
      <c r="D47" s="560">
        <f t="shared" si="4"/>
        <v>3231.032205</v>
      </c>
      <c r="E47" s="560">
        <f t="shared" si="4"/>
        <v>3231.032205</v>
      </c>
      <c r="F47" s="560">
        <f t="shared" si="4"/>
        <v>3231.032205</v>
      </c>
      <c r="G47" s="560">
        <f t="shared" si="4"/>
        <v>3231.032205</v>
      </c>
      <c r="H47" s="560">
        <f t="shared" si="4"/>
        <v>3231.032205</v>
      </c>
      <c r="I47" s="560">
        <f t="shared" si="4"/>
        <v>3231.032205</v>
      </c>
      <c r="J47" s="560">
        <f t="shared" si="4"/>
        <v>3231.032205</v>
      </c>
      <c r="K47" s="566">
        <f t="shared" si="4"/>
        <v>3231.032205</v>
      </c>
    </row>
    <row r="48" spans="1:24" x14ac:dyDescent="0.25">
      <c r="A48" s="586" t="s">
        <v>118</v>
      </c>
      <c r="B48" s="565">
        <v>5.4629000000000003</v>
      </c>
      <c r="C48" s="565">
        <v>5.4628999999999994</v>
      </c>
      <c r="D48" s="565">
        <v>5.4628999999999994</v>
      </c>
      <c r="E48" s="565">
        <v>5.4628999999999994</v>
      </c>
      <c r="F48" s="565">
        <v>5.4628999999999994</v>
      </c>
      <c r="G48" s="565">
        <v>5.4628999999999994</v>
      </c>
      <c r="H48" s="565">
        <v>5.4628999999999994</v>
      </c>
      <c r="I48" s="565">
        <v>5.4628999999999994</v>
      </c>
      <c r="J48" s="565">
        <v>5.4628999999999994</v>
      </c>
      <c r="K48" s="563">
        <v>5.4628999999999994</v>
      </c>
    </row>
    <row r="49" spans="1:26" ht="15.75" thickBot="1" x14ac:dyDescent="0.3">
      <c r="A49" s="587" t="s">
        <v>119</v>
      </c>
      <c r="B49" s="562">
        <v>591.45000000000005</v>
      </c>
      <c r="C49" s="562">
        <v>591.45000000000005</v>
      </c>
      <c r="D49" s="562">
        <v>591.45000000000005</v>
      </c>
      <c r="E49" s="562">
        <v>591.45000000000005</v>
      </c>
      <c r="F49" s="562">
        <v>591.45000000000005</v>
      </c>
      <c r="G49" s="562">
        <v>591.45000000000005</v>
      </c>
      <c r="H49" s="562">
        <v>591.45000000000005</v>
      </c>
      <c r="I49" s="562">
        <v>591.45000000000005</v>
      </c>
      <c r="J49" s="562">
        <v>591.45000000000005</v>
      </c>
      <c r="K49" s="562">
        <v>591.45000000000005</v>
      </c>
      <c r="O49" s="581" t="s">
        <v>537</v>
      </c>
    </row>
    <row r="50" spans="1:26" ht="15.75" thickBot="1" x14ac:dyDescent="0.3">
      <c r="O50" t="s">
        <v>538</v>
      </c>
      <c r="P50" s="76">
        <v>2027</v>
      </c>
      <c r="Q50" s="564">
        <v>2028</v>
      </c>
      <c r="R50" s="76">
        <v>2029</v>
      </c>
      <c r="S50" s="564">
        <v>2030</v>
      </c>
      <c r="T50" s="76">
        <v>2031</v>
      </c>
      <c r="U50" s="564">
        <v>2032</v>
      </c>
      <c r="V50" s="76">
        <v>2033</v>
      </c>
      <c r="W50" s="564">
        <v>2034</v>
      </c>
      <c r="X50" s="76">
        <v>2035</v>
      </c>
    </row>
    <row r="51" spans="1:26" ht="15.75" thickBot="1" x14ac:dyDescent="0.3">
      <c r="A51" s="589" t="s">
        <v>62</v>
      </c>
      <c r="B51" s="578">
        <v>2026</v>
      </c>
      <c r="C51" s="578">
        <v>2027</v>
      </c>
      <c r="D51" s="579">
        <v>2028</v>
      </c>
      <c r="E51" s="578">
        <v>2029</v>
      </c>
      <c r="F51" s="578">
        <v>2030</v>
      </c>
      <c r="G51" s="578">
        <v>2031</v>
      </c>
      <c r="H51" s="578">
        <v>2032</v>
      </c>
      <c r="I51" s="578">
        <v>2033</v>
      </c>
      <c r="J51" s="578">
        <v>2034</v>
      </c>
      <c r="K51" s="580">
        <v>2035</v>
      </c>
      <c r="O51" s="569" t="s">
        <v>529</v>
      </c>
      <c r="P51" s="560">
        <f>+P52*P53</f>
        <v>144.09496350000001</v>
      </c>
      <c r="Q51" s="560">
        <f t="shared" ref="Q51:R51" si="5">+Q52*Q53</f>
        <v>144.09496350000001</v>
      </c>
      <c r="R51" s="560">
        <f t="shared" si="5"/>
        <v>144.09496350000001</v>
      </c>
      <c r="S51" s="560"/>
      <c r="T51" s="560"/>
      <c r="U51" s="560"/>
      <c r="V51" s="560"/>
      <c r="W51" s="560"/>
      <c r="X51" s="566"/>
      <c r="Y51" s="388">
        <f>+SUM(P51:R51)</f>
        <v>432.28489050000002</v>
      </c>
      <c r="Z51" t="s">
        <v>548</v>
      </c>
    </row>
    <row r="52" spans="1:26" x14ac:dyDescent="0.25">
      <c r="A52" s="585" t="s">
        <v>529</v>
      </c>
      <c r="B52" s="560">
        <f>+B53*B54</f>
        <v>1111.57196</v>
      </c>
      <c r="C52" s="560">
        <f t="shared" ref="C52" si="6">+C53*C54</f>
        <v>1111.57196</v>
      </c>
      <c r="D52" s="560">
        <f t="shared" ref="D52" si="7">+D53*D54</f>
        <v>1111.57196</v>
      </c>
      <c r="E52" s="560">
        <f t="shared" ref="E52" si="8">+E53*E54</f>
        <v>1111.57196</v>
      </c>
      <c r="F52" s="560">
        <f t="shared" ref="F52" si="9">+F53*F54</f>
        <v>1111.57196</v>
      </c>
      <c r="G52" s="560">
        <f t="shared" ref="G52" si="10">+G53*G54</f>
        <v>1111.57196</v>
      </c>
      <c r="H52" s="560">
        <f t="shared" ref="H52" si="11">+H53*H54</f>
        <v>1111.57196</v>
      </c>
      <c r="I52" s="560">
        <f t="shared" ref="I52" si="12">+I53*I54</f>
        <v>1111.57196</v>
      </c>
      <c r="J52" s="560">
        <f t="shared" ref="J52" si="13">+J53*J54</f>
        <v>1111.57196</v>
      </c>
      <c r="K52" s="566">
        <f t="shared" ref="K52" si="14">+K53*K54</f>
        <v>1111.57196</v>
      </c>
      <c r="O52" s="570" t="s">
        <v>118</v>
      </c>
      <c r="P52" s="560">
        <v>0.24362999999999999</v>
      </c>
      <c r="Q52" s="560">
        <v>0.24362999999999999</v>
      </c>
      <c r="R52" s="560">
        <v>0.24362999999999999</v>
      </c>
      <c r="S52" s="565"/>
      <c r="T52" s="565"/>
      <c r="U52" s="565"/>
      <c r="V52" s="565"/>
      <c r="W52" s="565"/>
      <c r="X52" s="563"/>
    </row>
    <row r="53" spans="1:26" ht="15.75" thickBot="1" x14ac:dyDescent="0.3">
      <c r="A53" s="586" t="s">
        <v>118</v>
      </c>
      <c r="B53" s="565">
        <v>3.9664999999999999</v>
      </c>
      <c r="C53" s="565">
        <v>3.9664999999999999</v>
      </c>
      <c r="D53" s="565">
        <v>3.9664999999999999</v>
      </c>
      <c r="E53" s="565">
        <v>3.9664999999999999</v>
      </c>
      <c r="F53" s="565">
        <v>3.9664999999999999</v>
      </c>
      <c r="G53" s="565">
        <v>3.9664999999999999</v>
      </c>
      <c r="H53" s="565">
        <v>3.9664999999999999</v>
      </c>
      <c r="I53" s="565">
        <v>3.9664999999999999</v>
      </c>
      <c r="J53" s="565">
        <v>3.9664999999999999</v>
      </c>
      <c r="K53" s="563">
        <v>3.9664999999999999</v>
      </c>
      <c r="O53" s="567" t="s">
        <v>119</v>
      </c>
      <c r="P53" s="562">
        <v>591.45000000000005</v>
      </c>
      <c r="Q53" s="562">
        <v>591.45000000000005</v>
      </c>
      <c r="R53" s="562">
        <v>591.45000000000005</v>
      </c>
      <c r="S53" s="561"/>
      <c r="T53" s="561"/>
      <c r="U53" s="561"/>
      <c r="V53" s="561"/>
      <c r="W53" s="561"/>
      <c r="X53" s="561"/>
    </row>
    <row r="54" spans="1:26" ht="15.75" thickBot="1" x14ac:dyDescent="0.3">
      <c r="A54" s="587" t="s">
        <v>119</v>
      </c>
      <c r="B54" s="562">
        <v>280.24</v>
      </c>
      <c r="C54" s="562">
        <v>280.24</v>
      </c>
      <c r="D54" s="562">
        <v>280.24</v>
      </c>
      <c r="E54" s="562">
        <v>280.24</v>
      </c>
      <c r="F54" s="562">
        <v>280.24</v>
      </c>
      <c r="G54" s="562">
        <v>280.24</v>
      </c>
      <c r="H54" s="562">
        <v>280.24</v>
      </c>
      <c r="I54" s="562">
        <v>280.24</v>
      </c>
      <c r="J54" s="562">
        <v>280.24</v>
      </c>
      <c r="K54" s="561">
        <v>280.24</v>
      </c>
    </row>
    <row r="55" spans="1:26" ht="15.75" thickBot="1" x14ac:dyDescent="0.3"/>
    <row r="56" spans="1:26" ht="15.75" thickBot="1" x14ac:dyDescent="0.3">
      <c r="A56" s="589" t="s">
        <v>533</v>
      </c>
      <c r="B56" s="578">
        <v>2026</v>
      </c>
      <c r="C56" s="578">
        <v>2027</v>
      </c>
      <c r="D56" s="579">
        <v>2028</v>
      </c>
      <c r="E56" s="578">
        <v>2029</v>
      </c>
      <c r="F56" s="578">
        <v>2030</v>
      </c>
      <c r="G56" s="578">
        <v>2031</v>
      </c>
      <c r="H56" s="578">
        <v>2032</v>
      </c>
      <c r="I56" s="578">
        <v>2033</v>
      </c>
      <c r="J56" s="578">
        <v>2034</v>
      </c>
      <c r="K56" s="580">
        <v>2035</v>
      </c>
      <c r="X56" t="s">
        <v>547</v>
      </c>
      <c r="Y56" s="388">
        <f>+Y51+T36</f>
        <v>477.05186300000003</v>
      </c>
    </row>
    <row r="57" spans="1:26" x14ac:dyDescent="0.25">
      <c r="A57" s="585" t="s">
        <v>529</v>
      </c>
      <c r="B57" s="560">
        <v>0.71</v>
      </c>
      <c r="C57" s="560">
        <v>0.71</v>
      </c>
      <c r="D57" s="560">
        <v>0.71</v>
      </c>
      <c r="E57" s="560">
        <v>0.71</v>
      </c>
      <c r="F57" s="560">
        <v>0.71</v>
      </c>
      <c r="G57" s="560">
        <v>0.71</v>
      </c>
      <c r="H57" s="560">
        <v>0.71</v>
      </c>
      <c r="I57" s="560">
        <v>0.71</v>
      </c>
      <c r="J57" s="560">
        <v>0.71</v>
      </c>
      <c r="K57" s="566">
        <v>0.71</v>
      </c>
    </row>
    <row r="58" spans="1:26" x14ac:dyDescent="0.25">
      <c r="A58" s="586" t="s">
        <v>118</v>
      </c>
      <c r="B58" s="565">
        <v>5.6799999999999996E-2</v>
      </c>
      <c r="C58" s="565">
        <v>5.6799999999999996E-2</v>
      </c>
      <c r="D58" s="565">
        <v>5.6799999999999996E-2</v>
      </c>
      <c r="E58" s="565">
        <v>5.6799999999999996E-2</v>
      </c>
      <c r="F58" s="565">
        <v>5.6799999999999996E-2</v>
      </c>
      <c r="G58" s="565">
        <v>5.6799999999999996E-2</v>
      </c>
      <c r="H58" s="565">
        <v>5.6799999999999996E-2</v>
      </c>
      <c r="I58" s="565">
        <v>5.6799999999999996E-2</v>
      </c>
      <c r="J58" s="565">
        <v>5.6799999999999996E-2</v>
      </c>
      <c r="K58" s="563">
        <v>5.6799999999999996E-2</v>
      </c>
    </row>
    <row r="59" spans="1:26" ht="15.75" thickBot="1" x14ac:dyDescent="0.3">
      <c r="A59" s="587" t="s">
        <v>119</v>
      </c>
      <c r="B59" s="562">
        <f>+B57/B58</f>
        <v>12.5</v>
      </c>
      <c r="C59" s="562">
        <f t="shared" ref="C59:K59" si="15">+C57/C58</f>
        <v>12.5</v>
      </c>
      <c r="D59" s="562">
        <f t="shared" si="15"/>
        <v>12.5</v>
      </c>
      <c r="E59" s="562">
        <f t="shared" si="15"/>
        <v>12.5</v>
      </c>
      <c r="F59" s="562">
        <f t="shared" si="15"/>
        <v>12.5</v>
      </c>
      <c r="G59" s="562">
        <f t="shared" si="15"/>
        <v>12.5</v>
      </c>
      <c r="H59" s="562">
        <f t="shared" si="15"/>
        <v>12.5</v>
      </c>
      <c r="I59" s="562">
        <f t="shared" si="15"/>
        <v>12.5</v>
      </c>
      <c r="J59" s="562">
        <f t="shared" si="15"/>
        <v>12.5</v>
      </c>
      <c r="K59" s="561">
        <f t="shared" si="15"/>
        <v>12.5</v>
      </c>
    </row>
    <row r="60" spans="1:26" ht="15.75" thickBot="1" x14ac:dyDescent="0.3"/>
    <row r="61" spans="1:26" ht="15.75" thickBot="1" x14ac:dyDescent="0.3">
      <c r="A61" s="589" t="s">
        <v>517</v>
      </c>
      <c r="B61" s="578">
        <v>2026</v>
      </c>
      <c r="C61" s="578">
        <v>2027</v>
      </c>
      <c r="D61" s="579">
        <v>2028</v>
      </c>
      <c r="E61" s="578">
        <v>2029</v>
      </c>
      <c r="F61" s="578">
        <v>2030</v>
      </c>
      <c r="G61" s="578">
        <v>2031</v>
      </c>
      <c r="H61" s="578">
        <v>2032</v>
      </c>
      <c r="I61" s="578">
        <v>2033</v>
      </c>
      <c r="J61" s="578">
        <v>2034</v>
      </c>
      <c r="K61" s="580">
        <v>2035</v>
      </c>
    </row>
    <row r="62" spans="1:26" x14ac:dyDescent="0.25">
      <c r="A62" s="585" t="s">
        <v>529</v>
      </c>
      <c r="B62" s="560">
        <v>18.851099999999999</v>
      </c>
      <c r="C62" s="560">
        <v>18.851099999999999</v>
      </c>
      <c r="D62" s="560">
        <v>18.851099999999999</v>
      </c>
      <c r="E62" s="560">
        <v>18.851099999999999</v>
      </c>
      <c r="F62" s="560">
        <v>18.851099999999999</v>
      </c>
      <c r="G62" s="560">
        <v>18.851099999999999</v>
      </c>
      <c r="H62" s="560">
        <v>18.851099999999999</v>
      </c>
      <c r="I62" s="560">
        <v>18.851099999999999</v>
      </c>
      <c r="J62" s="560">
        <v>18.851099999999999</v>
      </c>
      <c r="K62" s="566">
        <v>18.851099999999999</v>
      </c>
    </row>
    <row r="63" spans="1:26" x14ac:dyDescent="0.25">
      <c r="A63" s="586" t="s">
        <v>118</v>
      </c>
      <c r="B63" s="565">
        <v>2.1061999999999999</v>
      </c>
      <c r="C63" s="565">
        <v>2.1061999999999999</v>
      </c>
      <c r="D63" s="565">
        <v>2.1061999999999999</v>
      </c>
      <c r="E63" s="565">
        <v>2.1061999999999999</v>
      </c>
      <c r="F63" s="565">
        <v>2.1061999999999999</v>
      </c>
      <c r="G63" s="565">
        <v>2.1061999999999999</v>
      </c>
      <c r="H63" s="565">
        <v>2.1061999999999999</v>
      </c>
      <c r="I63" s="565">
        <v>2.1061999999999999</v>
      </c>
      <c r="J63" s="565">
        <v>2.1061999999999999</v>
      </c>
      <c r="K63" s="563">
        <v>2.1061999999999999</v>
      </c>
    </row>
    <row r="64" spans="1:26" ht="15.75" thickBot="1" x14ac:dyDescent="0.3">
      <c r="A64" s="587" t="s">
        <v>119</v>
      </c>
      <c r="B64" s="562">
        <f>+B62/B63</f>
        <v>8.9502896211186016</v>
      </c>
      <c r="C64" s="562">
        <f t="shared" ref="C64:K64" si="16">+C62/C63</f>
        <v>8.9502896211186016</v>
      </c>
      <c r="D64" s="562">
        <f t="shared" si="16"/>
        <v>8.9502896211186016</v>
      </c>
      <c r="E64" s="562">
        <f t="shared" si="16"/>
        <v>8.9502896211186016</v>
      </c>
      <c r="F64" s="562">
        <f t="shared" si="16"/>
        <v>8.9502896211186016</v>
      </c>
      <c r="G64" s="562">
        <f t="shared" si="16"/>
        <v>8.9502896211186016</v>
      </c>
      <c r="H64" s="562">
        <f t="shared" si="16"/>
        <v>8.9502896211186016</v>
      </c>
      <c r="I64" s="562">
        <f t="shared" si="16"/>
        <v>8.9502896211186016</v>
      </c>
      <c r="J64" s="562">
        <f t="shared" si="16"/>
        <v>8.9502896211186016</v>
      </c>
      <c r="K64" s="561">
        <f t="shared" si="16"/>
        <v>8.9502896211186016</v>
      </c>
    </row>
    <row r="65" spans="1:11" ht="15.75" thickBot="1" x14ac:dyDescent="0.3"/>
    <row r="66" spans="1:11" ht="15.75" thickBot="1" x14ac:dyDescent="0.3">
      <c r="A66" s="589" t="s">
        <v>534</v>
      </c>
      <c r="B66" s="578">
        <v>2026</v>
      </c>
      <c r="C66" s="578">
        <v>2027</v>
      </c>
      <c r="D66" s="579">
        <v>2028</v>
      </c>
      <c r="E66" s="578">
        <v>2029</v>
      </c>
      <c r="F66" s="578">
        <v>2030</v>
      </c>
      <c r="G66" s="578">
        <v>2031</v>
      </c>
      <c r="H66" s="578">
        <v>2032</v>
      </c>
      <c r="I66" s="578">
        <v>2033</v>
      </c>
      <c r="J66" s="578">
        <v>2034</v>
      </c>
      <c r="K66" s="580">
        <v>2035</v>
      </c>
    </row>
    <row r="67" spans="1:11" x14ac:dyDescent="0.25">
      <c r="A67" s="585" t="s">
        <v>529</v>
      </c>
      <c r="B67" s="560">
        <v>99.740100000000012</v>
      </c>
      <c r="C67" s="560">
        <v>99.740100000000012</v>
      </c>
      <c r="D67" s="560">
        <v>99.740100000000012</v>
      </c>
      <c r="E67" s="560">
        <v>99.740100000000012</v>
      </c>
      <c r="F67" s="560">
        <v>99.740100000000012</v>
      </c>
      <c r="G67" s="560">
        <v>99.740100000000012</v>
      </c>
      <c r="H67" s="560">
        <v>99.740100000000012</v>
      </c>
      <c r="I67" s="560">
        <v>99.740100000000012</v>
      </c>
      <c r="J67" s="560">
        <v>99.740100000000012</v>
      </c>
      <c r="K67" s="566">
        <v>99.740100000000012</v>
      </c>
    </row>
    <row r="68" spans="1:11" x14ac:dyDescent="0.25">
      <c r="A68" s="586" t="s">
        <v>118</v>
      </c>
      <c r="B68" s="565">
        <f>+B67/B69</f>
        <v>7.9792080000000007</v>
      </c>
      <c r="C68" s="565">
        <f t="shared" ref="C68:K68" si="17">+C67/C69</f>
        <v>7.9792080000000007</v>
      </c>
      <c r="D68" s="565">
        <f t="shared" si="17"/>
        <v>7.9792080000000007</v>
      </c>
      <c r="E68" s="565">
        <f t="shared" si="17"/>
        <v>7.9792080000000007</v>
      </c>
      <c r="F68" s="565">
        <f t="shared" si="17"/>
        <v>7.9792080000000007</v>
      </c>
      <c r="G68" s="565">
        <f t="shared" si="17"/>
        <v>7.9792080000000007</v>
      </c>
      <c r="H68" s="565">
        <f t="shared" si="17"/>
        <v>7.9792080000000007</v>
      </c>
      <c r="I68" s="565">
        <f t="shared" si="17"/>
        <v>7.9792080000000007</v>
      </c>
      <c r="J68" s="565">
        <f t="shared" si="17"/>
        <v>7.9792080000000007</v>
      </c>
      <c r="K68" s="563">
        <f t="shared" si="17"/>
        <v>7.9792080000000007</v>
      </c>
    </row>
    <row r="69" spans="1:11" ht="15.75" thickBot="1" x14ac:dyDescent="0.3">
      <c r="A69" s="587" t="s">
        <v>119</v>
      </c>
      <c r="B69" s="562">
        <v>12.5</v>
      </c>
      <c r="C69" s="562">
        <v>12.5</v>
      </c>
      <c r="D69" s="562">
        <v>12.5</v>
      </c>
      <c r="E69" s="562">
        <v>12.5</v>
      </c>
      <c r="F69" s="562">
        <v>12.5</v>
      </c>
      <c r="G69" s="562">
        <v>12.5</v>
      </c>
      <c r="H69" s="562">
        <v>12.5</v>
      </c>
      <c r="I69" s="562">
        <v>12.5</v>
      </c>
      <c r="J69" s="562">
        <v>12.5</v>
      </c>
      <c r="K69" s="562">
        <v>12.5</v>
      </c>
    </row>
    <row r="70" spans="1:11" ht="15.75" thickBot="1" x14ac:dyDescent="0.3"/>
    <row r="71" spans="1:11" ht="15.75" thickBot="1" x14ac:dyDescent="0.3">
      <c r="A71" s="589" t="s">
        <v>535</v>
      </c>
      <c r="B71" s="578">
        <v>2026</v>
      </c>
      <c r="C71" s="578">
        <v>2027</v>
      </c>
      <c r="D71" s="579">
        <v>2028</v>
      </c>
      <c r="E71" s="578">
        <v>2029</v>
      </c>
      <c r="F71" s="578">
        <v>2030</v>
      </c>
      <c r="G71" s="578">
        <v>2031</v>
      </c>
      <c r="H71" s="578">
        <v>2032</v>
      </c>
      <c r="I71" s="578">
        <v>2033</v>
      </c>
      <c r="J71" s="578">
        <v>2034</v>
      </c>
      <c r="K71" s="580">
        <v>2035</v>
      </c>
    </row>
    <row r="72" spans="1:11" x14ac:dyDescent="0.25">
      <c r="A72" s="585" t="s">
        <v>529</v>
      </c>
      <c r="B72" s="560">
        <v>68.938000000000002</v>
      </c>
      <c r="C72" s="560">
        <v>68.938000000000002</v>
      </c>
      <c r="D72" s="560">
        <v>68.938000000000002</v>
      </c>
      <c r="E72" s="560">
        <v>68.938000000000002</v>
      </c>
      <c r="F72" s="560">
        <v>68.938000000000002</v>
      </c>
      <c r="G72" s="560">
        <v>68.938000000000002</v>
      </c>
      <c r="H72" s="560">
        <v>68.938000000000002</v>
      </c>
      <c r="I72" s="560">
        <v>68.938000000000002</v>
      </c>
      <c r="J72" s="560">
        <v>68.938000000000002</v>
      </c>
      <c r="K72" s="566">
        <v>68.938000000000002</v>
      </c>
    </row>
    <row r="73" spans="1:11" x14ac:dyDescent="0.25">
      <c r="A73" s="586" t="s">
        <v>118</v>
      </c>
      <c r="B73" s="565">
        <v>0.1515</v>
      </c>
      <c r="C73" s="565">
        <v>0.1515</v>
      </c>
      <c r="D73" s="565">
        <v>0.1515</v>
      </c>
      <c r="E73" s="565">
        <v>0.1515</v>
      </c>
      <c r="F73" s="565">
        <v>0.1515</v>
      </c>
      <c r="G73" s="565">
        <v>0.1515</v>
      </c>
      <c r="H73" s="565">
        <v>0.1515</v>
      </c>
      <c r="I73" s="565">
        <v>0.1515</v>
      </c>
      <c r="J73" s="565">
        <v>0.1515</v>
      </c>
      <c r="K73" s="563">
        <v>0.1515</v>
      </c>
    </row>
    <row r="74" spans="1:11" ht="15.75" thickBot="1" x14ac:dyDescent="0.3">
      <c r="A74" s="587" t="s">
        <v>119</v>
      </c>
      <c r="B74" s="562">
        <f>+B72/B73</f>
        <v>455.03630363036308</v>
      </c>
      <c r="C74" s="562">
        <f t="shared" ref="C74" si="18">+C72/C73</f>
        <v>455.03630363036308</v>
      </c>
      <c r="D74" s="562">
        <f t="shared" ref="D74" si="19">+D72/D73</f>
        <v>455.03630363036308</v>
      </c>
      <c r="E74" s="562">
        <f t="shared" ref="E74" si="20">+E72/E73</f>
        <v>455.03630363036308</v>
      </c>
      <c r="F74" s="562">
        <f t="shared" ref="F74" si="21">+F72/F73</f>
        <v>455.03630363036308</v>
      </c>
      <c r="G74" s="562">
        <f t="shared" ref="G74" si="22">+G72/G73</f>
        <v>455.03630363036308</v>
      </c>
      <c r="H74" s="562">
        <f t="shared" ref="H74" si="23">+H72/H73</f>
        <v>455.03630363036308</v>
      </c>
      <c r="I74" s="562">
        <f t="shared" ref="I74" si="24">+I72/I73</f>
        <v>455.03630363036308</v>
      </c>
      <c r="J74" s="562">
        <f t="shared" ref="J74" si="25">+J72/J73</f>
        <v>455.03630363036308</v>
      </c>
      <c r="K74" s="561">
        <f t="shared" ref="K74" si="26">+K72/K73</f>
        <v>455.03630363036308</v>
      </c>
    </row>
    <row r="77" spans="1:11" x14ac:dyDescent="0.25">
      <c r="A77" s="588" t="s">
        <v>536</v>
      </c>
    </row>
    <row r="79" spans="1:11" x14ac:dyDescent="0.25">
      <c r="A79" s="590" t="s">
        <v>450</v>
      </c>
      <c r="B79" s="582">
        <v>2026</v>
      </c>
      <c r="C79" s="582">
        <v>2027</v>
      </c>
      <c r="D79" s="582">
        <v>2028</v>
      </c>
      <c r="E79" s="582">
        <v>2029</v>
      </c>
      <c r="F79" s="582">
        <v>2030</v>
      </c>
      <c r="G79" s="582">
        <v>2031</v>
      </c>
      <c r="H79" s="582">
        <v>2032</v>
      </c>
      <c r="I79" s="582">
        <v>2033</v>
      </c>
      <c r="J79" s="582">
        <v>2034</v>
      </c>
      <c r="K79" s="582">
        <v>2035</v>
      </c>
    </row>
    <row r="80" spans="1:11" x14ac:dyDescent="0.25">
      <c r="A80" s="591" t="s">
        <v>18</v>
      </c>
      <c r="B80" s="583">
        <v>0.110957413914077</v>
      </c>
      <c r="C80" s="583">
        <v>0.22191482782815344</v>
      </c>
      <c r="D80" s="583">
        <v>0.33287224174223018</v>
      </c>
      <c r="E80" s="583">
        <v>0.44382965565630689</v>
      </c>
      <c r="F80" s="583">
        <v>0.55478706957038371</v>
      </c>
      <c r="G80" s="583">
        <v>0.66574448348446036</v>
      </c>
      <c r="H80" s="583">
        <v>0.77670189739853712</v>
      </c>
      <c r="I80" s="583">
        <v>0.88765931131261377</v>
      </c>
      <c r="J80" s="583">
        <v>0.99861672522669054</v>
      </c>
      <c r="K80" s="583">
        <v>1.1095741391407674</v>
      </c>
    </row>
    <row r="81" spans="1:11" x14ac:dyDescent="0.25">
      <c r="A81" s="591" t="s">
        <v>20</v>
      </c>
      <c r="B81" s="583">
        <v>1.6887862513844032</v>
      </c>
      <c r="C81" s="583">
        <v>3.3775725027688064</v>
      </c>
      <c r="D81" s="583">
        <v>5.0663587541532094</v>
      </c>
      <c r="E81" s="583">
        <v>6.7551450055376128</v>
      </c>
      <c r="F81" s="583">
        <v>8.4439312569220171</v>
      </c>
      <c r="G81" s="583">
        <v>10.132717508306419</v>
      </c>
      <c r="H81" s="583">
        <v>11.821503759690822</v>
      </c>
      <c r="I81" s="583">
        <v>13.510290011075226</v>
      </c>
      <c r="J81" s="583">
        <v>15.199076262459629</v>
      </c>
      <c r="K81" s="583">
        <v>16.887862513844034</v>
      </c>
    </row>
    <row r="82" spans="1:11" x14ac:dyDescent="0.25">
      <c r="A82" s="591" t="s">
        <v>21</v>
      </c>
      <c r="B82" s="583">
        <v>2.7183111448104702</v>
      </c>
      <c r="C82" s="583">
        <v>5.4366222896209404</v>
      </c>
      <c r="D82" s="583">
        <v>8.1549334344314097</v>
      </c>
      <c r="E82" s="583">
        <v>10.873244579241881</v>
      </c>
      <c r="F82" s="583">
        <v>13.59155572405235</v>
      </c>
      <c r="G82" s="583">
        <v>16.309866868862819</v>
      </c>
      <c r="H82" s="583">
        <v>19.028178013673291</v>
      </c>
      <c r="I82" s="583">
        <v>21.746489158483762</v>
      </c>
      <c r="J82" s="583">
        <v>24.464800303294229</v>
      </c>
      <c r="K82" s="583">
        <v>27.1831114481047</v>
      </c>
    </row>
    <row r="83" spans="1:11" x14ac:dyDescent="0.25">
      <c r="A83" s="591" t="s">
        <v>22</v>
      </c>
      <c r="B83" s="583">
        <v>3.6824530978222305</v>
      </c>
      <c r="C83" s="583">
        <v>7.364906195644461</v>
      </c>
      <c r="D83" s="583">
        <v>11.047359293466693</v>
      </c>
      <c r="E83" s="583">
        <v>14.729812391288922</v>
      </c>
      <c r="F83" s="583">
        <v>18.412265489111153</v>
      </c>
      <c r="G83" s="583">
        <v>22.094718586933386</v>
      </c>
      <c r="H83" s="583">
        <v>25.777171684755611</v>
      </c>
      <c r="I83" s="583">
        <v>29.459624782577844</v>
      </c>
      <c r="J83" s="583">
        <v>33.142077880400073</v>
      </c>
      <c r="K83" s="583">
        <v>36.824530978222306</v>
      </c>
    </row>
    <row r="84" spans="1:11" x14ac:dyDescent="0.25">
      <c r="A84" s="591" t="s">
        <v>23</v>
      </c>
      <c r="B84" s="583">
        <v>0.36617914538683949</v>
      </c>
      <c r="C84" s="583">
        <v>0.73235829077367898</v>
      </c>
      <c r="D84" s="583">
        <v>1.0985374361605185</v>
      </c>
      <c r="E84" s="583">
        <v>1.464716581547358</v>
      </c>
      <c r="F84" s="583">
        <v>1.8308957269341974</v>
      </c>
      <c r="G84" s="583">
        <v>2.1970748723210369</v>
      </c>
      <c r="H84" s="583">
        <v>2.5632540177078762</v>
      </c>
      <c r="I84" s="583">
        <v>2.9294331630947159</v>
      </c>
      <c r="J84" s="583">
        <v>3.2956123084815552</v>
      </c>
      <c r="K84" s="583">
        <v>3.6617914538683949</v>
      </c>
    </row>
    <row r="85" spans="1:11" ht="30" x14ac:dyDescent="0.25">
      <c r="A85" s="591" t="s">
        <v>24</v>
      </c>
      <c r="B85" s="583">
        <v>36.7409910264495</v>
      </c>
      <c r="C85" s="583">
        <v>73.481982052898999</v>
      </c>
      <c r="D85" s="583">
        <v>110.22297307934849</v>
      </c>
      <c r="E85" s="583">
        <v>146.963964105798</v>
      </c>
      <c r="F85" s="583">
        <v>183.70495513224748</v>
      </c>
      <c r="G85" s="583">
        <v>220.44594615869698</v>
      </c>
      <c r="H85" s="583">
        <v>257.18693718514652</v>
      </c>
      <c r="I85" s="583">
        <v>293.927928211596</v>
      </c>
      <c r="J85" s="583">
        <v>330.66891923804548</v>
      </c>
      <c r="K85" s="583">
        <v>367.40991026449495</v>
      </c>
    </row>
    <row r="86" spans="1:11" ht="30" x14ac:dyDescent="0.25">
      <c r="A86" s="591" t="s">
        <v>25</v>
      </c>
      <c r="B86" s="583">
        <v>0.71614732704313455</v>
      </c>
      <c r="C86" s="583">
        <v>1.4322946540862691</v>
      </c>
      <c r="D86" s="583">
        <v>2.1484419811294035</v>
      </c>
      <c r="E86" s="583">
        <v>2.8645893081725382</v>
      </c>
      <c r="F86" s="583">
        <v>3.5807366352156724</v>
      </c>
      <c r="G86" s="583">
        <v>4.2968839622588071</v>
      </c>
      <c r="H86" s="583">
        <v>5.0130312893019422</v>
      </c>
      <c r="I86" s="583">
        <v>5.7291786163450764</v>
      </c>
      <c r="J86" s="583">
        <v>6.4453259433882106</v>
      </c>
      <c r="K86" s="583">
        <v>7.1614732704313449</v>
      </c>
    </row>
    <row r="87" spans="1:11" x14ac:dyDescent="0.25">
      <c r="A87" s="591" t="s">
        <v>26</v>
      </c>
      <c r="B87" s="583">
        <v>1.36350470536137</v>
      </c>
      <c r="C87" s="583">
        <v>2.7270094107227392</v>
      </c>
      <c r="D87" s="583">
        <v>4.0905141160841083</v>
      </c>
      <c r="E87" s="583">
        <v>5.4540188214454783</v>
      </c>
      <c r="F87" s="583">
        <v>6.8175235268068484</v>
      </c>
      <c r="G87" s="583">
        <v>8.1810282321682166</v>
      </c>
      <c r="H87" s="583">
        <v>9.5445329375295884</v>
      </c>
      <c r="I87" s="583">
        <v>10.908037642890957</v>
      </c>
      <c r="J87" s="583">
        <v>12.271542348252325</v>
      </c>
      <c r="K87" s="583">
        <v>13.635047053613697</v>
      </c>
    </row>
    <row r="88" spans="1:11" x14ac:dyDescent="0.25">
      <c r="B88" s="568">
        <f>+SUM(B80:B87)</f>
        <v>47.387330112172023</v>
      </c>
      <c r="C88" s="568">
        <f t="shared" ref="C88:K88" si="27">+SUM(C80:C87)</f>
        <v>94.774660224344046</v>
      </c>
      <c r="D88" s="568">
        <f t="shared" si="27"/>
        <v>142.16199033651606</v>
      </c>
      <c r="E88" s="568">
        <f t="shared" si="27"/>
        <v>189.54932044868809</v>
      </c>
      <c r="F88" s="568">
        <f t="shared" si="27"/>
        <v>236.9366505608601</v>
      </c>
      <c r="G88" s="568">
        <f t="shared" si="27"/>
        <v>284.32398067303211</v>
      </c>
      <c r="H88" s="568">
        <f t="shared" si="27"/>
        <v>331.71131078520415</v>
      </c>
      <c r="I88" s="568">
        <f t="shared" si="27"/>
        <v>379.09864089737619</v>
      </c>
      <c r="J88" s="568">
        <f t="shared" si="27"/>
        <v>426.48597100954817</v>
      </c>
      <c r="K88" s="568">
        <f t="shared" si="27"/>
        <v>473.8733011217202</v>
      </c>
    </row>
    <row r="89" spans="1:11" x14ac:dyDescent="0.25">
      <c r="A89" s="590" t="s">
        <v>223</v>
      </c>
    </row>
    <row r="90" spans="1:11" x14ac:dyDescent="0.25">
      <c r="A90" s="591" t="s">
        <v>18</v>
      </c>
      <c r="B90" s="565">
        <f>+B80/B$88</f>
        <v>2.3414995875780773E-3</v>
      </c>
      <c r="C90" s="565">
        <f t="shared" ref="C90:K90" si="28">+C80/C$88</f>
        <v>2.3414995875780716E-3</v>
      </c>
      <c r="D90" s="565">
        <f t="shared" si="28"/>
        <v>2.3414995875780721E-3</v>
      </c>
      <c r="E90" s="565">
        <f t="shared" si="28"/>
        <v>2.3414995875780716E-3</v>
      </c>
      <c r="F90" s="565">
        <f t="shared" si="28"/>
        <v>2.3414995875780721E-3</v>
      </c>
      <c r="G90" s="565">
        <f t="shared" si="28"/>
        <v>2.3414995875780721E-3</v>
      </c>
      <c r="H90" s="565">
        <f t="shared" si="28"/>
        <v>2.3414995875780716E-3</v>
      </c>
      <c r="I90" s="565">
        <f t="shared" si="28"/>
        <v>2.3414995875780716E-3</v>
      </c>
      <c r="J90" s="565">
        <f t="shared" si="28"/>
        <v>2.3414995875780721E-3</v>
      </c>
      <c r="K90" s="565">
        <f t="shared" si="28"/>
        <v>2.3414995875780721E-3</v>
      </c>
    </row>
    <row r="91" spans="1:11" x14ac:dyDescent="0.25">
      <c r="A91" s="591" t="s">
        <v>20</v>
      </c>
      <c r="B91" s="565">
        <f t="shared" ref="B91:K97" si="29">+B81/B$88</f>
        <v>3.5637927846680212E-2</v>
      </c>
      <c r="C91" s="565">
        <f t="shared" si="29"/>
        <v>3.5637927846680212E-2</v>
      </c>
      <c r="D91" s="565">
        <f t="shared" si="29"/>
        <v>3.5637927846680219E-2</v>
      </c>
      <c r="E91" s="565">
        <f t="shared" si="29"/>
        <v>3.5637927846680212E-2</v>
      </c>
      <c r="F91" s="565">
        <f t="shared" si="29"/>
        <v>3.5637927846680219E-2</v>
      </c>
      <c r="G91" s="565">
        <f t="shared" si="29"/>
        <v>3.5637927846680219E-2</v>
      </c>
      <c r="H91" s="565">
        <f t="shared" si="29"/>
        <v>3.5637927846680212E-2</v>
      </c>
      <c r="I91" s="565">
        <f t="shared" si="29"/>
        <v>3.5637927846680212E-2</v>
      </c>
      <c r="J91" s="565">
        <f t="shared" si="29"/>
        <v>3.5637927846680219E-2</v>
      </c>
      <c r="K91" s="565">
        <f t="shared" si="29"/>
        <v>3.5637927846680219E-2</v>
      </c>
    </row>
    <row r="92" spans="1:11" x14ac:dyDescent="0.25">
      <c r="A92" s="591" t="s">
        <v>21</v>
      </c>
      <c r="B92" s="565">
        <f t="shared" si="29"/>
        <v>5.7363669537318758E-2</v>
      </c>
      <c r="C92" s="565">
        <f t="shared" si="29"/>
        <v>5.7363669537318758E-2</v>
      </c>
      <c r="D92" s="565">
        <f t="shared" si="29"/>
        <v>5.7363669537318758E-2</v>
      </c>
      <c r="E92" s="565">
        <f t="shared" si="29"/>
        <v>5.7363669537318758E-2</v>
      </c>
      <c r="F92" s="565">
        <f t="shared" si="29"/>
        <v>5.7363669537318758E-2</v>
      </c>
      <c r="G92" s="565">
        <f t="shared" si="29"/>
        <v>5.7363669537318758E-2</v>
      </c>
      <c r="H92" s="565">
        <f t="shared" si="29"/>
        <v>5.7363669537318758E-2</v>
      </c>
      <c r="I92" s="565">
        <f t="shared" si="29"/>
        <v>5.7363669537318758E-2</v>
      </c>
      <c r="J92" s="565">
        <f t="shared" si="29"/>
        <v>5.7363669537318758E-2</v>
      </c>
      <c r="K92" s="565">
        <f t="shared" si="29"/>
        <v>5.7363669537318758E-2</v>
      </c>
    </row>
    <row r="93" spans="1:11" x14ac:dyDescent="0.25">
      <c r="A93" s="591" t="s">
        <v>22</v>
      </c>
      <c r="B93" s="565">
        <f t="shared" si="29"/>
        <v>7.7709655494525257E-2</v>
      </c>
      <c r="C93" s="565">
        <f t="shared" si="29"/>
        <v>7.7709655494525257E-2</v>
      </c>
      <c r="D93" s="565">
        <f t="shared" si="29"/>
        <v>7.770965549452527E-2</v>
      </c>
      <c r="E93" s="565">
        <f t="shared" si="29"/>
        <v>7.7709655494525257E-2</v>
      </c>
      <c r="F93" s="565">
        <f t="shared" si="29"/>
        <v>7.7709655494525257E-2</v>
      </c>
      <c r="G93" s="565">
        <f t="shared" si="29"/>
        <v>7.770965549452527E-2</v>
      </c>
      <c r="H93" s="565">
        <f t="shared" si="29"/>
        <v>7.7709655494525243E-2</v>
      </c>
      <c r="I93" s="565">
        <f t="shared" si="29"/>
        <v>7.7709655494525257E-2</v>
      </c>
      <c r="J93" s="565">
        <f t="shared" si="29"/>
        <v>7.7709655494525257E-2</v>
      </c>
      <c r="K93" s="565">
        <f t="shared" si="29"/>
        <v>7.7709655494525257E-2</v>
      </c>
    </row>
    <row r="94" spans="1:11" x14ac:dyDescent="0.25">
      <c r="A94" s="591" t="s">
        <v>23</v>
      </c>
      <c r="B94" s="565">
        <f t="shared" si="29"/>
        <v>7.7273639287135498E-3</v>
      </c>
      <c r="C94" s="565">
        <f t="shared" si="29"/>
        <v>7.7273639287135498E-3</v>
      </c>
      <c r="D94" s="565">
        <f t="shared" si="29"/>
        <v>7.7273639287135506E-3</v>
      </c>
      <c r="E94" s="565">
        <f t="shared" si="29"/>
        <v>7.7273639287135498E-3</v>
      </c>
      <c r="F94" s="565">
        <f t="shared" si="29"/>
        <v>7.7273639287135498E-3</v>
      </c>
      <c r="G94" s="565">
        <f t="shared" si="29"/>
        <v>7.7273639287135506E-3</v>
      </c>
      <c r="H94" s="565">
        <f t="shared" si="29"/>
        <v>7.7273639287135489E-3</v>
      </c>
      <c r="I94" s="565">
        <f t="shared" si="29"/>
        <v>7.7273639287135498E-3</v>
      </c>
      <c r="J94" s="565">
        <f t="shared" si="29"/>
        <v>7.7273639287135498E-3</v>
      </c>
      <c r="K94" s="565">
        <f t="shared" si="29"/>
        <v>7.7273639287135498E-3</v>
      </c>
    </row>
    <row r="95" spans="1:11" ht="30" x14ac:dyDescent="0.25">
      <c r="A95" s="591" t="s">
        <v>24</v>
      </c>
      <c r="B95" s="565">
        <f t="shared" si="29"/>
        <v>0.77533363748239792</v>
      </c>
      <c r="C95" s="565">
        <f t="shared" si="29"/>
        <v>0.77533363748239792</v>
      </c>
      <c r="D95" s="565">
        <f t="shared" si="29"/>
        <v>0.77533363748239792</v>
      </c>
      <c r="E95" s="565">
        <f t="shared" si="29"/>
        <v>0.77533363748239792</v>
      </c>
      <c r="F95" s="565">
        <f t="shared" si="29"/>
        <v>0.77533363748239781</v>
      </c>
      <c r="G95" s="565">
        <f t="shared" si="29"/>
        <v>0.77533363748239792</v>
      </c>
      <c r="H95" s="565">
        <f t="shared" si="29"/>
        <v>0.77533363748239792</v>
      </c>
      <c r="I95" s="565">
        <f t="shared" si="29"/>
        <v>0.77533363748239792</v>
      </c>
      <c r="J95" s="565">
        <f t="shared" si="29"/>
        <v>0.77533363748239792</v>
      </c>
      <c r="K95" s="565">
        <f t="shared" si="29"/>
        <v>0.77533363748239781</v>
      </c>
    </row>
    <row r="96" spans="1:11" ht="30" x14ac:dyDescent="0.25">
      <c r="A96" s="591" t="s">
        <v>25</v>
      </c>
      <c r="B96" s="565">
        <f t="shared" si="29"/>
        <v>1.5112632962184616E-2</v>
      </c>
      <c r="C96" s="565">
        <f t="shared" si="29"/>
        <v>1.5112632962184616E-2</v>
      </c>
      <c r="D96" s="565">
        <f t="shared" si="29"/>
        <v>1.5112632962184618E-2</v>
      </c>
      <c r="E96" s="565">
        <f t="shared" si="29"/>
        <v>1.5112632962184616E-2</v>
      </c>
      <c r="F96" s="565">
        <f t="shared" si="29"/>
        <v>1.5112632962184616E-2</v>
      </c>
      <c r="G96" s="565">
        <f t="shared" si="29"/>
        <v>1.5112632962184618E-2</v>
      </c>
      <c r="H96" s="565">
        <f t="shared" si="29"/>
        <v>1.5112632962184618E-2</v>
      </c>
      <c r="I96" s="565">
        <f t="shared" si="29"/>
        <v>1.5112632962184616E-2</v>
      </c>
      <c r="J96" s="565">
        <f t="shared" si="29"/>
        <v>1.5112632962184618E-2</v>
      </c>
      <c r="K96" s="565">
        <f t="shared" si="29"/>
        <v>1.5112632962184616E-2</v>
      </c>
    </row>
    <row r="97" spans="1:11" x14ac:dyDescent="0.25">
      <c r="A97" s="591" t="s">
        <v>26</v>
      </c>
      <c r="B97" s="565">
        <f>+B87/B$88</f>
        <v>2.8773613160601699E-2</v>
      </c>
      <c r="C97" s="565">
        <f t="shared" si="29"/>
        <v>2.8773613160601688E-2</v>
      </c>
      <c r="D97" s="565">
        <f t="shared" si="29"/>
        <v>2.8773613160601688E-2</v>
      </c>
      <c r="E97" s="565">
        <f t="shared" si="29"/>
        <v>2.8773613160601688E-2</v>
      </c>
      <c r="F97" s="565">
        <f t="shared" si="29"/>
        <v>2.8773613160601692E-2</v>
      </c>
      <c r="G97" s="565">
        <f t="shared" si="29"/>
        <v>2.8773613160601688E-2</v>
      </c>
      <c r="H97" s="565">
        <f t="shared" si="29"/>
        <v>2.8773613160601692E-2</v>
      </c>
      <c r="I97" s="565">
        <f t="shared" si="29"/>
        <v>2.8773613160601688E-2</v>
      </c>
      <c r="J97" s="565">
        <f t="shared" si="29"/>
        <v>2.8773613160601688E-2</v>
      </c>
      <c r="K97" s="565">
        <f t="shared" si="29"/>
        <v>2.8773613160601692E-2</v>
      </c>
    </row>
    <row r="99" spans="1:11" x14ac:dyDescent="0.25">
      <c r="A99" s="590" t="s">
        <v>443</v>
      </c>
    </row>
    <row r="100" spans="1:11" x14ac:dyDescent="0.25">
      <c r="A100" s="591" t="s">
        <v>18</v>
      </c>
      <c r="B100" s="592">
        <f>+B90*B$110</f>
        <v>0.68988843233593233</v>
      </c>
      <c r="C100" s="592">
        <f t="shared" ref="C100:K100" si="30">+C90*C$110</f>
        <v>1.3797768646718613</v>
      </c>
      <c r="D100" s="592">
        <f t="shared" si="30"/>
        <v>2.0696652970077927</v>
      </c>
      <c r="E100" s="592">
        <f t="shared" si="30"/>
        <v>2.7595537293437227</v>
      </c>
      <c r="F100" s="592">
        <f t="shared" si="30"/>
        <v>3.4494421616796531</v>
      </c>
      <c r="G100" s="592">
        <f t="shared" si="30"/>
        <v>4.1393305940155853</v>
      </c>
      <c r="H100" s="592">
        <f t="shared" si="30"/>
        <v>4.8292190263515149</v>
      </c>
      <c r="I100" s="592">
        <f t="shared" si="30"/>
        <v>5.5191074586874453</v>
      </c>
      <c r="J100" s="592">
        <f t="shared" si="30"/>
        <v>6.2089958910233776</v>
      </c>
      <c r="K100" s="592">
        <f t="shared" si="30"/>
        <v>6.8988843233593071</v>
      </c>
    </row>
    <row r="101" spans="1:11" x14ac:dyDescent="0.25">
      <c r="A101" s="591" t="s">
        <v>20</v>
      </c>
      <c r="B101" s="592">
        <f t="shared" ref="B101:K106" si="31">+B91*B$110</f>
        <v>10.500191545742672</v>
      </c>
      <c r="C101" s="592">
        <f t="shared" si="31"/>
        <v>21.000383091485343</v>
      </c>
      <c r="D101" s="592">
        <f t="shared" si="31"/>
        <v>31.500574637228027</v>
      </c>
      <c r="E101" s="592">
        <f t="shared" si="31"/>
        <v>42.000766182970686</v>
      </c>
      <c r="F101" s="592">
        <f t="shared" si="31"/>
        <v>52.50095772871336</v>
      </c>
      <c r="G101" s="592">
        <f t="shared" si="31"/>
        <v>63.001149274456054</v>
      </c>
      <c r="H101" s="592">
        <f t="shared" si="31"/>
        <v>73.501340820198706</v>
      </c>
      <c r="I101" s="592">
        <f t="shared" si="31"/>
        <v>84.001532365941372</v>
      </c>
      <c r="J101" s="592">
        <f t="shared" si="31"/>
        <v>94.501723911684081</v>
      </c>
      <c r="K101" s="592">
        <f t="shared" si="31"/>
        <v>105.00191545742673</v>
      </c>
    </row>
    <row r="102" spans="1:11" x14ac:dyDescent="0.25">
      <c r="A102" s="591" t="s">
        <v>21</v>
      </c>
      <c r="B102" s="592">
        <f t="shared" si="31"/>
        <v>16.901361956279953</v>
      </c>
      <c r="C102" s="592">
        <f t="shared" si="31"/>
        <v>33.802723912559905</v>
      </c>
      <c r="D102" s="592">
        <f t="shared" si="31"/>
        <v>50.704085868839861</v>
      </c>
      <c r="E102" s="592">
        <f t="shared" si="31"/>
        <v>67.605447825119811</v>
      </c>
      <c r="F102" s="592">
        <f t="shared" si="31"/>
        <v>84.506809781399738</v>
      </c>
      <c r="G102" s="592">
        <f t="shared" si="31"/>
        <v>101.40817173767972</v>
      </c>
      <c r="H102" s="592">
        <f t="shared" si="31"/>
        <v>118.30953369395968</v>
      </c>
      <c r="I102" s="592">
        <f t="shared" si="31"/>
        <v>135.21089565023962</v>
      </c>
      <c r="J102" s="592">
        <f t="shared" si="31"/>
        <v>152.11225760651959</v>
      </c>
      <c r="K102" s="592">
        <f t="shared" si="31"/>
        <v>169.01361956279951</v>
      </c>
    </row>
    <row r="103" spans="1:11" x14ac:dyDescent="0.25">
      <c r="A103" s="591" t="s">
        <v>22</v>
      </c>
      <c r="B103" s="592">
        <f t="shared" si="31"/>
        <v>22.896007623018956</v>
      </c>
      <c r="C103" s="592">
        <f t="shared" si="31"/>
        <v>45.792015246037913</v>
      </c>
      <c r="D103" s="592">
        <f t="shared" si="31"/>
        <v>68.688022869056894</v>
      </c>
      <c r="E103" s="592">
        <f t="shared" si="31"/>
        <v>91.584030492075826</v>
      </c>
      <c r="F103" s="592">
        <f t="shared" si="31"/>
        <v>114.48003811509476</v>
      </c>
      <c r="G103" s="592">
        <f t="shared" si="31"/>
        <v>137.37604573811379</v>
      </c>
      <c r="H103" s="592">
        <f t="shared" si="31"/>
        <v>160.27205336113266</v>
      </c>
      <c r="I103" s="592">
        <f t="shared" si="31"/>
        <v>183.16806098415165</v>
      </c>
      <c r="J103" s="592">
        <f t="shared" si="31"/>
        <v>206.06406860717064</v>
      </c>
      <c r="K103" s="592">
        <f t="shared" si="31"/>
        <v>228.96007623018954</v>
      </c>
    </row>
    <row r="104" spans="1:11" x14ac:dyDescent="0.25">
      <c r="A104" s="591" t="s">
        <v>23</v>
      </c>
      <c r="B104" s="592">
        <f t="shared" si="31"/>
        <v>2.2767541857154647</v>
      </c>
      <c r="C104" s="592">
        <f t="shared" si="31"/>
        <v>4.5535083714309295</v>
      </c>
      <c r="D104" s="592">
        <f t="shared" si="31"/>
        <v>6.830262557146396</v>
      </c>
      <c r="E104" s="592">
        <f t="shared" si="31"/>
        <v>9.1070167428618589</v>
      </c>
      <c r="F104" s="592">
        <f t="shared" si="31"/>
        <v>11.383770928577322</v>
      </c>
      <c r="G104" s="592">
        <f t="shared" si="31"/>
        <v>13.660525114292792</v>
      </c>
      <c r="H104" s="592">
        <f t="shared" si="31"/>
        <v>15.937279300008253</v>
      </c>
      <c r="I104" s="592">
        <f t="shared" si="31"/>
        <v>18.214033485723718</v>
      </c>
      <c r="J104" s="592">
        <f t="shared" si="31"/>
        <v>20.490787671439186</v>
      </c>
      <c r="K104" s="592">
        <f t="shared" si="31"/>
        <v>22.767541857154647</v>
      </c>
    </row>
    <row r="105" spans="1:11" ht="30" x14ac:dyDescent="0.25">
      <c r="A105" s="591" t="s">
        <v>24</v>
      </c>
      <c r="B105" s="592">
        <f t="shared" si="31"/>
        <v>228.44065851547435</v>
      </c>
      <c r="C105" s="592">
        <f t="shared" si="31"/>
        <v>456.88131703094871</v>
      </c>
      <c r="D105" s="592">
        <f t="shared" si="31"/>
        <v>685.32197554642312</v>
      </c>
      <c r="E105" s="592">
        <f t="shared" si="31"/>
        <v>913.76263406189742</v>
      </c>
      <c r="F105" s="592">
        <f t="shared" si="31"/>
        <v>1142.2032925773713</v>
      </c>
      <c r="G105" s="592">
        <f t="shared" si="31"/>
        <v>1370.6439510928462</v>
      </c>
      <c r="H105" s="592">
        <f t="shared" si="31"/>
        <v>1599.0846096083205</v>
      </c>
      <c r="I105" s="592">
        <f t="shared" si="31"/>
        <v>1827.5252681237948</v>
      </c>
      <c r="J105" s="592">
        <f t="shared" si="31"/>
        <v>2055.9659266392691</v>
      </c>
      <c r="K105" s="592">
        <f t="shared" si="31"/>
        <v>2284.406585154743</v>
      </c>
    </row>
    <row r="106" spans="1:11" ht="30" x14ac:dyDescent="0.25">
      <c r="A106" s="591" t="s">
        <v>25</v>
      </c>
      <c r="B106" s="592">
        <f t="shared" si="31"/>
        <v>4.4527151395034039</v>
      </c>
      <c r="C106" s="592">
        <f t="shared" si="31"/>
        <v>8.9054302790068078</v>
      </c>
      <c r="D106" s="592">
        <f t="shared" si="31"/>
        <v>13.358145418510215</v>
      </c>
      <c r="E106" s="592">
        <f t="shared" si="31"/>
        <v>17.810860558013616</v>
      </c>
      <c r="F106" s="592">
        <f t="shared" si="31"/>
        <v>22.263575697517016</v>
      </c>
      <c r="G106" s="592">
        <f t="shared" si="31"/>
        <v>26.716290837020431</v>
      </c>
      <c r="H106" s="592">
        <f t="shared" si="31"/>
        <v>31.169005976523835</v>
      </c>
      <c r="I106" s="592">
        <f t="shared" si="31"/>
        <v>35.621721116027231</v>
      </c>
      <c r="J106" s="592">
        <f t="shared" si="31"/>
        <v>40.074436255530649</v>
      </c>
      <c r="K106" s="592">
        <f t="shared" si="31"/>
        <v>44.527151395034039</v>
      </c>
    </row>
    <row r="107" spans="1:11" x14ac:dyDescent="0.25">
      <c r="A107" s="591" t="s">
        <v>26</v>
      </c>
      <c r="B107" s="592">
        <f>+B97*B$110</f>
        <v>8.4777221321403022</v>
      </c>
      <c r="C107" s="592">
        <f t="shared" ref="C107:K107" si="32">+C97*C$110</f>
        <v>16.955444264280601</v>
      </c>
      <c r="D107" s="592">
        <f t="shared" si="32"/>
        <v>25.433166396420901</v>
      </c>
      <c r="E107" s="592">
        <f t="shared" si="32"/>
        <v>33.910888528561202</v>
      </c>
      <c r="F107" s="592">
        <f t="shared" si="32"/>
        <v>42.388610660701495</v>
      </c>
      <c r="G107" s="592">
        <f t="shared" si="32"/>
        <v>50.866332792841803</v>
      </c>
      <c r="H107" s="592">
        <f t="shared" si="32"/>
        <v>59.34405492498211</v>
      </c>
      <c r="I107" s="592">
        <f t="shared" si="32"/>
        <v>67.821777057122404</v>
      </c>
      <c r="J107" s="592">
        <f t="shared" si="32"/>
        <v>76.299499189262704</v>
      </c>
      <c r="K107" s="592">
        <f t="shared" si="32"/>
        <v>84.777221321403005</v>
      </c>
    </row>
    <row r="108" spans="1:11" x14ac:dyDescent="0.25">
      <c r="B108" s="77">
        <f>+SUM(B100:B107)</f>
        <v>294.63529953021106</v>
      </c>
      <c r="C108" s="77">
        <f>+SUM(C100:C107)</f>
        <v>589.27059906042211</v>
      </c>
      <c r="D108" s="77">
        <f t="shared" ref="D108:K108" si="33">+SUM(D100:D107)</f>
        <v>883.90589859063311</v>
      </c>
      <c r="E108" s="77">
        <f t="shared" si="33"/>
        <v>1178.5411981208442</v>
      </c>
      <c r="F108" s="77">
        <f t="shared" si="33"/>
        <v>1473.1764976510547</v>
      </c>
      <c r="G108" s="77">
        <f t="shared" si="33"/>
        <v>1767.8117971812662</v>
      </c>
      <c r="H108" s="77">
        <f t="shared" si="33"/>
        <v>2062.4470967114771</v>
      </c>
      <c r="I108" s="77">
        <f t="shared" si="33"/>
        <v>2357.0823962416885</v>
      </c>
      <c r="J108" s="77">
        <f t="shared" si="33"/>
        <v>2651.7176957718993</v>
      </c>
      <c r="K108" s="77">
        <f t="shared" si="33"/>
        <v>2946.3529953021102</v>
      </c>
    </row>
    <row r="110" spans="1:11" x14ac:dyDescent="0.25">
      <c r="B110">
        <v>294.635299530211</v>
      </c>
      <c r="C110">
        <v>589.270599060422</v>
      </c>
      <c r="D110">
        <v>883.90589859063311</v>
      </c>
      <c r="E110">
        <v>1178.541198120844</v>
      </c>
      <c r="F110">
        <v>1473.1764976510547</v>
      </c>
      <c r="G110">
        <v>1767.8117971812662</v>
      </c>
      <c r="H110">
        <v>2062.4470967114771</v>
      </c>
      <c r="I110">
        <v>2357.082396241688</v>
      </c>
      <c r="J110">
        <v>2651.7176957718993</v>
      </c>
      <c r="K110">
        <v>2946.3529953021098</v>
      </c>
    </row>
    <row r="111" spans="1:11" x14ac:dyDescent="0.25">
      <c r="A111" s="590" t="s">
        <v>119</v>
      </c>
    </row>
    <row r="112" spans="1:11" x14ac:dyDescent="0.25">
      <c r="A112" s="591" t="s">
        <v>18</v>
      </c>
      <c r="B112" s="592">
        <f>+B100/B80</f>
        <v>6.2175965354614959</v>
      </c>
      <c r="C112" s="592">
        <f>+C100/C80</f>
        <v>6.2175965354614968</v>
      </c>
      <c r="D112" s="592">
        <f t="shared" ref="D112:K112" si="34">+D100/D80</f>
        <v>6.2175965354614986</v>
      </c>
      <c r="E112" s="592">
        <f t="shared" si="34"/>
        <v>6.2175965354614968</v>
      </c>
      <c r="F112" s="592">
        <f t="shared" si="34"/>
        <v>6.217596535461495</v>
      </c>
      <c r="G112" s="592">
        <f t="shared" si="34"/>
        <v>6.2175965354614986</v>
      </c>
      <c r="H112" s="592">
        <f t="shared" si="34"/>
        <v>6.2175965354614959</v>
      </c>
      <c r="I112" s="592">
        <f t="shared" si="34"/>
        <v>6.2175965354614968</v>
      </c>
      <c r="J112" s="592">
        <f t="shared" si="34"/>
        <v>6.2175965354614977</v>
      </c>
      <c r="K112" s="592">
        <f t="shared" si="34"/>
        <v>6.2175965354614959</v>
      </c>
    </row>
    <row r="113" spans="1:27" x14ac:dyDescent="0.25">
      <c r="A113" s="591" t="s">
        <v>20</v>
      </c>
      <c r="B113" s="592">
        <f t="shared" ref="B113:K119" si="35">+B101/B81</f>
        <v>6.2175965354614959</v>
      </c>
      <c r="C113" s="592">
        <f t="shared" si="35"/>
        <v>6.2175965354614959</v>
      </c>
      <c r="D113" s="592">
        <f t="shared" si="35"/>
        <v>6.2175965354614986</v>
      </c>
      <c r="E113" s="592">
        <f t="shared" si="35"/>
        <v>6.2175965354614959</v>
      </c>
      <c r="F113" s="592">
        <f t="shared" si="35"/>
        <v>6.217596535461495</v>
      </c>
      <c r="G113" s="592">
        <f t="shared" si="35"/>
        <v>6.2175965354614986</v>
      </c>
      <c r="H113" s="592">
        <f t="shared" si="35"/>
        <v>6.2175965354614959</v>
      </c>
      <c r="I113" s="592">
        <f t="shared" si="35"/>
        <v>6.2175965354614959</v>
      </c>
      <c r="J113" s="592">
        <f t="shared" si="35"/>
        <v>6.2175965354614977</v>
      </c>
      <c r="K113" s="592">
        <f t="shared" si="35"/>
        <v>6.2175965354614959</v>
      </c>
    </row>
    <row r="114" spans="1:27" x14ac:dyDescent="0.25">
      <c r="A114" s="591" t="s">
        <v>21</v>
      </c>
      <c r="B114" s="592">
        <f t="shared" si="35"/>
        <v>6.2175965354614959</v>
      </c>
      <c r="C114" s="592">
        <f t="shared" si="35"/>
        <v>6.2175965354614959</v>
      </c>
      <c r="D114" s="592">
        <f t="shared" si="35"/>
        <v>6.2175965354614968</v>
      </c>
      <c r="E114" s="592">
        <f t="shared" si="35"/>
        <v>6.2175965354614959</v>
      </c>
      <c r="F114" s="592">
        <f t="shared" si="35"/>
        <v>6.217596535461495</v>
      </c>
      <c r="G114" s="592">
        <f t="shared" si="35"/>
        <v>6.2175965354614968</v>
      </c>
      <c r="H114" s="592">
        <f t="shared" si="35"/>
        <v>6.2175965354614968</v>
      </c>
      <c r="I114" s="592">
        <f t="shared" si="35"/>
        <v>6.2175965354614959</v>
      </c>
      <c r="J114" s="592">
        <f t="shared" si="35"/>
        <v>6.2175965354614977</v>
      </c>
      <c r="K114" s="592">
        <f t="shared" si="35"/>
        <v>6.2175965354614959</v>
      </c>
    </row>
    <row r="115" spans="1:27" x14ac:dyDescent="0.25">
      <c r="A115" s="591" t="s">
        <v>22</v>
      </c>
      <c r="B115" s="592">
        <f t="shared" si="35"/>
        <v>6.2175965354614968</v>
      </c>
      <c r="C115" s="592">
        <f t="shared" si="35"/>
        <v>6.2175965354614968</v>
      </c>
      <c r="D115" s="592">
        <f t="shared" si="35"/>
        <v>6.2175965354614986</v>
      </c>
      <c r="E115" s="592">
        <f t="shared" si="35"/>
        <v>6.2175965354614968</v>
      </c>
      <c r="F115" s="592">
        <f t="shared" si="35"/>
        <v>6.217596535461495</v>
      </c>
      <c r="G115" s="592">
        <f t="shared" si="35"/>
        <v>6.2175965354614986</v>
      </c>
      <c r="H115" s="592">
        <f t="shared" si="35"/>
        <v>6.2175965354614959</v>
      </c>
      <c r="I115" s="592">
        <f t="shared" si="35"/>
        <v>6.2175965354614968</v>
      </c>
      <c r="J115" s="592">
        <f t="shared" si="35"/>
        <v>6.2175965354614977</v>
      </c>
      <c r="K115" s="592">
        <f t="shared" si="35"/>
        <v>6.2175965354614959</v>
      </c>
    </row>
    <row r="116" spans="1:27" x14ac:dyDescent="0.25">
      <c r="A116" s="591" t="s">
        <v>23</v>
      </c>
      <c r="B116" s="592">
        <f t="shared" si="35"/>
        <v>6.2175965354614959</v>
      </c>
      <c r="C116" s="592">
        <f t="shared" si="35"/>
        <v>6.2175965354614959</v>
      </c>
      <c r="D116" s="592">
        <f t="shared" si="35"/>
        <v>6.2175965354614977</v>
      </c>
      <c r="E116" s="592">
        <f t="shared" si="35"/>
        <v>6.2175965354614959</v>
      </c>
      <c r="F116" s="592">
        <f t="shared" si="35"/>
        <v>6.217596535461495</v>
      </c>
      <c r="G116" s="592">
        <f t="shared" si="35"/>
        <v>6.2175965354614977</v>
      </c>
      <c r="H116" s="592">
        <f t="shared" si="35"/>
        <v>6.2175965354614968</v>
      </c>
      <c r="I116" s="592">
        <f t="shared" si="35"/>
        <v>6.2175965354614959</v>
      </c>
      <c r="J116" s="592">
        <f t="shared" si="35"/>
        <v>6.2175965354614977</v>
      </c>
      <c r="K116" s="592">
        <f t="shared" si="35"/>
        <v>6.2175965354614959</v>
      </c>
    </row>
    <row r="117" spans="1:27" ht="30" x14ac:dyDescent="0.25">
      <c r="A117" s="591" t="s">
        <v>24</v>
      </c>
      <c r="B117" s="592">
        <f t="shared" si="35"/>
        <v>6.2175965354614968</v>
      </c>
      <c r="C117" s="592">
        <f t="shared" si="35"/>
        <v>6.2175965354614968</v>
      </c>
      <c r="D117" s="592">
        <f t="shared" si="35"/>
        <v>6.2175965354614977</v>
      </c>
      <c r="E117" s="592">
        <f t="shared" si="35"/>
        <v>6.2175965354614968</v>
      </c>
      <c r="F117" s="592">
        <f t="shared" si="35"/>
        <v>6.217596535461495</v>
      </c>
      <c r="G117" s="592">
        <f t="shared" si="35"/>
        <v>6.2175965354614977</v>
      </c>
      <c r="H117" s="592">
        <f t="shared" si="35"/>
        <v>6.2175965354614968</v>
      </c>
      <c r="I117" s="592">
        <f t="shared" si="35"/>
        <v>6.2175965354614968</v>
      </c>
      <c r="J117" s="592">
        <f t="shared" si="35"/>
        <v>6.2175965354614968</v>
      </c>
      <c r="K117" s="592">
        <f t="shared" si="35"/>
        <v>6.2175965354614959</v>
      </c>
    </row>
    <row r="118" spans="1:27" ht="30" x14ac:dyDescent="0.25">
      <c r="A118" s="591" t="s">
        <v>25</v>
      </c>
      <c r="B118" s="592">
        <f t="shared" si="35"/>
        <v>6.217596535461495</v>
      </c>
      <c r="C118" s="592">
        <f t="shared" si="35"/>
        <v>6.217596535461495</v>
      </c>
      <c r="D118" s="592">
        <f t="shared" si="35"/>
        <v>6.2175965354614977</v>
      </c>
      <c r="E118" s="592">
        <f t="shared" si="35"/>
        <v>6.217596535461495</v>
      </c>
      <c r="F118" s="592">
        <f t="shared" si="35"/>
        <v>6.217596535461495</v>
      </c>
      <c r="G118" s="592">
        <f t="shared" si="35"/>
        <v>6.2175965354614977</v>
      </c>
      <c r="H118" s="592">
        <f t="shared" si="35"/>
        <v>6.2175965354614968</v>
      </c>
      <c r="I118" s="592">
        <f t="shared" si="35"/>
        <v>6.217596535461495</v>
      </c>
      <c r="J118" s="592">
        <f t="shared" si="35"/>
        <v>6.2175965354614977</v>
      </c>
      <c r="K118" s="592">
        <f t="shared" si="35"/>
        <v>6.2175965354614959</v>
      </c>
    </row>
    <row r="119" spans="1:27" x14ac:dyDescent="0.25">
      <c r="A119" s="591" t="s">
        <v>26</v>
      </c>
      <c r="B119" s="592">
        <f t="shared" si="35"/>
        <v>6.2175965354614959</v>
      </c>
      <c r="C119" s="592">
        <f t="shared" si="35"/>
        <v>6.2175965354614968</v>
      </c>
      <c r="D119" s="592">
        <f t="shared" si="35"/>
        <v>6.2175965354614977</v>
      </c>
      <c r="E119" s="592">
        <f t="shared" si="35"/>
        <v>6.2175965354614968</v>
      </c>
      <c r="F119" s="592">
        <f t="shared" si="35"/>
        <v>6.217596535461495</v>
      </c>
      <c r="G119" s="592">
        <f t="shared" si="35"/>
        <v>6.2175965354614977</v>
      </c>
      <c r="H119" s="592">
        <f t="shared" si="35"/>
        <v>6.2175965354614968</v>
      </c>
      <c r="I119" s="592">
        <f t="shared" si="35"/>
        <v>6.2175965354614968</v>
      </c>
      <c r="J119" s="592">
        <f t="shared" si="35"/>
        <v>6.2175965354614977</v>
      </c>
      <c r="K119" s="592">
        <f t="shared" si="35"/>
        <v>6.2175965354614959</v>
      </c>
    </row>
    <row r="121" spans="1:27" x14ac:dyDescent="0.25">
      <c r="A121" s="593" t="s">
        <v>118</v>
      </c>
    </row>
    <row r="122" spans="1:27" x14ac:dyDescent="0.25">
      <c r="A122" s="64" t="s">
        <v>47</v>
      </c>
      <c r="B122" s="76">
        <v>2010</v>
      </c>
      <c r="C122" s="76">
        <v>2011</v>
      </c>
      <c r="D122" s="76">
        <v>2012</v>
      </c>
      <c r="E122" s="76">
        <v>2013</v>
      </c>
      <c r="F122" s="76">
        <v>2014</v>
      </c>
      <c r="G122" s="76">
        <v>2015</v>
      </c>
      <c r="H122" s="76">
        <v>2016</v>
      </c>
      <c r="I122" s="76">
        <v>2017</v>
      </c>
      <c r="J122" s="76">
        <v>2018</v>
      </c>
      <c r="K122" s="76">
        <v>2019</v>
      </c>
      <c r="L122" s="76">
        <v>2020</v>
      </c>
      <c r="M122" s="76">
        <v>2021</v>
      </c>
      <c r="N122" s="76">
        <v>2022</v>
      </c>
      <c r="O122" s="76">
        <v>2023</v>
      </c>
      <c r="P122" s="76">
        <v>2024</v>
      </c>
      <c r="Q122" s="76">
        <v>2025</v>
      </c>
      <c r="R122" s="76">
        <v>2026</v>
      </c>
      <c r="S122" s="76">
        <v>2027</v>
      </c>
      <c r="T122" s="76">
        <v>2028</v>
      </c>
      <c r="U122" s="76">
        <v>2029</v>
      </c>
      <c r="V122" s="76">
        <v>2030</v>
      </c>
      <c r="W122" s="76">
        <v>2031</v>
      </c>
      <c r="X122" s="76">
        <v>2032</v>
      </c>
      <c r="Y122" s="76">
        <v>2033</v>
      </c>
      <c r="Z122" s="76">
        <v>2034</v>
      </c>
      <c r="AA122" s="76">
        <v>2035</v>
      </c>
    </row>
    <row r="123" spans="1:27" x14ac:dyDescent="0.25">
      <c r="A123" s="68" t="s">
        <v>539</v>
      </c>
      <c r="B123" s="76">
        <v>0</v>
      </c>
      <c r="C123" s="76">
        <v>0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76">
        <v>3</v>
      </c>
      <c r="S123" s="76">
        <v>3</v>
      </c>
      <c r="T123" s="76">
        <v>3</v>
      </c>
      <c r="U123" s="76">
        <v>3</v>
      </c>
      <c r="V123" s="76">
        <v>0</v>
      </c>
      <c r="W123" s="76">
        <v>0</v>
      </c>
      <c r="X123" s="76">
        <v>0</v>
      </c>
      <c r="Y123" s="76">
        <v>0</v>
      </c>
      <c r="Z123" s="76">
        <v>0</v>
      </c>
      <c r="AA123" s="76">
        <v>0</v>
      </c>
    </row>
    <row r="124" spans="1:27" x14ac:dyDescent="0.25">
      <c r="A124" s="68" t="s">
        <v>119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76">
        <v>0.29939143596081602</v>
      </c>
      <c r="S124" s="76">
        <v>0.21825635681543487</v>
      </c>
      <c r="T124" s="76">
        <v>0.15328841521193784</v>
      </c>
      <c r="U124" s="76">
        <v>0.10269126253455992</v>
      </c>
      <c r="V124" s="76">
        <v>0</v>
      </c>
      <c r="W124" s="76">
        <v>0</v>
      </c>
      <c r="X124" s="76">
        <v>0</v>
      </c>
      <c r="Y124" s="76">
        <v>0</v>
      </c>
      <c r="Z124" s="76">
        <v>0</v>
      </c>
      <c r="AA124" s="7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36B8-8470-4E78-B713-324BB09FD4D8}">
  <sheetPr>
    <tabColor rgb="FF92D050"/>
  </sheetPr>
  <dimension ref="A1:BV820"/>
  <sheetViews>
    <sheetView workbookViewId="0"/>
  </sheetViews>
  <sheetFormatPr defaultColWidth="11.5703125" defaultRowHeight="15" customHeight="1" x14ac:dyDescent="0.2"/>
  <cols>
    <col min="1" max="1" width="41" style="223" customWidth="1"/>
    <col min="2" max="2" width="14.42578125" style="228" bestFit="1" customWidth="1"/>
    <col min="3" max="3" width="16.42578125" style="229" customWidth="1"/>
    <col min="4" max="4" width="4" style="229" customWidth="1"/>
    <col min="5" max="5" width="21.85546875" style="229" customWidth="1"/>
    <col min="6" max="6" width="50.28515625" style="223" customWidth="1"/>
    <col min="7" max="7" width="13" style="227" customWidth="1"/>
    <col min="8" max="8" width="12" style="227" customWidth="1"/>
    <col min="9" max="9" width="10.85546875" style="227" customWidth="1"/>
    <col min="10" max="10" width="12.7109375" style="227" customWidth="1"/>
    <col min="11" max="11" width="11.5703125" style="227" bestFit="1"/>
    <col min="12" max="12" width="11.28515625" style="227" bestFit="1" customWidth="1"/>
    <col min="13" max="13" width="13.85546875" style="227" bestFit="1" customWidth="1"/>
    <col min="14" max="14" width="10.42578125" style="227" customWidth="1"/>
    <col min="15" max="15" width="13" style="227" bestFit="1" customWidth="1"/>
    <col min="16" max="16" width="11.28515625" style="227" bestFit="1" customWidth="1"/>
    <col min="17" max="17" width="12" style="227" bestFit="1" customWidth="1"/>
    <col min="18" max="20" width="14.140625" style="227" bestFit="1" customWidth="1"/>
    <col min="21" max="21" width="11.28515625" style="227" customWidth="1"/>
    <col min="22" max="22" width="14.42578125" style="227" customWidth="1"/>
    <col min="23" max="49" width="11.28515625" style="227" customWidth="1"/>
    <col min="50" max="50" width="9.140625" style="227" customWidth="1"/>
    <col min="51" max="51" width="23.140625" style="227" bestFit="1" customWidth="1"/>
    <col min="52" max="69" width="14.85546875" style="227" customWidth="1"/>
    <col min="70" max="70" width="3.28515625" style="223" customWidth="1"/>
    <col min="71" max="82" width="14.85546875" style="223" customWidth="1"/>
    <col min="83" max="16384" width="11.5703125" style="223"/>
  </cols>
  <sheetData>
    <row r="1" spans="2:74" s="224" customFormat="1" ht="19.5" thickBot="1" x14ac:dyDescent="0.3">
      <c r="B1" s="230" t="s">
        <v>229</v>
      </c>
      <c r="C1" s="230"/>
      <c r="D1" s="231"/>
      <c r="E1" s="232"/>
      <c r="F1" s="233" t="s">
        <v>230</v>
      </c>
      <c r="G1" s="234">
        <v>2008</v>
      </c>
      <c r="H1" s="234">
        <v>2009</v>
      </c>
      <c r="I1" s="234">
        <v>2010</v>
      </c>
      <c r="J1" s="234">
        <v>2011</v>
      </c>
      <c r="K1" s="235">
        <v>2012</v>
      </c>
      <c r="L1" s="235">
        <v>2013</v>
      </c>
      <c r="M1" s="236">
        <v>2014</v>
      </c>
      <c r="N1" s="236">
        <v>2015</v>
      </c>
      <c r="O1" s="236">
        <v>2016</v>
      </c>
      <c r="P1" s="236">
        <v>2017</v>
      </c>
      <c r="Q1" s="236">
        <v>2018</v>
      </c>
      <c r="R1" s="236">
        <v>2019</v>
      </c>
      <c r="S1" s="236">
        <v>2020</v>
      </c>
      <c r="T1" s="236">
        <v>2021</v>
      </c>
      <c r="U1" s="236">
        <v>2022</v>
      </c>
      <c r="V1" s="236">
        <v>2023</v>
      </c>
      <c r="W1" s="236">
        <v>2024</v>
      </c>
      <c r="X1" s="236">
        <v>2025</v>
      </c>
      <c r="Y1" s="236">
        <v>2026</v>
      </c>
      <c r="Z1" s="236">
        <v>2027</v>
      </c>
      <c r="AA1" s="236">
        <v>2028</v>
      </c>
      <c r="AB1" s="236">
        <v>2029</v>
      </c>
      <c r="AC1" s="236">
        <v>2030</v>
      </c>
      <c r="AD1" s="236">
        <v>2031</v>
      </c>
      <c r="AE1" s="236">
        <v>2032</v>
      </c>
      <c r="AF1" s="236">
        <v>2033</v>
      </c>
      <c r="AG1" s="236">
        <v>2034</v>
      </c>
      <c r="AH1" s="236">
        <v>2035</v>
      </c>
      <c r="AI1" s="236">
        <v>2036</v>
      </c>
      <c r="AJ1" s="236">
        <v>2037</v>
      </c>
      <c r="AK1" s="236">
        <v>2038</v>
      </c>
      <c r="AL1" s="236">
        <v>2039</v>
      </c>
      <c r="AM1" s="236">
        <v>2040</v>
      </c>
      <c r="AN1" s="236">
        <v>2041</v>
      </c>
      <c r="AO1" s="236">
        <v>2042</v>
      </c>
      <c r="AP1" s="236">
        <v>2043</v>
      </c>
      <c r="AQ1" s="236">
        <v>2044</v>
      </c>
      <c r="AR1" s="236">
        <v>2045</v>
      </c>
      <c r="AS1" s="236">
        <v>2046</v>
      </c>
      <c r="AT1" s="236">
        <v>2047</v>
      </c>
      <c r="AU1" s="236">
        <v>2048</v>
      </c>
      <c r="AV1" s="236">
        <v>2049</v>
      </c>
      <c r="AW1" s="236">
        <v>2050</v>
      </c>
      <c r="AX1" s="236">
        <v>2051</v>
      </c>
      <c r="AY1" s="236">
        <v>2052</v>
      </c>
      <c r="AZ1" s="236">
        <v>2053</v>
      </c>
      <c r="BA1" s="236">
        <v>2054</v>
      </c>
      <c r="BB1" s="236">
        <v>2055</v>
      </c>
      <c r="BC1" s="236">
        <v>2056</v>
      </c>
      <c r="BD1" s="236">
        <v>2057</v>
      </c>
      <c r="BE1" s="236">
        <v>2058</v>
      </c>
      <c r="BF1" s="236">
        <v>2059</v>
      </c>
      <c r="BG1" s="236">
        <v>2060</v>
      </c>
      <c r="BH1" s="236">
        <v>2061</v>
      </c>
      <c r="BI1" s="236">
        <v>2062</v>
      </c>
      <c r="BJ1" s="236">
        <v>2063</v>
      </c>
      <c r="BK1" s="236">
        <v>2064</v>
      </c>
      <c r="BL1" s="236">
        <v>2065</v>
      </c>
      <c r="BM1" s="236">
        <v>2066</v>
      </c>
      <c r="BN1" s="236">
        <v>2067</v>
      </c>
      <c r="BO1" s="236">
        <v>2068</v>
      </c>
      <c r="BP1" s="236">
        <v>2069</v>
      </c>
      <c r="BQ1" s="236">
        <v>2070</v>
      </c>
      <c r="BR1" s="236"/>
      <c r="BS1" s="236"/>
      <c r="BT1" s="236"/>
      <c r="BU1" s="236"/>
      <c r="BV1" s="236"/>
    </row>
    <row r="2" spans="2:74" x14ac:dyDescent="0.2">
      <c r="C2" s="228"/>
      <c r="D2" s="228"/>
      <c r="E2" s="228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  <c r="AN2" s="237"/>
      <c r="AO2" s="237"/>
      <c r="AP2" s="237"/>
      <c r="AQ2" s="237"/>
      <c r="AR2" s="237"/>
      <c r="AS2" s="237"/>
      <c r="AT2" s="237"/>
      <c r="AU2" s="237"/>
      <c r="AV2" s="237"/>
      <c r="AW2" s="237"/>
      <c r="AX2" s="237"/>
    </row>
    <row r="3" spans="2:74" ht="26.25" x14ac:dyDescent="0.2">
      <c r="C3" s="228"/>
      <c r="D3" s="629" t="s">
        <v>231</v>
      </c>
      <c r="E3" s="629"/>
      <c r="F3" s="629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7"/>
      <c r="AR3" s="237"/>
      <c r="AS3" s="237"/>
      <c r="AT3" s="237"/>
      <c r="AU3" s="237"/>
      <c r="AV3" s="237"/>
      <c r="AW3" s="237"/>
      <c r="AX3" s="237"/>
    </row>
    <row r="4" spans="2:74" ht="15.75" thickBot="1" x14ac:dyDescent="0.25">
      <c r="C4" s="228"/>
      <c r="D4" s="228"/>
      <c r="E4" s="228"/>
      <c r="F4" s="237"/>
      <c r="G4" s="237"/>
      <c r="H4" s="237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</row>
    <row r="5" spans="2:74" x14ac:dyDescent="0.2">
      <c r="C5" s="228"/>
      <c r="D5" s="239"/>
      <c r="E5" s="240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2"/>
    </row>
    <row r="6" spans="2:74" ht="15.75" x14ac:dyDescent="0.25">
      <c r="C6" s="228"/>
      <c r="D6" s="243"/>
      <c r="E6" t="s">
        <v>232</v>
      </c>
      <c r="F6" s="244" t="s">
        <v>233</v>
      </c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6"/>
    </row>
    <row r="7" spans="2:74" ht="15.75" hidden="1" x14ac:dyDescent="0.2">
      <c r="C7" s="228"/>
      <c r="D7" s="243"/>
      <c r="E7" s="247"/>
      <c r="F7" s="248" t="s">
        <v>234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6"/>
    </row>
    <row r="8" spans="2:74" s="225" customFormat="1" hidden="1" x14ac:dyDescent="0.25">
      <c r="B8" s="625" t="s">
        <v>235</v>
      </c>
      <c r="C8" s="228"/>
      <c r="D8" s="243"/>
      <c r="E8" s="247"/>
      <c r="F8" s="249" t="s">
        <v>236</v>
      </c>
      <c r="G8" s="249"/>
      <c r="H8" s="249"/>
      <c r="I8" s="250">
        <v>3504127</v>
      </c>
      <c r="J8" s="251">
        <v>3536454</v>
      </c>
      <c r="K8" s="251">
        <v>3583056</v>
      </c>
      <c r="L8" s="251">
        <v>3538424</v>
      </c>
      <c r="M8" s="251">
        <v>5758859</v>
      </c>
      <c r="N8" s="252">
        <v>5729799</v>
      </c>
      <c r="O8" s="252">
        <v>5773290</v>
      </c>
      <c r="P8" s="252">
        <v>5675402</v>
      </c>
      <c r="Q8" s="253">
        <v>5740641</v>
      </c>
      <c r="R8" s="253">
        <v>6040896</v>
      </c>
      <c r="S8" s="253">
        <v>6112324</v>
      </c>
      <c r="T8" s="253">
        <v>5900560</v>
      </c>
      <c r="U8" s="254">
        <v>5900560</v>
      </c>
      <c r="V8" s="254">
        <v>5900560</v>
      </c>
      <c r="W8" s="254">
        <v>5900560</v>
      </c>
      <c r="X8" s="254">
        <v>5900560</v>
      </c>
      <c r="Y8" s="254">
        <v>5900560</v>
      </c>
      <c r="Z8" s="254">
        <v>5900560</v>
      </c>
      <c r="AA8" s="254">
        <v>5900560</v>
      </c>
      <c r="AB8" s="254">
        <v>5900560</v>
      </c>
      <c r="AC8" s="254">
        <v>5900560</v>
      </c>
      <c r="AD8" s="254">
        <v>5900560</v>
      </c>
      <c r="AE8" s="254">
        <v>5900560</v>
      </c>
      <c r="AF8" s="254">
        <v>5900560</v>
      </c>
      <c r="AG8" s="254">
        <v>5900560</v>
      </c>
      <c r="AH8" s="254">
        <v>5900560</v>
      </c>
      <c r="AI8" s="254">
        <v>5900560</v>
      </c>
      <c r="AJ8" s="254">
        <v>5900560</v>
      </c>
      <c r="AK8" s="254">
        <v>5900560</v>
      </c>
      <c r="AL8" s="254">
        <v>5900560</v>
      </c>
      <c r="AM8" s="254">
        <v>5900560</v>
      </c>
      <c r="AN8" s="254">
        <v>5900560</v>
      </c>
      <c r="AO8" s="254">
        <v>5900560</v>
      </c>
      <c r="AP8" s="254">
        <v>5900560</v>
      </c>
      <c r="AQ8" s="254">
        <v>5900560</v>
      </c>
      <c r="AR8" s="254">
        <v>5900560</v>
      </c>
      <c r="AS8" s="254">
        <v>5900560</v>
      </c>
      <c r="AT8" s="254">
        <v>5900560</v>
      </c>
      <c r="AU8" s="254">
        <v>5900560</v>
      </c>
      <c r="AV8" s="254">
        <v>5900560</v>
      </c>
      <c r="AW8" s="254">
        <v>5900560</v>
      </c>
      <c r="AX8" s="246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</row>
    <row r="9" spans="2:74" s="225" customFormat="1" hidden="1" x14ac:dyDescent="0.25">
      <c r="B9" s="625"/>
      <c r="C9" s="228"/>
      <c r="D9" s="243"/>
      <c r="E9" s="247"/>
      <c r="F9" s="249" t="s">
        <v>237</v>
      </c>
      <c r="G9" s="249"/>
      <c r="H9" s="249"/>
      <c r="I9" s="250">
        <v>1391379</v>
      </c>
      <c r="J9" s="251">
        <v>1379473</v>
      </c>
      <c r="K9" s="251">
        <v>1382918</v>
      </c>
      <c r="L9" s="251">
        <v>1469363</v>
      </c>
      <c r="M9" s="251">
        <v>1417104</v>
      </c>
      <c r="N9" s="252">
        <v>1483366</v>
      </c>
      <c r="O9" s="252">
        <v>1439117</v>
      </c>
      <c r="P9" s="252">
        <v>1430497</v>
      </c>
      <c r="Q9" s="253">
        <v>1385805</v>
      </c>
      <c r="R9" s="253">
        <v>1439504</v>
      </c>
      <c r="S9" s="253">
        <v>1442973</v>
      </c>
      <c r="T9" s="253">
        <v>1423372</v>
      </c>
      <c r="U9" s="254">
        <v>1423372</v>
      </c>
      <c r="V9" s="254">
        <v>1423372</v>
      </c>
      <c r="W9" s="254">
        <v>1423372</v>
      </c>
      <c r="X9" s="254">
        <v>1423372</v>
      </c>
      <c r="Y9" s="254">
        <v>1423372</v>
      </c>
      <c r="Z9" s="254">
        <v>1423372</v>
      </c>
      <c r="AA9" s="254">
        <v>1423372</v>
      </c>
      <c r="AB9" s="254">
        <v>1423372</v>
      </c>
      <c r="AC9" s="254">
        <v>1423372</v>
      </c>
      <c r="AD9" s="254">
        <v>1423372</v>
      </c>
      <c r="AE9" s="254">
        <v>1423372</v>
      </c>
      <c r="AF9" s="254">
        <v>1423372</v>
      </c>
      <c r="AG9" s="254">
        <v>1423372</v>
      </c>
      <c r="AH9" s="254">
        <v>1423372</v>
      </c>
      <c r="AI9" s="254">
        <v>1423372</v>
      </c>
      <c r="AJ9" s="254">
        <v>1423372</v>
      </c>
      <c r="AK9" s="254">
        <v>1423372</v>
      </c>
      <c r="AL9" s="254">
        <v>1423372</v>
      </c>
      <c r="AM9" s="254">
        <v>1423372</v>
      </c>
      <c r="AN9" s="254">
        <v>1423372</v>
      </c>
      <c r="AO9" s="254">
        <v>1423372</v>
      </c>
      <c r="AP9" s="254">
        <v>1423372</v>
      </c>
      <c r="AQ9" s="254">
        <v>1423372</v>
      </c>
      <c r="AR9" s="254">
        <v>1423372</v>
      </c>
      <c r="AS9" s="254">
        <v>1423372</v>
      </c>
      <c r="AT9" s="254">
        <v>1423372</v>
      </c>
      <c r="AU9" s="254">
        <v>1423372</v>
      </c>
      <c r="AV9" s="254">
        <v>1423372</v>
      </c>
      <c r="AW9" s="254">
        <v>1423372</v>
      </c>
      <c r="AX9" s="246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</row>
    <row r="10" spans="2:74" hidden="1" x14ac:dyDescent="0.2">
      <c r="B10" s="625"/>
      <c r="C10" s="228"/>
      <c r="D10" s="243"/>
      <c r="E10" s="247"/>
      <c r="F10" s="249" t="s">
        <v>238</v>
      </c>
      <c r="G10" s="249"/>
      <c r="H10" s="249"/>
      <c r="I10" s="253">
        <v>992369</v>
      </c>
      <c r="J10" s="253">
        <v>982312</v>
      </c>
      <c r="K10" s="253">
        <v>1020870</v>
      </c>
      <c r="L10" s="253">
        <v>1003271</v>
      </c>
      <c r="M10" s="253">
        <v>876498</v>
      </c>
      <c r="N10" s="253">
        <v>950649</v>
      </c>
      <c r="O10" s="253">
        <v>849685</v>
      </c>
      <c r="P10" s="253">
        <v>904224</v>
      </c>
      <c r="Q10" s="253">
        <v>799494</v>
      </c>
      <c r="R10" s="253">
        <v>769708</v>
      </c>
      <c r="S10" s="253">
        <v>822516</v>
      </c>
      <c r="T10" s="253">
        <v>841994</v>
      </c>
      <c r="U10" s="254">
        <v>841994</v>
      </c>
      <c r="V10" s="254">
        <v>841994</v>
      </c>
      <c r="W10" s="254">
        <v>841994</v>
      </c>
      <c r="X10" s="254">
        <v>841994</v>
      </c>
      <c r="Y10" s="254">
        <v>841994</v>
      </c>
      <c r="Z10" s="254">
        <v>841994</v>
      </c>
      <c r="AA10" s="254">
        <v>841994</v>
      </c>
      <c r="AB10" s="254">
        <v>841994</v>
      </c>
      <c r="AC10" s="254">
        <v>841994</v>
      </c>
      <c r="AD10" s="254">
        <v>841994</v>
      </c>
      <c r="AE10" s="254">
        <v>841994</v>
      </c>
      <c r="AF10" s="254">
        <v>841994</v>
      </c>
      <c r="AG10" s="254">
        <v>841994</v>
      </c>
      <c r="AH10" s="254">
        <v>841994</v>
      </c>
      <c r="AI10" s="254">
        <v>841994</v>
      </c>
      <c r="AJ10" s="254">
        <v>841994</v>
      </c>
      <c r="AK10" s="254">
        <v>841994</v>
      </c>
      <c r="AL10" s="254">
        <v>841994</v>
      </c>
      <c r="AM10" s="254">
        <v>841994</v>
      </c>
      <c r="AN10" s="254">
        <v>841994</v>
      </c>
      <c r="AO10" s="254">
        <v>841994</v>
      </c>
      <c r="AP10" s="254">
        <v>841994</v>
      </c>
      <c r="AQ10" s="254">
        <v>841994</v>
      </c>
      <c r="AR10" s="254">
        <v>841994</v>
      </c>
      <c r="AS10" s="254">
        <v>841994</v>
      </c>
      <c r="AT10" s="254">
        <v>841994</v>
      </c>
      <c r="AU10" s="254">
        <v>841994</v>
      </c>
      <c r="AV10" s="254">
        <v>841994</v>
      </c>
      <c r="AW10" s="254">
        <v>841994</v>
      </c>
      <c r="AX10" s="246"/>
    </row>
    <row r="11" spans="2:74" hidden="1" x14ac:dyDescent="0.2">
      <c r="B11" s="625"/>
      <c r="C11" s="228"/>
      <c r="D11" s="243"/>
      <c r="E11" s="247"/>
      <c r="F11" s="249" t="s">
        <v>239</v>
      </c>
      <c r="G11" s="249"/>
      <c r="H11" s="249"/>
      <c r="I11" s="253">
        <v>193957</v>
      </c>
      <c r="J11" s="252">
        <v>173442</v>
      </c>
      <c r="K11" s="252">
        <v>126982</v>
      </c>
      <c r="L11" s="252">
        <v>191159</v>
      </c>
      <c r="M11" s="252">
        <v>93574</v>
      </c>
      <c r="N11" s="252">
        <v>117390</v>
      </c>
      <c r="O11" s="252">
        <v>125946</v>
      </c>
      <c r="P11" s="252">
        <v>129268</v>
      </c>
      <c r="Q11" s="253">
        <v>168446</v>
      </c>
      <c r="R11" s="253">
        <v>219492</v>
      </c>
      <c r="S11" s="253">
        <v>215014</v>
      </c>
      <c r="T11" s="253">
        <v>163017</v>
      </c>
      <c r="U11" s="254">
        <v>163017</v>
      </c>
      <c r="V11" s="254">
        <v>163017</v>
      </c>
      <c r="W11" s="254">
        <v>163017</v>
      </c>
      <c r="X11" s="254">
        <v>163017</v>
      </c>
      <c r="Y11" s="254">
        <v>163017</v>
      </c>
      <c r="Z11" s="254">
        <v>163017</v>
      </c>
      <c r="AA11" s="254">
        <v>163017</v>
      </c>
      <c r="AB11" s="254">
        <v>163017</v>
      </c>
      <c r="AC11" s="254">
        <v>163017</v>
      </c>
      <c r="AD11" s="254">
        <v>163017</v>
      </c>
      <c r="AE11" s="254">
        <v>163017</v>
      </c>
      <c r="AF11" s="254">
        <v>163017</v>
      </c>
      <c r="AG11" s="254">
        <v>163017</v>
      </c>
      <c r="AH11" s="254">
        <v>163017</v>
      </c>
      <c r="AI11" s="254">
        <v>163017</v>
      </c>
      <c r="AJ11" s="254">
        <v>163017</v>
      </c>
      <c r="AK11" s="254">
        <v>163017</v>
      </c>
      <c r="AL11" s="254">
        <v>163017</v>
      </c>
      <c r="AM11" s="254">
        <v>163017</v>
      </c>
      <c r="AN11" s="254">
        <v>163017</v>
      </c>
      <c r="AO11" s="254">
        <v>163017</v>
      </c>
      <c r="AP11" s="254">
        <v>163017</v>
      </c>
      <c r="AQ11" s="254">
        <v>163017</v>
      </c>
      <c r="AR11" s="254">
        <v>163017</v>
      </c>
      <c r="AS11" s="254">
        <v>163017</v>
      </c>
      <c r="AT11" s="254">
        <v>163017</v>
      </c>
      <c r="AU11" s="254">
        <v>163017</v>
      </c>
      <c r="AV11" s="254">
        <v>163017</v>
      </c>
      <c r="AW11" s="254">
        <v>163017</v>
      </c>
      <c r="AX11" s="246"/>
    </row>
    <row r="12" spans="2:74" hidden="1" x14ac:dyDescent="0.25">
      <c r="B12" s="625"/>
      <c r="C12" s="228"/>
      <c r="D12" s="243"/>
      <c r="E12" s="247"/>
      <c r="F12" s="249" t="s">
        <v>240</v>
      </c>
      <c r="G12" s="249"/>
      <c r="H12" s="249"/>
      <c r="I12" s="253">
        <v>217058</v>
      </c>
      <c r="J12" s="252">
        <v>210584</v>
      </c>
      <c r="K12" s="252">
        <v>205657</v>
      </c>
      <c r="L12" s="252">
        <v>216225</v>
      </c>
      <c r="M12" s="252">
        <v>468180</v>
      </c>
      <c r="N12" s="252">
        <v>612090</v>
      </c>
      <c r="O12" s="252">
        <v>719109</v>
      </c>
      <c r="P12" s="252">
        <v>757791</v>
      </c>
      <c r="Q12" s="253">
        <v>796518</v>
      </c>
      <c r="R12" s="253">
        <v>662305</v>
      </c>
      <c r="S12" s="253">
        <v>681476</v>
      </c>
      <c r="T12" s="253">
        <v>712757</v>
      </c>
      <c r="U12" s="254">
        <v>712757</v>
      </c>
      <c r="V12" s="254">
        <v>712757</v>
      </c>
      <c r="W12" s="254">
        <v>712757</v>
      </c>
      <c r="X12" s="254">
        <v>712757</v>
      </c>
      <c r="Y12" s="254">
        <v>712757</v>
      </c>
      <c r="Z12" s="254">
        <v>712757</v>
      </c>
      <c r="AA12" s="254">
        <v>712757</v>
      </c>
      <c r="AB12" s="254">
        <v>712757</v>
      </c>
      <c r="AC12" s="254">
        <v>712757</v>
      </c>
      <c r="AD12" s="254">
        <v>712757</v>
      </c>
      <c r="AE12" s="254">
        <v>712757</v>
      </c>
      <c r="AF12" s="254">
        <v>712757</v>
      </c>
      <c r="AG12" s="254">
        <v>712757</v>
      </c>
      <c r="AH12" s="254">
        <v>712757</v>
      </c>
      <c r="AI12" s="254">
        <v>712757</v>
      </c>
      <c r="AJ12" s="254">
        <v>712757</v>
      </c>
      <c r="AK12" s="254">
        <v>712757</v>
      </c>
      <c r="AL12" s="254">
        <v>712757</v>
      </c>
      <c r="AM12" s="254">
        <v>712757</v>
      </c>
      <c r="AN12" s="254">
        <v>712757</v>
      </c>
      <c r="AO12" s="254">
        <v>712757</v>
      </c>
      <c r="AP12" s="254">
        <v>712757</v>
      </c>
      <c r="AQ12" s="254">
        <v>712757</v>
      </c>
      <c r="AR12" s="254">
        <v>712757</v>
      </c>
      <c r="AS12" s="254">
        <v>712757</v>
      </c>
      <c r="AT12" s="254">
        <v>712757</v>
      </c>
      <c r="AU12" s="254">
        <v>712757</v>
      </c>
      <c r="AV12" s="254">
        <v>712757</v>
      </c>
      <c r="AW12" s="254">
        <v>712757</v>
      </c>
      <c r="AX12" s="24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</row>
    <row r="13" spans="2:74" hidden="1" x14ac:dyDescent="0.25">
      <c r="B13" s="625"/>
      <c r="C13" s="228"/>
      <c r="D13" s="243"/>
      <c r="E13" s="247"/>
      <c r="F13" s="249" t="s">
        <v>241</v>
      </c>
      <c r="G13" s="249"/>
      <c r="H13" s="249"/>
      <c r="I13" s="252">
        <v>539475</v>
      </c>
      <c r="J13" s="252">
        <v>565857</v>
      </c>
      <c r="K13" s="252">
        <v>608272</v>
      </c>
      <c r="L13" s="252">
        <v>491891</v>
      </c>
      <c r="M13" s="252">
        <v>499258</v>
      </c>
      <c r="N13" s="252">
        <v>454347</v>
      </c>
      <c r="O13" s="257">
        <v>377791</v>
      </c>
      <c r="P13" s="252">
        <v>332418</v>
      </c>
      <c r="Q13" s="253">
        <v>252612</v>
      </c>
      <c r="R13" s="253">
        <v>270986</v>
      </c>
      <c r="S13" s="253">
        <v>249139</v>
      </c>
      <c r="T13" s="253">
        <v>233074</v>
      </c>
      <c r="U13" s="254">
        <v>233074</v>
      </c>
      <c r="V13" s="254">
        <v>233074</v>
      </c>
      <c r="W13" s="254">
        <v>233074</v>
      </c>
      <c r="X13" s="254">
        <v>233074</v>
      </c>
      <c r="Y13" s="254">
        <v>233074</v>
      </c>
      <c r="Z13" s="254">
        <v>233074</v>
      </c>
      <c r="AA13" s="254">
        <v>233074</v>
      </c>
      <c r="AB13" s="254">
        <v>233074</v>
      </c>
      <c r="AC13" s="254">
        <v>233074</v>
      </c>
      <c r="AD13" s="254">
        <v>233074</v>
      </c>
      <c r="AE13" s="254">
        <v>233074</v>
      </c>
      <c r="AF13" s="254">
        <v>233074</v>
      </c>
      <c r="AG13" s="254">
        <v>233074</v>
      </c>
      <c r="AH13" s="254">
        <v>233074</v>
      </c>
      <c r="AI13" s="254">
        <v>233074</v>
      </c>
      <c r="AJ13" s="254">
        <v>233074</v>
      </c>
      <c r="AK13" s="254">
        <v>233074</v>
      </c>
      <c r="AL13" s="254">
        <v>233074</v>
      </c>
      <c r="AM13" s="254">
        <v>233074</v>
      </c>
      <c r="AN13" s="254">
        <v>233074</v>
      </c>
      <c r="AO13" s="254">
        <v>233074</v>
      </c>
      <c r="AP13" s="254">
        <v>233074</v>
      </c>
      <c r="AQ13" s="254">
        <v>233074</v>
      </c>
      <c r="AR13" s="254">
        <v>233074</v>
      </c>
      <c r="AS13" s="254">
        <v>233074</v>
      </c>
      <c r="AT13" s="254">
        <v>233074</v>
      </c>
      <c r="AU13" s="254">
        <v>233074</v>
      </c>
      <c r="AV13" s="254">
        <v>233074</v>
      </c>
      <c r="AW13" s="254">
        <v>233074</v>
      </c>
      <c r="AX13" s="246"/>
    </row>
    <row r="14" spans="2:74" hidden="1" x14ac:dyDescent="0.2">
      <c r="B14" s="625"/>
      <c r="C14" s="228"/>
      <c r="D14" s="243"/>
      <c r="E14" s="247"/>
      <c r="F14" s="249" t="s">
        <v>242</v>
      </c>
      <c r="G14" s="249"/>
      <c r="H14" s="249"/>
      <c r="I14" s="253">
        <v>3409952</v>
      </c>
      <c r="J14" s="253">
        <v>3425412</v>
      </c>
      <c r="K14" s="253">
        <v>3553008</v>
      </c>
      <c r="L14" s="253">
        <v>3227321</v>
      </c>
      <c r="M14" s="253">
        <v>2259447</v>
      </c>
      <c r="N14" s="253">
        <v>2531442</v>
      </c>
      <c r="O14" s="253">
        <v>2300539</v>
      </c>
      <c r="P14" s="253">
        <v>2447634</v>
      </c>
      <c r="Q14" s="253">
        <v>2379042</v>
      </c>
      <c r="R14" s="253">
        <v>1985494</v>
      </c>
      <c r="S14" s="253">
        <v>2067795</v>
      </c>
      <c r="T14" s="253">
        <v>2376551</v>
      </c>
      <c r="U14" s="254">
        <v>2376551</v>
      </c>
      <c r="V14" s="254">
        <v>2376551</v>
      </c>
      <c r="W14" s="254">
        <v>2376551</v>
      </c>
      <c r="X14" s="254">
        <v>2376551</v>
      </c>
      <c r="Y14" s="254">
        <v>2376551</v>
      </c>
      <c r="Z14" s="254">
        <v>2376551</v>
      </c>
      <c r="AA14" s="254">
        <v>2376551</v>
      </c>
      <c r="AB14" s="254">
        <v>2376551</v>
      </c>
      <c r="AC14" s="254">
        <v>2376551</v>
      </c>
      <c r="AD14" s="254">
        <v>2376551</v>
      </c>
      <c r="AE14" s="254">
        <v>2376551</v>
      </c>
      <c r="AF14" s="254">
        <v>2376551</v>
      </c>
      <c r="AG14" s="254">
        <v>2376551</v>
      </c>
      <c r="AH14" s="254">
        <v>2376551</v>
      </c>
      <c r="AI14" s="254">
        <v>2376551</v>
      </c>
      <c r="AJ14" s="254">
        <v>2376551</v>
      </c>
      <c r="AK14" s="254">
        <v>2376551</v>
      </c>
      <c r="AL14" s="254">
        <v>2376551</v>
      </c>
      <c r="AM14" s="254">
        <v>2376551</v>
      </c>
      <c r="AN14" s="254">
        <v>2376551</v>
      </c>
      <c r="AO14" s="254">
        <v>2376551</v>
      </c>
      <c r="AP14" s="254">
        <v>2376551</v>
      </c>
      <c r="AQ14" s="254">
        <v>2376551</v>
      </c>
      <c r="AR14" s="254">
        <v>2376551</v>
      </c>
      <c r="AS14" s="254">
        <v>2376551</v>
      </c>
      <c r="AT14" s="254">
        <v>2376551</v>
      </c>
      <c r="AU14" s="254">
        <v>2376551</v>
      </c>
      <c r="AV14" s="254">
        <v>2376551</v>
      </c>
      <c r="AW14" s="254">
        <v>2376551</v>
      </c>
      <c r="AX14" s="246"/>
    </row>
    <row r="15" spans="2:74" hidden="1" x14ac:dyDescent="0.2">
      <c r="B15" s="625"/>
      <c r="C15" s="228"/>
      <c r="D15" s="243"/>
      <c r="E15" s="247"/>
      <c r="F15" s="249" t="s">
        <v>243</v>
      </c>
      <c r="G15" s="249"/>
      <c r="H15" s="249"/>
      <c r="I15" s="253">
        <v>1509972</v>
      </c>
      <c r="J15" s="253">
        <v>1385547</v>
      </c>
      <c r="K15" s="253">
        <v>1423114</v>
      </c>
      <c r="L15" s="253">
        <v>1623359</v>
      </c>
      <c r="M15" s="253">
        <v>828333</v>
      </c>
      <c r="N15" s="253">
        <v>706777</v>
      </c>
      <c r="O15" s="253">
        <v>800496</v>
      </c>
      <c r="P15" s="253">
        <v>677911</v>
      </c>
      <c r="Q15" s="253">
        <v>715273</v>
      </c>
      <c r="R15" s="253">
        <v>915843</v>
      </c>
      <c r="S15" s="253">
        <v>841320</v>
      </c>
      <c r="T15" s="253">
        <v>646139</v>
      </c>
      <c r="U15" s="254">
        <v>646139</v>
      </c>
      <c r="V15" s="254">
        <v>646139</v>
      </c>
      <c r="W15" s="254">
        <v>646139</v>
      </c>
      <c r="X15" s="254">
        <v>646139</v>
      </c>
      <c r="Y15" s="254">
        <v>646139</v>
      </c>
      <c r="Z15" s="254">
        <v>646139</v>
      </c>
      <c r="AA15" s="254">
        <v>646139</v>
      </c>
      <c r="AB15" s="254">
        <v>646139</v>
      </c>
      <c r="AC15" s="254">
        <v>646139</v>
      </c>
      <c r="AD15" s="254">
        <v>646139</v>
      </c>
      <c r="AE15" s="254">
        <v>646139</v>
      </c>
      <c r="AF15" s="254">
        <v>646139</v>
      </c>
      <c r="AG15" s="254">
        <v>646139</v>
      </c>
      <c r="AH15" s="254">
        <v>646139</v>
      </c>
      <c r="AI15" s="254">
        <v>646139</v>
      </c>
      <c r="AJ15" s="254">
        <v>646139</v>
      </c>
      <c r="AK15" s="254">
        <v>646139</v>
      </c>
      <c r="AL15" s="254">
        <v>646139</v>
      </c>
      <c r="AM15" s="254">
        <v>646139</v>
      </c>
      <c r="AN15" s="254">
        <v>646139</v>
      </c>
      <c r="AO15" s="254">
        <v>646139</v>
      </c>
      <c r="AP15" s="254">
        <v>646139</v>
      </c>
      <c r="AQ15" s="254">
        <v>646139</v>
      </c>
      <c r="AR15" s="254">
        <v>646139</v>
      </c>
      <c r="AS15" s="254">
        <v>646139</v>
      </c>
      <c r="AT15" s="254">
        <v>646139</v>
      </c>
      <c r="AU15" s="254">
        <v>646139</v>
      </c>
      <c r="AV15" s="254">
        <v>646139</v>
      </c>
      <c r="AW15" s="254">
        <v>646139</v>
      </c>
      <c r="AX15" s="246"/>
    </row>
    <row r="16" spans="2:74" ht="15.75" x14ac:dyDescent="0.2">
      <c r="C16" s="228"/>
      <c r="D16" s="243"/>
      <c r="E16" s="247"/>
      <c r="F16" s="248" t="s">
        <v>244</v>
      </c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6"/>
    </row>
    <row r="17" spans="2:69" s="225" customFormat="1" x14ac:dyDescent="0.25">
      <c r="B17" s="625" t="s">
        <v>235</v>
      </c>
      <c r="C17" s="228"/>
      <c r="D17" s="243"/>
      <c r="E17" s="247"/>
      <c r="F17" s="249" t="s">
        <v>245</v>
      </c>
      <c r="G17" s="249"/>
      <c r="H17" s="249"/>
      <c r="I17" s="258">
        <f t="shared" ref="I17:AW17" si="0">I8/1000000</f>
        <v>3.504127</v>
      </c>
      <c r="J17" s="258">
        <f t="shared" si="0"/>
        <v>3.536454</v>
      </c>
      <c r="K17" s="258">
        <f t="shared" si="0"/>
        <v>3.583056</v>
      </c>
      <c r="L17" s="258">
        <f t="shared" si="0"/>
        <v>3.538424</v>
      </c>
      <c r="M17" s="258">
        <f t="shared" si="0"/>
        <v>5.7588590000000002</v>
      </c>
      <c r="N17" s="258">
        <f t="shared" si="0"/>
        <v>5.7297989999999999</v>
      </c>
      <c r="O17" s="258">
        <f t="shared" si="0"/>
        <v>5.7732900000000003</v>
      </c>
      <c r="P17" s="258">
        <f t="shared" si="0"/>
        <v>5.6754020000000001</v>
      </c>
      <c r="Q17" s="258">
        <f t="shared" si="0"/>
        <v>5.7406410000000001</v>
      </c>
      <c r="R17" s="258">
        <f t="shared" si="0"/>
        <v>6.040896</v>
      </c>
      <c r="S17" s="258">
        <f t="shared" si="0"/>
        <v>6.1123240000000001</v>
      </c>
      <c r="T17" s="258">
        <f t="shared" si="0"/>
        <v>5.9005599999999996</v>
      </c>
      <c r="U17" s="258">
        <f t="shared" si="0"/>
        <v>5.9005599999999996</v>
      </c>
      <c r="V17" s="258">
        <f t="shared" si="0"/>
        <v>5.9005599999999996</v>
      </c>
      <c r="W17" s="258">
        <f t="shared" si="0"/>
        <v>5.9005599999999996</v>
      </c>
      <c r="X17" s="258">
        <f t="shared" si="0"/>
        <v>5.9005599999999996</v>
      </c>
      <c r="Y17" s="258">
        <f t="shared" si="0"/>
        <v>5.9005599999999996</v>
      </c>
      <c r="Z17" s="258">
        <f t="shared" si="0"/>
        <v>5.9005599999999996</v>
      </c>
      <c r="AA17" s="258">
        <f t="shared" si="0"/>
        <v>5.9005599999999996</v>
      </c>
      <c r="AB17" s="258">
        <f t="shared" si="0"/>
        <v>5.9005599999999996</v>
      </c>
      <c r="AC17" s="258">
        <f t="shared" si="0"/>
        <v>5.9005599999999996</v>
      </c>
      <c r="AD17" s="258">
        <f t="shared" si="0"/>
        <v>5.9005599999999996</v>
      </c>
      <c r="AE17" s="258">
        <f t="shared" si="0"/>
        <v>5.9005599999999996</v>
      </c>
      <c r="AF17" s="258">
        <f t="shared" si="0"/>
        <v>5.9005599999999996</v>
      </c>
      <c r="AG17" s="258">
        <f t="shared" si="0"/>
        <v>5.9005599999999996</v>
      </c>
      <c r="AH17" s="258">
        <f t="shared" si="0"/>
        <v>5.9005599999999996</v>
      </c>
      <c r="AI17" s="258">
        <f t="shared" si="0"/>
        <v>5.9005599999999996</v>
      </c>
      <c r="AJ17" s="258">
        <f t="shared" si="0"/>
        <v>5.9005599999999996</v>
      </c>
      <c r="AK17" s="258">
        <f t="shared" si="0"/>
        <v>5.9005599999999996</v>
      </c>
      <c r="AL17" s="258">
        <f t="shared" si="0"/>
        <v>5.9005599999999996</v>
      </c>
      <c r="AM17" s="258">
        <f t="shared" si="0"/>
        <v>5.9005599999999996</v>
      </c>
      <c r="AN17" s="258">
        <f t="shared" si="0"/>
        <v>5.9005599999999996</v>
      </c>
      <c r="AO17" s="258">
        <f t="shared" si="0"/>
        <v>5.9005599999999996</v>
      </c>
      <c r="AP17" s="258">
        <f t="shared" si="0"/>
        <v>5.9005599999999996</v>
      </c>
      <c r="AQ17" s="258">
        <f t="shared" si="0"/>
        <v>5.9005599999999996</v>
      </c>
      <c r="AR17" s="258">
        <f t="shared" si="0"/>
        <v>5.9005599999999996</v>
      </c>
      <c r="AS17" s="258">
        <f t="shared" si="0"/>
        <v>5.9005599999999996</v>
      </c>
      <c r="AT17" s="258">
        <f t="shared" si="0"/>
        <v>5.9005599999999996</v>
      </c>
      <c r="AU17" s="258">
        <f t="shared" si="0"/>
        <v>5.9005599999999996</v>
      </c>
      <c r="AV17" s="258">
        <f t="shared" si="0"/>
        <v>5.9005599999999996</v>
      </c>
      <c r="AW17" s="258">
        <f t="shared" si="0"/>
        <v>5.9005599999999996</v>
      </c>
      <c r="AX17" s="246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5"/>
      <c r="BO17" s="255"/>
      <c r="BP17" s="255"/>
      <c r="BQ17" s="255"/>
    </row>
    <row r="18" spans="2:69" s="225" customFormat="1" x14ac:dyDescent="0.25">
      <c r="B18" s="625"/>
      <c r="C18" s="228"/>
      <c r="D18" s="243"/>
      <c r="E18" s="247"/>
      <c r="F18" s="249" t="s">
        <v>246</v>
      </c>
      <c r="G18" s="249"/>
      <c r="H18" s="249"/>
      <c r="I18" s="258">
        <f t="shared" ref="I18:AW18" si="1">I9/1000000</f>
        <v>1.3913789999999999</v>
      </c>
      <c r="J18" s="258">
        <f t="shared" si="1"/>
        <v>1.3794729999999999</v>
      </c>
      <c r="K18" s="258">
        <f t="shared" si="1"/>
        <v>1.3829180000000001</v>
      </c>
      <c r="L18" s="258">
        <f t="shared" si="1"/>
        <v>1.469363</v>
      </c>
      <c r="M18" s="258">
        <f t="shared" si="1"/>
        <v>1.4171039999999999</v>
      </c>
      <c r="N18" s="258">
        <f t="shared" si="1"/>
        <v>1.483366</v>
      </c>
      <c r="O18" s="258">
        <f t="shared" si="1"/>
        <v>1.439117</v>
      </c>
      <c r="P18" s="258">
        <f t="shared" si="1"/>
        <v>1.4304969999999999</v>
      </c>
      <c r="Q18" s="258">
        <f t="shared" si="1"/>
        <v>1.385805</v>
      </c>
      <c r="R18" s="258">
        <f t="shared" si="1"/>
        <v>1.4395039999999999</v>
      </c>
      <c r="S18" s="258">
        <f t="shared" si="1"/>
        <v>1.4429730000000001</v>
      </c>
      <c r="T18" s="258">
        <f t="shared" si="1"/>
        <v>1.4233720000000001</v>
      </c>
      <c r="U18" s="258">
        <f t="shared" si="1"/>
        <v>1.4233720000000001</v>
      </c>
      <c r="V18" s="258">
        <f t="shared" si="1"/>
        <v>1.4233720000000001</v>
      </c>
      <c r="W18" s="258">
        <f t="shared" si="1"/>
        <v>1.4233720000000001</v>
      </c>
      <c r="X18" s="258">
        <f t="shared" si="1"/>
        <v>1.4233720000000001</v>
      </c>
      <c r="Y18" s="258">
        <f t="shared" si="1"/>
        <v>1.4233720000000001</v>
      </c>
      <c r="Z18" s="258">
        <f t="shared" si="1"/>
        <v>1.4233720000000001</v>
      </c>
      <c r="AA18" s="258">
        <f t="shared" si="1"/>
        <v>1.4233720000000001</v>
      </c>
      <c r="AB18" s="258">
        <f t="shared" si="1"/>
        <v>1.4233720000000001</v>
      </c>
      <c r="AC18" s="258">
        <f t="shared" si="1"/>
        <v>1.4233720000000001</v>
      </c>
      <c r="AD18" s="258">
        <f t="shared" si="1"/>
        <v>1.4233720000000001</v>
      </c>
      <c r="AE18" s="258">
        <f t="shared" si="1"/>
        <v>1.4233720000000001</v>
      </c>
      <c r="AF18" s="258">
        <f t="shared" si="1"/>
        <v>1.4233720000000001</v>
      </c>
      <c r="AG18" s="258">
        <f t="shared" si="1"/>
        <v>1.4233720000000001</v>
      </c>
      <c r="AH18" s="258">
        <f t="shared" si="1"/>
        <v>1.4233720000000001</v>
      </c>
      <c r="AI18" s="258">
        <f t="shared" si="1"/>
        <v>1.4233720000000001</v>
      </c>
      <c r="AJ18" s="258">
        <f t="shared" si="1"/>
        <v>1.4233720000000001</v>
      </c>
      <c r="AK18" s="258">
        <f t="shared" si="1"/>
        <v>1.4233720000000001</v>
      </c>
      <c r="AL18" s="258">
        <f t="shared" si="1"/>
        <v>1.4233720000000001</v>
      </c>
      <c r="AM18" s="258">
        <f t="shared" si="1"/>
        <v>1.4233720000000001</v>
      </c>
      <c r="AN18" s="258">
        <f t="shared" si="1"/>
        <v>1.4233720000000001</v>
      </c>
      <c r="AO18" s="258">
        <f t="shared" si="1"/>
        <v>1.4233720000000001</v>
      </c>
      <c r="AP18" s="258">
        <f t="shared" si="1"/>
        <v>1.4233720000000001</v>
      </c>
      <c r="AQ18" s="258">
        <f t="shared" si="1"/>
        <v>1.4233720000000001</v>
      </c>
      <c r="AR18" s="258">
        <f t="shared" si="1"/>
        <v>1.4233720000000001</v>
      </c>
      <c r="AS18" s="258">
        <f t="shared" si="1"/>
        <v>1.4233720000000001</v>
      </c>
      <c r="AT18" s="258">
        <f t="shared" si="1"/>
        <v>1.4233720000000001</v>
      </c>
      <c r="AU18" s="258">
        <f t="shared" si="1"/>
        <v>1.4233720000000001</v>
      </c>
      <c r="AV18" s="258">
        <f t="shared" si="1"/>
        <v>1.4233720000000001</v>
      </c>
      <c r="AW18" s="258">
        <f t="shared" si="1"/>
        <v>1.4233720000000001</v>
      </c>
      <c r="AX18" s="246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  <c r="BO18" s="255"/>
      <c r="BP18" s="255"/>
      <c r="BQ18" s="255"/>
    </row>
    <row r="19" spans="2:69" x14ac:dyDescent="0.2">
      <c r="B19" s="625"/>
      <c r="C19" s="228"/>
      <c r="D19" s="243"/>
      <c r="E19" s="247"/>
      <c r="F19" s="249" t="s">
        <v>247</v>
      </c>
      <c r="G19" s="249"/>
      <c r="H19" s="249"/>
      <c r="I19" s="258">
        <f t="shared" ref="I19:AW19" si="2">I10/1000000</f>
        <v>0.99236899999999995</v>
      </c>
      <c r="J19" s="258">
        <f t="shared" si="2"/>
        <v>0.98231199999999996</v>
      </c>
      <c r="K19" s="258">
        <f t="shared" si="2"/>
        <v>1.0208699999999999</v>
      </c>
      <c r="L19" s="258">
        <f t="shared" si="2"/>
        <v>1.003271</v>
      </c>
      <c r="M19" s="258">
        <f t="shared" si="2"/>
        <v>0.876498</v>
      </c>
      <c r="N19" s="258">
        <f t="shared" si="2"/>
        <v>0.95064899999999997</v>
      </c>
      <c r="O19" s="258">
        <f t="shared" si="2"/>
        <v>0.84968500000000002</v>
      </c>
      <c r="P19" s="258">
        <f t="shared" si="2"/>
        <v>0.90422400000000003</v>
      </c>
      <c r="Q19" s="258">
        <f t="shared" si="2"/>
        <v>0.79949400000000004</v>
      </c>
      <c r="R19" s="258">
        <f t="shared" si="2"/>
        <v>0.76970799999999995</v>
      </c>
      <c r="S19" s="258">
        <f t="shared" si="2"/>
        <v>0.82251600000000002</v>
      </c>
      <c r="T19" s="258">
        <f t="shared" si="2"/>
        <v>0.84199400000000002</v>
      </c>
      <c r="U19" s="258">
        <f t="shared" si="2"/>
        <v>0.84199400000000002</v>
      </c>
      <c r="V19" s="258">
        <f t="shared" si="2"/>
        <v>0.84199400000000002</v>
      </c>
      <c r="W19" s="258">
        <f t="shared" si="2"/>
        <v>0.84199400000000002</v>
      </c>
      <c r="X19" s="258">
        <f t="shared" si="2"/>
        <v>0.84199400000000002</v>
      </c>
      <c r="Y19" s="258">
        <f t="shared" si="2"/>
        <v>0.84199400000000002</v>
      </c>
      <c r="Z19" s="258">
        <f t="shared" si="2"/>
        <v>0.84199400000000002</v>
      </c>
      <c r="AA19" s="258">
        <f t="shared" si="2"/>
        <v>0.84199400000000002</v>
      </c>
      <c r="AB19" s="258">
        <f t="shared" si="2"/>
        <v>0.84199400000000002</v>
      </c>
      <c r="AC19" s="258">
        <f t="shared" si="2"/>
        <v>0.84199400000000002</v>
      </c>
      <c r="AD19" s="258">
        <f t="shared" si="2"/>
        <v>0.84199400000000002</v>
      </c>
      <c r="AE19" s="258">
        <f t="shared" si="2"/>
        <v>0.84199400000000002</v>
      </c>
      <c r="AF19" s="258">
        <f t="shared" si="2"/>
        <v>0.84199400000000002</v>
      </c>
      <c r="AG19" s="258">
        <f t="shared" si="2"/>
        <v>0.84199400000000002</v>
      </c>
      <c r="AH19" s="258">
        <f t="shared" si="2"/>
        <v>0.84199400000000002</v>
      </c>
      <c r="AI19" s="258">
        <f t="shared" si="2"/>
        <v>0.84199400000000002</v>
      </c>
      <c r="AJ19" s="258">
        <f t="shared" si="2"/>
        <v>0.84199400000000002</v>
      </c>
      <c r="AK19" s="258">
        <f t="shared" si="2"/>
        <v>0.84199400000000002</v>
      </c>
      <c r="AL19" s="258">
        <f t="shared" si="2"/>
        <v>0.84199400000000002</v>
      </c>
      <c r="AM19" s="258">
        <f t="shared" si="2"/>
        <v>0.84199400000000002</v>
      </c>
      <c r="AN19" s="258">
        <f t="shared" si="2"/>
        <v>0.84199400000000002</v>
      </c>
      <c r="AO19" s="258">
        <f t="shared" si="2"/>
        <v>0.84199400000000002</v>
      </c>
      <c r="AP19" s="258">
        <f t="shared" si="2"/>
        <v>0.84199400000000002</v>
      </c>
      <c r="AQ19" s="258">
        <f t="shared" si="2"/>
        <v>0.84199400000000002</v>
      </c>
      <c r="AR19" s="258">
        <f t="shared" si="2"/>
        <v>0.84199400000000002</v>
      </c>
      <c r="AS19" s="258">
        <f t="shared" si="2"/>
        <v>0.84199400000000002</v>
      </c>
      <c r="AT19" s="258">
        <f t="shared" si="2"/>
        <v>0.84199400000000002</v>
      </c>
      <c r="AU19" s="258">
        <f t="shared" si="2"/>
        <v>0.84199400000000002</v>
      </c>
      <c r="AV19" s="258">
        <f t="shared" si="2"/>
        <v>0.84199400000000002</v>
      </c>
      <c r="AW19" s="258">
        <f t="shared" si="2"/>
        <v>0.84199400000000002</v>
      </c>
      <c r="AX19" s="246"/>
    </row>
    <row r="20" spans="2:69" x14ac:dyDescent="0.2">
      <c r="B20" s="625"/>
      <c r="C20" s="228"/>
      <c r="D20" s="243"/>
      <c r="E20" s="247"/>
      <c r="F20" s="249" t="s">
        <v>248</v>
      </c>
      <c r="G20" s="249"/>
      <c r="H20" s="249"/>
      <c r="I20" s="258">
        <f t="shared" ref="I20:AW20" si="3">I11/1000000</f>
        <v>0.19395699999999999</v>
      </c>
      <c r="J20" s="258">
        <f t="shared" si="3"/>
        <v>0.17344200000000001</v>
      </c>
      <c r="K20" s="258">
        <f t="shared" si="3"/>
        <v>0.12698200000000001</v>
      </c>
      <c r="L20" s="258">
        <f t="shared" si="3"/>
        <v>0.191159</v>
      </c>
      <c r="M20" s="258">
        <f t="shared" si="3"/>
        <v>9.3574000000000004E-2</v>
      </c>
      <c r="N20" s="258">
        <f t="shared" si="3"/>
        <v>0.11738999999999999</v>
      </c>
      <c r="O20" s="258">
        <f t="shared" si="3"/>
        <v>0.125946</v>
      </c>
      <c r="P20" s="258">
        <f t="shared" si="3"/>
        <v>0.12926799999999999</v>
      </c>
      <c r="Q20" s="258">
        <f t="shared" si="3"/>
        <v>0.16844600000000001</v>
      </c>
      <c r="R20" s="258">
        <f t="shared" si="3"/>
        <v>0.21949199999999999</v>
      </c>
      <c r="S20" s="258">
        <f t="shared" si="3"/>
        <v>0.21501400000000001</v>
      </c>
      <c r="T20" s="258">
        <f t="shared" si="3"/>
        <v>0.163017</v>
      </c>
      <c r="U20" s="258">
        <f t="shared" si="3"/>
        <v>0.163017</v>
      </c>
      <c r="V20" s="258">
        <f t="shared" si="3"/>
        <v>0.163017</v>
      </c>
      <c r="W20" s="258">
        <f t="shared" si="3"/>
        <v>0.163017</v>
      </c>
      <c r="X20" s="258">
        <f t="shared" si="3"/>
        <v>0.163017</v>
      </c>
      <c r="Y20" s="258">
        <f t="shared" si="3"/>
        <v>0.163017</v>
      </c>
      <c r="Z20" s="258">
        <f t="shared" si="3"/>
        <v>0.163017</v>
      </c>
      <c r="AA20" s="258">
        <f t="shared" si="3"/>
        <v>0.163017</v>
      </c>
      <c r="AB20" s="258">
        <f t="shared" si="3"/>
        <v>0.163017</v>
      </c>
      <c r="AC20" s="258">
        <f t="shared" si="3"/>
        <v>0.163017</v>
      </c>
      <c r="AD20" s="258">
        <f t="shared" si="3"/>
        <v>0.163017</v>
      </c>
      <c r="AE20" s="258">
        <f t="shared" si="3"/>
        <v>0.163017</v>
      </c>
      <c r="AF20" s="258">
        <f t="shared" si="3"/>
        <v>0.163017</v>
      </c>
      <c r="AG20" s="258">
        <f t="shared" si="3"/>
        <v>0.163017</v>
      </c>
      <c r="AH20" s="258">
        <f t="shared" si="3"/>
        <v>0.163017</v>
      </c>
      <c r="AI20" s="258">
        <f t="shared" si="3"/>
        <v>0.163017</v>
      </c>
      <c r="AJ20" s="258">
        <f t="shared" si="3"/>
        <v>0.163017</v>
      </c>
      <c r="AK20" s="258">
        <f t="shared" si="3"/>
        <v>0.163017</v>
      </c>
      <c r="AL20" s="258">
        <f t="shared" si="3"/>
        <v>0.163017</v>
      </c>
      <c r="AM20" s="258">
        <f t="shared" si="3"/>
        <v>0.163017</v>
      </c>
      <c r="AN20" s="258">
        <f t="shared" si="3"/>
        <v>0.163017</v>
      </c>
      <c r="AO20" s="258">
        <f t="shared" si="3"/>
        <v>0.163017</v>
      </c>
      <c r="AP20" s="258">
        <f t="shared" si="3"/>
        <v>0.163017</v>
      </c>
      <c r="AQ20" s="258">
        <f t="shared" si="3"/>
        <v>0.163017</v>
      </c>
      <c r="AR20" s="258">
        <f t="shared" si="3"/>
        <v>0.163017</v>
      </c>
      <c r="AS20" s="258">
        <f t="shared" si="3"/>
        <v>0.163017</v>
      </c>
      <c r="AT20" s="258">
        <f t="shared" si="3"/>
        <v>0.163017</v>
      </c>
      <c r="AU20" s="258">
        <f t="shared" si="3"/>
        <v>0.163017</v>
      </c>
      <c r="AV20" s="258">
        <f t="shared" si="3"/>
        <v>0.163017</v>
      </c>
      <c r="AW20" s="258">
        <f t="shared" si="3"/>
        <v>0.163017</v>
      </c>
      <c r="AX20" s="246"/>
    </row>
    <row r="21" spans="2:69" x14ac:dyDescent="0.25">
      <c r="B21" s="625"/>
      <c r="C21" s="228"/>
      <c r="D21" s="243"/>
      <c r="E21" s="247"/>
      <c r="F21" s="249" t="s">
        <v>249</v>
      </c>
      <c r="G21" s="249"/>
      <c r="H21" s="249"/>
      <c r="I21" s="258">
        <f t="shared" ref="I21:AW21" si="4">I12/1000000</f>
        <v>0.217058</v>
      </c>
      <c r="J21" s="258">
        <f t="shared" si="4"/>
        <v>0.21058399999999999</v>
      </c>
      <c r="K21" s="258">
        <f t="shared" si="4"/>
        <v>0.20565700000000001</v>
      </c>
      <c r="L21" s="258">
        <f t="shared" si="4"/>
        <v>0.216225</v>
      </c>
      <c r="M21" s="258">
        <f t="shared" si="4"/>
        <v>0.46817999999999999</v>
      </c>
      <c r="N21" s="258">
        <f t="shared" si="4"/>
        <v>0.61209000000000002</v>
      </c>
      <c r="O21" s="258">
        <f t="shared" si="4"/>
        <v>0.719109</v>
      </c>
      <c r="P21" s="258">
        <f t="shared" si="4"/>
        <v>0.75779099999999999</v>
      </c>
      <c r="Q21" s="258">
        <f t="shared" si="4"/>
        <v>0.79651799999999995</v>
      </c>
      <c r="R21" s="258">
        <f t="shared" si="4"/>
        <v>0.66230500000000003</v>
      </c>
      <c r="S21" s="258">
        <f t="shared" si="4"/>
        <v>0.68147599999999997</v>
      </c>
      <c r="T21" s="258">
        <f t="shared" si="4"/>
        <v>0.71275699999999997</v>
      </c>
      <c r="U21" s="258">
        <f t="shared" si="4"/>
        <v>0.71275699999999997</v>
      </c>
      <c r="V21" s="258">
        <f t="shared" si="4"/>
        <v>0.71275699999999997</v>
      </c>
      <c r="W21" s="258">
        <f t="shared" si="4"/>
        <v>0.71275699999999997</v>
      </c>
      <c r="X21" s="258">
        <f t="shared" si="4"/>
        <v>0.71275699999999997</v>
      </c>
      <c r="Y21" s="258">
        <f t="shared" si="4"/>
        <v>0.71275699999999997</v>
      </c>
      <c r="Z21" s="258">
        <f t="shared" si="4"/>
        <v>0.71275699999999997</v>
      </c>
      <c r="AA21" s="258">
        <f t="shared" si="4"/>
        <v>0.71275699999999997</v>
      </c>
      <c r="AB21" s="258">
        <f t="shared" si="4"/>
        <v>0.71275699999999997</v>
      </c>
      <c r="AC21" s="258">
        <f t="shared" si="4"/>
        <v>0.71275699999999997</v>
      </c>
      <c r="AD21" s="258">
        <f t="shared" si="4"/>
        <v>0.71275699999999997</v>
      </c>
      <c r="AE21" s="258">
        <f t="shared" si="4"/>
        <v>0.71275699999999997</v>
      </c>
      <c r="AF21" s="258">
        <f t="shared" si="4"/>
        <v>0.71275699999999997</v>
      </c>
      <c r="AG21" s="258">
        <f t="shared" si="4"/>
        <v>0.71275699999999997</v>
      </c>
      <c r="AH21" s="258">
        <f t="shared" si="4"/>
        <v>0.71275699999999997</v>
      </c>
      <c r="AI21" s="258">
        <f t="shared" si="4"/>
        <v>0.71275699999999997</v>
      </c>
      <c r="AJ21" s="258">
        <f t="shared" si="4"/>
        <v>0.71275699999999997</v>
      </c>
      <c r="AK21" s="258">
        <f t="shared" si="4"/>
        <v>0.71275699999999997</v>
      </c>
      <c r="AL21" s="258">
        <f t="shared" si="4"/>
        <v>0.71275699999999997</v>
      </c>
      <c r="AM21" s="258">
        <f t="shared" si="4"/>
        <v>0.71275699999999997</v>
      </c>
      <c r="AN21" s="258">
        <f t="shared" si="4"/>
        <v>0.71275699999999997</v>
      </c>
      <c r="AO21" s="258">
        <f t="shared" si="4"/>
        <v>0.71275699999999997</v>
      </c>
      <c r="AP21" s="258">
        <f t="shared" si="4"/>
        <v>0.71275699999999997</v>
      </c>
      <c r="AQ21" s="258">
        <f t="shared" si="4"/>
        <v>0.71275699999999997</v>
      </c>
      <c r="AR21" s="258">
        <f t="shared" si="4"/>
        <v>0.71275699999999997</v>
      </c>
      <c r="AS21" s="258">
        <f t="shared" si="4"/>
        <v>0.71275699999999997</v>
      </c>
      <c r="AT21" s="258">
        <f t="shared" si="4"/>
        <v>0.71275699999999997</v>
      </c>
      <c r="AU21" s="258">
        <f t="shared" si="4"/>
        <v>0.71275699999999997</v>
      </c>
      <c r="AV21" s="258">
        <f t="shared" si="4"/>
        <v>0.71275699999999997</v>
      </c>
      <c r="AW21" s="258">
        <f t="shared" si="4"/>
        <v>0.71275699999999997</v>
      </c>
      <c r="AX21" s="24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</row>
    <row r="22" spans="2:69" x14ac:dyDescent="0.2">
      <c r="B22" s="625"/>
      <c r="C22" s="228"/>
      <c r="D22" s="243"/>
      <c r="E22" s="247"/>
      <c r="F22" s="249" t="s">
        <v>250</v>
      </c>
      <c r="G22" s="249"/>
      <c r="H22" s="249"/>
      <c r="I22" s="258">
        <f t="shared" ref="I22:AW22" si="5">I13/1000000</f>
        <v>0.53947500000000004</v>
      </c>
      <c r="J22" s="258">
        <f t="shared" si="5"/>
        <v>0.56585700000000005</v>
      </c>
      <c r="K22" s="258">
        <f t="shared" si="5"/>
        <v>0.60827200000000003</v>
      </c>
      <c r="L22" s="258">
        <f t="shared" si="5"/>
        <v>0.49189100000000002</v>
      </c>
      <c r="M22" s="258">
        <f t="shared" si="5"/>
        <v>0.49925799999999998</v>
      </c>
      <c r="N22" s="258">
        <f t="shared" si="5"/>
        <v>0.454347</v>
      </c>
      <c r="O22" s="258">
        <f t="shared" si="5"/>
        <v>0.37779099999999999</v>
      </c>
      <c r="P22" s="258">
        <f t="shared" si="5"/>
        <v>0.33241799999999999</v>
      </c>
      <c r="Q22" s="258">
        <f t="shared" si="5"/>
        <v>0.252612</v>
      </c>
      <c r="R22" s="258">
        <f t="shared" si="5"/>
        <v>0.270986</v>
      </c>
      <c r="S22" s="258">
        <f t="shared" si="5"/>
        <v>0.249139</v>
      </c>
      <c r="T22" s="258">
        <f t="shared" si="5"/>
        <v>0.233074</v>
      </c>
      <c r="U22" s="258">
        <f t="shared" si="5"/>
        <v>0.233074</v>
      </c>
      <c r="V22" s="258">
        <f t="shared" si="5"/>
        <v>0.233074</v>
      </c>
      <c r="W22" s="258">
        <f t="shared" si="5"/>
        <v>0.233074</v>
      </c>
      <c r="X22" s="258">
        <f t="shared" si="5"/>
        <v>0.233074</v>
      </c>
      <c r="Y22" s="258">
        <f t="shared" si="5"/>
        <v>0.233074</v>
      </c>
      <c r="Z22" s="258">
        <f t="shared" si="5"/>
        <v>0.233074</v>
      </c>
      <c r="AA22" s="258">
        <f t="shared" si="5"/>
        <v>0.233074</v>
      </c>
      <c r="AB22" s="258">
        <f t="shared" si="5"/>
        <v>0.233074</v>
      </c>
      <c r="AC22" s="258">
        <f t="shared" si="5"/>
        <v>0.233074</v>
      </c>
      <c r="AD22" s="258">
        <f t="shared" si="5"/>
        <v>0.233074</v>
      </c>
      <c r="AE22" s="258">
        <f t="shared" si="5"/>
        <v>0.233074</v>
      </c>
      <c r="AF22" s="258">
        <f t="shared" si="5"/>
        <v>0.233074</v>
      </c>
      <c r="AG22" s="258">
        <f t="shared" si="5"/>
        <v>0.233074</v>
      </c>
      <c r="AH22" s="258">
        <f t="shared" si="5"/>
        <v>0.233074</v>
      </c>
      <c r="AI22" s="258">
        <f t="shared" si="5"/>
        <v>0.233074</v>
      </c>
      <c r="AJ22" s="258">
        <f t="shared" si="5"/>
        <v>0.233074</v>
      </c>
      <c r="AK22" s="258">
        <f t="shared" si="5"/>
        <v>0.233074</v>
      </c>
      <c r="AL22" s="258">
        <f t="shared" si="5"/>
        <v>0.233074</v>
      </c>
      <c r="AM22" s="258">
        <f t="shared" si="5"/>
        <v>0.233074</v>
      </c>
      <c r="AN22" s="258">
        <f t="shared" si="5"/>
        <v>0.233074</v>
      </c>
      <c r="AO22" s="258">
        <f t="shared" si="5"/>
        <v>0.233074</v>
      </c>
      <c r="AP22" s="258">
        <f t="shared" si="5"/>
        <v>0.233074</v>
      </c>
      <c r="AQ22" s="258">
        <f t="shared" si="5"/>
        <v>0.233074</v>
      </c>
      <c r="AR22" s="258">
        <f t="shared" si="5"/>
        <v>0.233074</v>
      </c>
      <c r="AS22" s="258">
        <f t="shared" si="5"/>
        <v>0.233074</v>
      </c>
      <c r="AT22" s="258">
        <f t="shared" si="5"/>
        <v>0.233074</v>
      </c>
      <c r="AU22" s="258">
        <f t="shared" si="5"/>
        <v>0.233074</v>
      </c>
      <c r="AV22" s="258">
        <f t="shared" si="5"/>
        <v>0.233074</v>
      </c>
      <c r="AW22" s="258">
        <f t="shared" si="5"/>
        <v>0.233074</v>
      </c>
      <c r="AX22" s="246"/>
    </row>
    <row r="23" spans="2:69" x14ac:dyDescent="0.2">
      <c r="B23" s="625"/>
      <c r="C23" s="228"/>
      <c r="D23" s="243"/>
      <c r="E23" s="247"/>
      <c r="F23" s="249" t="s">
        <v>251</v>
      </c>
      <c r="G23" s="249"/>
      <c r="H23" s="249"/>
      <c r="I23" s="258">
        <f t="shared" ref="I23:AW23" si="6">I14/1000000</f>
        <v>3.4099520000000001</v>
      </c>
      <c r="J23" s="258">
        <f t="shared" si="6"/>
        <v>3.4254120000000001</v>
      </c>
      <c r="K23" s="258">
        <f t="shared" si="6"/>
        <v>3.5530080000000002</v>
      </c>
      <c r="L23" s="258">
        <f t="shared" si="6"/>
        <v>3.2273209999999999</v>
      </c>
      <c r="M23" s="258">
        <f t="shared" si="6"/>
        <v>2.2594470000000002</v>
      </c>
      <c r="N23" s="258">
        <f t="shared" si="6"/>
        <v>2.5314420000000002</v>
      </c>
      <c r="O23" s="258">
        <f t="shared" si="6"/>
        <v>2.3005390000000001</v>
      </c>
      <c r="P23" s="258">
        <f t="shared" si="6"/>
        <v>2.4476339999999999</v>
      </c>
      <c r="Q23" s="258">
        <f t="shared" si="6"/>
        <v>2.3790420000000001</v>
      </c>
      <c r="R23" s="258">
        <f t="shared" si="6"/>
        <v>1.9854940000000001</v>
      </c>
      <c r="S23" s="258">
        <f t="shared" si="6"/>
        <v>2.0677949999999998</v>
      </c>
      <c r="T23" s="258">
        <f t="shared" si="6"/>
        <v>2.3765510000000001</v>
      </c>
      <c r="U23" s="258">
        <f t="shared" si="6"/>
        <v>2.3765510000000001</v>
      </c>
      <c r="V23" s="258">
        <f t="shared" si="6"/>
        <v>2.3765510000000001</v>
      </c>
      <c r="W23" s="258">
        <f t="shared" si="6"/>
        <v>2.3765510000000001</v>
      </c>
      <c r="X23" s="258">
        <f t="shared" si="6"/>
        <v>2.3765510000000001</v>
      </c>
      <c r="Y23" s="258">
        <f t="shared" si="6"/>
        <v>2.3765510000000001</v>
      </c>
      <c r="Z23" s="258">
        <f t="shared" si="6"/>
        <v>2.3765510000000001</v>
      </c>
      <c r="AA23" s="258">
        <f t="shared" si="6"/>
        <v>2.3765510000000001</v>
      </c>
      <c r="AB23" s="258">
        <f t="shared" si="6"/>
        <v>2.3765510000000001</v>
      </c>
      <c r="AC23" s="258">
        <f t="shared" si="6"/>
        <v>2.3765510000000001</v>
      </c>
      <c r="AD23" s="258">
        <f t="shared" si="6"/>
        <v>2.3765510000000001</v>
      </c>
      <c r="AE23" s="258">
        <f t="shared" si="6"/>
        <v>2.3765510000000001</v>
      </c>
      <c r="AF23" s="258">
        <f t="shared" si="6"/>
        <v>2.3765510000000001</v>
      </c>
      <c r="AG23" s="258">
        <f t="shared" si="6"/>
        <v>2.3765510000000001</v>
      </c>
      <c r="AH23" s="258">
        <f t="shared" si="6"/>
        <v>2.3765510000000001</v>
      </c>
      <c r="AI23" s="258">
        <f t="shared" si="6"/>
        <v>2.3765510000000001</v>
      </c>
      <c r="AJ23" s="258">
        <f t="shared" si="6"/>
        <v>2.3765510000000001</v>
      </c>
      <c r="AK23" s="258">
        <f t="shared" si="6"/>
        <v>2.3765510000000001</v>
      </c>
      <c r="AL23" s="258">
        <f t="shared" si="6"/>
        <v>2.3765510000000001</v>
      </c>
      <c r="AM23" s="258">
        <f t="shared" si="6"/>
        <v>2.3765510000000001</v>
      </c>
      <c r="AN23" s="258">
        <f t="shared" si="6"/>
        <v>2.3765510000000001</v>
      </c>
      <c r="AO23" s="258">
        <f t="shared" si="6"/>
        <v>2.3765510000000001</v>
      </c>
      <c r="AP23" s="258">
        <f t="shared" si="6"/>
        <v>2.3765510000000001</v>
      </c>
      <c r="AQ23" s="258">
        <f t="shared" si="6"/>
        <v>2.3765510000000001</v>
      </c>
      <c r="AR23" s="258">
        <f t="shared" si="6"/>
        <v>2.3765510000000001</v>
      </c>
      <c r="AS23" s="258">
        <f t="shared" si="6"/>
        <v>2.3765510000000001</v>
      </c>
      <c r="AT23" s="258">
        <f t="shared" si="6"/>
        <v>2.3765510000000001</v>
      </c>
      <c r="AU23" s="258">
        <f t="shared" si="6"/>
        <v>2.3765510000000001</v>
      </c>
      <c r="AV23" s="258">
        <f t="shared" si="6"/>
        <v>2.3765510000000001</v>
      </c>
      <c r="AW23" s="258">
        <f t="shared" si="6"/>
        <v>2.3765510000000001</v>
      </c>
      <c r="AX23" s="246"/>
    </row>
    <row r="24" spans="2:69" x14ac:dyDescent="0.2">
      <c r="B24" s="625"/>
      <c r="C24" s="228"/>
      <c r="D24" s="243"/>
      <c r="E24" s="247"/>
      <c r="F24" s="249" t="s">
        <v>252</v>
      </c>
      <c r="G24" s="249"/>
      <c r="H24" s="249"/>
      <c r="I24" s="258">
        <f t="shared" ref="I24:AW24" si="7">I15/1000000</f>
        <v>1.5099720000000001</v>
      </c>
      <c r="J24" s="258">
        <f t="shared" si="7"/>
        <v>1.3855470000000001</v>
      </c>
      <c r="K24" s="258">
        <f t="shared" si="7"/>
        <v>1.423114</v>
      </c>
      <c r="L24" s="258">
        <f t="shared" si="7"/>
        <v>1.623359</v>
      </c>
      <c r="M24" s="258">
        <f t="shared" si="7"/>
        <v>0.82833299999999999</v>
      </c>
      <c r="N24" s="258">
        <f t="shared" si="7"/>
        <v>0.70677699999999999</v>
      </c>
      <c r="O24" s="258">
        <f t="shared" si="7"/>
        <v>0.80049599999999999</v>
      </c>
      <c r="P24" s="258">
        <f t="shared" si="7"/>
        <v>0.67791100000000004</v>
      </c>
      <c r="Q24" s="258">
        <f t="shared" si="7"/>
        <v>0.71527300000000005</v>
      </c>
      <c r="R24" s="258">
        <f t="shared" si="7"/>
        <v>0.91584299999999996</v>
      </c>
      <c r="S24" s="258">
        <f t="shared" si="7"/>
        <v>0.84131999999999996</v>
      </c>
      <c r="T24" s="258">
        <f t="shared" si="7"/>
        <v>0.64613900000000002</v>
      </c>
      <c r="U24" s="258">
        <f t="shared" si="7"/>
        <v>0.64613900000000002</v>
      </c>
      <c r="V24" s="258">
        <f t="shared" si="7"/>
        <v>0.64613900000000002</v>
      </c>
      <c r="W24" s="258">
        <f t="shared" si="7"/>
        <v>0.64613900000000002</v>
      </c>
      <c r="X24" s="258">
        <f t="shared" si="7"/>
        <v>0.64613900000000002</v>
      </c>
      <c r="Y24" s="258">
        <f t="shared" si="7"/>
        <v>0.64613900000000002</v>
      </c>
      <c r="Z24" s="258">
        <f t="shared" si="7"/>
        <v>0.64613900000000002</v>
      </c>
      <c r="AA24" s="258">
        <f t="shared" si="7"/>
        <v>0.64613900000000002</v>
      </c>
      <c r="AB24" s="258">
        <f t="shared" si="7"/>
        <v>0.64613900000000002</v>
      </c>
      <c r="AC24" s="258">
        <f t="shared" si="7"/>
        <v>0.64613900000000002</v>
      </c>
      <c r="AD24" s="258">
        <f t="shared" si="7"/>
        <v>0.64613900000000002</v>
      </c>
      <c r="AE24" s="258">
        <f t="shared" si="7"/>
        <v>0.64613900000000002</v>
      </c>
      <c r="AF24" s="258">
        <f t="shared" si="7"/>
        <v>0.64613900000000002</v>
      </c>
      <c r="AG24" s="258">
        <f t="shared" si="7"/>
        <v>0.64613900000000002</v>
      </c>
      <c r="AH24" s="258">
        <f t="shared" si="7"/>
        <v>0.64613900000000002</v>
      </c>
      <c r="AI24" s="258">
        <f t="shared" si="7"/>
        <v>0.64613900000000002</v>
      </c>
      <c r="AJ24" s="258">
        <f t="shared" si="7"/>
        <v>0.64613900000000002</v>
      </c>
      <c r="AK24" s="258">
        <f t="shared" si="7"/>
        <v>0.64613900000000002</v>
      </c>
      <c r="AL24" s="258">
        <f t="shared" si="7"/>
        <v>0.64613900000000002</v>
      </c>
      <c r="AM24" s="258">
        <f t="shared" si="7"/>
        <v>0.64613900000000002</v>
      </c>
      <c r="AN24" s="258">
        <f t="shared" si="7"/>
        <v>0.64613900000000002</v>
      </c>
      <c r="AO24" s="258">
        <f t="shared" si="7"/>
        <v>0.64613900000000002</v>
      </c>
      <c r="AP24" s="258">
        <f t="shared" si="7"/>
        <v>0.64613900000000002</v>
      </c>
      <c r="AQ24" s="258">
        <f t="shared" si="7"/>
        <v>0.64613900000000002</v>
      </c>
      <c r="AR24" s="258">
        <f t="shared" si="7"/>
        <v>0.64613900000000002</v>
      </c>
      <c r="AS24" s="258">
        <f t="shared" si="7"/>
        <v>0.64613900000000002</v>
      </c>
      <c r="AT24" s="258">
        <f t="shared" si="7"/>
        <v>0.64613900000000002</v>
      </c>
      <c r="AU24" s="258">
        <f t="shared" si="7"/>
        <v>0.64613900000000002</v>
      </c>
      <c r="AV24" s="258">
        <f t="shared" si="7"/>
        <v>0.64613900000000002</v>
      </c>
      <c r="AW24" s="258">
        <f t="shared" si="7"/>
        <v>0.64613900000000002</v>
      </c>
      <c r="AX24" s="246"/>
    </row>
    <row r="25" spans="2:69" s="226" customFormat="1" x14ac:dyDescent="0.25">
      <c r="B25" s="259"/>
      <c r="C25" s="259"/>
      <c r="D25" s="260"/>
      <c r="E25" s="261"/>
      <c r="F25" s="262" t="s">
        <v>253</v>
      </c>
      <c r="G25" s="262"/>
      <c r="H25" s="262"/>
      <c r="I25" s="263">
        <f t="shared" ref="I25:AW25" si="8">SUM(I17:I24)</f>
        <v>11.758289</v>
      </c>
      <c r="J25" s="263">
        <f t="shared" si="8"/>
        <v>11.659081</v>
      </c>
      <c r="K25" s="263">
        <f t="shared" si="8"/>
        <v>11.903877</v>
      </c>
      <c r="L25" s="263">
        <f t="shared" si="8"/>
        <v>11.761013</v>
      </c>
      <c r="M25" s="263">
        <f t="shared" si="8"/>
        <v>12.201253000000001</v>
      </c>
      <c r="N25" s="263">
        <f t="shared" si="8"/>
        <v>12.585860000000002</v>
      </c>
      <c r="O25" s="263">
        <f t="shared" si="8"/>
        <v>12.385973000000002</v>
      </c>
      <c r="P25" s="263">
        <f t="shared" si="8"/>
        <v>12.355144999999998</v>
      </c>
      <c r="Q25" s="263">
        <f t="shared" si="8"/>
        <v>12.237831</v>
      </c>
      <c r="R25" s="263">
        <f t="shared" si="8"/>
        <v>12.304228</v>
      </c>
      <c r="S25" s="263">
        <f t="shared" si="8"/>
        <v>12.432556999999999</v>
      </c>
      <c r="T25" s="263">
        <f t="shared" si="8"/>
        <v>12.297464</v>
      </c>
      <c r="U25" s="263">
        <f t="shared" si="8"/>
        <v>12.297464</v>
      </c>
      <c r="V25" s="263">
        <f t="shared" si="8"/>
        <v>12.297464</v>
      </c>
      <c r="W25" s="263">
        <f t="shared" si="8"/>
        <v>12.297464</v>
      </c>
      <c r="X25" s="263">
        <f t="shared" si="8"/>
        <v>12.297464</v>
      </c>
      <c r="Y25" s="263">
        <f t="shared" si="8"/>
        <v>12.297464</v>
      </c>
      <c r="Z25" s="263">
        <f t="shared" si="8"/>
        <v>12.297464</v>
      </c>
      <c r="AA25" s="263">
        <f t="shared" si="8"/>
        <v>12.297464</v>
      </c>
      <c r="AB25" s="263">
        <f t="shared" si="8"/>
        <v>12.297464</v>
      </c>
      <c r="AC25" s="263">
        <f t="shared" si="8"/>
        <v>12.297464</v>
      </c>
      <c r="AD25" s="263">
        <f t="shared" si="8"/>
        <v>12.297464</v>
      </c>
      <c r="AE25" s="263">
        <f t="shared" si="8"/>
        <v>12.297464</v>
      </c>
      <c r="AF25" s="263">
        <f t="shared" si="8"/>
        <v>12.297464</v>
      </c>
      <c r="AG25" s="263">
        <f t="shared" si="8"/>
        <v>12.297464</v>
      </c>
      <c r="AH25" s="263">
        <f t="shared" si="8"/>
        <v>12.297464</v>
      </c>
      <c r="AI25" s="263">
        <f t="shared" si="8"/>
        <v>12.297464</v>
      </c>
      <c r="AJ25" s="263">
        <f t="shared" si="8"/>
        <v>12.297464</v>
      </c>
      <c r="AK25" s="263">
        <f t="shared" si="8"/>
        <v>12.297464</v>
      </c>
      <c r="AL25" s="263">
        <f t="shared" si="8"/>
        <v>12.297464</v>
      </c>
      <c r="AM25" s="263">
        <f t="shared" si="8"/>
        <v>12.297464</v>
      </c>
      <c r="AN25" s="263">
        <f t="shared" si="8"/>
        <v>12.297464</v>
      </c>
      <c r="AO25" s="263">
        <f t="shared" si="8"/>
        <v>12.297464</v>
      </c>
      <c r="AP25" s="263">
        <f t="shared" si="8"/>
        <v>12.297464</v>
      </c>
      <c r="AQ25" s="263">
        <f t="shared" si="8"/>
        <v>12.297464</v>
      </c>
      <c r="AR25" s="263">
        <f t="shared" si="8"/>
        <v>12.297464</v>
      </c>
      <c r="AS25" s="263">
        <f t="shared" si="8"/>
        <v>12.297464</v>
      </c>
      <c r="AT25" s="263">
        <f t="shared" si="8"/>
        <v>12.297464</v>
      </c>
      <c r="AU25" s="263">
        <f t="shared" si="8"/>
        <v>12.297464</v>
      </c>
      <c r="AV25" s="263">
        <f t="shared" si="8"/>
        <v>12.297464</v>
      </c>
      <c r="AW25" s="263">
        <f t="shared" si="8"/>
        <v>12.297464</v>
      </c>
      <c r="AX25" s="264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265"/>
      <c r="BL25" s="265"/>
      <c r="BM25" s="265"/>
      <c r="BN25" s="265"/>
      <c r="BO25" s="265"/>
      <c r="BP25" s="265"/>
      <c r="BQ25" s="265"/>
    </row>
    <row r="26" spans="2:69" ht="15.75" thickBot="1" x14ac:dyDescent="0.25">
      <c r="C26" s="228"/>
      <c r="D26" s="266"/>
      <c r="E26" s="267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9"/>
    </row>
    <row r="27" spans="2:69" x14ac:dyDescent="0.2">
      <c r="C27" s="228"/>
      <c r="D27" s="228"/>
      <c r="E27" s="228"/>
      <c r="F27" s="237"/>
      <c r="G27" s="237"/>
      <c r="H27" s="237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</row>
    <row r="28" spans="2:69" ht="26.25" x14ac:dyDescent="0.2">
      <c r="C28" s="228"/>
      <c r="D28" s="629" t="s">
        <v>254</v>
      </c>
      <c r="E28" s="629"/>
      <c r="F28" s="629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</row>
    <row r="29" spans="2:69" ht="15.75" thickBot="1" x14ac:dyDescent="0.25">
      <c r="C29" s="228"/>
      <c r="D29" s="270"/>
      <c r="E29" s="270"/>
      <c r="F29" s="271"/>
      <c r="G29" s="237"/>
      <c r="H29" s="237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</row>
    <row r="30" spans="2:69" x14ac:dyDescent="0.2">
      <c r="C30" s="228"/>
      <c r="D30" s="239"/>
      <c r="E30" s="240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  <c r="AX30" s="242"/>
    </row>
    <row r="31" spans="2:69" ht="15.75" x14ac:dyDescent="0.25">
      <c r="C31" s="228"/>
      <c r="D31" s="243"/>
      <c r="E31" t="s">
        <v>255</v>
      </c>
      <c r="F31" s="244" t="s">
        <v>256</v>
      </c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6"/>
    </row>
    <row r="32" spans="2:69" ht="15.75" x14ac:dyDescent="0.2">
      <c r="C32" s="228"/>
      <c r="D32" s="243"/>
      <c r="E32" s="247"/>
      <c r="F32" s="248" t="s">
        <v>257</v>
      </c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6"/>
    </row>
    <row r="33" spans="1:70" x14ac:dyDescent="0.2">
      <c r="B33" s="625" t="s">
        <v>258</v>
      </c>
      <c r="C33" s="228"/>
      <c r="D33" s="243"/>
      <c r="E33" s="247"/>
      <c r="F33" s="249" t="s">
        <v>259</v>
      </c>
      <c r="G33" s="249"/>
      <c r="H33" s="249"/>
      <c r="I33" s="272">
        <v>0.79579217000000002</v>
      </c>
      <c r="J33" s="272">
        <v>0.79579217000000002</v>
      </c>
      <c r="K33" s="272">
        <v>0.79579217000000002</v>
      </c>
      <c r="L33" s="272">
        <v>0.79579217000000002</v>
      </c>
      <c r="M33" s="272">
        <v>0.79579217000000002</v>
      </c>
      <c r="N33" s="272">
        <v>0.79579217000000002</v>
      </c>
      <c r="O33" s="272">
        <v>0.79579217000000002</v>
      </c>
      <c r="P33" s="272">
        <v>0.79579217000000002</v>
      </c>
      <c r="Q33" s="272">
        <v>0.79579217000000002</v>
      </c>
      <c r="R33" s="272">
        <v>0.79579217000000002</v>
      </c>
      <c r="S33" s="272">
        <v>0.79579217000000002</v>
      </c>
      <c r="T33" s="272">
        <v>0.79579217000000002</v>
      </c>
      <c r="U33" s="272">
        <v>0.79579217000000002</v>
      </c>
      <c r="V33" s="272">
        <v>0.79579217000000002</v>
      </c>
      <c r="W33" s="272">
        <v>0.79579217000000002</v>
      </c>
      <c r="X33" s="272">
        <v>0.79579217000000002</v>
      </c>
      <c r="Y33" s="272">
        <v>0.79579217000000002</v>
      </c>
      <c r="Z33" s="272">
        <v>0.79579217000000002</v>
      </c>
      <c r="AA33" s="272">
        <v>0.79579217000000002</v>
      </c>
      <c r="AB33" s="272">
        <v>0.79579217000000002</v>
      </c>
      <c r="AC33" s="272">
        <v>0.79579217000000002</v>
      </c>
      <c r="AD33" s="272">
        <v>0.79579217000000002</v>
      </c>
      <c r="AE33" s="272">
        <v>0.79579217000000002</v>
      </c>
      <c r="AF33" s="272">
        <v>0.79579217000000002</v>
      </c>
      <c r="AG33" s="272">
        <v>0.79579217000000002</v>
      </c>
      <c r="AH33" s="272">
        <v>0.79579217000000002</v>
      </c>
      <c r="AI33" s="272">
        <v>0.79579217000000002</v>
      </c>
      <c r="AJ33" s="272">
        <v>0.79579217000000002</v>
      </c>
      <c r="AK33" s="272">
        <v>0.79579217000000002</v>
      </c>
      <c r="AL33" s="272">
        <v>0.79579217000000002</v>
      </c>
      <c r="AM33" s="272">
        <v>0.79579217000000002</v>
      </c>
      <c r="AN33" s="272">
        <v>0.79579217000000002</v>
      </c>
      <c r="AO33" s="272">
        <v>0.79579217000000002</v>
      </c>
      <c r="AP33" s="272">
        <v>0.79579217000000002</v>
      </c>
      <c r="AQ33" s="272">
        <v>0.79579217000000002</v>
      </c>
      <c r="AR33" s="272">
        <v>0.79579217000000002</v>
      </c>
      <c r="AS33" s="272">
        <v>0.79579217000000002</v>
      </c>
      <c r="AT33" s="272">
        <v>0.79579217000000002</v>
      </c>
      <c r="AU33" s="272">
        <v>0.79579217000000002</v>
      </c>
      <c r="AV33" s="272">
        <v>0.79579217000000002</v>
      </c>
      <c r="AW33" s="272">
        <v>0.79579217000000002</v>
      </c>
      <c r="AX33" s="246"/>
    </row>
    <row r="34" spans="1:70" x14ac:dyDescent="0.2">
      <c r="B34" s="625"/>
      <c r="C34" s="228"/>
      <c r="D34" s="243"/>
      <c r="E34" s="247"/>
      <c r="F34" s="249" t="s">
        <v>260</v>
      </c>
      <c r="G34" s="249"/>
      <c r="H34" s="249"/>
      <c r="I34" s="272">
        <v>2.2633933100000001</v>
      </c>
      <c r="J34" s="272">
        <v>2.2794223700000003</v>
      </c>
      <c r="K34" s="272">
        <v>2.2794223700000003</v>
      </c>
      <c r="L34" s="272">
        <v>2.2794223700000003</v>
      </c>
      <c r="M34" s="272">
        <v>2.3725856800000003</v>
      </c>
      <c r="N34" s="272">
        <v>2.3725856800000003</v>
      </c>
      <c r="O34" s="272">
        <v>2.37473125</v>
      </c>
      <c r="P34" s="272">
        <v>2.37473125</v>
      </c>
      <c r="Q34" s="272">
        <v>2.4084734000000001</v>
      </c>
      <c r="R34" s="272">
        <v>2.40882109</v>
      </c>
      <c r="S34" s="272">
        <v>2.40882109</v>
      </c>
      <c r="T34" s="272">
        <v>2.4117234999999999</v>
      </c>
      <c r="U34" s="272">
        <v>2.4117234999999999</v>
      </c>
      <c r="V34" s="272">
        <v>2.4117234999999999</v>
      </c>
      <c r="W34" s="272">
        <v>2.4117234999999999</v>
      </c>
      <c r="X34" s="272">
        <v>2.4117234999999999</v>
      </c>
      <c r="Y34" s="272">
        <v>2.4117234999999999</v>
      </c>
      <c r="Z34" s="272">
        <v>2.4117234999999999</v>
      </c>
      <c r="AA34" s="272">
        <v>2.4117234999999999</v>
      </c>
      <c r="AB34" s="272">
        <v>2.4117234999999999</v>
      </c>
      <c r="AC34" s="272">
        <v>2.4117234999999999</v>
      </c>
      <c r="AD34" s="272">
        <v>2.4117234999999999</v>
      </c>
      <c r="AE34" s="272">
        <v>2.4117234999999999</v>
      </c>
      <c r="AF34" s="272">
        <v>2.4117234999999999</v>
      </c>
      <c r="AG34" s="272">
        <v>2.4117234999999999</v>
      </c>
      <c r="AH34" s="272">
        <v>2.4117234999999999</v>
      </c>
      <c r="AI34" s="272">
        <v>2.4117234999999999</v>
      </c>
      <c r="AJ34" s="272">
        <v>2.4117234999999999</v>
      </c>
      <c r="AK34" s="272">
        <v>2.4117234999999999</v>
      </c>
      <c r="AL34" s="272">
        <v>2.4117234999999999</v>
      </c>
      <c r="AM34" s="272">
        <v>2.4117234999999999</v>
      </c>
      <c r="AN34" s="272">
        <v>2.4117234999999999</v>
      </c>
      <c r="AO34" s="272">
        <v>2.4117234999999999</v>
      </c>
      <c r="AP34" s="272">
        <v>2.4117234999999999</v>
      </c>
      <c r="AQ34" s="272">
        <v>2.4117234999999999</v>
      </c>
      <c r="AR34" s="272">
        <v>2.4117234999999999</v>
      </c>
      <c r="AS34" s="272">
        <v>2.4117234999999999</v>
      </c>
      <c r="AT34" s="272">
        <v>2.4117234999999999</v>
      </c>
      <c r="AU34" s="272">
        <v>2.4117234999999999</v>
      </c>
      <c r="AV34" s="272">
        <v>2.4117234999999999</v>
      </c>
      <c r="AW34" s="272">
        <v>2.4117234999999999</v>
      </c>
      <c r="AX34" s="246"/>
    </row>
    <row r="35" spans="1:70" x14ac:dyDescent="0.2">
      <c r="B35" s="625"/>
      <c r="C35" s="228"/>
      <c r="D35" s="243"/>
      <c r="E35" s="247"/>
      <c r="F35" s="249" t="s">
        <v>261</v>
      </c>
      <c r="G35" s="249"/>
      <c r="H35" s="249"/>
      <c r="I35" s="272">
        <v>1.8351788900000003</v>
      </c>
      <c r="J35" s="272">
        <v>1.8351788900000003</v>
      </c>
      <c r="K35" s="272">
        <v>1.8383960400000003</v>
      </c>
      <c r="L35" s="272">
        <v>1.8383960400000003</v>
      </c>
      <c r="M35" s="272">
        <v>1.8383960400000003</v>
      </c>
      <c r="N35" s="272">
        <v>1.8383960400000003</v>
      </c>
      <c r="O35" s="272">
        <v>1.8383960400000003</v>
      </c>
      <c r="P35" s="272">
        <v>1.8914898600000003</v>
      </c>
      <c r="Q35" s="272">
        <v>1.8934445100000001</v>
      </c>
      <c r="R35" s="272">
        <v>1.9224890200000002</v>
      </c>
      <c r="S35" s="272">
        <v>1.9272791500000002</v>
      </c>
      <c r="T35" s="272">
        <v>1.95791001</v>
      </c>
      <c r="U35" s="272">
        <v>1.95791001</v>
      </c>
      <c r="V35" s="272">
        <v>1.95791001</v>
      </c>
      <c r="W35" s="272">
        <v>1.95791001</v>
      </c>
      <c r="X35" s="272">
        <v>1.95791001</v>
      </c>
      <c r="Y35" s="272">
        <v>1.95791001</v>
      </c>
      <c r="Z35" s="272">
        <v>1.95791001</v>
      </c>
      <c r="AA35" s="272">
        <v>1.95791001</v>
      </c>
      <c r="AB35" s="272">
        <v>1.95791001</v>
      </c>
      <c r="AC35" s="272">
        <v>1.95791001</v>
      </c>
      <c r="AD35" s="272">
        <v>1.95791001</v>
      </c>
      <c r="AE35" s="272">
        <v>1.95791001</v>
      </c>
      <c r="AF35" s="272">
        <v>1.95791001</v>
      </c>
      <c r="AG35" s="272">
        <v>1.95791001</v>
      </c>
      <c r="AH35" s="272">
        <v>1.95791001</v>
      </c>
      <c r="AI35" s="272">
        <v>1.95791001</v>
      </c>
      <c r="AJ35" s="272">
        <v>1.95791001</v>
      </c>
      <c r="AK35" s="272">
        <v>1.95791001</v>
      </c>
      <c r="AL35" s="272">
        <v>1.95791001</v>
      </c>
      <c r="AM35" s="272">
        <v>1.95791001</v>
      </c>
      <c r="AN35" s="272">
        <v>1.95791001</v>
      </c>
      <c r="AO35" s="272">
        <v>1.95791001</v>
      </c>
      <c r="AP35" s="272">
        <v>1.95791001</v>
      </c>
      <c r="AQ35" s="272">
        <v>1.95791001</v>
      </c>
      <c r="AR35" s="272">
        <v>1.95791001</v>
      </c>
      <c r="AS35" s="272">
        <v>1.95791001</v>
      </c>
      <c r="AT35" s="272">
        <v>1.95791001</v>
      </c>
      <c r="AU35" s="272">
        <v>1.95791001</v>
      </c>
      <c r="AV35" s="272">
        <v>1.95791001</v>
      </c>
      <c r="AW35" s="272">
        <v>1.95791001</v>
      </c>
      <c r="AX35" s="246"/>
    </row>
    <row r="36" spans="1:70" x14ac:dyDescent="0.2">
      <c r="B36" s="625"/>
      <c r="C36" s="228"/>
      <c r="D36" s="243"/>
      <c r="E36" s="247"/>
      <c r="F36" s="249" t="s">
        <v>262</v>
      </c>
      <c r="G36" s="249"/>
      <c r="H36" s="249"/>
      <c r="I36" s="272">
        <v>0.37320953000000001</v>
      </c>
      <c r="J36" s="272">
        <v>0.37568765999999998</v>
      </c>
      <c r="K36" s="272">
        <v>0.38884295999999996</v>
      </c>
      <c r="L36" s="272">
        <v>0.38884295999999996</v>
      </c>
      <c r="M36" s="272">
        <v>0.38884295999999996</v>
      </c>
      <c r="N36" s="272">
        <v>0.53110941</v>
      </c>
      <c r="O36" s="272">
        <v>0.57106191000000006</v>
      </c>
      <c r="P36" s="272">
        <v>0.57106191000000006</v>
      </c>
      <c r="Q36" s="272">
        <v>0.57106191000000006</v>
      </c>
      <c r="R36" s="272">
        <v>0.57106191000000006</v>
      </c>
      <c r="S36" s="272">
        <v>0.57106191000000006</v>
      </c>
      <c r="T36" s="272">
        <v>0.57106191000000006</v>
      </c>
      <c r="U36" s="272">
        <v>0.57106191000000006</v>
      </c>
      <c r="V36" s="272">
        <v>0.57106191000000006</v>
      </c>
      <c r="W36" s="272">
        <v>0.57106191000000006</v>
      </c>
      <c r="X36" s="272">
        <v>0.57106191000000006</v>
      </c>
      <c r="Y36" s="272">
        <v>0.57106191000000006</v>
      </c>
      <c r="Z36" s="272">
        <v>0.57106191000000006</v>
      </c>
      <c r="AA36" s="272">
        <v>0.57106191000000006</v>
      </c>
      <c r="AB36" s="272">
        <v>0.57106191000000006</v>
      </c>
      <c r="AC36" s="272">
        <v>0.57106191000000006</v>
      </c>
      <c r="AD36" s="272">
        <v>0.57106191000000006</v>
      </c>
      <c r="AE36" s="272">
        <v>0.57106191000000006</v>
      </c>
      <c r="AF36" s="272">
        <v>0.57106191000000006</v>
      </c>
      <c r="AG36" s="272">
        <v>0.57106191000000006</v>
      </c>
      <c r="AH36" s="272">
        <v>0.57106191000000006</v>
      </c>
      <c r="AI36" s="272">
        <v>0.57106191000000006</v>
      </c>
      <c r="AJ36" s="272">
        <v>0.57106191000000006</v>
      </c>
      <c r="AK36" s="272">
        <v>0.57106191000000006</v>
      </c>
      <c r="AL36" s="272">
        <v>0.57106191000000006</v>
      </c>
      <c r="AM36" s="272">
        <v>0.57106191000000006</v>
      </c>
      <c r="AN36" s="272">
        <v>0.57106191000000006</v>
      </c>
      <c r="AO36" s="272">
        <v>0.57106191000000006</v>
      </c>
      <c r="AP36" s="272">
        <v>0.57106191000000006</v>
      </c>
      <c r="AQ36" s="272">
        <v>0.57106191000000006</v>
      </c>
      <c r="AR36" s="272">
        <v>0.57106191000000006</v>
      </c>
      <c r="AS36" s="272">
        <v>0.57106191000000006</v>
      </c>
      <c r="AT36" s="272">
        <v>0.57106191000000006</v>
      </c>
      <c r="AU36" s="272">
        <v>0.57106191000000006</v>
      </c>
      <c r="AV36" s="272">
        <v>0.57106191000000006</v>
      </c>
      <c r="AW36" s="272">
        <v>0.57106191000000006</v>
      </c>
      <c r="AX36" s="246"/>
    </row>
    <row r="37" spans="1:70" ht="15.75" thickBot="1" x14ac:dyDescent="0.25">
      <c r="C37" s="228"/>
      <c r="D37" s="266"/>
      <c r="E37" s="267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9"/>
    </row>
    <row r="38" spans="1:70" x14ac:dyDescent="0.2">
      <c r="C38" s="228"/>
      <c r="D38" s="228"/>
      <c r="E38" s="228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Z38" s="273">
        <f>U79-AW79</f>
        <v>1.8558031398731079E-2</v>
      </c>
    </row>
    <row r="39" spans="1:70" ht="26.25" x14ac:dyDescent="0.2">
      <c r="C39" s="228"/>
      <c r="D39" s="629" t="s">
        <v>263</v>
      </c>
      <c r="E39" s="629"/>
      <c r="F39" s="629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74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</row>
    <row r="40" spans="1:70" ht="15.75" thickBot="1" x14ac:dyDescent="0.25">
      <c r="C40" s="228"/>
      <c r="D40" s="228"/>
      <c r="E40" s="228"/>
      <c r="F40" s="237"/>
      <c r="G40" s="237"/>
      <c r="H40" s="237"/>
      <c r="I40" s="238"/>
      <c r="J40" s="238"/>
      <c r="K40" s="238"/>
      <c r="L40" s="238"/>
      <c r="M40" s="238"/>
      <c r="N40" s="238"/>
      <c r="O40" s="238"/>
      <c r="P40" s="238"/>
      <c r="Q40" s="275"/>
      <c r="R40" s="237"/>
      <c r="S40" s="238"/>
      <c r="T40" s="238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</row>
    <row r="41" spans="1:70" x14ac:dyDescent="0.2">
      <c r="C41" s="623"/>
      <c r="D41" s="277"/>
      <c r="E41" s="278"/>
      <c r="F41" s="279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79"/>
      <c r="AH41" s="279"/>
      <c r="AI41" s="279"/>
      <c r="AJ41" s="279"/>
      <c r="AK41" s="279"/>
      <c r="AL41" s="279"/>
      <c r="AM41" s="279"/>
      <c r="AN41" s="279"/>
      <c r="AO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79"/>
      <c r="BK41" s="279"/>
      <c r="BL41" s="279"/>
      <c r="BM41" s="279"/>
      <c r="BN41" s="279"/>
      <c r="BO41" s="279"/>
      <c r="BP41" s="279"/>
      <c r="BQ41" s="279"/>
      <c r="BR41" s="280"/>
    </row>
    <row r="42" spans="1:70" ht="15.75" x14ac:dyDescent="0.25">
      <c r="A42" s="244" t="s">
        <v>264</v>
      </c>
      <c r="C42" s="624"/>
      <c r="D42" s="281"/>
      <c r="E42" s="282"/>
      <c r="F42" s="244" t="s">
        <v>265</v>
      </c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5"/>
      <c r="AX42" s="245"/>
      <c r="AY42" s="245"/>
      <c r="AZ42" s="245"/>
      <c r="BA42" s="245"/>
      <c r="BB42" s="245"/>
      <c r="BC42" s="245"/>
      <c r="BD42" s="245"/>
      <c r="BE42" s="245"/>
      <c r="BF42" s="245"/>
      <c r="BG42" s="245"/>
      <c r="BH42" s="245"/>
      <c r="BI42" s="245"/>
      <c r="BJ42" s="245"/>
      <c r="BK42" s="245"/>
      <c r="BL42" s="245"/>
      <c r="BM42" s="245"/>
      <c r="BN42" s="245"/>
      <c r="BO42" s="245"/>
      <c r="BP42" s="245"/>
      <c r="BQ42" s="245"/>
      <c r="BR42" s="283"/>
    </row>
    <row r="43" spans="1:70" ht="15.75" hidden="1" x14ac:dyDescent="0.2">
      <c r="C43" s="624"/>
      <c r="D43" s="281"/>
      <c r="E43" s="247"/>
      <c r="F43" s="248" t="s">
        <v>266</v>
      </c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245"/>
      <c r="BM43" s="245"/>
      <c r="BN43" s="245"/>
      <c r="BO43" s="245"/>
      <c r="BP43" s="245"/>
      <c r="BQ43" s="245"/>
      <c r="BR43" s="283"/>
    </row>
    <row r="44" spans="1:70" s="225" customFormat="1" hidden="1" x14ac:dyDescent="0.25">
      <c r="B44" s="625" t="s">
        <v>267</v>
      </c>
      <c r="C44" s="284"/>
      <c r="D44" s="626" t="s">
        <v>268</v>
      </c>
      <c r="E44" s="627"/>
      <c r="F44" s="249" t="s">
        <v>269</v>
      </c>
      <c r="G44" s="250">
        <v>13038367.32</v>
      </c>
      <c r="H44" s="249"/>
      <c r="I44" s="250"/>
      <c r="J44" s="251"/>
      <c r="K44" s="251"/>
      <c r="L44" s="251"/>
      <c r="M44" s="251">
        <v>12753386.910000002</v>
      </c>
      <c r="N44" s="252"/>
      <c r="O44" s="252">
        <v>12631197.689999999</v>
      </c>
      <c r="P44" s="252"/>
      <c r="Q44" s="253">
        <v>12514339.529999999</v>
      </c>
      <c r="R44" s="253"/>
      <c r="S44" s="253"/>
      <c r="T44" s="253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3"/>
    </row>
    <row r="45" spans="1:70" s="225" customFormat="1" hidden="1" x14ac:dyDescent="0.25">
      <c r="B45" s="625"/>
      <c r="C45" s="286"/>
      <c r="D45" s="626"/>
      <c r="E45" s="627"/>
      <c r="F45" s="249" t="s">
        <v>270</v>
      </c>
      <c r="G45" s="250">
        <v>62196.93</v>
      </c>
      <c r="H45" s="249"/>
      <c r="I45" s="250"/>
      <c r="J45" s="251"/>
      <c r="K45" s="251"/>
      <c r="L45" s="251"/>
      <c r="M45" s="251">
        <v>130072.41000000002</v>
      </c>
      <c r="N45" s="252"/>
      <c r="O45" s="252">
        <v>123719.94</v>
      </c>
      <c r="P45" s="252"/>
      <c r="Q45" s="253">
        <v>121995.27</v>
      </c>
      <c r="R45" s="253"/>
      <c r="S45" s="253"/>
      <c r="T45" s="253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285"/>
      <c r="AN45" s="285"/>
      <c r="AO45" s="285"/>
      <c r="AP45" s="285"/>
      <c r="AQ45" s="285"/>
      <c r="AR45" s="285"/>
      <c r="AS45" s="285"/>
      <c r="AT45" s="285"/>
      <c r="AU45" s="285"/>
      <c r="AV45" s="285"/>
      <c r="AW45" s="285"/>
      <c r="AX45" s="285"/>
      <c r="AY45" s="285"/>
      <c r="AZ45" s="285"/>
      <c r="BA45" s="285"/>
      <c r="BB45" s="285"/>
      <c r="BC45" s="285"/>
      <c r="BD45" s="285"/>
      <c r="BE45" s="285"/>
      <c r="BF45" s="285"/>
      <c r="BG45" s="285"/>
      <c r="BH45" s="285"/>
      <c r="BI45" s="285"/>
      <c r="BJ45" s="285"/>
      <c r="BK45" s="285"/>
      <c r="BL45" s="285"/>
      <c r="BM45" s="285"/>
      <c r="BN45" s="285"/>
      <c r="BO45" s="285"/>
      <c r="BP45" s="285"/>
      <c r="BQ45" s="285"/>
      <c r="BR45" s="283"/>
    </row>
    <row r="46" spans="1:70" hidden="1" x14ac:dyDescent="0.2">
      <c r="B46" s="625"/>
      <c r="C46" s="628"/>
      <c r="D46" s="621" t="s">
        <v>271</v>
      </c>
      <c r="E46" s="622"/>
      <c r="F46" s="249" t="s">
        <v>272</v>
      </c>
      <c r="G46" s="250">
        <v>611941.94999999995</v>
      </c>
      <c r="H46" s="249"/>
      <c r="I46" s="250"/>
      <c r="J46" s="253"/>
      <c r="K46" s="253"/>
      <c r="L46" s="253"/>
      <c r="M46" s="250">
        <v>1094904.6299999997</v>
      </c>
      <c r="N46" s="253"/>
      <c r="O46" s="620">
        <v>8933864.4900000002</v>
      </c>
      <c r="P46" s="253"/>
      <c r="Q46" s="620">
        <v>8999553.2400000002</v>
      </c>
      <c r="R46" s="253"/>
      <c r="S46" s="253"/>
      <c r="T46" s="253"/>
      <c r="U46" s="272"/>
      <c r="V46" s="272"/>
      <c r="W46" s="272"/>
      <c r="X46" s="272"/>
      <c r="Y46" s="272"/>
      <c r="Z46" s="272"/>
      <c r="AA46" s="272"/>
      <c r="AB46" s="272"/>
      <c r="AC46" s="272"/>
      <c r="AD46" s="272"/>
      <c r="AE46" s="272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272"/>
      <c r="AR46" s="272"/>
      <c r="AS46" s="272"/>
      <c r="AT46" s="272"/>
      <c r="AU46" s="272"/>
      <c r="AV46" s="272"/>
      <c r="AW46" s="272"/>
      <c r="AX46" s="272"/>
      <c r="AY46" s="272"/>
      <c r="AZ46" s="272"/>
      <c r="BA46" s="272"/>
      <c r="BB46" s="272"/>
      <c r="BC46" s="272"/>
      <c r="BD46" s="272"/>
      <c r="BE46" s="272"/>
      <c r="BF46" s="272"/>
      <c r="BG46" s="272"/>
      <c r="BH46" s="272"/>
      <c r="BI46" s="272"/>
      <c r="BJ46" s="272"/>
      <c r="BK46" s="272"/>
      <c r="BL46" s="272"/>
      <c r="BM46" s="272"/>
      <c r="BN46" s="272"/>
      <c r="BO46" s="272"/>
      <c r="BP46" s="272"/>
      <c r="BQ46" s="272"/>
      <c r="BR46" s="283"/>
    </row>
    <row r="47" spans="1:70" hidden="1" x14ac:dyDescent="0.2">
      <c r="B47" s="625"/>
      <c r="C47" s="628"/>
      <c r="D47" s="621"/>
      <c r="E47" s="622"/>
      <c r="F47" s="249" t="s">
        <v>273</v>
      </c>
      <c r="G47" s="250">
        <v>260389.08</v>
      </c>
      <c r="H47" s="249"/>
      <c r="I47" s="250"/>
      <c r="J47" s="252"/>
      <c r="K47" s="252"/>
      <c r="L47" s="252"/>
      <c r="M47" s="251">
        <v>480131.91000000009</v>
      </c>
      <c r="N47" s="252"/>
      <c r="O47" s="620"/>
      <c r="P47" s="252"/>
      <c r="Q47" s="620"/>
      <c r="R47" s="253"/>
      <c r="S47" s="253"/>
      <c r="T47" s="253"/>
      <c r="U47" s="272"/>
      <c r="V47" s="272"/>
      <c r="W47" s="272"/>
      <c r="X47" s="272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272"/>
      <c r="AR47" s="272"/>
      <c r="AS47" s="272"/>
      <c r="AT47" s="272"/>
      <c r="AU47" s="272"/>
      <c r="AV47" s="272"/>
      <c r="AW47" s="272"/>
      <c r="AX47" s="272"/>
      <c r="AY47" s="272"/>
      <c r="AZ47" s="272"/>
      <c r="BA47" s="272"/>
      <c r="BB47" s="272"/>
      <c r="BC47" s="272"/>
      <c r="BD47" s="272"/>
      <c r="BE47" s="272"/>
      <c r="BF47" s="272"/>
      <c r="BG47" s="272"/>
      <c r="BH47" s="272"/>
      <c r="BI47" s="272"/>
      <c r="BJ47" s="272"/>
      <c r="BK47" s="272"/>
      <c r="BL47" s="272"/>
      <c r="BM47" s="272"/>
      <c r="BN47" s="272"/>
      <c r="BO47" s="272"/>
      <c r="BP47" s="272"/>
      <c r="BQ47" s="272"/>
      <c r="BR47" s="283"/>
    </row>
    <row r="48" spans="1:70" hidden="1" x14ac:dyDescent="0.2">
      <c r="B48" s="625"/>
      <c r="C48" s="628"/>
      <c r="D48" s="621"/>
      <c r="E48" s="622"/>
      <c r="F48" s="249" t="s">
        <v>274</v>
      </c>
      <c r="G48" s="250">
        <v>167305.59</v>
      </c>
      <c r="H48" s="249"/>
      <c r="I48" s="250"/>
      <c r="J48" s="252"/>
      <c r="K48" s="252"/>
      <c r="L48" s="252"/>
      <c r="M48" s="251">
        <v>917407.35000000009</v>
      </c>
      <c r="N48" s="252"/>
      <c r="O48" s="620"/>
      <c r="P48" s="252"/>
      <c r="Q48" s="620"/>
      <c r="R48" s="253"/>
      <c r="S48" s="253"/>
      <c r="T48" s="253"/>
      <c r="U48" s="272"/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272"/>
      <c r="AL48" s="272"/>
      <c r="AM48" s="272"/>
      <c r="AN48" s="272"/>
      <c r="AO48" s="272"/>
      <c r="AP48" s="272"/>
      <c r="AQ48" s="272"/>
      <c r="AR48" s="272"/>
      <c r="AS48" s="272"/>
      <c r="AT48" s="272"/>
      <c r="AU48" s="272"/>
      <c r="AV48" s="272"/>
      <c r="AW48" s="272"/>
      <c r="AX48" s="272"/>
      <c r="AY48" s="272"/>
      <c r="AZ48" s="272"/>
      <c r="BA48" s="272"/>
      <c r="BB48" s="272"/>
      <c r="BC48" s="272"/>
      <c r="BD48" s="272"/>
      <c r="BE48" s="272"/>
      <c r="BF48" s="272"/>
      <c r="BG48" s="272"/>
      <c r="BH48" s="272"/>
      <c r="BI48" s="272"/>
      <c r="BJ48" s="272"/>
      <c r="BK48" s="272"/>
      <c r="BL48" s="272"/>
      <c r="BM48" s="272"/>
      <c r="BN48" s="272"/>
      <c r="BO48" s="272"/>
      <c r="BP48" s="272"/>
      <c r="BQ48" s="272"/>
      <c r="BR48" s="283"/>
    </row>
    <row r="49" spans="1:70" hidden="1" x14ac:dyDescent="0.2">
      <c r="B49" s="625"/>
      <c r="C49" s="628"/>
      <c r="D49" s="621"/>
      <c r="E49" s="622"/>
      <c r="F49" s="249" t="s">
        <v>275</v>
      </c>
      <c r="G49" s="251">
        <v>1454890.32</v>
      </c>
      <c r="H49" s="249"/>
      <c r="I49" s="251"/>
      <c r="J49" s="252"/>
      <c r="K49" s="252"/>
      <c r="L49" s="252"/>
      <c r="M49" s="251">
        <v>4959938.7</v>
      </c>
      <c r="N49" s="252"/>
      <c r="O49" s="620"/>
      <c r="P49" s="252"/>
      <c r="Q49" s="620"/>
      <c r="R49" s="253"/>
      <c r="S49" s="253"/>
      <c r="T49" s="253"/>
      <c r="U49" s="272"/>
      <c r="V49" s="272"/>
      <c r="W49" s="272"/>
      <c r="X49" s="272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272"/>
      <c r="AK49" s="272"/>
      <c r="AL49" s="272"/>
      <c r="AM49" s="272"/>
      <c r="AN49" s="272"/>
      <c r="AO49" s="272"/>
      <c r="AP49" s="272"/>
      <c r="AQ49" s="272"/>
      <c r="AR49" s="272"/>
      <c r="AS49" s="272"/>
      <c r="AT49" s="272"/>
      <c r="AU49" s="272"/>
      <c r="AV49" s="272"/>
      <c r="AW49" s="272"/>
      <c r="AX49" s="272"/>
      <c r="AY49" s="272"/>
      <c r="AZ49" s="272"/>
      <c r="BA49" s="272"/>
      <c r="BB49" s="272"/>
      <c r="BC49" s="272"/>
      <c r="BD49" s="272"/>
      <c r="BE49" s="272"/>
      <c r="BF49" s="272"/>
      <c r="BG49" s="272"/>
      <c r="BH49" s="272"/>
      <c r="BI49" s="272"/>
      <c r="BJ49" s="272"/>
      <c r="BK49" s="272"/>
      <c r="BL49" s="272"/>
      <c r="BM49" s="272"/>
      <c r="BN49" s="272"/>
      <c r="BO49" s="272"/>
      <c r="BP49" s="272"/>
      <c r="BQ49" s="272"/>
      <c r="BR49" s="283"/>
    </row>
    <row r="50" spans="1:70" s="225" customFormat="1" hidden="1" x14ac:dyDescent="0.25">
      <c r="B50" s="625"/>
      <c r="C50" s="628"/>
      <c r="D50" s="621"/>
      <c r="E50" s="622"/>
      <c r="F50" s="249" t="s">
        <v>276</v>
      </c>
      <c r="G50" s="250">
        <v>6337045.3499999996</v>
      </c>
      <c r="H50" s="249"/>
      <c r="I50" s="250"/>
      <c r="J50" s="251"/>
      <c r="K50" s="251"/>
      <c r="L50" s="251"/>
      <c r="M50" s="251">
        <v>1266774.3000000003</v>
      </c>
      <c r="N50" s="252"/>
      <c r="O50" s="620"/>
      <c r="P50" s="252"/>
      <c r="Q50" s="620"/>
      <c r="R50" s="253"/>
      <c r="S50" s="253"/>
      <c r="T50" s="253"/>
      <c r="U50" s="249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  <c r="BB50" s="285"/>
      <c r="BC50" s="285"/>
      <c r="BD50" s="285"/>
      <c r="BE50" s="285"/>
      <c r="BF50" s="285"/>
      <c r="BG50" s="285"/>
      <c r="BH50" s="285"/>
      <c r="BI50" s="285"/>
      <c r="BJ50" s="285"/>
      <c r="BK50" s="285"/>
      <c r="BL50" s="285"/>
      <c r="BM50" s="285"/>
      <c r="BN50" s="285"/>
      <c r="BO50" s="285"/>
      <c r="BP50" s="285"/>
      <c r="BQ50" s="285"/>
      <c r="BR50" s="283"/>
    </row>
    <row r="51" spans="1:70" s="225" customFormat="1" hidden="1" x14ac:dyDescent="0.25">
      <c r="B51" s="625"/>
      <c r="C51" s="286"/>
      <c r="D51" s="621" t="s">
        <v>277</v>
      </c>
      <c r="E51" s="622"/>
      <c r="F51" s="249" t="s">
        <v>278</v>
      </c>
      <c r="G51" s="250">
        <v>587499.84</v>
      </c>
      <c r="H51" s="249"/>
      <c r="I51" s="250"/>
      <c r="J51" s="258"/>
      <c r="K51" s="258"/>
      <c r="L51" s="258"/>
      <c r="M51" s="250">
        <v>810626.93999999983</v>
      </c>
      <c r="N51" s="258"/>
      <c r="O51" s="253">
        <v>763180.11</v>
      </c>
      <c r="P51" s="258"/>
      <c r="Q51" s="253">
        <v>768908.61</v>
      </c>
      <c r="R51" s="258"/>
      <c r="S51" s="258"/>
      <c r="T51" s="258"/>
      <c r="U51" s="249"/>
      <c r="V51" s="249"/>
      <c r="W51" s="285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5"/>
      <c r="AX51" s="285"/>
      <c r="AY51" s="285"/>
      <c r="AZ51" s="285"/>
      <c r="BA51" s="285"/>
      <c r="BB51" s="285"/>
      <c r="BC51" s="285"/>
      <c r="BD51" s="285"/>
      <c r="BE51" s="285"/>
      <c r="BF51" s="285"/>
      <c r="BG51" s="285"/>
      <c r="BH51" s="285"/>
      <c r="BI51" s="285"/>
      <c r="BJ51" s="285"/>
      <c r="BK51" s="285"/>
      <c r="BL51" s="285"/>
      <c r="BM51" s="285"/>
      <c r="BN51" s="285"/>
      <c r="BO51" s="285"/>
      <c r="BP51" s="285"/>
      <c r="BQ51" s="285"/>
      <c r="BR51" s="283"/>
    </row>
    <row r="52" spans="1:70" s="225" customFormat="1" hidden="1" x14ac:dyDescent="0.25">
      <c r="B52" s="625"/>
      <c r="C52" s="286"/>
      <c r="D52" s="621"/>
      <c r="E52" s="622"/>
      <c r="F52" s="249" t="s">
        <v>279</v>
      </c>
      <c r="G52" s="250">
        <v>109528.02</v>
      </c>
      <c r="H52" s="249"/>
      <c r="I52" s="250"/>
      <c r="J52" s="258"/>
      <c r="K52" s="258"/>
      <c r="L52" s="258"/>
      <c r="M52" s="250">
        <v>89167.14</v>
      </c>
      <c r="N52" s="258"/>
      <c r="O52" s="253">
        <v>83035.17</v>
      </c>
      <c r="P52" s="258"/>
      <c r="Q52" s="253">
        <v>85768.2</v>
      </c>
      <c r="R52" s="258"/>
      <c r="S52" s="258"/>
      <c r="T52" s="258"/>
      <c r="U52" s="285"/>
      <c r="V52" s="285"/>
      <c r="W52" s="285"/>
      <c r="X52" s="285"/>
      <c r="Y52" s="285"/>
      <c r="Z52" s="285"/>
      <c r="AA52" s="285"/>
      <c r="AB52" s="285"/>
      <c r="AC52" s="285"/>
      <c r="AD52" s="285"/>
      <c r="AE52" s="285"/>
      <c r="AF52" s="285"/>
      <c r="AG52" s="285"/>
      <c r="AH52" s="285"/>
      <c r="AI52" s="285"/>
      <c r="AJ52" s="285"/>
      <c r="AK52" s="285"/>
      <c r="AL52" s="285"/>
      <c r="AM52" s="285"/>
      <c r="AN52" s="285"/>
      <c r="AO52" s="285"/>
      <c r="AP52" s="285"/>
      <c r="AQ52" s="285"/>
      <c r="AR52" s="285"/>
      <c r="AS52" s="285"/>
      <c r="AT52" s="285"/>
      <c r="AU52" s="285"/>
      <c r="AV52" s="285"/>
      <c r="AW52" s="285"/>
      <c r="AX52" s="285"/>
      <c r="AY52" s="285"/>
      <c r="AZ52" s="285"/>
      <c r="BA52" s="285"/>
      <c r="BB52" s="285"/>
      <c r="BC52" s="285"/>
      <c r="BD52" s="285"/>
      <c r="BE52" s="285"/>
      <c r="BF52" s="285"/>
      <c r="BG52" s="285"/>
      <c r="BH52" s="285"/>
      <c r="BI52" s="285"/>
      <c r="BJ52" s="285"/>
      <c r="BK52" s="285"/>
      <c r="BL52" s="285"/>
      <c r="BM52" s="285"/>
      <c r="BN52" s="285"/>
      <c r="BO52" s="285"/>
      <c r="BP52" s="285"/>
      <c r="BQ52" s="285"/>
      <c r="BR52" s="283"/>
    </row>
    <row r="53" spans="1:70" hidden="1" x14ac:dyDescent="0.2">
      <c r="B53" s="625"/>
      <c r="C53" s="286"/>
      <c r="D53" s="621"/>
      <c r="E53" s="622"/>
      <c r="F53" s="249" t="s">
        <v>280</v>
      </c>
      <c r="G53" s="250">
        <v>1465935.84</v>
      </c>
      <c r="H53" s="249"/>
      <c r="I53" s="250"/>
      <c r="J53" s="258"/>
      <c r="K53" s="258"/>
      <c r="L53" s="258"/>
      <c r="M53" s="250">
        <v>1523970.09</v>
      </c>
      <c r="N53" s="258"/>
      <c r="O53" s="253">
        <v>1515272.49</v>
      </c>
      <c r="P53" s="258"/>
      <c r="Q53" s="253">
        <v>1521159.66</v>
      </c>
      <c r="R53" s="258"/>
      <c r="S53" s="258"/>
      <c r="T53" s="258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2"/>
      <c r="BA53" s="272"/>
      <c r="BB53" s="272"/>
      <c r="BC53" s="272"/>
      <c r="BD53" s="272"/>
      <c r="BE53" s="272"/>
      <c r="BF53" s="272"/>
      <c r="BG53" s="272"/>
      <c r="BH53" s="272"/>
      <c r="BI53" s="272"/>
      <c r="BJ53" s="272"/>
      <c r="BK53" s="272"/>
      <c r="BL53" s="272"/>
      <c r="BM53" s="272"/>
      <c r="BN53" s="272"/>
      <c r="BO53" s="272"/>
      <c r="BP53" s="272"/>
      <c r="BQ53" s="272"/>
      <c r="BR53" s="283"/>
    </row>
    <row r="54" spans="1:70" hidden="1" x14ac:dyDescent="0.2">
      <c r="B54" s="625"/>
      <c r="C54" s="286"/>
      <c r="D54" s="621" t="s">
        <v>281</v>
      </c>
      <c r="E54" s="622"/>
      <c r="F54" s="249" t="s">
        <v>282</v>
      </c>
      <c r="G54" s="250">
        <v>348472.62</v>
      </c>
      <c r="H54" s="249"/>
      <c r="I54" s="250"/>
      <c r="J54" s="258"/>
      <c r="K54" s="258"/>
      <c r="L54" s="258"/>
      <c r="M54" s="250">
        <v>305169.38999999996</v>
      </c>
      <c r="N54" s="258"/>
      <c r="O54" s="253">
        <v>295476.12</v>
      </c>
      <c r="P54" s="258"/>
      <c r="Q54" s="253">
        <v>291292.2</v>
      </c>
      <c r="R54" s="258"/>
      <c r="S54" s="258"/>
      <c r="T54" s="258"/>
      <c r="U54" s="272"/>
      <c r="V54" s="272"/>
      <c r="W54" s="272"/>
      <c r="X54" s="272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  <c r="AS54" s="272"/>
      <c r="AT54" s="272"/>
      <c r="AU54" s="272"/>
      <c r="AV54" s="272"/>
      <c r="AW54" s="272"/>
      <c r="AX54" s="272"/>
      <c r="AY54" s="272"/>
      <c r="AZ54" s="272"/>
      <c r="BA54" s="272"/>
      <c r="BB54" s="272"/>
      <c r="BC54" s="272"/>
      <c r="BD54" s="272"/>
      <c r="BE54" s="272"/>
      <c r="BF54" s="272"/>
      <c r="BG54" s="272"/>
      <c r="BH54" s="272"/>
      <c r="BI54" s="272"/>
      <c r="BJ54" s="272"/>
      <c r="BK54" s="272"/>
      <c r="BL54" s="272"/>
      <c r="BM54" s="272"/>
      <c r="BN54" s="272"/>
      <c r="BO54" s="272"/>
      <c r="BP54" s="272"/>
      <c r="BQ54" s="272"/>
      <c r="BR54" s="283"/>
    </row>
    <row r="55" spans="1:70" hidden="1" x14ac:dyDescent="0.2">
      <c r="B55" s="625"/>
      <c r="C55" s="286"/>
      <c r="D55" s="621"/>
      <c r="E55" s="622"/>
      <c r="F55" s="249" t="s">
        <v>283</v>
      </c>
      <c r="G55" s="250">
        <v>157677.57</v>
      </c>
      <c r="H55" s="249"/>
      <c r="I55" s="250"/>
      <c r="J55" s="258"/>
      <c r="K55" s="258"/>
      <c r="L55" s="258"/>
      <c r="M55" s="250">
        <v>199934.1</v>
      </c>
      <c r="N55" s="258"/>
      <c r="O55" s="253">
        <v>199287.27</v>
      </c>
      <c r="P55" s="258"/>
      <c r="Q55" s="253">
        <v>200705.67</v>
      </c>
      <c r="R55" s="258"/>
      <c r="S55" s="258"/>
      <c r="T55" s="258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/>
      <c r="AX55" s="272"/>
      <c r="AY55" s="272"/>
      <c r="AZ55" s="272"/>
      <c r="BA55" s="272"/>
      <c r="BB55" s="272"/>
      <c r="BC55" s="272"/>
      <c r="BD55" s="272"/>
      <c r="BE55" s="272"/>
      <c r="BF55" s="272"/>
      <c r="BG55" s="272"/>
      <c r="BH55" s="272"/>
      <c r="BI55" s="272"/>
      <c r="BJ55" s="272"/>
      <c r="BK55" s="272"/>
      <c r="BL55" s="272"/>
      <c r="BM55" s="272"/>
      <c r="BN55" s="272"/>
      <c r="BO55" s="272"/>
      <c r="BP55" s="272"/>
      <c r="BQ55" s="272"/>
      <c r="BR55" s="283"/>
    </row>
    <row r="56" spans="1:70" hidden="1" x14ac:dyDescent="0.2">
      <c r="B56" s="625"/>
      <c r="C56" s="286"/>
      <c r="D56" s="621" t="s">
        <v>284</v>
      </c>
      <c r="E56" s="622"/>
      <c r="F56" s="249" t="s">
        <v>285</v>
      </c>
      <c r="G56" s="250">
        <v>165538.44</v>
      </c>
      <c r="H56" s="249"/>
      <c r="I56" s="250"/>
      <c r="J56" s="258"/>
      <c r="K56" s="258"/>
      <c r="L56" s="258"/>
      <c r="M56" s="250">
        <v>224935.38000000003</v>
      </c>
      <c r="N56" s="258"/>
      <c r="O56" s="253">
        <v>229182.39</v>
      </c>
      <c r="P56" s="258"/>
      <c r="Q56" s="253">
        <v>255251.97</v>
      </c>
      <c r="R56" s="258"/>
      <c r="S56" s="258"/>
      <c r="T56" s="258"/>
      <c r="U56" s="272"/>
      <c r="V56" s="272"/>
      <c r="W56" s="272"/>
      <c r="X56" s="272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2"/>
      <c r="AM56" s="272"/>
      <c r="AN56" s="272"/>
      <c r="AO56" s="272"/>
      <c r="AP56" s="272"/>
      <c r="AQ56" s="272"/>
      <c r="AR56" s="272"/>
      <c r="AS56" s="272"/>
      <c r="AT56" s="272"/>
      <c r="AU56" s="272"/>
      <c r="AV56" s="272"/>
      <c r="AW56" s="272"/>
      <c r="AX56" s="272"/>
      <c r="AY56" s="272"/>
      <c r="AZ56" s="272"/>
      <c r="BA56" s="272"/>
      <c r="BB56" s="272"/>
      <c r="BC56" s="272"/>
      <c r="BD56" s="272"/>
      <c r="BE56" s="272"/>
      <c r="BF56" s="272"/>
      <c r="BG56" s="272"/>
      <c r="BH56" s="272"/>
      <c r="BI56" s="272"/>
      <c r="BJ56" s="272"/>
      <c r="BK56" s="272"/>
      <c r="BL56" s="272"/>
      <c r="BM56" s="272"/>
      <c r="BN56" s="272"/>
      <c r="BO56" s="272"/>
      <c r="BP56" s="272"/>
      <c r="BQ56" s="272"/>
      <c r="BR56" s="283"/>
    </row>
    <row r="57" spans="1:70" hidden="1" x14ac:dyDescent="0.2">
      <c r="B57" s="625"/>
      <c r="C57" s="286"/>
      <c r="D57" s="621"/>
      <c r="E57" s="622"/>
      <c r="F57" s="249" t="s">
        <v>286</v>
      </c>
      <c r="G57" s="250">
        <v>11615.85</v>
      </c>
      <c r="H57" s="249"/>
      <c r="I57" s="250"/>
      <c r="J57" s="272"/>
      <c r="K57" s="272"/>
      <c r="L57" s="272"/>
      <c r="M57" s="250">
        <v>21206.79</v>
      </c>
      <c r="N57" s="272"/>
      <c r="O57" s="253">
        <v>23884.2</v>
      </c>
      <c r="P57" s="272"/>
      <c r="Q57" s="253">
        <v>30656.25</v>
      </c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272"/>
      <c r="AR57" s="272"/>
      <c r="AS57" s="272"/>
      <c r="AT57" s="272"/>
      <c r="AU57" s="272"/>
      <c r="AV57" s="272"/>
      <c r="AW57" s="272"/>
      <c r="AX57" s="272"/>
      <c r="AY57" s="272"/>
      <c r="AZ57" s="272"/>
      <c r="BA57" s="272"/>
      <c r="BB57" s="272"/>
      <c r="BC57" s="272"/>
      <c r="BD57" s="272"/>
      <c r="BE57" s="272"/>
      <c r="BF57" s="272"/>
      <c r="BG57" s="272"/>
      <c r="BH57" s="272"/>
      <c r="BI57" s="272"/>
      <c r="BJ57" s="272"/>
      <c r="BK57" s="272"/>
      <c r="BL57" s="272"/>
      <c r="BM57" s="272"/>
      <c r="BN57" s="272"/>
      <c r="BO57" s="272"/>
      <c r="BP57" s="272"/>
      <c r="BQ57" s="272"/>
      <c r="BR57" s="283"/>
    </row>
    <row r="58" spans="1:70" hidden="1" x14ac:dyDescent="0.2">
      <c r="B58" s="625"/>
      <c r="C58" s="286"/>
      <c r="D58" s="626" t="s">
        <v>29</v>
      </c>
      <c r="E58" s="627"/>
      <c r="F58" s="249" t="s">
        <v>287</v>
      </c>
      <c r="G58" s="250">
        <v>109686.69</v>
      </c>
      <c r="H58" s="249"/>
      <c r="I58" s="250"/>
      <c r="J58" s="258"/>
      <c r="K58" s="258"/>
      <c r="L58" s="258"/>
      <c r="M58" s="250">
        <v>112568.04000000002</v>
      </c>
      <c r="N58" s="258"/>
      <c r="O58" s="253">
        <v>93841.919999999998</v>
      </c>
      <c r="P58" s="258"/>
      <c r="Q58" s="253">
        <v>102446.37</v>
      </c>
      <c r="R58" s="258"/>
      <c r="S58" s="258"/>
      <c r="T58" s="258"/>
      <c r="U58" s="272"/>
      <c r="V58" s="272"/>
      <c r="W58" s="272"/>
      <c r="X58" s="272"/>
      <c r="Y58" s="272"/>
      <c r="Z58" s="272"/>
      <c r="AA58" s="272"/>
      <c r="AB58" s="272"/>
      <c r="AC58" s="272"/>
      <c r="AD58" s="272"/>
      <c r="AE58" s="272"/>
      <c r="AF58" s="272"/>
      <c r="AG58" s="272"/>
      <c r="AH58" s="272"/>
      <c r="AI58" s="272"/>
      <c r="AJ58" s="272"/>
      <c r="AK58" s="272"/>
      <c r="AL58" s="272"/>
      <c r="AM58" s="272"/>
      <c r="AN58" s="272"/>
      <c r="AO58" s="272"/>
      <c r="AP58" s="272"/>
      <c r="AQ58" s="272"/>
      <c r="AR58" s="272"/>
      <c r="AS58" s="272"/>
      <c r="AT58" s="272"/>
      <c r="AU58" s="272"/>
      <c r="AV58" s="272"/>
      <c r="AW58" s="272"/>
      <c r="AX58" s="272"/>
      <c r="AY58" s="272"/>
      <c r="AZ58" s="272"/>
      <c r="BA58" s="272"/>
      <c r="BB58" s="272"/>
      <c r="BC58" s="272"/>
      <c r="BD58" s="272"/>
      <c r="BE58" s="272"/>
      <c r="BF58" s="272"/>
      <c r="BG58" s="272"/>
      <c r="BH58" s="272"/>
      <c r="BI58" s="272"/>
      <c r="BJ58" s="272"/>
      <c r="BK58" s="272"/>
      <c r="BL58" s="272"/>
      <c r="BM58" s="272"/>
      <c r="BN58" s="272"/>
      <c r="BO58" s="272"/>
      <c r="BP58" s="272"/>
      <c r="BQ58" s="272"/>
      <c r="BR58" s="283"/>
    </row>
    <row r="59" spans="1:70" hidden="1" x14ac:dyDescent="0.2">
      <c r="B59" s="625"/>
      <c r="C59" s="286"/>
      <c r="D59" s="626"/>
      <c r="E59" s="627"/>
      <c r="F59" s="249" t="s">
        <v>288</v>
      </c>
      <c r="G59" s="250">
        <v>9968.49</v>
      </c>
      <c r="H59" s="249"/>
      <c r="I59" s="250"/>
      <c r="J59" s="258"/>
      <c r="K59" s="258"/>
      <c r="L59" s="258"/>
      <c r="M59" s="250">
        <v>7865.73</v>
      </c>
      <c r="N59" s="258"/>
      <c r="O59" s="253">
        <v>6279.21</v>
      </c>
      <c r="P59" s="258"/>
      <c r="Q59" s="253">
        <v>6144.03</v>
      </c>
      <c r="R59" s="258"/>
      <c r="S59" s="258"/>
      <c r="T59" s="258"/>
      <c r="U59" s="272"/>
      <c r="V59" s="272"/>
      <c r="W59" s="272"/>
      <c r="X59" s="272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  <c r="BA59" s="272"/>
      <c r="BB59" s="272"/>
      <c r="BC59" s="272"/>
      <c r="BD59" s="272"/>
      <c r="BE59" s="272"/>
      <c r="BF59" s="272"/>
      <c r="BG59" s="272"/>
      <c r="BH59" s="272"/>
      <c r="BI59" s="272"/>
      <c r="BJ59" s="272"/>
      <c r="BK59" s="272"/>
      <c r="BL59" s="272"/>
      <c r="BM59" s="272"/>
      <c r="BN59" s="272"/>
      <c r="BO59" s="272"/>
      <c r="BP59" s="272"/>
      <c r="BQ59" s="272"/>
      <c r="BR59" s="283"/>
    </row>
    <row r="60" spans="1:70" hidden="1" x14ac:dyDescent="0.2">
      <c r="B60" s="625"/>
      <c r="C60" s="286"/>
      <c r="D60" s="626"/>
      <c r="E60" s="627"/>
      <c r="F60" s="249" t="s">
        <v>289</v>
      </c>
      <c r="G60" s="250">
        <v>0</v>
      </c>
      <c r="H60" s="249"/>
      <c r="I60" s="250"/>
      <c r="J60" s="272"/>
      <c r="K60" s="272"/>
      <c r="L60" s="272"/>
      <c r="M60" s="250">
        <v>0</v>
      </c>
      <c r="N60" s="272"/>
      <c r="O60" s="253">
        <v>0</v>
      </c>
      <c r="P60" s="272"/>
      <c r="Q60" s="253">
        <v>0</v>
      </c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272"/>
      <c r="AR60" s="272"/>
      <c r="AS60" s="272"/>
      <c r="AT60" s="272"/>
      <c r="AU60" s="272"/>
      <c r="AV60" s="272"/>
      <c r="AW60" s="272"/>
      <c r="AX60" s="272"/>
      <c r="AY60" s="272"/>
      <c r="AZ60" s="272"/>
      <c r="BA60" s="272"/>
      <c r="BB60" s="272"/>
      <c r="BC60" s="272"/>
      <c r="BD60" s="272"/>
      <c r="BE60" s="272"/>
      <c r="BF60" s="272"/>
      <c r="BG60" s="272"/>
      <c r="BH60" s="272"/>
      <c r="BI60" s="272"/>
      <c r="BJ60" s="272"/>
      <c r="BK60" s="272"/>
      <c r="BL60" s="272"/>
      <c r="BM60" s="272"/>
      <c r="BN60" s="272"/>
      <c r="BO60" s="272"/>
      <c r="BP60" s="272"/>
      <c r="BQ60" s="272"/>
      <c r="BR60" s="283"/>
    </row>
    <row r="61" spans="1:70" s="226" customFormat="1" x14ac:dyDescent="0.25">
      <c r="B61" s="259"/>
      <c r="C61" s="287"/>
      <c r="D61" s="288"/>
      <c r="E61" s="261"/>
      <c r="F61" s="262" t="s">
        <v>290</v>
      </c>
      <c r="G61" s="289">
        <f>SUM(G44:G60)</f>
        <v>24898059.900000002</v>
      </c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  <c r="AM61" s="263"/>
      <c r="AN61" s="263"/>
      <c r="AO61" s="263"/>
      <c r="AP61" s="263"/>
      <c r="AQ61" s="263"/>
      <c r="AR61" s="263"/>
      <c r="AS61" s="263"/>
      <c r="AT61" s="263"/>
      <c r="AU61" s="263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63"/>
      <c r="BH61" s="263"/>
      <c r="BI61" s="263"/>
      <c r="BJ61" s="263"/>
      <c r="BK61" s="263"/>
      <c r="BL61" s="263"/>
      <c r="BM61" s="263"/>
      <c r="BN61" s="263"/>
      <c r="BO61" s="263"/>
      <c r="BP61" s="263"/>
      <c r="BQ61" s="263"/>
      <c r="BR61" s="283"/>
    </row>
    <row r="62" spans="1:70" ht="15.75" x14ac:dyDescent="0.2">
      <c r="C62" s="287"/>
      <c r="D62" s="281"/>
      <c r="E62" s="247"/>
      <c r="F62" s="248" t="s">
        <v>291</v>
      </c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90"/>
      <c r="S62" s="290"/>
      <c r="T62" s="290"/>
      <c r="U62" s="290"/>
      <c r="V62" s="290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83"/>
    </row>
    <row r="63" spans="1:70" ht="33.75" x14ac:dyDescent="0.2">
      <c r="C63" s="291" t="s">
        <v>292</v>
      </c>
      <c r="D63" s="641" t="s">
        <v>293</v>
      </c>
      <c r="E63" s="642"/>
      <c r="F63" s="292" t="s">
        <v>294</v>
      </c>
      <c r="G63" s="249"/>
      <c r="H63" s="249"/>
      <c r="I63" s="250"/>
      <c r="J63" s="272"/>
      <c r="K63" s="272"/>
      <c r="L63" s="272"/>
      <c r="M63" s="272"/>
      <c r="N63" s="272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3"/>
      <c r="AQ63" s="293"/>
      <c r="AR63" s="293"/>
      <c r="AS63" s="293"/>
      <c r="AT63" s="293"/>
      <c r="AU63" s="293"/>
      <c r="AV63" s="293"/>
      <c r="AW63" s="293"/>
      <c r="AX63" s="293"/>
      <c r="AY63" s="293"/>
      <c r="AZ63" s="293"/>
      <c r="BA63" s="293"/>
      <c r="BB63" s="293"/>
      <c r="BC63" s="293"/>
      <c r="BD63" s="293"/>
      <c r="BE63" s="293"/>
      <c r="BF63" s="293"/>
      <c r="BG63" s="293"/>
      <c r="BH63" s="293"/>
      <c r="BI63" s="293"/>
      <c r="BJ63" s="293"/>
      <c r="BK63" s="293"/>
      <c r="BL63" s="293"/>
      <c r="BM63" s="293"/>
      <c r="BN63" s="293"/>
      <c r="BO63" s="293"/>
      <c r="BP63" s="293"/>
      <c r="BQ63" s="293"/>
      <c r="BR63" s="283"/>
    </row>
    <row r="64" spans="1:70" s="225" customFormat="1" ht="48.75" x14ac:dyDescent="0.25">
      <c r="A64" s="294" t="s">
        <v>295</v>
      </c>
      <c r="B64" s="625" t="s">
        <v>267</v>
      </c>
      <c r="C64" s="631" t="s">
        <v>117</v>
      </c>
      <c r="D64" s="653" t="s">
        <v>268</v>
      </c>
      <c r="E64" s="654"/>
      <c r="F64" s="249" t="s">
        <v>296</v>
      </c>
      <c r="G64" s="272">
        <f>G44/1000000</f>
        <v>13.038367320000001</v>
      </c>
      <c r="H64" s="272"/>
      <c r="I64" s="272"/>
      <c r="J64" s="272"/>
      <c r="K64" s="272"/>
      <c r="L64" s="272"/>
      <c r="M64" s="272">
        <f>M44/1000000</f>
        <v>12.753386910000001</v>
      </c>
      <c r="N64" s="272"/>
      <c r="O64" s="272">
        <f>O44/1000000</f>
        <v>12.631197689999999</v>
      </c>
      <c r="P64" s="272"/>
      <c r="Q64" s="272">
        <f>Q44/1000000</f>
        <v>12.514339529999999</v>
      </c>
      <c r="R64" s="272">
        <f>Q64*(1-0.0046)</f>
        <v>12.456773568161999</v>
      </c>
      <c r="S64" s="272">
        <f t="shared" ref="S64:AX64" si="9">R64*(1-0.0076)</f>
        <v>12.362102089043967</v>
      </c>
      <c r="T64" s="272">
        <f t="shared" si="9"/>
        <v>12.268150113167232</v>
      </c>
      <c r="U64" s="272">
        <f t="shared" si="9"/>
        <v>12.174912172307161</v>
      </c>
      <c r="V64" s="272">
        <f t="shared" si="9"/>
        <v>12.082382839797626</v>
      </c>
      <c r="W64" s="272">
        <f t="shared" si="9"/>
        <v>11.990556730215163</v>
      </c>
      <c r="X64" s="272">
        <f t="shared" si="9"/>
        <v>11.899428499065527</v>
      </c>
      <c r="Y64" s="272">
        <f t="shared" si="9"/>
        <v>11.808992842472628</v>
      </c>
      <c r="Z64" s="272">
        <f t="shared" si="9"/>
        <v>11.719244496869836</v>
      </c>
      <c r="AA64" s="272">
        <f t="shared" si="9"/>
        <v>11.630178238693624</v>
      </c>
      <c r="AB64" s="272">
        <f t="shared" si="9"/>
        <v>11.541788884079551</v>
      </c>
      <c r="AC64" s="272">
        <f t="shared" si="9"/>
        <v>11.454071288560547</v>
      </c>
      <c r="AD64" s="272">
        <f t="shared" si="9"/>
        <v>11.367020346767486</v>
      </c>
      <c r="AE64" s="272">
        <f t="shared" si="9"/>
        <v>11.280630992132053</v>
      </c>
      <c r="AF64" s="272">
        <f t="shared" si="9"/>
        <v>11.194898196591849</v>
      </c>
      <c r="AG64" s="272">
        <f t="shared" si="9"/>
        <v>11.10981697029775</v>
      </c>
      <c r="AH64" s="272">
        <f t="shared" si="9"/>
        <v>11.025382361323487</v>
      </c>
      <c r="AI64" s="272">
        <f t="shared" si="9"/>
        <v>10.941589455377429</v>
      </c>
      <c r="AJ64" s="272">
        <f t="shared" si="9"/>
        <v>10.85843337551656</v>
      </c>
      <c r="AK64" s="272">
        <f t="shared" si="9"/>
        <v>10.775909281862633</v>
      </c>
      <c r="AL64" s="272">
        <f t="shared" si="9"/>
        <v>10.694012371320477</v>
      </c>
      <c r="AM64" s="272">
        <f t="shared" si="9"/>
        <v>10.612737877298441</v>
      </c>
      <c r="AN64" s="272">
        <f t="shared" si="9"/>
        <v>10.532081069430973</v>
      </c>
      <c r="AO64" s="272">
        <f t="shared" si="9"/>
        <v>10.452037253303297</v>
      </c>
      <c r="AP64" s="272">
        <f t="shared" si="9"/>
        <v>10.372601770178191</v>
      </c>
      <c r="AQ64" s="272">
        <f t="shared" si="9"/>
        <v>10.293769996724837</v>
      </c>
      <c r="AR64" s="272">
        <f t="shared" si="9"/>
        <v>10.215537344749729</v>
      </c>
      <c r="AS64" s="272">
        <f t="shared" si="9"/>
        <v>10.137899260929631</v>
      </c>
      <c r="AT64" s="272">
        <f t="shared" si="9"/>
        <v>10.060851226546566</v>
      </c>
      <c r="AU64" s="272">
        <f t="shared" si="9"/>
        <v>9.9843887572248118</v>
      </c>
      <c r="AV64" s="272">
        <f t="shared" si="9"/>
        <v>9.9085074026699029</v>
      </c>
      <c r="AW64" s="272">
        <f t="shared" si="9"/>
        <v>9.8332027464096114</v>
      </c>
      <c r="AX64" s="272">
        <f t="shared" si="9"/>
        <v>9.7584704055368974</v>
      </c>
      <c r="AY64" s="272">
        <f t="shared" ref="AY64:BQ64" si="10">AX64*(1-0.0076)</f>
        <v>9.6843060304548167</v>
      </c>
      <c r="AZ64" s="272">
        <f t="shared" si="10"/>
        <v>9.6107053046233588</v>
      </c>
      <c r="BA64" s="272">
        <f t="shared" si="10"/>
        <v>9.5376639443082212</v>
      </c>
      <c r="BB64" s="272">
        <f t="shared" si="10"/>
        <v>9.4651776983314786</v>
      </c>
      <c r="BC64" s="272">
        <f t="shared" si="10"/>
        <v>9.3932423478241596</v>
      </c>
      <c r="BD64" s="272">
        <f t="shared" si="10"/>
        <v>9.3218537059806952</v>
      </c>
      <c r="BE64" s="272">
        <f t="shared" si="10"/>
        <v>9.2510076178152421</v>
      </c>
      <c r="BF64" s="272">
        <f t="shared" si="10"/>
        <v>9.1806999599198456</v>
      </c>
      <c r="BG64" s="272">
        <f t="shared" si="10"/>
        <v>9.110926640224454</v>
      </c>
      <c r="BH64" s="272">
        <f t="shared" si="10"/>
        <v>9.0416835977587482</v>
      </c>
      <c r="BI64" s="272">
        <f t="shared" si="10"/>
        <v>8.9729668024157814</v>
      </c>
      <c r="BJ64" s="272">
        <f t="shared" si="10"/>
        <v>8.9047722547174217</v>
      </c>
      <c r="BK64" s="272">
        <f t="shared" si="10"/>
        <v>8.8370959855815681</v>
      </c>
      <c r="BL64" s="272">
        <f t="shared" si="10"/>
        <v>8.769934056091147</v>
      </c>
      <c r="BM64" s="272">
        <f t="shared" si="10"/>
        <v>8.7032825572648544</v>
      </c>
      <c r="BN64" s="272">
        <f t="shared" si="10"/>
        <v>8.637137609829642</v>
      </c>
      <c r="BO64" s="272">
        <f t="shared" si="10"/>
        <v>8.5714953639949361</v>
      </c>
      <c r="BP64" s="272">
        <f t="shared" si="10"/>
        <v>8.5063519992285741</v>
      </c>
      <c r="BQ64" s="272">
        <f t="shared" si="10"/>
        <v>8.4417037240344364</v>
      </c>
      <c r="BR64" s="283"/>
    </row>
    <row r="65" spans="1:71" s="225" customFormat="1" ht="48.75" x14ac:dyDescent="0.25">
      <c r="A65" s="295" t="s">
        <v>297</v>
      </c>
      <c r="B65" s="625"/>
      <c r="C65" s="631"/>
      <c r="D65" s="653"/>
      <c r="E65" s="654"/>
      <c r="F65" s="249" t="s">
        <v>298</v>
      </c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>
        <v>12.49023996</v>
      </c>
      <c r="R65" s="272">
        <f>Q64*(1-0.0075)</f>
        <v>12.420481983524999</v>
      </c>
      <c r="S65" s="272">
        <f t="shared" ref="S65:AX65" si="11">R64*(1-0.0078)</f>
        <v>12.359610734330335</v>
      </c>
      <c r="T65" s="272">
        <f t="shared" si="11"/>
        <v>12.265677692749424</v>
      </c>
      <c r="U65" s="272">
        <f t="shared" si="11"/>
        <v>12.172458542284527</v>
      </c>
      <c r="V65" s="272">
        <f t="shared" si="11"/>
        <v>12.079947857363166</v>
      </c>
      <c r="W65" s="272">
        <f t="shared" si="11"/>
        <v>11.988140253647204</v>
      </c>
      <c r="X65" s="272">
        <f t="shared" si="11"/>
        <v>11.897030387719484</v>
      </c>
      <c r="Y65" s="272">
        <f t="shared" si="11"/>
        <v>11.806612956772815</v>
      </c>
      <c r="Z65" s="272">
        <f t="shared" si="11"/>
        <v>11.716882698301342</v>
      </c>
      <c r="AA65" s="272">
        <f t="shared" si="11"/>
        <v>11.62783438979425</v>
      </c>
      <c r="AB65" s="272">
        <f t="shared" si="11"/>
        <v>11.539462848431814</v>
      </c>
      <c r="AC65" s="272">
        <f t="shared" si="11"/>
        <v>11.45176293078373</v>
      </c>
      <c r="AD65" s="272">
        <f t="shared" si="11"/>
        <v>11.364729532509774</v>
      </c>
      <c r="AE65" s="272">
        <f t="shared" si="11"/>
        <v>11.278357588062699</v>
      </c>
      <c r="AF65" s="272">
        <f t="shared" si="11"/>
        <v>11.192642070393424</v>
      </c>
      <c r="AG65" s="272">
        <f t="shared" si="11"/>
        <v>11.107577990658433</v>
      </c>
      <c r="AH65" s="272">
        <f t="shared" si="11"/>
        <v>11.023160397929427</v>
      </c>
      <c r="AI65" s="272">
        <f t="shared" si="11"/>
        <v>10.939384378905164</v>
      </c>
      <c r="AJ65" s="272">
        <f t="shared" si="11"/>
        <v>10.856245057625484</v>
      </c>
      <c r="AK65" s="272">
        <f t="shared" si="11"/>
        <v>10.77373759518753</v>
      </c>
      <c r="AL65" s="272">
        <f t="shared" si="11"/>
        <v>10.691857189464104</v>
      </c>
      <c r="AM65" s="272">
        <f t="shared" si="11"/>
        <v>10.610599074824178</v>
      </c>
      <c r="AN65" s="272">
        <f t="shared" si="11"/>
        <v>10.529958521855512</v>
      </c>
      <c r="AO65" s="272">
        <f t="shared" si="11"/>
        <v>10.449930837089411</v>
      </c>
      <c r="AP65" s="272">
        <f t="shared" si="11"/>
        <v>10.370511362727532</v>
      </c>
      <c r="AQ65" s="272">
        <f t="shared" si="11"/>
        <v>10.291695476370801</v>
      </c>
      <c r="AR65" s="272">
        <f t="shared" si="11"/>
        <v>10.213478590750382</v>
      </c>
      <c r="AS65" s="272">
        <f t="shared" si="11"/>
        <v>10.135856153460681</v>
      </c>
      <c r="AT65" s="272">
        <f t="shared" si="11"/>
        <v>10.05882364669438</v>
      </c>
      <c r="AU65" s="272">
        <f t="shared" si="11"/>
        <v>9.9823765869795018</v>
      </c>
      <c r="AV65" s="272">
        <f t="shared" si="11"/>
        <v>9.906510524918458</v>
      </c>
      <c r="AW65" s="272">
        <f t="shared" si="11"/>
        <v>9.8312210449290767</v>
      </c>
      <c r="AX65" s="272">
        <f t="shared" si="11"/>
        <v>9.7565037649876167</v>
      </c>
      <c r="AY65" s="272">
        <f t="shared" ref="AY65:BQ65" si="12">AX64*(1-0.0078)</f>
        <v>9.6823543363737095</v>
      </c>
      <c r="AZ65" s="272">
        <f t="shared" si="12"/>
        <v>9.6087684434172687</v>
      </c>
      <c r="BA65" s="272">
        <f t="shared" si="12"/>
        <v>9.535741803247296</v>
      </c>
      <c r="BB65" s="272">
        <f t="shared" si="12"/>
        <v>9.4632701655426175</v>
      </c>
      <c r="BC65" s="272">
        <f t="shared" si="12"/>
        <v>9.3913493122844933</v>
      </c>
      <c r="BD65" s="272">
        <f t="shared" si="12"/>
        <v>9.3199750575111313</v>
      </c>
      <c r="BE65" s="272">
        <f t="shared" si="12"/>
        <v>9.2491432470740449</v>
      </c>
      <c r="BF65" s="272">
        <f t="shared" si="12"/>
        <v>9.1788497583962823</v>
      </c>
      <c r="BG65" s="272">
        <f t="shared" si="12"/>
        <v>9.1090905002324707</v>
      </c>
      <c r="BH65" s="272">
        <f t="shared" si="12"/>
        <v>9.0398614124307031</v>
      </c>
      <c r="BI65" s="272">
        <f t="shared" si="12"/>
        <v>8.9711584656962291</v>
      </c>
      <c r="BJ65" s="272">
        <f t="shared" si="12"/>
        <v>8.9029776613569371</v>
      </c>
      <c r="BK65" s="272">
        <f t="shared" si="12"/>
        <v>8.8353150311306248</v>
      </c>
      <c r="BL65" s="272">
        <f t="shared" si="12"/>
        <v>8.7681666368940316</v>
      </c>
      <c r="BM65" s="272">
        <f t="shared" si="12"/>
        <v>8.701528570453636</v>
      </c>
      <c r="BN65" s="272">
        <f t="shared" si="12"/>
        <v>8.6353969533181889</v>
      </c>
      <c r="BO65" s="272">
        <f t="shared" si="12"/>
        <v>8.5697679364729709</v>
      </c>
      <c r="BP65" s="272">
        <f t="shared" si="12"/>
        <v>8.5046377001557758</v>
      </c>
      <c r="BQ65" s="272">
        <f t="shared" si="12"/>
        <v>8.440002453634591</v>
      </c>
      <c r="BR65" s="283"/>
    </row>
    <row r="66" spans="1:71" s="225" customFormat="1" x14ac:dyDescent="0.25">
      <c r="A66" s="296"/>
      <c r="B66" s="625"/>
      <c r="C66" s="631"/>
      <c r="D66" s="653"/>
      <c r="E66" s="654"/>
      <c r="F66" s="249" t="s">
        <v>299</v>
      </c>
      <c r="G66" s="297"/>
      <c r="H66" s="297"/>
      <c r="I66" s="297"/>
      <c r="J66" s="297"/>
      <c r="K66" s="297"/>
      <c r="L66" s="297"/>
      <c r="M66" s="297"/>
      <c r="N66" s="297"/>
      <c r="O66" s="293"/>
      <c r="P66" s="293"/>
      <c r="Q66" s="293">
        <v>8.2529000000000005E-2</v>
      </c>
      <c r="R66" s="293">
        <f t="shared" ref="R66:AW66" si="13">Q64-R65</f>
        <v>9.385754647500022E-2</v>
      </c>
      <c r="S66" s="293">
        <f t="shared" si="13"/>
        <v>9.716283383166413E-2</v>
      </c>
      <c r="T66" s="293">
        <f t="shared" si="13"/>
        <v>9.6424396294542802E-2</v>
      </c>
      <c r="U66" s="293">
        <f t="shared" si="13"/>
        <v>9.5691570882705079E-2</v>
      </c>
      <c r="V66" s="293">
        <f t="shared" si="13"/>
        <v>9.4964314943995376E-2</v>
      </c>
      <c r="W66" s="293">
        <f t="shared" si="13"/>
        <v>9.4242586150421914E-2</v>
      </c>
      <c r="X66" s="293">
        <f t="shared" si="13"/>
        <v>9.3526342495678705E-2</v>
      </c>
      <c r="Y66" s="293">
        <f t="shared" si="13"/>
        <v>9.2815542292711939E-2</v>
      </c>
      <c r="Z66" s="293">
        <f t="shared" si="13"/>
        <v>9.2110144171286379E-2</v>
      </c>
      <c r="AA66" s="293">
        <f t="shared" si="13"/>
        <v>9.1410107075585501E-2</v>
      </c>
      <c r="AB66" s="293">
        <f t="shared" si="13"/>
        <v>9.0715390261809858E-2</v>
      </c>
      <c r="AC66" s="293">
        <f t="shared" si="13"/>
        <v>9.0025953295821637E-2</v>
      </c>
      <c r="AD66" s="293">
        <f t="shared" si="13"/>
        <v>8.9341756050773213E-2</v>
      </c>
      <c r="AE66" s="293">
        <f t="shared" si="13"/>
        <v>8.8662758704787237E-2</v>
      </c>
      <c r="AF66" s="293">
        <f t="shared" si="13"/>
        <v>8.79889217386296E-2</v>
      </c>
      <c r="AG66" s="293">
        <f t="shared" si="13"/>
        <v>8.7320205933416162E-2</v>
      </c>
      <c r="AH66" s="293">
        <f t="shared" si="13"/>
        <v>8.6656572368323026E-2</v>
      </c>
      <c r="AI66" s="293">
        <f t="shared" si="13"/>
        <v>8.599798241832346E-2</v>
      </c>
      <c r="AJ66" s="293">
        <f t="shared" si="13"/>
        <v>8.5344397751944356E-2</v>
      </c>
      <c r="AK66" s="293">
        <f t="shared" si="13"/>
        <v>8.4695780329029802E-2</v>
      </c>
      <c r="AL66" s="293">
        <f t="shared" si="13"/>
        <v>8.405209239852951E-2</v>
      </c>
      <c r="AM66" s="293">
        <f t="shared" si="13"/>
        <v>8.3413296496299694E-2</v>
      </c>
      <c r="AN66" s="293">
        <f t="shared" si="13"/>
        <v>8.2779355442928804E-2</v>
      </c>
      <c r="AO66" s="293">
        <f t="shared" si="13"/>
        <v>8.2150232341561491E-2</v>
      </c>
      <c r="AP66" s="293">
        <f t="shared" si="13"/>
        <v>8.1525890575765203E-2</v>
      </c>
      <c r="AQ66" s="293">
        <f t="shared" si="13"/>
        <v>8.0906293807389673E-2</v>
      </c>
      <c r="AR66" s="293">
        <f t="shared" si="13"/>
        <v>8.0291405974454833E-2</v>
      </c>
      <c r="AS66" s="293">
        <f t="shared" si="13"/>
        <v>7.9681191289047604E-2</v>
      </c>
      <c r="AT66" s="293">
        <f t="shared" si="13"/>
        <v>7.9075614235250669E-2</v>
      </c>
      <c r="AU66" s="293">
        <f t="shared" si="13"/>
        <v>7.8474639567064131E-2</v>
      </c>
      <c r="AV66" s="293">
        <f t="shared" si="13"/>
        <v>7.7878232306353823E-2</v>
      </c>
      <c r="AW66" s="293">
        <f t="shared" si="13"/>
        <v>7.7286357740826261E-2</v>
      </c>
      <c r="AX66" s="293">
        <f t="shared" ref="AX66:BQ66" si="14">AW64-AX65</f>
        <v>7.6698981421994716E-2</v>
      </c>
      <c r="AY66" s="293">
        <f t="shared" si="14"/>
        <v>7.6116069163187916E-2</v>
      </c>
      <c r="AZ66" s="293">
        <f t="shared" si="14"/>
        <v>7.5537587037548093E-2</v>
      </c>
      <c r="BA66" s="293">
        <f t="shared" si="14"/>
        <v>7.496350137606278E-2</v>
      </c>
      <c r="BB66" s="293">
        <f t="shared" si="14"/>
        <v>7.4393778765603713E-2</v>
      </c>
      <c r="BC66" s="293">
        <f t="shared" si="14"/>
        <v>7.3828386046985273E-2</v>
      </c>
      <c r="BD66" s="293">
        <f t="shared" si="14"/>
        <v>7.3267290313028255E-2</v>
      </c>
      <c r="BE66" s="293">
        <f t="shared" si="14"/>
        <v>7.2710458906650288E-2</v>
      </c>
      <c r="BF66" s="293">
        <f t="shared" si="14"/>
        <v>7.2157859418959802E-2</v>
      </c>
      <c r="BG66" s="293">
        <f t="shared" si="14"/>
        <v>7.1609459687374866E-2</v>
      </c>
      <c r="BH66" s="293">
        <f t="shared" si="14"/>
        <v>7.1065227793750907E-2</v>
      </c>
      <c r="BI66" s="293">
        <f t="shared" si="14"/>
        <v>7.0525132062519091E-2</v>
      </c>
      <c r="BJ66" s="293">
        <f t="shared" si="14"/>
        <v>6.998914105884424E-2</v>
      </c>
      <c r="BK66" s="293">
        <f t="shared" si="14"/>
        <v>6.9457223586796957E-2</v>
      </c>
      <c r="BL66" s="293">
        <f t="shared" si="14"/>
        <v>6.8929348687536418E-2</v>
      </c>
      <c r="BM66" s="293">
        <f t="shared" si="14"/>
        <v>6.8405485637510921E-2</v>
      </c>
      <c r="BN66" s="293">
        <f t="shared" si="14"/>
        <v>6.788560394666554E-2</v>
      </c>
      <c r="BO66" s="293">
        <f t="shared" si="14"/>
        <v>6.73696733566711E-2</v>
      </c>
      <c r="BP66" s="293">
        <f t="shared" si="14"/>
        <v>6.6857663839160253E-2</v>
      </c>
      <c r="BQ66" s="293">
        <f t="shared" si="14"/>
        <v>6.6349545593983095E-2</v>
      </c>
      <c r="BR66" s="283"/>
      <c r="BS66" s="298"/>
    </row>
    <row r="67" spans="1:71" s="225" customFormat="1" x14ac:dyDescent="0.25">
      <c r="A67" s="296"/>
      <c r="B67" s="625"/>
      <c r="C67" s="631"/>
      <c r="D67" s="653"/>
      <c r="E67" s="654"/>
      <c r="F67" s="249" t="s">
        <v>300</v>
      </c>
      <c r="G67" s="297"/>
      <c r="H67" s="297"/>
      <c r="I67" s="297"/>
      <c r="J67" s="297"/>
      <c r="K67" s="297"/>
      <c r="L67" s="297"/>
      <c r="M67" s="297"/>
      <c r="N67" s="297"/>
      <c r="O67" s="293"/>
      <c r="P67" s="293"/>
      <c r="Q67" s="293">
        <f t="shared" ref="Q67:AV67" si="15">Q64-Q65</f>
        <v>2.4099569999998849E-2</v>
      </c>
      <c r="R67" s="293">
        <f t="shared" si="15"/>
        <v>3.629158463700044E-2</v>
      </c>
      <c r="S67" s="293">
        <f t="shared" si="15"/>
        <v>2.4913547136318215E-3</v>
      </c>
      <c r="T67" s="293">
        <f t="shared" si="15"/>
        <v>2.4724204178081521E-3</v>
      </c>
      <c r="U67" s="293">
        <f t="shared" si="15"/>
        <v>2.4536300226341012E-3</v>
      </c>
      <c r="V67" s="293">
        <f t="shared" si="15"/>
        <v>2.4349824344600535E-3</v>
      </c>
      <c r="W67" s="293">
        <f t="shared" si="15"/>
        <v>2.4164765679586253E-3</v>
      </c>
      <c r="X67" s="293">
        <f t="shared" si="15"/>
        <v>2.3981113460429526E-3</v>
      </c>
      <c r="Y67" s="293">
        <f t="shared" si="15"/>
        <v>2.3798856998133999E-3</v>
      </c>
      <c r="Z67" s="293">
        <f t="shared" si="15"/>
        <v>2.3617985684936116E-3</v>
      </c>
      <c r="AA67" s="293">
        <f t="shared" si="15"/>
        <v>2.3438488993736684E-3</v>
      </c>
      <c r="AB67" s="293">
        <f t="shared" si="15"/>
        <v>2.3260356477372568E-3</v>
      </c>
      <c r="AC67" s="293">
        <f t="shared" si="15"/>
        <v>2.3083577768172603E-3</v>
      </c>
      <c r="AD67" s="293">
        <f t="shared" si="15"/>
        <v>2.2908142577122703E-3</v>
      </c>
      <c r="AE67" s="293">
        <f t="shared" si="15"/>
        <v>2.273404069354612E-3</v>
      </c>
      <c r="AF67" s="293">
        <f t="shared" si="15"/>
        <v>2.2561261984250791E-3</v>
      </c>
      <c r="AG67" s="293">
        <f t="shared" si="15"/>
        <v>2.2389796393174066E-3</v>
      </c>
      <c r="AH67" s="293">
        <f t="shared" si="15"/>
        <v>2.2219633940601113E-3</v>
      </c>
      <c r="AI67" s="293">
        <f t="shared" si="15"/>
        <v>2.2050764722649774E-3</v>
      </c>
      <c r="AJ67" s="293">
        <f t="shared" si="15"/>
        <v>2.1883178910755419E-3</v>
      </c>
      <c r="AK67" s="293">
        <f t="shared" si="15"/>
        <v>2.1716866751031461E-3</v>
      </c>
      <c r="AL67" s="293">
        <f t="shared" si="15"/>
        <v>2.1551818563736447E-3</v>
      </c>
      <c r="AM67" s="293">
        <f t="shared" si="15"/>
        <v>2.138802474263457E-3</v>
      </c>
      <c r="AN67" s="293">
        <f t="shared" si="15"/>
        <v>2.1225475754604872E-3</v>
      </c>
      <c r="AO67" s="293">
        <f t="shared" si="15"/>
        <v>2.1064162138859643E-3</v>
      </c>
      <c r="AP67" s="293">
        <f t="shared" si="15"/>
        <v>2.0904074506589154E-3</v>
      </c>
      <c r="AQ67" s="293">
        <f t="shared" si="15"/>
        <v>2.0745203540357693E-3</v>
      </c>
      <c r="AR67" s="293">
        <f t="shared" si="15"/>
        <v>2.0587539993464077E-3</v>
      </c>
      <c r="AS67" s="293">
        <f t="shared" si="15"/>
        <v>2.0431074689497564E-3</v>
      </c>
      <c r="AT67" s="293">
        <f t="shared" si="15"/>
        <v>2.0275798521858235E-3</v>
      </c>
      <c r="AU67" s="293">
        <f t="shared" si="15"/>
        <v>2.0121702453099743E-3</v>
      </c>
      <c r="AV67" s="293">
        <f t="shared" si="15"/>
        <v>1.9968777514449698E-3</v>
      </c>
      <c r="AW67" s="293">
        <f t="shared" ref="AW67:BQ67" si="16">AW64-AW65</f>
        <v>1.981701480534781E-3</v>
      </c>
      <c r="AX67" s="293">
        <f t="shared" si="16"/>
        <v>1.9666405492806405E-3</v>
      </c>
      <c r="AY67" s="293">
        <f t="shared" si="16"/>
        <v>1.9516940811072914E-3</v>
      </c>
      <c r="AZ67" s="293">
        <f t="shared" si="16"/>
        <v>1.9368612060901569E-3</v>
      </c>
      <c r="BA67" s="293">
        <f t="shared" si="16"/>
        <v>1.9221410609251421E-3</v>
      </c>
      <c r="BB67" s="293">
        <f t="shared" si="16"/>
        <v>1.9075327888611326E-3</v>
      </c>
      <c r="BC67" s="293">
        <f t="shared" si="16"/>
        <v>1.8930355396662435E-3</v>
      </c>
      <c r="BD67" s="293">
        <f t="shared" si="16"/>
        <v>1.8786484695638705E-3</v>
      </c>
      <c r="BE67" s="293">
        <f t="shared" si="16"/>
        <v>1.8643707411971633E-3</v>
      </c>
      <c r="BF67" s="293">
        <f t="shared" si="16"/>
        <v>1.8502015235632996E-3</v>
      </c>
      <c r="BG67" s="293">
        <f t="shared" si="16"/>
        <v>1.8361399919832877E-3</v>
      </c>
      <c r="BH67" s="293">
        <f t="shared" si="16"/>
        <v>1.8221853280451228E-3</v>
      </c>
      <c r="BI67" s="293">
        <f t="shared" si="16"/>
        <v>1.8083367195522726E-3</v>
      </c>
      <c r="BJ67" s="293">
        <f t="shared" si="16"/>
        <v>1.7945933604845976E-3</v>
      </c>
      <c r="BK67" s="293">
        <f t="shared" si="16"/>
        <v>1.780954450943284E-3</v>
      </c>
      <c r="BL67" s="293">
        <f t="shared" si="16"/>
        <v>1.7674191971153164E-3</v>
      </c>
      <c r="BM67" s="293">
        <f t="shared" si="16"/>
        <v>1.7539868112184109E-3</v>
      </c>
      <c r="BN67" s="293">
        <f t="shared" si="16"/>
        <v>1.7406565114530537E-3</v>
      </c>
      <c r="BO67" s="293">
        <f t="shared" si="16"/>
        <v>1.7274275219651969E-3</v>
      </c>
      <c r="BP67" s="293">
        <f t="shared" si="16"/>
        <v>1.7142990727982976E-3</v>
      </c>
      <c r="BQ67" s="293">
        <f t="shared" si="16"/>
        <v>1.701270399845356E-3</v>
      </c>
      <c r="BR67" s="283"/>
      <c r="BS67" s="298"/>
    </row>
    <row r="68" spans="1:71" s="225" customFormat="1" x14ac:dyDescent="0.25">
      <c r="A68" s="296"/>
      <c r="B68" s="625"/>
      <c r="C68" s="631"/>
      <c r="D68" s="653"/>
      <c r="E68" s="654"/>
      <c r="F68" s="249" t="s">
        <v>301</v>
      </c>
      <c r="G68" s="297"/>
      <c r="H68" s="297"/>
      <c r="I68" s="297"/>
      <c r="J68" s="297"/>
      <c r="K68" s="297"/>
      <c r="L68" s="297"/>
      <c r="M68" s="297"/>
      <c r="N68" s="297"/>
      <c r="O68" s="293"/>
      <c r="P68" s="293"/>
      <c r="Q68" s="293"/>
      <c r="R68" s="293"/>
      <c r="S68" s="293">
        <f t="shared" ref="S68:AX68" si="17">S64-S69</f>
        <v>6.4022094690439673</v>
      </c>
      <c r="T68" s="293">
        <f t="shared" si="17"/>
        <v>6.3082574931672326</v>
      </c>
      <c r="U68" s="293">
        <f t="shared" si="17"/>
        <v>6.2150195523071616</v>
      </c>
      <c r="V68" s="293">
        <f t="shared" si="17"/>
        <v>6.1224902197976263</v>
      </c>
      <c r="W68" s="293">
        <f t="shared" si="17"/>
        <v>6.030664110215163</v>
      </c>
      <c r="X68" s="293">
        <f t="shared" si="17"/>
        <v>5.9395358790655273</v>
      </c>
      <c r="Y68" s="293">
        <f t="shared" si="17"/>
        <v>5.8491002224726287</v>
      </c>
      <c r="Z68" s="293">
        <f t="shared" si="17"/>
        <v>5.759351876869836</v>
      </c>
      <c r="AA68" s="293">
        <f t="shared" si="17"/>
        <v>5.6702856186936241</v>
      </c>
      <c r="AB68" s="293">
        <f t="shared" si="17"/>
        <v>5.5818962640795515</v>
      </c>
      <c r="AC68" s="293">
        <f t="shared" si="17"/>
        <v>5.4941786685605472</v>
      </c>
      <c r="AD68" s="293">
        <f t="shared" si="17"/>
        <v>5.4071277267674862</v>
      </c>
      <c r="AE68" s="293">
        <f t="shared" si="17"/>
        <v>5.3207383721320536</v>
      </c>
      <c r="AF68" s="293">
        <f t="shared" si="17"/>
        <v>5.2350055765918491</v>
      </c>
      <c r="AG68" s="293">
        <f t="shared" si="17"/>
        <v>5.1499243502977503</v>
      </c>
      <c r="AH68" s="293">
        <f t="shared" si="17"/>
        <v>5.0654897413234874</v>
      </c>
      <c r="AI68" s="293">
        <f t="shared" si="17"/>
        <v>4.9816968353774289</v>
      </c>
      <c r="AJ68" s="293">
        <f t="shared" si="17"/>
        <v>4.8985407555165601</v>
      </c>
      <c r="AK68" s="293">
        <f t="shared" si="17"/>
        <v>4.8160166618626334</v>
      </c>
      <c r="AL68" s="293">
        <f t="shared" si="17"/>
        <v>4.7341197513204776</v>
      </c>
      <c r="AM68" s="293">
        <f t="shared" si="17"/>
        <v>4.6528452572984413</v>
      </c>
      <c r="AN68" s="293">
        <f t="shared" si="17"/>
        <v>4.572188449430973</v>
      </c>
      <c r="AO68" s="293">
        <f t="shared" si="17"/>
        <v>4.4921446333032975</v>
      </c>
      <c r="AP68" s="293">
        <f t="shared" si="17"/>
        <v>4.4127091501781912</v>
      </c>
      <c r="AQ68" s="293">
        <f t="shared" si="17"/>
        <v>4.3338773767248373</v>
      </c>
      <c r="AR68" s="293">
        <f t="shared" si="17"/>
        <v>4.2556447247497289</v>
      </c>
      <c r="AS68" s="293">
        <f t="shared" si="17"/>
        <v>4.178006640929631</v>
      </c>
      <c r="AT68" s="293">
        <f t="shared" si="17"/>
        <v>4.1009586065465662</v>
      </c>
      <c r="AU68" s="293">
        <f t="shared" si="17"/>
        <v>4.024496137224812</v>
      </c>
      <c r="AV68" s="293">
        <f t="shared" si="17"/>
        <v>3.9486147826699032</v>
      </c>
      <c r="AW68" s="293">
        <f t="shared" si="17"/>
        <v>3.8733101264096117</v>
      </c>
      <c r="AX68" s="293">
        <f t="shared" si="17"/>
        <v>3.7985777855368976</v>
      </c>
      <c r="AY68" s="293">
        <f t="shared" ref="AY68:BQ68" si="18">AY64-AY69</f>
        <v>3.724413410454817</v>
      </c>
      <c r="AZ68" s="293">
        <f t="shared" si="18"/>
        <v>3.6508126846233591</v>
      </c>
      <c r="BA68" s="293">
        <f t="shared" si="18"/>
        <v>3.5777713243082214</v>
      </c>
      <c r="BB68" s="293">
        <f t="shared" si="18"/>
        <v>3.5052850783314788</v>
      </c>
      <c r="BC68" s="293">
        <f t="shared" si="18"/>
        <v>3.4333497278241598</v>
      </c>
      <c r="BD68" s="293">
        <f t="shared" si="18"/>
        <v>3.3619610859806954</v>
      </c>
      <c r="BE68" s="293">
        <f t="shared" si="18"/>
        <v>3.2911149978152423</v>
      </c>
      <c r="BF68" s="293">
        <f t="shared" si="18"/>
        <v>3.2208073399198458</v>
      </c>
      <c r="BG68" s="293">
        <f t="shared" si="18"/>
        <v>3.1510340202244542</v>
      </c>
      <c r="BH68" s="293">
        <f t="shared" si="18"/>
        <v>3.0817909777587484</v>
      </c>
      <c r="BI68" s="293">
        <f t="shared" si="18"/>
        <v>3.0130741824157816</v>
      </c>
      <c r="BJ68" s="293">
        <f t="shared" si="18"/>
        <v>2.944879634717422</v>
      </c>
      <c r="BK68" s="293">
        <f t="shared" si="18"/>
        <v>2.8772033655815683</v>
      </c>
      <c r="BL68" s="293">
        <f t="shared" si="18"/>
        <v>2.8100414360911472</v>
      </c>
      <c r="BM68" s="293">
        <f t="shared" si="18"/>
        <v>2.7433899372648547</v>
      </c>
      <c r="BN68" s="293">
        <f t="shared" si="18"/>
        <v>2.6772449898296422</v>
      </c>
      <c r="BO68" s="293">
        <f t="shared" si="18"/>
        <v>2.6116027439949363</v>
      </c>
      <c r="BP68" s="293">
        <f t="shared" si="18"/>
        <v>2.5464593792285743</v>
      </c>
      <c r="BQ68" s="293">
        <f t="shared" si="18"/>
        <v>2.4818111040344366</v>
      </c>
      <c r="BR68" s="283"/>
      <c r="BS68" s="298"/>
    </row>
    <row r="69" spans="1:71" s="225" customFormat="1" x14ac:dyDescent="0.25">
      <c r="A69" s="296"/>
      <c r="B69" s="625"/>
      <c r="C69" s="631"/>
      <c r="D69" s="653"/>
      <c r="E69" s="654"/>
      <c r="F69" s="249" t="s">
        <v>302</v>
      </c>
      <c r="G69" s="297"/>
      <c r="H69" s="297"/>
      <c r="I69" s="297"/>
      <c r="J69" s="297"/>
      <c r="K69" s="297"/>
      <c r="L69" s="297"/>
      <c r="M69" s="297"/>
      <c r="N69" s="297"/>
      <c r="O69" s="293"/>
      <c r="P69" s="293"/>
      <c r="Q69" s="293">
        <v>5.9598926199999998</v>
      </c>
      <c r="R69" s="293">
        <v>5.9598926199999998</v>
      </c>
      <c r="S69" s="293">
        <v>5.9598926199999998</v>
      </c>
      <c r="T69" s="293">
        <v>5.9598926199999998</v>
      </c>
      <c r="U69" s="293">
        <v>5.9598926199999998</v>
      </c>
      <c r="V69" s="293">
        <v>5.9598926199999998</v>
      </c>
      <c r="W69" s="293">
        <v>5.9598926199999998</v>
      </c>
      <c r="X69" s="293">
        <v>5.9598926199999998</v>
      </c>
      <c r="Y69" s="293">
        <v>5.9598926199999998</v>
      </c>
      <c r="Z69" s="293">
        <v>5.9598926199999998</v>
      </c>
      <c r="AA69" s="293">
        <v>5.9598926199999998</v>
      </c>
      <c r="AB69" s="293">
        <v>5.9598926199999998</v>
      </c>
      <c r="AC69" s="293">
        <v>5.9598926199999998</v>
      </c>
      <c r="AD69" s="293">
        <v>5.9598926199999998</v>
      </c>
      <c r="AE69" s="293">
        <v>5.9598926199999998</v>
      </c>
      <c r="AF69" s="293">
        <v>5.9598926199999998</v>
      </c>
      <c r="AG69" s="293">
        <v>5.9598926199999998</v>
      </c>
      <c r="AH69" s="293">
        <v>5.9598926199999998</v>
      </c>
      <c r="AI69" s="293">
        <v>5.9598926199999998</v>
      </c>
      <c r="AJ69" s="293">
        <v>5.9598926199999998</v>
      </c>
      <c r="AK69" s="293">
        <v>5.9598926199999998</v>
      </c>
      <c r="AL69" s="293">
        <v>5.9598926199999998</v>
      </c>
      <c r="AM69" s="293">
        <v>5.9598926199999998</v>
      </c>
      <c r="AN69" s="293">
        <v>5.9598926199999998</v>
      </c>
      <c r="AO69" s="293">
        <v>5.9598926199999998</v>
      </c>
      <c r="AP69" s="293">
        <v>5.9598926199999998</v>
      </c>
      <c r="AQ69" s="293">
        <v>5.9598926199999998</v>
      </c>
      <c r="AR69" s="293">
        <v>5.9598926199999998</v>
      </c>
      <c r="AS69" s="293">
        <v>5.9598926199999998</v>
      </c>
      <c r="AT69" s="293">
        <v>5.9598926199999998</v>
      </c>
      <c r="AU69" s="293">
        <v>5.9598926199999998</v>
      </c>
      <c r="AV69" s="293">
        <v>5.9598926199999998</v>
      </c>
      <c r="AW69" s="293">
        <v>5.9598926199999998</v>
      </c>
      <c r="AX69" s="293">
        <v>5.9598926199999998</v>
      </c>
      <c r="AY69" s="293">
        <v>5.9598926199999998</v>
      </c>
      <c r="AZ69" s="293">
        <v>5.9598926199999998</v>
      </c>
      <c r="BA69" s="293">
        <v>5.9598926199999998</v>
      </c>
      <c r="BB69" s="293">
        <v>5.9598926199999998</v>
      </c>
      <c r="BC69" s="293">
        <v>5.9598926199999998</v>
      </c>
      <c r="BD69" s="293">
        <v>5.9598926199999998</v>
      </c>
      <c r="BE69" s="293">
        <v>5.9598926199999998</v>
      </c>
      <c r="BF69" s="293">
        <v>5.9598926199999998</v>
      </c>
      <c r="BG69" s="293">
        <v>5.9598926199999998</v>
      </c>
      <c r="BH69" s="293">
        <v>5.9598926199999998</v>
      </c>
      <c r="BI69" s="293">
        <v>5.9598926199999998</v>
      </c>
      <c r="BJ69" s="293">
        <v>5.9598926199999998</v>
      </c>
      <c r="BK69" s="293">
        <v>5.9598926199999998</v>
      </c>
      <c r="BL69" s="293">
        <v>5.9598926199999998</v>
      </c>
      <c r="BM69" s="293">
        <v>5.9598926199999998</v>
      </c>
      <c r="BN69" s="293">
        <v>5.9598926199999998</v>
      </c>
      <c r="BO69" s="293">
        <v>5.9598926199999998</v>
      </c>
      <c r="BP69" s="293">
        <v>5.9598926199999998</v>
      </c>
      <c r="BQ69" s="293">
        <v>5.9598926199999998</v>
      </c>
      <c r="BR69" s="283"/>
    </row>
    <row r="70" spans="1:71" s="225" customFormat="1" ht="36.75" x14ac:dyDescent="0.25">
      <c r="A70" s="295" t="s">
        <v>303</v>
      </c>
      <c r="B70" s="625"/>
      <c r="C70" s="631"/>
      <c r="D70" s="626"/>
      <c r="E70" s="627"/>
      <c r="F70" s="249" t="s">
        <v>304</v>
      </c>
      <c r="G70" s="297">
        <f>G45/1000000</f>
        <v>6.2196929999999997E-2</v>
      </c>
      <c r="H70" s="297"/>
      <c r="I70" s="297"/>
      <c r="J70" s="297"/>
      <c r="K70" s="297"/>
      <c r="L70" s="297"/>
      <c r="M70" s="297">
        <f>M45/1000000</f>
        <v>0.13007241000000003</v>
      </c>
      <c r="N70" s="297"/>
      <c r="O70" s="293">
        <f>O45/1000000</f>
        <v>0.12371994</v>
      </c>
      <c r="P70" s="293"/>
      <c r="Q70" s="293">
        <f>Q45/1000000</f>
        <v>0.12199527</v>
      </c>
      <c r="R70" s="293">
        <f>Q70*(1+ 0.01*[1]Drivers_macroeconómicos_USCUSS!E17)</f>
        <v>0.12199541767652902</v>
      </c>
      <c r="S70" s="293">
        <f>R70*(1+ 0.01*[1]Drivers_macroeconómicos_USCUSS!F17)</f>
        <v>0.1219004124385531</v>
      </c>
      <c r="T70" s="293">
        <f>S70*(1+ 0.01*[1]Drivers_macroeconómicos_USCUSS!G17)</f>
        <v>0.12195204032586783</v>
      </c>
      <c r="U70" s="293">
        <f>T70*(1+ 0.01*[1]Drivers_macroeconómicos_USCUSS!H17)</f>
        <v>0.12198496737675582</v>
      </c>
      <c r="V70" s="293">
        <f>U70*(1+ 0.01*[1]Drivers_macroeconómicos_USCUSS!I17)</f>
        <v>0.12202278271664262</v>
      </c>
      <c r="W70" s="293">
        <f>V70*(1+ 0.01*[1]Drivers_macroeconómicos_USCUSS!J17)</f>
        <v>0.12205938955145761</v>
      </c>
      <c r="X70" s="293">
        <f>W70*(1+ 0.01*[1]Drivers_macroeconómicos_USCUSS!K17)</f>
        <v>0.12209234558663649</v>
      </c>
      <c r="Y70" s="293">
        <f>X70*(1+ 0.01*[1]Drivers_macroeconómicos_USCUSS!L17)</f>
        <v>0.12212042682612141</v>
      </c>
      <c r="Z70" s="293">
        <f>Y70*(1+ 0.01*[1]Drivers_macroeconómicos_USCUSS!M17)</f>
        <v>0.12215932001557797</v>
      </c>
      <c r="AA70" s="293">
        <f>Z70*(1+ 0.01*[1]Drivers_macroeconómicos_USCUSS!N17)</f>
        <v>0.12219408866489563</v>
      </c>
      <c r="AB70" s="293">
        <f>AA70*(1+ 0.01*[1]Drivers_macroeconómicos_USCUSS!O17)</f>
        <v>0.12222092220827215</v>
      </c>
      <c r="AC70" s="293">
        <f>AB70*(1+ 0.01*[1]Drivers_macroeconómicos_USCUSS!P17)</f>
        <v>0.12225003575034303</v>
      </c>
      <c r="AD70" s="293">
        <f>AC70*(1+ 0.01*[1]Drivers_macroeconómicos_USCUSS!Q17)</f>
        <v>0.12228876236451829</v>
      </c>
      <c r="AE70" s="293">
        <f>AD70*(1+ 0.01*[1]Drivers_macroeconómicos_USCUSS!R17)</f>
        <v>0.12231892931849726</v>
      </c>
      <c r="AF70" s="293">
        <f>AE70*(1+ 0.01*[1]Drivers_macroeconómicos_USCUSS!S17)</f>
        <v>0.12235429702027176</v>
      </c>
      <c r="AG70" s="293">
        <f>AF70*(1+ 0.01*[1]Drivers_macroeconómicos_USCUSS!T17)</f>
        <v>0.1223832540730076</v>
      </c>
      <c r="AH70" s="293">
        <f>AG70*(1+ 0.01*[1]Drivers_macroeconómicos_USCUSS!U17)</f>
        <v>0.12241219105914225</v>
      </c>
      <c r="AI70" s="293">
        <f>AH70*(1+ 0.01*[1]Drivers_macroeconómicos_USCUSS!V17)</f>
        <v>0.12244345252219345</v>
      </c>
      <c r="AJ70" s="293">
        <f>AI70*(1+ 0.01*[1]Drivers_macroeconómicos_USCUSS!W17)</f>
        <v>0.12247123647040797</v>
      </c>
      <c r="AK70" s="293">
        <f>AJ70*(1+ 0.01*[1]Drivers_macroeconómicos_USCUSS!X17)</f>
        <v>0.12249992779370776</v>
      </c>
      <c r="AL70" s="293">
        <f>AK70*(1+ 0.01*[1]Drivers_macroeconómicos_USCUSS!Y17)</f>
        <v>0.12253081117423069</v>
      </c>
      <c r="AM70" s="293">
        <f>AL70*(1+ 0.01*[1]Drivers_macroeconómicos_USCUSS!Z17)</f>
        <v>0.12255864361434209</v>
      </c>
      <c r="AN70" s="293">
        <f>AM70*(1+ 0.01*[1]Drivers_macroeconómicos_USCUSS!AA17)</f>
        <v>0.12258661854184366</v>
      </c>
      <c r="AO70" s="293">
        <f>AN70*(1+ 0.01*[1]Drivers_macroeconómicos_USCUSS!AB17)</f>
        <v>0.12261393195486771</v>
      </c>
      <c r="AP70" s="293">
        <f>AO70*(1+ 0.01*[1]Drivers_macroeconómicos_USCUSS!AC17)</f>
        <v>0.12263538059752589</v>
      </c>
      <c r="AQ70" s="293">
        <f>AP70*(1+ 0.01*[1]Drivers_macroeconómicos_USCUSS!AD17)</f>
        <v>0.12266225788943139</v>
      </c>
      <c r="AR70" s="293">
        <f>AQ70*(1+ 0.01*[1]Drivers_macroeconómicos_USCUSS!AE17)</f>
        <v>0.12268506163279781</v>
      </c>
      <c r="AS70" s="293">
        <f>AR70*(1+ 0.01*[1]Drivers_macroeconómicos_USCUSS!AF17)</f>
        <v>0.12271310901720857</v>
      </c>
      <c r="AT70" s="293">
        <f>AS70*(1+ 0.01*[1]Drivers_macroeconómicos_USCUSS!AG17)</f>
        <v>0.1227357253860405</v>
      </c>
      <c r="AU70" s="293">
        <f>AT70*(1+ 0.01*[1]Drivers_macroeconómicos_USCUSS!AH17)</f>
        <v>0.1227577194090826</v>
      </c>
      <c r="AV70" s="293">
        <f>AU70*(1+ 0.01*[1]Drivers_macroeconómicos_USCUSS!AI17)</f>
        <v>0.12278012648945236</v>
      </c>
      <c r="AW70" s="293">
        <f>AV70*(1+ 0.01*[1]Drivers_macroeconómicos_USCUSS!AJ17)</f>
        <v>0.12280230039334175</v>
      </c>
      <c r="AX70" s="293">
        <f>AW70*(1+ 0.01*[1]Drivers_macroeconómicos_USCUSS!AK17)</f>
        <v>0.12282703191545674</v>
      </c>
      <c r="AY70" s="293">
        <f>AX70*(1+ 0.01*[1]Drivers_macroeconómicos_USCUSS!AL17)</f>
        <v>0.12284912142664531</v>
      </c>
      <c r="AZ70" s="293">
        <f>AY70*(1+ 0.01*[1]Drivers_macroeconómicos_USCUSS!AM17)</f>
        <v>0.12287083581797514</v>
      </c>
      <c r="BA70" s="293">
        <f>AZ70*(1+ 0.01*[1]Drivers_macroeconómicos_USCUSS!AN17)</f>
        <v>0.12289286280750207</v>
      </c>
      <c r="BB70" s="293">
        <f>BA70*(1+ 0.01*[1]Drivers_macroeconómicos_USCUSS!AO17)</f>
        <v>0.12291470740732989</v>
      </c>
      <c r="BC70" s="293">
        <f>BB70*(1+ 0.01*[1]Drivers_macroeconómicos_USCUSS!AP17)</f>
        <v>0.12293676661809479</v>
      </c>
      <c r="BD70" s="293">
        <f>BC70*(1+ 0.01*[1]Drivers_macroeconómicos_USCUSS!AQ17)</f>
        <v>0.12295776119991882</v>
      </c>
      <c r="BE70" s="293">
        <f>BD70*(1+ 0.01*[1]Drivers_macroeconómicos_USCUSS!AR17)</f>
        <v>0.12297860522965563</v>
      </c>
      <c r="BF70" s="293">
        <f>BE70*(1+ 0.01*[1]Drivers_macroeconómicos_USCUSS!AS17)</f>
        <v>0.12299929241301802</v>
      </c>
      <c r="BG70" s="293">
        <f>BF70*(1+ 0.01*[1]Drivers_macroeconómicos_USCUSS!AT17)</f>
        <v>0.12301973209028777</v>
      </c>
      <c r="BH70" s="293">
        <f>BG70*(1+ 0.01*[1]Drivers_macroeconómicos_USCUSS!AU17)</f>
        <v>0.12303984596330385</v>
      </c>
      <c r="BI70" s="293">
        <f>BH70*(1+ 0.01*[1]Drivers_macroeconómicos_USCUSS!AV17)</f>
        <v>0.12305969604276679</v>
      </c>
      <c r="BJ70" s="293">
        <f>BI70*(1+ 0.01*[1]Drivers_macroeconómicos_USCUSS!AW17)</f>
        <v>0.12307930939062688</v>
      </c>
      <c r="BK70" s="293">
        <f>BJ70*(1+ 0.01*[1]Drivers_macroeconómicos_USCUSS!AX17)</f>
        <v>0.12309869514663153</v>
      </c>
      <c r="BL70" s="293">
        <f>BK70*(1+ 0.01*[1]Drivers_macroeconómicos_USCUSS!AY17)</f>
        <v>0.12311780440817649</v>
      </c>
      <c r="BM70" s="293">
        <f>BL70*(1+ 0.01*[1]Drivers_macroeconómicos_USCUSS!AZ17)</f>
        <v>0.123136640439137</v>
      </c>
      <c r="BN70" s="293">
        <f>BM70*(1+ 0.01*[1]Drivers_macroeconómicos_USCUSS!BA17)</f>
        <v>0.12315518494684194</v>
      </c>
      <c r="BO70" s="293">
        <f>BN70*(1+ 0.01*[1]Drivers_macroeconómicos_USCUSS!BB17)</f>
        <v>0.12317348189336395</v>
      </c>
      <c r="BP70" s="293">
        <f>BO70*(1+ 0.01*[1]Drivers_macroeconómicos_USCUSS!BC17)</f>
        <v>0.12319152363204226</v>
      </c>
      <c r="BQ70" s="293">
        <f>BP70*(1+ 0.01*[1]Drivers_macroeconómicos_USCUSS!BD17)</f>
        <v>0.12320930372724981</v>
      </c>
      <c r="BR70" s="283"/>
    </row>
    <row r="71" spans="1:71" x14ac:dyDescent="0.2">
      <c r="A71" s="630" t="s">
        <v>305</v>
      </c>
      <c r="B71" s="625"/>
      <c r="C71" s="631" t="s">
        <v>306</v>
      </c>
      <c r="D71" s="621" t="s">
        <v>271</v>
      </c>
      <c r="E71" s="622"/>
      <c r="F71" s="249"/>
      <c r="G71" s="297"/>
      <c r="H71" s="297"/>
      <c r="I71" s="297"/>
      <c r="J71" s="297"/>
      <c r="K71" s="297"/>
      <c r="L71" s="297"/>
      <c r="M71" s="297"/>
      <c r="N71" s="297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  <c r="AC71" s="293"/>
      <c r="AD71" s="293"/>
      <c r="AE71" s="293"/>
      <c r="AF71" s="293"/>
      <c r="AG71" s="293"/>
      <c r="AH71" s="293"/>
      <c r="AI71" s="293"/>
      <c r="AJ71" s="293"/>
      <c r="AK71" s="293"/>
      <c r="AL71" s="293"/>
      <c r="AM71" s="293"/>
      <c r="AN71" s="293"/>
      <c r="AO71" s="293"/>
      <c r="AP71" s="293"/>
      <c r="AQ71" s="293"/>
      <c r="AR71" s="293"/>
      <c r="AS71" s="293"/>
      <c r="AT71" s="293"/>
      <c r="AU71" s="293"/>
      <c r="AV71" s="293"/>
      <c r="AW71" s="293"/>
      <c r="AX71" s="293"/>
      <c r="AY71" s="293"/>
      <c r="AZ71" s="293"/>
      <c r="BA71" s="293"/>
      <c r="BB71" s="293"/>
      <c r="BC71" s="293"/>
      <c r="BD71" s="293"/>
      <c r="BE71" s="293"/>
      <c r="BF71" s="293"/>
      <c r="BG71" s="293"/>
      <c r="BH71" s="293"/>
      <c r="BI71" s="293"/>
      <c r="BJ71" s="293"/>
      <c r="BK71" s="293"/>
      <c r="BL71" s="293"/>
      <c r="BM71" s="293"/>
      <c r="BN71" s="293"/>
      <c r="BO71" s="293"/>
      <c r="BP71" s="293"/>
      <c r="BQ71" s="293"/>
      <c r="BR71" s="283"/>
    </row>
    <row r="72" spans="1:71" x14ac:dyDescent="0.2">
      <c r="A72" s="630"/>
      <c r="B72" s="625"/>
      <c r="C72" s="631"/>
      <c r="D72" s="621"/>
      <c r="E72" s="622"/>
      <c r="F72" s="249" t="s">
        <v>307</v>
      </c>
      <c r="G72" s="297">
        <v>7.3766819699999999</v>
      </c>
      <c r="H72" s="297"/>
      <c r="I72" s="297"/>
      <c r="J72" s="297"/>
      <c r="K72" s="297"/>
      <c r="L72" s="297"/>
      <c r="M72" s="297">
        <v>3.7592181899999999</v>
      </c>
      <c r="N72" s="297"/>
      <c r="O72" s="293">
        <v>3.8522799999999999</v>
      </c>
      <c r="P72" s="293"/>
      <c r="Q72" s="293">
        <v>3.8806069999999999</v>
      </c>
      <c r="R72" s="297">
        <f>Q72*(1+0.34*[1]Drivers_macroeconómicos_USCUSS!E31)</f>
        <v>3.9019481566842646</v>
      </c>
      <c r="S72" s="297">
        <f>R72*(1+0.34*[1]Drivers_macroeconómicos_USCUSS!F31)</f>
        <v>3.9066919824128141</v>
      </c>
      <c r="T72" s="297">
        <f>S72*(1+0.34*[1]Drivers_macroeconómicos_USCUSS!G31)</f>
        <v>3.951672727972213</v>
      </c>
      <c r="U72" s="297">
        <f>T72*(1+0.34*[1]Drivers_macroeconómicos_USCUSS!H31)</f>
        <v>3.997942977882706</v>
      </c>
      <c r="V72" s="297">
        <f>U72*(1+0.34*[1]Drivers_macroeconómicos_USCUSS!I31)</f>
        <v>4.0379279180725449</v>
      </c>
      <c r="W72" s="297">
        <f>V72*(1+0.34*[1]Drivers_macroeconómicos_USCUSS!J31)</f>
        <v>4.0806905252637522</v>
      </c>
      <c r="X72" s="297">
        <f>W72*(1+0.34*[1]Drivers_macroeconómicos_USCUSS!K31)</f>
        <v>4.1134669490763196</v>
      </c>
      <c r="Y72" s="297">
        <f>X72*(1+0.34*[1]Drivers_macroeconómicos_USCUSS!L31)</f>
        <v>4.1407382892015052</v>
      </c>
      <c r="Z72" s="297">
        <f>Y72*(1+0.34*[1]Drivers_macroeconómicos_USCUSS!M31)</f>
        <v>4.1765105943737693</v>
      </c>
      <c r="AA72" s="297">
        <f>Z72*(1+0.34*[1]Drivers_macroeconómicos_USCUSS!N31)</f>
        <v>4.2070879077261329</v>
      </c>
      <c r="AB72" s="297">
        <f>AA72*(1+0.34*[1]Drivers_macroeconómicos_USCUSS!O31)</f>
        <v>4.2249668409769665</v>
      </c>
      <c r="AC72" s="297">
        <f>AB72*(1+0.34*[1]Drivers_macroeconómicos_USCUSS!P31)</f>
        <v>4.2458298841549222</v>
      </c>
      <c r="AD72" s="297">
        <f>AC72*(1+0.34*[1]Drivers_macroeconómicos_USCUSS!Q31)</f>
        <v>4.2760125340181814</v>
      </c>
      <c r="AE72" s="297">
        <f>AD72*(1+0.34*[1]Drivers_macroeconómicos_USCUSS!R31)</f>
        <v>4.2956230310373718</v>
      </c>
      <c r="AF72" s="297">
        <f>AE72*(1+0.34*[1]Drivers_macroeconómicos_USCUSS!S31)</f>
        <v>4.3207400028850147</v>
      </c>
      <c r="AG72" s="297">
        <f>AF72*(1+0.34*[1]Drivers_macroeconómicos_USCUSS!T31)</f>
        <v>4.3383251897924939</v>
      </c>
      <c r="AH72" s="297">
        <f>AG72*(1+0.34*[1]Drivers_macroeconómicos_USCUSS!U31)</f>
        <v>4.3566466140845872</v>
      </c>
      <c r="AI72" s="297">
        <f>AH72*(1+0.34*[1]Drivers_macroeconómicos_USCUSS!V31)</f>
        <v>4.3786447934366537</v>
      </c>
      <c r="AJ72" s="297">
        <f>AI72*(1+0.34*[1]Drivers_macroeconómicos_USCUSS!W31)</f>
        <v>4.3983374209364339</v>
      </c>
      <c r="AK72" s="297">
        <f>AJ72*(1+0.34*[1]Drivers_macroeconómicos_USCUSS!X31)</f>
        <v>4.4207652747331734</v>
      </c>
      <c r="AL72" s="297">
        <f>AK72*(1+0.34*[1]Drivers_macroeconómicos_USCUSS!Y31)</f>
        <v>4.4484252824289294</v>
      </c>
      <c r="AM72" s="297">
        <f>AL72*(1+0.34*[1]Drivers_macroeconómicos_USCUSS!Z31)</f>
        <v>4.4744432864224413</v>
      </c>
      <c r="AN72" s="297">
        <f>AM72*(1+0.34*[1]Drivers_macroeconómicos_USCUSS!AA31)</f>
        <v>4.5034968525465002</v>
      </c>
      <c r="AO72" s="297">
        <f>AN72*(1+0.34*[1]Drivers_macroeconómicos_USCUSS!AB31)</f>
        <v>4.5338486218058476</v>
      </c>
      <c r="AP72" s="297">
        <f>AO72*(1+0.34*[1]Drivers_macroeconómicos_USCUSS!AC31)</f>
        <v>4.5595652353897282</v>
      </c>
      <c r="AQ72" s="297">
        <f>AP72*(1+0.34*[1]Drivers_macroeconómicos_USCUSS!AD31)</f>
        <v>4.5939071272333871</v>
      </c>
      <c r="AR72" s="297">
        <f>AQ72*(1+0.34*[1]Drivers_macroeconómicos_USCUSS!AE31)</f>
        <v>4.6253574230025114</v>
      </c>
      <c r="AS72" s="297">
        <f>AR72*(1+0.34*[1]Drivers_macroeconómicos_USCUSS!AF31)</f>
        <v>4.664858463980158</v>
      </c>
      <c r="AT72" s="297">
        <f>AS72*(1+0.34*[1]Drivers_macroeconómicos_USCUSS!AG31)</f>
        <v>4.6990519005315123</v>
      </c>
      <c r="AU72" s="297">
        <f>AT72*(1+0.34*[1]Drivers_macroeconómicos_USCUSS!AH31)</f>
        <v>4.7331692887346462</v>
      </c>
      <c r="AV72" s="297">
        <f>AU72*(1+0.34*[1]Drivers_macroeconómicos_USCUSS!AI31)</f>
        <v>4.7687775035584927</v>
      </c>
      <c r="AW72" s="297">
        <f>AV72*(1+0.34*[1]Drivers_macroeconómicos_USCUSS!AJ31)</f>
        <v>4.8042268976384088</v>
      </c>
      <c r="AX72" s="297">
        <f>AW72*(1+0.34*[1]Drivers_macroeconómicos_USCUSS!AK31)</f>
        <v>4.8349574297727758</v>
      </c>
      <c r="AY72" s="297">
        <f>AX72*(1+0.34*[1]Drivers_macroeconómicos_USCUSS!AL31)</f>
        <v>4.8665413017743848</v>
      </c>
      <c r="AZ72" s="297">
        <f>AY72*(1+0.34*[1]Drivers_macroeconómicos_USCUSS!AM31)</f>
        <v>4.8987825785305859</v>
      </c>
      <c r="BA72" s="297">
        <f>AZ72*(1+0.34*[1]Drivers_macroeconómicos_USCUSS!AN31)</f>
        <v>4.9318888922797992</v>
      </c>
      <c r="BB72" s="297">
        <f>BA72*(1+0.34*[1]Drivers_macroeconómicos_USCUSS!AO31)</f>
        <v>4.9657302862438213</v>
      </c>
      <c r="BC72" s="297">
        <f>BB72*(1+0.34*[1]Drivers_macroeconómicos_USCUSS!AP31)</f>
        <v>4.999991631445118</v>
      </c>
      <c r="BD72" s="297">
        <f>BC72*(1+0.34*[1]Drivers_macroeconómicos_USCUSS!AQ31)</f>
        <v>5.0348177223779178</v>
      </c>
      <c r="BE72" s="297">
        <f>BD72*(1+0.34*[1]Drivers_macroeconómicos_USCUSS!AR31)</f>
        <v>5.0700349137480529</v>
      </c>
      <c r="BF72" s="297">
        <f>BE72*(1+0.34*[1]Drivers_macroeconómicos_USCUSS!AS31)</f>
        <v>5.1055792846630856</v>
      </c>
      <c r="BG72" s="297">
        <f>BF72*(1+0.34*[1]Drivers_macroeconómicos_USCUSS!AT31)</f>
        <v>5.1417999714103635</v>
      </c>
      <c r="BH72" s="297">
        <f>BG72*(1+0.34*[1]Drivers_macroeconómicos_USCUSS!AU31)</f>
        <v>5.1781370236188096</v>
      </c>
      <c r="BI72" s="297">
        <f>BH72*(1+0.34*[1]Drivers_macroeconómicos_USCUSS!AV31)</f>
        <v>5.2148023607060709</v>
      </c>
      <c r="BJ72" s="297">
        <f>BI72*(1+0.34*[1]Drivers_macroeconómicos_USCUSS!AW31)</f>
        <v>5.2512516922199639</v>
      </c>
      <c r="BK72" s="297">
        <f>BJ72*(1+0.34*[1]Drivers_macroeconómicos_USCUSS!AX31)</f>
        <v>5.2878440643414688</v>
      </c>
      <c r="BL72" s="297">
        <f>BK72*(1+0.34*[1]Drivers_macroeconómicos_USCUSS!AY31)</f>
        <v>5.3245948645713437</v>
      </c>
      <c r="BM72" s="297">
        <f>BL72*(1+0.34*[1]Drivers_macroeconómicos_USCUSS!AZ31)</f>
        <v>5.3614103747164075</v>
      </c>
      <c r="BN72" s="297">
        <f>BM72*(1+0.34*[1]Drivers_macroeconómicos_USCUSS!BA31)</f>
        <v>5.3983063888604823</v>
      </c>
      <c r="BO72" s="297">
        <f>BN72*(1+0.34*[1]Drivers_macroeconómicos_USCUSS!BB31)</f>
        <v>5.4356200209153167</v>
      </c>
      <c r="BP72" s="297">
        <f>BO72*(1+0.34*[1]Drivers_macroeconómicos_USCUSS!BC31)</f>
        <v>5.4733205627515655</v>
      </c>
      <c r="BQ72" s="297">
        <f>BP72*(1+0.34*[1]Drivers_macroeconómicos_USCUSS!BD31)</f>
        <v>5.5113888880572297</v>
      </c>
      <c r="BR72" s="283"/>
    </row>
    <row r="73" spans="1:71" x14ac:dyDescent="0.2">
      <c r="A73" s="630"/>
      <c r="B73" s="625"/>
      <c r="C73" s="631"/>
      <c r="D73" s="621"/>
      <c r="E73" s="622"/>
      <c r="F73" s="249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  <c r="AP73" s="297"/>
      <c r="AQ73" s="297"/>
      <c r="AR73" s="297"/>
      <c r="AS73" s="297"/>
      <c r="AT73" s="297"/>
      <c r="AU73" s="297"/>
      <c r="AV73" s="297"/>
      <c r="AW73" s="297"/>
      <c r="AX73" s="297"/>
      <c r="AY73" s="297"/>
      <c r="AZ73" s="297"/>
      <c r="BA73" s="297"/>
      <c r="BB73" s="297"/>
      <c r="BC73" s="297"/>
      <c r="BD73" s="297"/>
      <c r="BE73" s="297"/>
      <c r="BF73" s="297"/>
      <c r="BG73" s="297"/>
      <c r="BH73" s="297"/>
      <c r="BI73" s="297"/>
      <c r="BJ73" s="297"/>
      <c r="BK73" s="297"/>
      <c r="BL73" s="297"/>
      <c r="BM73" s="297"/>
      <c r="BN73" s="297"/>
      <c r="BO73" s="297"/>
      <c r="BP73" s="297"/>
      <c r="BQ73" s="297"/>
      <c r="BR73" s="283"/>
    </row>
    <row r="74" spans="1:71" x14ac:dyDescent="0.2">
      <c r="A74" s="630"/>
      <c r="B74" s="625"/>
      <c r="C74" s="631"/>
      <c r="D74" s="621"/>
      <c r="E74" s="622"/>
      <c r="F74" s="249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  <c r="AP74" s="297"/>
      <c r="AQ74" s="297"/>
      <c r="AR74" s="297"/>
      <c r="AS74" s="297"/>
      <c r="AT74" s="297"/>
      <c r="AU74" s="297"/>
      <c r="AV74" s="297"/>
      <c r="AW74" s="297"/>
      <c r="AX74" s="297"/>
      <c r="AY74" s="297"/>
      <c r="AZ74" s="297"/>
      <c r="BA74" s="297"/>
      <c r="BB74" s="297"/>
      <c r="BC74" s="297"/>
      <c r="BD74" s="297"/>
      <c r="BE74" s="297"/>
      <c r="BF74" s="297"/>
      <c r="BG74" s="297"/>
      <c r="BH74" s="297"/>
      <c r="BI74" s="297"/>
      <c r="BJ74" s="297"/>
      <c r="BK74" s="297"/>
      <c r="BL74" s="297"/>
      <c r="BM74" s="297"/>
      <c r="BN74" s="297"/>
      <c r="BO74" s="297"/>
      <c r="BP74" s="297"/>
      <c r="BQ74" s="297"/>
      <c r="BR74" s="283"/>
    </row>
    <row r="75" spans="1:71" s="225" customFormat="1" x14ac:dyDescent="0.25">
      <c r="A75" s="295" t="s">
        <v>308</v>
      </c>
      <c r="B75" s="625"/>
      <c r="C75" s="631"/>
      <c r="D75" s="632"/>
      <c r="E75" s="633"/>
      <c r="F75" s="299" t="s">
        <v>309</v>
      </c>
      <c r="G75" s="297">
        <f>G49/1000000</f>
        <v>1.4548903200000001</v>
      </c>
      <c r="H75" s="297"/>
      <c r="I75" s="297"/>
      <c r="J75" s="297"/>
      <c r="K75" s="297"/>
      <c r="L75" s="297"/>
      <c r="M75" s="297">
        <f>M49/1000000</f>
        <v>4.9599387000000004</v>
      </c>
      <c r="N75" s="297"/>
      <c r="O75" s="297">
        <v>5.0815799999999998</v>
      </c>
      <c r="P75" s="297"/>
      <c r="Q75" s="297">
        <v>5.1189450000000001</v>
      </c>
      <c r="R75" s="297">
        <f>$Q$88-R64-R70-R72-R77-R79-R81-R84</f>
        <v>5.1571371616316766</v>
      </c>
      <c r="S75" s="297">
        <f>$Q$88-S64-S70-S72-S77-S79-S81-S84</f>
        <v>5.249474870897604</v>
      </c>
      <c r="T75" s="297">
        <f t="shared" ref="T75:AY75" si="19">$Q$86-T64-T70-T72-T77-T79-T81-T84</f>
        <v>5.3007450408180077</v>
      </c>
      <c r="U75" s="297">
        <f t="shared" si="19"/>
        <v>5.3500272160124549</v>
      </c>
      <c r="V75" s="297">
        <f t="shared" si="19"/>
        <v>5.4048967658735538</v>
      </c>
      <c r="W75" s="297">
        <f t="shared" si="19"/>
        <v>5.4563043438037937</v>
      </c>
      <c r="X75" s="297">
        <f t="shared" si="19"/>
        <v>5.5170221029878004</v>
      </c>
      <c r="Y75" s="297">
        <f t="shared" si="19"/>
        <v>5.5825796125328901</v>
      </c>
      <c r="Z75" s="297">
        <f t="shared" si="19"/>
        <v>5.6389616330705223</v>
      </c>
      <c r="AA75" s="297">
        <f t="shared" si="19"/>
        <v>5.6998867876054078</v>
      </c>
      <c r="AB75" s="297">
        <f t="shared" si="19"/>
        <v>5.7728677618705797</v>
      </c>
      <c r="AC75" s="297">
        <f t="shared" si="19"/>
        <v>5.842220939783231</v>
      </c>
      <c r="AD75" s="297">
        <f t="shared" si="19"/>
        <v>5.9016103215328775</v>
      </c>
      <c r="AE75" s="297">
        <f t="shared" si="19"/>
        <v>5.970953198603441</v>
      </c>
      <c r="AF75" s="297">
        <f t="shared" si="19"/>
        <v>6.0341649036447436</v>
      </c>
      <c r="AG75" s="297">
        <f t="shared" si="19"/>
        <v>6.1043014924793644</v>
      </c>
      <c r="AH75" s="297">
        <f t="shared" si="19"/>
        <v>6.1730957706713196</v>
      </c>
      <c r="AI75" s="297">
        <f t="shared" si="19"/>
        <v>6.2376110123653277</v>
      </c>
      <c r="AJ75" s="297">
        <f t="shared" si="19"/>
        <v>6.3038427826532315</v>
      </c>
      <c r="AK75" s="297">
        <f t="shared" si="19"/>
        <v>6.3667516212655624</v>
      </c>
      <c r="AL75" s="297">
        <f t="shared" si="19"/>
        <v>6.4238459527113072</v>
      </c>
      <c r="AM75" s="297">
        <f t="shared" si="19"/>
        <v>6.4820111363237718</v>
      </c>
      <c r="AN75" s="297">
        <f t="shared" si="19"/>
        <v>6.5365712570834216</v>
      </c>
      <c r="AO75" s="297">
        <f t="shared" si="19"/>
        <v>6.5892699210585048</v>
      </c>
      <c r="AP75" s="297">
        <f t="shared" si="19"/>
        <v>6.6460518668072055</v>
      </c>
      <c r="AQ75" s="297">
        <f t="shared" si="19"/>
        <v>6.6936500769686429</v>
      </c>
      <c r="AR75" s="297">
        <f t="shared" si="19"/>
        <v>6.743597026947258</v>
      </c>
      <c r="AS75" s="297">
        <f t="shared" si="19"/>
        <v>6.7849457750677944</v>
      </c>
      <c r="AT75" s="297">
        <f t="shared" si="19"/>
        <v>6.8310691508241481</v>
      </c>
      <c r="AU75" s="297">
        <f t="shared" si="19"/>
        <v>6.8767371430642967</v>
      </c>
      <c r="AV75" s="297">
        <f t="shared" si="19"/>
        <v>6.9203853356286009</v>
      </c>
      <c r="AW75" s="297">
        <f t="shared" si="19"/>
        <v>6.9636673107674412</v>
      </c>
      <c r="AX75" s="297">
        <f t="shared" si="19"/>
        <v>7.0111459388039998</v>
      </c>
      <c r="AY75" s="297">
        <f t="shared" si="19"/>
        <v>7.0572597544043019</v>
      </c>
      <c r="AZ75" s="297">
        <f t="shared" ref="AZ75:BQ75" si="20">$Q$86-AZ64-AZ70-AZ72-AZ77-AZ79-AZ81-AZ84</f>
        <v>7.1022078780904687</v>
      </c>
      <c r="BA75" s="297">
        <f t="shared" si="20"/>
        <v>7.1457873562178005</v>
      </c>
      <c r="BB75" s="297">
        <f t="shared" si="20"/>
        <v>7.1881339194813494</v>
      </c>
      <c r="BC75" s="297">
        <f t="shared" si="20"/>
        <v>7.2295674900581135</v>
      </c>
      <c r="BD75" s="297">
        <f t="shared" si="20"/>
        <v>7.2699496528694816</v>
      </c>
      <c r="BE75" s="297">
        <f t="shared" si="20"/>
        <v>7.3094581480415677</v>
      </c>
      <c r="BF75" s="297">
        <f t="shared" si="20"/>
        <v>7.3481618192155924</v>
      </c>
      <c r="BG75" s="297">
        <f t="shared" si="20"/>
        <v>7.385716443634176</v>
      </c>
      <c r="BH75" s="297">
        <f t="shared" si="20"/>
        <v>7.4226867781822632</v>
      </c>
      <c r="BI75" s="297">
        <f t="shared" si="20"/>
        <v>7.4588654739839644</v>
      </c>
      <c r="BJ75" s="297">
        <f t="shared" si="20"/>
        <v>7.4948013303736376</v>
      </c>
      <c r="BK75" s="297">
        <f t="shared" si="20"/>
        <v>7.5301397304866828</v>
      </c>
      <c r="BL75" s="297">
        <f t="shared" si="20"/>
        <v>7.5648696758806135</v>
      </c>
      <c r="BM75" s="297">
        <f t="shared" si="20"/>
        <v>7.5990891225963084</v>
      </c>
      <c r="BN75" s="297">
        <f t="shared" si="20"/>
        <v>7.6327864362368283</v>
      </c>
      <c r="BO75" s="297">
        <f t="shared" si="20"/>
        <v>7.6656285000036846</v>
      </c>
      <c r="BP75" s="297">
        <f t="shared" si="20"/>
        <v>7.69764996990087</v>
      </c>
      <c r="BQ75" s="297">
        <f t="shared" si="20"/>
        <v>7.7288738176025031</v>
      </c>
      <c r="BR75" s="283"/>
    </row>
    <row r="76" spans="1:71" s="225" customFormat="1" x14ac:dyDescent="0.25">
      <c r="A76" s="630" t="s">
        <v>310</v>
      </c>
      <c r="B76" s="625"/>
      <c r="C76" s="634" t="s">
        <v>311</v>
      </c>
      <c r="D76" s="635" t="s">
        <v>312</v>
      </c>
      <c r="E76" s="636"/>
      <c r="F76" s="299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297"/>
      <c r="AT76" s="297"/>
      <c r="AU76" s="297"/>
      <c r="AV76" s="297"/>
      <c r="AW76" s="297"/>
      <c r="AX76" s="297"/>
      <c r="AY76" s="297"/>
      <c r="AZ76" s="297"/>
      <c r="BA76" s="297"/>
      <c r="BB76" s="297"/>
      <c r="BC76" s="297"/>
      <c r="BD76" s="297"/>
      <c r="BE76" s="297"/>
      <c r="BF76" s="297"/>
      <c r="BG76" s="297"/>
      <c r="BH76" s="297"/>
      <c r="BI76" s="297"/>
      <c r="BJ76" s="297"/>
      <c r="BK76" s="297"/>
      <c r="BL76" s="297"/>
      <c r="BM76" s="297"/>
      <c r="BN76" s="297"/>
      <c r="BO76" s="297"/>
      <c r="BP76" s="297"/>
      <c r="BQ76" s="297"/>
      <c r="BR76" s="283"/>
    </row>
    <row r="77" spans="1:71" s="225" customFormat="1" x14ac:dyDescent="0.25">
      <c r="A77" s="630"/>
      <c r="B77" s="625"/>
      <c r="C77" s="634"/>
      <c r="D77" s="621"/>
      <c r="E77" s="637"/>
      <c r="F77" s="299" t="s">
        <v>313</v>
      </c>
      <c r="G77" s="297">
        <v>2.1629636999999997</v>
      </c>
      <c r="H77" s="297"/>
      <c r="I77" s="297"/>
      <c r="J77" s="297"/>
      <c r="K77" s="297"/>
      <c r="L77" s="297"/>
      <c r="M77" s="297">
        <v>2.4237641700000001</v>
      </c>
      <c r="N77" s="297"/>
      <c r="O77" s="297">
        <v>2.3614877700000001</v>
      </c>
      <c r="P77" s="297"/>
      <c r="Q77" s="297">
        <v>2.3758364699999999</v>
      </c>
      <c r="R77" s="297">
        <v>2.369059</v>
      </c>
      <c r="S77" s="297">
        <v>2.3619680000000001</v>
      </c>
      <c r="T77" s="297">
        <v>2.3548770000000001</v>
      </c>
      <c r="U77" s="297">
        <v>2.3477860000000002</v>
      </c>
      <c r="V77" s="297">
        <v>2.3406950000000002</v>
      </c>
      <c r="W77" s="297">
        <v>2.3336039999999998</v>
      </c>
      <c r="X77" s="297">
        <v>2.3265129999999998</v>
      </c>
      <c r="Y77" s="297">
        <v>2.3194219999999999</v>
      </c>
      <c r="Z77" s="297">
        <v>2.3123309999999999</v>
      </c>
      <c r="AA77" s="297">
        <v>2.30524</v>
      </c>
      <c r="AB77" s="297">
        <v>2.298149</v>
      </c>
      <c r="AC77" s="297">
        <v>2.291058</v>
      </c>
      <c r="AD77" s="297">
        <v>2.2839670000000001</v>
      </c>
      <c r="AE77" s="297">
        <v>2.2768760000000001</v>
      </c>
      <c r="AF77" s="297">
        <v>2.2697850000000002</v>
      </c>
      <c r="AG77" s="297">
        <v>2.2626940000000002</v>
      </c>
      <c r="AH77" s="297">
        <v>2.2556029999999998</v>
      </c>
      <c r="AI77" s="297">
        <v>2.2485119999999998</v>
      </c>
      <c r="AJ77" s="297">
        <v>2.2414209999999999</v>
      </c>
      <c r="AK77" s="297">
        <v>2.2343299999999999</v>
      </c>
      <c r="AL77" s="297">
        <v>2.227239</v>
      </c>
      <c r="AM77" s="297">
        <v>2.220148</v>
      </c>
      <c r="AN77" s="297">
        <v>2.2130570000000001</v>
      </c>
      <c r="AO77" s="297">
        <v>2.2059660000000001</v>
      </c>
      <c r="AP77" s="297">
        <v>2.1988750000000001</v>
      </c>
      <c r="AQ77" s="297">
        <v>2.1917840000000002</v>
      </c>
      <c r="AR77" s="297">
        <v>2.1846930000000002</v>
      </c>
      <c r="AS77" s="297">
        <v>2.1776019999999998</v>
      </c>
      <c r="AT77" s="297">
        <v>2.1705109999999999</v>
      </c>
      <c r="AU77" s="297">
        <v>2.1634199999999999</v>
      </c>
      <c r="AV77" s="297">
        <v>2.1563289999999999</v>
      </c>
      <c r="AW77" s="297">
        <v>2.149238</v>
      </c>
      <c r="AX77" s="297">
        <v>2.142147</v>
      </c>
      <c r="AY77" s="297">
        <v>2.1350560000000001</v>
      </c>
      <c r="AZ77" s="297">
        <v>2.1279650000000001</v>
      </c>
      <c r="BA77" s="297">
        <v>2.1208740000000001</v>
      </c>
      <c r="BB77" s="297">
        <v>2.1137830000000002</v>
      </c>
      <c r="BC77" s="297">
        <v>2.1066919999999998</v>
      </c>
      <c r="BD77" s="297">
        <v>2.0996009999999998</v>
      </c>
      <c r="BE77" s="297">
        <v>2.0925099999999999</v>
      </c>
      <c r="BF77" s="297">
        <v>2.0854189999999999</v>
      </c>
      <c r="BG77" s="297">
        <v>2.078328</v>
      </c>
      <c r="BH77" s="297">
        <v>2.071237</v>
      </c>
      <c r="BI77" s="297">
        <v>2.064146</v>
      </c>
      <c r="BJ77" s="297">
        <v>2.0570550000000001</v>
      </c>
      <c r="BK77" s="297">
        <v>2.0499640000000001</v>
      </c>
      <c r="BL77" s="297">
        <v>2.0428730000000002</v>
      </c>
      <c r="BM77" s="297">
        <v>2.0357820000000002</v>
      </c>
      <c r="BN77" s="297">
        <v>2.0286909999999998</v>
      </c>
      <c r="BO77" s="297">
        <v>2.0215999999999998</v>
      </c>
      <c r="BP77" s="297">
        <v>2.0145089999999999</v>
      </c>
      <c r="BQ77" s="297">
        <v>2.0074179999999999</v>
      </c>
      <c r="BR77" s="283"/>
    </row>
    <row r="78" spans="1:71" x14ac:dyDescent="0.2">
      <c r="A78" s="630"/>
      <c r="B78" s="625"/>
      <c r="C78" s="634"/>
      <c r="D78" s="638"/>
      <c r="E78" s="639"/>
      <c r="F78" s="249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297"/>
      <c r="AT78" s="297"/>
      <c r="AU78" s="297"/>
      <c r="AV78" s="297"/>
      <c r="AW78" s="297"/>
      <c r="AX78" s="297"/>
      <c r="AY78" s="297"/>
      <c r="AZ78" s="297"/>
      <c r="BA78" s="297"/>
      <c r="BB78" s="297"/>
      <c r="BC78" s="297"/>
      <c r="BD78" s="297"/>
      <c r="BE78" s="297"/>
      <c r="BF78" s="297"/>
      <c r="BG78" s="297"/>
      <c r="BH78" s="297"/>
      <c r="BI78" s="297"/>
      <c r="BJ78" s="297"/>
      <c r="BK78" s="297"/>
      <c r="BL78" s="297"/>
      <c r="BM78" s="297"/>
      <c r="BN78" s="297"/>
      <c r="BO78" s="297"/>
      <c r="BP78" s="297"/>
      <c r="BQ78" s="297"/>
      <c r="BR78" s="283"/>
    </row>
    <row r="79" spans="1:71" x14ac:dyDescent="0.2">
      <c r="A79" s="630" t="s">
        <v>314</v>
      </c>
      <c r="B79" s="625"/>
      <c r="C79" s="643" t="s">
        <v>315</v>
      </c>
      <c r="D79" s="645" t="s">
        <v>316</v>
      </c>
      <c r="E79" s="646"/>
      <c r="F79" s="249" t="s">
        <v>317</v>
      </c>
      <c r="G79" s="640">
        <v>0.50615019000000006</v>
      </c>
      <c r="H79" s="297"/>
      <c r="I79" s="297"/>
      <c r="J79" s="297"/>
      <c r="K79" s="297"/>
      <c r="L79" s="297"/>
      <c r="M79" s="640">
        <v>0.50510348999999999</v>
      </c>
      <c r="N79" s="297"/>
      <c r="O79" s="297">
        <v>0.49476339000000003</v>
      </c>
      <c r="P79" s="297"/>
      <c r="Q79" s="297">
        <v>0.49199787</v>
      </c>
      <c r="R79" s="297">
        <f t="shared" ref="R79:AW79" si="21">Q79*(1-0.00138)</f>
        <v>0.4913189129394</v>
      </c>
      <c r="S79" s="297">
        <f t="shared" si="21"/>
        <v>0.4906408928395436</v>
      </c>
      <c r="T79" s="297">
        <f t="shared" si="21"/>
        <v>0.48996380840742498</v>
      </c>
      <c r="U79" s="297">
        <f t="shared" si="21"/>
        <v>0.4892876583518227</v>
      </c>
      <c r="V79" s="297">
        <f t="shared" si="21"/>
        <v>0.48861244138329718</v>
      </c>
      <c r="W79" s="297">
        <f t="shared" si="21"/>
        <v>0.48793815621418823</v>
      </c>
      <c r="X79" s="297">
        <f t="shared" si="21"/>
        <v>0.48726480155861263</v>
      </c>
      <c r="Y79" s="297">
        <f t="shared" si="21"/>
        <v>0.4865923761324617</v>
      </c>
      <c r="Z79" s="297">
        <f t="shared" si="21"/>
        <v>0.48592087865339889</v>
      </c>
      <c r="AA79" s="297">
        <f t="shared" si="21"/>
        <v>0.48525030784085715</v>
      </c>
      <c r="AB79" s="297">
        <f t="shared" si="21"/>
        <v>0.48458066241603676</v>
      </c>
      <c r="AC79" s="297">
        <f t="shared" si="21"/>
        <v>0.48391194110190261</v>
      </c>
      <c r="AD79" s="297">
        <f t="shared" si="21"/>
        <v>0.48324414262318194</v>
      </c>
      <c r="AE79" s="297">
        <f t="shared" si="21"/>
        <v>0.48257726570636195</v>
      </c>
      <c r="AF79" s="297">
        <f t="shared" si="21"/>
        <v>0.48191130907968716</v>
      </c>
      <c r="AG79" s="297">
        <f t="shared" si="21"/>
        <v>0.48124627147315718</v>
      </c>
      <c r="AH79" s="297">
        <f t="shared" si="21"/>
        <v>0.48058215161852419</v>
      </c>
      <c r="AI79" s="297">
        <f t="shared" si="21"/>
        <v>0.4799189482492906</v>
      </c>
      <c r="AJ79" s="297">
        <f t="shared" si="21"/>
        <v>0.47925666010070656</v>
      </c>
      <c r="AK79" s="297">
        <f t="shared" si="21"/>
        <v>0.47859528590976758</v>
      </c>
      <c r="AL79" s="297">
        <f t="shared" si="21"/>
        <v>0.47793482441521207</v>
      </c>
      <c r="AM79" s="297">
        <f t="shared" si="21"/>
        <v>0.47727527435751904</v>
      </c>
      <c r="AN79" s="297">
        <f t="shared" si="21"/>
        <v>0.47661663447890562</v>
      </c>
      <c r="AO79" s="297">
        <f t="shared" si="21"/>
        <v>0.47595890352332471</v>
      </c>
      <c r="AP79" s="297">
        <f t="shared" si="21"/>
        <v>0.47530208023646248</v>
      </c>
      <c r="AQ79" s="297">
        <f t="shared" si="21"/>
        <v>0.47464616336573612</v>
      </c>
      <c r="AR79" s="297">
        <f t="shared" si="21"/>
        <v>0.47399115166029138</v>
      </c>
      <c r="AS79" s="297">
        <f t="shared" si="21"/>
        <v>0.47333704387100017</v>
      </c>
      <c r="AT79" s="297">
        <f t="shared" si="21"/>
        <v>0.47268383875045816</v>
      </c>
      <c r="AU79" s="297">
        <f t="shared" si="21"/>
        <v>0.47203153505298251</v>
      </c>
      <c r="AV79" s="297">
        <f t="shared" si="21"/>
        <v>0.47138013153460939</v>
      </c>
      <c r="AW79" s="297">
        <f t="shared" si="21"/>
        <v>0.47072962695309162</v>
      </c>
      <c r="AX79" s="297">
        <f t="shared" ref="AX79:BQ79" si="22">AW79*(1-0.00138)</f>
        <v>0.47008002006789634</v>
      </c>
      <c r="AY79" s="297">
        <f t="shared" si="22"/>
        <v>0.46943130964020263</v>
      </c>
      <c r="AZ79" s="297">
        <f t="shared" si="22"/>
        <v>0.46878349443289913</v>
      </c>
      <c r="BA79" s="297">
        <f t="shared" si="22"/>
        <v>0.46813657321058172</v>
      </c>
      <c r="BB79" s="297">
        <f t="shared" si="22"/>
        <v>0.46749054473955109</v>
      </c>
      <c r="BC79" s="297">
        <f t="shared" si="22"/>
        <v>0.46684540778781047</v>
      </c>
      <c r="BD79" s="297">
        <f t="shared" si="22"/>
        <v>0.46620116112506327</v>
      </c>
      <c r="BE79" s="297">
        <f t="shared" si="22"/>
        <v>0.46555780352271064</v>
      </c>
      <c r="BF79" s="297">
        <f t="shared" si="22"/>
        <v>0.4649153337538493</v>
      </c>
      <c r="BG79" s="297">
        <f t="shared" si="22"/>
        <v>0.46427375059326897</v>
      </c>
      <c r="BH79" s="297">
        <f t="shared" si="22"/>
        <v>0.46363305281745026</v>
      </c>
      <c r="BI79" s="297">
        <f t="shared" si="22"/>
        <v>0.46299323920456215</v>
      </c>
      <c r="BJ79" s="297">
        <f t="shared" si="22"/>
        <v>0.4623543085344598</v>
      </c>
      <c r="BK79" s="297">
        <f t="shared" si="22"/>
        <v>0.46171625958868223</v>
      </c>
      <c r="BL79" s="297">
        <f t="shared" si="22"/>
        <v>0.46107909115044982</v>
      </c>
      <c r="BM79" s="297">
        <f t="shared" si="22"/>
        <v>0.4604428020046622</v>
      </c>
      <c r="BN79" s="297">
        <f t="shared" si="22"/>
        <v>0.45980739093789574</v>
      </c>
      <c r="BO79" s="297">
        <f t="shared" si="22"/>
        <v>0.45917285673840141</v>
      </c>
      <c r="BP79" s="297">
        <f t="shared" si="22"/>
        <v>0.45853919819610239</v>
      </c>
      <c r="BQ79" s="297">
        <f t="shared" si="22"/>
        <v>0.45790641410259175</v>
      </c>
      <c r="BR79" s="283"/>
    </row>
    <row r="80" spans="1:71" x14ac:dyDescent="0.2">
      <c r="A80" s="630"/>
      <c r="B80" s="625"/>
      <c r="C80" s="644"/>
      <c r="D80" s="647"/>
      <c r="E80" s="648"/>
      <c r="F80" s="249"/>
      <c r="G80" s="640"/>
      <c r="H80" s="297"/>
      <c r="I80" s="297"/>
      <c r="J80" s="297"/>
      <c r="K80" s="297"/>
      <c r="L80" s="297"/>
      <c r="M80" s="640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297"/>
      <c r="AT80" s="297"/>
      <c r="AU80" s="297"/>
      <c r="AV80" s="297"/>
      <c r="AW80" s="297"/>
      <c r="AX80" s="297"/>
      <c r="AY80" s="297"/>
      <c r="AZ80" s="297"/>
      <c r="BA80" s="297"/>
      <c r="BB80" s="297"/>
      <c r="BC80" s="297"/>
      <c r="BD80" s="297"/>
      <c r="BE80" s="297"/>
      <c r="BF80" s="297"/>
      <c r="BG80" s="297"/>
      <c r="BH80" s="297"/>
      <c r="BI80" s="297"/>
      <c r="BJ80" s="297"/>
      <c r="BK80" s="297"/>
      <c r="BL80" s="297"/>
      <c r="BM80" s="297"/>
      <c r="BN80" s="297"/>
      <c r="BO80" s="297"/>
      <c r="BP80" s="297"/>
      <c r="BQ80" s="297"/>
      <c r="BR80" s="283"/>
    </row>
    <row r="81" spans="1:71" x14ac:dyDescent="0.2">
      <c r="A81" s="630"/>
      <c r="B81" s="625"/>
      <c r="C81" s="649" t="s">
        <v>6</v>
      </c>
      <c r="D81" s="651" t="s">
        <v>284</v>
      </c>
      <c r="E81" s="652"/>
      <c r="F81" s="249" t="s">
        <v>318</v>
      </c>
      <c r="G81" s="640">
        <v>0.17715429000000002</v>
      </c>
      <c r="H81" s="297"/>
      <c r="I81" s="297"/>
      <c r="J81" s="297"/>
      <c r="K81" s="297"/>
      <c r="L81" s="297"/>
      <c r="M81" s="297">
        <v>0.24614217000000005</v>
      </c>
      <c r="N81" s="297"/>
      <c r="O81" s="297">
        <v>0.25306659000000004</v>
      </c>
      <c r="P81" s="297"/>
      <c r="Q81" s="297">
        <v>0.28590821999999999</v>
      </c>
      <c r="R81" s="297">
        <f>Q81*(1+[1]Drivers_macroeconómicos_USCUSS!E8)</f>
        <v>0.29001590869730198</v>
      </c>
      <c r="S81" s="297">
        <f>R81*(1+[1]Drivers_macroeconómicos_USCUSS!F8)</f>
        <v>0.29409133419027844</v>
      </c>
      <c r="T81" s="297">
        <f>S81*(1+[1]Drivers_macroeconómicos_USCUSS!G8)</f>
        <v>0.29813278338843435</v>
      </c>
      <c r="U81" s="297">
        <f>T81*(1+[1]Drivers_macroeconómicos_USCUSS!H8)</f>
        <v>0.30214065937188611</v>
      </c>
      <c r="V81" s="297">
        <f>U81*(1+[1]Drivers_macroeconómicos_USCUSS!I8)</f>
        <v>0.30611435752045896</v>
      </c>
      <c r="W81" s="297">
        <f>V81*(1+[1]Drivers_macroeconómicos_USCUSS!J8)</f>
        <v>0.3100515097384684</v>
      </c>
      <c r="X81" s="297">
        <f>W81*(1+[1]Drivers_macroeconómicos_USCUSS!K8)</f>
        <v>0.31395137704570092</v>
      </c>
      <c r="Y81" s="297">
        <f>X81*(1+[1]Drivers_macroeconómicos_USCUSS!L8)</f>
        <v>0.31780959274089426</v>
      </c>
      <c r="Z81" s="297">
        <f>Y81*(1+[1]Drivers_macroeconómicos_USCUSS!M8)</f>
        <v>0.32162469565862611</v>
      </c>
      <c r="AA81" s="297">
        <f>Z81*(1+[1]Drivers_macroeconómicos_USCUSS!N8)</f>
        <v>0.32539394821310519</v>
      </c>
      <c r="AB81" s="297">
        <f>AA81*(1+[1]Drivers_macroeconómicos_USCUSS!O8)</f>
        <v>0.32911681296417622</v>
      </c>
      <c r="AC81" s="297">
        <f>AB81*(1+[1]Drivers_macroeconómicos_USCUSS!P8)</f>
        <v>0.33278910795563033</v>
      </c>
      <c r="AD81" s="297">
        <f>AC81*(1+[1]Drivers_macroeconómicos_USCUSS!Q8)</f>
        <v>0.33640886817189958</v>
      </c>
      <c r="AE81" s="297">
        <f>AD81*(1+[1]Drivers_macroeconómicos_USCUSS!R8)</f>
        <v>0.33997355756725095</v>
      </c>
      <c r="AF81" s="297">
        <f>AE81*(1+[1]Drivers_macroeconómicos_USCUSS!S8)</f>
        <v>0.34348023701583491</v>
      </c>
      <c r="AG81" s="297">
        <f>AF81*(1+[1]Drivers_macroeconómicos_USCUSS!T8)</f>
        <v>0.34692746214723402</v>
      </c>
      <c r="AH81" s="297">
        <f>AG81*(1+[1]Drivers_macroeconómicos_USCUSS!U8)</f>
        <v>0.35031271371072004</v>
      </c>
      <c r="AI81" s="297">
        <f>AH81*(1+[1]Drivers_macroeconómicos_USCUSS!V8)</f>
        <v>0.3536345137458658</v>
      </c>
      <c r="AJ81" s="297">
        <f>AI81*(1+[1]Drivers_macroeconómicos_USCUSS!W8)</f>
        <v>0.35689002389685087</v>
      </c>
      <c r="AK81" s="297">
        <f>AJ81*(1+[1]Drivers_macroeconómicos_USCUSS!X8)</f>
        <v>0.36007811889835001</v>
      </c>
      <c r="AL81" s="297">
        <f>AK81*(1+[1]Drivers_macroeconómicos_USCUSS!Y8)</f>
        <v>0.3631966993747564</v>
      </c>
      <c r="AM81" s="297">
        <f>AL81*(1+[1]Drivers_macroeconómicos_USCUSS!Z8)</f>
        <v>0.36624430416064768</v>
      </c>
      <c r="AN81" s="297">
        <f>AM81*(1+[1]Drivers_macroeconómicos_USCUSS!AA8)</f>
        <v>0.36922054697091222</v>
      </c>
      <c r="AO81" s="297">
        <f>AN81*(1+[1]Drivers_macroeconómicos_USCUSS!AB8)</f>
        <v>0.37212440331025387</v>
      </c>
      <c r="AP81" s="297">
        <f>AO81*(1+[1]Drivers_macroeconómicos_USCUSS!AC8)</f>
        <v>0.37495407611315323</v>
      </c>
      <c r="AQ81" s="297">
        <f>AP81*(1+[1]Drivers_macroeconómicos_USCUSS!AD8)</f>
        <v>0.37770919588950352</v>
      </c>
      <c r="AR81" s="297">
        <f>AQ81*(1+[1]Drivers_macroeconómicos_USCUSS!AE8)</f>
        <v>0.38038796557378529</v>
      </c>
      <c r="AS81" s="297">
        <f>AR81*(1+[1]Drivers_macroeconómicos_USCUSS!AF8)</f>
        <v>0.38298993170086754</v>
      </c>
      <c r="AT81" s="297">
        <f>AS81*(1+[1]Drivers_macroeconómicos_USCUSS!AG8)</f>
        <v>0.38551551414587154</v>
      </c>
      <c r="AU81" s="297">
        <f>AT81*(1+[1]Drivers_macroeconómicos_USCUSS!AH8)</f>
        <v>0.38796254635317101</v>
      </c>
      <c r="AV81" s="297">
        <f>AU81*(1+[1]Drivers_macroeconómicos_USCUSS!AI8)</f>
        <v>0.39033168332795537</v>
      </c>
      <c r="AW81" s="297">
        <f>AV81*(1+[1]Drivers_macroeconómicos_USCUSS!AJ8)</f>
        <v>0.39262374802546246</v>
      </c>
      <c r="AX81" s="297">
        <f>AW81*(1+[1]Drivers_macroeconómicos_USCUSS!AK8)</f>
        <v>0.39483719473578344</v>
      </c>
      <c r="AY81" s="297">
        <f>AX81*(1+[1]Drivers_macroeconómicos_USCUSS!AL8)</f>
        <v>0.39697052362188057</v>
      </c>
      <c r="AZ81" s="297">
        <f>AY81*(1+[1]Drivers_macroeconómicos_USCUSS!AM8)</f>
        <v>0.39902228240666837</v>
      </c>
      <c r="BA81" s="297">
        <f>AZ81*(1+[1]Drivers_macroeconómicos_USCUSS!AN8)</f>
        <v>0.40099106801462875</v>
      </c>
      <c r="BB81" s="297">
        <f>BA81*(1+[1]Drivers_macroeconómicos_USCUSS!AO8)</f>
        <v>0.40287552816537259</v>
      </c>
      <c r="BC81" s="297">
        <f>BB81*(1+[1]Drivers_macroeconómicos_USCUSS!AP8)</f>
        <v>0.4046743629166234</v>
      </c>
      <c r="BD81" s="297">
        <f>BC81*(1+[1]Drivers_macroeconómicos_USCUSS!AQ8)</f>
        <v>0.4063863261541672</v>
      </c>
      <c r="BE81" s="297">
        <f>BD81*(1+[1]Drivers_macroeconómicos_USCUSS!AR8)</f>
        <v>0.40801022702638418</v>
      </c>
      <c r="BF81" s="297">
        <f>BE81*(1+[1]Drivers_macroeconómicos_USCUSS!AS8)</f>
        <v>0.40954493132105907</v>
      </c>
      <c r="BG81" s="297">
        <f>BF81*(1+[1]Drivers_macroeconómicos_USCUSS!AT8)</f>
        <v>0.4109893627822464</v>
      </c>
      <c r="BH81" s="297">
        <f>BG81*(1+[1]Drivers_macroeconómicos_USCUSS!AU8)</f>
        <v>0.41234250436505715</v>
      </c>
      <c r="BI81" s="297">
        <f>BH81*(1+[1]Drivers_macroeconómicos_USCUSS!AV8)</f>
        <v>0.41360339942632346</v>
      </c>
      <c r="BJ81" s="297">
        <f>BI81*(1+[1]Drivers_macroeconómicos_USCUSS!AW8)</f>
        <v>0.41477115284919464</v>
      </c>
      <c r="BK81" s="297">
        <f>BJ81*(1+[1]Drivers_macroeconómicos_USCUSS!AX8)</f>
        <v>0.41584493209981832</v>
      </c>
      <c r="BL81" s="297">
        <f>BK81*(1+[1]Drivers_macroeconómicos_USCUSS!AY8)</f>
        <v>0.41682396821436435</v>
      </c>
      <c r="BM81" s="297">
        <f>BL81*(1+[1]Drivers_macroeconómicos_USCUSS!AZ8)</f>
        <v>0.41770755671475718</v>
      </c>
      <c r="BN81" s="297">
        <f>BM81*(1+[1]Drivers_macroeconómicos_USCUSS!BA8)</f>
        <v>0.41849505845159263</v>
      </c>
      <c r="BO81" s="297">
        <f>BN81*(1+[1]Drivers_macroeconómicos_USCUSS!BB8)</f>
        <v>0.41918590037283127</v>
      </c>
      <c r="BP81" s="297">
        <f>BO81*(1+[1]Drivers_macroeconómicos_USCUSS!BC8)</f>
        <v>0.4197795762169767</v>
      </c>
      <c r="BQ81" s="297">
        <f>BP81*(1+[1]Drivers_macroeconómicos_USCUSS!BD8)</f>
        <v>0.42027564712956833</v>
      </c>
      <c r="BR81" s="283"/>
    </row>
    <row r="82" spans="1:71" x14ac:dyDescent="0.2">
      <c r="A82" s="630"/>
      <c r="B82" s="625"/>
      <c r="C82" s="650"/>
      <c r="D82" s="647"/>
      <c r="E82" s="648"/>
      <c r="F82" s="300"/>
      <c r="G82" s="640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297"/>
      <c r="AT82" s="297"/>
      <c r="AU82" s="297"/>
      <c r="AV82" s="297"/>
      <c r="AW82" s="297"/>
      <c r="AX82" s="297"/>
      <c r="AY82" s="297"/>
      <c r="AZ82" s="297"/>
      <c r="BA82" s="297"/>
      <c r="BB82" s="297"/>
      <c r="BC82" s="297"/>
      <c r="BD82" s="297"/>
      <c r="BE82" s="297"/>
      <c r="BF82" s="297"/>
      <c r="BG82" s="297"/>
      <c r="BH82" s="297"/>
      <c r="BI82" s="297"/>
      <c r="BJ82" s="297"/>
      <c r="BK82" s="297"/>
      <c r="BL82" s="297"/>
      <c r="BM82" s="297"/>
      <c r="BN82" s="297"/>
      <c r="BO82" s="297"/>
      <c r="BP82" s="297"/>
      <c r="BQ82" s="297"/>
      <c r="BR82" s="283"/>
    </row>
    <row r="83" spans="1:71" x14ac:dyDescent="0.2">
      <c r="A83" s="630" t="s">
        <v>319</v>
      </c>
      <c r="B83" s="625"/>
      <c r="C83" s="649" t="s">
        <v>29</v>
      </c>
      <c r="D83" s="661" t="s">
        <v>29</v>
      </c>
      <c r="E83" s="662"/>
      <c r="F83" s="249" t="s">
        <v>320</v>
      </c>
      <c r="G83" s="640">
        <v>0.11965518</v>
      </c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297"/>
      <c r="AT83" s="297"/>
      <c r="AU83" s="297"/>
      <c r="AV83" s="297"/>
      <c r="AW83" s="297"/>
      <c r="AX83" s="297"/>
      <c r="AY83" s="297"/>
      <c r="AZ83" s="297"/>
      <c r="BA83" s="297"/>
      <c r="BB83" s="297"/>
      <c r="BC83" s="297"/>
      <c r="BD83" s="297"/>
      <c r="BE83" s="297"/>
      <c r="BF83" s="297"/>
      <c r="BG83" s="297"/>
      <c r="BH83" s="297"/>
      <c r="BI83" s="297"/>
      <c r="BJ83" s="297"/>
      <c r="BK83" s="297"/>
      <c r="BL83" s="297"/>
      <c r="BM83" s="297"/>
      <c r="BN83" s="297"/>
      <c r="BO83" s="297"/>
      <c r="BP83" s="297"/>
      <c r="BQ83" s="297"/>
      <c r="BR83" s="283"/>
    </row>
    <row r="84" spans="1:71" x14ac:dyDescent="0.2">
      <c r="A84" s="630"/>
      <c r="B84" s="625"/>
      <c r="C84" s="660"/>
      <c r="D84" s="663"/>
      <c r="E84" s="664"/>
      <c r="F84" s="301"/>
      <c r="G84" s="640"/>
      <c r="H84" s="297"/>
      <c r="I84" s="297"/>
      <c r="J84" s="297"/>
      <c r="K84" s="297"/>
      <c r="L84" s="297"/>
      <c r="M84" s="297">
        <v>0.12043377000000002</v>
      </c>
      <c r="N84" s="297"/>
      <c r="O84" s="297">
        <v>0.10012113</v>
      </c>
      <c r="P84" s="297"/>
      <c r="Q84" s="297">
        <v>0.10859039999999999</v>
      </c>
      <c r="R84" s="297">
        <f>Q84*(1+0.0669*((-0.0119))+ 0.933087*(0.01429))</f>
        <v>0.10995187420882699</v>
      </c>
      <c r="S84" s="297">
        <f>R84*(1+0.0669*((-0.0119))+ 0.933087*(0.01429))</f>
        <v>0.11133041817723956</v>
      </c>
      <c r="T84" s="297">
        <f>S84*(1+0.0669*((-0.0119))+ 0.933087*(0.01429))</f>
        <v>0.11272624592081759</v>
      </c>
      <c r="U84" s="297">
        <f t="shared" ref="U84:AZ84" si="23">T84*(0.0669*(1-0.0119)+ 0.933087*(1+0.01429))</f>
        <v>0.11413810869720784</v>
      </c>
      <c r="V84" s="297">
        <f t="shared" si="23"/>
        <v>0.11556765463587385</v>
      </c>
      <c r="W84" s="297">
        <f t="shared" si="23"/>
        <v>0.11701510521317529</v>
      </c>
      <c r="X84" s="297">
        <f t="shared" si="23"/>
        <v>0.11848068467939754</v>
      </c>
      <c r="Y84" s="297">
        <f t="shared" si="23"/>
        <v>0.11996462009349421</v>
      </c>
      <c r="Z84" s="297">
        <f t="shared" si="23"/>
        <v>0.12146714135826492</v>
      </c>
      <c r="AA84" s="297">
        <f t="shared" si="23"/>
        <v>0.12298848125597364</v>
      </c>
      <c r="AB84" s="297">
        <f t="shared" si="23"/>
        <v>0.12452887548441313</v>
      </c>
      <c r="AC84" s="297">
        <f t="shared" si="23"/>
        <v>0.12608856269342103</v>
      </c>
      <c r="AD84" s="297">
        <f t="shared" si="23"/>
        <v>0.12766778452185337</v>
      </c>
      <c r="AE84" s="297">
        <f t="shared" si="23"/>
        <v>0.12926678563502117</v>
      </c>
      <c r="AF84" s="297">
        <f t="shared" si="23"/>
        <v>0.13088581376259584</v>
      </c>
      <c r="AG84" s="297">
        <f t="shared" si="23"/>
        <v>0.13252511973698941</v>
      </c>
      <c r="AH84" s="297">
        <f t="shared" si="23"/>
        <v>0.1341849575322154</v>
      </c>
      <c r="AI84" s="297">
        <f t="shared" si="23"/>
        <v>0.13586558430323656</v>
      </c>
      <c r="AJ84" s="297">
        <f t="shared" si="23"/>
        <v>0.13756726042580514</v>
      </c>
      <c r="AK84" s="297">
        <f t="shared" si="23"/>
        <v>0.13929024953680247</v>
      </c>
      <c r="AL84" s="297">
        <f t="shared" si="23"/>
        <v>0.14103481857508357</v>
      </c>
      <c r="AM84" s="297">
        <f t="shared" si="23"/>
        <v>0.14280123782283338</v>
      </c>
      <c r="AN84" s="297">
        <f t="shared" si="23"/>
        <v>0.14458978094744102</v>
      </c>
      <c r="AO84" s="297">
        <f t="shared" si="23"/>
        <v>0.14640072504389842</v>
      </c>
      <c r="AP84" s="297">
        <f t="shared" si="23"/>
        <v>0.14823435067773008</v>
      </c>
      <c r="AQ84" s="297">
        <f t="shared" si="23"/>
        <v>0.1500909419284604</v>
      </c>
      <c r="AR84" s="297">
        <f t="shared" si="23"/>
        <v>0.15197078643362552</v>
      </c>
      <c r="AS84" s="297">
        <f t="shared" si="23"/>
        <v>0.1538741754333364</v>
      </c>
      <c r="AT84" s="297">
        <f t="shared" si="23"/>
        <v>0.15580140381539989</v>
      </c>
      <c r="AU84" s="297">
        <f t="shared" si="23"/>
        <v>0.15775277016100517</v>
      </c>
      <c r="AV84" s="297">
        <f t="shared" si="23"/>
        <v>0.15972857679098215</v>
      </c>
      <c r="AW84" s="297">
        <f t="shared" si="23"/>
        <v>0.16172912981263945</v>
      </c>
      <c r="AX84" s="297">
        <f t="shared" si="23"/>
        <v>0.16375473916718891</v>
      </c>
      <c r="AY84" s="297">
        <f t="shared" si="23"/>
        <v>0.165805718677764</v>
      </c>
      <c r="AZ84" s="297">
        <f t="shared" si="23"/>
        <v>0.16788238609803988</v>
      </c>
      <c r="BA84" s="297">
        <f t="shared" ref="BA84:BQ84" si="24">AZ84*(0.0669*(1-0.0119)+ 0.933087*(1+0.01429))</f>
        <v>0.16998506316146211</v>
      </c>
      <c r="BB84" s="297">
        <f t="shared" si="24"/>
        <v>0.17211407563109224</v>
      </c>
      <c r="BC84" s="297">
        <f t="shared" si="24"/>
        <v>0.17426975335007744</v>
      </c>
      <c r="BD84" s="297">
        <f t="shared" si="24"/>
        <v>0.17645243029275245</v>
      </c>
      <c r="BE84" s="297">
        <f t="shared" si="24"/>
        <v>0.17866244461638145</v>
      </c>
      <c r="BF84" s="297">
        <f t="shared" si="24"/>
        <v>0.18090013871354793</v>
      </c>
      <c r="BG84" s="297">
        <f t="shared" si="24"/>
        <v>0.18316585926520096</v>
      </c>
      <c r="BH84" s="297">
        <f t="shared" si="24"/>
        <v>0.18545995729436554</v>
      </c>
      <c r="BI84" s="297">
        <f t="shared" si="24"/>
        <v>0.18778278822052594</v>
      </c>
      <c r="BJ84" s="297">
        <f t="shared" si="24"/>
        <v>0.19013471191468997</v>
      </c>
      <c r="BK84" s="297">
        <f t="shared" si="24"/>
        <v>0.192516092755143</v>
      </c>
      <c r="BL84" s="297">
        <f t="shared" si="24"/>
        <v>0.19492729968390032</v>
      </c>
      <c r="BM84" s="297">
        <f t="shared" si="24"/>
        <v>0.19736870626386643</v>
      </c>
      <c r="BN84" s="297">
        <f t="shared" si="24"/>
        <v>0.1998406907367104</v>
      </c>
      <c r="BO84" s="297">
        <f t="shared" si="24"/>
        <v>0.20234363608146591</v>
      </c>
      <c r="BP84" s="297">
        <f t="shared" si="24"/>
        <v>0.2048779300738654</v>
      </c>
      <c r="BQ84" s="297">
        <f t="shared" si="24"/>
        <v>0.20744396534641726</v>
      </c>
      <c r="BR84" s="283"/>
    </row>
    <row r="85" spans="1:71" x14ac:dyDescent="0.2">
      <c r="A85" s="630"/>
      <c r="B85" s="625"/>
      <c r="C85" s="650"/>
      <c r="D85" s="665"/>
      <c r="E85" s="666"/>
      <c r="F85" s="299"/>
      <c r="G85" s="640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297"/>
      <c r="AT85" s="297"/>
      <c r="AU85" s="297"/>
      <c r="AV85" s="297"/>
      <c r="AW85" s="297"/>
      <c r="AX85" s="297"/>
      <c r="AY85" s="297"/>
      <c r="AZ85" s="297"/>
      <c r="BA85" s="297"/>
      <c r="BB85" s="297"/>
      <c r="BC85" s="297"/>
      <c r="BD85" s="297"/>
      <c r="BE85" s="297"/>
      <c r="BF85" s="297"/>
      <c r="BG85" s="297"/>
      <c r="BH85" s="297"/>
      <c r="BI85" s="297"/>
      <c r="BJ85" s="297"/>
      <c r="BK85" s="297"/>
      <c r="BL85" s="297"/>
      <c r="BM85" s="297"/>
      <c r="BN85" s="297"/>
      <c r="BO85" s="297"/>
      <c r="BP85" s="297"/>
      <c r="BQ85" s="297"/>
      <c r="BR85" s="283"/>
    </row>
    <row r="86" spans="1:71" s="226" customFormat="1" x14ac:dyDescent="0.25">
      <c r="B86" s="259"/>
      <c r="C86" s="259"/>
      <c r="D86" s="288"/>
      <c r="E86" s="261"/>
      <c r="F86" s="262" t="s">
        <v>253</v>
      </c>
      <c r="G86" s="263">
        <f>SUM(G64:G85)</f>
        <v>24.8980599</v>
      </c>
      <c r="H86" s="263"/>
      <c r="I86" s="263"/>
      <c r="J86" s="263"/>
      <c r="K86" s="263"/>
      <c r="L86" s="263"/>
      <c r="M86" s="263">
        <f>SUM(M64:M85)</f>
        <v>24.898059809999999</v>
      </c>
      <c r="N86" s="263"/>
      <c r="O86" s="263">
        <f>SUM(O64:O85)</f>
        <v>24.898216509999997</v>
      </c>
      <c r="P86" s="263"/>
      <c r="Q86" s="263">
        <f t="shared" ref="Q86:AV86" si="25">Q64+Q70+Q72+Q75+Q77+Q79+Q81+Q84</f>
        <v>24.898219759999996</v>
      </c>
      <c r="R86" s="263">
        <f t="shared" si="25"/>
        <v>24.898199999999999</v>
      </c>
      <c r="S86" s="263">
        <f t="shared" si="25"/>
        <v>24.898199999999999</v>
      </c>
      <c r="T86" s="263">
        <f t="shared" si="25"/>
        <v>24.89821976</v>
      </c>
      <c r="U86" s="263">
        <f t="shared" si="25"/>
        <v>24.898219759999996</v>
      </c>
      <c r="V86" s="263">
        <f t="shared" si="25"/>
        <v>24.898219759999996</v>
      </c>
      <c r="W86" s="263">
        <f t="shared" si="25"/>
        <v>24.898219759999996</v>
      </c>
      <c r="X86" s="263">
        <f t="shared" si="25"/>
        <v>24.898219759999996</v>
      </c>
      <c r="Y86" s="263">
        <f t="shared" si="25"/>
        <v>24.898219759999993</v>
      </c>
      <c r="Z86" s="263">
        <f t="shared" si="25"/>
        <v>24.89821976</v>
      </c>
      <c r="AA86" s="263">
        <f t="shared" si="25"/>
        <v>24.898219759999996</v>
      </c>
      <c r="AB86" s="263">
        <f t="shared" si="25"/>
        <v>24.898219759999993</v>
      </c>
      <c r="AC86" s="263">
        <f t="shared" si="25"/>
        <v>24.898219759999996</v>
      </c>
      <c r="AD86" s="263">
        <f t="shared" si="25"/>
        <v>24.89821976</v>
      </c>
      <c r="AE86" s="263">
        <f t="shared" si="25"/>
        <v>24.898219759999996</v>
      </c>
      <c r="AF86" s="263">
        <f t="shared" si="25"/>
        <v>24.898219759999996</v>
      </c>
      <c r="AG86" s="263">
        <f t="shared" si="25"/>
        <v>24.898219759999996</v>
      </c>
      <c r="AH86" s="263">
        <f t="shared" si="25"/>
        <v>24.89821976</v>
      </c>
      <c r="AI86" s="263">
        <f t="shared" si="25"/>
        <v>24.89821976</v>
      </c>
      <c r="AJ86" s="263">
        <f t="shared" si="25"/>
        <v>24.898219759999996</v>
      </c>
      <c r="AK86" s="263">
        <f t="shared" si="25"/>
        <v>24.89821976</v>
      </c>
      <c r="AL86" s="263">
        <f t="shared" si="25"/>
        <v>24.898219759999996</v>
      </c>
      <c r="AM86" s="263">
        <f t="shared" si="25"/>
        <v>24.89821976</v>
      </c>
      <c r="AN86" s="263">
        <f t="shared" si="25"/>
        <v>24.898219759999996</v>
      </c>
      <c r="AO86" s="263">
        <f t="shared" si="25"/>
        <v>24.898219759999993</v>
      </c>
      <c r="AP86" s="263">
        <f t="shared" si="25"/>
        <v>24.898219759999996</v>
      </c>
      <c r="AQ86" s="263">
        <f t="shared" si="25"/>
        <v>24.898219759999996</v>
      </c>
      <c r="AR86" s="263">
        <f t="shared" si="25"/>
        <v>24.89821976</v>
      </c>
      <c r="AS86" s="263">
        <f t="shared" si="25"/>
        <v>24.898219759999996</v>
      </c>
      <c r="AT86" s="263">
        <f t="shared" si="25"/>
        <v>24.89821976</v>
      </c>
      <c r="AU86" s="263">
        <f t="shared" si="25"/>
        <v>24.898219759999993</v>
      </c>
      <c r="AV86" s="263">
        <f t="shared" si="25"/>
        <v>24.898219759999993</v>
      </c>
      <c r="AW86" s="263">
        <f t="shared" ref="AW86:BQ86" si="26">AW64+AW70+AW72+AW75+AW77+AW79+AW81+AW84</f>
        <v>24.898219759999996</v>
      </c>
      <c r="AX86" s="263">
        <f t="shared" si="26"/>
        <v>24.898219759999996</v>
      </c>
      <c r="AY86" s="263">
        <f t="shared" si="26"/>
        <v>24.898219759999996</v>
      </c>
      <c r="AZ86" s="263">
        <f t="shared" si="26"/>
        <v>24.898219759999996</v>
      </c>
      <c r="BA86" s="263">
        <f t="shared" si="26"/>
        <v>24.898219759999996</v>
      </c>
      <c r="BB86" s="263">
        <f t="shared" si="26"/>
        <v>24.898219759999996</v>
      </c>
      <c r="BC86" s="263">
        <f t="shared" si="26"/>
        <v>24.898219759999996</v>
      </c>
      <c r="BD86" s="263">
        <f t="shared" si="26"/>
        <v>24.898219759999996</v>
      </c>
      <c r="BE86" s="263">
        <f t="shared" si="26"/>
        <v>24.898219759999996</v>
      </c>
      <c r="BF86" s="263">
        <f t="shared" si="26"/>
        <v>24.898219759999996</v>
      </c>
      <c r="BG86" s="263">
        <f t="shared" si="26"/>
        <v>24.898219759999996</v>
      </c>
      <c r="BH86" s="263">
        <f t="shared" si="26"/>
        <v>24.898219759999996</v>
      </c>
      <c r="BI86" s="263">
        <f t="shared" si="26"/>
        <v>24.89821976</v>
      </c>
      <c r="BJ86" s="263">
        <f t="shared" si="26"/>
        <v>24.89821976</v>
      </c>
      <c r="BK86" s="263">
        <f t="shared" si="26"/>
        <v>24.898219759999996</v>
      </c>
      <c r="BL86" s="263">
        <f t="shared" si="26"/>
        <v>24.898219759999993</v>
      </c>
      <c r="BM86" s="263">
        <f t="shared" si="26"/>
        <v>24.898219759999989</v>
      </c>
      <c r="BN86" s="263">
        <f t="shared" si="26"/>
        <v>24.898219759999993</v>
      </c>
      <c r="BO86" s="263">
        <f t="shared" si="26"/>
        <v>24.89821976</v>
      </c>
      <c r="BP86" s="263">
        <f t="shared" si="26"/>
        <v>24.89821976</v>
      </c>
      <c r="BQ86" s="263">
        <f t="shared" si="26"/>
        <v>24.89821976</v>
      </c>
      <c r="BR86" s="283"/>
    </row>
    <row r="87" spans="1:71" ht="15.75" thickBot="1" x14ac:dyDescent="0.25">
      <c r="C87" s="228"/>
      <c r="D87" s="302"/>
      <c r="E87" s="303"/>
      <c r="F87" s="304"/>
      <c r="G87" s="304"/>
      <c r="H87" s="304"/>
      <c r="I87" s="304"/>
      <c r="J87" s="304"/>
      <c r="K87" s="304"/>
      <c r="L87" s="304"/>
      <c r="M87" s="304"/>
      <c r="N87" s="304"/>
      <c r="O87" s="304"/>
      <c r="P87" s="304"/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  <c r="AH87" s="304"/>
      <c r="AI87" s="304"/>
      <c r="AJ87" s="304"/>
      <c r="AK87" s="304"/>
      <c r="AL87" s="304"/>
      <c r="AM87" s="304"/>
      <c r="AN87" s="304"/>
      <c r="AO87" s="304"/>
      <c r="AP87" s="304"/>
      <c r="AQ87" s="304"/>
      <c r="AR87" s="304"/>
      <c r="AS87" s="304"/>
      <c r="AT87" s="304"/>
      <c r="AU87" s="304"/>
      <c r="AV87" s="304"/>
      <c r="AW87" s="304"/>
      <c r="AX87" s="304"/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05"/>
    </row>
    <row r="88" spans="1:71" x14ac:dyDescent="0.2">
      <c r="C88" s="228"/>
      <c r="D88" s="228"/>
      <c r="E88" s="228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306">
        <f>24.8982</f>
        <v>24.898199999999999</v>
      </c>
      <c r="R88" s="273"/>
      <c r="S88" s="237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275"/>
      <c r="AL88" s="275"/>
      <c r="AM88" s="275"/>
      <c r="AN88" s="275"/>
      <c r="AO88" s="275"/>
      <c r="AP88" s="275"/>
      <c r="AQ88" s="275"/>
      <c r="AR88" s="275"/>
      <c r="AS88" s="275"/>
      <c r="AT88" s="275"/>
      <c r="AU88" s="275"/>
      <c r="AV88" s="275"/>
      <c r="AW88" s="275"/>
      <c r="AX88" s="237"/>
    </row>
    <row r="89" spans="1:71" hidden="1" x14ac:dyDescent="0.2">
      <c r="C89" s="228"/>
      <c r="D89" s="228"/>
      <c r="E89" s="228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75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  <c r="AT89" s="237"/>
      <c r="AU89" s="237"/>
      <c r="AV89" s="237"/>
      <c r="AW89" s="237"/>
      <c r="AX89" s="237"/>
    </row>
    <row r="90" spans="1:71" hidden="1" x14ac:dyDescent="0.2">
      <c r="C90" s="228"/>
      <c r="D90" s="228"/>
      <c r="E90" s="228"/>
      <c r="F90" s="237"/>
      <c r="G90" s="237"/>
      <c r="H90" s="237"/>
      <c r="I90" s="237"/>
      <c r="J90" s="237"/>
      <c r="K90" s="237"/>
      <c r="L90" s="237"/>
      <c r="M90" s="237"/>
      <c r="N90" s="237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275"/>
      <c r="AL90" s="275"/>
      <c r="AM90" s="275"/>
      <c r="AN90" s="275"/>
      <c r="AO90" s="275"/>
      <c r="AP90" s="275"/>
      <c r="AQ90" s="275"/>
      <c r="AR90" s="275"/>
      <c r="AS90" s="275"/>
      <c r="AT90" s="275"/>
      <c r="AU90" s="275"/>
      <c r="AV90" s="275"/>
      <c r="AW90" s="275"/>
      <c r="AX90" s="237"/>
    </row>
    <row r="91" spans="1:71" ht="27" hidden="1" thickBot="1" x14ac:dyDescent="0.25">
      <c r="C91" s="228"/>
      <c r="D91" s="629" t="s">
        <v>321</v>
      </c>
      <c r="E91" s="629"/>
      <c r="F91" s="629"/>
      <c r="G91" s="237"/>
      <c r="H91" s="307"/>
      <c r="J91" s="237"/>
      <c r="K91" s="237"/>
      <c r="L91" s="307"/>
      <c r="M91" s="237"/>
      <c r="N91" s="237"/>
      <c r="O91" s="237"/>
      <c r="P91" s="237"/>
      <c r="Q91" s="237"/>
      <c r="R91" s="237"/>
      <c r="S91" s="237"/>
      <c r="T91" s="237"/>
      <c r="U91" s="275"/>
      <c r="V91" s="275"/>
      <c r="W91" s="275"/>
      <c r="X91" s="275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P91" s="237"/>
      <c r="AQ91" s="237"/>
      <c r="AR91" s="237"/>
      <c r="AS91" s="237"/>
      <c r="AT91" s="237"/>
      <c r="AU91" s="237"/>
      <c r="AV91" s="237"/>
      <c r="AW91" s="237"/>
      <c r="AX91" s="237"/>
    </row>
    <row r="92" spans="1:71" ht="15.75" hidden="1" thickBot="1" x14ac:dyDescent="0.25">
      <c r="B92" s="625" t="s">
        <v>322</v>
      </c>
      <c r="C92" s="228"/>
      <c r="D92" s="656" t="s">
        <v>323</v>
      </c>
      <c r="E92" s="668"/>
      <c r="F92" s="308" t="s">
        <v>324</v>
      </c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  <c r="AA92" s="279"/>
      <c r="AB92" s="279"/>
      <c r="AC92" s="279"/>
      <c r="AD92" s="279"/>
      <c r="AE92" s="279"/>
      <c r="AF92" s="279"/>
      <c r="AG92" s="279"/>
      <c r="AH92" s="279"/>
      <c r="AI92" s="279"/>
      <c r="AJ92" s="279"/>
      <c r="AK92" s="279"/>
      <c r="AL92" s="279"/>
      <c r="AM92" s="279"/>
      <c r="AN92" s="279"/>
      <c r="AO92" s="279"/>
      <c r="AP92" s="279"/>
      <c r="AQ92" s="279"/>
      <c r="AR92" s="279"/>
      <c r="AS92" s="279"/>
      <c r="AT92" s="279"/>
      <c r="AU92" s="279"/>
      <c r="AV92" s="279"/>
      <c r="AW92" s="279"/>
      <c r="AX92" s="280"/>
    </row>
    <row r="93" spans="1:71" hidden="1" x14ac:dyDescent="0.2">
      <c r="A93" s="223" t="s">
        <v>325</v>
      </c>
      <c r="B93" s="625"/>
      <c r="C93" s="228"/>
      <c r="D93" s="658" t="s">
        <v>326</v>
      </c>
      <c r="E93" s="659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>
        <v>1.959779E-2</v>
      </c>
      <c r="U93" s="297">
        <f t="shared" ref="U93:AW93" si="27">T93*(1+((U70-T70)/U70))</f>
        <v>1.9603079975006751E-2</v>
      </c>
      <c r="V93" s="297">
        <f t="shared" si="27"/>
        <v>1.9609155046526834E-2</v>
      </c>
      <c r="W93" s="297">
        <f t="shared" si="27"/>
        <v>1.9615036028746126E-2</v>
      </c>
      <c r="X93" s="297">
        <f t="shared" si="27"/>
        <v>1.9620330658923737E-2</v>
      </c>
      <c r="Y93" s="297">
        <f t="shared" si="27"/>
        <v>1.962484229729846E-2</v>
      </c>
      <c r="Z93" s="297">
        <f t="shared" si="27"/>
        <v>1.9631090471481375E-2</v>
      </c>
      <c r="AA93" s="297">
        <f t="shared" si="27"/>
        <v>1.9636676228597643E-2</v>
      </c>
      <c r="AB93" s="297">
        <f t="shared" si="27"/>
        <v>1.9640987451208552E-2</v>
      </c>
      <c r="AC93" s="297">
        <f t="shared" si="27"/>
        <v>1.9645664903537828E-2</v>
      </c>
      <c r="AD93" s="297">
        <f t="shared" si="27"/>
        <v>1.9651886326260776E-2</v>
      </c>
      <c r="AE93" s="297">
        <f t="shared" si="27"/>
        <v>1.9656732980443473E-2</v>
      </c>
      <c r="AF93" s="297">
        <f t="shared" si="27"/>
        <v>1.9662414950646759E-2</v>
      </c>
      <c r="AG93" s="297">
        <f t="shared" si="27"/>
        <v>1.9667067266774096E-2</v>
      </c>
      <c r="AH93" s="297">
        <f t="shared" si="27"/>
        <v>1.9671716359710708E-2</v>
      </c>
      <c r="AI93" s="297">
        <f t="shared" si="27"/>
        <v>1.9676738813924999E-2</v>
      </c>
      <c r="AJ93" s="297">
        <f t="shared" si="27"/>
        <v>1.9681202698735772E-2</v>
      </c>
      <c r="AK93" s="297">
        <f t="shared" si="27"/>
        <v>1.9685812332061511E-2</v>
      </c>
      <c r="AL93" s="297">
        <f t="shared" si="27"/>
        <v>1.9690774059053506E-2</v>
      </c>
      <c r="AM93" s="297">
        <f t="shared" si="27"/>
        <v>1.9695245732968811E-2</v>
      </c>
      <c r="AN93" s="297">
        <f t="shared" si="27"/>
        <v>1.9699740294268072E-2</v>
      </c>
      <c r="AO93" s="297">
        <f t="shared" si="27"/>
        <v>1.9704128597738527E-2</v>
      </c>
      <c r="AP93" s="297">
        <f t="shared" si="27"/>
        <v>1.9707574803973012E-2</v>
      </c>
      <c r="AQ93" s="297">
        <f t="shared" si="27"/>
        <v>1.9711893053529717E-2</v>
      </c>
      <c r="AR93" s="297">
        <f t="shared" si="27"/>
        <v>1.9715556946627025E-2</v>
      </c>
      <c r="AS93" s="297">
        <f t="shared" si="27"/>
        <v>1.9720063146567542E-2</v>
      </c>
      <c r="AT93" s="297">
        <f t="shared" si="27"/>
        <v>1.9723696939581831E-2</v>
      </c>
      <c r="AU93" s="297">
        <f t="shared" si="27"/>
        <v>1.9727230757634603E-2</v>
      </c>
      <c r="AV93" s="297">
        <f t="shared" si="27"/>
        <v>1.9730830930217068E-2</v>
      </c>
      <c r="AW93" s="297">
        <f t="shared" si="27"/>
        <v>1.9734393644818528E-2</v>
      </c>
      <c r="AX93" s="283"/>
    </row>
    <row r="94" spans="1:71" hidden="1" x14ac:dyDescent="0.2">
      <c r="A94" s="223" t="s">
        <v>325</v>
      </c>
      <c r="B94" s="625"/>
      <c r="C94" s="228"/>
      <c r="D94" s="658" t="s">
        <v>327</v>
      </c>
      <c r="E94" s="659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>
        <v>15.487761259999999</v>
      </c>
      <c r="U94" s="297">
        <f t="shared" ref="U94:AW94" si="28">T94*(1+((U70-T70)/U70))</f>
        <v>15.491941826787167</v>
      </c>
      <c r="V94" s="297">
        <f t="shared" si="28"/>
        <v>15.496742840439239</v>
      </c>
      <c r="W94" s="297">
        <f t="shared" si="28"/>
        <v>15.5013904690028</v>
      </c>
      <c r="X94" s="297">
        <f t="shared" si="28"/>
        <v>15.505574714683094</v>
      </c>
      <c r="Y94" s="297">
        <f t="shared" si="28"/>
        <v>15.509140176811179</v>
      </c>
      <c r="Z94" s="297">
        <f t="shared" si="28"/>
        <v>15.514077990210339</v>
      </c>
      <c r="AA94" s="297">
        <f t="shared" si="28"/>
        <v>15.518492307981532</v>
      </c>
      <c r="AB94" s="297">
        <f t="shared" si="28"/>
        <v>15.521899385337523</v>
      </c>
      <c r="AC94" s="297">
        <f t="shared" si="28"/>
        <v>15.525595887084958</v>
      </c>
      <c r="AD94" s="297">
        <f t="shared" si="28"/>
        <v>15.530512559313335</v>
      </c>
      <c r="AE94" s="297">
        <f t="shared" si="28"/>
        <v>15.534342778072256</v>
      </c>
      <c r="AF94" s="297">
        <f t="shared" si="28"/>
        <v>15.538833131218958</v>
      </c>
      <c r="AG94" s="297">
        <f t="shared" si="28"/>
        <v>15.542509768303356</v>
      </c>
      <c r="AH94" s="297">
        <f t="shared" si="28"/>
        <v>15.546183858161333</v>
      </c>
      <c r="AI94" s="297">
        <f t="shared" si="28"/>
        <v>15.550153008346648</v>
      </c>
      <c r="AJ94" s="297">
        <f t="shared" si="28"/>
        <v>15.553680731740021</v>
      </c>
      <c r="AK94" s="297">
        <f t="shared" si="28"/>
        <v>15.557323637416895</v>
      </c>
      <c r="AL94" s="297">
        <f t="shared" si="28"/>
        <v>15.561244796031682</v>
      </c>
      <c r="AM94" s="297">
        <f t="shared" si="28"/>
        <v>15.564778675006446</v>
      </c>
      <c r="AN94" s="297">
        <f t="shared" si="28"/>
        <v>15.568330641446101</v>
      </c>
      <c r="AO94" s="297">
        <f t="shared" si="28"/>
        <v>15.571798634341567</v>
      </c>
      <c r="AP94" s="297">
        <f t="shared" si="28"/>
        <v>15.574522105682592</v>
      </c>
      <c r="AQ94" s="297">
        <f t="shared" si="28"/>
        <v>15.577934736300399</v>
      </c>
      <c r="AR94" s="297">
        <f t="shared" si="28"/>
        <v>15.580830241435073</v>
      </c>
      <c r="AS94" s="297">
        <f t="shared" si="28"/>
        <v>15.584391405671886</v>
      </c>
      <c r="AT94" s="297">
        <f t="shared" si="28"/>
        <v>15.587263123282574</v>
      </c>
      <c r="AU94" s="297">
        <f t="shared" si="28"/>
        <v>15.590055832579775</v>
      </c>
      <c r="AV94" s="297">
        <f t="shared" si="28"/>
        <v>15.592900980601671</v>
      </c>
      <c r="AW94" s="297">
        <f t="shared" si="28"/>
        <v>15.595716526292534</v>
      </c>
      <c r="AX94" s="283"/>
    </row>
    <row r="95" spans="1:71" hidden="1" x14ac:dyDescent="0.2">
      <c r="C95" s="228"/>
      <c r="D95" s="281"/>
      <c r="E95" s="247"/>
      <c r="F95" s="262" t="s">
        <v>328</v>
      </c>
      <c r="G95" s="262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63">
        <f t="shared" ref="T95:AW95" si="29">SUM(T93:T94)</f>
        <v>15.50735905</v>
      </c>
      <c r="U95" s="263">
        <f t="shared" si="29"/>
        <v>15.511544906762174</v>
      </c>
      <c r="V95" s="263">
        <f t="shared" si="29"/>
        <v>15.516351995485767</v>
      </c>
      <c r="W95" s="263">
        <f t="shared" si="29"/>
        <v>15.521005505031546</v>
      </c>
      <c r="X95" s="263">
        <f t="shared" si="29"/>
        <v>15.525195045342018</v>
      </c>
      <c r="Y95" s="263">
        <f t="shared" si="29"/>
        <v>15.528765019108478</v>
      </c>
      <c r="Z95" s="263">
        <f t="shared" si="29"/>
        <v>15.53370908068182</v>
      </c>
      <c r="AA95" s="263">
        <f t="shared" si="29"/>
        <v>15.538128984210129</v>
      </c>
      <c r="AB95" s="263">
        <f t="shared" si="29"/>
        <v>15.541540372788731</v>
      </c>
      <c r="AC95" s="263">
        <f t="shared" si="29"/>
        <v>15.545241551988495</v>
      </c>
      <c r="AD95" s="263">
        <f t="shared" si="29"/>
        <v>15.550164445639595</v>
      </c>
      <c r="AE95" s="263">
        <f t="shared" si="29"/>
        <v>15.5539995110527</v>
      </c>
      <c r="AF95" s="263">
        <f t="shared" si="29"/>
        <v>15.558495546169604</v>
      </c>
      <c r="AG95" s="263">
        <f t="shared" si="29"/>
        <v>15.56217683557013</v>
      </c>
      <c r="AH95" s="263">
        <f t="shared" si="29"/>
        <v>15.565855574521043</v>
      </c>
      <c r="AI95" s="263">
        <f t="shared" si="29"/>
        <v>15.569829747160572</v>
      </c>
      <c r="AJ95" s="263">
        <f t="shared" si="29"/>
        <v>15.573361934438758</v>
      </c>
      <c r="AK95" s="263">
        <f t="shared" si="29"/>
        <v>15.577009449748957</v>
      </c>
      <c r="AL95" s="263">
        <f t="shared" si="29"/>
        <v>15.580935570090736</v>
      </c>
      <c r="AM95" s="263">
        <f t="shared" si="29"/>
        <v>15.584473920739415</v>
      </c>
      <c r="AN95" s="263">
        <f t="shared" si="29"/>
        <v>15.588030381740369</v>
      </c>
      <c r="AO95" s="263">
        <f t="shared" si="29"/>
        <v>15.591502762939305</v>
      </c>
      <c r="AP95" s="263">
        <f t="shared" si="29"/>
        <v>15.594229680486565</v>
      </c>
      <c r="AQ95" s="263">
        <f t="shared" si="29"/>
        <v>15.597646629353928</v>
      </c>
      <c r="AR95" s="263">
        <f t="shared" si="29"/>
        <v>15.600545798381701</v>
      </c>
      <c r="AS95" s="263">
        <f t="shared" si="29"/>
        <v>15.604111468818454</v>
      </c>
      <c r="AT95" s="263">
        <f t="shared" si="29"/>
        <v>15.606986820222156</v>
      </c>
      <c r="AU95" s="263">
        <f t="shared" si="29"/>
        <v>15.60978306333741</v>
      </c>
      <c r="AV95" s="263">
        <f t="shared" si="29"/>
        <v>15.612631811531887</v>
      </c>
      <c r="AW95" s="263">
        <f t="shared" si="29"/>
        <v>15.615450919937352</v>
      </c>
      <c r="AX95" s="283"/>
    </row>
    <row r="96" spans="1:71" ht="15.75" hidden="1" thickBot="1" x14ac:dyDescent="0.25">
      <c r="C96" s="228"/>
      <c r="D96" s="302"/>
      <c r="E96" s="303"/>
      <c r="F96" s="303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304"/>
      <c r="AB96" s="304"/>
      <c r="AC96" s="304"/>
      <c r="AD96" s="304"/>
      <c r="AE96" s="304"/>
      <c r="AF96" s="304"/>
      <c r="AG96" s="304"/>
      <c r="AH96" s="304"/>
      <c r="AI96" s="304"/>
      <c r="AJ96" s="304"/>
      <c r="AK96" s="304"/>
      <c r="AL96" s="304"/>
      <c r="AM96" s="304"/>
      <c r="AN96" s="304"/>
      <c r="AO96" s="304"/>
      <c r="AP96" s="304"/>
      <c r="AQ96" s="304"/>
      <c r="AR96" s="304"/>
      <c r="AS96" s="304"/>
      <c r="AT96" s="304"/>
      <c r="AU96" s="304"/>
      <c r="AV96" s="304"/>
      <c r="AW96" s="304"/>
      <c r="AX96" s="305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28"/>
      <c r="BS96" s="228"/>
    </row>
    <row r="97" spans="1:70" hidden="1" x14ac:dyDescent="0.2">
      <c r="C97" s="228"/>
      <c r="F97" s="309"/>
      <c r="G97" s="309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275"/>
      <c r="AK97" s="275"/>
      <c r="AL97" s="275"/>
      <c r="AM97" s="275"/>
      <c r="AN97" s="275"/>
      <c r="AO97" s="275"/>
      <c r="AP97" s="275"/>
      <c r="AQ97" s="275"/>
      <c r="AR97" s="275"/>
      <c r="AS97" s="275"/>
      <c r="AT97" s="275"/>
      <c r="AU97" s="275"/>
      <c r="AV97" s="275"/>
      <c r="AW97" s="275"/>
      <c r="AX97" s="275"/>
    </row>
    <row r="98" spans="1:70" hidden="1" x14ac:dyDescent="0.2">
      <c r="C98" s="228"/>
      <c r="F98" s="309"/>
      <c r="G98" s="309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275"/>
      <c r="AU98" s="275"/>
      <c r="AV98" s="275"/>
      <c r="AW98" s="275"/>
      <c r="AX98" s="275"/>
    </row>
    <row r="99" spans="1:70" ht="27" hidden="1" thickBot="1" x14ac:dyDescent="0.25">
      <c r="C99" s="228"/>
      <c r="D99" s="629" t="s">
        <v>329</v>
      </c>
      <c r="E99" s="629"/>
      <c r="F99" s="629"/>
      <c r="G99" s="237"/>
      <c r="H99" s="307"/>
      <c r="J99" s="237"/>
      <c r="K99" s="275"/>
      <c r="L99" s="275"/>
      <c r="M99" s="275"/>
      <c r="N99" s="275"/>
      <c r="O99" s="275"/>
      <c r="P99" s="275"/>
      <c r="Q99" s="275"/>
      <c r="R99" s="275"/>
      <c r="S99" s="275"/>
      <c r="U99" s="275"/>
      <c r="V99" s="275"/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75"/>
      <c r="AO99" s="275"/>
      <c r="AP99" s="275"/>
      <c r="AQ99" s="275"/>
      <c r="AR99" s="275"/>
      <c r="AS99" s="275"/>
      <c r="AT99" s="275"/>
      <c r="AU99" s="275"/>
      <c r="AV99" s="275"/>
      <c r="AW99" s="275"/>
      <c r="AX99" s="237"/>
    </row>
    <row r="100" spans="1:70" hidden="1" x14ac:dyDescent="0.2">
      <c r="B100" s="655" t="s">
        <v>330</v>
      </c>
      <c r="C100" s="228"/>
      <c r="D100" s="656" t="s">
        <v>323</v>
      </c>
      <c r="E100" s="657"/>
      <c r="F100" s="311" t="s">
        <v>331</v>
      </c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  <c r="AA100" s="279"/>
      <c r="AB100" s="279"/>
      <c r="AC100" s="279"/>
      <c r="AD100" s="279"/>
      <c r="AE100" s="279"/>
      <c r="AF100" s="279"/>
      <c r="AG100" s="279"/>
      <c r="AH100" s="279"/>
      <c r="AI100" s="279"/>
      <c r="AJ100" s="279"/>
      <c r="AK100" s="279"/>
      <c r="AL100" s="279"/>
      <c r="AM100" s="279"/>
      <c r="AN100" s="279"/>
      <c r="AO100" s="279"/>
      <c r="AP100" s="279"/>
      <c r="AQ100" s="279"/>
      <c r="AR100" s="279"/>
      <c r="AS100" s="279"/>
      <c r="AT100" s="279"/>
      <c r="AU100" s="279"/>
      <c r="AV100" s="279"/>
      <c r="AW100" s="279"/>
      <c r="AX100" s="280"/>
    </row>
    <row r="101" spans="1:70" hidden="1" x14ac:dyDescent="0.2">
      <c r="A101" s="223" t="s">
        <v>332</v>
      </c>
      <c r="B101" s="655"/>
      <c r="C101" s="228"/>
      <c r="D101" s="658" t="s">
        <v>326</v>
      </c>
      <c r="E101" s="659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>
        <v>0.21000466600000001</v>
      </c>
      <c r="T101" s="297">
        <f>S101*(1+ [1]Drivers_macroeconómicos_USCUSS!G8)</f>
        <v>0.21289058302761826</v>
      </c>
      <c r="U101" s="297">
        <f>T101*(1+ [1]Drivers_macroeconómicos_USCUSS!H8)</f>
        <v>0.21575252610251905</v>
      </c>
      <c r="V101" s="297">
        <f>U101*(1+ [1]Drivers_macroeconómicos_USCUSS!I8)</f>
        <v>0.21859006347768001</v>
      </c>
      <c r="W101" s="297">
        <f>V101*(1+ [1]Drivers_macroeconómicos_USCUSS!J8)</f>
        <v>0.22140150414392989</v>
      </c>
      <c r="X101" s="297">
        <f>W101*(1+ [1]Drivers_macroeconómicos_USCUSS!K8)</f>
        <v>0.2241863204104636</v>
      </c>
      <c r="Y101" s="297">
        <f>X101*(1+ [1]Drivers_macroeconómicos_USCUSS!L8)</f>
        <v>0.22694139410434133</v>
      </c>
      <c r="Z101" s="297">
        <f>Y101*(1+ [1]Drivers_macroeconómicos_USCUSS!M8)</f>
        <v>0.22966568183692557</v>
      </c>
      <c r="AA101" s="297">
        <f>Z101*(1+ [1]Drivers_macroeconómicos_USCUSS!N8)</f>
        <v>0.23235722875364254</v>
      </c>
      <c r="AB101" s="297">
        <f>AA101*(1+ [1]Drivers_macroeconómicos_USCUSS!O8)</f>
        <v>0.23501565107936126</v>
      </c>
      <c r="AC101" s="297">
        <f>AB101*(1+ [1]Drivers_macroeconómicos_USCUSS!P8)</f>
        <v>0.23763796256384323</v>
      </c>
      <c r="AD101" s="297">
        <f>AC101*(1+ [1]Drivers_macroeconómicos_USCUSS!Q8)</f>
        <v>0.2402227600292656</v>
      </c>
      <c r="AE101" s="297">
        <f>AD101*(1+ [1]Drivers_macroeconómicos_USCUSS!R8)</f>
        <v>0.24276823253672872</v>
      </c>
      <c r="AF101" s="297">
        <f>AE101*(1+ [1]Drivers_macroeconómicos_USCUSS!S8)</f>
        <v>0.24527228131598472</v>
      </c>
      <c r="AG101" s="297">
        <f>AF101*(1+ [1]Drivers_macroeconómicos_USCUSS!T8)</f>
        <v>0.24773387497136895</v>
      </c>
      <c r="AH101" s="297">
        <f>AG101*(1+ [1]Drivers_macroeconómicos_USCUSS!U8)</f>
        <v>0.2501512145569546</v>
      </c>
      <c r="AI101" s="297">
        <f>AH101*(1+ [1]Drivers_macroeconómicos_USCUSS!V8)</f>
        <v>0.2525232446911313</v>
      </c>
      <c r="AJ101" s="297">
        <f>AI101*(1+ [1]Drivers_macroeconómicos_USCUSS!W8)</f>
        <v>0.25484793856148824</v>
      </c>
      <c r="AK101" s="297">
        <f>AJ101*(1+ [1]Drivers_macroeconómicos_USCUSS!X8)</f>
        <v>0.25712449263884479</v>
      </c>
      <c r="AL101" s="297">
        <f>AK101*(1+ [1]Drivers_macroeconómicos_USCUSS!Y8)</f>
        <v>0.25935140780159527</v>
      </c>
      <c r="AM101" s="297">
        <f>AL101*(1+ [1]Drivers_macroeconómicos_USCUSS!Z8)</f>
        <v>0.26152764066110212</v>
      </c>
      <c r="AN101" s="297">
        <f>AM101*(1+ [1]Drivers_macroeconómicos_USCUSS!AA8)</f>
        <v>0.26365291537898999</v>
      </c>
      <c r="AO101" s="297">
        <f>AN101*(1+ [1]Drivers_macroeconómicos_USCUSS!AB8)</f>
        <v>0.26572650038391527</v>
      </c>
      <c r="AP101" s="297">
        <f>AO101*(1+ [1]Drivers_macroeconómicos_USCUSS!AC8)</f>
        <v>0.26774711242778354</v>
      </c>
      <c r="AQ101" s="297">
        <f>AP101*(1+ [1]Drivers_macroeconómicos_USCUSS!AD8)</f>
        <v>0.26971448766519224</v>
      </c>
      <c r="AR101" s="297">
        <f>AQ101*(1+ [1]Drivers_macroeconómicos_USCUSS!AE8)</f>
        <v>0.2716273428480469</v>
      </c>
      <c r="AS101" s="297">
        <f>AR101*(1+ [1]Drivers_macroeconómicos_USCUSS!AF8)</f>
        <v>0.27348535416608077</v>
      </c>
      <c r="AT101" s="297">
        <f>AS101*(1+ [1]Drivers_macroeconómicos_USCUSS!AG8)</f>
        <v>0.27528882144361494</v>
      </c>
      <c r="AU101" s="297">
        <f>AT101*(1+ [1]Drivers_macroeconómicos_USCUSS!AH8)</f>
        <v>0.27703619758715231</v>
      </c>
      <c r="AV101" s="297">
        <f>AU101*(1+ [1]Drivers_macroeconómicos_USCUSS!AI8)</f>
        <v>0.27872795032263392</v>
      </c>
      <c r="AW101" s="297">
        <f>AV101*(1+ [1]Drivers_macroeconómicos_USCUSS!AJ8)</f>
        <v>0.28036466730572918</v>
      </c>
      <c r="AX101" s="283"/>
    </row>
    <row r="102" spans="1:70" hidden="1" x14ac:dyDescent="0.2">
      <c r="B102" s="655"/>
      <c r="C102" s="228"/>
      <c r="D102" s="658" t="s">
        <v>327</v>
      </c>
      <c r="E102" s="659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>
        <v>0</v>
      </c>
      <c r="T102" s="297">
        <v>0</v>
      </c>
      <c r="U102" s="297">
        <v>0</v>
      </c>
      <c r="V102" s="297">
        <v>0</v>
      </c>
      <c r="W102" s="297">
        <v>0</v>
      </c>
      <c r="X102" s="297">
        <v>0</v>
      </c>
      <c r="Y102" s="297">
        <v>0</v>
      </c>
      <c r="Z102" s="297">
        <v>0</v>
      </c>
      <c r="AA102" s="297">
        <v>0</v>
      </c>
      <c r="AB102" s="297">
        <v>0</v>
      </c>
      <c r="AC102" s="297">
        <v>0</v>
      </c>
      <c r="AD102" s="297">
        <v>0</v>
      </c>
      <c r="AE102" s="297">
        <v>0</v>
      </c>
      <c r="AF102" s="297">
        <v>0</v>
      </c>
      <c r="AG102" s="297">
        <v>0</v>
      </c>
      <c r="AH102" s="297">
        <v>0</v>
      </c>
      <c r="AI102" s="297">
        <v>0</v>
      </c>
      <c r="AJ102" s="297">
        <v>0</v>
      </c>
      <c r="AK102" s="297">
        <v>0</v>
      </c>
      <c r="AL102" s="297">
        <v>0</v>
      </c>
      <c r="AM102" s="297">
        <v>0</v>
      </c>
      <c r="AN102" s="297">
        <v>0</v>
      </c>
      <c r="AO102" s="297">
        <v>0</v>
      </c>
      <c r="AP102" s="297">
        <v>0</v>
      </c>
      <c r="AQ102" s="297">
        <v>0</v>
      </c>
      <c r="AR102" s="297">
        <v>0</v>
      </c>
      <c r="AS102" s="297">
        <v>0</v>
      </c>
      <c r="AT102" s="297">
        <v>0</v>
      </c>
      <c r="AU102" s="297">
        <v>0</v>
      </c>
      <c r="AV102" s="297">
        <v>0</v>
      </c>
      <c r="AW102" s="297">
        <v>0</v>
      </c>
      <c r="AX102" s="283"/>
    </row>
    <row r="103" spans="1:70" hidden="1" x14ac:dyDescent="0.2">
      <c r="B103" s="655"/>
      <c r="C103" s="228"/>
      <c r="D103" s="281"/>
      <c r="E103" s="247"/>
      <c r="F103" s="262" t="s">
        <v>333</v>
      </c>
      <c r="G103" s="262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63">
        <f t="shared" ref="S103:AW103" si="30">SUM(S101:S102)</f>
        <v>0.21000466600000001</v>
      </c>
      <c r="T103" s="263">
        <f t="shared" si="30"/>
        <v>0.21289058302761826</v>
      </c>
      <c r="U103" s="263">
        <f t="shared" si="30"/>
        <v>0.21575252610251905</v>
      </c>
      <c r="V103" s="263">
        <f t="shared" si="30"/>
        <v>0.21859006347768001</v>
      </c>
      <c r="W103" s="263">
        <f t="shared" si="30"/>
        <v>0.22140150414392989</v>
      </c>
      <c r="X103" s="263">
        <f t="shared" si="30"/>
        <v>0.2241863204104636</v>
      </c>
      <c r="Y103" s="263">
        <f t="shared" si="30"/>
        <v>0.22694139410434133</v>
      </c>
      <c r="Z103" s="263">
        <f t="shared" si="30"/>
        <v>0.22966568183692557</v>
      </c>
      <c r="AA103" s="263">
        <f t="shared" si="30"/>
        <v>0.23235722875364254</v>
      </c>
      <c r="AB103" s="263">
        <f t="shared" si="30"/>
        <v>0.23501565107936126</v>
      </c>
      <c r="AC103" s="263">
        <f t="shared" si="30"/>
        <v>0.23763796256384323</v>
      </c>
      <c r="AD103" s="263">
        <f t="shared" si="30"/>
        <v>0.2402227600292656</v>
      </c>
      <c r="AE103" s="263">
        <f t="shared" si="30"/>
        <v>0.24276823253672872</v>
      </c>
      <c r="AF103" s="263">
        <f t="shared" si="30"/>
        <v>0.24527228131598472</v>
      </c>
      <c r="AG103" s="263">
        <f t="shared" si="30"/>
        <v>0.24773387497136895</v>
      </c>
      <c r="AH103" s="263">
        <f t="shared" si="30"/>
        <v>0.2501512145569546</v>
      </c>
      <c r="AI103" s="263">
        <f t="shared" si="30"/>
        <v>0.2525232446911313</v>
      </c>
      <c r="AJ103" s="263">
        <f t="shared" si="30"/>
        <v>0.25484793856148824</v>
      </c>
      <c r="AK103" s="263">
        <f t="shared" si="30"/>
        <v>0.25712449263884479</v>
      </c>
      <c r="AL103" s="263">
        <f t="shared" si="30"/>
        <v>0.25935140780159527</v>
      </c>
      <c r="AM103" s="263">
        <f t="shared" si="30"/>
        <v>0.26152764066110212</v>
      </c>
      <c r="AN103" s="263">
        <f t="shared" si="30"/>
        <v>0.26365291537898999</v>
      </c>
      <c r="AO103" s="263">
        <f t="shared" si="30"/>
        <v>0.26572650038391527</v>
      </c>
      <c r="AP103" s="263">
        <f t="shared" si="30"/>
        <v>0.26774711242778354</v>
      </c>
      <c r="AQ103" s="263">
        <f t="shared" si="30"/>
        <v>0.26971448766519224</v>
      </c>
      <c r="AR103" s="263">
        <f t="shared" si="30"/>
        <v>0.2716273428480469</v>
      </c>
      <c r="AS103" s="263">
        <f t="shared" si="30"/>
        <v>0.27348535416608077</v>
      </c>
      <c r="AT103" s="263">
        <f t="shared" si="30"/>
        <v>0.27528882144361494</v>
      </c>
      <c r="AU103" s="263">
        <f t="shared" si="30"/>
        <v>0.27703619758715231</v>
      </c>
      <c r="AV103" s="263">
        <f t="shared" si="30"/>
        <v>0.27872795032263392</v>
      </c>
      <c r="AW103" s="263">
        <f t="shared" si="30"/>
        <v>0.28036466730572918</v>
      </c>
      <c r="AX103" s="283"/>
    </row>
    <row r="104" spans="1:70" ht="15.75" hidden="1" thickBot="1" x14ac:dyDescent="0.25">
      <c r="B104" s="310"/>
      <c r="C104" s="228"/>
      <c r="D104" s="302"/>
      <c r="E104" s="303"/>
      <c r="F104" s="303"/>
      <c r="G104" s="304"/>
      <c r="H104" s="304"/>
      <c r="I104" s="304"/>
      <c r="J104" s="304"/>
      <c r="K104" s="304"/>
      <c r="L104" s="304"/>
      <c r="M104" s="304"/>
      <c r="N104" s="304"/>
      <c r="O104" s="304"/>
      <c r="P104" s="304"/>
      <c r="Q104" s="304"/>
      <c r="R104" s="304"/>
      <c r="S104" s="304"/>
      <c r="T104" s="304"/>
      <c r="U104" s="304"/>
      <c r="V104" s="304"/>
      <c r="W104" s="304"/>
      <c r="X104" s="304"/>
      <c r="Y104" s="304"/>
      <c r="Z104" s="304"/>
      <c r="AA104" s="304"/>
      <c r="AB104" s="304"/>
      <c r="AC104" s="304"/>
      <c r="AD104" s="304"/>
      <c r="AE104" s="304"/>
      <c r="AF104" s="304"/>
      <c r="AG104" s="304"/>
      <c r="AH104" s="304"/>
      <c r="AI104" s="304"/>
      <c r="AJ104" s="304"/>
      <c r="AK104" s="304"/>
      <c r="AL104" s="304"/>
      <c r="AM104" s="304"/>
      <c r="AN104" s="304"/>
      <c r="AO104" s="304"/>
      <c r="AP104" s="304"/>
      <c r="AQ104" s="304"/>
      <c r="AR104" s="304"/>
      <c r="AS104" s="304"/>
      <c r="AT104" s="304"/>
      <c r="AU104" s="304"/>
      <c r="AV104" s="304"/>
      <c r="AW104" s="304"/>
      <c r="AX104" s="305"/>
    </row>
    <row r="105" spans="1:70" hidden="1" x14ac:dyDescent="0.2">
      <c r="C105" s="228"/>
      <c r="D105" s="228"/>
      <c r="E105" s="228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  <c r="AA105" s="237"/>
      <c r="AB105" s="237"/>
      <c r="AC105" s="237"/>
      <c r="AD105" s="237"/>
      <c r="AE105" s="237"/>
      <c r="AF105" s="237"/>
      <c r="AG105" s="237"/>
      <c r="AH105" s="237"/>
      <c r="AI105" s="237"/>
      <c r="AJ105" s="237"/>
      <c r="AK105" s="237"/>
      <c r="AL105" s="237"/>
      <c r="AM105" s="237"/>
      <c r="AN105" s="237"/>
      <c r="AO105" s="237"/>
      <c r="AP105" s="237"/>
      <c r="AQ105" s="237"/>
      <c r="AR105" s="237"/>
      <c r="AS105" s="237"/>
      <c r="AT105" s="237"/>
      <c r="AU105" s="237"/>
      <c r="AV105" s="237"/>
      <c r="AW105" s="237"/>
      <c r="AX105" s="237"/>
    </row>
    <row r="106" spans="1:70" ht="26.25" x14ac:dyDescent="0.2">
      <c r="C106" s="228"/>
      <c r="D106" s="629" t="s">
        <v>334</v>
      </c>
      <c r="E106" s="629"/>
      <c r="F106" s="629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  <c r="AA106" s="237"/>
      <c r="AB106" s="237"/>
      <c r="AC106" s="237"/>
      <c r="AD106" s="237"/>
      <c r="AE106" s="237"/>
      <c r="AF106" s="237"/>
      <c r="AG106" s="237"/>
      <c r="AH106" s="237"/>
      <c r="AI106" s="237"/>
      <c r="AJ106" s="237"/>
      <c r="AK106" s="237"/>
      <c r="AL106" s="237"/>
      <c r="AM106" s="237"/>
      <c r="AN106" s="237"/>
      <c r="AO106" s="237"/>
      <c r="AP106" s="237"/>
      <c r="AQ106" s="237"/>
      <c r="AR106" s="237"/>
      <c r="AS106" s="237"/>
      <c r="AT106" s="237"/>
      <c r="AU106" s="237"/>
      <c r="AV106" s="237"/>
      <c r="AW106" s="237"/>
      <c r="AX106" s="237"/>
    </row>
    <row r="107" spans="1:70" ht="15.75" thickBot="1" x14ac:dyDescent="0.25">
      <c r="C107" s="228"/>
      <c r="D107" s="228"/>
      <c r="E107" s="228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75"/>
      <c r="W107" s="237"/>
      <c r="X107" s="237"/>
      <c r="Y107" s="237"/>
      <c r="Z107" s="237"/>
      <c r="AA107" s="237"/>
      <c r="AB107" s="237"/>
      <c r="AC107" s="237"/>
      <c r="AD107" s="237"/>
      <c r="AE107" s="237"/>
      <c r="AF107" s="237"/>
      <c r="AG107" s="237"/>
      <c r="AH107" s="237"/>
      <c r="AI107" s="237"/>
      <c r="AJ107" s="237"/>
      <c r="AK107" s="237"/>
      <c r="AL107" s="237"/>
      <c r="AM107" s="237"/>
      <c r="AN107" s="237"/>
      <c r="AO107" s="237"/>
      <c r="AP107" s="237"/>
      <c r="AQ107" s="237"/>
      <c r="AR107" s="237"/>
      <c r="AS107" s="237"/>
      <c r="AT107" s="237"/>
      <c r="AU107" s="237"/>
      <c r="AV107" s="237"/>
      <c r="AW107" s="237"/>
      <c r="AX107" s="237"/>
    </row>
    <row r="108" spans="1:70" x14ac:dyDescent="0.25">
      <c r="B108" s="312"/>
      <c r="C108" s="667" t="s">
        <v>335</v>
      </c>
      <c r="D108" s="313" t="s">
        <v>336</v>
      </c>
      <c r="E108" s="314" t="s">
        <v>336</v>
      </c>
      <c r="F108" s="314" t="s">
        <v>336</v>
      </c>
      <c r="G108" s="315" t="s">
        <v>336</v>
      </c>
      <c r="H108" s="315" t="s">
        <v>336</v>
      </c>
      <c r="I108" s="315" t="s">
        <v>336</v>
      </c>
      <c r="J108" s="315" t="s">
        <v>336</v>
      </c>
      <c r="K108" s="315" t="s">
        <v>336</v>
      </c>
      <c r="L108" s="315" t="s">
        <v>336</v>
      </c>
      <c r="M108" s="315" t="s">
        <v>336</v>
      </c>
      <c r="N108" s="315" t="s">
        <v>336</v>
      </c>
      <c r="O108" s="315" t="s">
        <v>336</v>
      </c>
      <c r="P108" s="315" t="s">
        <v>336</v>
      </c>
      <c r="Q108" s="315" t="s">
        <v>336</v>
      </c>
      <c r="R108" s="315" t="s">
        <v>336</v>
      </c>
      <c r="S108" s="315" t="s">
        <v>336</v>
      </c>
      <c r="T108" s="315" t="s">
        <v>336</v>
      </c>
      <c r="U108" s="315" t="s">
        <v>336</v>
      </c>
      <c r="V108" s="315" t="s">
        <v>336</v>
      </c>
      <c r="W108" s="315" t="s">
        <v>336</v>
      </c>
      <c r="X108" s="315" t="s">
        <v>336</v>
      </c>
      <c r="Y108" s="315" t="s">
        <v>336</v>
      </c>
      <c r="Z108" s="315" t="s">
        <v>336</v>
      </c>
      <c r="AA108" s="315" t="s">
        <v>336</v>
      </c>
      <c r="AB108" s="315" t="s">
        <v>336</v>
      </c>
      <c r="AC108" s="315" t="s">
        <v>336</v>
      </c>
      <c r="AD108" s="315" t="s">
        <v>336</v>
      </c>
      <c r="AE108" s="315" t="s">
        <v>336</v>
      </c>
      <c r="AF108" s="315" t="s">
        <v>336</v>
      </c>
      <c r="AG108" s="315" t="s">
        <v>336</v>
      </c>
      <c r="AH108" s="315" t="s">
        <v>336</v>
      </c>
      <c r="AI108" s="315" t="s">
        <v>336</v>
      </c>
      <c r="AJ108" s="315" t="s">
        <v>336</v>
      </c>
      <c r="AK108" s="315" t="s">
        <v>336</v>
      </c>
      <c r="AL108" s="315" t="s">
        <v>336</v>
      </c>
      <c r="AM108" s="315" t="s">
        <v>336</v>
      </c>
      <c r="AN108" s="315" t="s">
        <v>336</v>
      </c>
      <c r="AO108" s="315" t="s">
        <v>336</v>
      </c>
      <c r="AP108" s="315" t="s">
        <v>336</v>
      </c>
      <c r="AQ108" s="315" t="s">
        <v>336</v>
      </c>
      <c r="AR108" s="315" t="s">
        <v>336</v>
      </c>
      <c r="AS108" s="315" t="s">
        <v>336</v>
      </c>
      <c r="AT108" s="315" t="s">
        <v>336</v>
      </c>
      <c r="AU108" s="315" t="s">
        <v>336</v>
      </c>
      <c r="AV108" s="315" t="s">
        <v>336</v>
      </c>
      <c r="AW108" s="315" t="s">
        <v>336</v>
      </c>
      <c r="AX108" s="315" t="s">
        <v>336</v>
      </c>
      <c r="AY108" s="315"/>
      <c r="AZ108" s="315"/>
      <c r="BA108" s="315"/>
      <c r="BB108" s="315"/>
      <c r="BC108" s="315"/>
      <c r="BD108" s="315"/>
      <c r="BE108" s="315"/>
      <c r="BF108" s="315"/>
      <c r="BG108" s="315"/>
      <c r="BH108" s="315"/>
      <c r="BI108" s="315"/>
      <c r="BJ108" s="315"/>
      <c r="BK108" s="315"/>
      <c r="BL108" s="315"/>
      <c r="BM108" s="315"/>
      <c r="BN108" s="315"/>
      <c r="BO108" s="315"/>
      <c r="BP108" s="315"/>
      <c r="BQ108" s="315"/>
      <c r="BR108" s="316"/>
    </row>
    <row r="109" spans="1:70" ht="15.75" x14ac:dyDescent="0.2">
      <c r="C109" s="667"/>
      <c r="D109" s="317" t="s">
        <v>337</v>
      </c>
      <c r="E109" s="244"/>
      <c r="F109" s="244" t="s">
        <v>338</v>
      </c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245"/>
      <c r="AW109" s="245"/>
      <c r="AX109" s="245"/>
      <c r="AY109" s="245"/>
      <c r="AZ109" s="245"/>
      <c r="BA109" s="245"/>
      <c r="BB109" s="245"/>
      <c r="BC109" s="245"/>
      <c r="BD109" s="245"/>
      <c r="BE109" s="245"/>
      <c r="BF109" s="245"/>
      <c r="BG109" s="245"/>
      <c r="BH109" s="245"/>
      <c r="BI109" s="245"/>
      <c r="BJ109" s="245"/>
      <c r="BK109" s="245"/>
      <c r="BL109" s="245"/>
      <c r="BM109" s="245"/>
      <c r="BN109" s="245"/>
      <c r="BO109" s="245"/>
      <c r="BP109" s="245"/>
      <c r="BQ109" s="245"/>
      <c r="BR109" s="246"/>
    </row>
    <row r="110" spans="1:70" ht="15.75" x14ac:dyDescent="0.25">
      <c r="C110" s="667"/>
      <c r="D110" s="243"/>
      <c r="E110" s="318"/>
      <c r="F110" s="248" t="s">
        <v>339</v>
      </c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  <c r="BD110" s="245"/>
      <c r="BE110" s="245"/>
      <c r="BF110" s="245"/>
      <c r="BG110" s="245"/>
      <c r="BH110" s="245"/>
      <c r="BI110" s="245"/>
      <c r="BJ110" s="245"/>
      <c r="BK110" s="245"/>
      <c r="BL110" s="245"/>
      <c r="BM110" s="245"/>
      <c r="BN110" s="245"/>
      <c r="BO110" s="245"/>
      <c r="BP110" s="245"/>
      <c r="BQ110" s="245"/>
      <c r="BR110" s="246"/>
    </row>
    <row r="111" spans="1:70" x14ac:dyDescent="0.25">
      <c r="B111" s="669" t="s">
        <v>340</v>
      </c>
      <c r="C111" s="319">
        <v>0.23449999999999999</v>
      </c>
      <c r="D111" s="670" t="s">
        <v>341</v>
      </c>
      <c r="E111" s="671"/>
      <c r="F111" s="320" t="s">
        <v>342</v>
      </c>
      <c r="G111" s="321" t="s">
        <v>336</v>
      </c>
      <c r="H111" s="321" t="s">
        <v>336</v>
      </c>
      <c r="I111" s="321">
        <v>9.4719999999999999E-2</v>
      </c>
      <c r="J111" s="321" t="s">
        <v>336</v>
      </c>
      <c r="K111" s="321">
        <v>9.4719999999999999E-2</v>
      </c>
      <c r="L111" s="321" t="s">
        <v>336</v>
      </c>
      <c r="M111" s="321">
        <v>9.4719999999999999E-2</v>
      </c>
      <c r="N111" s="321" t="s">
        <v>336</v>
      </c>
      <c r="O111" s="321">
        <v>9.0789999999999982E-2</v>
      </c>
      <c r="P111" s="321" t="s">
        <v>336</v>
      </c>
      <c r="Q111" s="321">
        <v>7.7460000000000001E-2</v>
      </c>
      <c r="R111" s="322">
        <f t="shared" ref="R111:AW111" si="31">R66*$C$111</f>
        <v>2.2009594648387549E-2</v>
      </c>
      <c r="S111" s="322">
        <f t="shared" si="31"/>
        <v>2.2784684533525237E-2</v>
      </c>
      <c r="T111" s="322">
        <f t="shared" si="31"/>
        <v>2.2611520931070286E-2</v>
      </c>
      <c r="U111" s="322">
        <f t="shared" si="31"/>
        <v>2.2439673371994338E-2</v>
      </c>
      <c r="V111" s="322">
        <f t="shared" si="31"/>
        <v>2.2269131854366915E-2</v>
      </c>
      <c r="W111" s="322">
        <f t="shared" si="31"/>
        <v>2.2099886452273936E-2</v>
      </c>
      <c r="X111" s="322">
        <f t="shared" si="31"/>
        <v>2.1931927315236657E-2</v>
      </c>
      <c r="Y111" s="322">
        <f t="shared" si="31"/>
        <v>2.1765244667640949E-2</v>
      </c>
      <c r="Z111" s="322">
        <f t="shared" si="31"/>
        <v>2.1599828808166653E-2</v>
      </c>
      <c r="AA111" s="322">
        <f t="shared" si="31"/>
        <v>2.14356701092248E-2</v>
      </c>
      <c r="AB111" s="322">
        <f t="shared" si="31"/>
        <v>2.1272759016394409E-2</v>
      </c>
      <c r="AC111" s="322">
        <f t="shared" si="31"/>
        <v>2.1111086047870174E-2</v>
      </c>
      <c r="AD111" s="322">
        <f t="shared" si="31"/>
        <v>2.0950641793906318E-2</v>
      </c>
      <c r="AE111" s="322">
        <f t="shared" si="31"/>
        <v>2.0791416916272606E-2</v>
      </c>
      <c r="AF111" s="322">
        <f t="shared" si="31"/>
        <v>2.0633402147708639E-2</v>
      </c>
      <c r="AG111" s="322">
        <f t="shared" si="31"/>
        <v>2.0476588291386089E-2</v>
      </c>
      <c r="AH111" s="322">
        <f t="shared" si="31"/>
        <v>2.0320966220371748E-2</v>
      </c>
      <c r="AI111" s="322">
        <f t="shared" si="31"/>
        <v>2.0166526877096851E-2</v>
      </c>
      <c r="AJ111" s="322">
        <f t="shared" si="31"/>
        <v>2.001326127283095E-2</v>
      </c>
      <c r="AK111" s="322">
        <f t="shared" si="31"/>
        <v>1.9861160487157487E-2</v>
      </c>
      <c r="AL111" s="322">
        <f t="shared" si="31"/>
        <v>1.9710215667455167E-2</v>
      </c>
      <c r="AM111" s="322">
        <f t="shared" si="31"/>
        <v>1.9560418028382279E-2</v>
      </c>
      <c r="AN111" s="322">
        <f t="shared" si="31"/>
        <v>1.9411758851366805E-2</v>
      </c>
      <c r="AO111" s="322">
        <f t="shared" si="31"/>
        <v>1.926422948409617E-2</v>
      </c>
      <c r="AP111" s="322">
        <f t="shared" si="31"/>
        <v>1.9117821340016938E-2</v>
      </c>
      <c r="AQ111" s="322">
        <f t="shared" si="31"/>
        <v>1.8972525897832878E-2</v>
      </c>
      <c r="AR111" s="322">
        <f t="shared" si="31"/>
        <v>1.8828334701009659E-2</v>
      </c>
      <c r="AS111" s="322">
        <f t="shared" si="31"/>
        <v>1.8685239357281662E-2</v>
      </c>
      <c r="AT111" s="322">
        <f t="shared" si="31"/>
        <v>1.8543231538166279E-2</v>
      </c>
      <c r="AU111" s="322">
        <f t="shared" si="31"/>
        <v>1.8402302978476538E-2</v>
      </c>
      <c r="AV111" s="322">
        <f t="shared" si="31"/>
        <v>1.826244547583997E-2</v>
      </c>
      <c r="AW111" s="322">
        <f t="shared" si="31"/>
        <v>1.8123650890223757E-2</v>
      </c>
      <c r="AX111" s="322">
        <f t="shared" ref="AX111:BQ111" si="32">AX66*$C$111</f>
        <v>1.798591114345776E-2</v>
      </c>
      <c r="AY111" s="322">
        <f t="shared" si="32"/>
        <v>1.7849218218767567E-2</v>
      </c>
      <c r="AZ111" s="322">
        <f t="shared" si="32"/>
        <v>1.7713564160305027E-2</v>
      </c>
      <c r="BA111" s="322">
        <f t="shared" si="32"/>
        <v>1.7578941072686722E-2</v>
      </c>
      <c r="BB111" s="322">
        <f t="shared" si="32"/>
        <v>1.7445341120534068E-2</v>
      </c>
      <c r="BC111" s="322">
        <f t="shared" si="32"/>
        <v>1.7312756528018045E-2</v>
      </c>
      <c r="BD111" s="322">
        <f t="shared" si="32"/>
        <v>1.7181179578405124E-2</v>
      </c>
      <c r="BE111" s="322">
        <f t="shared" si="32"/>
        <v>1.7050602613609491E-2</v>
      </c>
      <c r="BF111" s="322">
        <f t="shared" si="32"/>
        <v>1.6921018033746071E-2</v>
      </c>
      <c r="BG111" s="322">
        <f t="shared" si="32"/>
        <v>1.6792418296689406E-2</v>
      </c>
      <c r="BH111" s="322">
        <f t="shared" si="32"/>
        <v>1.6664795917634586E-2</v>
      </c>
      <c r="BI111" s="322">
        <f t="shared" si="32"/>
        <v>1.6538143468660726E-2</v>
      </c>
      <c r="BJ111" s="322">
        <f t="shared" si="32"/>
        <v>1.6412453578298972E-2</v>
      </c>
      <c r="BK111" s="322">
        <f t="shared" si="32"/>
        <v>1.6287718931103885E-2</v>
      </c>
      <c r="BL111" s="322">
        <f t="shared" si="32"/>
        <v>1.6163932267227288E-2</v>
      </c>
      <c r="BM111" s="322">
        <f t="shared" si="32"/>
        <v>1.6041086381996309E-2</v>
      </c>
      <c r="BN111" s="322">
        <f t="shared" si="32"/>
        <v>1.5919174125493069E-2</v>
      </c>
      <c r="BO111" s="322">
        <f t="shared" si="32"/>
        <v>1.5798188402139372E-2</v>
      </c>
      <c r="BP111" s="322">
        <f t="shared" si="32"/>
        <v>1.5678122170283079E-2</v>
      </c>
      <c r="BQ111" s="322">
        <f t="shared" si="32"/>
        <v>1.5558968441789035E-2</v>
      </c>
      <c r="BR111" s="246"/>
    </row>
    <row r="112" spans="1:70" x14ac:dyDescent="0.25">
      <c r="B112" s="669"/>
      <c r="C112" s="319">
        <v>0.48314606775000002</v>
      </c>
      <c r="D112" s="670" t="s">
        <v>28</v>
      </c>
      <c r="E112" s="671"/>
      <c r="F112" s="320" t="s">
        <v>342</v>
      </c>
      <c r="G112" s="321" t="s">
        <v>336</v>
      </c>
      <c r="H112" s="321" t="s">
        <v>336</v>
      </c>
      <c r="I112" s="321">
        <v>2.3E-3</v>
      </c>
      <c r="J112" s="321" t="s">
        <v>336</v>
      </c>
      <c r="K112" s="321">
        <v>2.3E-3</v>
      </c>
      <c r="L112" s="321" t="s">
        <v>336</v>
      </c>
      <c r="M112" s="321">
        <v>2.3E-3</v>
      </c>
      <c r="N112" s="321" t="s">
        <v>336</v>
      </c>
      <c r="O112" s="321">
        <v>1.1140000000000001E-2</v>
      </c>
      <c r="P112" s="321" t="s">
        <v>336</v>
      </c>
      <c r="Q112" s="321">
        <v>8.6E-3</v>
      </c>
      <c r="R112" s="323">
        <f t="shared" ref="R112:AW112" si="33">(R70-Q70)*$C$112</f>
        <v>7.1349334294623423E-8</v>
      </c>
      <c r="S112" s="323">
        <f t="shared" si="33"/>
        <v>-4.5901407143721548E-5</v>
      </c>
      <c r="T112" s="323">
        <f t="shared" si="33"/>
        <v>2.4943810742353892E-5</v>
      </c>
      <c r="U112" s="323">
        <f t="shared" si="33"/>
        <v>1.5908575159136661E-5</v>
      </c>
      <c r="V112" s="323">
        <f t="shared" si="33"/>
        <v>1.8270332766935151E-5</v>
      </c>
      <c r="W112" s="323">
        <f t="shared" si="33"/>
        <v>1.7686448293635974E-5</v>
      </c>
      <c r="X112" s="323">
        <f t="shared" si="33"/>
        <v>1.5922578805310519E-5</v>
      </c>
      <c r="Y112" s="323">
        <f t="shared" si="33"/>
        <v>1.3567340434683808E-5</v>
      </c>
      <c r="Z112" s="323">
        <f t="shared" si="33"/>
        <v>1.8791091548192594E-5</v>
      </c>
      <c r="AA112" s="323">
        <f t="shared" si="33"/>
        <v>1.6798336198805988E-5</v>
      </c>
      <c r="AB112" s="323">
        <f t="shared" si="33"/>
        <v>1.2964520966161959E-5</v>
      </c>
      <c r="AC112" s="323">
        <f t="shared" si="33"/>
        <v>1.4066093369822501E-5</v>
      </c>
      <c r="AD112" s="323">
        <f t="shared" si="33"/>
        <v>1.8710611356045929E-5</v>
      </c>
      <c r="AE112" s="323">
        <f t="shared" si="33"/>
        <v>1.4575045190938092E-5</v>
      </c>
      <c r="AF112" s="323">
        <f t="shared" si="33"/>
        <v>1.7087766037701528E-5</v>
      </c>
      <c r="AG112" s="323">
        <f t="shared" si="33"/>
        <v>1.399048616295028E-5</v>
      </c>
      <c r="AH112" s="323">
        <f t="shared" si="33"/>
        <v>1.3980791063494034E-5</v>
      </c>
      <c r="AI112" s="323">
        <f t="shared" si="33"/>
        <v>1.5103852945298839E-5</v>
      </c>
      <c r="AJ112" s="323">
        <f t="shared" si="33"/>
        <v>1.3423705326417018E-5</v>
      </c>
      <c r="AK112" s="323">
        <f t="shared" si="33"/>
        <v>1.3862100030836081E-5</v>
      </c>
      <c r="AL112" s="323">
        <f t="shared" si="33"/>
        <v>1.4921183858479627E-5</v>
      </c>
      <c r="AM112" s="323">
        <f t="shared" si="33"/>
        <v>1.3447133995708921E-5</v>
      </c>
      <c r="AN112" s="323">
        <f t="shared" si="33"/>
        <v>1.3515976217977583E-5</v>
      </c>
      <c r="AO112" s="323">
        <f t="shared" si="33"/>
        <v>1.3196368099399728E-5</v>
      </c>
      <c r="AP112" s="323">
        <f t="shared" si="33"/>
        <v>1.0362827358876466E-5</v>
      </c>
      <c r="AQ112" s="323">
        <f t="shared" si="33"/>
        <v>1.2985657895908511E-5</v>
      </c>
      <c r="AR112" s="323">
        <f t="shared" si="33"/>
        <v>1.1017538937468757E-5</v>
      </c>
      <c r="AS112" s="323">
        <f t="shared" si="33"/>
        <v>1.3550983488729652E-5</v>
      </c>
      <c r="AT112" s="323">
        <f t="shared" si="33"/>
        <v>1.0927009667928908E-5</v>
      </c>
      <c r="AU112" s="323">
        <f t="shared" si="33"/>
        <v>1.062632574679703E-5</v>
      </c>
      <c r="AV112" s="323">
        <f t="shared" si="33"/>
        <v>1.0825892770405143E-5</v>
      </c>
      <c r="AW112" s="323">
        <f t="shared" si="33"/>
        <v>1.0713234470827249E-5</v>
      </c>
      <c r="AX112" s="323">
        <f t="shared" ref="AX112:BQ112" si="34">(AX70-AW70)*$C$112</f>
        <v>1.1948937659329673E-5</v>
      </c>
      <c r="AY112" s="323">
        <f t="shared" si="34"/>
        <v>1.0672460469275588E-5</v>
      </c>
      <c r="AZ112" s="323">
        <f t="shared" si="34"/>
        <v>1.0491222784594792E-5</v>
      </c>
      <c r="BA112" s="323">
        <f t="shared" si="34"/>
        <v>1.064225337430524E-5</v>
      </c>
      <c r="BB112" s="323">
        <f t="shared" si="34"/>
        <v>1.0554132508383265E-5</v>
      </c>
      <c r="BC112" s="323">
        <f t="shared" si="34"/>
        <v>1.0657820938728202E-5</v>
      </c>
      <c r="BD112" s="323">
        <f t="shared" si="34"/>
        <v>1.0143449652335622E-5</v>
      </c>
      <c r="BE112" s="323">
        <f t="shared" si="34"/>
        <v>1.0070711003406817E-5</v>
      </c>
      <c r="BF112" s="323">
        <f t="shared" si="34"/>
        <v>9.9949312943601034E-6</v>
      </c>
      <c r="BG112" s="323">
        <f t="shared" si="34"/>
        <v>9.8753496989593815E-6</v>
      </c>
      <c r="BH112" s="323">
        <f t="shared" si="34"/>
        <v>9.7179386549410413E-6</v>
      </c>
      <c r="BI112" s="323">
        <f t="shared" si="34"/>
        <v>9.5904878370435474E-6</v>
      </c>
      <c r="BJ112" s="323">
        <f t="shared" si="34"/>
        <v>9.4761118940151737E-6</v>
      </c>
      <c r="BK112" s="323">
        <f t="shared" si="34"/>
        <v>9.3661517840116643E-6</v>
      </c>
      <c r="BL112" s="323">
        <f t="shared" si="34"/>
        <v>9.2325645730516009E-6</v>
      </c>
      <c r="BM112" s="323">
        <f t="shared" si="34"/>
        <v>9.1005542905858433E-6</v>
      </c>
      <c r="BN112" s="323">
        <f t="shared" si="34"/>
        <v>8.9597059760027245E-6</v>
      </c>
      <c r="BO112" s="323">
        <f t="shared" si="34"/>
        <v>8.8400977639433557E-6</v>
      </c>
      <c r="BP112" s="323">
        <f t="shared" si="34"/>
        <v>8.7167950977982604E-6</v>
      </c>
      <c r="BQ112" s="323">
        <f t="shared" si="34"/>
        <v>8.5903830837460832E-6</v>
      </c>
      <c r="BR112" s="246"/>
    </row>
    <row r="113" spans="2:70" x14ac:dyDescent="0.25">
      <c r="B113" s="669"/>
      <c r="C113" s="319">
        <v>0.4</v>
      </c>
      <c r="D113" s="670" t="s">
        <v>343</v>
      </c>
      <c r="E113" s="671"/>
      <c r="F113" s="320" t="s">
        <v>342</v>
      </c>
      <c r="G113" s="320"/>
      <c r="H113" s="320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>
        <f t="shared" ref="R113:AW113" si="35">(R75-Q75)*$C$113</f>
        <v>1.5276864652670597E-2</v>
      </c>
      <c r="S113" s="321">
        <f t="shared" si="35"/>
        <v>3.6935083706370976E-2</v>
      </c>
      <c r="T113" s="321">
        <f t="shared" si="35"/>
        <v>2.0508067968161472E-2</v>
      </c>
      <c r="U113" s="321">
        <f t="shared" si="35"/>
        <v>1.9712870077778888E-2</v>
      </c>
      <c r="V113" s="321">
        <f t="shared" si="35"/>
        <v>2.1947819944439576E-2</v>
      </c>
      <c r="W113" s="321">
        <f t="shared" si="35"/>
        <v>2.0563031172095948E-2</v>
      </c>
      <c r="X113" s="321">
        <f t="shared" si="35"/>
        <v>2.4287103673602674E-2</v>
      </c>
      <c r="Y113" s="321">
        <f t="shared" si="35"/>
        <v>2.6223003818035908E-2</v>
      </c>
      <c r="Z113" s="321">
        <f t="shared" si="35"/>
        <v>2.2552808215052879E-2</v>
      </c>
      <c r="AA113" s="321">
        <f t="shared" si="35"/>
        <v>2.437006181395418E-2</v>
      </c>
      <c r="AB113" s="321">
        <f t="shared" si="35"/>
        <v>2.9192389706068769E-2</v>
      </c>
      <c r="AC113" s="321">
        <f t="shared" si="35"/>
        <v>2.7741271165060512E-2</v>
      </c>
      <c r="AD113" s="321">
        <f t="shared" si="35"/>
        <v>2.3755752699858593E-2</v>
      </c>
      <c r="AE113" s="321">
        <f t="shared" si="35"/>
        <v>2.773715082822541E-2</v>
      </c>
      <c r="AF113" s="321">
        <f t="shared" si="35"/>
        <v>2.5284682016521034E-2</v>
      </c>
      <c r="AG113" s="321">
        <f t="shared" si="35"/>
        <v>2.8054635533848328E-2</v>
      </c>
      <c r="AH113" s="321">
        <f t="shared" si="35"/>
        <v>2.7517711276782111E-2</v>
      </c>
      <c r="AI113" s="321">
        <f t="shared" si="35"/>
        <v>2.580609667760321E-2</v>
      </c>
      <c r="AJ113" s="321">
        <f t="shared" si="35"/>
        <v>2.6492708115161537E-2</v>
      </c>
      <c r="AK113" s="321">
        <f t="shared" si="35"/>
        <v>2.5163535444932352E-2</v>
      </c>
      <c r="AL113" s="321">
        <f t="shared" si="35"/>
        <v>2.2837732578297933E-2</v>
      </c>
      <c r="AM113" s="321">
        <f t="shared" si="35"/>
        <v>2.3266073444985838E-2</v>
      </c>
      <c r="AN113" s="321">
        <f t="shared" si="35"/>
        <v>2.1824048303859912E-2</v>
      </c>
      <c r="AO113" s="321">
        <f t="shared" si="35"/>
        <v>2.1079465590033309E-2</v>
      </c>
      <c r="AP113" s="321">
        <f t="shared" si="35"/>
        <v>2.2712778299480263E-2</v>
      </c>
      <c r="AQ113" s="321">
        <f t="shared" si="35"/>
        <v>1.903928406457496E-2</v>
      </c>
      <c r="AR113" s="321">
        <f t="shared" si="35"/>
        <v>1.9978779991446063E-2</v>
      </c>
      <c r="AS113" s="321">
        <f t="shared" si="35"/>
        <v>1.6539499248214542E-2</v>
      </c>
      <c r="AT113" s="321">
        <f t="shared" si="35"/>
        <v>1.8449350302541492E-2</v>
      </c>
      <c r="AU113" s="321">
        <f t="shared" si="35"/>
        <v>1.8267196896059445E-2</v>
      </c>
      <c r="AV113" s="321">
        <f t="shared" si="35"/>
        <v>1.7459277025721677E-2</v>
      </c>
      <c r="AW113" s="321">
        <f t="shared" si="35"/>
        <v>1.7312790055536098E-2</v>
      </c>
      <c r="AX113" s="321">
        <f t="shared" ref="AX113:BQ113" si="36">(AX75-AW75)*$C$113</f>
        <v>1.8991451214623468E-2</v>
      </c>
      <c r="AY113" s="321">
        <f t="shared" si="36"/>
        <v>1.8445526240120812E-2</v>
      </c>
      <c r="AZ113" s="321">
        <f t="shared" si="36"/>
        <v>1.7979249474466743E-2</v>
      </c>
      <c r="BA113" s="321">
        <f t="shared" si="36"/>
        <v>1.7431791250932704E-2</v>
      </c>
      <c r="BB113" s="321">
        <f t="shared" si="36"/>
        <v>1.6938625305419563E-2</v>
      </c>
      <c r="BC113" s="321">
        <f t="shared" si="36"/>
        <v>1.6573428230705647E-2</v>
      </c>
      <c r="BD113" s="321">
        <f t="shared" si="36"/>
        <v>1.6152865124547233E-2</v>
      </c>
      <c r="BE113" s="321">
        <f t="shared" si="36"/>
        <v>1.5803398068834441E-2</v>
      </c>
      <c r="BF113" s="321">
        <f t="shared" si="36"/>
        <v>1.5481468469609894E-2</v>
      </c>
      <c r="BG113" s="321">
        <f t="shared" si="36"/>
        <v>1.5021849767433438E-2</v>
      </c>
      <c r="BH113" s="321">
        <f t="shared" si="36"/>
        <v>1.4788133819234873E-2</v>
      </c>
      <c r="BI113" s="321">
        <f t="shared" si="36"/>
        <v>1.4471478320680476E-2</v>
      </c>
      <c r="BJ113" s="321">
        <f t="shared" si="36"/>
        <v>1.4374342555869292E-2</v>
      </c>
      <c r="BK113" s="321">
        <f t="shared" si="36"/>
        <v>1.4135360045218093E-2</v>
      </c>
      <c r="BL113" s="321">
        <f t="shared" si="36"/>
        <v>1.3891978157572283E-2</v>
      </c>
      <c r="BM113" s="321">
        <f t="shared" si="36"/>
        <v>1.3687778686277952E-2</v>
      </c>
      <c r="BN113" s="321">
        <f t="shared" si="36"/>
        <v>1.3478925456207947E-2</v>
      </c>
      <c r="BO113" s="321">
        <f t="shared" si="36"/>
        <v>1.3136825506742512E-2</v>
      </c>
      <c r="BP113" s="321">
        <f t="shared" si="36"/>
        <v>1.2808587958874185E-2</v>
      </c>
      <c r="BQ113" s="321">
        <f t="shared" si="36"/>
        <v>1.2489539080653245E-2</v>
      </c>
      <c r="BR113" s="246"/>
    </row>
    <row r="114" spans="2:70" x14ac:dyDescent="0.25">
      <c r="B114" s="669"/>
      <c r="C114" s="319">
        <v>0.58509999999999995</v>
      </c>
      <c r="D114" s="670" t="s">
        <v>344</v>
      </c>
      <c r="E114" s="671"/>
      <c r="F114" s="320" t="s">
        <v>342</v>
      </c>
      <c r="G114" s="320" t="s">
        <v>336</v>
      </c>
      <c r="H114" s="320" t="s">
        <v>336</v>
      </c>
      <c r="I114" s="321">
        <v>2.4389999999999998E-2</v>
      </c>
      <c r="J114" s="321" t="s">
        <v>336</v>
      </c>
      <c r="K114" s="321">
        <v>2.4389999999999998E-2</v>
      </c>
      <c r="L114" s="321" t="s">
        <v>336</v>
      </c>
      <c r="M114" s="321">
        <v>2.4389999999999998E-2</v>
      </c>
      <c r="N114" s="321" t="s">
        <v>336</v>
      </c>
      <c r="O114" s="321">
        <v>5.355E-2</v>
      </c>
      <c r="P114" s="321" t="s">
        <v>336</v>
      </c>
      <c r="Q114" s="321">
        <v>1.486E-2</v>
      </c>
      <c r="R114" s="321">
        <f t="shared" ref="R114:AW114" si="37">(R77-Q77)*$C$114</f>
        <v>-3.9654976969999067E-3</v>
      </c>
      <c r="S114" s="321">
        <f t="shared" si="37"/>
        <v>-4.1489440999999752E-3</v>
      </c>
      <c r="T114" s="321">
        <f t="shared" si="37"/>
        <v>-4.1489440999999752E-3</v>
      </c>
      <c r="U114" s="321">
        <f t="shared" si="37"/>
        <v>-4.1489440999999752E-3</v>
      </c>
      <c r="V114" s="321">
        <f t="shared" si="37"/>
        <v>-4.1489440999999752E-3</v>
      </c>
      <c r="W114" s="321">
        <f t="shared" si="37"/>
        <v>-4.1489441000002354E-3</v>
      </c>
      <c r="X114" s="321">
        <f t="shared" si="37"/>
        <v>-4.1489440999999752E-3</v>
      </c>
      <c r="Y114" s="321">
        <f t="shared" si="37"/>
        <v>-4.1489440999999752E-3</v>
      </c>
      <c r="Z114" s="321">
        <f t="shared" si="37"/>
        <v>-4.1489440999999752E-3</v>
      </c>
      <c r="AA114" s="321">
        <f t="shared" si="37"/>
        <v>-4.1489440999999752E-3</v>
      </c>
      <c r="AB114" s="321">
        <f t="shared" si="37"/>
        <v>-4.1489440999999752E-3</v>
      </c>
      <c r="AC114" s="321">
        <f t="shared" si="37"/>
        <v>-4.1489440999999752E-3</v>
      </c>
      <c r="AD114" s="321">
        <f t="shared" si="37"/>
        <v>-4.1489440999999752E-3</v>
      </c>
      <c r="AE114" s="321">
        <f t="shared" si="37"/>
        <v>-4.1489440999999752E-3</v>
      </c>
      <c r="AF114" s="321">
        <f t="shared" si="37"/>
        <v>-4.1489440999999752E-3</v>
      </c>
      <c r="AG114" s="321">
        <f t="shared" si="37"/>
        <v>-4.1489440999999752E-3</v>
      </c>
      <c r="AH114" s="321">
        <f t="shared" si="37"/>
        <v>-4.1489441000002354E-3</v>
      </c>
      <c r="AI114" s="321">
        <f t="shared" si="37"/>
        <v>-4.1489440999999752E-3</v>
      </c>
      <c r="AJ114" s="321">
        <f t="shared" si="37"/>
        <v>-4.1489440999999752E-3</v>
      </c>
      <c r="AK114" s="321">
        <f t="shared" si="37"/>
        <v>-4.1489440999999752E-3</v>
      </c>
      <c r="AL114" s="321">
        <f t="shared" si="37"/>
        <v>-4.1489440999999752E-3</v>
      </c>
      <c r="AM114" s="321">
        <f t="shared" si="37"/>
        <v>-4.1489440999999752E-3</v>
      </c>
      <c r="AN114" s="321">
        <f t="shared" si="37"/>
        <v>-4.1489440999999752E-3</v>
      </c>
      <c r="AO114" s="321">
        <f t="shared" si="37"/>
        <v>-4.1489440999999752E-3</v>
      </c>
      <c r="AP114" s="321">
        <f t="shared" si="37"/>
        <v>-4.1489440999999752E-3</v>
      </c>
      <c r="AQ114" s="321">
        <f t="shared" si="37"/>
        <v>-4.1489440999999752E-3</v>
      </c>
      <c r="AR114" s="321">
        <f t="shared" si="37"/>
        <v>-4.1489440999999752E-3</v>
      </c>
      <c r="AS114" s="321">
        <f t="shared" si="37"/>
        <v>-4.1489441000002354E-3</v>
      </c>
      <c r="AT114" s="321">
        <f t="shared" si="37"/>
        <v>-4.1489440999999752E-3</v>
      </c>
      <c r="AU114" s="321">
        <f t="shared" si="37"/>
        <v>-4.1489440999999752E-3</v>
      </c>
      <c r="AV114" s="321">
        <f t="shared" si="37"/>
        <v>-4.1489440999999752E-3</v>
      </c>
      <c r="AW114" s="321">
        <f t="shared" si="37"/>
        <v>-4.1489440999999752E-3</v>
      </c>
      <c r="AX114" s="321">
        <f t="shared" ref="AX114:BQ114" si="38">(AX77-AW77)*$C$114</f>
        <v>-4.1489440999999752E-3</v>
      </c>
      <c r="AY114" s="321">
        <f t="shared" si="38"/>
        <v>-4.1489440999999752E-3</v>
      </c>
      <c r="AZ114" s="321">
        <f t="shared" si="38"/>
        <v>-4.1489440999999752E-3</v>
      </c>
      <c r="BA114" s="321">
        <f t="shared" si="38"/>
        <v>-4.1489440999999752E-3</v>
      </c>
      <c r="BB114" s="321">
        <f t="shared" si="38"/>
        <v>-4.1489440999999752E-3</v>
      </c>
      <c r="BC114" s="321">
        <f t="shared" si="38"/>
        <v>-4.1489441000002354E-3</v>
      </c>
      <c r="BD114" s="321">
        <f t="shared" si="38"/>
        <v>-4.1489440999999752E-3</v>
      </c>
      <c r="BE114" s="321">
        <f t="shared" si="38"/>
        <v>-4.1489440999999752E-3</v>
      </c>
      <c r="BF114" s="321">
        <f t="shared" si="38"/>
        <v>-4.1489440999999752E-3</v>
      </c>
      <c r="BG114" s="321">
        <f t="shared" si="38"/>
        <v>-4.1489440999999752E-3</v>
      </c>
      <c r="BH114" s="321">
        <f t="shared" si="38"/>
        <v>-4.1489440999999752E-3</v>
      </c>
      <c r="BI114" s="321">
        <f t="shared" si="38"/>
        <v>-4.1489440999999752E-3</v>
      </c>
      <c r="BJ114" s="321">
        <f t="shared" si="38"/>
        <v>-4.1489440999999752E-3</v>
      </c>
      <c r="BK114" s="321">
        <f t="shared" si="38"/>
        <v>-4.1489440999999752E-3</v>
      </c>
      <c r="BL114" s="321">
        <f t="shared" si="38"/>
        <v>-4.1489440999999752E-3</v>
      </c>
      <c r="BM114" s="321">
        <f t="shared" si="38"/>
        <v>-4.1489440999999752E-3</v>
      </c>
      <c r="BN114" s="321">
        <f t="shared" si="38"/>
        <v>-4.1489441000002354E-3</v>
      </c>
      <c r="BO114" s="321">
        <f t="shared" si="38"/>
        <v>-4.1489440999999752E-3</v>
      </c>
      <c r="BP114" s="321">
        <f t="shared" si="38"/>
        <v>-4.1489440999999752E-3</v>
      </c>
      <c r="BQ114" s="321">
        <f t="shared" si="38"/>
        <v>-4.1489440999999752E-3</v>
      </c>
      <c r="BR114" s="246"/>
    </row>
    <row r="115" spans="2:70" x14ac:dyDescent="0.25">
      <c r="B115" s="669"/>
      <c r="C115" s="319">
        <v>0.41610000000000003</v>
      </c>
      <c r="D115" s="670" t="s">
        <v>5</v>
      </c>
      <c r="E115" s="671"/>
      <c r="F115" s="320" t="s">
        <v>342</v>
      </c>
      <c r="G115" s="321" t="s">
        <v>336</v>
      </c>
      <c r="H115" s="321" t="s">
        <v>336</v>
      </c>
      <c r="I115" s="321">
        <v>8.3199999999999993E-3</v>
      </c>
      <c r="J115" s="321" t="s">
        <v>336</v>
      </c>
      <c r="K115" s="321">
        <v>8.3199999999999993E-3</v>
      </c>
      <c r="L115" s="321" t="s">
        <v>336</v>
      </c>
      <c r="M115" s="321">
        <v>8.3199999999999993E-3</v>
      </c>
      <c r="N115" s="321" t="s">
        <v>336</v>
      </c>
      <c r="O115" s="321">
        <v>1.022E-2</v>
      </c>
      <c r="P115" s="321" t="s">
        <v>336</v>
      </c>
      <c r="Q115" s="321">
        <v>6.7299999999999999E-3</v>
      </c>
      <c r="R115" s="323">
        <f t="shared" ref="R115:AW115" si="39">(R79-Q79)*$C$115</f>
        <v>-2.825140329156621E-4</v>
      </c>
      <c r="S115" s="323">
        <f t="shared" si="39"/>
        <v>-2.82124163550249E-4</v>
      </c>
      <c r="T115" s="323">
        <f t="shared" si="39"/>
        <v>-2.8173483220455495E-4</v>
      </c>
      <c r="U115" s="323">
        <f t="shared" si="39"/>
        <v>-2.8134603813611165E-4</v>
      </c>
      <c r="V115" s="323">
        <f t="shared" si="39"/>
        <v>-2.8095778060346726E-4</v>
      </c>
      <c r="W115" s="323">
        <f t="shared" si="39"/>
        <v>-2.8057005886623237E-4</v>
      </c>
      <c r="X115" s="323">
        <f t="shared" si="39"/>
        <v>-2.8018287218501081E-4</v>
      </c>
      <c r="Y115" s="323">
        <f t="shared" si="39"/>
        <v>-2.7979621982139965E-4</v>
      </c>
      <c r="Z115" s="323">
        <f t="shared" si="39"/>
        <v>-2.7941010103803537E-4</v>
      </c>
      <c r="AA115" s="323">
        <f t="shared" si="39"/>
        <v>-2.7902451509861703E-4</v>
      </c>
      <c r="AB115" s="323">
        <f t="shared" si="39"/>
        <v>-2.7863946126776743E-4</v>
      </c>
      <c r="AC115" s="323">
        <f t="shared" si="39"/>
        <v>-2.782549388112183E-4</v>
      </c>
      <c r="AD115" s="323">
        <f t="shared" si="39"/>
        <v>-2.7787094699567138E-4</v>
      </c>
      <c r="AE115" s="323">
        <f t="shared" si="39"/>
        <v>-2.7748748508879859E-4</v>
      </c>
      <c r="AF115" s="323">
        <f t="shared" si="39"/>
        <v>-2.7710455235938042E-4</v>
      </c>
      <c r="AG115" s="323">
        <f t="shared" si="39"/>
        <v>-2.767221480771215E-4</v>
      </c>
      <c r="AH115" s="323">
        <f t="shared" si="39"/>
        <v>-2.7634027151278884E-4</v>
      </c>
      <c r="AI115" s="323">
        <f t="shared" si="39"/>
        <v>-2.7595892193809648E-4</v>
      </c>
      <c r="AJ115" s="323">
        <f t="shared" si="39"/>
        <v>-2.7557809862582106E-4</v>
      </c>
      <c r="AK115" s="323">
        <f t="shared" si="39"/>
        <v>-2.7519780084970928E-4</v>
      </c>
      <c r="AL115" s="323">
        <f t="shared" si="39"/>
        <v>-2.7481802788454718E-4</v>
      </c>
      <c r="AM115" s="323">
        <f t="shared" si="39"/>
        <v>-2.7443877900606804E-4</v>
      </c>
      <c r="AN115" s="323">
        <f t="shared" si="39"/>
        <v>-2.7406005349104435E-4</v>
      </c>
      <c r="AO115" s="323">
        <f t="shared" si="39"/>
        <v>-2.7368185061721882E-4</v>
      </c>
      <c r="AP115" s="323">
        <f t="shared" si="39"/>
        <v>-2.7330416966337361E-4</v>
      </c>
      <c r="AQ115" s="323">
        <f t="shared" si="39"/>
        <v>-2.7292700990923778E-4</v>
      </c>
      <c r="AR115" s="323">
        <f t="shared" si="39"/>
        <v>-2.725503706355569E-4</v>
      </c>
      <c r="AS115" s="323">
        <f t="shared" si="39"/>
        <v>-2.7217425112406954E-4</v>
      </c>
      <c r="AT115" s="323">
        <f t="shared" si="39"/>
        <v>-2.7179865065753075E-4</v>
      </c>
      <c r="AU115" s="323">
        <f t="shared" si="39"/>
        <v>-2.7142356851961948E-4</v>
      </c>
      <c r="AV115" s="323">
        <f t="shared" si="39"/>
        <v>-2.71049003995054E-4</v>
      </c>
      <c r="AW115" s="323">
        <f t="shared" si="39"/>
        <v>-2.7067495636954599E-4</v>
      </c>
      <c r="AX115" s="323">
        <f t="shared" ref="AX115:BQ115" si="40">(AX79-AW79)*$C$115</f>
        <v>-2.7030142492975401E-4</v>
      </c>
      <c r="AY115" s="323">
        <f t="shared" si="40"/>
        <v>-2.6992840896335299E-4</v>
      </c>
      <c r="AZ115" s="323">
        <f t="shared" si="40"/>
        <v>-2.6955590775898792E-4</v>
      </c>
      <c r="BA115" s="323">
        <f t="shared" si="40"/>
        <v>-2.6918392060627398E-4</v>
      </c>
      <c r="BB115" s="323">
        <f t="shared" si="40"/>
        <v>-2.6881244679584273E-4</v>
      </c>
      <c r="BC115" s="323">
        <f t="shared" si="40"/>
        <v>-2.6844148561927256E-4</v>
      </c>
      <c r="BD115" s="323">
        <f t="shared" si="40"/>
        <v>-2.6807103636911219E-4</v>
      </c>
      <c r="BE115" s="323">
        <f t="shared" si="40"/>
        <v>-2.6770109833892659E-4</v>
      </c>
      <c r="BF115" s="323">
        <f t="shared" si="40"/>
        <v>-2.6733167082320454E-4</v>
      </c>
      <c r="BG115" s="323">
        <f t="shared" si="40"/>
        <v>-2.6696275311747445E-4</v>
      </c>
      <c r="BH115" s="323">
        <f t="shared" si="40"/>
        <v>-2.6659434451816545E-4</v>
      </c>
      <c r="BI115" s="323">
        <f t="shared" si="40"/>
        <v>-2.6622644432274602E-4</v>
      </c>
      <c r="BJ115" s="323">
        <f t="shared" si="40"/>
        <v>-2.6585905182958556E-4</v>
      </c>
      <c r="BK115" s="323">
        <f t="shared" si="40"/>
        <v>-2.6549216633804673E-4</v>
      </c>
      <c r="BL115" s="323">
        <f t="shared" si="40"/>
        <v>-2.6512578714850833E-4</v>
      </c>
      <c r="BM115" s="323">
        <f t="shared" si="40"/>
        <v>-2.6475991356222716E-4</v>
      </c>
      <c r="BN115" s="323">
        <f t="shared" si="40"/>
        <v>-2.6439454488152232E-4</v>
      </c>
      <c r="BO115" s="323">
        <f t="shared" si="40"/>
        <v>-2.6402968040959069E-4</v>
      </c>
      <c r="BP115" s="323">
        <f t="shared" si="40"/>
        <v>-2.6366531945062243E-4</v>
      </c>
      <c r="BQ115" s="323">
        <f t="shared" si="40"/>
        <v>-2.6330146130977772E-4</v>
      </c>
      <c r="BR115" s="246"/>
    </row>
    <row r="116" spans="2:70" x14ac:dyDescent="0.25">
      <c r="B116" s="669"/>
      <c r="C116" s="312"/>
      <c r="D116" s="670" t="s">
        <v>6</v>
      </c>
      <c r="E116" s="671"/>
      <c r="F116" s="320" t="s">
        <v>342</v>
      </c>
      <c r="G116" s="321" t="s">
        <v>336</v>
      </c>
      <c r="H116" s="321" t="s">
        <v>336</v>
      </c>
      <c r="I116" s="321">
        <v>0</v>
      </c>
      <c r="J116" s="321" t="s">
        <v>336</v>
      </c>
      <c r="K116" s="321">
        <v>0</v>
      </c>
      <c r="L116" s="321" t="s">
        <v>336</v>
      </c>
      <c r="M116" s="321">
        <v>0</v>
      </c>
      <c r="N116" s="321" t="s">
        <v>336</v>
      </c>
      <c r="O116" s="321">
        <v>0</v>
      </c>
      <c r="P116" s="321" t="s">
        <v>336</v>
      </c>
      <c r="Q116" s="321">
        <v>0</v>
      </c>
      <c r="R116" s="323"/>
      <c r="S116" s="323"/>
      <c r="T116" s="323"/>
      <c r="U116" s="323"/>
      <c r="V116" s="323"/>
      <c r="W116" s="323">
        <f t="shared" ref="W116:AW116" si="41">(W72-V72)*$C$116</f>
        <v>0</v>
      </c>
      <c r="X116" s="323">
        <f t="shared" si="41"/>
        <v>0</v>
      </c>
      <c r="Y116" s="323">
        <f t="shared" si="41"/>
        <v>0</v>
      </c>
      <c r="Z116" s="323">
        <f t="shared" si="41"/>
        <v>0</v>
      </c>
      <c r="AA116" s="323">
        <f t="shared" si="41"/>
        <v>0</v>
      </c>
      <c r="AB116" s="323">
        <f t="shared" si="41"/>
        <v>0</v>
      </c>
      <c r="AC116" s="323">
        <f t="shared" si="41"/>
        <v>0</v>
      </c>
      <c r="AD116" s="323">
        <f t="shared" si="41"/>
        <v>0</v>
      </c>
      <c r="AE116" s="323">
        <f t="shared" si="41"/>
        <v>0</v>
      </c>
      <c r="AF116" s="323">
        <f t="shared" si="41"/>
        <v>0</v>
      </c>
      <c r="AG116" s="323">
        <f t="shared" si="41"/>
        <v>0</v>
      </c>
      <c r="AH116" s="323">
        <f t="shared" si="41"/>
        <v>0</v>
      </c>
      <c r="AI116" s="323">
        <f t="shared" si="41"/>
        <v>0</v>
      </c>
      <c r="AJ116" s="323">
        <f t="shared" si="41"/>
        <v>0</v>
      </c>
      <c r="AK116" s="323">
        <f t="shared" si="41"/>
        <v>0</v>
      </c>
      <c r="AL116" s="323">
        <f t="shared" si="41"/>
        <v>0</v>
      </c>
      <c r="AM116" s="323">
        <f t="shared" si="41"/>
        <v>0</v>
      </c>
      <c r="AN116" s="323">
        <f t="shared" si="41"/>
        <v>0</v>
      </c>
      <c r="AO116" s="323">
        <f t="shared" si="41"/>
        <v>0</v>
      </c>
      <c r="AP116" s="323">
        <f t="shared" si="41"/>
        <v>0</v>
      </c>
      <c r="AQ116" s="323">
        <f t="shared" si="41"/>
        <v>0</v>
      </c>
      <c r="AR116" s="323">
        <f t="shared" si="41"/>
        <v>0</v>
      </c>
      <c r="AS116" s="323">
        <f t="shared" si="41"/>
        <v>0</v>
      </c>
      <c r="AT116" s="323">
        <f t="shared" si="41"/>
        <v>0</v>
      </c>
      <c r="AU116" s="323">
        <f t="shared" si="41"/>
        <v>0</v>
      </c>
      <c r="AV116" s="323">
        <f t="shared" si="41"/>
        <v>0</v>
      </c>
      <c r="AW116" s="323">
        <f t="shared" si="41"/>
        <v>0</v>
      </c>
      <c r="AX116" s="323" t="s">
        <v>336</v>
      </c>
      <c r="AY116" s="323"/>
      <c r="AZ116" s="323"/>
      <c r="BA116" s="323"/>
      <c r="BB116" s="323"/>
      <c r="BC116" s="323"/>
      <c r="BD116" s="323"/>
      <c r="BE116" s="323"/>
      <c r="BF116" s="323"/>
      <c r="BG116" s="323"/>
      <c r="BH116" s="323"/>
      <c r="BI116" s="323"/>
      <c r="BJ116" s="323"/>
      <c r="BK116" s="323"/>
      <c r="BL116" s="323"/>
      <c r="BM116" s="323"/>
      <c r="BN116" s="323"/>
      <c r="BO116" s="323"/>
      <c r="BP116" s="323"/>
      <c r="BQ116" s="323"/>
      <c r="BR116" s="246"/>
    </row>
    <row r="117" spans="2:70" x14ac:dyDescent="0.25">
      <c r="B117" s="669"/>
      <c r="C117" s="319">
        <v>0.1573</v>
      </c>
      <c r="D117" s="670" t="s">
        <v>29</v>
      </c>
      <c r="E117" s="671"/>
      <c r="F117" s="320" t="s">
        <v>342</v>
      </c>
      <c r="G117" s="321" t="s">
        <v>336</v>
      </c>
      <c r="H117" s="321" t="s">
        <v>336</v>
      </c>
      <c r="I117" s="321">
        <v>1.2800000000000001E-3</v>
      </c>
      <c r="J117" s="321" t="s">
        <v>336</v>
      </c>
      <c r="K117" s="321">
        <v>1.2800000000000001E-3</v>
      </c>
      <c r="L117" s="321" t="s">
        <v>336</v>
      </c>
      <c r="M117" s="321">
        <v>1.2800000000000001E-3</v>
      </c>
      <c r="N117" s="321" t="s">
        <v>336</v>
      </c>
      <c r="O117" s="321">
        <v>9.2300000000000004E-3</v>
      </c>
      <c r="P117" s="321" t="s">
        <v>336</v>
      </c>
      <c r="Q117" s="321">
        <v>1.5499999999999999E-3</v>
      </c>
      <c r="R117" s="323">
        <f t="shared" ref="R117:AW117" si="42">(R84-Q84)*$C$117</f>
        <v>2.1415989304848689E-4</v>
      </c>
      <c r="S117" s="323">
        <f t="shared" si="42"/>
        <v>2.1684496623129698E-4</v>
      </c>
      <c r="T117" s="323">
        <f t="shared" si="42"/>
        <v>2.1956370406482485E-4</v>
      </c>
      <c r="U117" s="323">
        <f t="shared" si="42"/>
        <v>2.2208601472618531E-4</v>
      </c>
      <c r="V117" s="323">
        <f t="shared" si="42"/>
        <v>2.2486757615216343E-4</v>
      </c>
      <c r="W117" s="323">
        <f t="shared" si="42"/>
        <v>2.276839758095174E-4</v>
      </c>
      <c r="X117" s="323">
        <f t="shared" si="42"/>
        <v>2.3053565003675991E-4</v>
      </c>
      <c r="Y117" s="323">
        <f t="shared" si="42"/>
        <v>2.3342304063740546E-4</v>
      </c>
      <c r="Z117" s="323">
        <f t="shared" si="42"/>
        <v>2.3634659494843298E-4</v>
      </c>
      <c r="AA117" s="323">
        <f t="shared" si="42"/>
        <v>2.3930676590958218E-4</v>
      </c>
      <c r="AB117" s="323">
        <f t="shared" si="42"/>
        <v>2.4230401213353177E-4</v>
      </c>
      <c r="AC117" s="323">
        <f t="shared" si="42"/>
        <v>2.4533879797694239E-4</v>
      </c>
      <c r="AD117" s="323">
        <f t="shared" si="42"/>
        <v>2.4841159361240742E-4</v>
      </c>
      <c r="AE117" s="323">
        <f t="shared" si="42"/>
        <v>2.515228751012945E-4</v>
      </c>
      <c r="AF117" s="323">
        <f t="shared" si="42"/>
        <v>2.546731244674952E-4</v>
      </c>
      <c r="AG117" s="323">
        <f t="shared" si="42"/>
        <v>2.5786282977210907E-4</v>
      </c>
      <c r="AH117" s="323">
        <f t="shared" si="42"/>
        <v>2.6109248518904875E-4</v>
      </c>
      <c r="AI117" s="323">
        <f t="shared" si="42"/>
        <v>2.6436259108162757E-4</v>
      </c>
      <c r="AJ117" s="323">
        <f t="shared" si="42"/>
        <v>2.6767365408003754E-4</v>
      </c>
      <c r="AK117" s="323">
        <f t="shared" si="42"/>
        <v>2.710261871598801E-4</v>
      </c>
      <c r="AL117" s="323">
        <f t="shared" si="42"/>
        <v>2.744207097216173E-4</v>
      </c>
      <c r="AM117" s="323">
        <f t="shared" si="42"/>
        <v>2.7785774767104542E-4</v>
      </c>
      <c r="AN117" s="323">
        <f t="shared" si="42"/>
        <v>2.813378335007807E-4</v>
      </c>
      <c r="AO117" s="323">
        <f t="shared" si="42"/>
        <v>2.8486150637275001E-4</v>
      </c>
      <c r="AP117" s="323">
        <f t="shared" si="42"/>
        <v>2.8842931220171997E-4</v>
      </c>
      <c r="AQ117" s="323">
        <f t="shared" si="42"/>
        <v>2.9204180373987873E-4</v>
      </c>
      <c r="AR117" s="323">
        <f t="shared" si="42"/>
        <v>2.9569954066247395E-4</v>
      </c>
      <c r="AS117" s="323">
        <f t="shared" si="42"/>
        <v>2.9940308965452068E-4</v>
      </c>
      <c r="AT117" s="323">
        <f t="shared" si="42"/>
        <v>3.0315302449858774E-4</v>
      </c>
      <c r="AU117" s="323">
        <f t="shared" si="42"/>
        <v>3.0694992616371001E-4</v>
      </c>
      <c r="AV117" s="323">
        <f t="shared" si="42"/>
        <v>3.1079438289537955E-4</v>
      </c>
      <c r="AW117" s="323">
        <f t="shared" si="42"/>
        <v>3.1468699030669375E-4</v>
      </c>
      <c r="AX117" s="323">
        <f t="shared" ref="AX117:BQ117" si="43">(AX84-AW84)*$C$117</f>
        <v>3.1862835147062956E-4</v>
      </c>
      <c r="AY117" s="323">
        <f t="shared" si="43"/>
        <v>3.2261907701346175E-4</v>
      </c>
      <c r="AZ117" s="323">
        <f t="shared" si="43"/>
        <v>3.2665978520939493E-4</v>
      </c>
      <c r="BA117" s="323">
        <f t="shared" si="43"/>
        <v>3.3075110207631784E-4</v>
      </c>
      <c r="BB117" s="323">
        <f t="shared" si="43"/>
        <v>3.348936614728188E-4</v>
      </c>
      <c r="BC117" s="323">
        <f t="shared" si="43"/>
        <v>3.3908810519637188E-4</v>
      </c>
      <c r="BD117" s="323">
        <f t="shared" si="43"/>
        <v>3.4333508308277997E-4</v>
      </c>
      <c r="BE117" s="323">
        <f t="shared" si="43"/>
        <v>3.4763525310684088E-4</v>
      </c>
      <c r="BF117" s="323">
        <f t="shared" si="43"/>
        <v>3.5198928148428752E-4</v>
      </c>
      <c r="BG117" s="323">
        <f t="shared" si="43"/>
        <v>3.5639784277502126E-4</v>
      </c>
      <c r="BH117" s="323">
        <f t="shared" si="43"/>
        <v>3.6086161998758869E-4</v>
      </c>
      <c r="BI117" s="323">
        <f t="shared" si="43"/>
        <v>3.6538130468503032E-4</v>
      </c>
      <c r="BJ117" s="323">
        <f t="shared" si="43"/>
        <v>3.6995759709200309E-4</v>
      </c>
      <c r="BK117" s="323">
        <f t="shared" si="43"/>
        <v>3.7459120620326146E-4</v>
      </c>
      <c r="BL117" s="323">
        <f t="shared" si="43"/>
        <v>3.7928284989352642E-4</v>
      </c>
      <c r="BM117" s="323">
        <f t="shared" si="43"/>
        <v>3.8403325502866907E-4</v>
      </c>
      <c r="BN117" s="323">
        <f t="shared" si="43"/>
        <v>3.8884315757835628E-4</v>
      </c>
      <c r="BO117" s="323">
        <f t="shared" si="43"/>
        <v>3.9371330273004146E-4</v>
      </c>
      <c r="BP117" s="323">
        <f t="shared" si="43"/>
        <v>3.9864444500443958E-4</v>
      </c>
      <c r="BQ117" s="323">
        <f t="shared" si="43"/>
        <v>4.0363734837240822E-4</v>
      </c>
      <c r="BR117" s="246"/>
    </row>
    <row r="118" spans="2:70" x14ac:dyDescent="0.25">
      <c r="B118" s="324" t="s">
        <v>336</v>
      </c>
      <c r="C118" s="324"/>
      <c r="D118" s="325" t="s">
        <v>336</v>
      </c>
      <c r="E118" s="282" t="s">
        <v>336</v>
      </c>
      <c r="F118" s="326" t="s">
        <v>253</v>
      </c>
      <c r="G118" s="327" t="s">
        <v>336</v>
      </c>
      <c r="H118" s="327" t="s">
        <v>336</v>
      </c>
      <c r="I118" s="327">
        <v>0.13102</v>
      </c>
      <c r="J118" s="327" t="s">
        <v>336</v>
      </c>
      <c r="K118" s="327">
        <v>0.13102</v>
      </c>
      <c r="L118" s="327" t="s">
        <v>336</v>
      </c>
      <c r="M118" s="327">
        <v>0.13102</v>
      </c>
      <c r="N118" s="327" t="s">
        <v>336</v>
      </c>
      <c r="O118" s="327">
        <v>0.1749</v>
      </c>
      <c r="P118" s="327" t="s">
        <v>336</v>
      </c>
      <c r="Q118" s="327">
        <v>0.10920000000000001</v>
      </c>
      <c r="R118" s="328">
        <v>0.10920000000000001</v>
      </c>
      <c r="S118" s="328">
        <v>0.10920000000000001</v>
      </c>
      <c r="T118" s="328">
        <v>0.10920000000000001</v>
      </c>
      <c r="U118" s="329">
        <f t="shared" ref="U118:AZ118" si="44">SUM(U111:U117)</f>
        <v>3.7960247901522456E-2</v>
      </c>
      <c r="V118" s="329">
        <f t="shared" si="44"/>
        <v>4.0030187827122143E-2</v>
      </c>
      <c r="W118" s="329">
        <f t="shared" si="44"/>
        <v>3.8478773889606563E-2</v>
      </c>
      <c r="X118" s="329">
        <f t="shared" si="44"/>
        <v>4.2036362245496416E-2</v>
      </c>
      <c r="Y118" s="329">
        <f t="shared" si="44"/>
        <v>4.3806498546927572E-2</v>
      </c>
      <c r="Z118" s="329">
        <f t="shared" si="44"/>
        <v>3.997942050867815E-2</v>
      </c>
      <c r="AA118" s="329">
        <f t="shared" si="44"/>
        <v>4.1633868410188769E-2</v>
      </c>
      <c r="AB118" s="329">
        <f t="shared" si="44"/>
        <v>4.6292833694295127E-2</v>
      </c>
      <c r="AC118" s="329">
        <f t="shared" si="44"/>
        <v>4.4684563065466254E-2</v>
      </c>
      <c r="AD118" s="329">
        <f t="shared" si="44"/>
        <v>4.0546701651737717E-2</v>
      </c>
      <c r="AE118" s="329">
        <f t="shared" si="44"/>
        <v>4.4368234079701474E-2</v>
      </c>
      <c r="AF118" s="329">
        <f t="shared" si="44"/>
        <v>4.1763796402375514E-2</v>
      </c>
      <c r="AG118" s="329">
        <f t="shared" si="44"/>
        <v>4.4377410893092384E-2</v>
      </c>
      <c r="AH118" s="329">
        <f t="shared" si="44"/>
        <v>4.3688466401893368E-2</v>
      </c>
      <c r="AI118" s="329">
        <f t="shared" si="44"/>
        <v>4.1827186976788916E-2</v>
      </c>
      <c r="AJ118" s="329">
        <f t="shared" si="44"/>
        <v>4.236254454877314E-2</v>
      </c>
      <c r="AK118" s="329">
        <f t="shared" si="44"/>
        <v>4.0885442318430866E-2</v>
      </c>
      <c r="AL118" s="329">
        <f t="shared" si="44"/>
        <v>3.8413528011448678E-2</v>
      </c>
      <c r="AM118" s="329">
        <f t="shared" si="44"/>
        <v>3.8694413476028824E-2</v>
      </c>
      <c r="AN118" s="329">
        <f t="shared" si="44"/>
        <v>3.7107656811454455E-2</v>
      </c>
      <c r="AO118" s="329">
        <f t="shared" si="44"/>
        <v>3.6219126997984429E-2</v>
      </c>
      <c r="AP118" s="329">
        <f t="shared" si="44"/>
        <v>3.7707143509394449E-2</v>
      </c>
      <c r="AQ118" s="329">
        <f t="shared" si="44"/>
        <v>3.3894966314134412E-2</v>
      </c>
      <c r="AR118" s="329">
        <f t="shared" si="44"/>
        <v>3.4692337301420129E-2</v>
      </c>
      <c r="AS118" s="329">
        <f t="shared" si="44"/>
        <v>3.1116574327515151E-2</v>
      </c>
      <c r="AT118" s="329">
        <f t="shared" si="44"/>
        <v>3.2885919124216789E-2</v>
      </c>
      <c r="AU118" s="329">
        <f t="shared" si="44"/>
        <v>3.2566708457926898E-2</v>
      </c>
      <c r="AV118" s="329">
        <f t="shared" si="44"/>
        <v>3.1623349673232402E-2</v>
      </c>
      <c r="AW118" s="329">
        <f t="shared" si="44"/>
        <v>3.1342222114167859E-2</v>
      </c>
      <c r="AX118" s="329">
        <f t="shared" si="44"/>
        <v>3.2888694122281459E-2</v>
      </c>
      <c r="AY118" s="329">
        <f t="shared" si="44"/>
        <v>3.2209163487407787E-2</v>
      </c>
      <c r="AZ118" s="329">
        <f t="shared" si="44"/>
        <v>3.1611464635006796E-2</v>
      </c>
      <c r="BA118" s="329">
        <f t="shared" ref="BA118:BQ118" si="45">SUM(BA111:BA117)</f>
        <v>3.0933997658463799E-2</v>
      </c>
      <c r="BB118" s="329">
        <f t="shared" si="45"/>
        <v>3.0311657673139012E-2</v>
      </c>
      <c r="BC118" s="329">
        <f t="shared" si="45"/>
        <v>2.9818545099239282E-2</v>
      </c>
      <c r="BD118" s="329">
        <f t="shared" si="45"/>
        <v>2.9270508099318384E-2</v>
      </c>
      <c r="BE118" s="329">
        <f t="shared" si="45"/>
        <v>2.8795061448215278E-2</v>
      </c>
      <c r="BF118" s="329">
        <f t="shared" si="45"/>
        <v>2.834819494531143E-2</v>
      </c>
      <c r="BG118" s="329">
        <f t="shared" si="45"/>
        <v>2.7764634403479375E-2</v>
      </c>
      <c r="BH118" s="329">
        <f t="shared" si="45"/>
        <v>2.7407970850993845E-2</v>
      </c>
      <c r="BI118" s="329">
        <f t="shared" si="45"/>
        <v>2.696942303754055E-2</v>
      </c>
      <c r="BJ118" s="329">
        <f t="shared" si="45"/>
        <v>2.6751426691324721E-2</v>
      </c>
      <c r="BK118" s="329">
        <f t="shared" si="45"/>
        <v>2.6392600067971228E-2</v>
      </c>
      <c r="BL118" s="329">
        <f t="shared" si="45"/>
        <v>2.6030355952117664E-2</v>
      </c>
      <c r="BM118" s="329">
        <f t="shared" si="45"/>
        <v>2.5708294864031318E-2</v>
      </c>
      <c r="BN118" s="329">
        <f t="shared" si="45"/>
        <v>2.5382563800373618E-2</v>
      </c>
      <c r="BO118" s="329">
        <f t="shared" si="45"/>
        <v>2.4924593528966303E-2</v>
      </c>
      <c r="BP118" s="329">
        <f t="shared" si="45"/>
        <v>2.4481461949808905E-2</v>
      </c>
      <c r="BQ118" s="329">
        <f t="shared" si="45"/>
        <v>2.404848969258868E-2</v>
      </c>
      <c r="BR118" s="246"/>
    </row>
    <row r="119" spans="2:70" x14ac:dyDescent="0.25">
      <c r="B119" s="324"/>
      <c r="C119" s="324"/>
      <c r="D119" s="325"/>
      <c r="E119" s="282"/>
      <c r="F119" s="282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330"/>
      <c r="AE119" s="330"/>
      <c r="AF119" s="330"/>
      <c r="AG119" s="330"/>
      <c r="AH119" s="330"/>
      <c r="AI119" s="330"/>
      <c r="AJ119" s="330"/>
      <c r="AK119" s="330"/>
      <c r="AL119" s="330"/>
      <c r="AM119" s="330"/>
      <c r="AN119" s="330"/>
      <c r="AO119" s="330"/>
      <c r="AP119" s="330"/>
      <c r="AQ119" s="330"/>
      <c r="AR119" s="330"/>
      <c r="AS119" s="330"/>
      <c r="AT119" s="330"/>
      <c r="AU119" s="330"/>
      <c r="AV119" s="330"/>
      <c r="AW119" s="330"/>
      <c r="AX119" s="330"/>
      <c r="AY119" s="330"/>
      <c r="AZ119" s="330"/>
      <c r="BA119" s="330"/>
      <c r="BB119" s="330"/>
      <c r="BC119" s="330"/>
      <c r="BD119" s="330"/>
      <c r="BE119" s="330"/>
      <c r="BF119" s="330"/>
      <c r="BG119" s="330"/>
      <c r="BH119" s="330"/>
      <c r="BI119" s="330"/>
      <c r="BJ119" s="330"/>
      <c r="BK119" s="330"/>
      <c r="BL119" s="330"/>
      <c r="BM119" s="330"/>
      <c r="BN119" s="330"/>
      <c r="BO119" s="330"/>
      <c r="BP119" s="330"/>
      <c r="BQ119" s="330"/>
      <c r="BR119" s="246"/>
    </row>
    <row r="120" spans="2:70" ht="15.75" x14ac:dyDescent="0.25">
      <c r="B120" s="324"/>
      <c r="C120" s="324"/>
      <c r="D120" s="243"/>
      <c r="E120" s="247"/>
      <c r="F120" s="248" t="s">
        <v>345</v>
      </c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323"/>
      <c r="R120" s="323"/>
      <c r="S120" s="328"/>
      <c r="T120" s="328"/>
      <c r="U120" s="329"/>
      <c r="V120" s="329"/>
      <c r="W120" s="329"/>
      <c r="X120" s="329"/>
      <c r="Y120" s="329"/>
      <c r="Z120" s="329"/>
      <c r="AA120" s="329"/>
      <c r="AB120" s="329"/>
      <c r="AC120" s="329"/>
      <c r="AD120" s="329"/>
      <c r="AE120" s="329"/>
      <c r="AF120" s="329"/>
      <c r="AG120" s="329"/>
      <c r="AH120" s="329"/>
      <c r="AI120" s="329"/>
      <c r="AJ120" s="329"/>
      <c r="AK120" s="329"/>
      <c r="AL120" s="329"/>
      <c r="AM120" s="329"/>
      <c r="AN120" s="329"/>
      <c r="AO120" s="329"/>
      <c r="AP120" s="329"/>
      <c r="AQ120" s="329"/>
      <c r="AR120" s="329"/>
      <c r="AS120" s="329"/>
      <c r="AT120" s="329"/>
      <c r="AU120" s="329"/>
      <c r="AV120" s="329"/>
      <c r="AW120" s="329"/>
      <c r="AX120" s="329"/>
      <c r="AY120" s="329"/>
      <c r="AZ120" s="329"/>
      <c r="BA120" s="329"/>
      <c r="BB120" s="329"/>
      <c r="BC120" s="329"/>
      <c r="BD120" s="329"/>
      <c r="BE120" s="329"/>
      <c r="BF120" s="329"/>
      <c r="BG120" s="329"/>
      <c r="BH120" s="329"/>
      <c r="BI120" s="329"/>
      <c r="BJ120" s="329"/>
      <c r="BK120" s="329"/>
      <c r="BL120" s="329"/>
      <c r="BM120" s="329"/>
      <c r="BN120" s="329"/>
      <c r="BO120" s="329"/>
      <c r="BP120" s="329"/>
      <c r="BQ120" s="329"/>
      <c r="BR120" s="246"/>
    </row>
    <row r="121" spans="2:70" x14ac:dyDescent="0.25">
      <c r="B121" s="324"/>
      <c r="C121" s="319">
        <v>0.70350000000000001</v>
      </c>
      <c r="D121" s="670" t="s">
        <v>341</v>
      </c>
      <c r="E121" s="671"/>
      <c r="F121" s="331" t="s">
        <v>346</v>
      </c>
      <c r="G121" s="323" t="s">
        <v>336</v>
      </c>
      <c r="H121" s="323" t="s">
        <v>336</v>
      </c>
      <c r="I121" s="323"/>
      <c r="J121" s="323"/>
      <c r="K121" s="323"/>
      <c r="L121" s="323"/>
      <c r="M121" s="323"/>
      <c r="N121" s="323"/>
      <c r="O121" s="323"/>
      <c r="P121" s="323"/>
      <c r="Q121" s="323">
        <f t="shared" ref="Q121:AV121" si="46">(Q66)*$C$121</f>
        <v>5.8059151500000003E-2</v>
      </c>
      <c r="R121" s="323">
        <f t="shared" si="46"/>
        <v>6.602878394516265E-2</v>
      </c>
      <c r="S121" s="323">
        <f t="shared" si="46"/>
        <v>6.8354053600575712E-2</v>
      </c>
      <c r="T121" s="323">
        <f t="shared" si="46"/>
        <v>6.7834562793210859E-2</v>
      </c>
      <c r="U121" s="323">
        <f t="shared" si="46"/>
        <v>6.7319020115983022E-2</v>
      </c>
      <c r="V121" s="323">
        <f t="shared" si="46"/>
        <v>6.6807395563100752E-2</v>
      </c>
      <c r="W121" s="323">
        <f t="shared" si="46"/>
        <v>6.6299659356821819E-2</v>
      </c>
      <c r="X121" s="323">
        <f t="shared" si="46"/>
        <v>6.5795781945709966E-2</v>
      </c>
      <c r="Y121" s="323">
        <f t="shared" si="46"/>
        <v>6.5295734002922851E-2</v>
      </c>
      <c r="Z121" s="323">
        <f t="shared" si="46"/>
        <v>6.4799486424499966E-2</v>
      </c>
      <c r="AA121" s="323">
        <f t="shared" si="46"/>
        <v>6.4307010327674399E-2</v>
      </c>
      <c r="AB121" s="323">
        <f t="shared" si="46"/>
        <v>6.3818277049183234E-2</v>
      </c>
      <c r="AC121" s="323">
        <f t="shared" si="46"/>
        <v>6.333325814361053E-2</v>
      </c>
      <c r="AD121" s="323">
        <f t="shared" si="46"/>
        <v>6.2851925381718951E-2</v>
      </c>
      <c r="AE121" s="323">
        <f t="shared" si="46"/>
        <v>6.2374250748817819E-2</v>
      </c>
      <c r="AF121" s="323">
        <f t="shared" si="46"/>
        <v>6.1900206443125924E-2</v>
      </c>
      <c r="AG121" s="323">
        <f t="shared" si="46"/>
        <v>6.1429764874158271E-2</v>
      </c>
      <c r="AH121" s="323">
        <f t="shared" si="46"/>
        <v>6.0962898661115247E-2</v>
      </c>
      <c r="AI121" s="323">
        <f t="shared" si="46"/>
        <v>6.0499580631290552E-2</v>
      </c>
      <c r="AJ121" s="323">
        <f t="shared" si="46"/>
        <v>6.0039783818492856E-2</v>
      </c>
      <c r="AK121" s="323">
        <f t="shared" si="46"/>
        <v>5.9583481461472465E-2</v>
      </c>
      <c r="AL121" s="323">
        <f t="shared" si="46"/>
        <v>5.9130647002365512E-2</v>
      </c>
      <c r="AM121" s="323">
        <f t="shared" si="46"/>
        <v>5.8681254085146836E-2</v>
      </c>
      <c r="AN121" s="323">
        <f t="shared" si="46"/>
        <v>5.8235276554100414E-2</v>
      </c>
      <c r="AO121" s="323">
        <f t="shared" si="46"/>
        <v>5.7792688452288507E-2</v>
      </c>
      <c r="AP121" s="323">
        <f t="shared" si="46"/>
        <v>5.7353464020050822E-2</v>
      </c>
      <c r="AQ121" s="323">
        <f t="shared" si="46"/>
        <v>5.6917577693498637E-2</v>
      </c>
      <c r="AR121" s="323">
        <f t="shared" si="46"/>
        <v>5.6485004103028973E-2</v>
      </c>
      <c r="AS121" s="323">
        <f t="shared" si="46"/>
        <v>5.6055718071844993E-2</v>
      </c>
      <c r="AT121" s="323">
        <f t="shared" si="46"/>
        <v>5.5629694614498848E-2</v>
      </c>
      <c r="AU121" s="323">
        <f t="shared" si="46"/>
        <v>5.5206908935429615E-2</v>
      </c>
      <c r="AV121" s="323">
        <f t="shared" si="46"/>
        <v>5.4787336427519914E-2</v>
      </c>
      <c r="AW121" s="323">
        <f t="shared" ref="AW121:BQ121" si="47">(AW66)*$C$121</f>
        <v>5.4370952670671276E-2</v>
      </c>
      <c r="AX121" s="323">
        <f t="shared" si="47"/>
        <v>5.3957733430373286E-2</v>
      </c>
      <c r="AY121" s="323">
        <f t="shared" si="47"/>
        <v>5.35476546563027E-2</v>
      </c>
      <c r="AZ121" s="323">
        <f t="shared" si="47"/>
        <v>5.3140692480915082E-2</v>
      </c>
      <c r="BA121" s="323">
        <f t="shared" si="47"/>
        <v>5.2736823218060169E-2</v>
      </c>
      <c r="BB121" s="323">
        <f t="shared" si="47"/>
        <v>5.2336023361602216E-2</v>
      </c>
      <c r="BC121" s="323">
        <f t="shared" si="47"/>
        <v>5.1938269584054141E-2</v>
      </c>
      <c r="BD121" s="323">
        <f t="shared" si="47"/>
        <v>5.1543538735215381E-2</v>
      </c>
      <c r="BE121" s="323">
        <f t="shared" si="47"/>
        <v>5.1151807840828477E-2</v>
      </c>
      <c r="BF121" s="323">
        <f t="shared" si="47"/>
        <v>5.0763054101238221E-2</v>
      </c>
      <c r="BG121" s="323">
        <f t="shared" si="47"/>
        <v>5.0377254890068217E-2</v>
      </c>
      <c r="BH121" s="323">
        <f t="shared" si="47"/>
        <v>4.9994387752903761E-2</v>
      </c>
      <c r="BI121" s="323">
        <f t="shared" si="47"/>
        <v>4.9614430405982179E-2</v>
      </c>
      <c r="BJ121" s="323">
        <f t="shared" si="47"/>
        <v>4.9237360734896922E-2</v>
      </c>
      <c r="BK121" s="323">
        <f t="shared" si="47"/>
        <v>4.8863156793311657E-2</v>
      </c>
      <c r="BL121" s="323">
        <f t="shared" si="47"/>
        <v>4.849179680168187E-2</v>
      </c>
      <c r="BM121" s="323">
        <f t="shared" si="47"/>
        <v>4.8123259145988931E-2</v>
      </c>
      <c r="BN121" s="323">
        <f t="shared" si="47"/>
        <v>4.7757522376479206E-2</v>
      </c>
      <c r="BO121" s="323">
        <f t="shared" si="47"/>
        <v>4.7394565206418118E-2</v>
      </c>
      <c r="BP121" s="323">
        <f t="shared" si="47"/>
        <v>4.7034366510849239E-2</v>
      </c>
      <c r="BQ121" s="323">
        <f t="shared" si="47"/>
        <v>4.6676905325367106E-2</v>
      </c>
      <c r="BR121" s="246"/>
    </row>
    <row r="122" spans="2:70" x14ac:dyDescent="0.25">
      <c r="B122" s="324"/>
      <c r="C122" s="319">
        <v>0.16104868924999999</v>
      </c>
      <c r="D122" s="670" t="s">
        <v>28</v>
      </c>
      <c r="E122" s="671"/>
      <c r="F122" s="320" t="s">
        <v>346</v>
      </c>
      <c r="G122" s="321" t="s">
        <v>336</v>
      </c>
      <c r="H122" s="321" t="s">
        <v>336</v>
      </c>
      <c r="I122" s="321"/>
      <c r="J122" s="321"/>
      <c r="K122" s="321"/>
      <c r="L122" s="321"/>
      <c r="M122" s="321"/>
      <c r="N122" s="321"/>
      <c r="O122" s="321"/>
      <c r="P122" s="321"/>
      <c r="Q122" s="323">
        <f t="shared" ref="Q122:AV122" si="48">(Q70-P70)*$C$122</f>
        <v>1.9647178328199847E-2</v>
      </c>
      <c r="R122" s="323">
        <f t="shared" si="48"/>
        <v>2.3783111431541139E-8</v>
      </c>
      <c r="S122" s="323">
        <f t="shared" si="48"/>
        <v>-1.5300469047907183E-5</v>
      </c>
      <c r="T122" s="323">
        <f t="shared" si="48"/>
        <v>8.3146035807846302E-6</v>
      </c>
      <c r="U122" s="323">
        <f t="shared" si="48"/>
        <v>5.3028583863788873E-6</v>
      </c>
      <c r="V122" s="323">
        <f t="shared" si="48"/>
        <v>6.0901109223117165E-6</v>
      </c>
      <c r="W122" s="323">
        <f t="shared" si="48"/>
        <v>5.8954827645453243E-6</v>
      </c>
      <c r="X122" s="323">
        <f t="shared" si="48"/>
        <v>5.307526268436839E-6</v>
      </c>
      <c r="Y122" s="323">
        <f t="shared" si="48"/>
        <v>4.5224468115612684E-6</v>
      </c>
      <c r="Z122" s="323">
        <f t="shared" si="48"/>
        <v>6.2636971827308641E-6</v>
      </c>
      <c r="AA122" s="323">
        <f t="shared" si="48"/>
        <v>5.599445399601995E-6</v>
      </c>
      <c r="AB122" s="323">
        <f t="shared" si="48"/>
        <v>4.3215069887206526E-6</v>
      </c>
      <c r="AC122" s="323">
        <f t="shared" si="48"/>
        <v>4.6886977899408334E-6</v>
      </c>
      <c r="AD122" s="323">
        <f t="shared" si="48"/>
        <v>6.2368704520153088E-6</v>
      </c>
      <c r="AE122" s="323">
        <f t="shared" si="48"/>
        <v>4.8583483969793636E-6</v>
      </c>
      <c r="AF122" s="323">
        <f t="shared" si="48"/>
        <v>5.6959220125671747E-6</v>
      </c>
      <c r="AG122" s="323">
        <f t="shared" si="48"/>
        <v>4.6634953876500925E-6</v>
      </c>
      <c r="AH122" s="323">
        <f t="shared" si="48"/>
        <v>4.6602636878313444E-6</v>
      </c>
      <c r="AI122" s="323">
        <f t="shared" si="48"/>
        <v>5.0346176484329453E-6</v>
      </c>
      <c r="AJ122" s="323">
        <f t="shared" si="48"/>
        <v>4.4745684421390057E-6</v>
      </c>
      <c r="AK122" s="323">
        <f t="shared" si="48"/>
        <v>4.6207000102786928E-6</v>
      </c>
      <c r="AL122" s="323">
        <f t="shared" si="48"/>
        <v>4.9737279528265416E-6</v>
      </c>
      <c r="AM122" s="323">
        <f t="shared" si="48"/>
        <v>4.4823779985696403E-6</v>
      </c>
      <c r="AN122" s="323">
        <f t="shared" si="48"/>
        <v>4.5053254059925266E-6</v>
      </c>
      <c r="AO122" s="323">
        <f t="shared" si="48"/>
        <v>4.3987893664665753E-6</v>
      </c>
      <c r="AP122" s="323">
        <f t="shared" si="48"/>
        <v>3.454275786292155E-6</v>
      </c>
      <c r="AQ122" s="323">
        <f t="shared" si="48"/>
        <v>4.3285526319695031E-6</v>
      </c>
      <c r="AR122" s="323">
        <f t="shared" si="48"/>
        <v>3.6725129791562519E-6</v>
      </c>
      <c r="AS122" s="323">
        <f t="shared" si="48"/>
        <v>4.5169944962432167E-6</v>
      </c>
      <c r="AT122" s="323">
        <f t="shared" si="48"/>
        <v>3.6423365559763024E-6</v>
      </c>
      <c r="AU122" s="323">
        <f t="shared" si="48"/>
        <v>3.5421085822656765E-6</v>
      </c>
      <c r="AV122" s="323">
        <f t="shared" si="48"/>
        <v>3.608630923468381E-6</v>
      </c>
      <c r="AW122" s="323">
        <f t="shared" ref="AW122:BQ122" si="49">(AW70-AV70)*$C$122</f>
        <v>3.5710781569424156E-6</v>
      </c>
      <c r="AX122" s="323">
        <f t="shared" si="49"/>
        <v>3.9829792197765572E-6</v>
      </c>
      <c r="AY122" s="323">
        <f t="shared" si="49"/>
        <v>3.5574868230918624E-6</v>
      </c>
      <c r="AZ122" s="323">
        <f t="shared" si="49"/>
        <v>3.4970742615315971E-6</v>
      </c>
      <c r="BA122" s="323">
        <f t="shared" si="49"/>
        <v>3.5474177914350793E-6</v>
      </c>
      <c r="BB122" s="323">
        <f t="shared" si="49"/>
        <v>3.5180441694610879E-6</v>
      </c>
      <c r="BC122" s="323">
        <f t="shared" si="49"/>
        <v>3.5526069795760668E-6</v>
      </c>
      <c r="BD122" s="323">
        <f t="shared" si="49"/>
        <v>3.3811498841118734E-6</v>
      </c>
      <c r="BE122" s="323">
        <f t="shared" si="49"/>
        <v>3.3569036678022722E-6</v>
      </c>
      <c r="BF122" s="323">
        <f t="shared" si="49"/>
        <v>3.3316437647867008E-6</v>
      </c>
      <c r="BG122" s="323">
        <f t="shared" si="49"/>
        <v>3.2917832329864598E-6</v>
      </c>
      <c r="BH122" s="323">
        <f t="shared" si="49"/>
        <v>3.2393128849803468E-6</v>
      </c>
      <c r="BI122" s="323">
        <f t="shared" si="49"/>
        <v>3.1968292790145152E-6</v>
      </c>
      <c r="BJ122" s="323">
        <f t="shared" si="49"/>
        <v>3.1587039646717246E-6</v>
      </c>
      <c r="BK122" s="323">
        <f t="shared" si="49"/>
        <v>3.1220505946705548E-6</v>
      </c>
      <c r="BL122" s="323">
        <f t="shared" si="49"/>
        <v>3.0775215243505331E-6</v>
      </c>
      <c r="BM122" s="323">
        <f t="shared" si="49"/>
        <v>3.0335180968619473E-6</v>
      </c>
      <c r="BN122" s="323">
        <f t="shared" si="49"/>
        <v>2.9865686586675746E-6</v>
      </c>
      <c r="BO122" s="323">
        <f t="shared" si="49"/>
        <v>2.9466992546477851E-6</v>
      </c>
      <c r="BP122" s="323">
        <f t="shared" si="49"/>
        <v>2.9055983659327532E-6</v>
      </c>
      <c r="BQ122" s="323">
        <f t="shared" si="49"/>
        <v>2.8634610279153609E-6</v>
      </c>
      <c r="BR122" s="246"/>
    </row>
    <row r="123" spans="2:70" x14ac:dyDescent="0.25">
      <c r="B123" s="324"/>
      <c r="C123" s="319">
        <v>0.09</v>
      </c>
      <c r="D123" s="673" t="s">
        <v>19</v>
      </c>
      <c r="E123" s="674"/>
      <c r="F123" s="320" t="s">
        <v>346</v>
      </c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3">
        <f t="shared" ref="Q123:AV123" si="50">(Q72-P72)*$C$123</f>
        <v>0.34925462999999995</v>
      </c>
      <c r="R123" s="323">
        <f t="shared" si="50"/>
        <v>1.9207041015838254E-3</v>
      </c>
      <c r="S123" s="323">
        <f t="shared" si="50"/>
        <v>4.2694431556945301E-4</v>
      </c>
      <c r="T123" s="323">
        <f t="shared" si="50"/>
        <v>4.0482671003459012E-3</v>
      </c>
      <c r="U123" s="323">
        <f t="shared" si="50"/>
        <v>4.1643224919443696E-3</v>
      </c>
      <c r="V123" s="323">
        <f t="shared" si="50"/>
        <v>3.5986446170855001E-3</v>
      </c>
      <c r="W123" s="323">
        <f t="shared" si="50"/>
        <v>3.8486346472086552E-3</v>
      </c>
      <c r="X123" s="323">
        <f t="shared" si="50"/>
        <v>2.949878143131066E-3</v>
      </c>
      <c r="Y123" s="323">
        <f t="shared" si="50"/>
        <v>2.4544206112667053E-3</v>
      </c>
      <c r="Z123" s="323">
        <f t="shared" si="50"/>
        <v>3.2195074655037635E-3</v>
      </c>
      <c r="AA123" s="323">
        <f t="shared" si="50"/>
        <v>2.7519582017127317E-3</v>
      </c>
      <c r="AB123" s="323">
        <f t="shared" si="50"/>
        <v>1.6091039925750204E-3</v>
      </c>
      <c r="AC123" s="323">
        <f t="shared" si="50"/>
        <v>1.8776738860160158E-3</v>
      </c>
      <c r="AD123" s="323">
        <f t="shared" si="50"/>
        <v>2.7164384876933222E-3</v>
      </c>
      <c r="AE123" s="323">
        <f t="shared" si="50"/>
        <v>1.7649447317271338E-3</v>
      </c>
      <c r="AF123" s="323">
        <f t="shared" si="50"/>
        <v>2.2605274662878647E-3</v>
      </c>
      <c r="AG123" s="323">
        <f t="shared" si="50"/>
        <v>1.5826668216731309E-3</v>
      </c>
      <c r="AH123" s="323">
        <f t="shared" si="50"/>
        <v>1.6489281862883942E-3</v>
      </c>
      <c r="AI123" s="323">
        <f t="shared" si="50"/>
        <v>1.9798361416859846E-3</v>
      </c>
      <c r="AJ123" s="323">
        <f t="shared" si="50"/>
        <v>1.7723364749802162E-3</v>
      </c>
      <c r="AK123" s="323">
        <f t="shared" si="50"/>
        <v>2.0185068417065554E-3</v>
      </c>
      <c r="AL123" s="323">
        <f t="shared" si="50"/>
        <v>2.4894006926180446E-3</v>
      </c>
      <c r="AM123" s="323">
        <f t="shared" si="50"/>
        <v>2.3416203594160655E-3</v>
      </c>
      <c r="AN123" s="323">
        <f t="shared" si="50"/>
        <v>2.6148209511653061E-3</v>
      </c>
      <c r="AO123" s="323">
        <f t="shared" si="50"/>
        <v>2.7316592333412612E-3</v>
      </c>
      <c r="AP123" s="323">
        <f t="shared" si="50"/>
        <v>2.3144952225492596E-3</v>
      </c>
      <c r="AQ123" s="323">
        <f t="shared" si="50"/>
        <v>3.090770265929299E-3</v>
      </c>
      <c r="AR123" s="323">
        <f t="shared" si="50"/>
        <v>2.8305266192211851E-3</v>
      </c>
      <c r="AS123" s="323">
        <f t="shared" si="50"/>
        <v>3.5550936879881955E-3</v>
      </c>
      <c r="AT123" s="323">
        <f t="shared" si="50"/>
        <v>3.0774092896218882E-3</v>
      </c>
      <c r="AU123" s="323">
        <f t="shared" si="50"/>
        <v>3.0705649382820432E-3</v>
      </c>
      <c r="AV123" s="323">
        <f t="shared" si="50"/>
        <v>3.2047393341461915E-3</v>
      </c>
      <c r="AW123" s="323">
        <f t="shared" ref="AW123:BQ123" si="51">(AW72-AV72)*$C$123</f>
        <v>3.1904454671924484E-3</v>
      </c>
      <c r="AX123" s="323">
        <f t="shared" si="51"/>
        <v>2.7657478920930243E-3</v>
      </c>
      <c r="AY123" s="323">
        <f t="shared" si="51"/>
        <v>2.8425484801448153E-3</v>
      </c>
      <c r="AZ123" s="323">
        <f t="shared" si="51"/>
        <v>2.9017149080580928E-3</v>
      </c>
      <c r="BA123" s="323">
        <f t="shared" si="51"/>
        <v>2.9795682374292019E-3</v>
      </c>
      <c r="BB123" s="323">
        <f t="shared" si="51"/>
        <v>3.0457254567619872E-3</v>
      </c>
      <c r="BC123" s="323">
        <f t="shared" si="51"/>
        <v>3.0835210681167077E-3</v>
      </c>
      <c r="BD123" s="323">
        <f t="shared" si="51"/>
        <v>3.1343481839519781E-3</v>
      </c>
      <c r="BE123" s="323">
        <f t="shared" si="51"/>
        <v>3.1695472233121613E-3</v>
      </c>
      <c r="BF123" s="323">
        <f t="shared" si="51"/>
        <v>3.1989933823529438E-3</v>
      </c>
      <c r="BG123" s="323">
        <f t="shared" si="51"/>
        <v>3.2598618072550065E-3</v>
      </c>
      <c r="BH123" s="323">
        <f t="shared" si="51"/>
        <v>3.2703346987601467E-3</v>
      </c>
      <c r="BI123" s="323">
        <f t="shared" si="51"/>
        <v>3.2998803378535245E-3</v>
      </c>
      <c r="BJ123" s="323">
        <f t="shared" si="51"/>
        <v>3.2804398362503658E-3</v>
      </c>
      <c r="BK123" s="323">
        <f t="shared" si="51"/>
        <v>3.2933134909354411E-3</v>
      </c>
      <c r="BL123" s="323">
        <f t="shared" si="51"/>
        <v>3.307572020688738E-3</v>
      </c>
      <c r="BM123" s="323">
        <f t="shared" si="51"/>
        <v>3.3133959130557411E-3</v>
      </c>
      <c r="BN123" s="323">
        <f t="shared" si="51"/>
        <v>3.3206412729667356E-3</v>
      </c>
      <c r="BO123" s="323">
        <f t="shared" si="51"/>
        <v>3.3582268849350959E-3</v>
      </c>
      <c r="BP123" s="323">
        <f t="shared" si="51"/>
        <v>3.3930487652623939E-3</v>
      </c>
      <c r="BQ123" s="323">
        <f t="shared" si="51"/>
        <v>3.4261492775097754E-3</v>
      </c>
      <c r="BR123" s="246"/>
    </row>
    <row r="124" spans="2:70" x14ac:dyDescent="0.25">
      <c r="B124" s="324"/>
      <c r="C124" s="319">
        <v>0.19500000000000001</v>
      </c>
      <c r="D124" s="673" t="s">
        <v>344</v>
      </c>
      <c r="E124" s="674"/>
      <c r="F124" s="321" t="s">
        <v>346</v>
      </c>
      <c r="G124" s="321" t="s">
        <v>336</v>
      </c>
      <c r="H124" s="321" t="s">
        <v>336</v>
      </c>
      <c r="I124" s="321"/>
      <c r="J124" s="321"/>
      <c r="K124" s="321"/>
      <c r="L124" s="321"/>
      <c r="M124" s="321"/>
      <c r="N124" s="321"/>
      <c r="O124" s="321"/>
      <c r="P124" s="321"/>
      <c r="Q124" s="321">
        <f>((R77-Q77)*$C$124)*-1</f>
        <v>1.3216066499999691E-3</v>
      </c>
      <c r="R124" s="321">
        <f t="shared" ref="R124:AW124" si="52">(R77-Q77)*$C$124</f>
        <v>-1.3216066499999691E-3</v>
      </c>
      <c r="S124" s="321">
        <f t="shared" si="52"/>
        <v>-1.3827449999999919E-3</v>
      </c>
      <c r="T124" s="321">
        <f t="shared" si="52"/>
        <v>-1.3827449999999919E-3</v>
      </c>
      <c r="U124" s="321">
        <f t="shared" si="52"/>
        <v>-1.3827449999999919E-3</v>
      </c>
      <c r="V124" s="321">
        <f t="shared" si="52"/>
        <v>-1.3827449999999919E-3</v>
      </c>
      <c r="W124" s="321">
        <f t="shared" si="52"/>
        <v>-1.3827450000000786E-3</v>
      </c>
      <c r="X124" s="321">
        <f t="shared" si="52"/>
        <v>-1.3827449999999919E-3</v>
      </c>
      <c r="Y124" s="321">
        <f t="shared" si="52"/>
        <v>-1.3827449999999919E-3</v>
      </c>
      <c r="Z124" s="321">
        <f t="shared" si="52"/>
        <v>-1.3827449999999919E-3</v>
      </c>
      <c r="AA124" s="321">
        <f t="shared" si="52"/>
        <v>-1.3827449999999919E-3</v>
      </c>
      <c r="AB124" s="321">
        <f t="shared" si="52"/>
        <v>-1.3827449999999919E-3</v>
      </c>
      <c r="AC124" s="321">
        <f t="shared" si="52"/>
        <v>-1.3827449999999919E-3</v>
      </c>
      <c r="AD124" s="321">
        <f t="shared" si="52"/>
        <v>-1.3827449999999919E-3</v>
      </c>
      <c r="AE124" s="321">
        <f t="shared" si="52"/>
        <v>-1.3827449999999919E-3</v>
      </c>
      <c r="AF124" s="321">
        <f t="shared" si="52"/>
        <v>-1.3827449999999919E-3</v>
      </c>
      <c r="AG124" s="321">
        <f t="shared" si="52"/>
        <v>-1.3827449999999919E-3</v>
      </c>
      <c r="AH124" s="321">
        <f t="shared" si="52"/>
        <v>-1.3827450000000786E-3</v>
      </c>
      <c r="AI124" s="321">
        <f t="shared" si="52"/>
        <v>-1.3827449999999919E-3</v>
      </c>
      <c r="AJ124" s="321">
        <f t="shared" si="52"/>
        <v>-1.3827449999999919E-3</v>
      </c>
      <c r="AK124" s="321">
        <f t="shared" si="52"/>
        <v>-1.3827449999999919E-3</v>
      </c>
      <c r="AL124" s="321">
        <f t="shared" si="52"/>
        <v>-1.3827449999999919E-3</v>
      </c>
      <c r="AM124" s="321">
        <f t="shared" si="52"/>
        <v>-1.3827449999999919E-3</v>
      </c>
      <c r="AN124" s="321">
        <f t="shared" si="52"/>
        <v>-1.3827449999999919E-3</v>
      </c>
      <c r="AO124" s="321">
        <f t="shared" si="52"/>
        <v>-1.3827449999999919E-3</v>
      </c>
      <c r="AP124" s="321">
        <f t="shared" si="52"/>
        <v>-1.3827449999999919E-3</v>
      </c>
      <c r="AQ124" s="321">
        <f t="shared" si="52"/>
        <v>-1.3827449999999919E-3</v>
      </c>
      <c r="AR124" s="321">
        <f t="shared" si="52"/>
        <v>-1.3827449999999919E-3</v>
      </c>
      <c r="AS124" s="321">
        <f t="shared" si="52"/>
        <v>-1.3827450000000786E-3</v>
      </c>
      <c r="AT124" s="321">
        <f t="shared" si="52"/>
        <v>-1.3827449999999919E-3</v>
      </c>
      <c r="AU124" s="321">
        <f t="shared" si="52"/>
        <v>-1.3827449999999919E-3</v>
      </c>
      <c r="AV124" s="321">
        <f t="shared" si="52"/>
        <v>-1.3827449999999919E-3</v>
      </c>
      <c r="AW124" s="321">
        <f t="shared" si="52"/>
        <v>-1.3827449999999919E-3</v>
      </c>
      <c r="AX124" s="321">
        <f t="shared" ref="AX124:BQ124" si="53">(AX77-AW77)*$C$124</f>
        <v>-1.3827449999999919E-3</v>
      </c>
      <c r="AY124" s="321">
        <f t="shared" si="53"/>
        <v>-1.3827449999999919E-3</v>
      </c>
      <c r="AZ124" s="321">
        <f t="shared" si="53"/>
        <v>-1.3827449999999919E-3</v>
      </c>
      <c r="BA124" s="321">
        <f t="shared" si="53"/>
        <v>-1.3827449999999919E-3</v>
      </c>
      <c r="BB124" s="321">
        <f t="shared" si="53"/>
        <v>-1.3827449999999919E-3</v>
      </c>
      <c r="BC124" s="321">
        <f t="shared" si="53"/>
        <v>-1.3827450000000786E-3</v>
      </c>
      <c r="BD124" s="321">
        <f t="shared" si="53"/>
        <v>-1.3827449999999919E-3</v>
      </c>
      <c r="BE124" s="321">
        <f t="shared" si="53"/>
        <v>-1.3827449999999919E-3</v>
      </c>
      <c r="BF124" s="321">
        <f t="shared" si="53"/>
        <v>-1.3827449999999919E-3</v>
      </c>
      <c r="BG124" s="321">
        <f t="shared" si="53"/>
        <v>-1.3827449999999919E-3</v>
      </c>
      <c r="BH124" s="321">
        <f t="shared" si="53"/>
        <v>-1.3827449999999919E-3</v>
      </c>
      <c r="BI124" s="321">
        <f t="shared" si="53"/>
        <v>-1.3827449999999919E-3</v>
      </c>
      <c r="BJ124" s="321">
        <f t="shared" si="53"/>
        <v>-1.3827449999999919E-3</v>
      </c>
      <c r="BK124" s="321">
        <f t="shared" si="53"/>
        <v>-1.3827449999999919E-3</v>
      </c>
      <c r="BL124" s="321">
        <f t="shared" si="53"/>
        <v>-1.3827449999999919E-3</v>
      </c>
      <c r="BM124" s="321">
        <f t="shared" si="53"/>
        <v>-1.3827449999999919E-3</v>
      </c>
      <c r="BN124" s="321">
        <f t="shared" si="53"/>
        <v>-1.3827450000000786E-3</v>
      </c>
      <c r="BO124" s="321">
        <f t="shared" si="53"/>
        <v>-1.3827449999999919E-3</v>
      </c>
      <c r="BP124" s="321">
        <f t="shared" si="53"/>
        <v>-1.3827449999999919E-3</v>
      </c>
      <c r="BQ124" s="321">
        <f t="shared" si="53"/>
        <v>-1.3827449999999919E-3</v>
      </c>
      <c r="BR124" s="246"/>
    </row>
    <row r="125" spans="2:70" x14ac:dyDescent="0.25">
      <c r="B125" s="324"/>
      <c r="C125" s="319">
        <v>0.13869999999999999</v>
      </c>
      <c r="D125" s="670" t="s">
        <v>5</v>
      </c>
      <c r="E125" s="671"/>
      <c r="F125" s="320" t="s">
        <v>346</v>
      </c>
      <c r="G125" s="321" t="s">
        <v>336</v>
      </c>
      <c r="H125" s="321" t="s">
        <v>336</v>
      </c>
      <c r="I125" s="321"/>
      <c r="J125" s="321"/>
      <c r="K125" s="321"/>
      <c r="L125" s="321"/>
      <c r="M125" s="321"/>
      <c r="N125" s="321"/>
      <c r="O125" s="321"/>
      <c r="P125" s="321"/>
      <c r="Q125" s="323">
        <f t="shared" ref="Q125:AV125" si="54">(Q79-P79)*$C$125</f>
        <v>6.8240104568999996E-2</v>
      </c>
      <c r="R125" s="323">
        <f t="shared" si="54"/>
        <v>-9.417134430522069E-5</v>
      </c>
      <c r="S125" s="323">
        <f t="shared" si="54"/>
        <v>-9.4041387850082999E-5</v>
      </c>
      <c r="T125" s="323">
        <f t="shared" si="54"/>
        <v>-9.3911610734851637E-5</v>
      </c>
      <c r="U125" s="323">
        <f t="shared" si="54"/>
        <v>-9.3782012712037197E-5</v>
      </c>
      <c r="V125" s="323">
        <f t="shared" si="54"/>
        <v>-9.3652593534489072E-5</v>
      </c>
      <c r="W125" s="323">
        <f t="shared" si="54"/>
        <v>-9.3523352955410767E-5</v>
      </c>
      <c r="X125" s="323">
        <f t="shared" si="54"/>
        <v>-9.339429072833692E-5</v>
      </c>
      <c r="Y125" s="323">
        <f t="shared" si="54"/>
        <v>-9.3265406607133199E-5</v>
      </c>
      <c r="Z125" s="323">
        <f t="shared" si="54"/>
        <v>-9.3136700346011786E-5</v>
      </c>
      <c r="AA125" s="323">
        <f t="shared" si="54"/>
        <v>-9.3008171699538987E-5</v>
      </c>
      <c r="AB125" s="323">
        <f t="shared" si="54"/>
        <v>-9.2879820422589135E-5</v>
      </c>
      <c r="AC125" s="323">
        <f t="shared" si="54"/>
        <v>-9.2751646270406094E-5</v>
      </c>
      <c r="AD125" s="323">
        <f t="shared" si="54"/>
        <v>-9.2623648998557123E-5</v>
      </c>
      <c r="AE125" s="323">
        <f t="shared" si="54"/>
        <v>-9.2495828362932841E-5</v>
      </c>
      <c r="AF125" s="323">
        <f t="shared" si="54"/>
        <v>-9.2368184119793461E-5</v>
      </c>
      <c r="AG125" s="323">
        <f t="shared" si="54"/>
        <v>-9.2240716025707162E-5</v>
      </c>
      <c r="AH125" s="323">
        <f t="shared" si="54"/>
        <v>-9.2113423837596263E-5</v>
      </c>
      <c r="AI125" s="323">
        <f t="shared" si="54"/>
        <v>-9.1986307312698817E-5</v>
      </c>
      <c r="AJ125" s="323">
        <f t="shared" si="54"/>
        <v>-9.1859366208607007E-5</v>
      </c>
      <c r="AK125" s="323">
        <f t="shared" si="54"/>
        <v>-9.1732600283236403E-5</v>
      </c>
      <c r="AL125" s="323">
        <f t="shared" si="54"/>
        <v>-9.160600929484906E-5</v>
      </c>
      <c r="AM125" s="323">
        <f t="shared" si="54"/>
        <v>-9.1479593002022672E-5</v>
      </c>
      <c r="AN125" s="323">
        <f t="shared" si="54"/>
        <v>-9.1353351163681444E-5</v>
      </c>
      <c r="AO125" s="323">
        <f t="shared" si="54"/>
        <v>-9.122728353907293E-5</v>
      </c>
      <c r="AP125" s="323">
        <f t="shared" si="54"/>
        <v>-9.1101389887791195E-5</v>
      </c>
      <c r="AQ125" s="323">
        <f t="shared" si="54"/>
        <v>-9.0975669969745916E-5</v>
      </c>
      <c r="AR125" s="323">
        <f t="shared" si="54"/>
        <v>-9.085012354518561E-5</v>
      </c>
      <c r="AS125" s="323">
        <f t="shared" si="54"/>
        <v>-9.0724750374689828E-5</v>
      </c>
      <c r="AT125" s="323">
        <f t="shared" si="54"/>
        <v>-9.0599550219176893E-5</v>
      </c>
      <c r="AU125" s="323">
        <f t="shared" si="54"/>
        <v>-9.0474522839873136E-5</v>
      </c>
      <c r="AV125" s="323">
        <f t="shared" si="54"/>
        <v>-9.0349667998351334E-5</v>
      </c>
      <c r="AW125" s="323">
        <f t="shared" ref="AW125:BQ125" si="55">(AW79-AV79)*$C$125</f>
        <v>-9.0224985456515322E-5</v>
      </c>
      <c r="AX125" s="323">
        <f t="shared" si="55"/>
        <v>-9.0100474976584669E-5</v>
      </c>
      <c r="AY125" s="323">
        <f t="shared" si="55"/>
        <v>-8.997613632111765E-5</v>
      </c>
      <c r="AZ125" s="323">
        <f t="shared" si="55"/>
        <v>-8.9851969252995956E-5</v>
      </c>
      <c r="BA125" s="323">
        <f t="shared" si="55"/>
        <v>-8.9727973535424656E-5</v>
      </c>
      <c r="BB125" s="323">
        <f t="shared" si="55"/>
        <v>-8.9604148931947563E-5</v>
      </c>
      <c r="BC125" s="323">
        <f t="shared" si="55"/>
        <v>-8.948049520642417E-5</v>
      </c>
      <c r="BD125" s="323">
        <f t="shared" si="55"/>
        <v>-8.9357012123037388E-5</v>
      </c>
      <c r="BE125" s="323">
        <f t="shared" si="55"/>
        <v>-8.9233699446308846E-5</v>
      </c>
      <c r="BF125" s="323">
        <f t="shared" si="55"/>
        <v>-8.911055694106818E-5</v>
      </c>
      <c r="BG125" s="323">
        <f t="shared" si="55"/>
        <v>-8.8987584372491484E-5</v>
      </c>
      <c r="BH125" s="323">
        <f t="shared" si="55"/>
        <v>-8.8864781506055136E-5</v>
      </c>
      <c r="BI125" s="323">
        <f t="shared" si="55"/>
        <v>-8.8742148107581997E-5</v>
      </c>
      <c r="BJ125" s="323">
        <f t="shared" si="55"/>
        <v>-8.8619683943195169E-5</v>
      </c>
      <c r="BK125" s="323">
        <f t="shared" si="55"/>
        <v>-8.8497388779348887E-5</v>
      </c>
      <c r="BL125" s="323">
        <f t="shared" si="55"/>
        <v>-8.83752623828361E-5</v>
      </c>
      <c r="BM125" s="323">
        <f t="shared" si="55"/>
        <v>-8.8253304520742373E-5</v>
      </c>
      <c r="BN125" s="323">
        <f t="shared" si="55"/>
        <v>-8.8131514960507423E-5</v>
      </c>
      <c r="BO125" s="323">
        <f t="shared" si="55"/>
        <v>-8.8009893469863541E-5</v>
      </c>
      <c r="BP125" s="323">
        <f t="shared" si="55"/>
        <v>-8.7888439816874119E-5</v>
      </c>
      <c r="BQ125" s="323">
        <f t="shared" si="55"/>
        <v>-8.7767153769925899E-5</v>
      </c>
      <c r="BR125" s="246"/>
    </row>
    <row r="126" spans="2:70" x14ac:dyDescent="0.25">
      <c r="B126" s="324"/>
      <c r="C126" s="312"/>
      <c r="D126" s="670" t="s">
        <v>6</v>
      </c>
      <c r="E126" s="671"/>
      <c r="F126" s="320" t="s">
        <v>346</v>
      </c>
      <c r="G126" s="321" t="s">
        <v>336</v>
      </c>
      <c r="H126" s="321" t="s">
        <v>336</v>
      </c>
      <c r="I126" s="321"/>
      <c r="J126" s="321"/>
      <c r="K126" s="321"/>
      <c r="L126" s="321"/>
      <c r="M126" s="321"/>
      <c r="N126" s="321"/>
      <c r="O126" s="321"/>
      <c r="P126" s="321"/>
      <c r="Q126" s="328"/>
      <c r="R126" s="328"/>
      <c r="S126" s="328"/>
      <c r="T126" s="328"/>
      <c r="U126" s="323"/>
      <c r="V126" s="329"/>
      <c r="W126" s="329"/>
      <c r="X126" s="329"/>
      <c r="Y126" s="329"/>
      <c r="Z126" s="329"/>
      <c r="AA126" s="329"/>
      <c r="AB126" s="329"/>
      <c r="AC126" s="329"/>
      <c r="AD126" s="329"/>
      <c r="AE126" s="329"/>
      <c r="AF126" s="329"/>
      <c r="AG126" s="329"/>
      <c r="AH126" s="329"/>
      <c r="AI126" s="329"/>
      <c r="AJ126" s="329"/>
      <c r="AK126" s="329"/>
      <c r="AL126" s="329"/>
      <c r="AM126" s="329"/>
      <c r="AN126" s="329"/>
      <c r="AO126" s="329"/>
      <c r="AP126" s="329"/>
      <c r="AQ126" s="329"/>
      <c r="AR126" s="329"/>
      <c r="AS126" s="329"/>
      <c r="AT126" s="329"/>
      <c r="AU126" s="329"/>
      <c r="AV126" s="329"/>
      <c r="AW126" s="323"/>
      <c r="AX126" s="323"/>
      <c r="AY126" s="323"/>
      <c r="AZ126" s="323"/>
      <c r="BA126" s="323"/>
      <c r="BB126" s="323"/>
      <c r="BC126" s="323"/>
      <c r="BD126" s="323"/>
      <c r="BE126" s="323"/>
      <c r="BF126" s="323"/>
      <c r="BG126" s="323"/>
      <c r="BH126" s="323"/>
      <c r="BI126" s="323"/>
      <c r="BJ126" s="323"/>
      <c r="BK126" s="323"/>
      <c r="BL126" s="323"/>
      <c r="BM126" s="323"/>
      <c r="BN126" s="323"/>
      <c r="BO126" s="323"/>
      <c r="BP126" s="323"/>
      <c r="BQ126" s="323"/>
      <c r="BR126" s="246"/>
    </row>
    <row r="127" spans="2:70" x14ac:dyDescent="0.25">
      <c r="B127" s="324"/>
      <c r="C127" s="319">
        <v>5.2420000000000001E-2</v>
      </c>
      <c r="D127" s="670" t="s">
        <v>29</v>
      </c>
      <c r="E127" s="671"/>
      <c r="F127" s="320" t="s">
        <v>346</v>
      </c>
      <c r="G127" s="321" t="s">
        <v>336</v>
      </c>
      <c r="H127" s="321" t="s">
        <v>336</v>
      </c>
      <c r="I127" s="321"/>
      <c r="J127" s="321"/>
      <c r="K127" s="321"/>
      <c r="L127" s="321"/>
      <c r="M127" s="321"/>
      <c r="N127" s="321"/>
      <c r="O127" s="321"/>
      <c r="P127" s="321"/>
      <c r="Q127" s="323">
        <f t="shared" ref="Q127:AV127" si="56">(Q84-P84)*$C$127</f>
        <v>5.6923087679999996E-3</v>
      </c>
      <c r="R127" s="323">
        <f t="shared" si="56"/>
        <v>7.1368478026711271E-5</v>
      </c>
      <c r="S127" s="323">
        <f t="shared" si="56"/>
        <v>7.2263274824186827E-5</v>
      </c>
      <c r="T127" s="323">
        <f t="shared" si="56"/>
        <v>7.3169290318360583E-5</v>
      </c>
      <c r="U127" s="323">
        <f t="shared" si="56"/>
        <v>7.4009846738376574E-5</v>
      </c>
      <c r="V127" s="323">
        <f t="shared" si="56"/>
        <v>7.4936798104872259E-5</v>
      </c>
      <c r="W127" s="323">
        <f t="shared" si="56"/>
        <v>7.5875359262141779E-5</v>
      </c>
      <c r="X127" s="323">
        <f t="shared" si="56"/>
        <v>7.6825675619370342E-5</v>
      </c>
      <c r="Y127" s="323">
        <f t="shared" si="56"/>
        <v>7.7787894406947206E-5</v>
      </c>
      <c r="Z127" s="323">
        <f t="shared" si="56"/>
        <v>7.8762164699280732E-5</v>
      </c>
      <c r="AA127" s="323">
        <f t="shared" si="56"/>
        <v>7.9748637437891285E-5</v>
      </c>
      <c r="AB127" s="323">
        <f t="shared" si="56"/>
        <v>8.0747465454798068E-5</v>
      </c>
      <c r="AC127" s="323">
        <f t="shared" si="56"/>
        <v>8.175880349619403E-5</v>
      </c>
      <c r="AD127" s="323">
        <f t="shared" si="56"/>
        <v>8.2782808246423384E-5</v>
      </c>
      <c r="AE127" s="323">
        <f t="shared" si="56"/>
        <v>8.3819638352255934E-5</v>
      </c>
      <c r="AF127" s="323">
        <f t="shared" si="56"/>
        <v>8.4869454447464079E-5</v>
      </c>
      <c r="AG127" s="323">
        <f t="shared" si="56"/>
        <v>8.5932419177711113E-5</v>
      </c>
      <c r="AH127" s="323">
        <f t="shared" si="56"/>
        <v>8.7008697225746584E-5</v>
      </c>
      <c r="AI127" s="323">
        <f t="shared" si="56"/>
        <v>8.8098455336928911E-5</v>
      </c>
      <c r="AJ127" s="323">
        <f t="shared" si="56"/>
        <v>8.9201862345044943E-5</v>
      </c>
      <c r="AK127" s="323">
        <f t="shared" si="56"/>
        <v>9.0319089198480064E-5</v>
      </c>
      <c r="AL127" s="323">
        <f t="shared" si="56"/>
        <v>9.1450308986695361E-5</v>
      </c>
      <c r="AM127" s="323">
        <f t="shared" si="56"/>
        <v>9.2595696967045143E-5</v>
      </c>
      <c r="AN127" s="323">
        <f t="shared" si="56"/>
        <v>9.3755430591932145E-5</v>
      </c>
      <c r="AO127" s="323">
        <f t="shared" si="56"/>
        <v>9.492968953629724E-5</v>
      </c>
      <c r="AP127" s="323">
        <f t="shared" si="56"/>
        <v>9.6118655725455573E-5</v>
      </c>
      <c r="AQ127" s="323">
        <f t="shared" si="56"/>
        <v>9.7322513363283172E-5</v>
      </c>
      <c r="AR127" s="323">
        <f t="shared" si="56"/>
        <v>9.8541448960755783E-5</v>
      </c>
      <c r="AS127" s="323">
        <f t="shared" si="56"/>
        <v>9.9775651364844101E-5</v>
      </c>
      <c r="AT127" s="323">
        <f t="shared" si="56"/>
        <v>1.0102531178776842E-4</v>
      </c>
      <c r="AU127" s="323">
        <f t="shared" si="56"/>
        <v>1.0229062383662859E-4</v>
      </c>
      <c r="AV127" s="323">
        <f t="shared" si="56"/>
        <v>1.035717835433935E-4</v>
      </c>
      <c r="AW127" s="323">
        <f t="shared" ref="AW127:BQ127" si="57">(AW84-AV84)*$C$127</f>
        <v>1.0486898939527583E-4</v>
      </c>
      <c r="AX127" s="323">
        <f t="shared" si="57"/>
        <v>1.0618244236548254E-4</v>
      </c>
      <c r="AY127" s="323">
        <f t="shared" si="57"/>
        <v>1.0751234594434625E-4</v>
      </c>
      <c r="AZ127" s="323">
        <f t="shared" si="57"/>
        <v>1.0885890617086131E-4</v>
      </c>
      <c r="BA127" s="323">
        <f t="shared" si="57"/>
        <v>1.1022233166459366E-4</v>
      </c>
      <c r="BB127" s="323">
        <f t="shared" si="57"/>
        <v>1.1160283365801121E-4</v>
      </c>
      <c r="BC127" s="323">
        <f t="shared" si="57"/>
        <v>1.1300062602920415E-4</v>
      </c>
      <c r="BD127" s="323">
        <f t="shared" si="57"/>
        <v>1.1441592533502434E-4</v>
      </c>
      <c r="BE127" s="323">
        <f t="shared" si="57"/>
        <v>1.1584895084463192E-4</v>
      </c>
      <c r="BF127" s="323">
        <f t="shared" si="57"/>
        <v>1.1729992457346697E-4</v>
      </c>
      <c r="BG127" s="323">
        <f t="shared" si="57"/>
        <v>1.1876907131765171E-4</v>
      </c>
      <c r="BH127" s="323">
        <f t="shared" si="57"/>
        <v>1.2025661868880739E-4</v>
      </c>
      <c r="BI127" s="323">
        <f t="shared" si="57"/>
        <v>1.2176279714932798E-4</v>
      </c>
      <c r="BJ127" s="323">
        <f t="shared" si="57"/>
        <v>1.2328784004807884E-4</v>
      </c>
      <c r="BK127" s="323">
        <f t="shared" si="57"/>
        <v>1.2483198365654779E-4</v>
      </c>
      <c r="BL127" s="323">
        <f t="shared" si="57"/>
        <v>1.2639546720545871E-4</v>
      </c>
      <c r="BM127" s="323">
        <f t="shared" si="57"/>
        <v>1.2797853292182348E-4</v>
      </c>
      <c r="BN127" s="323">
        <f t="shared" si="57"/>
        <v>1.2958142606648085E-4</v>
      </c>
      <c r="BO127" s="323">
        <f t="shared" si="57"/>
        <v>1.3120439497208374E-4</v>
      </c>
      <c r="BP127" s="323">
        <f t="shared" si="57"/>
        <v>1.3284769108158121E-4</v>
      </c>
      <c r="BQ127" s="323">
        <f t="shared" si="57"/>
        <v>1.3451156898716871E-4</v>
      </c>
      <c r="BR127" s="246"/>
    </row>
    <row r="128" spans="2:70" x14ac:dyDescent="0.25">
      <c r="B128" s="324"/>
      <c r="C128" s="324"/>
      <c r="D128" s="325" t="s">
        <v>336</v>
      </c>
      <c r="E128" s="282" t="s">
        <v>336</v>
      </c>
      <c r="F128" s="326" t="s">
        <v>253</v>
      </c>
      <c r="G128" s="327" t="s">
        <v>336</v>
      </c>
      <c r="H128" s="327" t="s">
        <v>336</v>
      </c>
      <c r="I128" s="327">
        <v>0.13102</v>
      </c>
      <c r="J128" s="327" t="s">
        <v>336</v>
      </c>
      <c r="K128" s="327">
        <v>0.13102</v>
      </c>
      <c r="L128" s="327" t="s">
        <v>336</v>
      </c>
      <c r="M128" s="327">
        <v>0.13102</v>
      </c>
      <c r="N128" s="327" t="s">
        <v>336</v>
      </c>
      <c r="O128" s="327">
        <v>0.1749</v>
      </c>
      <c r="P128" s="327" t="s">
        <v>336</v>
      </c>
      <c r="Q128" s="327">
        <v>0.10920000000000001</v>
      </c>
      <c r="R128" s="332">
        <f>SUM(U121:U127)</f>
        <v>7.0086128300340111E-2</v>
      </c>
      <c r="S128" s="332">
        <f t="shared" ref="S128:AX128" si="58">SUM(S121:S127)</f>
        <v>6.7361174334071364E-2</v>
      </c>
      <c r="T128" s="332">
        <f t="shared" si="58"/>
        <v>7.0487657176721064E-2</v>
      </c>
      <c r="U128" s="332">
        <f t="shared" si="58"/>
        <v>7.0086128300340111E-2</v>
      </c>
      <c r="V128" s="332">
        <f t="shared" si="58"/>
        <v>6.9010669495678967E-2</v>
      </c>
      <c r="W128" s="332">
        <f t="shared" si="58"/>
        <v>6.8753796493101663E-2</v>
      </c>
      <c r="X128" s="332">
        <f t="shared" si="58"/>
        <v>6.735165400000051E-2</v>
      </c>
      <c r="Y128" s="332">
        <f t="shared" si="58"/>
        <v>6.6356454548800944E-2</v>
      </c>
      <c r="Z128" s="332">
        <f t="shared" si="58"/>
        <v>6.6628138051539734E-2</v>
      </c>
      <c r="AA128" s="332">
        <f t="shared" si="58"/>
        <v>6.5668563440525088E-2</v>
      </c>
      <c r="AB128" s="332">
        <f t="shared" si="58"/>
        <v>6.4036825193779179E-2</v>
      </c>
      <c r="AC128" s="332">
        <f t="shared" si="58"/>
        <v>6.3821882884642286E-2</v>
      </c>
      <c r="AD128" s="332">
        <f t="shared" si="58"/>
        <v>6.4182014899112141E-2</v>
      </c>
      <c r="AE128" s="332">
        <f t="shared" si="58"/>
        <v>6.2752632638931272E-2</v>
      </c>
      <c r="AF128" s="332">
        <f t="shared" si="58"/>
        <v>6.2776186101754033E-2</v>
      </c>
      <c r="AG128" s="332">
        <f t="shared" si="58"/>
        <v>6.1628041894371065E-2</v>
      </c>
      <c r="AH128" s="332">
        <f t="shared" si="58"/>
        <v>6.1228637384479541E-2</v>
      </c>
      <c r="AI128" s="332">
        <f t="shared" si="58"/>
        <v>6.1097818538649214E-2</v>
      </c>
      <c r="AJ128" s="332">
        <f t="shared" si="58"/>
        <v>6.0431192358051659E-2</v>
      </c>
      <c r="AK128" s="332">
        <f t="shared" si="58"/>
        <v>6.0222450492104548E-2</v>
      </c>
      <c r="AL128" s="332">
        <f t="shared" si="58"/>
        <v>6.0242120722628238E-2</v>
      </c>
      <c r="AM128" s="332">
        <f t="shared" si="58"/>
        <v>5.9645727926526504E-2</v>
      </c>
      <c r="AN128" s="332">
        <f t="shared" si="58"/>
        <v>5.9474259910099969E-2</v>
      </c>
      <c r="AO128" s="332">
        <f t="shared" si="58"/>
        <v>5.9149703880993464E-2</v>
      </c>
      <c r="AP128" s="332">
        <f t="shared" si="58"/>
        <v>5.8293685784224038E-2</v>
      </c>
      <c r="AQ128" s="332">
        <f t="shared" si="58"/>
        <v>5.8636278355453458E-2</v>
      </c>
      <c r="AR128" s="332">
        <f t="shared" si="58"/>
        <v>5.7944149560644899E-2</v>
      </c>
      <c r="AS128" s="332">
        <f t="shared" si="58"/>
        <v>5.8241634655319507E-2</v>
      </c>
      <c r="AT128" s="332">
        <f t="shared" si="58"/>
        <v>5.7338427002245305E-2</v>
      </c>
      <c r="AU128" s="332">
        <f t="shared" si="58"/>
        <v>5.6910087083290678E-2</v>
      </c>
      <c r="AV128" s="332">
        <f t="shared" si="58"/>
        <v>5.6626161508134626E-2</v>
      </c>
      <c r="AW128" s="332">
        <f t="shared" si="58"/>
        <v>5.6196868219959437E-2</v>
      </c>
      <c r="AX128" s="332">
        <f t="shared" si="58"/>
        <v>5.5360801269074993E-2</v>
      </c>
      <c r="AY128" s="332">
        <f t="shared" ref="AY128:BQ128" si="59">SUM(AY121:AY127)</f>
        <v>5.5028551832893839E-2</v>
      </c>
      <c r="AZ128" s="332">
        <f t="shared" si="59"/>
        <v>5.4682166400152582E-2</v>
      </c>
      <c r="BA128" s="332">
        <f t="shared" si="59"/>
        <v>5.4357688231409983E-2</v>
      </c>
      <c r="BB128" s="332">
        <f t="shared" si="59"/>
        <v>5.4024520547259737E-2</v>
      </c>
      <c r="BC128" s="332">
        <f t="shared" si="59"/>
        <v>5.3666118389973115E-2</v>
      </c>
      <c r="BD128" s="332">
        <f t="shared" si="59"/>
        <v>5.3323581982263467E-2</v>
      </c>
      <c r="BE128" s="332">
        <f t="shared" si="59"/>
        <v>5.2968582219206778E-2</v>
      </c>
      <c r="BF128" s="332">
        <f t="shared" si="59"/>
        <v>5.2610823494988364E-2</v>
      </c>
      <c r="BG128" s="332">
        <f t="shared" si="59"/>
        <v>5.228744496750138E-2</v>
      </c>
      <c r="BH128" s="332">
        <f t="shared" si="59"/>
        <v>5.1916608601731647E-2</v>
      </c>
      <c r="BI128" s="332">
        <f t="shared" si="59"/>
        <v>5.156778322215648E-2</v>
      </c>
      <c r="BJ128" s="332">
        <f t="shared" si="59"/>
        <v>5.1172882431216857E-2</v>
      </c>
      <c r="BK128" s="332">
        <f t="shared" si="59"/>
        <v>5.0813181929718981E-2</v>
      </c>
      <c r="BL128" s="332">
        <f t="shared" si="59"/>
        <v>5.0457721548717582E-2</v>
      </c>
      <c r="BM128" s="332">
        <f t="shared" si="59"/>
        <v>5.0096668805542623E-2</v>
      </c>
      <c r="BN128" s="332">
        <f t="shared" si="59"/>
        <v>4.9739855129210503E-2</v>
      </c>
      <c r="BO128" s="332">
        <f t="shared" si="59"/>
        <v>4.94161882921101E-2</v>
      </c>
      <c r="BP128" s="332">
        <f t="shared" si="59"/>
        <v>4.9092535125742277E-2</v>
      </c>
      <c r="BQ128" s="332">
        <f t="shared" si="59"/>
        <v>4.876991747912205E-2</v>
      </c>
      <c r="BR128" s="246"/>
    </row>
    <row r="129" spans="2:70" x14ac:dyDescent="0.25">
      <c r="B129" s="324"/>
      <c r="C129" s="324"/>
      <c r="D129" s="325"/>
      <c r="E129" s="282"/>
      <c r="F129" s="282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330"/>
      <c r="W129" s="330"/>
      <c r="X129" s="330"/>
      <c r="Y129" s="330"/>
      <c r="Z129" s="330"/>
      <c r="AA129" s="330"/>
      <c r="AB129" s="330"/>
      <c r="AC129" s="330"/>
      <c r="AD129" s="330"/>
      <c r="AE129" s="330"/>
      <c r="AF129" s="330"/>
      <c r="AG129" s="330"/>
      <c r="AH129" s="330"/>
      <c r="AI129" s="330"/>
      <c r="AJ129" s="330"/>
      <c r="AK129" s="330"/>
      <c r="AL129" s="330"/>
      <c r="AM129" s="330"/>
      <c r="AN129" s="330"/>
      <c r="AO129" s="330"/>
      <c r="AP129" s="330"/>
      <c r="AQ129" s="330"/>
      <c r="AR129" s="330"/>
      <c r="AS129" s="330"/>
      <c r="AT129" s="330"/>
      <c r="AU129" s="330"/>
      <c r="AV129" s="330"/>
      <c r="AW129" s="330"/>
      <c r="AX129" s="330"/>
      <c r="AY129" s="330"/>
      <c r="AZ129" s="330"/>
      <c r="BA129" s="330"/>
      <c r="BB129" s="330"/>
      <c r="BC129" s="330"/>
      <c r="BD129" s="330"/>
      <c r="BE129" s="330"/>
      <c r="BF129" s="330"/>
      <c r="BG129" s="330"/>
      <c r="BH129" s="330"/>
      <c r="BI129" s="330"/>
      <c r="BJ129" s="330"/>
      <c r="BK129" s="330"/>
      <c r="BL129" s="330"/>
      <c r="BM129" s="330"/>
      <c r="BN129" s="330"/>
      <c r="BO129" s="330"/>
      <c r="BP129" s="330"/>
      <c r="BQ129" s="330"/>
      <c r="BR129" s="246"/>
    </row>
    <row r="130" spans="2:70" ht="15.75" x14ac:dyDescent="0.25">
      <c r="C130" s="312"/>
      <c r="D130" s="243"/>
      <c r="E130" s="282"/>
      <c r="F130" s="248" t="s">
        <v>347</v>
      </c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333"/>
      <c r="S130" s="333"/>
      <c r="T130" s="333"/>
      <c r="U130" s="333"/>
      <c r="V130" s="333"/>
      <c r="W130" s="333"/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333"/>
      <c r="AH130" s="333"/>
      <c r="AI130" s="333"/>
      <c r="AJ130" s="329"/>
      <c r="AK130" s="329"/>
      <c r="AL130" s="329"/>
      <c r="AM130" s="329"/>
      <c r="AN130" s="329"/>
      <c r="AO130" s="329"/>
      <c r="AP130" s="329"/>
      <c r="AQ130" s="329"/>
      <c r="AR130" s="329"/>
      <c r="AS130" s="329"/>
      <c r="AT130" s="329"/>
      <c r="AU130" s="329"/>
      <c r="AV130" s="329"/>
      <c r="AW130" s="329"/>
      <c r="AX130" s="329"/>
      <c r="AY130" s="329"/>
      <c r="AZ130" s="329"/>
      <c r="BA130" s="329"/>
      <c r="BB130" s="329"/>
      <c r="BC130" s="329"/>
      <c r="BD130" s="329"/>
      <c r="BE130" s="329"/>
      <c r="BF130" s="329"/>
      <c r="BG130" s="329"/>
      <c r="BH130" s="329"/>
      <c r="BI130" s="329"/>
      <c r="BJ130" s="329"/>
      <c r="BK130" s="329"/>
      <c r="BL130" s="329"/>
      <c r="BM130" s="329"/>
      <c r="BN130" s="329"/>
      <c r="BO130" s="329"/>
      <c r="BP130" s="329"/>
      <c r="BQ130" s="329"/>
      <c r="BR130" s="246"/>
    </row>
    <row r="131" spans="2:70" x14ac:dyDescent="0.25">
      <c r="B131" s="669" t="s">
        <v>340</v>
      </c>
      <c r="C131" s="334">
        <v>2.1999999999999999E-2</v>
      </c>
      <c r="D131" s="670" t="s">
        <v>341</v>
      </c>
      <c r="E131" s="672"/>
      <c r="F131" s="320" t="s">
        <v>348</v>
      </c>
      <c r="G131" s="321" t="s">
        <v>336</v>
      </c>
      <c r="H131" s="321" t="s">
        <v>336</v>
      </c>
      <c r="I131" s="321">
        <v>0</v>
      </c>
      <c r="J131" s="321" t="s">
        <v>336</v>
      </c>
      <c r="K131" s="321">
        <v>0</v>
      </c>
      <c r="L131" s="321" t="s">
        <v>336</v>
      </c>
      <c r="M131" s="321">
        <v>0</v>
      </c>
      <c r="N131" s="321" t="s">
        <v>336</v>
      </c>
      <c r="O131" s="321">
        <v>0</v>
      </c>
      <c r="P131" s="321" t="s">
        <v>336</v>
      </c>
      <c r="Q131" s="321">
        <v>1.8E-3</v>
      </c>
      <c r="R131" s="321">
        <f t="shared" ref="R131:AW131" si="60">(R66)*$C$131</f>
        <v>2.0648660224500048E-3</v>
      </c>
      <c r="S131" s="321">
        <f t="shared" si="60"/>
        <v>2.1375823442966106E-3</v>
      </c>
      <c r="T131" s="321">
        <f t="shared" si="60"/>
        <v>2.1213367184799415E-3</v>
      </c>
      <c r="U131" s="321">
        <f t="shared" si="60"/>
        <v>2.1052145594195118E-3</v>
      </c>
      <c r="V131" s="321">
        <f t="shared" si="60"/>
        <v>2.0892149287678984E-3</v>
      </c>
      <c r="W131" s="321">
        <f t="shared" si="60"/>
        <v>2.0733368953092818E-3</v>
      </c>
      <c r="X131" s="321">
        <f t="shared" si="60"/>
        <v>2.0575795349049315E-3</v>
      </c>
      <c r="Y131" s="321">
        <f t="shared" si="60"/>
        <v>2.0419419304396626E-3</v>
      </c>
      <c r="Z131" s="321">
        <f t="shared" si="60"/>
        <v>2.0264231717683004E-3</v>
      </c>
      <c r="AA131" s="321">
        <f t="shared" si="60"/>
        <v>2.011022355662881E-3</v>
      </c>
      <c r="AB131" s="321">
        <f t="shared" si="60"/>
        <v>1.9957385857598169E-3</v>
      </c>
      <c r="AC131" s="321">
        <f t="shared" si="60"/>
        <v>1.9805709725080759E-3</v>
      </c>
      <c r="AD131" s="321">
        <f t="shared" si="60"/>
        <v>1.9655186331170105E-3</v>
      </c>
      <c r="AE131" s="321">
        <f t="shared" si="60"/>
        <v>1.9505806915053191E-3</v>
      </c>
      <c r="AF131" s="321">
        <f t="shared" si="60"/>
        <v>1.9357562782498512E-3</v>
      </c>
      <c r="AG131" s="321">
        <f t="shared" si="60"/>
        <v>1.9210445305351555E-3</v>
      </c>
      <c r="AH131" s="321">
        <f t="shared" si="60"/>
        <v>1.9064445921031065E-3</v>
      </c>
      <c r="AI131" s="321">
        <f t="shared" si="60"/>
        <v>1.891955613203116E-3</v>
      </c>
      <c r="AJ131" s="321">
        <f t="shared" si="60"/>
        <v>1.8775767505427757E-3</v>
      </c>
      <c r="AK131" s="321">
        <f t="shared" si="60"/>
        <v>1.8633071672386555E-3</v>
      </c>
      <c r="AL131" s="321">
        <f t="shared" si="60"/>
        <v>1.8491460327676491E-3</v>
      </c>
      <c r="AM131" s="321">
        <f t="shared" si="60"/>
        <v>1.8350925229185932E-3</v>
      </c>
      <c r="AN131" s="321">
        <f t="shared" si="60"/>
        <v>1.8211458197444335E-3</v>
      </c>
      <c r="AO131" s="321">
        <f t="shared" si="60"/>
        <v>1.8073051115143526E-3</v>
      </c>
      <c r="AP131" s="321">
        <f t="shared" si="60"/>
        <v>1.7935695926668343E-3</v>
      </c>
      <c r="AQ131" s="321">
        <f t="shared" si="60"/>
        <v>1.7799384637625726E-3</v>
      </c>
      <c r="AR131" s="321">
        <f t="shared" si="60"/>
        <v>1.7664109314380063E-3</v>
      </c>
      <c r="AS131" s="321">
        <f t="shared" si="60"/>
        <v>1.7529862083590472E-3</v>
      </c>
      <c r="AT131" s="321">
        <f t="shared" si="60"/>
        <v>1.7396635131755147E-3</v>
      </c>
      <c r="AU131" s="321">
        <f t="shared" si="60"/>
        <v>1.7264420704754108E-3</v>
      </c>
      <c r="AV131" s="321">
        <f t="shared" si="60"/>
        <v>1.713321110739784E-3</v>
      </c>
      <c r="AW131" s="321">
        <f t="shared" si="60"/>
        <v>1.7002998702981777E-3</v>
      </c>
      <c r="AX131" s="321">
        <f t="shared" ref="AX131:BQ131" si="61">(AX66)*$C$131</f>
        <v>1.6873775912838837E-3</v>
      </c>
      <c r="AY131" s="321">
        <f t="shared" si="61"/>
        <v>1.674553521590134E-3</v>
      </c>
      <c r="AZ131" s="321">
        <f t="shared" si="61"/>
        <v>1.6618269148260579E-3</v>
      </c>
      <c r="BA131" s="321">
        <f t="shared" si="61"/>
        <v>1.6491970302733811E-3</v>
      </c>
      <c r="BB131" s="321">
        <f t="shared" si="61"/>
        <v>1.6366631328432815E-3</v>
      </c>
      <c r="BC131" s="321">
        <f t="shared" si="61"/>
        <v>1.6242244930336758E-3</v>
      </c>
      <c r="BD131" s="321">
        <f t="shared" si="61"/>
        <v>1.6118803868866215E-3</v>
      </c>
      <c r="BE131" s="321">
        <f t="shared" si="61"/>
        <v>1.5996300959463063E-3</v>
      </c>
      <c r="BF131" s="321">
        <f t="shared" si="61"/>
        <v>1.5874729072171156E-3</v>
      </c>
      <c r="BG131" s="321">
        <f t="shared" si="61"/>
        <v>1.575408113122247E-3</v>
      </c>
      <c r="BH131" s="321">
        <f t="shared" si="61"/>
        <v>1.5634350114625199E-3</v>
      </c>
      <c r="BI131" s="321">
        <f t="shared" si="61"/>
        <v>1.5515529053754199E-3</v>
      </c>
      <c r="BJ131" s="321">
        <f t="shared" si="61"/>
        <v>1.5397611032945731E-3</v>
      </c>
      <c r="BK131" s="321">
        <f t="shared" si="61"/>
        <v>1.528058918909533E-3</v>
      </c>
      <c r="BL131" s="321">
        <f t="shared" si="61"/>
        <v>1.5164456711258011E-3</v>
      </c>
      <c r="BM131" s="321">
        <f t="shared" si="61"/>
        <v>1.5049206840252402E-3</v>
      </c>
      <c r="BN131" s="321">
        <f t="shared" si="61"/>
        <v>1.4934832868266417E-3</v>
      </c>
      <c r="BO131" s="321">
        <f t="shared" si="61"/>
        <v>1.4821328138467642E-3</v>
      </c>
      <c r="BP131" s="321">
        <f t="shared" si="61"/>
        <v>1.4708686044615255E-3</v>
      </c>
      <c r="BQ131" s="321">
        <f t="shared" si="61"/>
        <v>1.459690003067628E-3</v>
      </c>
      <c r="BR131" s="246"/>
    </row>
    <row r="132" spans="2:70" x14ac:dyDescent="0.25">
      <c r="B132" s="669"/>
      <c r="C132" s="335">
        <v>0.33</v>
      </c>
      <c r="D132" s="670" t="s">
        <v>28</v>
      </c>
      <c r="E132" s="671"/>
      <c r="F132" s="320" t="s">
        <v>348</v>
      </c>
      <c r="G132" s="321" t="s">
        <v>336</v>
      </c>
      <c r="H132" s="321" t="s">
        <v>336</v>
      </c>
      <c r="I132" s="321">
        <v>1.6299999999999999E-3</v>
      </c>
      <c r="J132" s="321" t="s">
        <v>336</v>
      </c>
      <c r="K132" s="321">
        <v>1.6299999999999999E-3</v>
      </c>
      <c r="L132" s="321" t="s">
        <v>336</v>
      </c>
      <c r="M132" s="321">
        <v>1.6299999999999999E-3</v>
      </c>
      <c r="N132" s="321" t="s">
        <v>336</v>
      </c>
      <c r="O132" s="321">
        <v>1.1E-4</v>
      </c>
      <c r="P132" s="321" t="s">
        <v>336</v>
      </c>
      <c r="Q132" s="321">
        <v>4.3699999999999998E-3</v>
      </c>
      <c r="R132" s="322">
        <f t="shared" ref="R132:AW132" si="62">(R70-Q70)*$C$132</f>
        <v>4.8733254576355249E-8</v>
      </c>
      <c r="S132" s="322">
        <f t="shared" si="62"/>
        <v>-3.1351728532055536E-5</v>
      </c>
      <c r="T132" s="322">
        <f t="shared" si="62"/>
        <v>1.7037202813862258E-5</v>
      </c>
      <c r="U132" s="322">
        <f t="shared" si="62"/>
        <v>1.0865926793036801E-5</v>
      </c>
      <c r="V132" s="322">
        <f t="shared" si="62"/>
        <v>1.2479062162642635E-5</v>
      </c>
      <c r="W132" s="322">
        <f t="shared" si="62"/>
        <v>1.2080255488946535E-5</v>
      </c>
      <c r="X132" s="322">
        <f t="shared" si="62"/>
        <v>1.0875491609033118E-5</v>
      </c>
      <c r="Y132" s="322">
        <f t="shared" si="62"/>
        <v>9.2668090300226936E-6</v>
      </c>
      <c r="Z132" s="322">
        <f t="shared" si="62"/>
        <v>1.2834752520664712E-5</v>
      </c>
      <c r="AA132" s="322">
        <f t="shared" si="62"/>
        <v>1.1473654274827689E-5</v>
      </c>
      <c r="AB132" s="322">
        <f t="shared" si="62"/>
        <v>8.8550693142497311E-6</v>
      </c>
      <c r="AC132" s="322">
        <f t="shared" si="62"/>
        <v>9.6074688833922006E-6</v>
      </c>
      <c r="AD132" s="322">
        <f t="shared" si="62"/>
        <v>1.2779782677834196E-5</v>
      </c>
      <c r="AE132" s="322">
        <f t="shared" si="62"/>
        <v>9.9550948130625037E-6</v>
      </c>
      <c r="AF132" s="322">
        <f t="shared" si="62"/>
        <v>1.1671341585583057E-5</v>
      </c>
      <c r="AG132" s="322">
        <f t="shared" si="62"/>
        <v>9.5558274028270668E-6</v>
      </c>
      <c r="AH132" s="322">
        <f t="shared" si="62"/>
        <v>9.549205424435603E-6</v>
      </c>
      <c r="AI132" s="322">
        <f t="shared" si="62"/>
        <v>1.0316282806895755E-5</v>
      </c>
      <c r="AJ132" s="322">
        <f t="shared" si="62"/>
        <v>9.1687029107929979E-6</v>
      </c>
      <c r="AK132" s="322">
        <f t="shared" si="62"/>
        <v>9.4681366889297348E-6</v>
      </c>
      <c r="AL132" s="322">
        <f t="shared" si="62"/>
        <v>1.0191515572566258E-5</v>
      </c>
      <c r="AM132" s="322">
        <f t="shared" si="62"/>
        <v>9.1847052367610712E-6</v>
      </c>
      <c r="AN132" s="322">
        <f t="shared" si="62"/>
        <v>9.2317260755199477E-6</v>
      </c>
      <c r="AO132" s="322">
        <f t="shared" si="62"/>
        <v>9.0134262979353623E-6</v>
      </c>
      <c r="AP132" s="322">
        <f t="shared" si="62"/>
        <v>7.0780520772006923E-6</v>
      </c>
      <c r="AQ132" s="322">
        <f t="shared" si="62"/>
        <v>8.8695063288131436E-6</v>
      </c>
      <c r="AR132" s="322">
        <f t="shared" si="62"/>
        <v>7.5252353109205028E-6</v>
      </c>
      <c r="AS132" s="322">
        <f t="shared" si="62"/>
        <v>9.2556368555496434E-6</v>
      </c>
      <c r="AT132" s="322">
        <f t="shared" si="62"/>
        <v>7.4634017145357175E-6</v>
      </c>
      <c r="AU132" s="322">
        <f t="shared" si="62"/>
        <v>7.2580276038954062E-6</v>
      </c>
      <c r="AV132" s="322">
        <f t="shared" si="62"/>
        <v>7.3943365220190131E-6</v>
      </c>
      <c r="AW132" s="322">
        <f t="shared" si="62"/>
        <v>7.3173882835000929E-6</v>
      </c>
      <c r="AX132" s="322">
        <f t="shared" ref="AX132:BQ132" si="63">(AX70-AW70)*$C$132</f>
        <v>8.1614022979467631E-6</v>
      </c>
      <c r="AY132" s="322">
        <f t="shared" si="63"/>
        <v>7.2895386922269824E-6</v>
      </c>
      <c r="AZ132" s="322">
        <f t="shared" si="63"/>
        <v>7.1657491388457675E-6</v>
      </c>
      <c r="BA132" s="322">
        <f t="shared" si="63"/>
        <v>7.2689065438859284E-6</v>
      </c>
      <c r="BB132" s="322">
        <f t="shared" si="63"/>
        <v>7.2087179431803982E-6</v>
      </c>
      <c r="BC132" s="322">
        <f t="shared" si="63"/>
        <v>7.2795395524158371E-6</v>
      </c>
      <c r="BD132" s="322">
        <f t="shared" si="63"/>
        <v>6.9282120019298345E-6</v>
      </c>
      <c r="BE132" s="322">
        <f t="shared" si="63"/>
        <v>6.8785298131493479E-6</v>
      </c>
      <c r="BF132" s="322">
        <f t="shared" si="63"/>
        <v>6.8267705095874378E-6</v>
      </c>
      <c r="BG132" s="322">
        <f t="shared" si="63"/>
        <v>6.7450934990179184E-6</v>
      </c>
      <c r="BH132" s="322">
        <f t="shared" si="63"/>
        <v>6.6375780953058243E-6</v>
      </c>
      <c r="BI132" s="322">
        <f t="shared" si="63"/>
        <v>6.5505262227695538E-6</v>
      </c>
      <c r="BJ132" s="322">
        <f t="shared" si="63"/>
        <v>6.472404793829573E-6</v>
      </c>
      <c r="BK132" s="322">
        <f t="shared" si="63"/>
        <v>6.3972994815372779E-6</v>
      </c>
      <c r="BL132" s="322">
        <f t="shared" si="63"/>
        <v>6.306056309835356E-6</v>
      </c>
      <c r="BM132" s="322">
        <f t="shared" si="63"/>
        <v>6.2158902169670577E-6</v>
      </c>
      <c r="BN132" s="322">
        <f t="shared" si="63"/>
        <v>6.1196875426311471E-6</v>
      </c>
      <c r="BO132" s="322">
        <f t="shared" si="63"/>
        <v>6.0379923522647933E-6</v>
      </c>
      <c r="BP132" s="322">
        <f t="shared" si="63"/>
        <v>5.9537737638420967E-6</v>
      </c>
      <c r="BQ132" s="322">
        <f t="shared" si="63"/>
        <v>5.8674314184899156E-6</v>
      </c>
      <c r="BR132" s="246"/>
    </row>
    <row r="133" spans="2:70" x14ac:dyDescent="0.25">
      <c r="B133" s="669"/>
      <c r="C133" s="319">
        <v>0.30940000000000001</v>
      </c>
      <c r="D133" s="670" t="s">
        <v>19</v>
      </c>
      <c r="E133" s="671"/>
      <c r="F133" s="320" t="s">
        <v>348</v>
      </c>
      <c r="G133" s="321" t="s">
        <v>336</v>
      </c>
      <c r="H133" s="321" t="s">
        <v>336</v>
      </c>
      <c r="I133" s="321">
        <v>6.6530000000000006E-2</v>
      </c>
      <c r="J133" s="321" t="s">
        <v>336</v>
      </c>
      <c r="K133" s="321">
        <v>6.6530000000000006E-2</v>
      </c>
      <c r="L133" s="321" t="s">
        <v>336</v>
      </c>
      <c r="M133" s="321">
        <v>6.6530000000000006E-2</v>
      </c>
      <c r="N133" s="321" t="s">
        <v>336</v>
      </c>
      <c r="O133" s="321">
        <v>2.1950000000000001E-2</v>
      </c>
      <c r="P133" s="321" t="s">
        <v>336</v>
      </c>
      <c r="Q133" s="321">
        <v>1.6049999999999998E-2</v>
      </c>
      <c r="R133" s="322">
        <f t="shared" ref="R133:AW133" si="64">(R72-Q72)*$C$133</f>
        <v>6.6029538781115071E-3</v>
      </c>
      <c r="S133" s="322">
        <f t="shared" si="64"/>
        <v>1.4677396804132084E-3</v>
      </c>
      <c r="T133" s="322">
        <f t="shared" si="64"/>
        <v>1.3917042676078021E-2</v>
      </c>
      <c r="U133" s="322">
        <f t="shared" si="64"/>
        <v>1.4316015322306535E-2</v>
      </c>
      <c r="V133" s="322">
        <f t="shared" si="64"/>
        <v>1.2371340494736153E-2</v>
      </c>
      <c r="W133" s="322">
        <f t="shared" si="64"/>
        <v>1.3230750664959533E-2</v>
      </c>
      <c r="X133" s="322">
        <f t="shared" si="64"/>
        <v>1.0141025527608354E-2</v>
      </c>
      <c r="Y133" s="322">
        <f t="shared" si="64"/>
        <v>8.4377526347324296E-3</v>
      </c>
      <c r="Z133" s="322">
        <f t="shared" si="64"/>
        <v>1.1067951220298494E-2</v>
      </c>
      <c r="AA133" s="322">
        <f t="shared" si="64"/>
        <v>9.4606207512213259E-3</v>
      </c>
      <c r="AB133" s="322">
        <f t="shared" si="64"/>
        <v>5.531741947807904E-3</v>
      </c>
      <c r="AC133" s="322">
        <f t="shared" si="64"/>
        <v>6.4550255592595038E-3</v>
      </c>
      <c r="AD133" s="322">
        <f t="shared" si="64"/>
        <v>9.338511867692377E-3</v>
      </c>
      <c r="AE133" s="322">
        <f t="shared" si="64"/>
        <v>6.0674877777375028E-3</v>
      </c>
      <c r="AF133" s="322">
        <f t="shared" si="64"/>
        <v>7.771191089660727E-3</v>
      </c>
      <c r="AG133" s="322">
        <f t="shared" si="64"/>
        <v>5.4408568291740749E-3</v>
      </c>
      <c r="AH133" s="322">
        <f t="shared" si="64"/>
        <v>5.6686486759736573E-3</v>
      </c>
      <c r="AI133" s="322">
        <f t="shared" si="64"/>
        <v>6.8062366915293731E-3</v>
      </c>
      <c r="AJ133" s="322">
        <f t="shared" si="64"/>
        <v>6.0928989484319877E-3</v>
      </c>
      <c r="AK133" s="322">
        <f t="shared" si="64"/>
        <v>6.9391779647112028E-3</v>
      </c>
      <c r="AL133" s="322">
        <f t="shared" si="64"/>
        <v>8.5580063810669228E-3</v>
      </c>
      <c r="AM133" s="322">
        <f t="shared" si="64"/>
        <v>8.0499704355925638E-3</v>
      </c>
      <c r="AN133" s="322">
        <f t="shared" si="64"/>
        <v>8.9891733587838425E-3</v>
      </c>
      <c r="AO133" s="322">
        <f t="shared" si="64"/>
        <v>9.3908374088420704E-3</v>
      </c>
      <c r="AP133" s="322">
        <f t="shared" si="64"/>
        <v>7.9567202428526777E-3</v>
      </c>
      <c r="AQ133" s="322">
        <f t="shared" si="64"/>
        <v>1.0625381336428057E-2</v>
      </c>
      <c r="AR133" s="322">
        <f t="shared" si="64"/>
        <v>9.7307215109670529E-3</v>
      </c>
      <c r="AS133" s="322">
        <f t="shared" si="64"/>
        <v>1.2221622078483863E-2</v>
      </c>
      <c r="AT133" s="322">
        <f t="shared" si="64"/>
        <v>1.0579449268989027E-2</v>
      </c>
      <c r="AU133" s="322">
        <f t="shared" si="64"/>
        <v>1.0555919910049602E-2</v>
      </c>
      <c r="AV133" s="322">
        <f t="shared" si="64"/>
        <v>1.101718166649813E-2</v>
      </c>
      <c r="AW133" s="322">
        <f t="shared" si="64"/>
        <v>1.096804252832604E-2</v>
      </c>
      <c r="AX133" s="322">
        <f t="shared" ref="AX133:BQ133" si="65">(AX72-AW72)*$C$133</f>
        <v>9.5080266423731314E-3</v>
      </c>
      <c r="AY133" s="322">
        <f t="shared" si="65"/>
        <v>9.7720499972978429E-3</v>
      </c>
      <c r="AZ133" s="322">
        <f t="shared" si="65"/>
        <v>9.9754510283685989E-3</v>
      </c>
      <c r="BA133" s="322">
        <f t="shared" si="65"/>
        <v>1.0243093474006613E-2</v>
      </c>
      <c r="BB133" s="322">
        <f t="shared" si="65"/>
        <v>1.0470527292468432E-2</v>
      </c>
      <c r="BC133" s="322">
        <f t="shared" si="65"/>
        <v>1.0600460205281216E-2</v>
      </c>
      <c r="BD133" s="322">
        <f t="shared" si="65"/>
        <v>1.0775192534608246E-2</v>
      </c>
      <c r="BE133" s="322">
        <f t="shared" si="65"/>
        <v>1.0896199009919809E-2</v>
      </c>
      <c r="BF133" s="322">
        <f t="shared" si="65"/>
        <v>1.099742836111112E-2</v>
      </c>
      <c r="BG133" s="322">
        <f t="shared" si="65"/>
        <v>1.1206680479607769E-2</v>
      </c>
      <c r="BH133" s="322">
        <f t="shared" si="65"/>
        <v>1.1242683953293215E-2</v>
      </c>
      <c r="BI133" s="322">
        <f t="shared" si="65"/>
        <v>1.1344255294798673E-2</v>
      </c>
      <c r="BJ133" s="322">
        <f t="shared" si="65"/>
        <v>1.1277423170398482E-2</v>
      </c>
      <c r="BK133" s="322">
        <f t="shared" si="65"/>
        <v>1.1321679934393617E-2</v>
      </c>
      <c r="BL133" s="322">
        <f t="shared" si="65"/>
        <v>1.1370697591123285E-2</v>
      </c>
      <c r="BM133" s="322">
        <f t="shared" si="65"/>
        <v>1.1390718838882737E-2</v>
      </c>
      <c r="BN133" s="322">
        <f t="shared" si="65"/>
        <v>1.1415626776176756E-2</v>
      </c>
      <c r="BO133" s="322">
        <f t="shared" si="65"/>
        <v>1.1544837757765764E-2</v>
      </c>
      <c r="BP133" s="322">
        <f t="shared" si="65"/>
        <v>1.1664547644135386E-2</v>
      </c>
      <c r="BQ133" s="322">
        <f t="shared" si="65"/>
        <v>1.1778339849572496E-2</v>
      </c>
      <c r="BR133" s="246"/>
    </row>
    <row r="134" spans="2:70" x14ac:dyDescent="0.25">
      <c r="B134" s="669"/>
      <c r="C134" s="319">
        <v>0.22944000000000001</v>
      </c>
      <c r="D134" s="670" t="s">
        <v>343</v>
      </c>
      <c r="E134" s="671"/>
      <c r="F134" s="321" t="s">
        <v>348</v>
      </c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>
        <f t="shared" ref="R134:AW134" si="66">(R75-Q75)*$C$135</f>
        <v>2.2342414554530747E-3</v>
      </c>
      <c r="S134" s="321">
        <f t="shared" si="66"/>
        <v>5.4017559920567556E-3</v>
      </c>
      <c r="T134" s="321">
        <f t="shared" si="66"/>
        <v>2.999304940343615E-3</v>
      </c>
      <c r="U134" s="321">
        <f t="shared" si="66"/>
        <v>2.8830072488751626E-3</v>
      </c>
      <c r="V134" s="321">
        <f t="shared" si="66"/>
        <v>3.2098686668742878E-3</v>
      </c>
      <c r="W134" s="321">
        <f t="shared" si="66"/>
        <v>3.0073433089190323E-3</v>
      </c>
      <c r="X134" s="321">
        <f t="shared" si="66"/>
        <v>3.551988912264391E-3</v>
      </c>
      <c r="Y134" s="321">
        <f t="shared" si="66"/>
        <v>3.8351143083877517E-3</v>
      </c>
      <c r="Z134" s="321">
        <f t="shared" si="66"/>
        <v>3.2983482014514835E-3</v>
      </c>
      <c r="AA134" s="321">
        <f t="shared" si="66"/>
        <v>3.564121540290799E-3</v>
      </c>
      <c r="AB134" s="321">
        <f t="shared" si="66"/>
        <v>4.2693869945125574E-3</v>
      </c>
      <c r="AC134" s="321">
        <f t="shared" si="66"/>
        <v>4.0571609078900997E-3</v>
      </c>
      <c r="AD134" s="321">
        <f t="shared" si="66"/>
        <v>3.4742788323543191E-3</v>
      </c>
      <c r="AE134" s="321">
        <f t="shared" si="66"/>
        <v>4.0565583086279661E-3</v>
      </c>
      <c r="AF134" s="321">
        <f t="shared" si="66"/>
        <v>3.697884744916201E-3</v>
      </c>
      <c r="AG134" s="321">
        <f t="shared" si="66"/>
        <v>4.102990446825318E-3</v>
      </c>
      <c r="AH134" s="321">
        <f t="shared" si="66"/>
        <v>4.0244652742293836E-3</v>
      </c>
      <c r="AI134" s="321">
        <f t="shared" si="66"/>
        <v>3.7741416390994695E-3</v>
      </c>
      <c r="AJ134" s="321">
        <f t="shared" si="66"/>
        <v>3.8745585618423744E-3</v>
      </c>
      <c r="AK134" s="321">
        <f t="shared" si="66"/>
        <v>3.6801670588213565E-3</v>
      </c>
      <c r="AL134" s="321">
        <f t="shared" si="66"/>
        <v>3.3400183895760725E-3</v>
      </c>
      <c r="AM134" s="321">
        <f t="shared" si="66"/>
        <v>3.4026632413291786E-3</v>
      </c>
      <c r="AN134" s="321">
        <f t="shared" si="66"/>
        <v>3.1917670644395122E-3</v>
      </c>
      <c r="AO134" s="321">
        <f t="shared" si="66"/>
        <v>3.0828718425423714E-3</v>
      </c>
      <c r="AP134" s="321">
        <f t="shared" si="66"/>
        <v>3.3217438262989887E-3</v>
      </c>
      <c r="AQ134" s="321">
        <f t="shared" si="66"/>
        <v>2.7844952944440877E-3</v>
      </c>
      <c r="AR134" s="321">
        <f t="shared" si="66"/>
        <v>2.9218965737489865E-3</v>
      </c>
      <c r="AS134" s="321">
        <f t="shared" si="66"/>
        <v>2.4189017650513766E-3</v>
      </c>
      <c r="AT134" s="321">
        <f t="shared" si="66"/>
        <v>2.698217481746693E-3</v>
      </c>
      <c r="AU134" s="321">
        <f t="shared" si="66"/>
        <v>2.6715775460486942E-3</v>
      </c>
      <c r="AV134" s="321">
        <f t="shared" si="66"/>
        <v>2.5534192650117954E-3</v>
      </c>
      <c r="AW134" s="321">
        <f t="shared" si="66"/>
        <v>2.5319955456221547E-3</v>
      </c>
      <c r="AX134" s="321">
        <f t="shared" ref="AX134:BQ134" si="67">(AX75-AW75)*$C$135</f>
        <v>2.7774997401386822E-3</v>
      </c>
      <c r="AY134" s="321">
        <f t="shared" si="67"/>
        <v>2.697658212617669E-3</v>
      </c>
      <c r="AZ134" s="321">
        <f t="shared" si="67"/>
        <v>2.6294652356407609E-3</v>
      </c>
      <c r="BA134" s="321">
        <f t="shared" si="67"/>
        <v>2.5493994704489081E-3</v>
      </c>
      <c r="BB134" s="321">
        <f t="shared" si="67"/>
        <v>2.4772739509176115E-3</v>
      </c>
      <c r="BC134" s="321">
        <f t="shared" si="67"/>
        <v>2.4238638787407005E-3</v>
      </c>
      <c r="BD134" s="321">
        <f t="shared" si="67"/>
        <v>2.362356524465033E-3</v>
      </c>
      <c r="BE134" s="321">
        <f t="shared" si="67"/>
        <v>2.3112469675670368E-3</v>
      </c>
      <c r="BF134" s="321">
        <f t="shared" si="67"/>
        <v>2.2641647636804469E-3</v>
      </c>
      <c r="BG134" s="321">
        <f t="shared" si="67"/>
        <v>2.1969455284871404E-3</v>
      </c>
      <c r="BH134" s="321">
        <f t="shared" si="67"/>
        <v>2.1627645710631002E-3</v>
      </c>
      <c r="BI134" s="321">
        <f t="shared" si="67"/>
        <v>2.1164537043995195E-3</v>
      </c>
      <c r="BJ134" s="321">
        <f t="shared" si="67"/>
        <v>2.1022475987958838E-3</v>
      </c>
      <c r="BK134" s="321">
        <f t="shared" si="67"/>
        <v>2.0672964066131461E-3</v>
      </c>
      <c r="BL134" s="321">
        <f t="shared" si="67"/>
        <v>2.0317018055449462E-3</v>
      </c>
      <c r="BM134" s="321">
        <f t="shared" si="67"/>
        <v>2.0018376328681505E-3</v>
      </c>
      <c r="BN134" s="321">
        <f t="shared" si="67"/>
        <v>1.9712928479704121E-3</v>
      </c>
      <c r="BO134" s="321">
        <f t="shared" si="67"/>
        <v>1.9212607303610923E-3</v>
      </c>
      <c r="BP134" s="321">
        <f t="shared" si="67"/>
        <v>1.8732559889853497E-3</v>
      </c>
      <c r="BQ134" s="321">
        <f t="shared" si="67"/>
        <v>1.8265950905455371E-3</v>
      </c>
      <c r="BR134" s="246"/>
    </row>
    <row r="135" spans="2:70" x14ac:dyDescent="0.25">
      <c r="B135" s="669"/>
      <c r="C135" s="319">
        <v>5.8500000000000003E-2</v>
      </c>
      <c r="D135" s="670" t="s">
        <v>5</v>
      </c>
      <c r="E135" s="671"/>
      <c r="F135" s="320" t="s">
        <v>348</v>
      </c>
      <c r="G135" s="321" t="s">
        <v>336</v>
      </c>
      <c r="H135" s="321" t="s">
        <v>336</v>
      </c>
      <c r="I135" s="321">
        <v>1.0000000000000001E-5</v>
      </c>
      <c r="J135" s="321" t="s">
        <v>336</v>
      </c>
      <c r="K135" s="321">
        <v>1.0000000000000001E-5</v>
      </c>
      <c r="L135" s="321" t="s">
        <v>336</v>
      </c>
      <c r="M135" s="321">
        <v>1.0000000000000001E-5</v>
      </c>
      <c r="N135" s="321" t="s">
        <v>336</v>
      </c>
      <c r="O135" s="321">
        <v>2.7399999999999998E-3</v>
      </c>
      <c r="P135" s="321" t="s">
        <v>336</v>
      </c>
      <c r="Q135" s="321">
        <v>7.1000000000000002E-4</v>
      </c>
      <c r="R135" s="322">
        <f t="shared" ref="R135:AW135" si="68">(R79-Q79)*$C$135</f>
        <v>-3.9718988045100301E-5</v>
      </c>
      <c r="S135" s="322">
        <f t="shared" si="68"/>
        <v>-3.966417584159954E-5</v>
      </c>
      <c r="T135" s="322">
        <f t="shared" si="68"/>
        <v>-3.9609439278938873E-5</v>
      </c>
      <c r="U135" s="322">
        <f t="shared" si="68"/>
        <v>-3.955477825273379E-5</v>
      </c>
      <c r="V135" s="322">
        <f t="shared" si="68"/>
        <v>-3.950019265874269E-5</v>
      </c>
      <c r="W135" s="322">
        <f t="shared" si="68"/>
        <v>-3.9445682392873327E-5</v>
      </c>
      <c r="X135" s="322">
        <f t="shared" si="68"/>
        <v>-3.9391247351173109E-5</v>
      </c>
      <c r="Y135" s="322">
        <f t="shared" si="68"/>
        <v>-3.9336887429829075E-5</v>
      </c>
      <c r="Z135" s="322">
        <f t="shared" si="68"/>
        <v>-3.9282602525174408E-5</v>
      </c>
      <c r="AA135" s="322">
        <f t="shared" si="68"/>
        <v>-3.9228392533691652E-5</v>
      </c>
      <c r="AB135" s="322">
        <f t="shared" si="68"/>
        <v>-3.917425735199326E-5</v>
      </c>
      <c r="AC135" s="322">
        <f t="shared" si="68"/>
        <v>-3.9120196876847566E-5</v>
      </c>
      <c r="AD135" s="322">
        <f t="shared" si="68"/>
        <v>-3.9066211005159283E-5</v>
      </c>
      <c r="AE135" s="322">
        <f t="shared" si="68"/>
        <v>-3.9012299633969517E-5</v>
      </c>
      <c r="AF135" s="322">
        <f t="shared" si="68"/>
        <v>-3.8958462660475261E-5</v>
      </c>
      <c r="AG135" s="322">
        <f t="shared" si="68"/>
        <v>-3.8904699982003383E-5</v>
      </c>
      <c r="AH135" s="322">
        <f t="shared" si="68"/>
        <v>-3.8851011496030152E-5</v>
      </c>
      <c r="AI135" s="322">
        <f t="shared" si="68"/>
        <v>-3.8797397100164974E-5</v>
      </c>
      <c r="AJ135" s="322">
        <f t="shared" si="68"/>
        <v>-3.8743856692166627E-5</v>
      </c>
      <c r="AK135" s="322">
        <f t="shared" si="68"/>
        <v>-3.8690390169930284E-5</v>
      </c>
      <c r="AL135" s="322">
        <f t="shared" si="68"/>
        <v>-3.863699743149726E-5</v>
      </c>
      <c r="AM135" s="322">
        <f t="shared" si="68"/>
        <v>-3.8583678375042012E-5</v>
      </c>
      <c r="AN135" s="322">
        <f t="shared" si="68"/>
        <v>-3.8530432898885113E-5</v>
      </c>
      <c r="AO135" s="322">
        <f t="shared" si="68"/>
        <v>-3.8477260901483541E-5</v>
      </c>
      <c r="AP135" s="322">
        <f t="shared" si="68"/>
        <v>-3.8424162281440412E-5</v>
      </c>
      <c r="AQ135" s="322">
        <f t="shared" si="68"/>
        <v>-3.8371136937491974E-5</v>
      </c>
      <c r="AR135" s="322">
        <f t="shared" si="68"/>
        <v>-3.8318184768517369E-5</v>
      </c>
      <c r="AS135" s="322">
        <f t="shared" si="68"/>
        <v>-3.8265305673535366E-5</v>
      </c>
      <c r="AT135" s="322">
        <f t="shared" si="68"/>
        <v>-3.8212499551707637E-5</v>
      </c>
      <c r="AU135" s="322">
        <f t="shared" si="68"/>
        <v>-3.8159766302325731E-5</v>
      </c>
      <c r="AV135" s="322">
        <f t="shared" si="68"/>
        <v>-3.8107105824827348E-5</v>
      </c>
      <c r="AW135" s="322">
        <f t="shared" si="68"/>
        <v>-3.8054518018789815E-5</v>
      </c>
      <c r="AX135" s="322">
        <f t="shared" ref="AX135:BQ135" si="69">(AX79-AW79)*$C$135</f>
        <v>-3.8002002783923604E-5</v>
      </c>
      <c r="AY135" s="322">
        <f t="shared" si="69"/>
        <v>-3.7949560020082071E-5</v>
      </c>
      <c r="AZ135" s="322">
        <f t="shared" si="69"/>
        <v>-3.7897189627254972E-5</v>
      </c>
      <c r="BA135" s="322">
        <f t="shared" si="69"/>
        <v>-3.7844891505568443E-5</v>
      </c>
      <c r="BB135" s="322">
        <f t="shared" si="69"/>
        <v>-3.7792665555291509E-5</v>
      </c>
      <c r="BC135" s="322">
        <f t="shared" si="69"/>
        <v>-3.7740511676826351E-5</v>
      </c>
      <c r="BD135" s="322">
        <f t="shared" si="69"/>
        <v>-3.768842977071152E-5</v>
      </c>
      <c r="BE135" s="322">
        <f t="shared" si="69"/>
        <v>-3.7636419737628467E-5</v>
      </c>
      <c r="BF135" s="322">
        <f t="shared" si="69"/>
        <v>-3.7584481478388529E-5</v>
      </c>
      <c r="BG135" s="322">
        <f t="shared" si="69"/>
        <v>-3.7532614893949186E-5</v>
      </c>
      <c r="BH135" s="322">
        <f t="shared" si="69"/>
        <v>-3.7480819885394562E-5</v>
      </c>
      <c r="BI135" s="322">
        <f t="shared" si="69"/>
        <v>-3.7429096353954916E-5</v>
      </c>
      <c r="BJ135" s="322">
        <f t="shared" si="69"/>
        <v>-3.7377444200987155E-5</v>
      </c>
      <c r="BK135" s="322">
        <f t="shared" si="69"/>
        <v>-3.732586332798782E-5</v>
      </c>
      <c r="BL135" s="322">
        <f t="shared" si="69"/>
        <v>-3.7274353636596341E-5</v>
      </c>
      <c r="BM135" s="322">
        <f t="shared" si="69"/>
        <v>-3.7222915028575558E-5</v>
      </c>
      <c r="BN135" s="322">
        <f t="shared" si="69"/>
        <v>-3.7171547405837673E-5</v>
      </c>
      <c r="BO135" s="322">
        <f t="shared" si="69"/>
        <v>-3.7120250670418298E-5</v>
      </c>
      <c r="BP135" s="322">
        <f t="shared" si="69"/>
        <v>-3.7069024724492697E-5</v>
      </c>
      <c r="BQ135" s="322">
        <f t="shared" si="69"/>
        <v>-3.7017869470372505E-5</v>
      </c>
      <c r="BR135" s="246"/>
    </row>
    <row r="136" spans="2:70" x14ac:dyDescent="0.25">
      <c r="B136" s="669"/>
      <c r="C136" s="319">
        <v>0.44640000000000002</v>
      </c>
      <c r="D136" s="670" t="s">
        <v>29</v>
      </c>
      <c r="E136" s="671"/>
      <c r="F136" s="320" t="s">
        <v>348</v>
      </c>
      <c r="G136" s="321" t="s">
        <v>336</v>
      </c>
      <c r="H136" s="321" t="s">
        <v>336</v>
      </c>
      <c r="I136" s="321">
        <v>3.6900000000000001E-3</v>
      </c>
      <c r="J136" s="321" t="s">
        <v>336</v>
      </c>
      <c r="K136" s="321">
        <v>3.6900000000000001E-3</v>
      </c>
      <c r="L136" s="321" t="s">
        <v>336</v>
      </c>
      <c r="M136" s="321">
        <v>3.6900000000000001E-3</v>
      </c>
      <c r="N136" s="321" t="s">
        <v>336</v>
      </c>
      <c r="O136" s="321">
        <v>4.4400000000000004E-3</v>
      </c>
      <c r="P136" s="321" t="s">
        <v>336</v>
      </c>
      <c r="Q136" s="321">
        <v>3.3E-3</v>
      </c>
      <c r="R136" s="322">
        <f t="shared" ref="R136:AW136" si="70">(R84-Q84)*$C$136</f>
        <v>6.0776208682037226E-4</v>
      </c>
      <c r="S136" s="322">
        <f t="shared" si="70"/>
        <v>6.1538202749937055E-4</v>
      </c>
      <c r="T136" s="322">
        <f t="shared" si="70"/>
        <v>6.2309750473323478E-4</v>
      </c>
      <c r="U136" s="322">
        <f t="shared" si="70"/>
        <v>6.3025554338060476E-4</v>
      </c>
      <c r="V136" s="322">
        <f t="shared" si="70"/>
        <v>6.3814930702050707E-4</v>
      </c>
      <c r="W136" s="322">
        <f t="shared" si="70"/>
        <v>6.4614193770736535E-4</v>
      </c>
      <c r="X136" s="322">
        <f t="shared" si="70"/>
        <v>6.5423467372161242E-4</v>
      </c>
      <c r="Y136" s="322">
        <f t="shared" si="70"/>
        <v>6.6242876885275149E-4</v>
      </c>
      <c r="Z136" s="322">
        <f t="shared" si="70"/>
        <v>6.7072549259364583E-4</v>
      </c>
      <c r="AA136" s="322">
        <f t="shared" si="70"/>
        <v>6.7912613033717416E-4</v>
      </c>
      <c r="AB136" s="322">
        <f t="shared" si="70"/>
        <v>6.8763198357538842E-4</v>
      </c>
      <c r="AC136" s="322">
        <f t="shared" si="70"/>
        <v>6.962443701011259E-4</v>
      </c>
      <c r="AD136" s="322">
        <f t="shared" si="70"/>
        <v>7.0496462421219765E-4</v>
      </c>
      <c r="AE136" s="322">
        <f t="shared" si="70"/>
        <v>7.1379409691810474E-4</v>
      </c>
      <c r="AF136" s="322">
        <f t="shared" si="70"/>
        <v>7.2273415614933169E-4</v>
      </c>
      <c r="AG136" s="322">
        <f t="shared" si="70"/>
        <v>7.3178618696929118E-4</v>
      </c>
      <c r="AH136" s="322">
        <f t="shared" si="70"/>
        <v>7.4095159178888352E-4</v>
      </c>
      <c r="AI136" s="322">
        <f t="shared" si="70"/>
        <v>7.5023179058384326E-4</v>
      </c>
      <c r="AJ136" s="322">
        <f t="shared" si="70"/>
        <v>7.5962822111461396E-4</v>
      </c>
      <c r="AK136" s="322">
        <f t="shared" si="70"/>
        <v>7.6914233914920839E-4</v>
      </c>
      <c r="AL136" s="322">
        <f t="shared" si="70"/>
        <v>7.7877561868868394E-4</v>
      </c>
      <c r="AM136" s="322">
        <f t="shared" si="70"/>
        <v>7.8852955219551614E-4</v>
      </c>
      <c r="AN136" s="322">
        <f t="shared" si="70"/>
        <v>7.9840565082484754E-4</v>
      </c>
      <c r="AO136" s="322">
        <f t="shared" si="70"/>
        <v>8.0840544465858621E-4</v>
      </c>
      <c r="AP136" s="322">
        <f t="shared" si="70"/>
        <v>8.1853048294245267E-4</v>
      </c>
      <c r="AQ136" s="322">
        <f t="shared" si="70"/>
        <v>8.2878233432601318E-4</v>
      </c>
      <c r="AR136" s="322">
        <f t="shared" si="70"/>
        <v>8.3916258710571123E-4</v>
      </c>
      <c r="AS136" s="322">
        <f t="shared" si="70"/>
        <v>8.4967284947093488E-4</v>
      </c>
      <c r="AT136" s="322">
        <f t="shared" si="70"/>
        <v>8.6031474975314416E-4</v>
      </c>
      <c r="AU136" s="322">
        <f t="shared" si="70"/>
        <v>8.7108993667819553E-4</v>
      </c>
      <c r="AV136" s="322">
        <f t="shared" si="70"/>
        <v>8.8200007962172563E-4</v>
      </c>
      <c r="AW136" s="322">
        <f t="shared" si="70"/>
        <v>8.9304686886782013E-4</v>
      </c>
      <c r="AX136" s="322">
        <f t="shared" ref="AX136:BQ136" si="71">(AX84-AW84)*$C$136</f>
        <v>9.0423201587087757E-4</v>
      </c>
      <c r="AY136" s="322">
        <f t="shared" si="71"/>
        <v>9.1555725352072048E-4</v>
      </c>
      <c r="AZ136" s="322">
        <f t="shared" si="71"/>
        <v>9.2702433641115016E-4</v>
      </c>
      <c r="BA136" s="322">
        <f t="shared" si="71"/>
        <v>9.3863504111168659E-4</v>
      </c>
      <c r="BB136" s="322">
        <f t="shared" si="71"/>
        <v>9.5039116644288831E-4</v>
      </c>
      <c r="BC136" s="322">
        <f t="shared" si="71"/>
        <v>9.6229453375499304E-4</v>
      </c>
      <c r="BD136" s="322">
        <f t="shared" si="71"/>
        <v>9.7434698721012708E-4</v>
      </c>
      <c r="BE136" s="322">
        <f t="shared" si="71"/>
        <v>9.8655039406798342E-4</v>
      </c>
      <c r="BF136" s="322">
        <f t="shared" si="71"/>
        <v>9.9890664497511751E-4</v>
      </c>
      <c r="BG136" s="322">
        <f t="shared" si="71"/>
        <v>1.0114176542579117E-3</v>
      </c>
      <c r="BH136" s="322">
        <f t="shared" si="71"/>
        <v>1.0240853602190693E-3</v>
      </c>
      <c r="BI136" s="322">
        <f t="shared" si="71"/>
        <v>1.0369117254380009E-3</v>
      </c>
      <c r="BJ136" s="322">
        <f t="shared" si="71"/>
        <v>1.0498987370748264E-3</v>
      </c>
      <c r="BK136" s="322">
        <f t="shared" si="71"/>
        <v>1.0630484071782321E-3</v>
      </c>
      <c r="BL136" s="322">
        <f t="shared" si="71"/>
        <v>1.0763627729972677E-3</v>
      </c>
      <c r="BM136" s="322">
        <f t="shared" si="71"/>
        <v>1.0898438972968716E-3</v>
      </c>
      <c r="BN136" s="322">
        <f t="shared" si="71"/>
        <v>1.1034938686775477E-3</v>
      </c>
      <c r="BO136" s="322">
        <f t="shared" si="71"/>
        <v>1.1173148018988591E-3</v>
      </c>
      <c r="BP136" s="322">
        <f t="shared" si="71"/>
        <v>1.1313088382071319E-3</v>
      </c>
      <c r="BQ136" s="322">
        <f t="shared" si="71"/>
        <v>1.1454781456671523E-3</v>
      </c>
      <c r="BR136" s="246"/>
    </row>
    <row r="137" spans="2:70" x14ac:dyDescent="0.25">
      <c r="B137" s="324" t="s">
        <v>336</v>
      </c>
      <c r="C137" s="312"/>
      <c r="D137" s="325" t="s">
        <v>336</v>
      </c>
      <c r="E137" s="282" t="s">
        <v>336</v>
      </c>
      <c r="F137" s="326" t="s">
        <v>253</v>
      </c>
      <c r="G137" s="327" t="s">
        <v>336</v>
      </c>
      <c r="H137" s="327" t="s">
        <v>336</v>
      </c>
      <c r="I137" s="327">
        <v>7.1859999999999993E-2</v>
      </c>
      <c r="J137" s="327" t="s">
        <v>336</v>
      </c>
      <c r="K137" s="327">
        <v>7.1859999999999993E-2</v>
      </c>
      <c r="L137" s="327" t="s">
        <v>336</v>
      </c>
      <c r="M137" s="327">
        <v>7.1859999999999993E-2</v>
      </c>
      <c r="N137" s="327" t="s">
        <v>336</v>
      </c>
      <c r="O137" s="327">
        <v>2.9239999999999999E-2</v>
      </c>
      <c r="P137" s="327" t="s">
        <v>336</v>
      </c>
      <c r="Q137" s="327">
        <v>2.623E-2</v>
      </c>
      <c r="R137" s="329">
        <f>SUM(R131:R136)</f>
        <v>1.1470153188044434E-2</v>
      </c>
      <c r="S137" s="329">
        <f>SUM(S131:S136)</f>
        <v>9.5514441398922897E-3</v>
      </c>
      <c r="T137" s="329">
        <f>SUM(T131:T136)</f>
        <v>1.9638209603169733E-2</v>
      </c>
      <c r="U137" s="329">
        <f>SUM(U132:U136)</f>
        <v>1.7800589263102604E-2</v>
      </c>
      <c r="V137" s="329">
        <f t="shared" ref="V137:BQ137" si="72">SUM(V131:V136)</f>
        <v>1.8281552266902746E-2</v>
      </c>
      <c r="W137" s="329">
        <f t="shared" si="72"/>
        <v>1.8930207379991286E-2</v>
      </c>
      <c r="X137" s="329">
        <f t="shared" si="72"/>
        <v>1.637631289275715E-2</v>
      </c>
      <c r="Y137" s="329">
        <f t="shared" si="72"/>
        <v>1.494716756401279E-2</v>
      </c>
      <c r="Z137" s="329">
        <f t="shared" si="72"/>
        <v>1.7037000236107415E-2</v>
      </c>
      <c r="AA137" s="329">
        <f t="shared" si="72"/>
        <v>1.5687136039253317E-2</v>
      </c>
      <c r="AB137" s="329">
        <f t="shared" si="72"/>
        <v>1.2454180323617923E-2</v>
      </c>
      <c r="AC137" s="329">
        <f t="shared" si="72"/>
        <v>1.3159489081765348E-2</v>
      </c>
      <c r="AD137" s="329">
        <f t="shared" si="72"/>
        <v>1.5456987529048581E-2</v>
      </c>
      <c r="AE137" s="329">
        <f t="shared" si="72"/>
        <v>1.2759363669967983E-2</v>
      </c>
      <c r="AF137" s="329">
        <f t="shared" si="72"/>
        <v>1.4100279147901219E-2</v>
      </c>
      <c r="AG137" s="329">
        <f t="shared" si="72"/>
        <v>1.2167329120924662E-2</v>
      </c>
      <c r="AH137" s="329">
        <f t="shared" si="72"/>
        <v>1.2311208328023437E-2</v>
      </c>
      <c r="AI137" s="329">
        <f t="shared" si="72"/>
        <v>1.3194084620122533E-2</v>
      </c>
      <c r="AJ137" s="329">
        <f t="shared" si="72"/>
        <v>1.2575087328150381E-2</v>
      </c>
      <c r="AK137" s="329">
        <f t="shared" si="72"/>
        <v>1.3222572276439424E-2</v>
      </c>
      <c r="AL137" s="329">
        <f t="shared" si="72"/>
        <v>1.4497500940240399E-2</v>
      </c>
      <c r="AM137" s="329">
        <f t="shared" si="72"/>
        <v>1.4046856778897571E-2</v>
      </c>
      <c r="AN137" s="329">
        <f t="shared" si="72"/>
        <v>1.477119318696927E-2</v>
      </c>
      <c r="AO137" s="329">
        <f t="shared" si="72"/>
        <v>1.5059955972953834E-2</v>
      </c>
      <c r="AP137" s="329">
        <f t="shared" si="72"/>
        <v>1.3859218034556713E-2</v>
      </c>
      <c r="AQ137" s="329">
        <f t="shared" si="72"/>
        <v>1.5989095798352053E-2</v>
      </c>
      <c r="AR137" s="329">
        <f t="shared" si="72"/>
        <v>1.522739865380216E-2</v>
      </c>
      <c r="AS137" s="329">
        <f t="shared" si="72"/>
        <v>1.7214173232547238E-2</v>
      </c>
      <c r="AT137" s="329">
        <f t="shared" si="72"/>
        <v>1.5846895915827205E-2</v>
      </c>
      <c r="AU137" s="329">
        <f t="shared" si="72"/>
        <v>1.5794127724553471E-2</v>
      </c>
      <c r="AV137" s="329">
        <f t="shared" si="72"/>
        <v>1.6135209352568628E-2</v>
      </c>
      <c r="AW137" s="329">
        <f t="shared" si="72"/>
        <v>1.6062647683378901E-2</v>
      </c>
      <c r="AX137" s="329">
        <f t="shared" si="72"/>
        <v>1.4847295389180597E-2</v>
      </c>
      <c r="AY137" s="329">
        <f t="shared" si="72"/>
        <v>1.5029158963698512E-2</v>
      </c>
      <c r="AZ137" s="329">
        <f t="shared" si="72"/>
        <v>1.5163036074758159E-2</v>
      </c>
      <c r="BA137" s="329">
        <f t="shared" si="72"/>
        <v>1.5349749030878908E-2</v>
      </c>
      <c r="BB137" s="329">
        <f t="shared" si="72"/>
        <v>1.5504271595060104E-2</v>
      </c>
      <c r="BC137" s="329">
        <f t="shared" si="72"/>
        <v>1.5580382138686174E-2</v>
      </c>
      <c r="BD137" s="329">
        <f t="shared" si="72"/>
        <v>1.5693016215401246E-2</v>
      </c>
      <c r="BE137" s="329">
        <f t="shared" si="72"/>
        <v>1.5762868577576656E-2</v>
      </c>
      <c r="BF137" s="329">
        <f t="shared" si="72"/>
        <v>1.5817214966015E-2</v>
      </c>
      <c r="BG137" s="329">
        <f t="shared" si="72"/>
        <v>1.5959664254080134E-2</v>
      </c>
      <c r="BH137" s="329">
        <f t="shared" si="72"/>
        <v>1.5962125654247816E-2</v>
      </c>
      <c r="BI137" s="329">
        <f t="shared" si="72"/>
        <v>1.6018295059880425E-2</v>
      </c>
      <c r="BJ137" s="329">
        <f t="shared" si="72"/>
        <v>1.5938425570156609E-2</v>
      </c>
      <c r="BK137" s="329">
        <f t="shared" si="72"/>
        <v>1.5949155103248076E-2</v>
      </c>
      <c r="BL137" s="329">
        <f t="shared" si="72"/>
        <v>1.5964239543464539E-2</v>
      </c>
      <c r="BM137" s="329">
        <f t="shared" si="72"/>
        <v>1.5956314028261389E-2</v>
      </c>
      <c r="BN137" s="329">
        <f t="shared" si="72"/>
        <v>1.5952844919788149E-2</v>
      </c>
      <c r="BO137" s="329">
        <f t="shared" si="72"/>
        <v>1.6034463845554327E-2</v>
      </c>
      <c r="BP137" s="329">
        <f t="shared" si="72"/>
        <v>1.6108865824828743E-2</v>
      </c>
      <c r="BQ137" s="329">
        <f t="shared" si="72"/>
        <v>1.617895265080093E-2</v>
      </c>
      <c r="BR137" s="246"/>
    </row>
    <row r="138" spans="2:70" x14ac:dyDescent="0.25">
      <c r="B138" s="324" t="s">
        <v>336</v>
      </c>
      <c r="C138" s="324"/>
      <c r="D138" s="325" t="s">
        <v>336</v>
      </c>
      <c r="E138" s="282" t="s">
        <v>336</v>
      </c>
      <c r="F138" s="282" t="s">
        <v>336</v>
      </c>
      <c r="G138" s="330" t="s">
        <v>336</v>
      </c>
      <c r="H138" s="330" t="s">
        <v>336</v>
      </c>
      <c r="I138" s="330" t="s">
        <v>336</v>
      </c>
      <c r="J138" s="330" t="s">
        <v>336</v>
      </c>
      <c r="K138" s="330" t="s">
        <v>336</v>
      </c>
      <c r="L138" s="330" t="s">
        <v>336</v>
      </c>
      <c r="M138" s="330" t="s">
        <v>336</v>
      </c>
      <c r="N138" s="330" t="s">
        <v>336</v>
      </c>
      <c r="O138" s="330" t="s">
        <v>336</v>
      </c>
      <c r="P138" s="330" t="s">
        <v>336</v>
      </c>
      <c r="Q138" s="330" t="s">
        <v>336</v>
      </c>
      <c r="R138" s="330" t="s">
        <v>336</v>
      </c>
      <c r="S138" s="330" t="s">
        <v>336</v>
      </c>
      <c r="T138" s="330" t="s">
        <v>336</v>
      </c>
      <c r="U138" s="330" t="s">
        <v>336</v>
      </c>
      <c r="V138" s="330" t="s">
        <v>336</v>
      </c>
      <c r="W138" s="330" t="s">
        <v>336</v>
      </c>
      <c r="X138" s="330" t="s">
        <v>336</v>
      </c>
      <c r="Y138" s="330" t="s">
        <v>336</v>
      </c>
      <c r="Z138" s="330" t="s">
        <v>336</v>
      </c>
      <c r="AA138" s="330" t="s">
        <v>336</v>
      </c>
      <c r="AB138" s="330" t="s">
        <v>336</v>
      </c>
      <c r="AC138" s="330" t="s">
        <v>336</v>
      </c>
      <c r="AD138" s="330" t="s">
        <v>336</v>
      </c>
      <c r="AE138" s="330" t="s">
        <v>336</v>
      </c>
      <c r="AF138" s="330" t="s">
        <v>336</v>
      </c>
      <c r="AG138" s="330" t="s">
        <v>336</v>
      </c>
      <c r="AH138" s="330" t="s">
        <v>336</v>
      </c>
      <c r="AI138" s="330" t="s">
        <v>336</v>
      </c>
      <c r="AJ138" s="330" t="s">
        <v>336</v>
      </c>
      <c r="AK138" s="330" t="s">
        <v>336</v>
      </c>
      <c r="AL138" s="330" t="s">
        <v>336</v>
      </c>
      <c r="AM138" s="330" t="s">
        <v>336</v>
      </c>
      <c r="AN138" s="330" t="s">
        <v>336</v>
      </c>
      <c r="AO138" s="330" t="s">
        <v>336</v>
      </c>
      <c r="AP138" s="330" t="s">
        <v>336</v>
      </c>
      <c r="AQ138" s="330" t="s">
        <v>336</v>
      </c>
      <c r="AR138" s="330" t="s">
        <v>336</v>
      </c>
      <c r="AS138" s="330" t="s">
        <v>336</v>
      </c>
      <c r="AT138" s="330" t="s">
        <v>336</v>
      </c>
      <c r="AU138" s="330" t="s">
        <v>336</v>
      </c>
      <c r="AV138" s="330" t="s">
        <v>336</v>
      </c>
      <c r="AW138" s="330" t="s">
        <v>336</v>
      </c>
      <c r="AX138" s="330" t="s">
        <v>336</v>
      </c>
      <c r="AY138" s="330"/>
      <c r="AZ138" s="330"/>
      <c r="BA138" s="330"/>
      <c r="BB138" s="330"/>
      <c r="BC138" s="330"/>
      <c r="BD138" s="330"/>
      <c r="BE138" s="330"/>
      <c r="BF138" s="330"/>
      <c r="BG138" s="330"/>
      <c r="BH138" s="330"/>
      <c r="BI138" s="330"/>
      <c r="BJ138" s="330"/>
      <c r="BK138" s="330"/>
      <c r="BL138" s="330"/>
      <c r="BM138" s="330"/>
      <c r="BN138" s="330"/>
      <c r="BO138" s="330"/>
      <c r="BP138" s="330"/>
      <c r="BQ138" s="330"/>
      <c r="BR138" s="246"/>
    </row>
    <row r="139" spans="2:70" ht="15.75" x14ac:dyDescent="0.25">
      <c r="C139" s="259"/>
      <c r="D139" s="243"/>
      <c r="E139" s="282"/>
      <c r="F139" s="248" t="s">
        <v>349</v>
      </c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333"/>
      <c r="S139" s="333"/>
      <c r="T139" s="333"/>
      <c r="U139" s="333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333"/>
      <c r="AH139" s="333"/>
      <c r="AI139" s="333"/>
      <c r="AJ139" s="333"/>
      <c r="AK139" s="333"/>
      <c r="AL139" s="333"/>
      <c r="AM139" s="333"/>
      <c r="AN139" s="333"/>
      <c r="AO139" s="333"/>
      <c r="AP139" s="333"/>
      <c r="AQ139" s="333"/>
      <c r="AR139" s="333"/>
      <c r="AS139" s="333"/>
      <c r="AT139" s="333"/>
      <c r="AU139" s="333"/>
      <c r="AV139" s="333"/>
      <c r="AW139" s="333"/>
      <c r="AX139" s="329"/>
      <c r="AY139" s="329"/>
      <c r="AZ139" s="329"/>
      <c r="BA139" s="329"/>
      <c r="BB139" s="329"/>
      <c r="BC139" s="329"/>
      <c r="BD139" s="329"/>
      <c r="BE139" s="329"/>
      <c r="BF139" s="329"/>
      <c r="BG139" s="329"/>
      <c r="BH139" s="329"/>
      <c r="BI139" s="329"/>
      <c r="BJ139" s="329"/>
      <c r="BK139" s="329"/>
      <c r="BL139" s="329"/>
      <c r="BM139" s="329"/>
      <c r="BN139" s="329"/>
      <c r="BO139" s="329"/>
      <c r="BP139" s="329"/>
      <c r="BQ139" s="329"/>
      <c r="BR139" s="246"/>
    </row>
    <row r="140" spans="2:70" x14ac:dyDescent="0.25">
      <c r="B140" s="669" t="s">
        <v>340</v>
      </c>
      <c r="C140" s="319">
        <v>1.2999999999999999E-2</v>
      </c>
      <c r="D140" s="670" t="s">
        <v>341</v>
      </c>
      <c r="E140" s="671"/>
      <c r="F140" s="320" t="s">
        <v>350</v>
      </c>
      <c r="G140" s="321" t="s">
        <v>336</v>
      </c>
      <c r="H140" s="321" t="s">
        <v>336</v>
      </c>
      <c r="I140" s="321">
        <v>9.2000000000000003E-4</v>
      </c>
      <c r="J140" s="321" t="s">
        <v>336</v>
      </c>
      <c r="K140" s="321">
        <v>9.2000000000000003E-4</v>
      </c>
      <c r="L140" s="321" t="s">
        <v>336</v>
      </c>
      <c r="M140" s="321">
        <v>9.2000000000000003E-4</v>
      </c>
      <c r="N140" s="321" t="s">
        <v>336</v>
      </c>
      <c r="O140" s="321">
        <v>1.1900000000000001E-3</v>
      </c>
      <c r="P140" s="321" t="s">
        <v>336</v>
      </c>
      <c r="Q140" s="321">
        <v>1.1100000000000001E-3</v>
      </c>
      <c r="R140" s="321">
        <f t="shared" ref="R140:AW140" si="73">(R66)*$C$140</f>
        <v>1.2201481041750027E-3</v>
      </c>
      <c r="S140" s="321">
        <f t="shared" si="73"/>
        <v>1.2631168398116335E-3</v>
      </c>
      <c r="T140" s="321">
        <f t="shared" si="73"/>
        <v>1.2535171518290563E-3</v>
      </c>
      <c r="U140" s="321">
        <f t="shared" si="73"/>
        <v>1.2439904214751659E-3</v>
      </c>
      <c r="V140" s="321">
        <f t="shared" si="73"/>
        <v>1.2345360942719399E-3</v>
      </c>
      <c r="W140" s="321">
        <f t="shared" si="73"/>
        <v>1.2251536199554848E-3</v>
      </c>
      <c r="X140" s="321">
        <f t="shared" si="73"/>
        <v>1.215842452443823E-3</v>
      </c>
      <c r="Y140" s="321">
        <f t="shared" si="73"/>
        <v>1.2066020498052552E-3</v>
      </c>
      <c r="Z140" s="321">
        <f t="shared" si="73"/>
        <v>1.1974318742267228E-3</v>
      </c>
      <c r="AA140" s="321">
        <f t="shared" si="73"/>
        <v>1.1883313919826115E-3</v>
      </c>
      <c r="AB140" s="321">
        <f t="shared" si="73"/>
        <v>1.1793000734035281E-3</v>
      </c>
      <c r="AC140" s="321">
        <f t="shared" si="73"/>
        <v>1.1703373928456811E-3</v>
      </c>
      <c r="AD140" s="321">
        <f t="shared" si="73"/>
        <v>1.1614428286600518E-3</v>
      </c>
      <c r="AE140" s="321">
        <f t="shared" si="73"/>
        <v>1.152615863162234E-3</v>
      </c>
      <c r="AF140" s="321">
        <f t="shared" si="73"/>
        <v>1.1438559826021848E-3</v>
      </c>
      <c r="AG140" s="321">
        <f t="shared" si="73"/>
        <v>1.1351626771344101E-3</v>
      </c>
      <c r="AH140" s="321">
        <f t="shared" si="73"/>
        <v>1.1265354407881992E-3</v>
      </c>
      <c r="AI140" s="321">
        <f t="shared" si="73"/>
        <v>1.117973771438205E-3</v>
      </c>
      <c r="AJ140" s="321">
        <f t="shared" si="73"/>
        <v>1.1094771707752765E-3</v>
      </c>
      <c r="AK140" s="321">
        <f t="shared" si="73"/>
        <v>1.1010451442773873E-3</v>
      </c>
      <c r="AL140" s="321">
        <f t="shared" si="73"/>
        <v>1.0926772011808836E-3</v>
      </c>
      <c r="AM140" s="321">
        <f t="shared" si="73"/>
        <v>1.0843728544518961E-3</v>
      </c>
      <c r="AN140" s="321">
        <f t="shared" si="73"/>
        <v>1.0761316207580744E-3</v>
      </c>
      <c r="AO140" s="321">
        <f t="shared" si="73"/>
        <v>1.0679530204402994E-3</v>
      </c>
      <c r="AP140" s="321">
        <f t="shared" si="73"/>
        <v>1.0598365774849476E-3</v>
      </c>
      <c r="AQ140" s="321">
        <f t="shared" si="73"/>
        <v>1.0517818194960657E-3</v>
      </c>
      <c r="AR140" s="321">
        <f t="shared" si="73"/>
        <v>1.0437882776679127E-3</v>
      </c>
      <c r="AS140" s="321">
        <f t="shared" si="73"/>
        <v>1.0358554867576188E-3</v>
      </c>
      <c r="AT140" s="321">
        <f t="shared" si="73"/>
        <v>1.0279829850582587E-3</v>
      </c>
      <c r="AU140" s="321">
        <f t="shared" si="73"/>
        <v>1.0201703143718336E-3</v>
      </c>
      <c r="AV140" s="321">
        <f t="shared" si="73"/>
        <v>1.0124170199825996E-3</v>
      </c>
      <c r="AW140" s="321">
        <f t="shared" si="73"/>
        <v>1.0047226506307413E-3</v>
      </c>
      <c r="AX140" s="321">
        <f t="shared" ref="AX140:BQ140" si="74">(AX66)*$C$140</f>
        <v>9.9708675848593129E-4</v>
      </c>
      <c r="AY140" s="321">
        <f t="shared" si="74"/>
        <v>9.8950889912144293E-4</v>
      </c>
      <c r="AZ140" s="321">
        <f t="shared" si="74"/>
        <v>9.8198863148812507E-4</v>
      </c>
      <c r="BA140" s="321">
        <f t="shared" si="74"/>
        <v>9.745255178888161E-4</v>
      </c>
      <c r="BB140" s="321">
        <f t="shared" si="74"/>
        <v>9.6711912395284821E-4</v>
      </c>
      <c r="BC140" s="321">
        <f t="shared" si="74"/>
        <v>9.597690186108085E-4</v>
      </c>
      <c r="BD140" s="321">
        <f t="shared" si="74"/>
        <v>9.5247477406936723E-4</v>
      </c>
      <c r="BE140" s="321">
        <f t="shared" si="74"/>
        <v>9.4523596578645374E-4</v>
      </c>
      <c r="BF140" s="321">
        <f t="shared" si="74"/>
        <v>9.3805217244647744E-4</v>
      </c>
      <c r="BG140" s="321">
        <f t="shared" si="74"/>
        <v>9.3092297593587317E-4</v>
      </c>
      <c r="BH140" s="321">
        <f t="shared" si="74"/>
        <v>9.2384796131876178E-4</v>
      </c>
      <c r="BI140" s="321">
        <f t="shared" si="74"/>
        <v>9.1682671681274819E-4</v>
      </c>
      <c r="BJ140" s="321">
        <f t="shared" si="74"/>
        <v>9.0985883376497507E-4</v>
      </c>
      <c r="BK140" s="321">
        <f t="shared" si="74"/>
        <v>9.029439066283604E-4</v>
      </c>
      <c r="BL140" s="321">
        <f t="shared" si="74"/>
        <v>8.9608153293797344E-4</v>
      </c>
      <c r="BM140" s="321">
        <f t="shared" si="74"/>
        <v>8.8927131328764189E-4</v>
      </c>
      <c r="BN140" s="321">
        <f t="shared" si="74"/>
        <v>8.8251285130665203E-4</v>
      </c>
      <c r="BO140" s="321">
        <f t="shared" si="74"/>
        <v>8.7580575363672422E-4</v>
      </c>
      <c r="BP140" s="321">
        <f t="shared" si="74"/>
        <v>8.6914962990908328E-4</v>
      </c>
      <c r="BQ140" s="321">
        <f t="shared" si="74"/>
        <v>8.6254409272178015E-4</v>
      </c>
      <c r="BR140" s="246"/>
    </row>
    <row r="141" spans="2:70" x14ac:dyDescent="0.25">
      <c r="B141" s="669"/>
      <c r="C141" s="319">
        <v>1.5E-3</v>
      </c>
      <c r="D141" s="670" t="s">
        <v>28</v>
      </c>
      <c r="E141" s="671"/>
      <c r="F141" s="320" t="s">
        <v>350</v>
      </c>
      <c r="G141" s="321" t="s">
        <v>336</v>
      </c>
      <c r="H141" s="321" t="s">
        <v>336</v>
      </c>
      <c r="I141" s="321">
        <v>0</v>
      </c>
      <c r="J141" s="321" t="s">
        <v>336</v>
      </c>
      <c r="K141" s="321">
        <v>0</v>
      </c>
      <c r="L141" s="321" t="s">
        <v>336</v>
      </c>
      <c r="M141" s="321">
        <v>0</v>
      </c>
      <c r="N141" s="321" t="s">
        <v>336</v>
      </c>
      <c r="O141" s="321">
        <v>1.1E-4</v>
      </c>
      <c r="P141" s="321" t="s">
        <v>336</v>
      </c>
      <c r="Q141" s="321">
        <v>2.0000000000000002E-5</v>
      </c>
      <c r="R141" s="322">
        <f t="shared" ref="R141:AW141" si="75">(R70-Q70)*$C$141</f>
        <v>2.2151479352888748E-10</v>
      </c>
      <c r="S141" s="322">
        <f t="shared" si="75"/>
        <v>-1.4250785696388879E-7</v>
      </c>
      <c r="T141" s="322">
        <f t="shared" si="75"/>
        <v>7.7441830972101165E-8</v>
      </c>
      <c r="U141" s="322">
        <f t="shared" si="75"/>
        <v>4.9390576331985457E-8</v>
      </c>
      <c r="V141" s="322">
        <f t="shared" si="75"/>
        <v>5.6723009830193797E-8</v>
      </c>
      <c r="W141" s="322">
        <f t="shared" si="75"/>
        <v>5.4910252222484249E-8</v>
      </c>
      <c r="X141" s="322">
        <f t="shared" si="75"/>
        <v>4.9434052768332351E-8</v>
      </c>
      <c r="Y141" s="322">
        <f t="shared" si="75"/>
        <v>4.212185922737588E-8</v>
      </c>
      <c r="Z141" s="322">
        <f t="shared" si="75"/>
        <v>5.8339784184839598E-8</v>
      </c>
      <c r="AA141" s="322">
        <f t="shared" si="75"/>
        <v>5.2152973976489491E-8</v>
      </c>
      <c r="AB141" s="322">
        <f t="shared" si="75"/>
        <v>4.0250315064771502E-8</v>
      </c>
      <c r="AC141" s="322">
        <f t="shared" si="75"/>
        <v>4.3670313106328189E-8</v>
      </c>
      <c r="AD141" s="322">
        <f t="shared" si="75"/>
        <v>5.8089921262882708E-8</v>
      </c>
      <c r="AE141" s="322">
        <f t="shared" si="75"/>
        <v>4.5250430968465929E-8</v>
      </c>
      <c r="AF141" s="322">
        <f t="shared" si="75"/>
        <v>5.3051552661741162E-8</v>
      </c>
      <c r="AG141" s="322">
        <f t="shared" si="75"/>
        <v>4.3435579103759393E-8</v>
      </c>
      <c r="AH141" s="322">
        <f t="shared" si="75"/>
        <v>4.3405479201980017E-8</v>
      </c>
      <c r="AI141" s="322">
        <f t="shared" si="75"/>
        <v>4.6892194576798887E-8</v>
      </c>
      <c r="AJ141" s="322">
        <f t="shared" si="75"/>
        <v>4.1675922321786351E-8</v>
      </c>
      <c r="AK141" s="322">
        <f t="shared" si="75"/>
        <v>4.3036984949680613E-8</v>
      </c>
      <c r="AL141" s="322">
        <f t="shared" si="75"/>
        <v>4.6325070784392077E-8</v>
      </c>
      <c r="AM141" s="322">
        <f t="shared" si="75"/>
        <v>4.1748660167095774E-8</v>
      </c>
      <c r="AN141" s="322">
        <f t="shared" si="75"/>
        <v>4.1962391252363399E-8</v>
      </c>
      <c r="AO141" s="322">
        <f t="shared" si="75"/>
        <v>4.0970119536069825E-8</v>
      </c>
      <c r="AP141" s="322">
        <f t="shared" si="75"/>
        <v>3.2172963987275872E-8</v>
      </c>
      <c r="AQ141" s="322">
        <f t="shared" si="75"/>
        <v>4.031593785824156E-8</v>
      </c>
      <c r="AR141" s="322">
        <f t="shared" si="75"/>
        <v>3.4205615049638647E-8</v>
      </c>
      <c r="AS141" s="322">
        <f t="shared" si="75"/>
        <v>4.2071076616134741E-8</v>
      </c>
      <c r="AT141" s="322">
        <f t="shared" si="75"/>
        <v>3.3924553247889619E-8</v>
      </c>
      <c r="AU141" s="322">
        <f t="shared" si="75"/>
        <v>3.2991034563160938E-8</v>
      </c>
      <c r="AV141" s="322">
        <f t="shared" si="75"/>
        <v>3.3610620554631874E-8</v>
      </c>
      <c r="AW141" s="322">
        <f t="shared" si="75"/>
        <v>3.3260855834091329E-8</v>
      </c>
      <c r="AX141" s="322">
        <f t="shared" ref="AX141:BQ141" si="76">(AX70-AW70)*$C$141</f>
        <v>3.7097283172485288E-8</v>
      </c>
      <c r="AY141" s="322">
        <f t="shared" si="76"/>
        <v>3.3134266782849922E-8</v>
      </c>
      <c r="AZ141" s="322">
        <f t="shared" si="76"/>
        <v>3.2571586994753491E-8</v>
      </c>
      <c r="BA141" s="322">
        <f t="shared" si="76"/>
        <v>3.3040484290390581E-8</v>
      </c>
      <c r="BB141" s="322">
        <f t="shared" si="76"/>
        <v>3.2766899741729086E-8</v>
      </c>
      <c r="BC141" s="322">
        <f t="shared" si="76"/>
        <v>3.3088816147344717E-8</v>
      </c>
      <c r="BD141" s="322">
        <f t="shared" si="76"/>
        <v>3.1491872736044705E-8</v>
      </c>
      <c r="BE141" s="322">
        <f t="shared" si="76"/>
        <v>3.1266044605224308E-8</v>
      </c>
      <c r="BF141" s="322">
        <f t="shared" si="76"/>
        <v>3.1030775043579262E-8</v>
      </c>
      <c r="BG141" s="322">
        <f t="shared" si="76"/>
        <v>3.0659515904626898E-8</v>
      </c>
      <c r="BH141" s="322">
        <f t="shared" si="76"/>
        <v>3.017080952411738E-8</v>
      </c>
      <c r="BI141" s="322">
        <f t="shared" si="76"/>
        <v>2.9775119194407063E-8</v>
      </c>
      <c r="BJ141" s="322">
        <f t="shared" si="76"/>
        <v>2.942002179013442E-8</v>
      </c>
      <c r="BK141" s="322">
        <f t="shared" si="76"/>
        <v>2.9078634006987626E-8</v>
      </c>
      <c r="BL141" s="322">
        <f t="shared" si="76"/>
        <v>2.8663892317433438E-8</v>
      </c>
      <c r="BM141" s="322">
        <f t="shared" si="76"/>
        <v>2.8254046440759352E-8</v>
      </c>
      <c r="BN141" s="322">
        <f t="shared" si="76"/>
        <v>2.7816761557414304E-8</v>
      </c>
      <c r="BO141" s="322">
        <f t="shared" si="76"/>
        <v>2.7445419783021787E-8</v>
      </c>
      <c r="BP141" s="322">
        <f t="shared" si="76"/>
        <v>2.7062608017464075E-8</v>
      </c>
      <c r="BQ141" s="322">
        <f t="shared" si="76"/>
        <v>2.6670142811317799E-8</v>
      </c>
      <c r="BR141" s="246"/>
    </row>
    <row r="142" spans="2:70" x14ac:dyDescent="0.25">
      <c r="B142" s="669"/>
      <c r="C142" s="319">
        <v>0.1012</v>
      </c>
      <c r="D142" s="670" t="s">
        <v>19</v>
      </c>
      <c r="E142" s="671"/>
      <c r="F142" s="320" t="s">
        <v>350</v>
      </c>
      <c r="G142" s="321" t="s">
        <v>336</v>
      </c>
      <c r="H142" s="321" t="s">
        <v>336</v>
      </c>
      <c r="I142" s="321">
        <v>7.7400000000000004E-3</v>
      </c>
      <c r="J142" s="321" t="s">
        <v>336</v>
      </c>
      <c r="K142" s="321">
        <v>7.7400000000000004E-3</v>
      </c>
      <c r="L142" s="321" t="s">
        <v>336</v>
      </c>
      <c r="M142" s="321">
        <v>7.7400000000000004E-3</v>
      </c>
      <c r="N142" s="321" t="s">
        <v>336</v>
      </c>
      <c r="O142" s="321">
        <v>7.5300000000000002E-3</v>
      </c>
      <c r="P142" s="321" t="s">
        <v>336</v>
      </c>
      <c r="Q142" s="321">
        <v>8.3400000000000002E-3</v>
      </c>
      <c r="R142" s="322">
        <f t="shared" ref="R142:AW142" si="77">(R72-Q72)*$C$142</f>
        <v>2.1597250564475905E-3</v>
      </c>
      <c r="S142" s="322">
        <f t="shared" si="77"/>
        <v>4.8007516372920717E-4</v>
      </c>
      <c r="T142" s="322">
        <f t="shared" si="77"/>
        <v>4.5520514506111687E-3</v>
      </c>
      <c r="U142" s="322">
        <f t="shared" si="77"/>
        <v>4.6825492909418915E-3</v>
      </c>
      <c r="V142" s="322">
        <f t="shared" si="77"/>
        <v>4.0464759472116961E-3</v>
      </c>
      <c r="W142" s="322">
        <f t="shared" si="77"/>
        <v>4.3275758477501767E-3</v>
      </c>
      <c r="X142" s="322">
        <f t="shared" si="77"/>
        <v>3.3169740898318211E-3</v>
      </c>
      <c r="Y142" s="322">
        <f t="shared" si="77"/>
        <v>2.7598596206687845E-3</v>
      </c>
      <c r="Z142" s="322">
        <f t="shared" si="77"/>
        <v>3.6201572834331209E-3</v>
      </c>
      <c r="AA142" s="322">
        <f t="shared" si="77"/>
        <v>3.0944241112592051E-3</v>
      </c>
      <c r="AB142" s="322">
        <f t="shared" si="77"/>
        <v>1.8093480449843564E-3</v>
      </c>
      <c r="AC142" s="322">
        <f t="shared" si="77"/>
        <v>2.1113399696091198E-3</v>
      </c>
      <c r="AD142" s="322">
        <f t="shared" si="77"/>
        <v>3.0544841661618244E-3</v>
      </c>
      <c r="AE142" s="322">
        <f t="shared" si="77"/>
        <v>1.9845822983420658E-3</v>
      </c>
      <c r="AF142" s="322">
        <f t="shared" si="77"/>
        <v>2.5418375509814657E-3</v>
      </c>
      <c r="AG142" s="322">
        <f t="shared" si="77"/>
        <v>1.7796209150368985E-3</v>
      </c>
      <c r="AH142" s="322">
        <f t="shared" si="77"/>
        <v>1.8541281383598388E-3</v>
      </c>
      <c r="AI142" s="322">
        <f t="shared" si="77"/>
        <v>2.2262157504291291E-3</v>
      </c>
      <c r="AJ142" s="322">
        <f t="shared" si="77"/>
        <v>1.9928939029777541E-3</v>
      </c>
      <c r="AK142" s="322">
        <f t="shared" si="77"/>
        <v>2.2696988042300377E-3</v>
      </c>
      <c r="AL142" s="322">
        <f t="shared" si="77"/>
        <v>2.7991927788105124E-3</v>
      </c>
      <c r="AM142" s="322">
        <f t="shared" si="77"/>
        <v>2.6330220041433984E-3</v>
      </c>
      <c r="AN142" s="322">
        <f t="shared" si="77"/>
        <v>2.9402208917547667E-3</v>
      </c>
      <c r="AO142" s="322">
        <f t="shared" si="77"/>
        <v>3.0715990490459517E-3</v>
      </c>
      <c r="AP142" s="322">
        <f t="shared" si="77"/>
        <v>2.6025212946887231E-3</v>
      </c>
      <c r="AQ142" s="322">
        <f t="shared" si="77"/>
        <v>3.4753994545782783E-3</v>
      </c>
      <c r="AR142" s="322">
        <f t="shared" si="77"/>
        <v>3.1827699318353773E-3</v>
      </c>
      <c r="AS142" s="322">
        <f t="shared" si="77"/>
        <v>3.997505346937838E-3</v>
      </c>
      <c r="AT142" s="322">
        <f t="shared" si="77"/>
        <v>3.4603757789970569E-3</v>
      </c>
      <c r="AU142" s="322">
        <f t="shared" si="77"/>
        <v>3.4526796861571417E-3</v>
      </c>
      <c r="AV142" s="322">
        <f t="shared" si="77"/>
        <v>3.6035513401732732E-3</v>
      </c>
      <c r="AW142" s="322">
        <f t="shared" si="77"/>
        <v>3.587478680887509E-3</v>
      </c>
      <c r="AX142" s="322">
        <f t="shared" ref="AX142:BQ142" si="78">(AX72-AW72)*$C$142</f>
        <v>3.109929851997934E-3</v>
      </c>
      <c r="AY142" s="322">
        <f t="shared" si="78"/>
        <v>3.1962878465628367E-3</v>
      </c>
      <c r="AZ142" s="322">
        <f t="shared" si="78"/>
        <v>3.2628172077275443E-3</v>
      </c>
      <c r="BA142" s="322">
        <f t="shared" si="78"/>
        <v>3.3503589514203916E-3</v>
      </c>
      <c r="BB142" s="322">
        <f t="shared" si="78"/>
        <v>3.4247490691590348E-3</v>
      </c>
      <c r="BC142" s="322">
        <f t="shared" si="78"/>
        <v>3.4672481343712316E-3</v>
      </c>
      <c r="BD142" s="322">
        <f t="shared" si="78"/>
        <v>3.5244004023993357E-3</v>
      </c>
      <c r="BE142" s="322">
        <f t="shared" si="78"/>
        <v>3.5639797666576745E-3</v>
      </c>
      <c r="BF142" s="322">
        <f t="shared" si="78"/>
        <v>3.59709033660131E-3</v>
      </c>
      <c r="BG142" s="322">
        <f t="shared" si="78"/>
        <v>3.6655334988245185E-3</v>
      </c>
      <c r="BH142" s="322">
        <f t="shared" si="78"/>
        <v>3.6773096834947427E-3</v>
      </c>
      <c r="BI142" s="322">
        <f t="shared" si="78"/>
        <v>3.7105321132308521E-3</v>
      </c>
      <c r="BJ142" s="322">
        <f t="shared" si="78"/>
        <v>3.6886723492059671E-3</v>
      </c>
      <c r="BK142" s="322">
        <f t="shared" si="78"/>
        <v>3.7031480586962959E-3</v>
      </c>
      <c r="BL142" s="322">
        <f t="shared" si="78"/>
        <v>3.7191809832633365E-3</v>
      </c>
      <c r="BM142" s="322">
        <f t="shared" si="78"/>
        <v>3.7257296266804555E-3</v>
      </c>
      <c r="BN142" s="322">
        <f t="shared" si="78"/>
        <v>3.7338766313803739E-3</v>
      </c>
      <c r="BO142" s="322">
        <f t="shared" si="78"/>
        <v>3.7761395639492414E-3</v>
      </c>
      <c r="BP142" s="322">
        <f t="shared" si="78"/>
        <v>3.8152948338283808E-3</v>
      </c>
      <c r="BQ142" s="322">
        <f t="shared" si="78"/>
        <v>3.8525145209332146E-3</v>
      </c>
      <c r="BR142" s="246"/>
    </row>
    <row r="143" spans="2:70" x14ac:dyDescent="0.25">
      <c r="B143" s="669"/>
      <c r="C143" s="319">
        <v>5.1189999999999999E-2</v>
      </c>
      <c r="D143" s="670" t="s">
        <v>351</v>
      </c>
      <c r="E143" s="671"/>
      <c r="F143" s="320" t="s">
        <v>350</v>
      </c>
      <c r="G143" s="320"/>
      <c r="H143" s="320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>
        <f t="shared" ref="R143:AW143" si="79">(R75-Q75)*$C$143</f>
        <v>1.9550567539255194E-3</v>
      </c>
      <c r="S143" s="321">
        <f t="shared" si="79"/>
        <v>4.7267673373228257E-3</v>
      </c>
      <c r="T143" s="321">
        <f t="shared" si="79"/>
        <v>2.6245199982254642E-3</v>
      </c>
      <c r="U143" s="321">
        <f t="shared" si="79"/>
        <v>2.5227545482037531E-3</v>
      </c>
      <c r="V143" s="321">
        <f t="shared" si="79"/>
        <v>2.8087722573896545E-3</v>
      </c>
      <c r="W143" s="321">
        <f t="shared" si="79"/>
        <v>2.6315539142489786E-3</v>
      </c>
      <c r="X143" s="321">
        <f t="shared" si="79"/>
        <v>3.1081420926293022E-3</v>
      </c>
      <c r="Y143" s="321">
        <f t="shared" si="79"/>
        <v>3.3558889136131452E-3</v>
      </c>
      <c r="Z143" s="321">
        <f t="shared" si="79"/>
        <v>2.8861956313213921E-3</v>
      </c>
      <c r="AA143" s="321">
        <f t="shared" si="79"/>
        <v>3.1187586606407861E-3</v>
      </c>
      <c r="AB143" s="321">
        <f t="shared" si="79"/>
        <v>3.7358960726341503E-3</v>
      </c>
      <c r="AC143" s="321">
        <f t="shared" si="79"/>
        <v>3.5501891773486189E-3</v>
      </c>
      <c r="AD143" s="321">
        <f t="shared" si="79"/>
        <v>3.0401424517644028E-3</v>
      </c>
      <c r="AE143" s="321">
        <f t="shared" si="79"/>
        <v>3.5496618772421469E-3</v>
      </c>
      <c r="AF143" s="321">
        <f t="shared" si="79"/>
        <v>3.2358071810642789E-3</v>
      </c>
      <c r="AG143" s="321">
        <f t="shared" si="79"/>
        <v>3.5902919824442395E-3</v>
      </c>
      <c r="AH143" s="321">
        <f t="shared" si="79"/>
        <v>3.5215791006461901E-3</v>
      </c>
      <c r="AI143" s="321">
        <f t="shared" si="79"/>
        <v>3.3025352223162705E-3</v>
      </c>
      <c r="AJ143" s="321">
        <f t="shared" si="79"/>
        <v>3.3904043210377971E-3</v>
      </c>
      <c r="AK143" s="321">
        <f t="shared" si="79"/>
        <v>3.2203034485652174E-3</v>
      </c>
      <c r="AL143" s="321">
        <f t="shared" si="79"/>
        <v>2.9226588267076779E-3</v>
      </c>
      <c r="AM143" s="321">
        <f t="shared" si="79"/>
        <v>2.9774757491220624E-3</v>
      </c>
      <c r="AN143" s="321">
        <f t="shared" si="79"/>
        <v>2.7929325816864721E-3</v>
      </c>
      <c r="AO143" s="321">
        <f t="shared" si="79"/>
        <v>2.6976446088845126E-3</v>
      </c>
      <c r="AP143" s="321">
        <f t="shared" si="79"/>
        <v>2.9066678028759865E-3</v>
      </c>
      <c r="AQ143" s="321">
        <f t="shared" si="79"/>
        <v>2.43655237816398E-3</v>
      </c>
      <c r="AR143" s="321">
        <f t="shared" si="79"/>
        <v>2.5567843694053096E-3</v>
      </c>
      <c r="AS143" s="321">
        <f t="shared" si="79"/>
        <v>2.1166424162902559E-3</v>
      </c>
      <c r="AT143" s="321">
        <f t="shared" si="79"/>
        <v>2.3610556049677473E-3</v>
      </c>
      <c r="AU143" s="321">
        <f t="shared" si="79"/>
        <v>2.3377445227732076E-3</v>
      </c>
      <c r="AV143" s="321">
        <f t="shared" si="79"/>
        <v>2.2343509773667313E-3</v>
      </c>
      <c r="AW143" s="321">
        <f t="shared" si="79"/>
        <v>2.215604307357232E-3</v>
      </c>
      <c r="AX143" s="321">
        <f t="shared" ref="AX143:BQ143" si="80">(AX75-AW75)*$C$143</f>
        <v>2.430430969191438E-3</v>
      </c>
      <c r="AY143" s="321">
        <f t="shared" si="80"/>
        <v>2.3605662205794611E-3</v>
      </c>
      <c r="AZ143" s="321">
        <f t="shared" si="80"/>
        <v>2.3008944514948809E-3</v>
      </c>
      <c r="BA143" s="321">
        <f t="shared" si="80"/>
        <v>2.2308334853381128E-3</v>
      </c>
      <c r="BB143" s="321">
        <f t="shared" si="80"/>
        <v>2.1677205734610687E-3</v>
      </c>
      <c r="BC143" s="321">
        <f t="shared" si="80"/>
        <v>2.1209844778245549E-3</v>
      </c>
      <c r="BD143" s="321">
        <f t="shared" si="80"/>
        <v>2.0671629143139323E-3</v>
      </c>
      <c r="BE143" s="321">
        <f t="shared" si="80"/>
        <v>2.0224398678590876E-3</v>
      </c>
      <c r="BF143" s="321">
        <f t="shared" si="80"/>
        <v>1.9812409273983261E-3</v>
      </c>
      <c r="BG143" s="321">
        <f t="shared" si="80"/>
        <v>1.9224212239872941E-3</v>
      </c>
      <c r="BH143" s="321">
        <f t="shared" si="80"/>
        <v>1.8925114255165828E-3</v>
      </c>
      <c r="BI143" s="321">
        <f t="shared" si="80"/>
        <v>1.8519874380890837E-3</v>
      </c>
      <c r="BJ143" s="321">
        <f t="shared" si="80"/>
        <v>1.8395564885873724E-3</v>
      </c>
      <c r="BK143" s="321">
        <f t="shared" si="80"/>
        <v>1.8089727017867854E-3</v>
      </c>
      <c r="BL143" s="321">
        <f t="shared" si="80"/>
        <v>1.7778259047153129E-3</v>
      </c>
      <c r="BM143" s="321">
        <f t="shared" si="80"/>
        <v>1.7516934773764209E-3</v>
      </c>
      <c r="BN143" s="321">
        <f t="shared" si="80"/>
        <v>1.7249654852582118E-3</v>
      </c>
      <c r="BO143" s="321">
        <f t="shared" si="80"/>
        <v>1.6811852442253728E-3</v>
      </c>
      <c r="BP143" s="321">
        <f t="shared" si="80"/>
        <v>1.6391790440369238E-3</v>
      </c>
      <c r="BQ143" s="321">
        <f t="shared" si="80"/>
        <v>1.5983487638465989E-3</v>
      </c>
      <c r="BR143" s="246"/>
    </row>
    <row r="144" spans="2:70" x14ac:dyDescent="0.25">
      <c r="B144" s="669"/>
      <c r="C144" s="319">
        <v>8.8999999999999999E-3</v>
      </c>
      <c r="D144" s="670" t="s">
        <v>344</v>
      </c>
      <c r="E144" s="671"/>
      <c r="F144" s="320" t="s">
        <v>350</v>
      </c>
      <c r="G144" s="320" t="s">
        <v>336</v>
      </c>
      <c r="H144" s="320" t="s">
        <v>336</v>
      </c>
      <c r="I144" s="321">
        <v>4.2000000000000002E-4</v>
      </c>
      <c r="J144" s="321" t="s">
        <v>336</v>
      </c>
      <c r="K144" s="321">
        <v>4.2000000000000002E-4</v>
      </c>
      <c r="L144" s="321" t="s">
        <v>336</v>
      </c>
      <c r="M144" s="321">
        <v>4.2000000000000002E-4</v>
      </c>
      <c r="N144" s="321" t="s">
        <v>336</v>
      </c>
      <c r="O144" s="321">
        <v>8.8999999999999995E-4</v>
      </c>
      <c r="P144" s="321" t="s">
        <v>336</v>
      </c>
      <c r="Q144" s="321">
        <v>1.7000000000000001E-4</v>
      </c>
      <c r="R144" s="321">
        <f t="shared" ref="R144:AW144" si="81">(R77-Q77)*$C$144</f>
        <v>-6.0319482999998588E-5</v>
      </c>
      <c r="S144" s="321">
        <f t="shared" si="81"/>
        <v>-6.3109899999999624E-5</v>
      </c>
      <c r="T144" s="321">
        <f t="shared" si="81"/>
        <v>-6.3109899999999624E-5</v>
      </c>
      <c r="U144" s="321">
        <f t="shared" si="81"/>
        <v>-6.3109899999999624E-5</v>
      </c>
      <c r="V144" s="321">
        <f t="shared" si="81"/>
        <v>-6.3109899999999624E-5</v>
      </c>
      <c r="W144" s="321">
        <f t="shared" si="81"/>
        <v>-6.3109900000003582E-5</v>
      </c>
      <c r="X144" s="321">
        <f t="shared" si="81"/>
        <v>-6.3109899999999624E-5</v>
      </c>
      <c r="Y144" s="321">
        <f t="shared" si="81"/>
        <v>-6.3109899999999624E-5</v>
      </c>
      <c r="Z144" s="321">
        <f t="shared" si="81"/>
        <v>-6.3109899999999624E-5</v>
      </c>
      <c r="AA144" s="321">
        <f t="shared" si="81"/>
        <v>-6.3109899999999624E-5</v>
      </c>
      <c r="AB144" s="321">
        <f t="shared" si="81"/>
        <v>-6.3109899999999624E-5</v>
      </c>
      <c r="AC144" s="321">
        <f t="shared" si="81"/>
        <v>-6.3109899999999624E-5</v>
      </c>
      <c r="AD144" s="321">
        <f t="shared" si="81"/>
        <v>-6.3109899999999624E-5</v>
      </c>
      <c r="AE144" s="321">
        <f t="shared" si="81"/>
        <v>-6.3109899999999624E-5</v>
      </c>
      <c r="AF144" s="321">
        <f t="shared" si="81"/>
        <v>-6.3109899999999624E-5</v>
      </c>
      <c r="AG144" s="321">
        <f t="shared" si="81"/>
        <v>-6.3109899999999624E-5</v>
      </c>
      <c r="AH144" s="321">
        <f t="shared" si="81"/>
        <v>-6.3109900000003582E-5</v>
      </c>
      <c r="AI144" s="321">
        <f t="shared" si="81"/>
        <v>-6.3109899999999624E-5</v>
      </c>
      <c r="AJ144" s="321">
        <f t="shared" si="81"/>
        <v>-6.3109899999999624E-5</v>
      </c>
      <c r="AK144" s="321">
        <f t="shared" si="81"/>
        <v>-6.3109899999999624E-5</v>
      </c>
      <c r="AL144" s="321">
        <f t="shared" si="81"/>
        <v>-6.3109899999999624E-5</v>
      </c>
      <c r="AM144" s="321">
        <f t="shared" si="81"/>
        <v>-6.3109899999999624E-5</v>
      </c>
      <c r="AN144" s="321">
        <f t="shared" si="81"/>
        <v>-6.3109899999999624E-5</v>
      </c>
      <c r="AO144" s="321">
        <f t="shared" si="81"/>
        <v>-6.3109899999999624E-5</v>
      </c>
      <c r="AP144" s="321">
        <f t="shared" si="81"/>
        <v>-6.3109899999999624E-5</v>
      </c>
      <c r="AQ144" s="321">
        <f t="shared" si="81"/>
        <v>-6.3109899999999624E-5</v>
      </c>
      <c r="AR144" s="321">
        <f t="shared" si="81"/>
        <v>-6.3109899999999624E-5</v>
      </c>
      <c r="AS144" s="321">
        <f t="shared" si="81"/>
        <v>-6.3109900000003582E-5</v>
      </c>
      <c r="AT144" s="321">
        <f t="shared" si="81"/>
        <v>-6.3109899999999624E-5</v>
      </c>
      <c r="AU144" s="321">
        <f t="shared" si="81"/>
        <v>-6.3109899999999624E-5</v>
      </c>
      <c r="AV144" s="321">
        <f t="shared" si="81"/>
        <v>-6.3109899999999624E-5</v>
      </c>
      <c r="AW144" s="321">
        <f t="shared" si="81"/>
        <v>-6.3109899999999624E-5</v>
      </c>
      <c r="AX144" s="321">
        <f t="shared" ref="AX144:BQ144" si="82">(AX77-AW77)*$C$144</f>
        <v>-6.3109899999999624E-5</v>
      </c>
      <c r="AY144" s="321">
        <f t="shared" si="82"/>
        <v>-6.3109899999999624E-5</v>
      </c>
      <c r="AZ144" s="321">
        <f t="shared" si="82"/>
        <v>-6.3109899999999624E-5</v>
      </c>
      <c r="BA144" s="321">
        <f t="shared" si="82"/>
        <v>-6.3109899999999624E-5</v>
      </c>
      <c r="BB144" s="321">
        <f t="shared" si="82"/>
        <v>-6.3109899999999624E-5</v>
      </c>
      <c r="BC144" s="321">
        <f t="shared" si="82"/>
        <v>-6.3109900000003582E-5</v>
      </c>
      <c r="BD144" s="321">
        <f t="shared" si="82"/>
        <v>-6.3109899999999624E-5</v>
      </c>
      <c r="BE144" s="321">
        <f t="shared" si="82"/>
        <v>-6.3109899999999624E-5</v>
      </c>
      <c r="BF144" s="321">
        <f t="shared" si="82"/>
        <v>-6.3109899999999624E-5</v>
      </c>
      <c r="BG144" s="321">
        <f t="shared" si="82"/>
        <v>-6.3109899999999624E-5</v>
      </c>
      <c r="BH144" s="321">
        <f t="shared" si="82"/>
        <v>-6.3109899999999624E-5</v>
      </c>
      <c r="BI144" s="321">
        <f t="shared" si="82"/>
        <v>-6.3109899999999624E-5</v>
      </c>
      <c r="BJ144" s="321">
        <f t="shared" si="82"/>
        <v>-6.3109899999999624E-5</v>
      </c>
      <c r="BK144" s="321">
        <f t="shared" si="82"/>
        <v>-6.3109899999999624E-5</v>
      </c>
      <c r="BL144" s="321">
        <f t="shared" si="82"/>
        <v>-6.3109899999999624E-5</v>
      </c>
      <c r="BM144" s="321">
        <f t="shared" si="82"/>
        <v>-6.3109899999999624E-5</v>
      </c>
      <c r="BN144" s="321">
        <f t="shared" si="82"/>
        <v>-6.3109900000003582E-5</v>
      </c>
      <c r="BO144" s="321">
        <f t="shared" si="82"/>
        <v>-6.3109899999999624E-5</v>
      </c>
      <c r="BP144" s="321">
        <f t="shared" si="82"/>
        <v>-6.3109899999999624E-5</v>
      </c>
      <c r="BQ144" s="321">
        <f t="shared" si="82"/>
        <v>-6.3109899999999624E-5</v>
      </c>
      <c r="BR144" s="246"/>
    </row>
    <row r="145" spans="2:70" x14ac:dyDescent="0.25">
      <c r="B145" s="669"/>
      <c r="C145" s="319">
        <v>0.2286</v>
      </c>
      <c r="D145" s="670" t="s">
        <v>29</v>
      </c>
      <c r="E145" s="671"/>
      <c r="F145" s="320" t="s">
        <v>350</v>
      </c>
      <c r="G145" s="321" t="s">
        <v>336</v>
      </c>
      <c r="H145" s="321" t="s">
        <v>336</v>
      </c>
      <c r="I145" s="321">
        <v>1.8500000000000001E-3</v>
      </c>
      <c r="J145" s="321" t="s">
        <v>336</v>
      </c>
      <c r="K145" s="321">
        <v>1.8500000000000001E-3</v>
      </c>
      <c r="L145" s="321" t="s">
        <v>336</v>
      </c>
      <c r="M145" s="321">
        <v>1.8500000000000001E-3</v>
      </c>
      <c r="N145" s="321" t="s">
        <v>336</v>
      </c>
      <c r="O145" s="321">
        <v>3.64E-3</v>
      </c>
      <c r="P145" s="321" t="s">
        <v>336</v>
      </c>
      <c r="Q145" s="321">
        <v>1.6900000000000001E-3</v>
      </c>
      <c r="R145" s="322">
        <f t="shared" ref="R145:AW145" si="83">(R84-Q84)*$C$145</f>
        <v>3.1123300413785191E-4</v>
      </c>
      <c r="S145" s="322">
        <f t="shared" si="83"/>
        <v>3.1513515117911309E-4</v>
      </c>
      <c r="T145" s="322">
        <f t="shared" si="83"/>
        <v>3.1908622218193875E-4</v>
      </c>
      <c r="U145" s="322">
        <f t="shared" si="83"/>
        <v>3.2275183068280968E-4</v>
      </c>
      <c r="V145" s="322">
        <f t="shared" si="83"/>
        <v>3.2679420157904994E-4</v>
      </c>
      <c r="W145" s="322">
        <f t="shared" si="83"/>
        <v>3.308872019711105E-4</v>
      </c>
      <c r="X145" s="322">
        <f t="shared" si="83"/>
        <v>3.3503146597840632E-4</v>
      </c>
      <c r="Y145" s="322">
        <f t="shared" si="83"/>
        <v>3.3922763566249773E-4</v>
      </c>
      <c r="Z145" s="322">
        <f t="shared" si="83"/>
        <v>3.4347636112658475E-4</v>
      </c>
      <c r="AA145" s="322">
        <f t="shared" si="83"/>
        <v>3.4777830061621414E-4</v>
      </c>
      <c r="AB145" s="322">
        <f t="shared" si="83"/>
        <v>3.5213412062126741E-4</v>
      </c>
      <c r="AC145" s="322">
        <f t="shared" si="83"/>
        <v>3.5654449597920555E-4</v>
      </c>
      <c r="AD145" s="322">
        <f t="shared" si="83"/>
        <v>3.6101010997963346E-4</v>
      </c>
      <c r="AE145" s="322">
        <f t="shared" si="83"/>
        <v>3.6553165447015845E-4</v>
      </c>
      <c r="AF145" s="322">
        <f t="shared" si="83"/>
        <v>3.7010982996356904E-4</v>
      </c>
      <c r="AG145" s="322">
        <f t="shared" si="83"/>
        <v>3.7474534574637088E-4</v>
      </c>
      <c r="AH145" s="322">
        <f t="shared" si="83"/>
        <v>3.7943891998866214E-4</v>
      </c>
      <c r="AI145" s="322">
        <f t="shared" si="83"/>
        <v>3.8419127985543584E-4</v>
      </c>
      <c r="AJ145" s="322">
        <f t="shared" si="83"/>
        <v>3.8900316161917726E-4</v>
      </c>
      <c r="AK145" s="322">
        <f t="shared" si="83"/>
        <v>3.9387531077398973E-4</v>
      </c>
      <c r="AL145" s="322">
        <f t="shared" si="83"/>
        <v>3.9880848215105986E-4</v>
      </c>
      <c r="AM145" s="322">
        <f t="shared" si="83"/>
        <v>4.0380344003560702E-4</v>
      </c>
      <c r="AN145" s="322">
        <f t="shared" si="83"/>
        <v>4.0886095828530499E-4</v>
      </c>
      <c r="AO145" s="322">
        <f t="shared" si="83"/>
        <v>4.1398182045016311E-4</v>
      </c>
      <c r="AP145" s="322">
        <f t="shared" si="83"/>
        <v>4.191668198939173E-4</v>
      </c>
      <c r="AQ145" s="322">
        <f t="shared" si="83"/>
        <v>4.2441675991695027E-4</v>
      </c>
      <c r="AR145" s="322">
        <f t="shared" si="83"/>
        <v>4.2973245388074722E-4</v>
      </c>
      <c r="AS145" s="322">
        <f t="shared" si="83"/>
        <v>4.3511472533390612E-4</v>
      </c>
      <c r="AT145" s="322">
        <f t="shared" si="83"/>
        <v>4.4056440813971496E-4</v>
      </c>
      <c r="AU145" s="322">
        <f t="shared" si="83"/>
        <v>4.460823466053662E-4</v>
      </c>
      <c r="AV145" s="322">
        <f t="shared" si="83"/>
        <v>4.5166939561273851E-4</v>
      </c>
      <c r="AW145" s="322">
        <f t="shared" si="83"/>
        <v>4.5732642075085948E-4</v>
      </c>
      <c r="AX145" s="322">
        <f t="shared" ref="AX145:BQ145" si="84">(AX84-AW84)*$C$145</f>
        <v>4.6305429845000583E-4</v>
      </c>
      <c r="AY145" s="322">
        <f t="shared" si="84"/>
        <v>4.6885391611746567E-4</v>
      </c>
      <c r="AZ145" s="322">
        <f t="shared" si="84"/>
        <v>4.7472617227506479E-4</v>
      </c>
      <c r="BA145" s="322">
        <f t="shared" si="84"/>
        <v>4.8067197669832335E-4</v>
      </c>
      <c r="BB145" s="322">
        <f t="shared" si="84"/>
        <v>4.866922505574468E-4</v>
      </c>
      <c r="BC145" s="322">
        <f t="shared" si="84"/>
        <v>4.927879265600166E-4</v>
      </c>
      <c r="BD145" s="322">
        <f t="shared" si="84"/>
        <v>4.9895994909550866E-4</v>
      </c>
      <c r="BE145" s="322">
        <f t="shared" si="84"/>
        <v>5.0520927438158826E-4</v>
      </c>
      <c r="BF145" s="322">
        <f t="shared" si="84"/>
        <v>5.1153687061225768E-4</v>
      </c>
      <c r="BG145" s="322">
        <f t="shared" si="84"/>
        <v>5.1794371810788217E-4</v>
      </c>
      <c r="BH145" s="322">
        <f t="shared" si="84"/>
        <v>5.2443080946702335E-4</v>
      </c>
      <c r="BI145" s="322">
        <f t="shared" si="84"/>
        <v>5.3099914972026656E-4</v>
      </c>
      <c r="BJ145" s="322">
        <f t="shared" si="84"/>
        <v>5.3764975648589895E-4</v>
      </c>
      <c r="BK145" s="322">
        <f t="shared" si="84"/>
        <v>5.4438366012756238E-4</v>
      </c>
      <c r="BL145" s="322">
        <f t="shared" si="84"/>
        <v>5.5120190391392339E-4</v>
      </c>
      <c r="BM145" s="322">
        <f t="shared" si="84"/>
        <v>5.5810554418025276E-4</v>
      </c>
      <c r="BN145" s="322">
        <f t="shared" si="84"/>
        <v>5.6509565049213124E-4</v>
      </c>
      <c r="BO145" s="322">
        <f t="shared" si="84"/>
        <v>5.7217330581110922E-4</v>
      </c>
      <c r="BP145" s="322">
        <f t="shared" si="84"/>
        <v>5.7933960666252317E-4</v>
      </c>
      <c r="BQ145" s="322">
        <f t="shared" si="84"/>
        <v>5.8659566330535615E-4</v>
      </c>
      <c r="BR145" s="246"/>
    </row>
    <row r="146" spans="2:70" x14ac:dyDescent="0.25">
      <c r="B146" s="324" t="s">
        <v>336</v>
      </c>
      <c r="C146" s="324"/>
      <c r="D146" s="325" t="s">
        <v>336</v>
      </c>
      <c r="E146" s="282" t="s">
        <v>336</v>
      </c>
      <c r="F146" s="326" t="s">
        <v>253</v>
      </c>
      <c r="G146" s="327" t="s">
        <v>336</v>
      </c>
      <c r="H146" s="327" t="s">
        <v>336</v>
      </c>
      <c r="I146" s="327">
        <v>1.0919999999999999E-2</v>
      </c>
      <c r="J146" s="327" t="s">
        <v>336</v>
      </c>
      <c r="K146" s="327">
        <v>1.0919999999999999E-2</v>
      </c>
      <c r="L146" s="327" t="s">
        <v>336</v>
      </c>
      <c r="M146" s="327">
        <v>1.0919999999999999E-2</v>
      </c>
      <c r="N146" s="327" t="s">
        <v>336</v>
      </c>
      <c r="O146" s="327">
        <v>1.336E-2</v>
      </c>
      <c r="P146" s="327" t="s">
        <v>336</v>
      </c>
      <c r="Q146" s="327">
        <v>1.133E-2</v>
      </c>
      <c r="R146" s="329">
        <f>SUM(R140:R145)</f>
        <v>5.5858436572007583E-3</v>
      </c>
      <c r="S146" s="329">
        <f>SUM(S140:S145)</f>
        <v>6.7218420841858159E-3</v>
      </c>
      <c r="T146" s="329">
        <f>SUM(T140:T145)</f>
        <v>8.6861423646786007E-3</v>
      </c>
      <c r="U146" s="329">
        <f>SUM(U141:U145)</f>
        <v>7.464995160404787E-3</v>
      </c>
      <c r="V146" s="329">
        <f t="shared" ref="V146:BQ146" si="85">SUM(V140:V145)</f>
        <v>8.3535253234621708E-3</v>
      </c>
      <c r="W146" s="329">
        <f t="shared" si="85"/>
        <v>8.4521155941779686E-3</v>
      </c>
      <c r="X146" s="329">
        <f t="shared" si="85"/>
        <v>7.9129296349361219E-3</v>
      </c>
      <c r="Y146" s="329">
        <f t="shared" si="85"/>
        <v>7.5985104416089111E-3</v>
      </c>
      <c r="Z146" s="329">
        <f t="shared" si="85"/>
        <v>7.9842095898920058E-3</v>
      </c>
      <c r="AA146" s="329">
        <f t="shared" si="85"/>
        <v>7.686234717472794E-3</v>
      </c>
      <c r="AB146" s="329">
        <f t="shared" si="85"/>
        <v>7.0136086619583676E-3</v>
      </c>
      <c r="AC146" s="329">
        <f t="shared" si="85"/>
        <v>7.1253448060957332E-3</v>
      </c>
      <c r="AD146" s="329">
        <f t="shared" si="85"/>
        <v>7.5540277464871755E-3</v>
      </c>
      <c r="AE146" s="329">
        <f t="shared" si="85"/>
        <v>6.9893270436475743E-3</v>
      </c>
      <c r="AF146" s="329">
        <f t="shared" si="85"/>
        <v>7.2285536961641606E-3</v>
      </c>
      <c r="AG146" s="329">
        <f t="shared" si="85"/>
        <v>6.8167544559410232E-3</v>
      </c>
      <c r="AH146" s="329">
        <f t="shared" si="85"/>
        <v>6.8186151052620882E-3</v>
      </c>
      <c r="AI146" s="329">
        <f t="shared" si="85"/>
        <v>6.9678530162336182E-3</v>
      </c>
      <c r="AJ146" s="329">
        <f t="shared" si="85"/>
        <v>6.818710332332327E-3</v>
      </c>
      <c r="AK146" s="329">
        <f t="shared" si="85"/>
        <v>6.9218558448315834E-3</v>
      </c>
      <c r="AL146" s="329">
        <f t="shared" si="85"/>
        <v>7.1502737139209193E-3</v>
      </c>
      <c r="AM146" s="329">
        <f t="shared" si="85"/>
        <v>7.0356058964131316E-3</v>
      </c>
      <c r="AN146" s="329">
        <f t="shared" si="85"/>
        <v>7.1550781148758706E-3</v>
      </c>
      <c r="AO146" s="329">
        <f t="shared" si="85"/>
        <v>7.1881095689404631E-3</v>
      </c>
      <c r="AP146" s="329">
        <f t="shared" si="85"/>
        <v>6.9251147679075626E-3</v>
      </c>
      <c r="AQ146" s="329">
        <f t="shared" si="85"/>
        <v>7.3250808280931326E-3</v>
      </c>
      <c r="AR146" s="329">
        <f t="shared" si="85"/>
        <v>7.1499993384043972E-3</v>
      </c>
      <c r="AS146" s="329">
        <f t="shared" si="85"/>
        <v>7.5220501463962308E-3</v>
      </c>
      <c r="AT146" s="329">
        <f t="shared" si="85"/>
        <v>7.2269028017160255E-3</v>
      </c>
      <c r="AU146" s="329">
        <f t="shared" si="85"/>
        <v>7.1935999609421134E-3</v>
      </c>
      <c r="AV146" s="329">
        <f t="shared" si="85"/>
        <v>7.2389124437558985E-3</v>
      </c>
      <c r="AW146" s="329">
        <f t="shared" si="85"/>
        <v>7.2020554204821766E-3</v>
      </c>
      <c r="AX146" s="329">
        <f t="shared" si="85"/>
        <v>6.9374290754084826E-3</v>
      </c>
      <c r="AY146" s="329">
        <f t="shared" si="85"/>
        <v>6.9521401166479889E-3</v>
      </c>
      <c r="AZ146" s="329">
        <f t="shared" si="85"/>
        <v>6.9573491345726107E-3</v>
      </c>
      <c r="BA146" s="329">
        <f t="shared" si="85"/>
        <v>6.9733130718299353E-3</v>
      </c>
      <c r="BB146" s="329">
        <f t="shared" si="85"/>
        <v>6.9832038840301402E-3</v>
      </c>
      <c r="BC146" s="329">
        <f t="shared" si="85"/>
        <v>6.9777127461827558E-3</v>
      </c>
      <c r="BD146" s="329">
        <f t="shared" si="85"/>
        <v>6.979919631750881E-3</v>
      </c>
      <c r="BE146" s="329">
        <f t="shared" si="85"/>
        <v>6.9737862407294095E-3</v>
      </c>
      <c r="BF146" s="329">
        <f t="shared" si="85"/>
        <v>6.9648414378334156E-3</v>
      </c>
      <c r="BG146" s="329">
        <f t="shared" si="85"/>
        <v>6.9737421763714736E-3</v>
      </c>
      <c r="BH146" s="329">
        <f t="shared" si="85"/>
        <v>6.9550201506066358E-3</v>
      </c>
      <c r="BI146" s="329">
        <f t="shared" si="85"/>
        <v>6.947265292972145E-3</v>
      </c>
      <c r="BJ146" s="329">
        <f t="shared" si="85"/>
        <v>6.9126569480660038E-3</v>
      </c>
      <c r="BK146" s="329">
        <f t="shared" si="85"/>
        <v>6.8963675058730124E-3</v>
      </c>
      <c r="BL146" s="329">
        <f t="shared" si="85"/>
        <v>6.8812090887228634E-3</v>
      </c>
      <c r="BM146" s="329">
        <f t="shared" si="85"/>
        <v>6.8617183155712125E-3</v>
      </c>
      <c r="BN146" s="329">
        <f t="shared" si="85"/>
        <v>6.8433685351989232E-3</v>
      </c>
      <c r="BO146" s="329">
        <f t="shared" si="85"/>
        <v>6.8422214130422314E-3</v>
      </c>
      <c r="BP146" s="329">
        <f t="shared" si="85"/>
        <v>6.8398802770449291E-3</v>
      </c>
      <c r="BQ146" s="329">
        <f t="shared" si="85"/>
        <v>6.8369198109497625E-3</v>
      </c>
      <c r="BR146" s="246"/>
    </row>
    <row r="147" spans="2:70" x14ac:dyDescent="0.25">
      <c r="B147" s="324" t="s">
        <v>336</v>
      </c>
      <c r="C147" s="324"/>
      <c r="D147" s="325" t="s">
        <v>336</v>
      </c>
      <c r="E147" s="282" t="s">
        <v>336</v>
      </c>
      <c r="F147" s="282" t="s">
        <v>336</v>
      </c>
      <c r="G147" s="330" t="s">
        <v>336</v>
      </c>
      <c r="H147" s="330" t="s">
        <v>336</v>
      </c>
      <c r="I147" s="330" t="s">
        <v>336</v>
      </c>
      <c r="J147" s="330" t="s">
        <v>336</v>
      </c>
      <c r="K147" s="330" t="s">
        <v>336</v>
      </c>
      <c r="L147" s="330" t="s">
        <v>336</v>
      </c>
      <c r="M147" s="330" t="s">
        <v>336</v>
      </c>
      <c r="N147" s="330" t="s">
        <v>336</v>
      </c>
      <c r="O147" s="330" t="s">
        <v>336</v>
      </c>
      <c r="P147" s="330" t="s">
        <v>336</v>
      </c>
      <c r="Q147" s="330" t="s">
        <v>336</v>
      </c>
      <c r="R147" s="330" t="s">
        <v>336</v>
      </c>
      <c r="S147" s="330" t="s">
        <v>336</v>
      </c>
      <c r="T147" s="330" t="s">
        <v>336</v>
      </c>
      <c r="U147" s="330" t="s">
        <v>336</v>
      </c>
      <c r="V147" s="330" t="s">
        <v>336</v>
      </c>
      <c r="W147" s="330" t="s">
        <v>336</v>
      </c>
      <c r="X147" s="330" t="s">
        <v>336</v>
      </c>
      <c r="Y147" s="330" t="s">
        <v>336</v>
      </c>
      <c r="Z147" s="330" t="s">
        <v>336</v>
      </c>
      <c r="AA147" s="330" t="s">
        <v>336</v>
      </c>
      <c r="AB147" s="330" t="s">
        <v>336</v>
      </c>
      <c r="AC147" s="330" t="s">
        <v>336</v>
      </c>
      <c r="AD147" s="330" t="s">
        <v>336</v>
      </c>
      <c r="AE147" s="330" t="s">
        <v>336</v>
      </c>
      <c r="AF147" s="330" t="s">
        <v>336</v>
      </c>
      <c r="AG147" s="330" t="s">
        <v>336</v>
      </c>
      <c r="AH147" s="330" t="s">
        <v>336</v>
      </c>
      <c r="AI147" s="330" t="s">
        <v>336</v>
      </c>
      <c r="AJ147" s="330" t="s">
        <v>336</v>
      </c>
      <c r="AK147" s="330" t="s">
        <v>336</v>
      </c>
      <c r="AL147" s="330" t="s">
        <v>336</v>
      </c>
      <c r="AM147" s="330" t="s">
        <v>336</v>
      </c>
      <c r="AN147" s="330" t="s">
        <v>336</v>
      </c>
      <c r="AO147" s="330" t="s">
        <v>336</v>
      </c>
      <c r="AP147" s="330" t="s">
        <v>336</v>
      </c>
      <c r="AQ147" s="330" t="s">
        <v>336</v>
      </c>
      <c r="AR147" s="330" t="s">
        <v>336</v>
      </c>
      <c r="AS147" s="330" t="s">
        <v>336</v>
      </c>
      <c r="AT147" s="330" t="s">
        <v>336</v>
      </c>
      <c r="AU147" s="330" t="s">
        <v>336</v>
      </c>
      <c r="AV147" s="330" t="s">
        <v>336</v>
      </c>
      <c r="AW147" s="330" t="s">
        <v>336</v>
      </c>
      <c r="AX147" s="330" t="s">
        <v>336</v>
      </c>
      <c r="AY147" s="330"/>
      <c r="AZ147" s="330"/>
      <c r="BA147" s="330"/>
      <c r="BB147" s="330"/>
      <c r="BC147" s="330"/>
      <c r="BD147" s="330"/>
      <c r="BE147" s="330"/>
      <c r="BF147" s="330"/>
      <c r="BG147" s="330"/>
      <c r="BH147" s="330"/>
      <c r="BI147" s="330"/>
      <c r="BJ147" s="330"/>
      <c r="BK147" s="330"/>
      <c r="BL147" s="330"/>
      <c r="BM147" s="330"/>
      <c r="BN147" s="330"/>
      <c r="BO147" s="330"/>
      <c r="BP147" s="330"/>
      <c r="BQ147" s="330"/>
      <c r="BR147" s="246"/>
    </row>
    <row r="148" spans="2:70" ht="15.75" x14ac:dyDescent="0.25">
      <c r="C148" s="259"/>
      <c r="D148" s="243"/>
      <c r="E148" s="282"/>
      <c r="F148" s="248" t="s">
        <v>352</v>
      </c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333"/>
      <c r="S148" s="333"/>
      <c r="T148" s="333"/>
      <c r="U148" s="333"/>
      <c r="V148" s="333"/>
      <c r="W148" s="333"/>
      <c r="X148" s="333"/>
      <c r="Y148" s="333"/>
      <c r="Z148" s="333"/>
      <c r="AA148" s="333"/>
      <c r="AB148" s="333"/>
      <c r="AC148" s="333"/>
      <c r="AD148" s="333"/>
      <c r="AE148" s="333"/>
      <c r="AF148" s="333"/>
      <c r="AG148" s="333"/>
      <c r="AH148" s="333"/>
      <c r="AI148" s="333"/>
      <c r="AJ148" s="333"/>
      <c r="AK148" s="333"/>
      <c r="AL148" s="333"/>
      <c r="AM148" s="333"/>
      <c r="AN148" s="329"/>
      <c r="AO148" s="329"/>
      <c r="AP148" s="329"/>
      <c r="AQ148" s="329"/>
      <c r="AR148" s="329"/>
      <c r="AS148" s="329"/>
      <c r="AT148" s="329"/>
      <c r="AU148" s="329"/>
      <c r="AV148" s="329"/>
      <c r="AW148" s="329"/>
      <c r="AX148" s="329"/>
      <c r="AY148" s="329"/>
      <c r="AZ148" s="329"/>
      <c r="BA148" s="329"/>
      <c r="BB148" s="329"/>
      <c r="BC148" s="329"/>
      <c r="BD148" s="329"/>
      <c r="BE148" s="329"/>
      <c r="BF148" s="329"/>
      <c r="BG148" s="329"/>
      <c r="BH148" s="329"/>
      <c r="BI148" s="329"/>
      <c r="BJ148" s="329"/>
      <c r="BK148" s="329"/>
      <c r="BL148" s="329"/>
      <c r="BM148" s="329"/>
      <c r="BN148" s="329"/>
      <c r="BO148" s="329"/>
      <c r="BP148" s="329"/>
      <c r="BQ148" s="329"/>
      <c r="BR148" s="246"/>
    </row>
    <row r="149" spans="2:70" x14ac:dyDescent="0.25">
      <c r="B149" s="669" t="s">
        <v>340</v>
      </c>
      <c r="C149" s="319">
        <v>7.0000000000000001E-3</v>
      </c>
      <c r="D149" s="670" t="s">
        <v>341</v>
      </c>
      <c r="E149" s="671"/>
      <c r="F149" s="320" t="s">
        <v>318</v>
      </c>
      <c r="G149" s="321" t="s">
        <v>336</v>
      </c>
      <c r="H149" s="321" t="s">
        <v>336</v>
      </c>
      <c r="I149" s="321">
        <v>0</v>
      </c>
      <c r="J149" s="321" t="s">
        <v>336</v>
      </c>
      <c r="K149" s="321">
        <v>6.6E-4</v>
      </c>
      <c r="L149" s="321"/>
      <c r="M149" s="321">
        <v>6.6E-4</v>
      </c>
      <c r="N149" s="321"/>
      <c r="O149" s="321">
        <v>3.5000000000000005E-4</v>
      </c>
      <c r="P149" s="321"/>
      <c r="Q149" s="321">
        <v>5.6000000000000017E-4</v>
      </c>
      <c r="R149" s="321">
        <f t="shared" ref="R149:AW149" si="86">(R66)*$C$149</f>
        <v>6.5700282532500155E-4</v>
      </c>
      <c r="S149" s="321">
        <f t="shared" si="86"/>
        <v>6.8013983682164894E-4</v>
      </c>
      <c r="T149" s="321">
        <f t="shared" si="86"/>
        <v>6.7497077406179968E-4</v>
      </c>
      <c r="U149" s="321">
        <f t="shared" si="86"/>
        <v>6.6984099617893556E-4</v>
      </c>
      <c r="V149" s="321">
        <f t="shared" si="86"/>
        <v>6.647502046079677E-4</v>
      </c>
      <c r="W149" s="321">
        <f t="shared" si="86"/>
        <v>6.5969810305295344E-4</v>
      </c>
      <c r="X149" s="321">
        <f t="shared" si="86"/>
        <v>6.546843974697509E-4</v>
      </c>
      <c r="Y149" s="321">
        <f t="shared" si="86"/>
        <v>6.497087960489836E-4</v>
      </c>
      <c r="Z149" s="321">
        <f t="shared" si="86"/>
        <v>6.4477100919900466E-4</v>
      </c>
      <c r="AA149" s="321">
        <f t="shared" si="86"/>
        <v>6.3987074952909847E-4</v>
      </c>
      <c r="AB149" s="321">
        <f t="shared" si="86"/>
        <v>6.3500773183266905E-4</v>
      </c>
      <c r="AC149" s="321">
        <f t="shared" si="86"/>
        <v>6.3018167307075143E-4</v>
      </c>
      <c r="AD149" s="321">
        <f t="shared" si="86"/>
        <v>6.2539229235541245E-4</v>
      </c>
      <c r="AE149" s="321">
        <f t="shared" si="86"/>
        <v>6.2063931093351069E-4</v>
      </c>
      <c r="AF149" s="321">
        <f t="shared" si="86"/>
        <v>6.1592245217040721E-4</v>
      </c>
      <c r="AG149" s="321">
        <f t="shared" si="86"/>
        <v>6.1124144153391316E-4</v>
      </c>
      <c r="AH149" s="321">
        <f t="shared" si="86"/>
        <v>6.065960065782612E-4</v>
      </c>
      <c r="AI149" s="321">
        <f t="shared" si="86"/>
        <v>6.0198587692826425E-4</v>
      </c>
      <c r="AJ149" s="321">
        <f t="shared" si="86"/>
        <v>5.9741078426361048E-4</v>
      </c>
      <c r="AK149" s="321">
        <f t="shared" si="86"/>
        <v>5.9287046230320863E-4</v>
      </c>
      <c r="AL149" s="321">
        <f t="shared" si="86"/>
        <v>5.8836464678970661E-4</v>
      </c>
      <c r="AM149" s="321">
        <f t="shared" si="86"/>
        <v>5.8389307547409783E-4</v>
      </c>
      <c r="AN149" s="321">
        <f t="shared" si="86"/>
        <v>5.7945548810050163E-4</v>
      </c>
      <c r="AO149" s="321">
        <f t="shared" si="86"/>
        <v>5.7505162639093048E-4</v>
      </c>
      <c r="AP149" s="321">
        <f t="shared" si="86"/>
        <v>5.7068123403035648E-4</v>
      </c>
      <c r="AQ149" s="321">
        <f t="shared" si="86"/>
        <v>5.6634405665172767E-4</v>
      </c>
      <c r="AR149" s="321">
        <f t="shared" si="86"/>
        <v>5.620398418211838E-4</v>
      </c>
      <c r="AS149" s="321">
        <f t="shared" si="86"/>
        <v>5.5776833902333321E-4</v>
      </c>
      <c r="AT149" s="321">
        <f t="shared" si="86"/>
        <v>5.5352929964675465E-4</v>
      </c>
      <c r="AU149" s="321">
        <f t="shared" si="86"/>
        <v>5.4932247696944895E-4</v>
      </c>
      <c r="AV149" s="321">
        <f t="shared" si="86"/>
        <v>5.4514762614447682E-4</v>
      </c>
      <c r="AW149" s="321">
        <f t="shared" si="86"/>
        <v>5.4100450418578382E-4</v>
      </c>
      <c r="AX149" s="321">
        <f t="shared" ref="AX149:BQ149" si="87">(AX66)*$C$149</f>
        <v>5.36892869953963E-4</v>
      </c>
      <c r="AY149" s="321">
        <f t="shared" si="87"/>
        <v>5.3281248414231545E-4</v>
      </c>
      <c r="AZ149" s="321">
        <f t="shared" si="87"/>
        <v>5.2876310926283665E-4</v>
      </c>
      <c r="BA149" s="321">
        <f t="shared" si="87"/>
        <v>5.247445096324395E-4</v>
      </c>
      <c r="BB149" s="321">
        <f t="shared" si="87"/>
        <v>5.2075645135922597E-4</v>
      </c>
      <c r="BC149" s="321">
        <f t="shared" si="87"/>
        <v>5.1679870232889692E-4</v>
      </c>
      <c r="BD149" s="321">
        <f t="shared" si="87"/>
        <v>5.1287103219119776E-4</v>
      </c>
      <c r="BE149" s="321">
        <f t="shared" si="87"/>
        <v>5.0897321234655204E-4</v>
      </c>
      <c r="BF149" s="321">
        <f t="shared" si="87"/>
        <v>5.0510501593271863E-4</v>
      </c>
      <c r="BG149" s="321">
        <f t="shared" si="87"/>
        <v>5.0126621781162409E-4</v>
      </c>
      <c r="BH149" s="321">
        <f t="shared" si="87"/>
        <v>4.974565945562564E-4</v>
      </c>
      <c r="BI149" s="321">
        <f t="shared" si="87"/>
        <v>4.936759244376336E-4</v>
      </c>
      <c r="BJ149" s="321">
        <f t="shared" si="87"/>
        <v>4.8992398741190969E-4</v>
      </c>
      <c r="BK149" s="321">
        <f t="shared" si="87"/>
        <v>4.8620056510757873E-4</v>
      </c>
      <c r="BL149" s="321">
        <f t="shared" si="87"/>
        <v>4.8250544081275494E-4</v>
      </c>
      <c r="BM149" s="321">
        <f t="shared" si="87"/>
        <v>4.7883839946257645E-4</v>
      </c>
      <c r="BN149" s="321">
        <f t="shared" si="87"/>
        <v>4.7519922762665878E-4</v>
      </c>
      <c r="BO149" s="321">
        <f t="shared" si="87"/>
        <v>4.7158771349669769E-4</v>
      </c>
      <c r="BP149" s="321">
        <f t="shared" si="87"/>
        <v>4.680036468741218E-4</v>
      </c>
      <c r="BQ149" s="321">
        <f t="shared" si="87"/>
        <v>4.644468191578817E-4</v>
      </c>
      <c r="BR149" s="246"/>
    </row>
    <row r="150" spans="2:70" x14ac:dyDescent="0.25">
      <c r="B150" s="669"/>
      <c r="C150" s="319">
        <v>1.35E-2</v>
      </c>
      <c r="D150" s="670" t="s">
        <v>28</v>
      </c>
      <c r="E150" s="671"/>
      <c r="F150" s="320" t="s">
        <v>318</v>
      </c>
      <c r="G150" s="321" t="s">
        <v>336</v>
      </c>
      <c r="H150" s="321" t="s">
        <v>336</v>
      </c>
      <c r="I150" s="321">
        <v>2.0000000000000002E-5</v>
      </c>
      <c r="J150" s="321" t="s">
        <v>336</v>
      </c>
      <c r="K150" s="321">
        <v>2.0000000000000002E-5</v>
      </c>
      <c r="L150" s="321" t="s">
        <v>336</v>
      </c>
      <c r="M150" s="321">
        <v>2.0000000000000002E-5</v>
      </c>
      <c r="N150" s="321" t="s">
        <v>336</v>
      </c>
      <c r="O150" s="321">
        <v>6.9999999999999994E-5</v>
      </c>
      <c r="P150" s="321" t="s">
        <v>336</v>
      </c>
      <c r="Q150" s="321">
        <v>1.8000000000000001E-4</v>
      </c>
      <c r="R150" s="336">
        <f t="shared" ref="R150:AW150" si="88">(R70-Q70)*$C$150</f>
        <v>1.9936331417599874E-9</v>
      </c>
      <c r="S150" s="336">
        <f t="shared" si="88"/>
        <v>-1.2825707126749991E-6</v>
      </c>
      <c r="T150" s="336">
        <f t="shared" si="88"/>
        <v>6.969764787489105E-7</v>
      </c>
      <c r="U150" s="336">
        <f t="shared" si="88"/>
        <v>4.4451518698786914E-7</v>
      </c>
      <c r="V150" s="336">
        <f t="shared" si="88"/>
        <v>5.105070884717441E-7</v>
      </c>
      <c r="W150" s="336">
        <f t="shared" si="88"/>
        <v>4.9419227000235823E-7</v>
      </c>
      <c r="X150" s="336">
        <f t="shared" si="88"/>
        <v>4.4490647491499114E-7</v>
      </c>
      <c r="Y150" s="336">
        <f t="shared" si="88"/>
        <v>3.790967330463829E-7</v>
      </c>
      <c r="Z150" s="336">
        <f t="shared" si="88"/>
        <v>5.2505805766355636E-7</v>
      </c>
      <c r="AA150" s="336">
        <f t="shared" si="88"/>
        <v>4.6937676578840541E-7</v>
      </c>
      <c r="AB150" s="336">
        <f t="shared" si="88"/>
        <v>3.622528355829435E-7</v>
      </c>
      <c r="AC150" s="336">
        <f t="shared" si="88"/>
        <v>3.9303281795695365E-7</v>
      </c>
      <c r="AD150" s="336">
        <f t="shared" si="88"/>
        <v>5.2280929136594431E-7</v>
      </c>
      <c r="AE150" s="336">
        <f t="shared" si="88"/>
        <v>4.0725387871619334E-7</v>
      </c>
      <c r="AF150" s="336">
        <f t="shared" si="88"/>
        <v>4.7746397395567048E-7</v>
      </c>
      <c r="AG150" s="336">
        <f t="shared" si="88"/>
        <v>3.9092021193383453E-7</v>
      </c>
      <c r="AH150" s="336">
        <f t="shared" si="88"/>
        <v>3.9064931281782012E-7</v>
      </c>
      <c r="AI150" s="336">
        <f t="shared" si="88"/>
        <v>4.2202975119118997E-7</v>
      </c>
      <c r="AJ150" s="336">
        <f t="shared" si="88"/>
        <v>3.7508330089607716E-7</v>
      </c>
      <c r="AK150" s="336">
        <f t="shared" si="88"/>
        <v>3.873328645471255E-7</v>
      </c>
      <c r="AL150" s="336">
        <f t="shared" si="88"/>
        <v>4.1692563705952865E-7</v>
      </c>
      <c r="AM150" s="336">
        <f t="shared" si="88"/>
        <v>3.7573794150386199E-7</v>
      </c>
      <c r="AN150" s="336">
        <f t="shared" si="88"/>
        <v>3.7766152127127058E-7</v>
      </c>
      <c r="AO150" s="336">
        <f t="shared" si="88"/>
        <v>3.6873107582462843E-7</v>
      </c>
      <c r="AP150" s="336">
        <f t="shared" si="88"/>
        <v>2.8955667588548286E-7</v>
      </c>
      <c r="AQ150" s="336">
        <f t="shared" si="88"/>
        <v>3.6284344072417402E-7</v>
      </c>
      <c r="AR150" s="336">
        <f t="shared" si="88"/>
        <v>3.0785053544674786E-7</v>
      </c>
      <c r="AS150" s="336">
        <f t="shared" si="88"/>
        <v>3.7863968954521265E-7</v>
      </c>
      <c r="AT150" s="336">
        <f t="shared" si="88"/>
        <v>3.0532097923100657E-7</v>
      </c>
      <c r="AU150" s="336">
        <f t="shared" si="88"/>
        <v>2.9691931106844844E-7</v>
      </c>
      <c r="AV150" s="336">
        <f t="shared" si="88"/>
        <v>3.0249558499168689E-7</v>
      </c>
      <c r="AW150" s="336">
        <f t="shared" si="88"/>
        <v>2.9934770250682197E-7</v>
      </c>
      <c r="AX150" s="336">
        <f t="shared" ref="AX150:BQ150" si="89">(AX70-AW70)*$C$150</f>
        <v>3.3387554855236757E-7</v>
      </c>
      <c r="AY150" s="336">
        <f t="shared" si="89"/>
        <v>2.982084010456493E-7</v>
      </c>
      <c r="AZ150" s="336">
        <f t="shared" si="89"/>
        <v>2.9314428295278137E-7</v>
      </c>
      <c r="BA150" s="336">
        <f t="shared" si="89"/>
        <v>2.9736435861351522E-7</v>
      </c>
      <c r="BB150" s="336">
        <f t="shared" si="89"/>
        <v>2.9490209767556173E-7</v>
      </c>
      <c r="BC150" s="336">
        <f t="shared" si="89"/>
        <v>2.9779934532610243E-7</v>
      </c>
      <c r="BD150" s="336">
        <f t="shared" si="89"/>
        <v>2.8342685462440232E-7</v>
      </c>
      <c r="BE150" s="336">
        <f t="shared" si="89"/>
        <v>2.8139440144701876E-7</v>
      </c>
      <c r="BF150" s="336">
        <f t="shared" si="89"/>
        <v>2.7927697539221335E-7</v>
      </c>
      <c r="BG150" s="336">
        <f t="shared" si="89"/>
        <v>2.7593564314164211E-7</v>
      </c>
      <c r="BH150" s="336">
        <f t="shared" si="89"/>
        <v>2.7153728571705644E-7</v>
      </c>
      <c r="BI150" s="336">
        <f t="shared" si="89"/>
        <v>2.6797607274966359E-7</v>
      </c>
      <c r="BJ150" s="336">
        <f t="shared" si="89"/>
        <v>2.647801961112098E-7</v>
      </c>
      <c r="BK150" s="336">
        <f t="shared" si="89"/>
        <v>2.6170770606288862E-7</v>
      </c>
      <c r="BL150" s="336">
        <f t="shared" si="89"/>
        <v>2.5797503085690094E-7</v>
      </c>
      <c r="BM150" s="336">
        <f t="shared" si="89"/>
        <v>2.5428641796683417E-7</v>
      </c>
      <c r="BN150" s="336">
        <f t="shared" si="89"/>
        <v>2.5035085401672873E-7</v>
      </c>
      <c r="BO150" s="336">
        <f t="shared" si="89"/>
        <v>2.4700877804719604E-7</v>
      </c>
      <c r="BP150" s="336">
        <f t="shared" si="89"/>
        <v>2.4356347215717664E-7</v>
      </c>
      <c r="BQ150" s="336">
        <f t="shared" si="89"/>
        <v>2.4003128530186016E-7</v>
      </c>
      <c r="BR150" s="246"/>
    </row>
    <row r="151" spans="2:70" x14ac:dyDescent="0.25">
      <c r="B151" s="669"/>
      <c r="C151" s="319">
        <v>0.29187999999999997</v>
      </c>
      <c r="D151" s="670" t="s">
        <v>19</v>
      </c>
      <c r="E151" s="671"/>
      <c r="F151" s="320" t="s">
        <v>318</v>
      </c>
      <c r="G151" s="321" t="s">
        <v>336</v>
      </c>
      <c r="H151" s="321" t="s">
        <v>336</v>
      </c>
      <c r="I151" s="321">
        <v>9.6900000000000007E-3</v>
      </c>
      <c r="J151" s="321" t="s">
        <v>336</v>
      </c>
      <c r="K151" s="321">
        <v>9.6900000000000007E-3</v>
      </c>
      <c r="L151" s="321" t="s">
        <v>336</v>
      </c>
      <c r="M151" s="321">
        <v>9.6900000000000007E-3</v>
      </c>
      <c r="N151" s="321" t="s">
        <v>336</v>
      </c>
      <c r="O151" s="321">
        <v>2.32E-3</v>
      </c>
      <c r="P151" s="321" t="s">
        <v>336</v>
      </c>
      <c r="Q151" s="321">
        <v>1.422E-2</v>
      </c>
      <c r="R151" s="336">
        <f t="shared" ref="R151:AW151" si="90">(R72-Q72)*$C$151</f>
        <v>6.2290568130031884E-3</v>
      </c>
      <c r="S151" s="336">
        <f t="shared" si="90"/>
        <v>1.3846278536490215E-3</v>
      </c>
      <c r="T151" s="336">
        <f t="shared" si="90"/>
        <v>1.3128980013877351E-2</v>
      </c>
      <c r="U151" s="336">
        <f t="shared" si="90"/>
        <v>1.3505360543874696E-2</v>
      </c>
      <c r="V151" s="336">
        <f t="shared" si="90"/>
        <v>1.1670804342610175E-2</v>
      </c>
      <c r="W151" s="336">
        <f t="shared" si="90"/>
        <v>1.248154978696958E-2</v>
      </c>
      <c r="X151" s="336">
        <f t="shared" si="90"/>
        <v>9.5667825824121717E-3</v>
      </c>
      <c r="Y151" s="336">
        <f t="shared" si="90"/>
        <v>7.9599587557391775E-3</v>
      </c>
      <c r="Z151" s="336">
        <f t="shared" si="90"/>
        <v>1.0441220433680428E-2</v>
      </c>
      <c r="AA151" s="336">
        <f t="shared" si="90"/>
        <v>8.9249062212879132E-3</v>
      </c>
      <c r="AB151" s="336">
        <f t="shared" si="90"/>
        <v>5.2185030372532996E-3</v>
      </c>
      <c r="AC151" s="336">
        <f t="shared" si="90"/>
        <v>6.0895050427817185E-3</v>
      </c>
      <c r="AD151" s="336">
        <f t="shared" si="90"/>
        <v>8.8097118420880759E-3</v>
      </c>
      <c r="AE151" s="336">
        <f t="shared" si="90"/>
        <v>5.7239118699612861E-3</v>
      </c>
      <c r="AF151" s="336">
        <f t="shared" si="90"/>
        <v>7.3311417428900214E-3</v>
      </c>
      <c r="AG151" s="336">
        <f t="shared" si="90"/>
        <v>5.1327643545550378E-3</v>
      </c>
      <c r="AH151" s="336">
        <f t="shared" si="90"/>
        <v>5.3476573223761826E-3</v>
      </c>
      <c r="AI151" s="336">
        <f t="shared" si="90"/>
        <v>6.4208285892811672E-3</v>
      </c>
      <c r="AJ151" s="336">
        <f t="shared" si="90"/>
        <v>5.7478841146358381E-3</v>
      </c>
      <c r="AK151" s="336">
        <f t="shared" si="90"/>
        <v>6.5462419661923262E-3</v>
      </c>
      <c r="AL151" s="336">
        <f t="shared" si="90"/>
        <v>8.073403046237276E-3</v>
      </c>
      <c r="AM151" s="336">
        <f t="shared" si="90"/>
        <v>7.5941350056262348E-3</v>
      </c>
      <c r="AN151" s="336">
        <f t="shared" si="90"/>
        <v>8.4801548802903286E-3</v>
      </c>
      <c r="AO151" s="336">
        <f t="shared" si="90"/>
        <v>8.8590744114183037E-3</v>
      </c>
      <c r="AP151" s="336">
        <f t="shared" si="90"/>
        <v>7.506165172863088E-3</v>
      </c>
      <c r="AQ151" s="336">
        <f t="shared" si="90"/>
        <v>1.0023711391327152E-2</v>
      </c>
      <c r="AR151" s="336">
        <f t="shared" si="90"/>
        <v>9.1797123290919946E-3</v>
      </c>
      <c r="AS151" s="336">
        <f t="shared" si="90"/>
        <v>1.1529563840555493E-2</v>
      </c>
      <c r="AT151" s="336">
        <f t="shared" si="90"/>
        <v>9.9803802606092968E-3</v>
      </c>
      <c r="AU151" s="336">
        <f t="shared" si="90"/>
        <v>9.9581832687306963E-3</v>
      </c>
      <c r="AV151" s="336">
        <f t="shared" si="90"/>
        <v>1.0393325742784338E-2</v>
      </c>
      <c r="AW151" s="336">
        <f t="shared" si="90"/>
        <v>1.034696914404591E-2</v>
      </c>
      <c r="AX151" s="336">
        <f t="shared" ref="AX151:BQ151" si="91">(AX72-AW72)*$C$151</f>
        <v>8.9696277193790207E-3</v>
      </c>
      <c r="AY151" s="336">
        <f t="shared" si="91"/>
        <v>9.2187005598296512E-3</v>
      </c>
      <c r="AZ151" s="336">
        <f t="shared" si="91"/>
        <v>9.4105838595999556E-3</v>
      </c>
      <c r="BA151" s="336">
        <f t="shared" si="91"/>
        <v>9.6630708571203931E-3</v>
      </c>
      <c r="BB151" s="336">
        <f t="shared" si="91"/>
        <v>9.8776260702187636E-3</v>
      </c>
      <c r="BC151" s="336">
        <f t="shared" si="91"/>
        <v>1.0000201437354497E-2</v>
      </c>
      <c r="BD151" s="336">
        <f t="shared" si="91"/>
        <v>1.0165039421465592E-2</v>
      </c>
      <c r="BE151" s="336">
        <f t="shared" si="91"/>
        <v>1.027919381711504E-2</v>
      </c>
      <c r="BF151" s="336">
        <f t="shared" si="91"/>
        <v>1.0374690982679746E-2</v>
      </c>
      <c r="BG151" s="336">
        <f t="shared" si="91"/>
        <v>1.0572094047795459E-2</v>
      </c>
      <c r="BH151" s="336">
        <f t="shared" si="91"/>
        <v>1.0606058798601239E-2</v>
      </c>
      <c r="BI151" s="336">
        <f t="shared" si="91"/>
        <v>1.0701878589029852E-2</v>
      </c>
      <c r="BJ151" s="336">
        <f t="shared" si="91"/>
        <v>1.0638830882275076E-2</v>
      </c>
      <c r="BK151" s="336">
        <f t="shared" si="91"/>
        <v>1.0680581574824849E-2</v>
      </c>
      <c r="BL151" s="336">
        <f t="shared" si="91"/>
        <v>1.0726823571095875E-2</v>
      </c>
      <c r="BM151" s="336">
        <f t="shared" si="91"/>
        <v>1.0745711101141218E-2</v>
      </c>
      <c r="BN151" s="336">
        <f t="shared" si="91"/>
        <v>1.0769208608372563E-2</v>
      </c>
      <c r="BO151" s="336">
        <f t="shared" si="91"/>
        <v>1.0891102924165064E-2</v>
      </c>
      <c r="BP151" s="336">
        <f t="shared" si="91"/>
        <v>1.1004034151164306E-2</v>
      </c>
      <c r="BQ151" s="336">
        <f t="shared" si="91"/>
        <v>1.1111382790217257E-2</v>
      </c>
      <c r="BR151" s="246"/>
    </row>
    <row r="152" spans="2:70" x14ac:dyDescent="0.25">
      <c r="B152" s="669"/>
      <c r="C152" s="319">
        <v>0.15187999999999999</v>
      </c>
      <c r="D152" s="670" t="s">
        <v>351</v>
      </c>
      <c r="E152" s="671"/>
      <c r="F152" s="321" t="s">
        <v>318</v>
      </c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>
        <f t="shared" ref="R152:AW152" si="92">(R75-Q75)*$C$152</f>
        <v>5.8006255086190247E-3</v>
      </c>
      <c r="S152" s="321">
        <f t="shared" si="92"/>
        <v>1.4024251283309058E-2</v>
      </c>
      <c r="T152" s="321">
        <f t="shared" si="92"/>
        <v>7.786913407510909E-3</v>
      </c>
      <c r="U152" s="321">
        <f t="shared" si="92"/>
        <v>7.4849767685326429E-3</v>
      </c>
      <c r="V152" s="321">
        <f t="shared" si="92"/>
        <v>8.3335872329037049E-3</v>
      </c>
      <c r="W152" s="321">
        <f t="shared" si="92"/>
        <v>7.8077829360448303E-3</v>
      </c>
      <c r="X152" s="321">
        <f t="shared" si="92"/>
        <v>9.2218132648669345E-3</v>
      </c>
      <c r="Y152" s="321">
        <f t="shared" si="92"/>
        <v>9.956874549708233E-3</v>
      </c>
      <c r="Z152" s="321">
        <f t="shared" si="92"/>
        <v>8.5633012792555776E-3</v>
      </c>
      <c r="AA152" s="321">
        <f t="shared" si="92"/>
        <v>9.2533124707584007E-3</v>
      </c>
      <c r="AB152" s="321">
        <f t="shared" si="92"/>
        <v>1.1084350371394309E-2</v>
      </c>
      <c r="AC152" s="321">
        <f t="shared" si="92"/>
        <v>1.0533360661373475E-2</v>
      </c>
      <c r="AD152" s="321">
        <f t="shared" si="92"/>
        <v>9.0200593001363051E-3</v>
      </c>
      <c r="AE152" s="321">
        <f t="shared" si="92"/>
        <v>1.0531796169477187E-2</v>
      </c>
      <c r="AF152" s="321">
        <f t="shared" si="92"/>
        <v>9.6005937616730347E-3</v>
      </c>
      <c r="AG152" s="321">
        <f t="shared" si="92"/>
        <v>1.0652345112202208E-2</v>
      </c>
      <c r="AH152" s="321">
        <f t="shared" si="92"/>
        <v>1.0448474971794165E-2</v>
      </c>
      <c r="AI152" s="321">
        <f t="shared" si="92"/>
        <v>9.7985749084859367E-3</v>
      </c>
      <c r="AJ152" s="321">
        <f t="shared" si="92"/>
        <v>1.0059281271326834E-2</v>
      </c>
      <c r="AK152" s="321">
        <f t="shared" si="92"/>
        <v>9.554594408440812E-3</v>
      </c>
      <c r="AL152" s="321">
        <f t="shared" si="92"/>
        <v>8.6714870599797246E-3</v>
      </c>
      <c r="AM152" s="321">
        <f t="shared" si="92"/>
        <v>8.8341280870611206E-3</v>
      </c>
      <c r="AN152" s="321">
        <f t="shared" si="92"/>
        <v>8.2865911409756073E-3</v>
      </c>
      <c r="AO152" s="321">
        <f t="shared" si="92"/>
        <v>8.0038730845356457E-3</v>
      </c>
      <c r="AP152" s="321">
        <f t="shared" si="92"/>
        <v>8.6240419203126549E-3</v>
      </c>
      <c r="AQ152" s="321">
        <f t="shared" si="92"/>
        <v>7.229216159319111E-3</v>
      </c>
      <c r="AR152" s="321">
        <f t="shared" si="92"/>
        <v>7.585942762752069E-3</v>
      </c>
      <c r="AS152" s="321">
        <f t="shared" si="92"/>
        <v>6.2800478645470602E-3</v>
      </c>
      <c r="AT152" s="321">
        <f t="shared" si="92"/>
        <v>7.0052183098750029E-3</v>
      </c>
      <c r="AU152" s="321">
        <f t="shared" si="92"/>
        <v>6.9360546614337711E-3</v>
      </c>
      <c r="AV152" s="321">
        <f t="shared" si="92"/>
        <v>6.6292874866665198E-3</v>
      </c>
      <c r="AW152" s="321">
        <f t="shared" si="92"/>
        <v>6.5736663840870561E-3</v>
      </c>
      <c r="AX152" s="321">
        <f t="shared" ref="AX152:BQ152" si="93">(AX75-AW75)*$C$152</f>
        <v>7.2110540261925296E-3</v>
      </c>
      <c r="AY152" s="321">
        <f t="shared" si="93"/>
        <v>7.0037663133738718E-3</v>
      </c>
      <c r="AZ152" s="321">
        <f t="shared" si="93"/>
        <v>6.8267210254550209E-3</v>
      </c>
      <c r="BA152" s="321">
        <f t="shared" si="93"/>
        <v>6.6188511379791475E-3</v>
      </c>
      <c r="BB152" s="321">
        <f t="shared" si="93"/>
        <v>6.4315960284678075E-3</v>
      </c>
      <c r="BC152" s="321">
        <f t="shared" si="93"/>
        <v>6.2929306991989327E-3</v>
      </c>
      <c r="BD152" s="321">
        <f t="shared" si="93"/>
        <v>6.1332428877905838E-3</v>
      </c>
      <c r="BE152" s="321">
        <f t="shared" si="93"/>
        <v>6.0005502467364363E-3</v>
      </c>
      <c r="BF152" s="321">
        <f t="shared" si="93"/>
        <v>5.8783135779108759E-3</v>
      </c>
      <c r="BG152" s="321">
        <f t="shared" si="93"/>
        <v>5.7037963566944757E-3</v>
      </c>
      <c r="BH152" s="321">
        <f t="shared" si="93"/>
        <v>5.6150544111634804E-3</v>
      </c>
      <c r="BI152" s="321">
        <f t="shared" si="93"/>
        <v>5.4948203183623756E-3</v>
      </c>
      <c r="BJ152" s="321">
        <f t="shared" si="93"/>
        <v>5.4579378684635688E-3</v>
      </c>
      <c r="BK152" s="321">
        <f t="shared" si="93"/>
        <v>5.3671962091693098E-3</v>
      </c>
      <c r="BL152" s="321">
        <f t="shared" si="93"/>
        <v>5.2747841064301948E-3</v>
      </c>
      <c r="BM152" s="321">
        <f t="shared" si="93"/>
        <v>5.1972495671797382E-3</v>
      </c>
      <c r="BN152" s="321">
        <f t="shared" si="93"/>
        <v>5.1179479957221569E-3</v>
      </c>
      <c r="BO152" s="321">
        <f t="shared" si="93"/>
        <v>4.9880526449101311E-3</v>
      </c>
      <c r="BP152" s="321">
        <f t="shared" si="93"/>
        <v>4.8634208479845275E-3</v>
      </c>
      <c r="BQ152" s="321">
        <f t="shared" si="93"/>
        <v>4.7422779889240369E-3</v>
      </c>
      <c r="BR152" s="246"/>
    </row>
    <row r="153" spans="2:70" x14ac:dyDescent="0.25">
      <c r="B153" s="669"/>
      <c r="C153" s="319">
        <v>1.47E-2</v>
      </c>
      <c r="D153" s="670" t="s">
        <v>344</v>
      </c>
      <c r="E153" s="671"/>
      <c r="F153" s="321" t="s">
        <v>318</v>
      </c>
      <c r="G153" s="321" t="s">
        <v>336</v>
      </c>
      <c r="H153" s="321" t="s">
        <v>336</v>
      </c>
      <c r="I153" s="321">
        <v>6.0999999999999997E-4</v>
      </c>
      <c r="J153" s="321" t="s">
        <v>336</v>
      </c>
      <c r="K153" s="321">
        <v>6.0999999999999997E-4</v>
      </c>
      <c r="L153" s="321" t="s">
        <v>336</v>
      </c>
      <c r="M153" s="321">
        <v>6.0999999999999997E-4</v>
      </c>
      <c r="N153" s="321" t="s">
        <v>336</v>
      </c>
      <c r="O153" s="321">
        <v>3.5E-4</v>
      </c>
      <c r="P153" s="321" t="s">
        <v>336</v>
      </c>
      <c r="Q153" s="321">
        <v>2.7999999999999998E-4</v>
      </c>
      <c r="R153" s="321">
        <f t="shared" ref="R153:AW153" si="94">(R77-Q77)*$C$153</f>
        <v>-9.9628808999997664E-5</v>
      </c>
      <c r="S153" s="321">
        <f t="shared" si="94"/>
        <v>-1.0423769999999938E-4</v>
      </c>
      <c r="T153" s="321">
        <f t="shared" si="94"/>
        <v>-1.0423769999999938E-4</v>
      </c>
      <c r="U153" s="321">
        <f t="shared" si="94"/>
        <v>-1.0423769999999938E-4</v>
      </c>
      <c r="V153" s="321">
        <f t="shared" si="94"/>
        <v>-1.0423769999999938E-4</v>
      </c>
      <c r="W153" s="321">
        <f t="shared" si="94"/>
        <v>-1.0423770000000592E-4</v>
      </c>
      <c r="X153" s="321">
        <f t="shared" si="94"/>
        <v>-1.0423769999999938E-4</v>
      </c>
      <c r="Y153" s="321">
        <f t="shared" si="94"/>
        <v>-1.0423769999999938E-4</v>
      </c>
      <c r="Z153" s="321">
        <f t="shared" si="94"/>
        <v>-1.0423769999999938E-4</v>
      </c>
      <c r="AA153" s="321">
        <f t="shared" si="94"/>
        <v>-1.0423769999999938E-4</v>
      </c>
      <c r="AB153" s="321">
        <f t="shared" si="94"/>
        <v>-1.0423769999999938E-4</v>
      </c>
      <c r="AC153" s="321">
        <f t="shared" si="94"/>
        <v>-1.0423769999999938E-4</v>
      </c>
      <c r="AD153" s="321">
        <f t="shared" si="94"/>
        <v>-1.0423769999999938E-4</v>
      </c>
      <c r="AE153" s="321">
        <f t="shared" si="94"/>
        <v>-1.0423769999999938E-4</v>
      </c>
      <c r="AF153" s="321">
        <f t="shared" si="94"/>
        <v>-1.0423769999999938E-4</v>
      </c>
      <c r="AG153" s="321">
        <f t="shared" si="94"/>
        <v>-1.0423769999999938E-4</v>
      </c>
      <c r="AH153" s="321">
        <f t="shared" si="94"/>
        <v>-1.0423770000000592E-4</v>
      </c>
      <c r="AI153" s="321">
        <f t="shared" si="94"/>
        <v>-1.0423769999999938E-4</v>
      </c>
      <c r="AJ153" s="321">
        <f t="shared" si="94"/>
        <v>-1.0423769999999938E-4</v>
      </c>
      <c r="AK153" s="321">
        <f t="shared" si="94"/>
        <v>-1.0423769999999938E-4</v>
      </c>
      <c r="AL153" s="321">
        <f t="shared" si="94"/>
        <v>-1.0423769999999938E-4</v>
      </c>
      <c r="AM153" s="321">
        <f t="shared" si="94"/>
        <v>-1.0423769999999938E-4</v>
      </c>
      <c r="AN153" s="321">
        <f t="shared" si="94"/>
        <v>-1.0423769999999938E-4</v>
      </c>
      <c r="AO153" s="321">
        <f t="shared" si="94"/>
        <v>-1.0423769999999938E-4</v>
      </c>
      <c r="AP153" s="321">
        <f t="shared" si="94"/>
        <v>-1.0423769999999938E-4</v>
      </c>
      <c r="AQ153" s="321">
        <f t="shared" si="94"/>
        <v>-1.0423769999999938E-4</v>
      </c>
      <c r="AR153" s="321">
        <f t="shared" si="94"/>
        <v>-1.0423769999999938E-4</v>
      </c>
      <c r="AS153" s="321">
        <f t="shared" si="94"/>
        <v>-1.0423770000000592E-4</v>
      </c>
      <c r="AT153" s="321">
        <f t="shared" si="94"/>
        <v>-1.0423769999999938E-4</v>
      </c>
      <c r="AU153" s="321">
        <f t="shared" si="94"/>
        <v>-1.0423769999999938E-4</v>
      </c>
      <c r="AV153" s="321">
        <f t="shared" si="94"/>
        <v>-1.0423769999999938E-4</v>
      </c>
      <c r="AW153" s="321">
        <f t="shared" si="94"/>
        <v>-1.0423769999999938E-4</v>
      </c>
      <c r="AX153" s="321">
        <f t="shared" ref="AX153:BQ153" si="95">(AX77-AW77)*$C$153</f>
        <v>-1.0423769999999938E-4</v>
      </c>
      <c r="AY153" s="321">
        <f t="shared" si="95"/>
        <v>-1.0423769999999938E-4</v>
      </c>
      <c r="AZ153" s="321">
        <f t="shared" si="95"/>
        <v>-1.0423769999999938E-4</v>
      </c>
      <c r="BA153" s="321">
        <f t="shared" si="95"/>
        <v>-1.0423769999999938E-4</v>
      </c>
      <c r="BB153" s="321">
        <f t="shared" si="95"/>
        <v>-1.0423769999999938E-4</v>
      </c>
      <c r="BC153" s="321">
        <f t="shared" si="95"/>
        <v>-1.0423770000000592E-4</v>
      </c>
      <c r="BD153" s="321">
        <f t="shared" si="95"/>
        <v>-1.0423769999999938E-4</v>
      </c>
      <c r="BE153" s="321">
        <f t="shared" si="95"/>
        <v>-1.0423769999999938E-4</v>
      </c>
      <c r="BF153" s="321">
        <f t="shared" si="95"/>
        <v>-1.0423769999999938E-4</v>
      </c>
      <c r="BG153" s="321">
        <f t="shared" si="95"/>
        <v>-1.0423769999999938E-4</v>
      </c>
      <c r="BH153" s="321">
        <f t="shared" si="95"/>
        <v>-1.0423769999999938E-4</v>
      </c>
      <c r="BI153" s="321">
        <f t="shared" si="95"/>
        <v>-1.0423769999999938E-4</v>
      </c>
      <c r="BJ153" s="321">
        <f t="shared" si="95"/>
        <v>-1.0423769999999938E-4</v>
      </c>
      <c r="BK153" s="321">
        <f t="shared" si="95"/>
        <v>-1.0423769999999938E-4</v>
      </c>
      <c r="BL153" s="321">
        <f t="shared" si="95"/>
        <v>-1.0423769999999938E-4</v>
      </c>
      <c r="BM153" s="321">
        <f t="shared" si="95"/>
        <v>-1.0423769999999938E-4</v>
      </c>
      <c r="BN153" s="321">
        <f t="shared" si="95"/>
        <v>-1.0423770000000592E-4</v>
      </c>
      <c r="BO153" s="321">
        <f t="shared" si="95"/>
        <v>-1.0423769999999938E-4</v>
      </c>
      <c r="BP153" s="321">
        <f t="shared" si="95"/>
        <v>-1.0423769999999938E-4</v>
      </c>
      <c r="BQ153" s="321">
        <f t="shared" si="95"/>
        <v>-1.0423769999999938E-4</v>
      </c>
      <c r="BR153" s="246"/>
    </row>
    <row r="154" spans="2:70" x14ac:dyDescent="0.25">
      <c r="B154" s="669"/>
      <c r="C154" s="319">
        <v>3.6299999999999999E-2</v>
      </c>
      <c r="D154" s="670" t="s">
        <v>5</v>
      </c>
      <c r="E154" s="671"/>
      <c r="F154" s="320" t="s">
        <v>318</v>
      </c>
      <c r="G154" s="321" t="s">
        <v>336</v>
      </c>
      <c r="H154" s="321" t="s">
        <v>336</v>
      </c>
      <c r="I154" s="321">
        <v>2.7999999999999998E-4</v>
      </c>
      <c r="J154" s="321" t="s">
        <v>336</v>
      </c>
      <c r="K154" s="321">
        <v>2.7999999999999998E-4</v>
      </c>
      <c r="L154" s="321" t="s">
        <v>336</v>
      </c>
      <c r="M154" s="321">
        <v>2.7999999999999998E-4</v>
      </c>
      <c r="N154" s="321" t="s">
        <v>336</v>
      </c>
      <c r="O154" s="321">
        <v>2.5000000000000001E-4</v>
      </c>
      <c r="P154" s="321" t="s">
        <v>336</v>
      </c>
      <c r="Q154" s="321">
        <v>4.4000000000000002E-4</v>
      </c>
      <c r="R154" s="336">
        <f t="shared" ref="R154:AW154" si="96">(R79-Q79)*$C$154</f>
        <v>-2.4646141299780183E-5</v>
      </c>
      <c r="S154" s="336">
        <f t="shared" si="96"/>
        <v>-2.4612129624787403E-5</v>
      </c>
      <c r="T154" s="336">
        <f t="shared" si="96"/>
        <v>-2.4578164885905657E-5</v>
      </c>
      <c r="U154" s="336">
        <f t="shared" si="96"/>
        <v>-2.4544247018363017E-5</v>
      </c>
      <c r="V154" s="336">
        <f t="shared" si="96"/>
        <v>-2.4510375957476231E-5</v>
      </c>
      <c r="W154" s="336">
        <f t="shared" si="96"/>
        <v>-2.4476551638654729E-5</v>
      </c>
      <c r="X154" s="336">
        <f t="shared" si="96"/>
        <v>-2.4442773997394596E-5</v>
      </c>
      <c r="Y154" s="336">
        <f t="shared" si="96"/>
        <v>-2.4409042969278553E-5</v>
      </c>
      <c r="Z154" s="336">
        <f t="shared" si="96"/>
        <v>-2.4375358489980014E-5</v>
      </c>
      <c r="AA154" s="336">
        <f t="shared" si="96"/>
        <v>-2.4341720495265073E-5</v>
      </c>
      <c r="AB154" s="336">
        <f t="shared" si="96"/>
        <v>-2.430812892098043E-5</v>
      </c>
      <c r="AC154" s="336">
        <f t="shared" si="96"/>
        <v>-2.4274583703069513E-5</v>
      </c>
      <c r="AD154" s="336">
        <f t="shared" si="96"/>
        <v>-2.4241084777560372E-5</v>
      </c>
      <c r="AE154" s="336">
        <f t="shared" si="96"/>
        <v>-2.4207632080565697E-5</v>
      </c>
      <c r="AF154" s="336">
        <f t="shared" si="96"/>
        <v>-2.4174225548294901E-5</v>
      </c>
      <c r="AG154" s="336">
        <f t="shared" si="96"/>
        <v>-2.4140865117037997E-5</v>
      </c>
      <c r="AH154" s="336">
        <f t="shared" si="96"/>
        <v>-2.4107550723177685E-5</v>
      </c>
      <c r="AI154" s="336">
        <f t="shared" si="96"/>
        <v>-2.4074282303179291E-5</v>
      </c>
      <c r="AJ154" s="336">
        <f t="shared" si="96"/>
        <v>-2.4041059793600825E-5</v>
      </c>
      <c r="AK154" s="336">
        <f t="shared" si="96"/>
        <v>-2.4007883131084943E-5</v>
      </c>
      <c r="AL154" s="336">
        <f t="shared" si="96"/>
        <v>-2.3974752252364967E-5</v>
      </c>
      <c r="AM154" s="336">
        <f t="shared" si="96"/>
        <v>-2.3941667094256835E-5</v>
      </c>
      <c r="AN154" s="336">
        <f t="shared" si="96"/>
        <v>-2.3908627593667169E-5</v>
      </c>
      <c r="AO154" s="336">
        <f t="shared" si="96"/>
        <v>-2.387563368758722E-5</v>
      </c>
      <c r="AP154" s="336">
        <f t="shared" si="96"/>
        <v>-2.3842685313098919E-5</v>
      </c>
      <c r="AQ154" s="336">
        <f t="shared" si="96"/>
        <v>-2.3809782407366812E-5</v>
      </c>
      <c r="AR154" s="336">
        <f t="shared" si="96"/>
        <v>-2.3776924907644109E-5</v>
      </c>
      <c r="AS154" s="336">
        <f t="shared" si="96"/>
        <v>-2.3744112751270663E-5</v>
      </c>
      <c r="AT154" s="336">
        <f t="shared" si="96"/>
        <v>-2.3711345875674995E-5</v>
      </c>
      <c r="AU154" s="336">
        <f t="shared" si="96"/>
        <v>-2.3678624218366222E-5</v>
      </c>
      <c r="AV154" s="336">
        <f t="shared" si="96"/>
        <v>-2.3645947716944149E-5</v>
      </c>
      <c r="AW154" s="336">
        <f t="shared" si="96"/>
        <v>-2.3613316309095218E-5</v>
      </c>
      <c r="AX154" s="336">
        <f t="shared" ref="AX154:BQ154" si="97">(AX79-AW79)*$C$154</f>
        <v>-2.3580729932588488E-5</v>
      </c>
      <c r="AY154" s="336">
        <f t="shared" si="97"/>
        <v>-2.3548188525281692E-5</v>
      </c>
      <c r="AZ154" s="336">
        <f t="shared" si="97"/>
        <v>-2.3515692025117184E-5</v>
      </c>
      <c r="BA154" s="336">
        <f t="shared" si="97"/>
        <v>-2.3483240370121955E-5</v>
      </c>
      <c r="BB154" s="336">
        <f t="shared" si="97"/>
        <v>-2.3450833498411655E-5</v>
      </c>
      <c r="BC154" s="336">
        <f t="shared" si="97"/>
        <v>-2.3418471348184555E-5</v>
      </c>
      <c r="BD154" s="336">
        <f t="shared" si="97"/>
        <v>-2.3386153857723558E-5</v>
      </c>
      <c r="BE154" s="336">
        <f t="shared" si="97"/>
        <v>-2.3353880965400224E-5</v>
      </c>
      <c r="BF154" s="336">
        <f t="shared" si="97"/>
        <v>-2.3321652609666725E-5</v>
      </c>
      <c r="BG154" s="336">
        <f t="shared" si="97"/>
        <v>-2.3289468729065903E-5</v>
      </c>
      <c r="BH154" s="336">
        <f t="shared" si="97"/>
        <v>-2.3257329262219189E-5</v>
      </c>
      <c r="BI154" s="336">
        <f t="shared" si="97"/>
        <v>-2.322523414783869E-5</v>
      </c>
      <c r="BJ154" s="336">
        <f t="shared" si="97"/>
        <v>-2.3193183324715105E-5</v>
      </c>
      <c r="BK154" s="336">
        <f t="shared" si="97"/>
        <v>-2.3161176731725775E-5</v>
      </c>
      <c r="BL154" s="336">
        <f t="shared" si="97"/>
        <v>-2.3129214307836703E-5</v>
      </c>
      <c r="BM154" s="336">
        <f t="shared" si="97"/>
        <v>-2.309729599209047E-5</v>
      </c>
      <c r="BN154" s="336">
        <f t="shared" si="97"/>
        <v>-2.3065421723622346E-5</v>
      </c>
      <c r="BO154" s="336">
        <f t="shared" si="97"/>
        <v>-2.3033591441644173E-5</v>
      </c>
      <c r="BP154" s="336">
        <f t="shared" si="97"/>
        <v>-2.3001805085454441E-5</v>
      </c>
      <c r="BQ154" s="336">
        <f t="shared" si="97"/>
        <v>-2.2970062594436269E-5</v>
      </c>
      <c r="BR154" s="246"/>
    </row>
    <row r="155" spans="2:70" x14ac:dyDescent="0.25">
      <c r="B155" s="669"/>
      <c r="C155" s="319">
        <v>0.10150000000000001</v>
      </c>
      <c r="D155" s="670" t="s">
        <v>29</v>
      </c>
      <c r="E155" s="671"/>
      <c r="F155" s="320" t="s">
        <v>318</v>
      </c>
      <c r="G155" s="321" t="s">
        <v>336</v>
      </c>
      <c r="H155" s="321" t="s">
        <v>336</v>
      </c>
      <c r="I155" s="321">
        <v>2.2000000000000001E-4</v>
      </c>
      <c r="J155" s="321" t="s">
        <v>336</v>
      </c>
      <c r="K155" s="321">
        <v>2.2000000000000001E-4</v>
      </c>
      <c r="L155" s="321" t="s">
        <v>336</v>
      </c>
      <c r="M155" s="321">
        <v>2.2000000000000001E-4</v>
      </c>
      <c r="N155" s="321" t="s">
        <v>336</v>
      </c>
      <c r="O155" s="321">
        <v>1.2E-4</v>
      </c>
      <c r="P155" s="321" t="s">
        <v>336</v>
      </c>
      <c r="Q155" s="321">
        <v>7.5000000000000002E-4</v>
      </c>
      <c r="R155" s="336">
        <f t="shared" ref="R155:AW155" si="98">(R84-Q84)*$C$155</f>
        <v>1.3818963219594039E-4</v>
      </c>
      <c r="S155" s="336">
        <f t="shared" si="98"/>
        <v>1.3992221279387571E-4</v>
      </c>
      <c r="T155" s="336">
        <f t="shared" si="98"/>
        <v>1.4167651597317052E-4</v>
      </c>
      <c r="U155" s="336">
        <f t="shared" si="98"/>
        <v>1.4330407180360974E-4</v>
      </c>
      <c r="V155" s="336">
        <f t="shared" si="98"/>
        <v>1.4509891277460007E-4</v>
      </c>
      <c r="W155" s="336">
        <f t="shared" si="98"/>
        <v>1.4691623359609676E-4</v>
      </c>
      <c r="X155" s="336">
        <f t="shared" si="98"/>
        <v>1.4875631582155838E-4</v>
      </c>
      <c r="Y155" s="336">
        <f t="shared" si="98"/>
        <v>1.5061944453081155E-4</v>
      </c>
      <c r="Z155" s="336">
        <f t="shared" si="98"/>
        <v>1.5250590837422728E-4</v>
      </c>
      <c r="AA155" s="336">
        <f t="shared" si="98"/>
        <v>1.5441599961743543E-4</v>
      </c>
      <c r="AB155" s="336">
        <f t="shared" si="98"/>
        <v>1.5635001418660825E-4</v>
      </c>
      <c r="AC155" s="336">
        <f t="shared" si="98"/>
        <v>1.5830825171430171E-4</v>
      </c>
      <c r="AD155" s="336">
        <f t="shared" si="98"/>
        <v>1.6029101558588275E-4</v>
      </c>
      <c r="AE155" s="336">
        <f t="shared" si="98"/>
        <v>1.6229861298653144E-4</v>
      </c>
      <c r="AF155" s="336">
        <f t="shared" si="98"/>
        <v>1.6433135494882877E-4</v>
      </c>
      <c r="AG155" s="336">
        <f t="shared" si="98"/>
        <v>1.6638955640094772E-4</v>
      </c>
      <c r="AH155" s="336">
        <f t="shared" si="98"/>
        <v>1.6847353621543836E-4</v>
      </c>
      <c r="AI155" s="336">
        <f t="shared" si="98"/>
        <v>1.7058361725864717E-4</v>
      </c>
      <c r="AJ155" s="336">
        <f t="shared" si="98"/>
        <v>1.7272012644071083E-4</v>
      </c>
      <c r="AK155" s="336">
        <f t="shared" si="98"/>
        <v>1.7488339476622906E-4</v>
      </c>
      <c r="AL155" s="336">
        <f t="shared" si="98"/>
        <v>1.7707375738553184E-4</v>
      </c>
      <c r="AM155" s="336">
        <f t="shared" si="98"/>
        <v>1.7929155364660593E-4</v>
      </c>
      <c r="AN155" s="336">
        <f t="shared" si="98"/>
        <v>1.815371271476748E-4</v>
      </c>
      <c r="AO155" s="336">
        <f t="shared" si="98"/>
        <v>1.8381082579042675E-4</v>
      </c>
      <c r="AP155" s="336">
        <f t="shared" si="98"/>
        <v>1.8611300183391343E-4</v>
      </c>
      <c r="AQ155" s="336">
        <f t="shared" si="98"/>
        <v>1.8844401194912711E-4</v>
      </c>
      <c r="AR155" s="336">
        <f t="shared" si="98"/>
        <v>1.9080421727426006E-4</v>
      </c>
      <c r="AS155" s="336">
        <f t="shared" si="98"/>
        <v>1.9319398347065388E-4</v>
      </c>
      <c r="AT155" s="336">
        <f t="shared" si="98"/>
        <v>1.9561368077944475E-4</v>
      </c>
      <c r="AU155" s="336">
        <f t="shared" si="98"/>
        <v>1.9806368407893559E-4</v>
      </c>
      <c r="AV155" s="336">
        <f t="shared" si="98"/>
        <v>2.0054437294266388E-4</v>
      </c>
      <c r="AW155" s="336">
        <f t="shared" si="98"/>
        <v>2.0305613169821629E-4</v>
      </c>
      <c r="AX155" s="336">
        <f t="shared" ref="AX155:BQ155" si="99">(AX84-AW84)*$C$155</f>
        <v>2.0559934948676989E-4</v>
      </c>
      <c r="AY155" s="336">
        <f t="shared" si="99"/>
        <v>2.0817442032337169E-4</v>
      </c>
      <c r="AZ155" s="336">
        <f t="shared" si="99"/>
        <v>2.1078174315800123E-4</v>
      </c>
      <c r="BA155" s="336">
        <f t="shared" si="99"/>
        <v>2.1342172193735705E-4</v>
      </c>
      <c r="BB155" s="336">
        <f t="shared" si="99"/>
        <v>2.160947656674578E-4</v>
      </c>
      <c r="BC155" s="336">
        <f t="shared" si="99"/>
        <v>2.1880128847699776E-4</v>
      </c>
      <c r="BD155" s="336">
        <f t="shared" si="99"/>
        <v>2.2154170968151412E-4</v>
      </c>
      <c r="BE155" s="336">
        <f t="shared" si="99"/>
        <v>2.2431645384834301E-4</v>
      </c>
      <c r="BF155" s="336">
        <f t="shared" si="99"/>
        <v>2.2712595086239788E-4</v>
      </c>
      <c r="BG155" s="336">
        <f t="shared" si="99"/>
        <v>2.2997063599278233E-4</v>
      </c>
      <c r="BH155" s="336">
        <f t="shared" si="99"/>
        <v>2.3285094996020508E-4</v>
      </c>
      <c r="BI155" s="336">
        <f t="shared" si="99"/>
        <v>2.3576733900528024E-4</v>
      </c>
      <c r="BJ155" s="336">
        <f t="shared" si="99"/>
        <v>2.3872025495764982E-4</v>
      </c>
      <c r="BK155" s="336">
        <f t="shared" si="99"/>
        <v>2.4171015530598247E-4</v>
      </c>
      <c r="BL155" s="336">
        <f t="shared" si="99"/>
        <v>2.4473750326886801E-4</v>
      </c>
      <c r="BM155" s="336">
        <f t="shared" si="99"/>
        <v>2.478027678665602E-4</v>
      </c>
      <c r="BN155" s="336">
        <f t="shared" si="99"/>
        <v>2.5090642399366284E-4</v>
      </c>
      <c r="BO155" s="336">
        <f t="shared" si="99"/>
        <v>2.5404895249268411E-4</v>
      </c>
      <c r="BP155" s="336">
        <f t="shared" si="99"/>
        <v>2.5723084022854814E-4</v>
      </c>
      <c r="BQ155" s="336">
        <f t="shared" si="99"/>
        <v>2.6045258016401426E-4</v>
      </c>
      <c r="BR155" s="246"/>
    </row>
    <row r="156" spans="2:70" x14ac:dyDescent="0.25">
      <c r="B156" s="324" t="s">
        <v>336</v>
      </c>
      <c r="C156" s="324"/>
      <c r="D156" s="325" t="s">
        <v>336</v>
      </c>
      <c r="E156" s="282" t="s">
        <v>336</v>
      </c>
      <c r="F156" s="326" t="s">
        <v>253</v>
      </c>
      <c r="G156" s="327" t="s">
        <v>336</v>
      </c>
      <c r="H156" s="327" t="s">
        <v>336</v>
      </c>
      <c r="I156" s="327">
        <v>1.15E-2</v>
      </c>
      <c r="J156" s="327" t="s">
        <v>336</v>
      </c>
      <c r="K156" s="327">
        <v>1.15E-2</v>
      </c>
      <c r="L156" s="327" t="s">
        <v>336</v>
      </c>
      <c r="M156" s="327">
        <v>1.15E-2</v>
      </c>
      <c r="N156" s="327" t="s">
        <v>336</v>
      </c>
      <c r="O156" s="327">
        <v>3.46E-3</v>
      </c>
      <c r="P156" s="327" t="s">
        <v>336</v>
      </c>
      <c r="Q156" s="327">
        <v>1.6420000000000001E-2</v>
      </c>
      <c r="R156" s="332">
        <f t="shared" ref="R156:AW156" si="100">SUM(R149:R155)</f>
        <v>1.2700601822476518E-2</v>
      </c>
      <c r="S156" s="332">
        <f t="shared" si="100"/>
        <v>1.6098808786236145E-2</v>
      </c>
      <c r="T156" s="332">
        <f t="shared" si="100"/>
        <v>2.1604421823016078E-2</v>
      </c>
      <c r="U156" s="332">
        <f t="shared" si="100"/>
        <v>2.167514494855851E-2</v>
      </c>
      <c r="V156" s="332">
        <f t="shared" si="100"/>
        <v>2.0686003124027443E-2</v>
      </c>
      <c r="W156" s="332">
        <f t="shared" si="100"/>
        <v>2.0967727000294804E-2</v>
      </c>
      <c r="X156" s="332">
        <f t="shared" si="100"/>
        <v>1.9463800993047939E-2</v>
      </c>
      <c r="Y156" s="332">
        <f t="shared" si="100"/>
        <v>1.8588893899790977E-2</v>
      </c>
      <c r="Z156" s="332">
        <f t="shared" si="100"/>
        <v>1.9673710630076922E-2</v>
      </c>
      <c r="AA156" s="332">
        <f t="shared" si="100"/>
        <v>1.8844395397463371E-2</v>
      </c>
      <c r="AB156" s="332">
        <f t="shared" si="100"/>
        <v>1.6966027578581493E-2</v>
      </c>
      <c r="AC156" s="332">
        <f t="shared" si="100"/>
        <v>1.7283236378055136E-2</v>
      </c>
      <c r="AD156" s="332">
        <f t="shared" si="100"/>
        <v>1.8487498474679481E-2</v>
      </c>
      <c r="AE156" s="332">
        <f t="shared" si="100"/>
        <v>1.6910607885156664E-2</v>
      </c>
      <c r="AF156" s="332">
        <f t="shared" si="100"/>
        <v>1.7584054850107955E-2</v>
      </c>
      <c r="AG156" s="332">
        <f t="shared" si="100"/>
        <v>1.6434752819787003E-2</v>
      </c>
      <c r="AH156" s="332">
        <f t="shared" si="100"/>
        <v>1.6443247235553682E-2</v>
      </c>
      <c r="AI156" s="332">
        <f t="shared" si="100"/>
        <v>1.6864083039402025E-2</v>
      </c>
      <c r="AJ156" s="332">
        <f t="shared" si="100"/>
        <v>1.6449392620174291E-2</v>
      </c>
      <c r="AK156" s="332">
        <f t="shared" si="100"/>
        <v>1.6740731981436038E-2</v>
      </c>
      <c r="AL156" s="332">
        <f t="shared" si="100"/>
        <v>1.7382532983776938E-2</v>
      </c>
      <c r="AM156" s="332">
        <f t="shared" si="100"/>
        <v>1.7063644092655306E-2</v>
      </c>
      <c r="AN156" s="332">
        <f t="shared" si="100"/>
        <v>1.7399969970441714E-2</v>
      </c>
      <c r="AO156" s="332">
        <f t="shared" si="100"/>
        <v>1.7494065345523543E-2</v>
      </c>
      <c r="AP156" s="332">
        <f t="shared" si="100"/>
        <v>1.6759210500402803E-2</v>
      </c>
      <c r="AQ156" s="332">
        <f t="shared" si="100"/>
        <v>1.7880030980280476E-2</v>
      </c>
      <c r="AR156" s="332">
        <f t="shared" si="100"/>
        <v>1.7390792376567311E-2</v>
      </c>
      <c r="AS156" s="332">
        <f t="shared" si="100"/>
        <v>1.8432970854534811E-2</v>
      </c>
      <c r="AT156" s="332">
        <f t="shared" si="100"/>
        <v>1.7607097826014058E-2</v>
      </c>
      <c r="AU156" s="332">
        <f t="shared" si="100"/>
        <v>1.751400468630555E-2</v>
      </c>
      <c r="AV156" s="332">
        <f t="shared" si="100"/>
        <v>1.7640724076406045E-2</v>
      </c>
      <c r="AW156" s="332">
        <f t="shared" si="100"/>
        <v>1.7537144495410377E-2</v>
      </c>
      <c r="AX156" s="332">
        <f t="shared" ref="AX156:BQ156" si="101">SUM(AX149:AX155)</f>
        <v>1.6795689410628249E-2</v>
      </c>
      <c r="AY156" s="332">
        <f t="shared" si="101"/>
        <v>1.6835966097544976E-2</v>
      </c>
      <c r="AZ156" s="332">
        <f t="shared" si="101"/>
        <v>1.6849389489733652E-2</v>
      </c>
      <c r="BA156" s="332">
        <f t="shared" si="101"/>
        <v>1.6892664650657828E-2</v>
      </c>
      <c r="BB156" s="332">
        <f t="shared" si="101"/>
        <v>1.6918679684312522E-2</v>
      </c>
      <c r="BC156" s="332">
        <f t="shared" si="101"/>
        <v>1.6901373755356459E-2</v>
      </c>
      <c r="BD156" s="332">
        <f t="shared" si="101"/>
        <v>1.690535462412579E-2</v>
      </c>
      <c r="BE156" s="332">
        <f t="shared" si="101"/>
        <v>1.6885723543482417E-2</v>
      </c>
      <c r="BF156" s="332">
        <f t="shared" si="101"/>
        <v>1.6857955451751463E-2</v>
      </c>
      <c r="BG156" s="332">
        <f t="shared" si="101"/>
        <v>1.6879876025208417E-2</v>
      </c>
      <c r="BH156" s="332">
        <f t="shared" si="101"/>
        <v>1.6824197262304677E-2</v>
      </c>
      <c r="BI156" s="332">
        <f t="shared" si="101"/>
        <v>1.6798947212760054E-2</v>
      </c>
      <c r="BJ156" s="332">
        <f t="shared" si="101"/>
        <v>1.6698246889979604E-2</v>
      </c>
      <c r="BK156" s="332">
        <f t="shared" si="101"/>
        <v>1.6648551335382056E-2</v>
      </c>
      <c r="BL156" s="332">
        <f t="shared" si="101"/>
        <v>1.6601741682330716E-2</v>
      </c>
      <c r="BM156" s="332">
        <f t="shared" si="101"/>
        <v>1.654252112607597E-2</v>
      </c>
      <c r="BN156" s="332">
        <f t="shared" si="101"/>
        <v>1.6486209484845426E-2</v>
      </c>
      <c r="BO156" s="332">
        <f t="shared" si="101"/>
        <v>1.6477767952400982E-2</v>
      </c>
      <c r="BP156" s="332">
        <f t="shared" si="101"/>
        <v>1.6465693544638206E-2</v>
      </c>
      <c r="BQ156" s="332">
        <f t="shared" si="101"/>
        <v>1.6451592447154058E-2</v>
      </c>
      <c r="BR156" s="246"/>
    </row>
    <row r="157" spans="2:70" x14ac:dyDescent="0.25">
      <c r="B157" s="324"/>
      <c r="C157" s="324"/>
      <c r="D157" s="325"/>
      <c r="E157" s="282"/>
      <c r="F157" s="282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330"/>
      <c r="U157" s="330"/>
      <c r="V157" s="330"/>
      <c r="W157" s="330"/>
      <c r="X157" s="330"/>
      <c r="Y157" s="330"/>
      <c r="Z157" s="330"/>
      <c r="AA157" s="330"/>
      <c r="AB157" s="330"/>
      <c r="AC157" s="330"/>
      <c r="AD157" s="330"/>
      <c r="AE157" s="330"/>
      <c r="AF157" s="330"/>
      <c r="AG157" s="330"/>
      <c r="AH157" s="330"/>
      <c r="AI157" s="330"/>
      <c r="AJ157" s="330"/>
      <c r="AK157" s="330"/>
      <c r="AL157" s="330"/>
      <c r="AM157" s="330"/>
      <c r="AN157" s="330"/>
      <c r="AO157" s="330"/>
      <c r="AP157" s="330"/>
      <c r="AQ157" s="330"/>
      <c r="AR157" s="330"/>
      <c r="AS157" s="330"/>
      <c r="AT157" s="330"/>
      <c r="AU157" s="330"/>
      <c r="AV157" s="330"/>
      <c r="AW157" s="330"/>
      <c r="AX157" s="330"/>
      <c r="AY157" s="330"/>
      <c r="AZ157" s="330"/>
      <c r="BA157" s="330"/>
      <c r="BB157" s="330"/>
      <c r="BC157" s="330"/>
      <c r="BD157" s="330"/>
      <c r="BE157" s="330"/>
      <c r="BF157" s="330"/>
      <c r="BG157" s="330"/>
      <c r="BH157" s="330"/>
      <c r="BI157" s="330"/>
      <c r="BJ157" s="330"/>
      <c r="BK157" s="330"/>
      <c r="BL157" s="330"/>
      <c r="BM157" s="330"/>
      <c r="BN157" s="330"/>
      <c r="BO157" s="330"/>
      <c r="BP157" s="330"/>
      <c r="BQ157" s="330"/>
      <c r="BR157" s="246"/>
    </row>
    <row r="158" spans="2:70" ht="15.75" x14ac:dyDescent="0.25">
      <c r="B158" s="324"/>
      <c r="C158" s="324"/>
      <c r="D158" s="325"/>
      <c r="E158" s="282"/>
      <c r="F158" s="248" t="s">
        <v>353</v>
      </c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32"/>
      <c r="S158" s="332"/>
      <c r="T158" s="332"/>
      <c r="U158" s="332"/>
      <c r="V158" s="332"/>
      <c r="W158" s="332"/>
      <c r="X158" s="332"/>
      <c r="Y158" s="332"/>
      <c r="Z158" s="332"/>
      <c r="AA158" s="332"/>
      <c r="AB158" s="332"/>
      <c r="AC158" s="332"/>
      <c r="AD158" s="332"/>
      <c r="AE158" s="332"/>
      <c r="AF158" s="332"/>
      <c r="AG158" s="332"/>
      <c r="AH158" s="332"/>
      <c r="AI158" s="332"/>
      <c r="AJ158" s="332"/>
      <c r="AK158" s="332"/>
      <c r="AL158" s="332"/>
      <c r="AM158" s="332"/>
      <c r="AN158" s="332"/>
      <c r="AO158" s="332"/>
      <c r="AP158" s="332"/>
      <c r="AQ158" s="332"/>
      <c r="AR158" s="332"/>
      <c r="AS158" s="332"/>
      <c r="AT158" s="332"/>
      <c r="AU158" s="332"/>
      <c r="AV158" s="332"/>
      <c r="AW158" s="329"/>
      <c r="AX158" s="329"/>
      <c r="AY158" s="329"/>
      <c r="AZ158" s="329"/>
      <c r="BA158" s="329"/>
      <c r="BB158" s="329"/>
      <c r="BC158" s="329"/>
      <c r="BD158" s="329"/>
      <c r="BE158" s="329"/>
      <c r="BF158" s="329"/>
      <c r="BG158" s="329"/>
      <c r="BH158" s="329"/>
      <c r="BI158" s="329"/>
      <c r="BJ158" s="329"/>
      <c r="BK158" s="329"/>
      <c r="BL158" s="329"/>
      <c r="BM158" s="329"/>
      <c r="BN158" s="329"/>
      <c r="BO158" s="329"/>
      <c r="BP158" s="329"/>
      <c r="BQ158" s="329"/>
      <c r="BR158" s="246"/>
    </row>
    <row r="159" spans="2:70" x14ac:dyDescent="0.25">
      <c r="B159" s="669" t="s">
        <v>340</v>
      </c>
      <c r="C159" s="319">
        <v>1E-3</v>
      </c>
      <c r="D159" s="670" t="s">
        <v>28</v>
      </c>
      <c r="E159" s="671"/>
      <c r="F159" s="320" t="s">
        <v>354</v>
      </c>
      <c r="G159" s="321" t="s">
        <v>336</v>
      </c>
      <c r="H159" s="321" t="s">
        <v>336</v>
      </c>
      <c r="I159" s="321"/>
      <c r="J159" s="321"/>
      <c r="K159" s="321"/>
      <c r="L159" s="321"/>
      <c r="M159" s="321"/>
      <c r="N159" s="321"/>
      <c r="O159" s="321"/>
      <c r="P159" s="321"/>
      <c r="Q159" s="321">
        <v>9.7016000000000005E-2</v>
      </c>
      <c r="R159" s="321">
        <f t="shared" ref="R159:AW159" si="102">(R70-Q70)*$C$159</f>
        <v>1.4767652901925832E-10</v>
      </c>
      <c r="S159" s="321">
        <f t="shared" si="102"/>
        <v>-9.5005237975925867E-8</v>
      </c>
      <c r="T159" s="321">
        <f t="shared" si="102"/>
        <v>5.1627887314734115E-8</v>
      </c>
      <c r="U159" s="321">
        <f t="shared" si="102"/>
        <v>3.2927050887990309E-8</v>
      </c>
      <c r="V159" s="321">
        <f t="shared" si="102"/>
        <v>3.781533988679586E-8</v>
      </c>
      <c r="W159" s="321">
        <f t="shared" si="102"/>
        <v>3.6606834814989497E-8</v>
      </c>
      <c r="X159" s="321">
        <f t="shared" si="102"/>
        <v>3.2956035178888232E-8</v>
      </c>
      <c r="Y159" s="321">
        <f t="shared" si="102"/>
        <v>2.8081239484917255E-8</v>
      </c>
      <c r="Z159" s="321">
        <f t="shared" si="102"/>
        <v>3.8893189456559732E-8</v>
      </c>
      <c r="AA159" s="321">
        <f t="shared" si="102"/>
        <v>3.4768649317659665E-8</v>
      </c>
      <c r="AB159" s="321">
        <f t="shared" si="102"/>
        <v>2.6833543376514335E-8</v>
      </c>
      <c r="AC159" s="321">
        <f t="shared" si="102"/>
        <v>2.9113542070885456E-8</v>
      </c>
      <c r="AD159" s="321">
        <f t="shared" si="102"/>
        <v>3.8726614175255136E-8</v>
      </c>
      <c r="AE159" s="321">
        <f t="shared" si="102"/>
        <v>3.0166953978977284E-8</v>
      </c>
      <c r="AF159" s="321">
        <f t="shared" si="102"/>
        <v>3.5367701774494108E-8</v>
      </c>
      <c r="AG159" s="321">
        <f t="shared" si="102"/>
        <v>2.8957052735839596E-8</v>
      </c>
      <c r="AH159" s="321">
        <f t="shared" si="102"/>
        <v>2.8936986134653342E-8</v>
      </c>
      <c r="AI159" s="321">
        <f t="shared" si="102"/>
        <v>3.1261463051199254E-8</v>
      </c>
      <c r="AJ159" s="321">
        <f t="shared" si="102"/>
        <v>2.7783948214524235E-8</v>
      </c>
      <c r="AK159" s="321">
        <f t="shared" si="102"/>
        <v>2.8691323299787075E-8</v>
      </c>
      <c r="AL159" s="321">
        <f t="shared" si="102"/>
        <v>3.0883380522928053E-8</v>
      </c>
      <c r="AM159" s="321">
        <f t="shared" si="102"/>
        <v>2.7832440111397183E-8</v>
      </c>
      <c r="AN159" s="321">
        <f t="shared" si="102"/>
        <v>2.7974927501575596E-8</v>
      </c>
      <c r="AO159" s="321">
        <f t="shared" si="102"/>
        <v>2.7313413024046551E-8</v>
      </c>
      <c r="AP159" s="321">
        <f t="shared" si="102"/>
        <v>2.1448642658183915E-8</v>
      </c>
      <c r="AQ159" s="321">
        <f t="shared" si="102"/>
        <v>2.6877291905494374E-8</v>
      </c>
      <c r="AR159" s="321">
        <f t="shared" si="102"/>
        <v>2.2803743366425766E-8</v>
      </c>
      <c r="AS159" s="321">
        <f t="shared" si="102"/>
        <v>2.8047384410756494E-8</v>
      </c>
      <c r="AT159" s="321">
        <f t="shared" si="102"/>
        <v>2.2616368831926416E-8</v>
      </c>
      <c r="AU159" s="321">
        <f t="shared" si="102"/>
        <v>2.1994023042107291E-8</v>
      </c>
      <c r="AV159" s="321">
        <f t="shared" si="102"/>
        <v>2.2407080369754583E-8</v>
      </c>
      <c r="AW159" s="329">
        <f t="shared" si="102"/>
        <v>2.2173903889394219E-8</v>
      </c>
      <c r="AX159" s="329">
        <f t="shared" ref="AX159:BQ159" si="103">(AX70-AW70)*$C$159</f>
        <v>2.4731522114990191E-8</v>
      </c>
      <c r="AY159" s="329">
        <f t="shared" si="103"/>
        <v>2.2089511188566615E-8</v>
      </c>
      <c r="AZ159" s="329">
        <f t="shared" si="103"/>
        <v>2.1714391329835659E-8</v>
      </c>
      <c r="BA159" s="329">
        <f t="shared" si="103"/>
        <v>2.2026989526927056E-8</v>
      </c>
      <c r="BB159" s="329">
        <f t="shared" si="103"/>
        <v>2.184459982781939E-8</v>
      </c>
      <c r="BC159" s="329">
        <f t="shared" si="103"/>
        <v>2.2059210764896477E-8</v>
      </c>
      <c r="BD159" s="329">
        <f t="shared" si="103"/>
        <v>2.0994581824029801E-8</v>
      </c>
      <c r="BE159" s="329">
        <f t="shared" si="103"/>
        <v>2.0844029736816207E-8</v>
      </c>
      <c r="BF159" s="329">
        <f t="shared" si="103"/>
        <v>2.0687183362386176E-8</v>
      </c>
      <c r="BG159" s="329">
        <f t="shared" si="103"/>
        <v>2.0439677269751267E-8</v>
      </c>
      <c r="BH159" s="329">
        <f t="shared" si="103"/>
        <v>2.0113873016078254E-8</v>
      </c>
      <c r="BI159" s="329">
        <f t="shared" si="103"/>
        <v>1.9850079462938043E-8</v>
      </c>
      <c r="BJ159" s="329">
        <f t="shared" si="103"/>
        <v>1.9613347860089616E-8</v>
      </c>
      <c r="BK159" s="329">
        <f t="shared" si="103"/>
        <v>1.9385756004658417E-8</v>
      </c>
      <c r="BL159" s="329">
        <f t="shared" si="103"/>
        <v>1.9109261544955627E-8</v>
      </c>
      <c r="BM159" s="329">
        <f t="shared" si="103"/>
        <v>1.8836030960506233E-8</v>
      </c>
      <c r="BN159" s="329">
        <f t="shared" si="103"/>
        <v>1.8544507704942869E-8</v>
      </c>
      <c r="BO159" s="329">
        <f t="shared" si="103"/>
        <v>1.8296946522014525E-8</v>
      </c>
      <c r="BP159" s="329">
        <f t="shared" si="103"/>
        <v>1.8041738678309384E-8</v>
      </c>
      <c r="BQ159" s="329">
        <f t="shared" si="103"/>
        <v>1.7780095207545199E-8</v>
      </c>
      <c r="BR159" s="246"/>
    </row>
    <row r="160" spans="2:70" x14ac:dyDescent="0.25">
      <c r="B160" s="669"/>
      <c r="C160" s="319">
        <v>9.8290000000000002E-2</v>
      </c>
      <c r="D160" s="670" t="s">
        <v>19</v>
      </c>
      <c r="E160" s="671"/>
      <c r="F160" s="320" t="s">
        <v>354</v>
      </c>
      <c r="G160" s="321" t="s">
        <v>336</v>
      </c>
      <c r="H160" s="321" t="s">
        <v>336</v>
      </c>
      <c r="I160" s="321"/>
      <c r="J160" s="321"/>
      <c r="K160" s="321"/>
      <c r="L160" s="321"/>
      <c r="M160" s="321"/>
      <c r="N160" s="321"/>
      <c r="O160" s="321"/>
      <c r="P160" s="321"/>
      <c r="Q160" s="321">
        <v>4.7886075E-3</v>
      </c>
      <c r="R160" s="336">
        <f t="shared" ref="R160:AW160" si="104">(R72-Q72)*$C$160</f>
        <v>2.0976222904963804E-3</v>
      </c>
      <c r="S160" s="336">
        <f t="shared" si="104"/>
        <v>4.6627063085912819E-4</v>
      </c>
      <c r="T160" s="336">
        <f t="shared" si="104"/>
        <v>4.4211574810333184E-3</v>
      </c>
      <c r="U160" s="336">
        <f t="shared" si="104"/>
        <v>4.5479028637023574E-3</v>
      </c>
      <c r="V160" s="336">
        <f t="shared" si="104"/>
        <v>3.9301197712592649E-3</v>
      </c>
      <c r="W160" s="336">
        <f t="shared" si="104"/>
        <v>4.2031366608237634E-3</v>
      </c>
      <c r="X160" s="336">
        <f t="shared" si="104"/>
        <v>3.2215946965372501E-3</v>
      </c>
      <c r="Y160" s="336">
        <f t="shared" si="104"/>
        <v>2.6805000209044944E-3</v>
      </c>
      <c r="Z160" s="336">
        <f t="shared" si="104"/>
        <v>3.5160598753818328E-3</v>
      </c>
      <c r="AA160" s="336">
        <f t="shared" si="104"/>
        <v>3.005444129403827E-3</v>
      </c>
      <c r="AB160" s="336">
        <f t="shared" si="104"/>
        <v>1.7573203492244308E-3</v>
      </c>
      <c r="AC160" s="336">
        <f t="shared" si="104"/>
        <v>2.050628513961269E-3</v>
      </c>
      <c r="AD160" s="336">
        <f t="shared" si="104"/>
        <v>2.9666526550597406E-3</v>
      </c>
      <c r="AE160" s="336">
        <f t="shared" si="104"/>
        <v>1.9275157520162222E-3</v>
      </c>
      <c r="AF160" s="336">
        <f t="shared" si="104"/>
        <v>2.4687471629048249E-3</v>
      </c>
      <c r="AG160" s="336">
        <f t="shared" si="104"/>
        <v>1.7284480211361339E-3</v>
      </c>
      <c r="AH160" s="336">
        <f t="shared" si="104"/>
        <v>1.8008127936698475E-3</v>
      </c>
      <c r="AI160" s="336">
        <f t="shared" si="104"/>
        <v>2.1622010485146158E-3</v>
      </c>
      <c r="AJ160" s="336">
        <f t="shared" si="104"/>
        <v>1.9355883569533939E-3</v>
      </c>
      <c r="AK160" s="336">
        <f t="shared" si="104"/>
        <v>2.2044337496815261E-3</v>
      </c>
      <c r="AL160" s="336">
        <f t="shared" si="104"/>
        <v>2.7187021564158624E-3</v>
      </c>
      <c r="AM160" s="336">
        <f t="shared" si="104"/>
        <v>2.5573096125222788E-3</v>
      </c>
      <c r="AN160" s="336">
        <f t="shared" si="104"/>
        <v>2.8556750143337553E-3</v>
      </c>
      <c r="AO160" s="336">
        <f t="shared" si="104"/>
        <v>2.9832754005012512E-3</v>
      </c>
      <c r="AP160" s="336">
        <f t="shared" si="104"/>
        <v>2.5276859491596307E-3</v>
      </c>
      <c r="AQ160" s="336">
        <f t="shared" si="104"/>
        <v>3.3754645493132311E-3</v>
      </c>
      <c r="AR160" s="336">
        <f t="shared" si="104"/>
        <v>3.0912495711472258E-3</v>
      </c>
      <c r="AS160" s="336">
        <f t="shared" si="104"/>
        <v>3.8825573176928863E-3</v>
      </c>
      <c r="AT160" s="336">
        <f t="shared" si="104"/>
        <v>3.3608728786326159E-3</v>
      </c>
      <c r="AU160" s="336">
        <f t="shared" si="104"/>
        <v>3.3533980864860228E-3</v>
      </c>
      <c r="AV160" s="336">
        <f t="shared" si="104"/>
        <v>3.4999314350358797E-3</v>
      </c>
      <c r="AW160" s="336">
        <f t="shared" si="104"/>
        <v>3.4843209441149533E-3</v>
      </c>
      <c r="AX160" s="336">
        <f t="shared" ref="AX160:BQ160" si="105">(AX72-AW72)*$C$160</f>
        <v>3.0205040034869267E-3</v>
      </c>
      <c r="AY160" s="336">
        <f t="shared" si="105"/>
        <v>3.1043787790381544E-3</v>
      </c>
      <c r="AZ160" s="336">
        <f t="shared" si="105"/>
        <v>3.1689950923669994E-3</v>
      </c>
      <c r="BA160" s="336">
        <f t="shared" si="105"/>
        <v>3.2540195784101808E-3</v>
      </c>
      <c r="BB160" s="336">
        <f t="shared" si="105"/>
        <v>3.3262706127237304E-3</v>
      </c>
      <c r="BC160" s="336">
        <f t="shared" si="105"/>
        <v>3.3675476198354584E-3</v>
      </c>
      <c r="BD160" s="336">
        <f t="shared" si="105"/>
        <v>3.4230564777848883E-3</v>
      </c>
      <c r="BE160" s="336">
        <f t="shared" si="105"/>
        <v>3.4614977397705816E-3</v>
      </c>
      <c r="BF160" s="336">
        <f t="shared" si="105"/>
        <v>3.4936562172385652E-3</v>
      </c>
      <c r="BG160" s="336">
        <f t="shared" si="105"/>
        <v>3.5601313003899402E-3</v>
      </c>
      <c r="BH160" s="336">
        <f t="shared" si="105"/>
        <v>3.5715688615681647E-3</v>
      </c>
      <c r="BI160" s="336">
        <f t="shared" si="105"/>
        <v>3.6038359823069217E-3</v>
      </c>
      <c r="BJ160" s="336">
        <f t="shared" si="105"/>
        <v>3.5826047945005388E-3</v>
      </c>
      <c r="BK160" s="336">
        <f t="shared" si="105"/>
        <v>3.596664255822717E-3</v>
      </c>
      <c r="BL160" s="336">
        <f t="shared" si="105"/>
        <v>3.6122361545944011E-3</v>
      </c>
      <c r="BM160" s="336">
        <f t="shared" si="105"/>
        <v>3.6185964921583201E-3</v>
      </c>
      <c r="BN160" s="336">
        <f t="shared" si="105"/>
        <v>3.626509230221116E-3</v>
      </c>
      <c r="BO160" s="336">
        <f t="shared" si="105"/>
        <v>3.6675568946696732E-3</v>
      </c>
      <c r="BP160" s="336">
        <f t="shared" si="105"/>
        <v>3.7055862570848971E-3</v>
      </c>
      <c r="BQ160" s="336">
        <f t="shared" si="105"/>
        <v>3.7417356942937318E-3</v>
      </c>
      <c r="BR160" s="246"/>
    </row>
    <row r="161" spans="2:70" x14ac:dyDescent="0.25">
      <c r="B161" s="669"/>
      <c r="C161" s="319">
        <v>5.8290000000000002E-2</v>
      </c>
      <c r="D161" s="670" t="s">
        <v>351</v>
      </c>
      <c r="E161" s="671"/>
      <c r="F161" s="321" t="s">
        <v>354</v>
      </c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>
        <f t="shared" ref="R161:AW161" si="106">(R75-Q75)*$C$161</f>
        <v>2.2262211015104229E-3</v>
      </c>
      <c r="S161" s="321">
        <f t="shared" si="106"/>
        <v>5.3823650731109106E-3</v>
      </c>
      <c r="T161" s="321">
        <f t="shared" si="106"/>
        <v>2.9885382046603301E-3</v>
      </c>
      <c r="U161" s="321">
        <f t="shared" si="106"/>
        <v>2.8726579920843286E-3</v>
      </c>
      <c r="V161" s="321">
        <f t="shared" si="106"/>
        <v>3.1983460614034569E-3</v>
      </c>
      <c r="W161" s="321">
        <f t="shared" si="106"/>
        <v>2.9965477175536818E-3</v>
      </c>
      <c r="X161" s="321">
        <f t="shared" si="106"/>
        <v>3.5392381828357497E-3</v>
      </c>
      <c r="Y161" s="321">
        <f t="shared" si="106"/>
        <v>3.8213472313832824E-3</v>
      </c>
      <c r="Z161" s="321">
        <f t="shared" si="106"/>
        <v>3.2865079771385807E-3</v>
      </c>
      <c r="AA161" s="321">
        <f t="shared" si="106"/>
        <v>3.5513272578384732E-3</v>
      </c>
      <c r="AB161" s="321">
        <f t="shared" si="106"/>
        <v>4.2540609899168712E-3</v>
      </c>
      <c r="AC161" s="321">
        <f t="shared" si="106"/>
        <v>4.0425967405284431E-3</v>
      </c>
      <c r="AD161" s="321">
        <f t="shared" si="106"/>
        <v>3.4618070621868931E-3</v>
      </c>
      <c r="AE161" s="321">
        <f t="shared" si="106"/>
        <v>4.0419963044431477E-3</v>
      </c>
      <c r="AF161" s="321">
        <f t="shared" si="106"/>
        <v>3.6846102868575274E-3</v>
      </c>
      <c r="AG161" s="321">
        <f t="shared" si="106"/>
        <v>4.0882617631700473E-3</v>
      </c>
      <c r="AH161" s="321">
        <f t="shared" si="106"/>
        <v>4.0100184758090733E-3</v>
      </c>
      <c r="AI161" s="321">
        <f t="shared" si="106"/>
        <v>3.7605934383437276E-3</v>
      </c>
      <c r="AJ161" s="321">
        <f t="shared" si="106"/>
        <v>3.8606498900819147E-3</v>
      </c>
      <c r="AK161" s="321">
        <f t="shared" si="106"/>
        <v>3.666956202712767E-3</v>
      </c>
      <c r="AL161" s="321">
        <f t="shared" si="106"/>
        <v>3.3280285799724661E-3</v>
      </c>
      <c r="AM161" s="321">
        <f t="shared" si="106"/>
        <v>3.390448552770561E-3</v>
      </c>
      <c r="AN161" s="321">
        <f t="shared" si="106"/>
        <v>3.1803094390799856E-3</v>
      </c>
      <c r="AO161" s="321">
        <f t="shared" si="106"/>
        <v>3.0718051231076039E-3</v>
      </c>
      <c r="AP161" s="321">
        <f t="shared" si="106"/>
        <v>3.3098196176917613E-3</v>
      </c>
      <c r="AQ161" s="321">
        <f t="shared" si="106"/>
        <v>2.7744996703101855E-3</v>
      </c>
      <c r="AR161" s="321">
        <f t="shared" si="106"/>
        <v>2.9114077142534771E-3</v>
      </c>
      <c r="AS161" s="321">
        <f t="shared" si="106"/>
        <v>2.410218527946064E-3</v>
      </c>
      <c r="AT161" s="321">
        <f t="shared" si="106"/>
        <v>2.6885315728378588E-3</v>
      </c>
      <c r="AU161" s="321">
        <f t="shared" si="106"/>
        <v>2.6619872676782626E-3</v>
      </c>
      <c r="AV161" s="321">
        <f t="shared" si="106"/>
        <v>2.5442531445732911E-3</v>
      </c>
      <c r="AW161" s="321">
        <f t="shared" si="106"/>
        <v>2.5229063308429981E-3</v>
      </c>
      <c r="AX161" s="321">
        <f t="shared" ref="AX161:BQ161" si="107">(AX75-AW75)*$C$161</f>
        <v>2.7675292282510048E-3</v>
      </c>
      <c r="AY161" s="321">
        <f t="shared" si="107"/>
        <v>2.6879743113416054E-3</v>
      </c>
      <c r="AZ161" s="321">
        <f t="shared" si="107"/>
        <v>2.620026129666666E-3</v>
      </c>
      <c r="BA161" s="321">
        <f t="shared" si="107"/>
        <v>2.5402477800421683E-3</v>
      </c>
      <c r="BB161" s="321">
        <f t="shared" si="107"/>
        <v>2.4683811726322661E-3</v>
      </c>
      <c r="BC161" s="321">
        <f t="shared" si="107"/>
        <v>2.4151628289195803E-3</v>
      </c>
      <c r="BD161" s="321">
        <f t="shared" si="107"/>
        <v>2.3538762702746455E-3</v>
      </c>
      <c r="BE161" s="321">
        <f t="shared" si="107"/>
        <v>2.302950183580899E-3</v>
      </c>
      <c r="BF161" s="321">
        <f t="shared" si="107"/>
        <v>2.2560369927339019E-3</v>
      </c>
      <c r="BG161" s="321">
        <f t="shared" si="107"/>
        <v>2.1890590573592377E-3</v>
      </c>
      <c r="BH161" s="321">
        <f t="shared" si="107"/>
        <v>2.1550008008080017E-3</v>
      </c>
      <c r="BI161" s="321">
        <f t="shared" si="107"/>
        <v>2.1088561782811625E-3</v>
      </c>
      <c r="BJ161" s="321">
        <f t="shared" si="107"/>
        <v>2.0947010689540526E-3</v>
      </c>
      <c r="BK161" s="321">
        <f t="shared" si="107"/>
        <v>2.0598753425894066E-3</v>
      </c>
      <c r="BL161" s="321">
        <f t="shared" si="107"/>
        <v>2.0244085170122209E-3</v>
      </c>
      <c r="BM161" s="321">
        <f t="shared" si="107"/>
        <v>1.9946515490578544E-3</v>
      </c>
      <c r="BN161" s="321">
        <f t="shared" si="107"/>
        <v>1.9642164121059032E-3</v>
      </c>
      <c r="BO161" s="321">
        <f t="shared" si="107"/>
        <v>1.9143638969700526E-3</v>
      </c>
      <c r="BP161" s="321">
        <f t="shared" si="107"/>
        <v>1.8665314803069405E-3</v>
      </c>
      <c r="BQ161" s="321">
        <f t="shared" si="107"/>
        <v>1.8200380825281941E-3</v>
      </c>
      <c r="BR161" s="246"/>
    </row>
    <row r="162" spans="2:70" x14ac:dyDescent="0.25">
      <c r="B162" s="669"/>
      <c r="C162" s="319">
        <v>0.1454</v>
      </c>
      <c r="D162" s="670" t="s">
        <v>344</v>
      </c>
      <c r="E162" s="671"/>
      <c r="F162" s="321" t="s">
        <v>354</v>
      </c>
      <c r="G162" s="321" t="s">
        <v>336</v>
      </c>
      <c r="H162" s="321" t="s">
        <v>336</v>
      </c>
      <c r="I162" s="321"/>
      <c r="J162" s="321"/>
      <c r="K162" s="321"/>
      <c r="L162" s="321"/>
      <c r="M162" s="321"/>
      <c r="N162" s="321"/>
      <c r="O162" s="321"/>
      <c r="P162" s="321"/>
      <c r="Q162" s="321">
        <v>2.76903E-3</v>
      </c>
      <c r="R162" s="321">
        <f t="shared" ref="R162:AW162" si="108">(R77-Q77)*$C$162</f>
        <v>-9.8544413799997693E-4</v>
      </c>
      <c r="S162" s="321">
        <f t="shared" si="108"/>
        <v>-1.031031399999994E-3</v>
      </c>
      <c r="T162" s="321">
        <f t="shared" si="108"/>
        <v>-1.031031399999994E-3</v>
      </c>
      <c r="U162" s="321">
        <f t="shared" si="108"/>
        <v>-1.031031399999994E-3</v>
      </c>
      <c r="V162" s="321">
        <f t="shared" si="108"/>
        <v>-1.031031399999994E-3</v>
      </c>
      <c r="W162" s="321">
        <f t="shared" si="108"/>
        <v>-1.0310314000000586E-3</v>
      </c>
      <c r="X162" s="321">
        <f t="shared" si="108"/>
        <v>-1.031031399999994E-3</v>
      </c>
      <c r="Y162" s="321">
        <f t="shared" si="108"/>
        <v>-1.031031399999994E-3</v>
      </c>
      <c r="Z162" s="321">
        <f t="shared" si="108"/>
        <v>-1.031031399999994E-3</v>
      </c>
      <c r="AA162" s="321">
        <f t="shared" si="108"/>
        <v>-1.031031399999994E-3</v>
      </c>
      <c r="AB162" s="321">
        <f t="shared" si="108"/>
        <v>-1.031031399999994E-3</v>
      </c>
      <c r="AC162" s="321">
        <f t="shared" si="108"/>
        <v>-1.031031399999994E-3</v>
      </c>
      <c r="AD162" s="321">
        <f t="shared" si="108"/>
        <v>-1.031031399999994E-3</v>
      </c>
      <c r="AE162" s="321">
        <f t="shared" si="108"/>
        <v>-1.031031399999994E-3</v>
      </c>
      <c r="AF162" s="321">
        <f t="shared" si="108"/>
        <v>-1.031031399999994E-3</v>
      </c>
      <c r="AG162" s="321">
        <f t="shared" si="108"/>
        <v>-1.031031399999994E-3</v>
      </c>
      <c r="AH162" s="321">
        <f t="shared" si="108"/>
        <v>-1.0310314000000586E-3</v>
      </c>
      <c r="AI162" s="321">
        <f t="shared" si="108"/>
        <v>-1.031031399999994E-3</v>
      </c>
      <c r="AJ162" s="321">
        <f t="shared" si="108"/>
        <v>-1.031031399999994E-3</v>
      </c>
      <c r="AK162" s="321">
        <f t="shared" si="108"/>
        <v>-1.031031399999994E-3</v>
      </c>
      <c r="AL162" s="321">
        <f t="shared" si="108"/>
        <v>-1.031031399999994E-3</v>
      </c>
      <c r="AM162" s="321">
        <f t="shared" si="108"/>
        <v>-1.031031399999994E-3</v>
      </c>
      <c r="AN162" s="321">
        <f t="shared" si="108"/>
        <v>-1.031031399999994E-3</v>
      </c>
      <c r="AO162" s="321">
        <f t="shared" si="108"/>
        <v>-1.031031399999994E-3</v>
      </c>
      <c r="AP162" s="321">
        <f t="shared" si="108"/>
        <v>-1.031031399999994E-3</v>
      </c>
      <c r="AQ162" s="321">
        <f t="shared" si="108"/>
        <v>-1.031031399999994E-3</v>
      </c>
      <c r="AR162" s="321">
        <f t="shared" si="108"/>
        <v>-1.031031399999994E-3</v>
      </c>
      <c r="AS162" s="321">
        <f t="shared" si="108"/>
        <v>-1.0310314000000586E-3</v>
      </c>
      <c r="AT162" s="321">
        <f t="shared" si="108"/>
        <v>-1.031031399999994E-3</v>
      </c>
      <c r="AU162" s="321">
        <f t="shared" si="108"/>
        <v>-1.031031399999994E-3</v>
      </c>
      <c r="AV162" s="321">
        <f t="shared" si="108"/>
        <v>-1.031031399999994E-3</v>
      </c>
      <c r="AW162" s="321">
        <f t="shared" si="108"/>
        <v>-1.031031399999994E-3</v>
      </c>
      <c r="AX162" s="321">
        <f t="shared" ref="AX162:BQ162" si="109">(AX77-AW77)*$C$162</f>
        <v>-1.031031399999994E-3</v>
      </c>
      <c r="AY162" s="321">
        <f t="shared" si="109"/>
        <v>-1.031031399999994E-3</v>
      </c>
      <c r="AZ162" s="321">
        <f t="shared" si="109"/>
        <v>-1.031031399999994E-3</v>
      </c>
      <c r="BA162" s="321">
        <f t="shared" si="109"/>
        <v>-1.031031399999994E-3</v>
      </c>
      <c r="BB162" s="321">
        <f t="shared" si="109"/>
        <v>-1.031031399999994E-3</v>
      </c>
      <c r="BC162" s="321">
        <f t="shared" si="109"/>
        <v>-1.0310314000000586E-3</v>
      </c>
      <c r="BD162" s="321">
        <f t="shared" si="109"/>
        <v>-1.031031399999994E-3</v>
      </c>
      <c r="BE162" s="321">
        <f t="shared" si="109"/>
        <v>-1.031031399999994E-3</v>
      </c>
      <c r="BF162" s="321">
        <f t="shared" si="109"/>
        <v>-1.031031399999994E-3</v>
      </c>
      <c r="BG162" s="321">
        <f t="shared" si="109"/>
        <v>-1.031031399999994E-3</v>
      </c>
      <c r="BH162" s="321">
        <f t="shared" si="109"/>
        <v>-1.031031399999994E-3</v>
      </c>
      <c r="BI162" s="321">
        <f t="shared" si="109"/>
        <v>-1.031031399999994E-3</v>
      </c>
      <c r="BJ162" s="321">
        <f t="shared" si="109"/>
        <v>-1.031031399999994E-3</v>
      </c>
      <c r="BK162" s="321">
        <f t="shared" si="109"/>
        <v>-1.031031399999994E-3</v>
      </c>
      <c r="BL162" s="321">
        <f t="shared" si="109"/>
        <v>-1.031031399999994E-3</v>
      </c>
      <c r="BM162" s="321">
        <f t="shared" si="109"/>
        <v>-1.031031399999994E-3</v>
      </c>
      <c r="BN162" s="321">
        <f t="shared" si="109"/>
        <v>-1.0310314000000586E-3</v>
      </c>
      <c r="BO162" s="321">
        <f t="shared" si="109"/>
        <v>-1.031031399999994E-3</v>
      </c>
      <c r="BP162" s="321">
        <f t="shared" si="109"/>
        <v>-1.031031399999994E-3</v>
      </c>
      <c r="BQ162" s="321">
        <f t="shared" si="109"/>
        <v>-1.031031399999994E-3</v>
      </c>
      <c r="BR162" s="246"/>
    </row>
    <row r="163" spans="2:70" x14ac:dyDescent="0.25">
      <c r="B163" s="669"/>
      <c r="C163" s="319">
        <v>3.3999999999999998E-3</v>
      </c>
      <c r="D163" s="670" t="s">
        <v>5</v>
      </c>
      <c r="E163" s="671"/>
      <c r="F163" s="320" t="s">
        <v>354</v>
      </c>
      <c r="G163" s="321" t="s">
        <v>336</v>
      </c>
      <c r="H163" s="321" t="s">
        <v>336</v>
      </c>
      <c r="I163" s="321"/>
      <c r="J163" s="321"/>
      <c r="K163" s="321"/>
      <c r="L163" s="321"/>
      <c r="M163" s="321"/>
      <c r="N163" s="321"/>
      <c r="O163" s="321"/>
      <c r="P163" s="321"/>
      <c r="Q163" s="321">
        <v>4.0815000000000001E-5</v>
      </c>
      <c r="R163" s="336">
        <f t="shared" ref="R163:AW163" si="110">(R79-Q79)*$C$163</f>
        <v>-2.308454006040017E-6</v>
      </c>
      <c r="S163" s="336">
        <f t="shared" si="110"/>
        <v>-2.3052683395117678E-6</v>
      </c>
      <c r="T163" s="336">
        <f t="shared" si="110"/>
        <v>-2.3020870692032845E-6</v>
      </c>
      <c r="U163" s="336">
        <f t="shared" si="110"/>
        <v>-2.2989101890477758E-6</v>
      </c>
      <c r="V163" s="336">
        <f t="shared" si="110"/>
        <v>-2.2957376929867542E-6</v>
      </c>
      <c r="W163" s="336">
        <f t="shared" si="110"/>
        <v>-2.2925695749704154E-6</v>
      </c>
      <c r="X163" s="336">
        <f t="shared" si="110"/>
        <v>-2.2894058289570693E-6</v>
      </c>
      <c r="Y163" s="336">
        <f t="shared" si="110"/>
        <v>-2.2862464489131428E-6</v>
      </c>
      <c r="Z163" s="336">
        <f t="shared" si="110"/>
        <v>-2.2830914288135549E-6</v>
      </c>
      <c r="AA163" s="336">
        <f t="shared" si="110"/>
        <v>-2.2799407626419076E-6</v>
      </c>
      <c r="AB163" s="336">
        <f t="shared" si="110"/>
        <v>-2.2767944443893515E-6</v>
      </c>
      <c r="AC163" s="336">
        <f t="shared" si="110"/>
        <v>-2.2736524680560976E-6</v>
      </c>
      <c r="AD163" s="336">
        <f t="shared" si="110"/>
        <v>-2.2705148276502827E-6</v>
      </c>
      <c r="AE163" s="336">
        <f t="shared" si="110"/>
        <v>-2.2673815171879717E-6</v>
      </c>
      <c r="AF163" s="336">
        <f t="shared" si="110"/>
        <v>-2.2642525306942884E-6</v>
      </c>
      <c r="AG163" s="336">
        <f t="shared" si="110"/>
        <v>-2.2611278622019059E-6</v>
      </c>
      <c r="AH163" s="336">
        <f t="shared" si="110"/>
        <v>-2.2580075057521795E-6</v>
      </c>
      <c r="AI163" s="336">
        <f t="shared" si="110"/>
        <v>-2.2548914553942034E-6</v>
      </c>
      <c r="AJ163" s="336">
        <f t="shared" si="110"/>
        <v>-2.2517797051857524E-6</v>
      </c>
      <c r="AK163" s="336">
        <f t="shared" si="110"/>
        <v>-2.2486722491925291E-6</v>
      </c>
      <c r="AL163" s="336">
        <f t="shared" si="110"/>
        <v>-2.2455690814887297E-6</v>
      </c>
      <c r="AM163" s="336">
        <f t="shared" si="110"/>
        <v>-2.2424701961562873E-6</v>
      </c>
      <c r="AN163" s="336">
        <f t="shared" si="110"/>
        <v>-2.2393755872856303E-6</v>
      </c>
      <c r="AO163" s="336">
        <f t="shared" si="110"/>
        <v>-2.2362852489751115E-6</v>
      </c>
      <c r="AP163" s="336">
        <f t="shared" si="110"/>
        <v>-2.2331991753315792E-6</v>
      </c>
      <c r="AQ163" s="336">
        <f t="shared" si="110"/>
        <v>-2.2301173604696187E-6</v>
      </c>
      <c r="AR163" s="336">
        <f t="shared" si="110"/>
        <v>-2.2270397985121201E-6</v>
      </c>
      <c r="AS163" s="336">
        <f t="shared" si="110"/>
        <v>-2.2239664835900896E-6</v>
      </c>
      <c r="AT163" s="336">
        <f t="shared" si="110"/>
        <v>-2.2208974098428368E-6</v>
      </c>
      <c r="AU163" s="336">
        <f t="shared" si="110"/>
        <v>-2.217832571417222E-6</v>
      </c>
      <c r="AV163" s="336">
        <f t="shared" si="110"/>
        <v>-2.2147719624685978E-6</v>
      </c>
      <c r="AW163" s="336">
        <f t="shared" si="110"/>
        <v>-2.2117155771604336E-6</v>
      </c>
      <c r="AX163" s="336">
        <f t="shared" ref="AX163:BQ163" si="111">(AX79-AW79)*$C$163</f>
        <v>-2.2086634096639356E-6</v>
      </c>
      <c r="AY163" s="336">
        <f t="shared" si="111"/>
        <v>-2.2056154541586159E-6</v>
      </c>
      <c r="AZ163" s="336">
        <f t="shared" si="111"/>
        <v>-2.2025717048319127E-6</v>
      </c>
      <c r="BA163" s="336">
        <f t="shared" si="111"/>
        <v>-2.1995321558791911E-6</v>
      </c>
      <c r="BB163" s="336">
        <f t="shared" si="111"/>
        <v>-2.196496801504122E-6</v>
      </c>
      <c r="BC163" s="336">
        <f t="shared" si="111"/>
        <v>-2.1934656359181124E-6</v>
      </c>
      <c r="BD163" s="336">
        <f t="shared" si="111"/>
        <v>-2.1904386533404985E-6</v>
      </c>
      <c r="BE163" s="336">
        <f t="shared" si="111"/>
        <v>-2.1874158479989191E-6</v>
      </c>
      <c r="BF163" s="336">
        <f t="shared" si="111"/>
        <v>-2.184397214128564E-6</v>
      </c>
      <c r="BG163" s="336">
        <f t="shared" si="111"/>
        <v>-2.181382745973115E-6</v>
      </c>
      <c r="BH163" s="336">
        <f t="shared" si="111"/>
        <v>-2.1783724377836156E-6</v>
      </c>
      <c r="BI163" s="336">
        <f t="shared" si="111"/>
        <v>-2.1753662838196019E-6</v>
      </c>
      <c r="BJ163" s="336">
        <f t="shared" si="111"/>
        <v>-2.1723642783479713E-6</v>
      </c>
      <c r="BK163" s="336">
        <f t="shared" si="111"/>
        <v>-2.1693664156437363E-6</v>
      </c>
      <c r="BL163" s="336">
        <f t="shared" si="111"/>
        <v>-2.1663726899902146E-6</v>
      </c>
      <c r="BM163" s="336">
        <f t="shared" si="111"/>
        <v>-2.1633830956778954E-6</v>
      </c>
      <c r="BN163" s="336">
        <f t="shared" si="111"/>
        <v>-2.1603976270059496E-6</v>
      </c>
      <c r="BO163" s="336">
        <f t="shared" si="111"/>
        <v>-2.1574162782807214E-6</v>
      </c>
      <c r="BP163" s="336">
        <f t="shared" si="111"/>
        <v>-2.1544390438166693E-6</v>
      </c>
      <c r="BQ163" s="336">
        <f t="shared" si="111"/>
        <v>-2.1514659179361793E-6</v>
      </c>
      <c r="BR163" s="246"/>
    </row>
    <row r="164" spans="2:70" x14ac:dyDescent="0.25">
      <c r="B164" s="669"/>
      <c r="C164" s="319">
        <v>1.3899999999999999E-2</v>
      </c>
      <c r="D164" s="670" t="s">
        <v>29</v>
      </c>
      <c r="E164" s="671"/>
      <c r="F164" s="320" t="s">
        <v>354</v>
      </c>
      <c r="G164" s="321" t="s">
        <v>336</v>
      </c>
      <c r="H164" s="321" t="s">
        <v>336</v>
      </c>
      <c r="I164" s="321"/>
      <c r="J164" s="321"/>
      <c r="K164" s="321"/>
      <c r="L164" s="321"/>
      <c r="M164" s="321"/>
      <c r="N164" s="321"/>
      <c r="O164" s="321"/>
      <c r="P164" s="321"/>
      <c r="Q164" s="321">
        <v>1.0251000000000001E-4</v>
      </c>
      <c r="R164" s="336">
        <f t="shared" ref="R164:AW164" si="112">(R84-Q84)*$C$164</f>
        <v>1.8924491502695281E-5</v>
      </c>
      <c r="S164" s="336">
        <f t="shared" si="112"/>
        <v>1.9161761160934698E-5</v>
      </c>
      <c r="T164" s="336">
        <f t="shared" si="112"/>
        <v>1.9402005635734682E-5</v>
      </c>
      <c r="U164" s="336">
        <f t="shared" si="112"/>
        <v>1.9624892591824384E-5</v>
      </c>
      <c r="V164" s="336">
        <f t="shared" si="112"/>
        <v>1.9870688547457543E-5</v>
      </c>
      <c r="W164" s="336">
        <f t="shared" si="112"/>
        <v>2.0119563024490093E-5</v>
      </c>
      <c r="X164" s="336">
        <f t="shared" si="112"/>
        <v>2.0371554580489271E-5</v>
      </c>
      <c r="Y164" s="336">
        <f t="shared" si="112"/>
        <v>2.0626702255943649E-5</v>
      </c>
      <c r="Z164" s="336">
        <f t="shared" si="112"/>
        <v>2.0885045580312895E-5</v>
      </c>
      <c r="AA164" s="336">
        <f t="shared" si="112"/>
        <v>2.1146624578151253E-5</v>
      </c>
      <c r="AB164" s="336">
        <f t="shared" si="112"/>
        <v>2.141147977530891E-5</v>
      </c>
      <c r="AC164" s="336">
        <f t="shared" si="112"/>
        <v>2.1679652205209785E-5</v>
      </c>
      <c r="AD164" s="336">
        <f t="shared" si="112"/>
        <v>2.1951183415209555E-5</v>
      </c>
      <c r="AE164" s="336">
        <f t="shared" si="112"/>
        <v>2.2226115473032381E-5</v>
      </c>
      <c r="AF164" s="336">
        <f t="shared" si="112"/>
        <v>2.2504490973287877E-5</v>
      </c>
      <c r="AG164" s="336">
        <f t="shared" si="112"/>
        <v>2.2786353044070668E-5</v>
      </c>
      <c r="AH164" s="336">
        <f t="shared" si="112"/>
        <v>2.3071745353641308E-5</v>
      </c>
      <c r="AI164" s="336">
        <f t="shared" si="112"/>
        <v>2.3360712117194043E-5</v>
      </c>
      <c r="AJ164" s="336">
        <f t="shared" si="112"/>
        <v>2.3653298103703254E-5</v>
      </c>
      <c r="AK164" s="336">
        <f t="shared" si="112"/>
        <v>2.3949548642862892E-5</v>
      </c>
      <c r="AL164" s="336">
        <f t="shared" si="112"/>
        <v>2.4249509632107316E-5</v>
      </c>
      <c r="AM164" s="336">
        <f t="shared" si="112"/>
        <v>2.4553227543722386E-5</v>
      </c>
      <c r="AN164" s="336">
        <f t="shared" si="112"/>
        <v>2.48607494320461E-5</v>
      </c>
      <c r="AO164" s="336">
        <f t="shared" si="112"/>
        <v>2.5172122940757949E-5</v>
      </c>
      <c r="AP164" s="336">
        <f t="shared" si="112"/>
        <v>2.5487396310260062E-5</v>
      </c>
      <c r="AQ164" s="336">
        <f t="shared" si="112"/>
        <v>2.5806618385151394E-5</v>
      </c>
      <c r="AR164" s="336">
        <f t="shared" si="112"/>
        <v>2.6129838621795217E-5</v>
      </c>
      <c r="AS164" s="336">
        <f t="shared" si="112"/>
        <v>2.6457107095981169E-5</v>
      </c>
      <c r="AT164" s="336">
        <f t="shared" si="112"/>
        <v>2.6788474510682579E-5</v>
      </c>
      <c r="AU164" s="336">
        <f t="shared" si="112"/>
        <v>2.7123992203913341E-5</v>
      </c>
      <c r="AV164" s="336">
        <f t="shared" si="112"/>
        <v>2.7463712156680074E-5</v>
      </c>
      <c r="AW164" s="336">
        <f t="shared" si="112"/>
        <v>2.780768700103651E-5</v>
      </c>
      <c r="AX164" s="336">
        <f t="shared" ref="AX164:BQ164" si="113">(AX84-AW84)*$C$164</f>
        <v>2.815597002823745E-5</v>
      </c>
      <c r="AY164" s="336">
        <f t="shared" si="113"/>
        <v>2.8508615196993756E-5</v>
      </c>
      <c r="AZ164" s="336">
        <f t="shared" si="113"/>
        <v>2.8865677141834645E-5</v>
      </c>
      <c r="BA164" s="336">
        <f t="shared" si="113"/>
        <v>2.9227211181569092E-5</v>
      </c>
      <c r="BB164" s="336">
        <f t="shared" si="113"/>
        <v>2.9593273327858749E-5</v>
      </c>
      <c r="BC164" s="336">
        <f t="shared" si="113"/>
        <v>2.996392029389427E-5</v>
      </c>
      <c r="BD164" s="336">
        <f t="shared" si="113"/>
        <v>3.0339209503182718E-5</v>
      </c>
      <c r="BE164" s="336">
        <f t="shared" si="113"/>
        <v>3.0719199098443029E-5</v>
      </c>
      <c r="BF164" s="336">
        <f t="shared" si="113"/>
        <v>3.1103947950614093E-5</v>
      </c>
      <c r="BG164" s="336">
        <f t="shared" si="113"/>
        <v>3.1493515667977081E-5</v>
      </c>
      <c r="BH164" s="336">
        <f t="shared" si="113"/>
        <v>3.1887962605387688E-5</v>
      </c>
      <c r="BI164" s="336">
        <f t="shared" si="113"/>
        <v>3.228734987362951E-5</v>
      </c>
      <c r="BJ164" s="336">
        <f t="shared" si="113"/>
        <v>3.2691739348880122E-5</v>
      </c>
      <c r="BK164" s="336">
        <f t="shared" si="113"/>
        <v>3.3101193682297102E-5</v>
      </c>
      <c r="BL164" s="336">
        <f t="shared" si="113"/>
        <v>3.3515776309726748E-5</v>
      </c>
      <c r="BM164" s="336">
        <f t="shared" si="113"/>
        <v>3.3935551461528927E-5</v>
      </c>
      <c r="BN164" s="336">
        <f t="shared" si="113"/>
        <v>3.4360584172531166E-5</v>
      </c>
      <c r="BO164" s="336">
        <f t="shared" si="113"/>
        <v>3.4790940292101564E-5</v>
      </c>
      <c r="BP164" s="336">
        <f t="shared" si="113"/>
        <v>3.5226686494352891E-5</v>
      </c>
      <c r="BQ164" s="336">
        <f t="shared" si="113"/>
        <v>3.5667890288470911E-5</v>
      </c>
      <c r="BR164" s="246"/>
    </row>
    <row r="165" spans="2:70" x14ac:dyDescent="0.25">
      <c r="B165" s="324" t="s">
        <v>336</v>
      </c>
      <c r="C165" s="324"/>
      <c r="D165" s="325" t="s">
        <v>336</v>
      </c>
      <c r="E165" s="282" t="s">
        <v>336</v>
      </c>
      <c r="F165" s="326" t="s">
        <v>253</v>
      </c>
      <c r="G165" s="327" t="s">
        <v>336</v>
      </c>
      <c r="H165" s="327" t="s">
        <v>336</v>
      </c>
      <c r="I165" s="327">
        <v>1.15E-2</v>
      </c>
      <c r="J165" s="327" t="s">
        <v>336</v>
      </c>
      <c r="K165" s="327">
        <v>1.15E-2</v>
      </c>
      <c r="L165" s="327" t="s">
        <v>336</v>
      </c>
      <c r="M165" s="327">
        <v>1.15E-2</v>
      </c>
      <c r="N165" s="327" t="s">
        <v>336</v>
      </c>
      <c r="O165" s="327">
        <v>3.46E-3</v>
      </c>
      <c r="P165" s="327" t="s">
        <v>336</v>
      </c>
      <c r="Q165" s="337">
        <f t="shared" ref="Q165:AV165" si="114">SUM(Q160:Q164)</f>
        <v>7.7009625000000002E-3</v>
      </c>
      <c r="R165" s="337">
        <f t="shared" si="114"/>
        <v>3.3550152915034809E-3</v>
      </c>
      <c r="S165" s="337">
        <f t="shared" si="114"/>
        <v>4.8344607967914684E-3</v>
      </c>
      <c r="T165" s="337">
        <f t="shared" si="114"/>
        <v>6.395764204260186E-3</v>
      </c>
      <c r="U165" s="337">
        <f t="shared" si="114"/>
        <v>6.4068554381894686E-3</v>
      </c>
      <c r="V165" s="337">
        <f t="shared" si="114"/>
        <v>6.1150093835171991E-3</v>
      </c>
      <c r="W165" s="337">
        <f t="shared" si="114"/>
        <v>6.1864799718269053E-3</v>
      </c>
      <c r="X165" s="337">
        <f t="shared" si="114"/>
        <v>5.7478836281245373E-3</v>
      </c>
      <c r="Y165" s="337">
        <f t="shared" si="114"/>
        <v>5.4891563080948138E-3</v>
      </c>
      <c r="Z165" s="337">
        <f t="shared" si="114"/>
        <v>5.7901384066719186E-3</v>
      </c>
      <c r="AA165" s="337">
        <f t="shared" si="114"/>
        <v>5.5446066710578149E-3</v>
      </c>
      <c r="AB165" s="337">
        <f t="shared" si="114"/>
        <v>4.9994846244722268E-3</v>
      </c>
      <c r="AC165" s="337">
        <f t="shared" si="114"/>
        <v>5.0815998542268724E-3</v>
      </c>
      <c r="AD165" s="337">
        <f t="shared" si="114"/>
        <v>5.4171089858341985E-3</v>
      </c>
      <c r="AE165" s="337">
        <f t="shared" si="114"/>
        <v>4.9584393904152204E-3</v>
      </c>
      <c r="AF165" s="337">
        <f t="shared" si="114"/>
        <v>5.1425662882049515E-3</v>
      </c>
      <c r="AG165" s="337">
        <f t="shared" si="114"/>
        <v>4.8062036094880566E-3</v>
      </c>
      <c r="AH165" s="337">
        <f t="shared" si="114"/>
        <v>4.800613607326751E-3</v>
      </c>
      <c r="AI165" s="337">
        <f t="shared" si="114"/>
        <v>4.9128689075201501E-3</v>
      </c>
      <c r="AJ165" s="337">
        <f t="shared" si="114"/>
        <v>4.786608365433832E-3</v>
      </c>
      <c r="AK165" s="337">
        <f t="shared" si="114"/>
        <v>4.8620594287879688E-3</v>
      </c>
      <c r="AL165" s="337">
        <f t="shared" si="114"/>
        <v>5.0377032769389528E-3</v>
      </c>
      <c r="AM165" s="337">
        <f t="shared" si="114"/>
        <v>4.9390375226404113E-3</v>
      </c>
      <c r="AN165" s="337">
        <f t="shared" si="114"/>
        <v>5.0275744272585072E-3</v>
      </c>
      <c r="AO165" s="337">
        <f t="shared" si="114"/>
        <v>5.0469849613006441E-3</v>
      </c>
      <c r="AP165" s="337">
        <f t="shared" si="114"/>
        <v>4.8297283639863265E-3</v>
      </c>
      <c r="AQ165" s="337">
        <f t="shared" si="114"/>
        <v>5.1425093206481044E-3</v>
      </c>
      <c r="AR165" s="337">
        <f t="shared" si="114"/>
        <v>4.9955286842239916E-3</v>
      </c>
      <c r="AS165" s="337">
        <f t="shared" si="114"/>
        <v>5.2859775862512818E-3</v>
      </c>
      <c r="AT165" s="337">
        <f t="shared" si="114"/>
        <v>5.042940628571321E-3</v>
      </c>
      <c r="AU165" s="337">
        <f t="shared" si="114"/>
        <v>5.0092601137967877E-3</v>
      </c>
      <c r="AV165" s="337">
        <f t="shared" si="114"/>
        <v>5.0384021198033885E-3</v>
      </c>
      <c r="AW165" s="337">
        <f t="shared" ref="AW165:BQ165" si="115">SUM(AW160:AW164)</f>
        <v>5.0017918463818329E-3</v>
      </c>
      <c r="AX165" s="337">
        <f t="shared" si="115"/>
        <v>4.782949138356511E-3</v>
      </c>
      <c r="AY165" s="337">
        <f t="shared" si="115"/>
        <v>4.7876246901226004E-3</v>
      </c>
      <c r="AZ165" s="337">
        <f t="shared" si="115"/>
        <v>4.7846529274706744E-3</v>
      </c>
      <c r="BA165" s="337">
        <f t="shared" si="115"/>
        <v>4.7902636374780455E-3</v>
      </c>
      <c r="BB165" s="337">
        <f t="shared" si="115"/>
        <v>4.7910171618823581E-3</v>
      </c>
      <c r="BC165" s="337">
        <f t="shared" si="115"/>
        <v>4.7794495034129553E-3</v>
      </c>
      <c r="BD165" s="337">
        <f t="shared" si="115"/>
        <v>4.7740501189093825E-3</v>
      </c>
      <c r="BE165" s="337">
        <f t="shared" si="115"/>
        <v>4.7619483066019307E-3</v>
      </c>
      <c r="BF165" s="337">
        <f t="shared" si="115"/>
        <v>4.7475813607089582E-3</v>
      </c>
      <c r="BG165" s="337">
        <f t="shared" si="115"/>
        <v>4.7474710906711872E-3</v>
      </c>
      <c r="BH165" s="337">
        <f t="shared" si="115"/>
        <v>4.7252478525437762E-3</v>
      </c>
      <c r="BI165" s="337">
        <f t="shared" si="115"/>
        <v>4.7117727441779011E-3</v>
      </c>
      <c r="BJ165" s="337">
        <f t="shared" si="115"/>
        <v>4.6767938385251298E-3</v>
      </c>
      <c r="BK165" s="337">
        <f t="shared" si="115"/>
        <v>4.6564400256787833E-3</v>
      </c>
      <c r="BL165" s="337">
        <f t="shared" si="115"/>
        <v>4.636962675226365E-3</v>
      </c>
      <c r="BM165" s="337">
        <f t="shared" si="115"/>
        <v>4.613988809582031E-3</v>
      </c>
      <c r="BN165" s="337">
        <f t="shared" si="115"/>
        <v>4.5918944288724853E-3</v>
      </c>
      <c r="BO165" s="337">
        <f t="shared" si="115"/>
        <v>4.5835229156535526E-3</v>
      </c>
      <c r="BP165" s="337">
        <f t="shared" si="115"/>
        <v>4.5741585848423794E-3</v>
      </c>
      <c r="BQ165" s="337">
        <f t="shared" si="115"/>
        <v>4.5642588011924673E-3</v>
      </c>
      <c r="BR165" s="246"/>
    </row>
    <row r="166" spans="2:70" x14ac:dyDescent="0.25">
      <c r="B166" s="324" t="s">
        <v>336</v>
      </c>
      <c r="C166" s="324"/>
      <c r="D166" s="325" t="s">
        <v>336</v>
      </c>
      <c r="E166" s="282" t="s">
        <v>336</v>
      </c>
      <c r="F166" s="282" t="s">
        <v>336</v>
      </c>
      <c r="G166" s="330" t="s">
        <v>336</v>
      </c>
      <c r="H166" s="330" t="s">
        <v>336</v>
      </c>
      <c r="I166" s="330" t="s">
        <v>336</v>
      </c>
      <c r="J166" s="330" t="s">
        <v>336</v>
      </c>
      <c r="K166" s="330" t="s">
        <v>336</v>
      </c>
      <c r="L166" s="330" t="s">
        <v>336</v>
      </c>
      <c r="M166" s="330" t="s">
        <v>336</v>
      </c>
      <c r="N166" s="330" t="s">
        <v>336</v>
      </c>
      <c r="O166" s="330" t="s">
        <v>336</v>
      </c>
      <c r="P166" s="330" t="s">
        <v>336</v>
      </c>
      <c r="Q166" s="330" t="s">
        <v>336</v>
      </c>
      <c r="R166" s="330" t="s">
        <v>336</v>
      </c>
      <c r="S166" s="330" t="s">
        <v>336</v>
      </c>
      <c r="T166" s="330" t="s">
        <v>336</v>
      </c>
      <c r="U166" s="330" t="s">
        <v>336</v>
      </c>
      <c r="V166" s="330" t="s">
        <v>336</v>
      </c>
      <c r="W166" s="330" t="s">
        <v>336</v>
      </c>
      <c r="X166" s="330" t="s">
        <v>336</v>
      </c>
      <c r="Y166" s="330" t="s">
        <v>336</v>
      </c>
      <c r="Z166" s="330" t="s">
        <v>336</v>
      </c>
      <c r="AA166" s="330" t="s">
        <v>336</v>
      </c>
      <c r="AB166" s="330" t="s">
        <v>336</v>
      </c>
      <c r="AC166" s="330" t="s">
        <v>336</v>
      </c>
      <c r="AD166" s="330" t="s">
        <v>336</v>
      </c>
      <c r="AE166" s="330" t="s">
        <v>336</v>
      </c>
      <c r="AF166" s="330" t="s">
        <v>336</v>
      </c>
      <c r="AG166" s="330" t="s">
        <v>336</v>
      </c>
      <c r="AH166" s="330" t="s">
        <v>336</v>
      </c>
      <c r="AI166" s="330" t="s">
        <v>336</v>
      </c>
      <c r="AJ166" s="330" t="s">
        <v>336</v>
      </c>
      <c r="AK166" s="330" t="s">
        <v>336</v>
      </c>
      <c r="AL166" s="330" t="s">
        <v>336</v>
      </c>
      <c r="AM166" s="330" t="s">
        <v>336</v>
      </c>
      <c r="AN166" s="330" t="s">
        <v>336</v>
      </c>
      <c r="AO166" s="330" t="s">
        <v>336</v>
      </c>
      <c r="AP166" s="330" t="s">
        <v>336</v>
      </c>
      <c r="AQ166" s="330" t="s">
        <v>336</v>
      </c>
      <c r="AR166" s="330" t="s">
        <v>336</v>
      </c>
      <c r="AS166" s="330" t="s">
        <v>336</v>
      </c>
      <c r="AT166" s="330" t="s">
        <v>336</v>
      </c>
      <c r="AU166" s="330" t="s">
        <v>336</v>
      </c>
      <c r="AV166" s="330" t="s">
        <v>336</v>
      </c>
      <c r="AW166" s="330" t="s">
        <v>336</v>
      </c>
      <c r="AX166" s="330" t="s">
        <v>336</v>
      </c>
      <c r="AY166" s="330"/>
      <c r="AZ166" s="330"/>
      <c r="BA166" s="330"/>
      <c r="BB166" s="330"/>
      <c r="BC166" s="330"/>
      <c r="BD166" s="330"/>
      <c r="BE166" s="330"/>
      <c r="BF166" s="330"/>
      <c r="BG166" s="330"/>
      <c r="BH166" s="330"/>
      <c r="BI166" s="330"/>
      <c r="BJ166" s="330"/>
      <c r="BK166" s="330"/>
      <c r="BL166" s="330"/>
      <c r="BM166" s="330"/>
      <c r="BN166" s="330"/>
      <c r="BO166" s="330"/>
      <c r="BP166" s="330"/>
      <c r="BQ166" s="330"/>
      <c r="BR166" s="246"/>
    </row>
    <row r="167" spans="2:70" ht="15.75" x14ac:dyDescent="0.25">
      <c r="C167" s="259"/>
      <c r="D167" s="243"/>
      <c r="E167" s="282"/>
      <c r="F167" s="248" t="s">
        <v>355</v>
      </c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333"/>
      <c r="S167" s="333"/>
      <c r="T167" s="333"/>
      <c r="U167" s="333"/>
      <c r="V167" s="333"/>
      <c r="W167" s="333"/>
      <c r="X167" s="333"/>
      <c r="Y167" s="333"/>
      <c r="Z167" s="333"/>
      <c r="AA167" s="333"/>
      <c r="AB167" s="333"/>
      <c r="AC167" s="333"/>
      <c r="AD167" s="333"/>
      <c r="AE167" s="333"/>
      <c r="AF167" s="333"/>
      <c r="AG167" s="333"/>
      <c r="AH167" s="333"/>
      <c r="AI167" s="333"/>
      <c r="AJ167" s="333"/>
      <c r="AK167" s="333"/>
      <c r="AL167" s="333"/>
      <c r="AM167" s="333"/>
      <c r="AN167" s="333"/>
      <c r="AO167" s="333"/>
      <c r="AP167" s="333"/>
      <c r="AQ167" s="333"/>
      <c r="AR167" s="333"/>
      <c r="AS167" s="333"/>
      <c r="AT167" s="333"/>
      <c r="AU167" s="333"/>
      <c r="AV167" s="333"/>
      <c r="AW167" s="329"/>
      <c r="AX167" s="329"/>
      <c r="AY167" s="329"/>
      <c r="AZ167" s="329"/>
      <c r="BA167" s="329"/>
      <c r="BB167" s="329"/>
      <c r="BC167" s="329"/>
      <c r="BD167" s="329"/>
      <c r="BE167" s="329"/>
      <c r="BF167" s="329"/>
      <c r="BG167" s="329"/>
      <c r="BH167" s="329"/>
      <c r="BI167" s="329"/>
      <c r="BJ167" s="329"/>
      <c r="BK167" s="329"/>
      <c r="BL167" s="329"/>
      <c r="BM167" s="329"/>
      <c r="BN167" s="329"/>
      <c r="BO167" s="329"/>
      <c r="BP167" s="329"/>
      <c r="BQ167" s="329"/>
      <c r="BR167" s="246"/>
    </row>
    <row r="168" spans="2:70" x14ac:dyDescent="0.25">
      <c r="B168" s="669" t="s">
        <v>340</v>
      </c>
      <c r="C168" s="319">
        <v>0.02</v>
      </c>
      <c r="D168" s="670" t="s">
        <v>341</v>
      </c>
      <c r="E168" s="671"/>
      <c r="F168" s="320" t="s">
        <v>320</v>
      </c>
      <c r="G168" s="321" t="s">
        <v>336</v>
      </c>
      <c r="H168" s="321" t="s">
        <v>336</v>
      </c>
      <c r="I168" s="321">
        <v>0</v>
      </c>
      <c r="J168" s="321" t="s">
        <v>336</v>
      </c>
      <c r="K168" s="321">
        <v>8.0000000000000015E-4</v>
      </c>
      <c r="L168" s="321"/>
      <c r="M168" s="321">
        <v>8.0000000000000015E-4</v>
      </c>
      <c r="N168" s="321"/>
      <c r="O168" s="321">
        <v>2.0500000000000002E-3</v>
      </c>
      <c r="P168" s="321"/>
      <c r="Q168" s="321">
        <v>1.6100000000000001E-3</v>
      </c>
      <c r="R168" s="336">
        <f t="shared" ref="R168:AW168" si="116">(R66)*$C$168</f>
        <v>1.8771509295000045E-3</v>
      </c>
      <c r="S168" s="336">
        <f t="shared" si="116"/>
        <v>1.9432566766332826E-3</v>
      </c>
      <c r="T168" s="336">
        <f t="shared" si="116"/>
        <v>1.9284879258908562E-3</v>
      </c>
      <c r="U168" s="336">
        <f t="shared" si="116"/>
        <v>1.9138314176541016E-3</v>
      </c>
      <c r="V168" s="336">
        <f t="shared" si="116"/>
        <v>1.8992862988799076E-3</v>
      </c>
      <c r="W168" s="336">
        <f t="shared" si="116"/>
        <v>1.8848517230084384E-3</v>
      </c>
      <c r="X168" s="336">
        <f t="shared" si="116"/>
        <v>1.8705268499135742E-3</v>
      </c>
      <c r="Y168" s="336">
        <f t="shared" si="116"/>
        <v>1.8563108458542388E-3</v>
      </c>
      <c r="Z168" s="336">
        <f t="shared" si="116"/>
        <v>1.8422028834257276E-3</v>
      </c>
      <c r="AA168" s="336">
        <f t="shared" si="116"/>
        <v>1.82820214151171E-3</v>
      </c>
      <c r="AB168" s="336">
        <f t="shared" si="116"/>
        <v>1.8143078052361972E-3</v>
      </c>
      <c r="AC168" s="336">
        <f t="shared" si="116"/>
        <v>1.8005190659164327E-3</v>
      </c>
      <c r="AD168" s="336">
        <f t="shared" si="116"/>
        <v>1.7868351210154642E-3</v>
      </c>
      <c r="AE168" s="336">
        <f t="shared" si="116"/>
        <v>1.7732551740957448E-3</v>
      </c>
      <c r="AF168" s="336">
        <f t="shared" si="116"/>
        <v>1.7597784347725921E-3</v>
      </c>
      <c r="AG168" s="336">
        <f t="shared" si="116"/>
        <v>1.7464041186683232E-3</v>
      </c>
      <c r="AH168" s="336">
        <f t="shared" si="116"/>
        <v>1.7331314473664605E-3</v>
      </c>
      <c r="AI168" s="336">
        <f t="shared" si="116"/>
        <v>1.7199596483664693E-3</v>
      </c>
      <c r="AJ168" s="336">
        <f t="shared" si="116"/>
        <v>1.7068879550388872E-3</v>
      </c>
      <c r="AK168" s="336">
        <f t="shared" si="116"/>
        <v>1.6939156065805961E-3</v>
      </c>
      <c r="AL168" s="336">
        <f t="shared" si="116"/>
        <v>1.6810418479705903E-3</v>
      </c>
      <c r="AM168" s="336">
        <f t="shared" si="116"/>
        <v>1.668265929925994E-3</v>
      </c>
      <c r="AN168" s="336">
        <f t="shared" si="116"/>
        <v>1.655587108858576E-3</v>
      </c>
      <c r="AO168" s="336">
        <f t="shared" si="116"/>
        <v>1.6430046468312298E-3</v>
      </c>
      <c r="AP168" s="336">
        <f t="shared" si="116"/>
        <v>1.6305178115153041E-3</v>
      </c>
      <c r="AQ168" s="336">
        <f t="shared" si="116"/>
        <v>1.6181258761477934E-3</v>
      </c>
      <c r="AR168" s="336">
        <f t="shared" si="116"/>
        <v>1.6058281194890967E-3</v>
      </c>
      <c r="AS168" s="336">
        <f t="shared" si="116"/>
        <v>1.593623825780952E-3</v>
      </c>
      <c r="AT168" s="336">
        <f t="shared" si="116"/>
        <v>1.5815122847050134E-3</v>
      </c>
      <c r="AU168" s="336">
        <f t="shared" si="116"/>
        <v>1.5694927913412827E-3</v>
      </c>
      <c r="AV168" s="336">
        <f t="shared" si="116"/>
        <v>1.5575646461270765E-3</v>
      </c>
      <c r="AW168" s="336">
        <f t="shared" si="116"/>
        <v>1.5457271548165253E-3</v>
      </c>
      <c r="AX168" s="336">
        <f t="shared" ref="AX168:BQ168" si="117">(AX66)*$C$168</f>
        <v>1.5339796284398943E-3</v>
      </c>
      <c r="AY168" s="336">
        <f t="shared" si="117"/>
        <v>1.5223213832637583E-3</v>
      </c>
      <c r="AZ168" s="336">
        <f t="shared" si="117"/>
        <v>1.5107517407509619E-3</v>
      </c>
      <c r="BA168" s="336">
        <f t="shared" si="117"/>
        <v>1.4992700275212557E-3</v>
      </c>
      <c r="BB168" s="336">
        <f t="shared" si="117"/>
        <v>1.4878755753120743E-3</v>
      </c>
      <c r="BC168" s="336">
        <f t="shared" si="117"/>
        <v>1.4765677209397055E-3</v>
      </c>
      <c r="BD168" s="336">
        <f t="shared" si="117"/>
        <v>1.4653458062605651E-3</v>
      </c>
      <c r="BE168" s="336">
        <f t="shared" si="117"/>
        <v>1.4542091781330059E-3</v>
      </c>
      <c r="BF168" s="336">
        <f t="shared" si="117"/>
        <v>1.4431571883791962E-3</v>
      </c>
      <c r="BG168" s="336">
        <f t="shared" si="117"/>
        <v>1.4321891937474974E-3</v>
      </c>
      <c r="BH168" s="336">
        <f t="shared" si="117"/>
        <v>1.4213045558750181E-3</v>
      </c>
      <c r="BI168" s="336">
        <f t="shared" si="117"/>
        <v>1.4105026412503819E-3</v>
      </c>
      <c r="BJ168" s="336">
        <f t="shared" si="117"/>
        <v>1.3997828211768848E-3</v>
      </c>
      <c r="BK168" s="336">
        <f t="shared" si="117"/>
        <v>1.3891444717359391E-3</v>
      </c>
      <c r="BL168" s="336">
        <f t="shared" si="117"/>
        <v>1.3785869737507285E-3</v>
      </c>
      <c r="BM168" s="336">
        <f t="shared" si="117"/>
        <v>1.3681097127502184E-3</v>
      </c>
      <c r="BN168" s="336">
        <f t="shared" si="117"/>
        <v>1.3577120789333109E-3</v>
      </c>
      <c r="BO168" s="336">
        <f t="shared" si="117"/>
        <v>1.3473934671334221E-3</v>
      </c>
      <c r="BP168" s="336">
        <f t="shared" si="117"/>
        <v>1.3371532767832051E-3</v>
      </c>
      <c r="BQ168" s="336">
        <f t="shared" si="117"/>
        <v>1.326990911879662E-3</v>
      </c>
      <c r="BR168" s="246"/>
    </row>
    <row r="169" spans="2:70" x14ac:dyDescent="0.25">
      <c r="B169" s="669"/>
      <c r="C169" s="319">
        <v>1.35E-2</v>
      </c>
      <c r="D169" s="670" t="s">
        <v>28</v>
      </c>
      <c r="E169" s="671"/>
      <c r="F169" s="320" t="s">
        <v>320</v>
      </c>
      <c r="G169" s="321" t="s">
        <v>336</v>
      </c>
      <c r="H169" s="321" t="s">
        <v>336</v>
      </c>
      <c r="I169" s="321">
        <v>3.0000000000000001E-5</v>
      </c>
      <c r="J169" s="321" t="s">
        <v>336</v>
      </c>
      <c r="K169" s="321">
        <v>3.0000000000000001E-5</v>
      </c>
      <c r="L169" s="321" t="s">
        <v>336</v>
      </c>
      <c r="M169" s="321">
        <v>3.0000000000000001E-5</v>
      </c>
      <c r="N169" s="321" t="s">
        <v>336</v>
      </c>
      <c r="O169" s="321">
        <v>1.8000000000000001E-4</v>
      </c>
      <c r="P169" s="321" t="s">
        <v>336</v>
      </c>
      <c r="Q169" s="321">
        <v>1.8000000000000001E-4</v>
      </c>
      <c r="R169" s="336">
        <f t="shared" ref="R169:AW169" si="118">(R70-Q70)*$C$169</f>
        <v>1.9936331417599874E-9</v>
      </c>
      <c r="S169" s="336">
        <f t="shared" si="118"/>
        <v>-1.2825707126749991E-6</v>
      </c>
      <c r="T169" s="336">
        <f t="shared" si="118"/>
        <v>6.969764787489105E-7</v>
      </c>
      <c r="U169" s="336">
        <f t="shared" si="118"/>
        <v>4.4451518698786914E-7</v>
      </c>
      <c r="V169" s="336">
        <f t="shared" si="118"/>
        <v>5.105070884717441E-7</v>
      </c>
      <c r="W169" s="336">
        <f t="shared" si="118"/>
        <v>4.9419227000235823E-7</v>
      </c>
      <c r="X169" s="336">
        <f t="shared" si="118"/>
        <v>4.4490647491499114E-7</v>
      </c>
      <c r="Y169" s="336">
        <f t="shared" si="118"/>
        <v>3.790967330463829E-7</v>
      </c>
      <c r="Z169" s="336">
        <f t="shared" si="118"/>
        <v>5.2505805766355636E-7</v>
      </c>
      <c r="AA169" s="336">
        <f t="shared" si="118"/>
        <v>4.6937676578840541E-7</v>
      </c>
      <c r="AB169" s="336">
        <f t="shared" si="118"/>
        <v>3.622528355829435E-7</v>
      </c>
      <c r="AC169" s="336">
        <f t="shared" si="118"/>
        <v>3.9303281795695365E-7</v>
      </c>
      <c r="AD169" s="336">
        <f t="shared" si="118"/>
        <v>5.2280929136594431E-7</v>
      </c>
      <c r="AE169" s="336">
        <f t="shared" si="118"/>
        <v>4.0725387871619334E-7</v>
      </c>
      <c r="AF169" s="336">
        <f t="shared" si="118"/>
        <v>4.7746397395567048E-7</v>
      </c>
      <c r="AG169" s="336">
        <f t="shared" si="118"/>
        <v>3.9092021193383453E-7</v>
      </c>
      <c r="AH169" s="336">
        <f t="shared" si="118"/>
        <v>3.9064931281782012E-7</v>
      </c>
      <c r="AI169" s="336">
        <f t="shared" si="118"/>
        <v>4.2202975119118997E-7</v>
      </c>
      <c r="AJ169" s="336">
        <f t="shared" si="118"/>
        <v>3.7508330089607716E-7</v>
      </c>
      <c r="AK169" s="336">
        <f t="shared" si="118"/>
        <v>3.873328645471255E-7</v>
      </c>
      <c r="AL169" s="336">
        <f t="shared" si="118"/>
        <v>4.1692563705952865E-7</v>
      </c>
      <c r="AM169" s="336">
        <f t="shared" si="118"/>
        <v>3.7573794150386199E-7</v>
      </c>
      <c r="AN169" s="336">
        <f t="shared" si="118"/>
        <v>3.7766152127127058E-7</v>
      </c>
      <c r="AO169" s="336">
        <f t="shared" si="118"/>
        <v>3.6873107582462843E-7</v>
      </c>
      <c r="AP169" s="336">
        <f t="shared" si="118"/>
        <v>2.8955667588548286E-7</v>
      </c>
      <c r="AQ169" s="336">
        <f t="shared" si="118"/>
        <v>3.6284344072417402E-7</v>
      </c>
      <c r="AR169" s="336">
        <f t="shared" si="118"/>
        <v>3.0785053544674786E-7</v>
      </c>
      <c r="AS169" s="336">
        <f t="shared" si="118"/>
        <v>3.7863968954521265E-7</v>
      </c>
      <c r="AT169" s="336">
        <f t="shared" si="118"/>
        <v>3.0532097923100657E-7</v>
      </c>
      <c r="AU169" s="336">
        <f t="shared" si="118"/>
        <v>2.9691931106844844E-7</v>
      </c>
      <c r="AV169" s="336">
        <f t="shared" si="118"/>
        <v>3.0249558499168689E-7</v>
      </c>
      <c r="AW169" s="336">
        <f t="shared" si="118"/>
        <v>2.9934770250682197E-7</v>
      </c>
      <c r="AX169" s="336">
        <f t="shared" ref="AX169:BQ169" si="119">(AX70-AW70)*$C$169</f>
        <v>3.3387554855236757E-7</v>
      </c>
      <c r="AY169" s="336">
        <f t="shared" si="119"/>
        <v>2.982084010456493E-7</v>
      </c>
      <c r="AZ169" s="336">
        <f t="shared" si="119"/>
        <v>2.9314428295278137E-7</v>
      </c>
      <c r="BA169" s="336">
        <f t="shared" si="119"/>
        <v>2.9736435861351522E-7</v>
      </c>
      <c r="BB169" s="336">
        <f t="shared" si="119"/>
        <v>2.9490209767556173E-7</v>
      </c>
      <c r="BC169" s="336">
        <f t="shared" si="119"/>
        <v>2.9779934532610243E-7</v>
      </c>
      <c r="BD169" s="336">
        <f t="shared" si="119"/>
        <v>2.8342685462440232E-7</v>
      </c>
      <c r="BE169" s="336">
        <f t="shared" si="119"/>
        <v>2.8139440144701876E-7</v>
      </c>
      <c r="BF169" s="336">
        <f t="shared" si="119"/>
        <v>2.7927697539221335E-7</v>
      </c>
      <c r="BG169" s="336">
        <f t="shared" si="119"/>
        <v>2.7593564314164211E-7</v>
      </c>
      <c r="BH169" s="336">
        <f t="shared" si="119"/>
        <v>2.7153728571705644E-7</v>
      </c>
      <c r="BI169" s="336">
        <f t="shared" si="119"/>
        <v>2.6797607274966359E-7</v>
      </c>
      <c r="BJ169" s="336">
        <f t="shared" si="119"/>
        <v>2.647801961112098E-7</v>
      </c>
      <c r="BK169" s="336">
        <f t="shared" si="119"/>
        <v>2.6170770606288862E-7</v>
      </c>
      <c r="BL169" s="336">
        <f t="shared" si="119"/>
        <v>2.5797503085690094E-7</v>
      </c>
      <c r="BM169" s="336">
        <f t="shared" si="119"/>
        <v>2.5428641796683417E-7</v>
      </c>
      <c r="BN169" s="336">
        <f t="shared" si="119"/>
        <v>2.5035085401672873E-7</v>
      </c>
      <c r="BO169" s="336">
        <f t="shared" si="119"/>
        <v>2.4700877804719604E-7</v>
      </c>
      <c r="BP169" s="336">
        <f t="shared" si="119"/>
        <v>2.4356347215717664E-7</v>
      </c>
      <c r="BQ169" s="336">
        <f t="shared" si="119"/>
        <v>2.4003128530186016E-7</v>
      </c>
      <c r="BR169" s="246"/>
    </row>
    <row r="170" spans="2:70" x14ac:dyDescent="0.25">
      <c r="B170" s="669"/>
      <c r="C170" s="319">
        <v>0.10920000000000001</v>
      </c>
      <c r="D170" s="670" t="s">
        <v>19</v>
      </c>
      <c r="E170" s="671"/>
      <c r="F170" s="320" t="s">
        <v>320</v>
      </c>
      <c r="G170" s="321" t="s">
        <v>336</v>
      </c>
      <c r="H170" s="321" t="s">
        <v>336</v>
      </c>
      <c r="I170" s="321">
        <v>3.3800000000000002E-3</v>
      </c>
      <c r="J170" s="321" t="s">
        <v>336</v>
      </c>
      <c r="K170" s="321">
        <v>3.3800000000000002E-3</v>
      </c>
      <c r="L170" s="321" t="s">
        <v>336</v>
      </c>
      <c r="M170" s="321">
        <v>3.3800000000000002E-3</v>
      </c>
      <c r="N170" s="321" t="s">
        <v>336</v>
      </c>
      <c r="O170" s="321">
        <v>2.14E-3</v>
      </c>
      <c r="P170" s="321" t="s">
        <v>336</v>
      </c>
      <c r="Q170" s="321">
        <v>5.3200000000000001E-3</v>
      </c>
      <c r="R170" s="336">
        <f t="shared" ref="R170:AW170" si="120">(R72-Q72)*$C$170</f>
        <v>2.3304543099217086E-3</v>
      </c>
      <c r="S170" s="336">
        <f t="shared" si="120"/>
        <v>5.1802576955760305E-4</v>
      </c>
      <c r="T170" s="336">
        <f t="shared" si="120"/>
        <v>4.9118974150863604E-3</v>
      </c>
      <c r="U170" s="336">
        <f t="shared" si="120"/>
        <v>5.0527112902258361E-3</v>
      </c>
      <c r="V170" s="336">
        <f t="shared" si="120"/>
        <v>4.3663554687304075E-3</v>
      </c>
      <c r="W170" s="336">
        <f t="shared" si="120"/>
        <v>4.6696767052798356E-3</v>
      </c>
      <c r="X170" s="336">
        <f t="shared" si="120"/>
        <v>3.5791854803323602E-3</v>
      </c>
      <c r="Y170" s="336">
        <f t="shared" si="120"/>
        <v>2.9780303416702693E-3</v>
      </c>
      <c r="Z170" s="336">
        <f t="shared" si="120"/>
        <v>3.9063357248112331E-3</v>
      </c>
      <c r="AA170" s="336">
        <f t="shared" si="120"/>
        <v>3.3390426180781151E-3</v>
      </c>
      <c r="AB170" s="336">
        <f t="shared" si="120"/>
        <v>1.9523795109910251E-3</v>
      </c>
      <c r="AC170" s="336">
        <f t="shared" si="120"/>
        <v>2.2782443150327659E-3</v>
      </c>
      <c r="AD170" s="336">
        <f t="shared" si="120"/>
        <v>3.295945365067898E-3</v>
      </c>
      <c r="AE170" s="336">
        <f t="shared" si="120"/>
        <v>2.1414662744955893E-3</v>
      </c>
      <c r="AF170" s="336">
        <f t="shared" si="120"/>
        <v>2.7427733257626096E-3</v>
      </c>
      <c r="AG170" s="336">
        <f t="shared" si="120"/>
        <v>1.9203024102967324E-3</v>
      </c>
      <c r="AH170" s="336">
        <f t="shared" si="120"/>
        <v>2.0006995326965851E-3</v>
      </c>
      <c r="AI170" s="336">
        <f t="shared" si="120"/>
        <v>2.4022011852456613E-3</v>
      </c>
      <c r="AJ170" s="336">
        <f t="shared" si="120"/>
        <v>2.1504349229759957E-3</v>
      </c>
      <c r="AK170" s="336">
        <f t="shared" si="120"/>
        <v>2.4491216346039543E-3</v>
      </c>
      <c r="AL170" s="336">
        <f t="shared" si="120"/>
        <v>3.020472840376561E-3</v>
      </c>
      <c r="AM170" s="336">
        <f t="shared" si="120"/>
        <v>2.8411660360914931E-3</v>
      </c>
      <c r="AN170" s="336">
        <f t="shared" si="120"/>
        <v>3.1726494207472387E-3</v>
      </c>
      <c r="AO170" s="336">
        <f t="shared" si="120"/>
        <v>3.3144132031207307E-3</v>
      </c>
      <c r="AP170" s="336">
        <f t="shared" si="120"/>
        <v>2.8082542033597687E-3</v>
      </c>
      <c r="AQ170" s="336">
        <f t="shared" si="120"/>
        <v>3.7501345893275499E-3</v>
      </c>
      <c r="AR170" s="336">
        <f t="shared" si="120"/>
        <v>3.4343722979883716E-3</v>
      </c>
      <c r="AS170" s="336">
        <f t="shared" si="120"/>
        <v>4.3135136747590105E-3</v>
      </c>
      <c r="AT170" s="336">
        <f t="shared" si="120"/>
        <v>3.7339232714078915E-3</v>
      </c>
      <c r="AU170" s="336">
        <f t="shared" si="120"/>
        <v>3.7256187917822127E-3</v>
      </c>
      <c r="AV170" s="336">
        <f t="shared" si="120"/>
        <v>3.8884170587640461E-3</v>
      </c>
      <c r="AW170" s="336">
        <f t="shared" si="120"/>
        <v>3.8710738335268379E-3</v>
      </c>
      <c r="AX170" s="336">
        <f t="shared" ref="AX170:BQ170" si="121">(AX72-AW72)*$C$170</f>
        <v>3.3557741090728698E-3</v>
      </c>
      <c r="AY170" s="336">
        <f t="shared" si="121"/>
        <v>3.4489588225757096E-3</v>
      </c>
      <c r="AZ170" s="336">
        <f t="shared" si="121"/>
        <v>3.520747421777153E-3</v>
      </c>
      <c r="BA170" s="336">
        <f t="shared" si="121"/>
        <v>3.6152094614140986E-3</v>
      </c>
      <c r="BB170" s="336">
        <f t="shared" si="121"/>
        <v>3.6954802208712116E-3</v>
      </c>
      <c r="BC170" s="336">
        <f t="shared" si="121"/>
        <v>3.7413388959816061E-3</v>
      </c>
      <c r="BD170" s="336">
        <f t="shared" si="121"/>
        <v>3.8030091298617338E-3</v>
      </c>
      <c r="BE170" s="336">
        <f t="shared" si="121"/>
        <v>3.8457172976187558E-3</v>
      </c>
      <c r="BF170" s="336">
        <f t="shared" si="121"/>
        <v>3.8814453039215718E-3</v>
      </c>
      <c r="BG170" s="336">
        <f t="shared" si="121"/>
        <v>3.9552989928027414E-3</v>
      </c>
      <c r="BH170" s="336">
        <f t="shared" si="121"/>
        <v>3.9680061011623117E-3</v>
      </c>
      <c r="BI170" s="336">
        <f t="shared" si="121"/>
        <v>4.0038548099289436E-3</v>
      </c>
      <c r="BJ170" s="336">
        <f t="shared" si="121"/>
        <v>3.9802670013171114E-3</v>
      </c>
      <c r="BK170" s="336">
        <f t="shared" si="121"/>
        <v>3.9958870356683355E-3</v>
      </c>
      <c r="BL170" s="336">
        <f t="shared" si="121"/>
        <v>4.013187385102336E-3</v>
      </c>
      <c r="BM170" s="336">
        <f t="shared" si="121"/>
        <v>4.0202537078409661E-3</v>
      </c>
      <c r="BN170" s="336">
        <f t="shared" si="121"/>
        <v>4.0290447445329725E-3</v>
      </c>
      <c r="BO170" s="336">
        <f t="shared" si="121"/>
        <v>4.0746486203879165E-3</v>
      </c>
      <c r="BP170" s="336">
        <f t="shared" si="121"/>
        <v>4.1168991685183714E-3</v>
      </c>
      <c r="BQ170" s="336">
        <f t="shared" si="121"/>
        <v>4.157061123378528E-3</v>
      </c>
      <c r="BR170" s="246"/>
    </row>
    <row r="171" spans="2:70" x14ac:dyDescent="0.25">
      <c r="B171" s="669"/>
      <c r="C171" s="319">
        <v>0.10920000000000001</v>
      </c>
      <c r="D171" s="670" t="s">
        <v>351</v>
      </c>
      <c r="E171" s="671"/>
      <c r="F171" s="321" t="s">
        <v>320</v>
      </c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>
        <f t="shared" ref="R171:AW171" si="122">(R75-Q75)*$C$171</f>
        <v>4.1705840501790733E-3</v>
      </c>
      <c r="S171" s="321">
        <f t="shared" si="122"/>
        <v>1.0083277851839276E-2</v>
      </c>
      <c r="T171" s="321">
        <f t="shared" si="122"/>
        <v>5.5987025553080813E-3</v>
      </c>
      <c r="U171" s="321">
        <f t="shared" si="122"/>
        <v>5.3816135312336364E-3</v>
      </c>
      <c r="V171" s="321">
        <f t="shared" si="122"/>
        <v>5.991754844832004E-3</v>
      </c>
      <c r="W171" s="321">
        <f t="shared" si="122"/>
        <v>5.6137075099821935E-3</v>
      </c>
      <c r="X171" s="321">
        <f t="shared" si="122"/>
        <v>6.6303793028935302E-3</v>
      </c>
      <c r="Y171" s="321">
        <f t="shared" si="122"/>
        <v>7.1588800423238027E-3</v>
      </c>
      <c r="Z171" s="321">
        <f t="shared" si="122"/>
        <v>6.1569166427094361E-3</v>
      </c>
      <c r="AA171" s="321">
        <f t="shared" si="122"/>
        <v>6.6530268752094919E-3</v>
      </c>
      <c r="AB171" s="321">
        <f t="shared" si="122"/>
        <v>7.9695223897567734E-3</v>
      </c>
      <c r="AC171" s="321">
        <f t="shared" si="122"/>
        <v>7.5733670280615194E-3</v>
      </c>
      <c r="AD171" s="321">
        <f t="shared" si="122"/>
        <v>6.4853204870613957E-3</v>
      </c>
      <c r="AE171" s="321">
        <f t="shared" si="122"/>
        <v>7.5722421761055371E-3</v>
      </c>
      <c r="AF171" s="321">
        <f t="shared" si="122"/>
        <v>6.9027181905102417E-3</v>
      </c>
      <c r="AG171" s="321">
        <f t="shared" si="122"/>
        <v>7.6589155007405936E-3</v>
      </c>
      <c r="AH171" s="321">
        <f t="shared" si="122"/>
        <v>7.5123351785615156E-3</v>
      </c>
      <c r="AI171" s="321">
        <f t="shared" si="122"/>
        <v>7.0450643929856763E-3</v>
      </c>
      <c r="AJ171" s="321">
        <f t="shared" si="122"/>
        <v>7.2325093154390991E-3</v>
      </c>
      <c r="AK171" s="321">
        <f t="shared" si="122"/>
        <v>6.8696451764665321E-3</v>
      </c>
      <c r="AL171" s="321">
        <f t="shared" si="122"/>
        <v>6.2347009938753355E-3</v>
      </c>
      <c r="AM171" s="321">
        <f t="shared" si="122"/>
        <v>6.3516380504811338E-3</v>
      </c>
      <c r="AN171" s="321">
        <f t="shared" si="122"/>
        <v>5.9579651869537563E-3</v>
      </c>
      <c r="AO171" s="321">
        <f t="shared" si="122"/>
        <v>5.7546941060790937E-3</v>
      </c>
      <c r="AP171" s="321">
        <f t="shared" si="122"/>
        <v>6.2005884757581117E-3</v>
      </c>
      <c r="AQ171" s="321">
        <f t="shared" si="122"/>
        <v>5.1977245496289638E-3</v>
      </c>
      <c r="AR171" s="321">
        <f t="shared" si="122"/>
        <v>5.4542069376647745E-3</v>
      </c>
      <c r="AS171" s="321">
        <f t="shared" si="122"/>
        <v>4.5152832947625695E-3</v>
      </c>
      <c r="AT171" s="321">
        <f t="shared" si="122"/>
        <v>5.036672632593827E-3</v>
      </c>
      <c r="AU171" s="321">
        <f t="shared" si="122"/>
        <v>4.9869447526242287E-3</v>
      </c>
      <c r="AV171" s="321">
        <f t="shared" si="122"/>
        <v>4.7663826280220176E-3</v>
      </c>
      <c r="AW171" s="321">
        <f t="shared" si="122"/>
        <v>4.7263916851613547E-3</v>
      </c>
      <c r="AX171" s="321">
        <f t="shared" ref="AX171:BQ171" si="123">(AX75-AW75)*$C$171</f>
        <v>5.1846661815922067E-3</v>
      </c>
      <c r="AY171" s="321">
        <f t="shared" si="123"/>
        <v>5.035628663552982E-3</v>
      </c>
      <c r="AZ171" s="321">
        <f t="shared" si="123"/>
        <v>4.9083351065294205E-3</v>
      </c>
      <c r="BA171" s="321">
        <f t="shared" si="123"/>
        <v>4.7588790115046286E-3</v>
      </c>
      <c r="BB171" s="321">
        <f t="shared" si="123"/>
        <v>4.6242447083795412E-3</v>
      </c>
      <c r="BC171" s="321">
        <f t="shared" si="123"/>
        <v>4.5245459069826414E-3</v>
      </c>
      <c r="BD171" s="321">
        <f t="shared" si="123"/>
        <v>4.4097321790013948E-3</v>
      </c>
      <c r="BE171" s="321">
        <f t="shared" si="123"/>
        <v>4.314327672791802E-3</v>
      </c>
      <c r="BF171" s="321">
        <f t="shared" si="123"/>
        <v>4.2264408922035009E-3</v>
      </c>
      <c r="BG171" s="321">
        <f t="shared" si="123"/>
        <v>4.1009649865093286E-3</v>
      </c>
      <c r="BH171" s="321">
        <f t="shared" si="123"/>
        <v>4.03716053265112E-3</v>
      </c>
      <c r="BI171" s="321">
        <f t="shared" si="123"/>
        <v>3.9507135815457697E-3</v>
      </c>
      <c r="BJ171" s="321">
        <f t="shared" si="123"/>
        <v>3.9241955177523168E-3</v>
      </c>
      <c r="BK171" s="321">
        <f t="shared" si="123"/>
        <v>3.8589532923445397E-3</v>
      </c>
      <c r="BL171" s="321">
        <f t="shared" si="123"/>
        <v>3.7925100370172333E-3</v>
      </c>
      <c r="BM171" s="321">
        <f t="shared" si="123"/>
        <v>3.736763581353881E-3</v>
      </c>
      <c r="BN171" s="321">
        <f t="shared" si="123"/>
        <v>3.6797466495447693E-3</v>
      </c>
      <c r="BO171" s="321">
        <f t="shared" si="123"/>
        <v>3.5863533633407056E-3</v>
      </c>
      <c r="BP171" s="321">
        <f t="shared" si="123"/>
        <v>3.4967445127726524E-3</v>
      </c>
      <c r="BQ171" s="321">
        <f t="shared" si="123"/>
        <v>3.4096441690183361E-3</v>
      </c>
      <c r="BR171" s="246"/>
    </row>
    <row r="172" spans="2:70" x14ac:dyDescent="0.25">
      <c r="B172" s="669"/>
      <c r="C172" s="319">
        <v>5.0900000000000001E-2</v>
      </c>
      <c r="D172" s="670" t="s">
        <v>344</v>
      </c>
      <c r="E172" s="671"/>
      <c r="F172" s="321" t="s">
        <v>320</v>
      </c>
      <c r="G172" s="321" t="s">
        <v>336</v>
      </c>
      <c r="H172" s="321" t="s">
        <v>336</v>
      </c>
      <c r="I172" s="321">
        <v>1.16E-3</v>
      </c>
      <c r="J172" s="321" t="s">
        <v>336</v>
      </c>
      <c r="K172" s="321">
        <v>1.16E-3</v>
      </c>
      <c r="L172" s="321" t="s">
        <v>336</v>
      </c>
      <c r="M172" s="321">
        <v>1.16E-3</v>
      </c>
      <c r="N172" s="321" t="s">
        <v>336</v>
      </c>
      <c r="O172" s="321">
        <v>2.4199999999999998E-3</v>
      </c>
      <c r="P172" s="321" t="s">
        <v>336</v>
      </c>
      <c r="Q172" s="321">
        <v>9.7000000000000005E-4</v>
      </c>
      <c r="R172" s="321">
        <f t="shared" ref="R172:AW172" si="124">(R77-Q77)*$C$172</f>
        <v>-3.4497322299999195E-4</v>
      </c>
      <c r="S172" s="321">
        <f t="shared" si="124"/>
        <v>-3.6093189999999791E-4</v>
      </c>
      <c r="T172" s="321">
        <f t="shared" si="124"/>
        <v>-3.6093189999999791E-4</v>
      </c>
      <c r="U172" s="321">
        <f t="shared" si="124"/>
        <v>-3.6093189999999791E-4</v>
      </c>
      <c r="V172" s="321">
        <f t="shared" si="124"/>
        <v>-3.6093189999999791E-4</v>
      </c>
      <c r="W172" s="321">
        <f t="shared" si="124"/>
        <v>-3.6093190000002052E-4</v>
      </c>
      <c r="X172" s="321">
        <f t="shared" si="124"/>
        <v>-3.6093189999999791E-4</v>
      </c>
      <c r="Y172" s="321">
        <f t="shared" si="124"/>
        <v>-3.6093189999999791E-4</v>
      </c>
      <c r="Z172" s="321">
        <f t="shared" si="124"/>
        <v>-3.6093189999999791E-4</v>
      </c>
      <c r="AA172" s="321">
        <f t="shared" si="124"/>
        <v>-3.6093189999999791E-4</v>
      </c>
      <c r="AB172" s="321">
        <f t="shared" si="124"/>
        <v>-3.6093189999999791E-4</v>
      </c>
      <c r="AC172" s="321">
        <f t="shared" si="124"/>
        <v>-3.6093189999999791E-4</v>
      </c>
      <c r="AD172" s="321">
        <f t="shared" si="124"/>
        <v>-3.6093189999999791E-4</v>
      </c>
      <c r="AE172" s="321">
        <f t="shared" si="124"/>
        <v>-3.6093189999999791E-4</v>
      </c>
      <c r="AF172" s="321">
        <f t="shared" si="124"/>
        <v>-3.6093189999999791E-4</v>
      </c>
      <c r="AG172" s="321">
        <f t="shared" si="124"/>
        <v>-3.6093189999999791E-4</v>
      </c>
      <c r="AH172" s="321">
        <f t="shared" si="124"/>
        <v>-3.6093190000002052E-4</v>
      </c>
      <c r="AI172" s="321">
        <f t="shared" si="124"/>
        <v>-3.6093189999999791E-4</v>
      </c>
      <c r="AJ172" s="321">
        <f t="shared" si="124"/>
        <v>-3.6093189999999791E-4</v>
      </c>
      <c r="AK172" s="321">
        <f t="shared" si="124"/>
        <v>-3.6093189999999791E-4</v>
      </c>
      <c r="AL172" s="321">
        <f t="shared" si="124"/>
        <v>-3.6093189999999791E-4</v>
      </c>
      <c r="AM172" s="321">
        <f t="shared" si="124"/>
        <v>-3.6093189999999791E-4</v>
      </c>
      <c r="AN172" s="321">
        <f t="shared" si="124"/>
        <v>-3.6093189999999791E-4</v>
      </c>
      <c r="AO172" s="321">
        <f t="shared" si="124"/>
        <v>-3.6093189999999791E-4</v>
      </c>
      <c r="AP172" s="321">
        <f t="shared" si="124"/>
        <v>-3.6093189999999791E-4</v>
      </c>
      <c r="AQ172" s="321">
        <f t="shared" si="124"/>
        <v>-3.6093189999999791E-4</v>
      </c>
      <c r="AR172" s="321">
        <f t="shared" si="124"/>
        <v>-3.6093189999999791E-4</v>
      </c>
      <c r="AS172" s="321">
        <f t="shared" si="124"/>
        <v>-3.6093190000002052E-4</v>
      </c>
      <c r="AT172" s="321">
        <f t="shared" si="124"/>
        <v>-3.6093189999999791E-4</v>
      </c>
      <c r="AU172" s="321">
        <f t="shared" si="124"/>
        <v>-3.6093189999999791E-4</v>
      </c>
      <c r="AV172" s="321">
        <f t="shared" si="124"/>
        <v>-3.6093189999999791E-4</v>
      </c>
      <c r="AW172" s="321">
        <f t="shared" si="124"/>
        <v>-3.6093189999999791E-4</v>
      </c>
      <c r="AX172" s="321">
        <f t="shared" ref="AX172:BQ172" si="125">(AX77-AW77)*$C$172</f>
        <v>-3.6093189999999791E-4</v>
      </c>
      <c r="AY172" s="321">
        <f t="shared" si="125"/>
        <v>-3.6093189999999791E-4</v>
      </c>
      <c r="AZ172" s="321">
        <f t="shared" si="125"/>
        <v>-3.6093189999999791E-4</v>
      </c>
      <c r="BA172" s="321">
        <f t="shared" si="125"/>
        <v>-3.6093189999999791E-4</v>
      </c>
      <c r="BB172" s="321">
        <f t="shared" si="125"/>
        <v>-3.6093189999999791E-4</v>
      </c>
      <c r="BC172" s="321">
        <f t="shared" si="125"/>
        <v>-3.6093190000002052E-4</v>
      </c>
      <c r="BD172" s="321">
        <f t="shared" si="125"/>
        <v>-3.6093189999999791E-4</v>
      </c>
      <c r="BE172" s="321">
        <f t="shared" si="125"/>
        <v>-3.6093189999999791E-4</v>
      </c>
      <c r="BF172" s="321">
        <f t="shared" si="125"/>
        <v>-3.6093189999999791E-4</v>
      </c>
      <c r="BG172" s="321">
        <f t="shared" si="125"/>
        <v>-3.6093189999999791E-4</v>
      </c>
      <c r="BH172" s="321">
        <f t="shared" si="125"/>
        <v>-3.6093189999999791E-4</v>
      </c>
      <c r="BI172" s="321">
        <f t="shared" si="125"/>
        <v>-3.6093189999999791E-4</v>
      </c>
      <c r="BJ172" s="321">
        <f t="shared" si="125"/>
        <v>-3.6093189999999791E-4</v>
      </c>
      <c r="BK172" s="321">
        <f t="shared" si="125"/>
        <v>-3.6093189999999791E-4</v>
      </c>
      <c r="BL172" s="321">
        <f t="shared" si="125"/>
        <v>-3.6093189999999791E-4</v>
      </c>
      <c r="BM172" s="321">
        <f t="shared" si="125"/>
        <v>-3.6093189999999791E-4</v>
      </c>
      <c r="BN172" s="321">
        <f t="shared" si="125"/>
        <v>-3.6093190000002052E-4</v>
      </c>
      <c r="BO172" s="321">
        <f t="shared" si="125"/>
        <v>-3.6093189999999791E-4</v>
      </c>
      <c r="BP172" s="321">
        <f t="shared" si="125"/>
        <v>-3.6093189999999791E-4</v>
      </c>
      <c r="BQ172" s="321">
        <f t="shared" si="125"/>
        <v>-3.6093189999999791E-4</v>
      </c>
      <c r="BR172" s="246"/>
    </row>
    <row r="173" spans="2:70" x14ac:dyDescent="0.25">
      <c r="B173" s="669"/>
      <c r="C173" s="319">
        <v>0.34710000000000002</v>
      </c>
      <c r="D173" s="670" t="s">
        <v>5</v>
      </c>
      <c r="E173" s="671"/>
      <c r="F173" s="320" t="s">
        <v>320</v>
      </c>
      <c r="G173" s="321" t="s">
        <v>336</v>
      </c>
      <c r="H173" s="321" t="s">
        <v>336</v>
      </c>
      <c r="I173" s="321">
        <v>1.8E-3</v>
      </c>
      <c r="J173" s="321" t="s">
        <v>336</v>
      </c>
      <c r="K173" s="321">
        <v>1.8E-3</v>
      </c>
      <c r="L173" s="321" t="s">
        <v>336</v>
      </c>
      <c r="M173" s="321">
        <v>1.8E-3</v>
      </c>
      <c r="N173" s="321" t="s">
        <v>336</v>
      </c>
      <c r="O173" s="321">
        <v>1.0300000000000001E-3</v>
      </c>
      <c r="P173" s="321" t="s">
        <v>336</v>
      </c>
      <c r="Q173" s="321">
        <v>4.2100000000000002E-3</v>
      </c>
      <c r="R173" s="336">
        <f t="shared" ref="R173:AW173" si="126">(R79-Q79)*$C$173</f>
        <v>-2.3566599573426175E-4</v>
      </c>
      <c r="S173" s="336">
        <f t="shared" si="126"/>
        <v>-2.3534077666015725E-4</v>
      </c>
      <c r="T173" s="336">
        <f t="shared" si="126"/>
        <v>-2.3501600638837063E-4</v>
      </c>
      <c r="U173" s="336">
        <f t="shared" si="126"/>
        <v>-2.3469168429955385E-4</v>
      </c>
      <c r="V173" s="336">
        <f t="shared" si="126"/>
        <v>-2.3436780977520663E-4</v>
      </c>
      <c r="W173" s="336">
        <f t="shared" si="126"/>
        <v>-2.3404438219771508E-4</v>
      </c>
      <c r="X173" s="336">
        <f t="shared" si="126"/>
        <v>-2.3372140095029379E-4</v>
      </c>
      <c r="Y173" s="336">
        <f t="shared" si="126"/>
        <v>-2.3339886541698585E-4</v>
      </c>
      <c r="Z173" s="336">
        <f t="shared" si="126"/>
        <v>-2.3307677498270147E-4</v>
      </c>
      <c r="AA173" s="336">
        <f t="shared" si="126"/>
        <v>-2.3275512903323713E-4</v>
      </c>
      <c r="AB173" s="336">
        <f t="shared" si="126"/>
        <v>-2.3243392695516E-4</v>
      </c>
      <c r="AC173" s="336">
        <f t="shared" si="126"/>
        <v>-2.3211316813596223E-4</v>
      </c>
      <c r="AD173" s="336">
        <f t="shared" si="126"/>
        <v>-2.3179285196394506E-4</v>
      </c>
      <c r="AE173" s="336">
        <f t="shared" si="126"/>
        <v>-2.3147297782821915E-4</v>
      </c>
      <c r="AF173" s="336">
        <f t="shared" si="126"/>
        <v>-2.3115354511881988E-4</v>
      </c>
      <c r="AG173" s="336">
        <f t="shared" si="126"/>
        <v>-2.3083455322655343E-4</v>
      </c>
      <c r="AH173" s="336">
        <f t="shared" si="126"/>
        <v>-2.3051600154311224E-4</v>
      </c>
      <c r="AI173" s="336">
        <f t="shared" si="126"/>
        <v>-2.3019788946097885E-4</v>
      </c>
      <c r="AJ173" s="336">
        <f t="shared" si="126"/>
        <v>-2.2988021637352198E-4</v>
      </c>
      <c r="AK173" s="336">
        <f t="shared" si="126"/>
        <v>-2.2956298167491971E-4</v>
      </c>
      <c r="AL173" s="336">
        <f t="shared" si="126"/>
        <v>-2.2924618476021709E-4</v>
      </c>
      <c r="AM173" s="336">
        <f t="shared" si="126"/>
        <v>-2.2892982502524927E-4</v>
      </c>
      <c r="AN173" s="336">
        <f t="shared" si="126"/>
        <v>-2.2861390186671831E-4</v>
      </c>
      <c r="AO173" s="336">
        <f t="shared" si="126"/>
        <v>-2.2829841468213568E-4</v>
      </c>
      <c r="AP173" s="336">
        <f t="shared" si="126"/>
        <v>-2.2798336286987978E-4</v>
      </c>
      <c r="AQ173" s="336">
        <f t="shared" si="126"/>
        <v>-2.2766874582911905E-4</v>
      </c>
      <c r="AR173" s="336">
        <f t="shared" si="126"/>
        <v>-2.2735456295986973E-4</v>
      </c>
      <c r="AS173" s="336">
        <f t="shared" si="126"/>
        <v>-2.2704081366297651E-4</v>
      </c>
      <c r="AT173" s="336">
        <f t="shared" si="126"/>
        <v>-2.2672749734013197E-4</v>
      </c>
      <c r="AU173" s="336">
        <f t="shared" si="126"/>
        <v>-2.2641461339379935E-4</v>
      </c>
      <c r="AV173" s="336">
        <f t="shared" si="126"/>
        <v>-2.2610216122730895E-4</v>
      </c>
      <c r="AW173" s="336">
        <f t="shared" si="126"/>
        <v>-2.2579014024481957E-4</v>
      </c>
      <c r="AX173" s="336">
        <f t="shared" ref="AX173:BQ173" si="127">(AX79-AW79)*$C$173</f>
        <v>-2.2547854985128002E-4</v>
      </c>
      <c r="AY173" s="336">
        <f t="shared" si="127"/>
        <v>-2.2516738945248696E-4</v>
      </c>
      <c r="AZ173" s="336">
        <f t="shared" si="127"/>
        <v>-2.2485665845504616E-4</v>
      </c>
      <c r="BA173" s="336">
        <f t="shared" si="127"/>
        <v>-2.2454635626637277E-4</v>
      </c>
      <c r="BB173" s="336">
        <f t="shared" si="127"/>
        <v>-2.2423648229472965E-4</v>
      </c>
      <c r="BC173" s="336">
        <f t="shared" si="127"/>
        <v>-2.2392703594916968E-4</v>
      </c>
      <c r="BD173" s="336">
        <f t="shared" si="127"/>
        <v>-2.2361801663955502E-4</v>
      </c>
      <c r="BE173" s="336">
        <f t="shared" si="127"/>
        <v>-2.2330942377659556E-4</v>
      </c>
      <c r="BF173" s="336">
        <f t="shared" si="127"/>
        <v>-2.2300125677177194E-4</v>
      </c>
      <c r="BG173" s="336">
        <f t="shared" si="127"/>
        <v>-2.2269351503743183E-4</v>
      </c>
      <c r="BH173" s="336">
        <f t="shared" si="127"/>
        <v>-2.223861979866744E-4</v>
      </c>
      <c r="BI173" s="336">
        <f t="shared" si="127"/>
        <v>-2.2207930503346585E-4</v>
      </c>
      <c r="BJ173" s="336">
        <f t="shared" si="127"/>
        <v>-2.2177283559252379E-4</v>
      </c>
      <c r="BK173" s="336">
        <f t="shared" si="127"/>
        <v>-2.2146678907939441E-4</v>
      </c>
      <c r="BL173" s="336">
        <f t="shared" si="127"/>
        <v>-2.2116116491047164E-4</v>
      </c>
      <c r="BM173" s="336">
        <f t="shared" si="127"/>
        <v>-2.2085596250288162E-4</v>
      </c>
      <c r="BN173" s="336">
        <f t="shared" si="127"/>
        <v>-2.2055118127463683E-4</v>
      </c>
      <c r="BO173" s="336">
        <f t="shared" si="127"/>
        <v>-2.202468206444819E-4</v>
      </c>
      <c r="BP173" s="336">
        <f t="shared" si="127"/>
        <v>-2.1994288003199E-4</v>
      </c>
      <c r="BQ173" s="336">
        <f t="shared" si="127"/>
        <v>-2.1963935885754352E-4</v>
      </c>
      <c r="BR173" s="246"/>
    </row>
    <row r="174" spans="2:70" x14ac:dyDescent="0.25">
      <c r="B174" s="324" t="s">
        <v>336</v>
      </c>
      <c r="C174" s="324"/>
      <c r="D174" s="325" t="s">
        <v>336</v>
      </c>
      <c r="E174" s="282" t="s">
        <v>336</v>
      </c>
      <c r="F174" s="326" t="s">
        <v>253</v>
      </c>
      <c r="G174" s="327" t="s">
        <v>336</v>
      </c>
      <c r="H174" s="327" t="s">
        <v>336</v>
      </c>
      <c r="I174" s="327">
        <v>7.1799999999999998E-3</v>
      </c>
      <c r="J174" s="327" t="s">
        <v>336</v>
      </c>
      <c r="K174" s="327">
        <v>7.1799999999999998E-3</v>
      </c>
      <c r="L174" s="327" t="s">
        <v>336</v>
      </c>
      <c r="M174" s="327">
        <v>7.1799999999999998E-3</v>
      </c>
      <c r="N174" s="327" t="s">
        <v>336</v>
      </c>
      <c r="O174" s="327">
        <v>7.7999999999999996E-3</v>
      </c>
      <c r="P174" s="327" t="s">
        <v>336</v>
      </c>
      <c r="Q174" s="327">
        <v>1.2279999999999999E-2</v>
      </c>
      <c r="R174" s="332">
        <f t="shared" ref="R174:AW174" si="128">SUM(R168:R173)</f>
        <v>7.7975520644996757E-3</v>
      </c>
      <c r="S174" s="332">
        <f t="shared" si="128"/>
        <v>1.1947005050657331E-2</v>
      </c>
      <c r="T174" s="332">
        <f t="shared" si="128"/>
        <v>1.1843836966375679E-2</v>
      </c>
      <c r="U174" s="332">
        <f t="shared" si="128"/>
        <v>1.1752977170001009E-2</v>
      </c>
      <c r="V174" s="332">
        <f t="shared" si="128"/>
        <v>1.1662607409755586E-2</v>
      </c>
      <c r="W174" s="332">
        <f t="shared" si="128"/>
        <v>1.1573753848342734E-2</v>
      </c>
      <c r="X174" s="332">
        <f t="shared" si="128"/>
        <v>1.1485883238664089E-2</v>
      </c>
      <c r="Y174" s="332">
        <f t="shared" si="128"/>
        <v>1.1399269561164374E-2</v>
      </c>
      <c r="Z174" s="332">
        <f t="shared" si="128"/>
        <v>1.131197163402136E-2</v>
      </c>
      <c r="AA174" s="332">
        <f t="shared" si="128"/>
        <v>1.1227053982531871E-2</v>
      </c>
      <c r="AB174" s="332">
        <f t="shared" si="128"/>
        <v>1.114320613186442E-2</v>
      </c>
      <c r="AC174" s="332">
        <f t="shared" si="128"/>
        <v>1.1059478373692715E-2</v>
      </c>
      <c r="AD174" s="332">
        <f t="shared" si="128"/>
        <v>1.0975899030472179E-2</v>
      </c>
      <c r="AE174" s="332">
        <f t="shared" si="128"/>
        <v>1.089496600074737E-2</v>
      </c>
      <c r="AF174" s="332">
        <f t="shared" si="128"/>
        <v>1.081366196990058E-2</v>
      </c>
      <c r="AG174" s="332">
        <f t="shared" si="128"/>
        <v>1.073424649669103E-2</v>
      </c>
      <c r="AH174" s="332">
        <f t="shared" si="128"/>
        <v>1.0655108906394244E-2</v>
      </c>
      <c r="AI174" s="332">
        <f t="shared" si="128"/>
        <v>1.057651746688802E-2</v>
      </c>
      <c r="AJ174" s="332">
        <f t="shared" si="128"/>
        <v>1.0499395160381357E-2</v>
      </c>
      <c r="AK174" s="332">
        <f t="shared" si="128"/>
        <v>1.0422574868840712E-2</v>
      </c>
      <c r="AL174" s="332">
        <f t="shared" si="128"/>
        <v>1.0346454523099331E-2</v>
      </c>
      <c r="AM174" s="332">
        <f t="shared" si="128"/>
        <v>1.0271584029414879E-2</v>
      </c>
      <c r="AN174" s="332">
        <f t="shared" si="128"/>
        <v>1.0197033576214126E-2</v>
      </c>
      <c r="AO174" s="332">
        <f t="shared" si="128"/>
        <v>1.0123250372424744E-2</v>
      </c>
      <c r="AP174" s="332">
        <f t="shared" si="128"/>
        <v>1.0050734784439193E-2</v>
      </c>
      <c r="AQ174" s="332">
        <f t="shared" si="128"/>
        <v>9.9777472127159129E-3</v>
      </c>
      <c r="AR174" s="332">
        <f t="shared" si="128"/>
        <v>9.9064287427178196E-3</v>
      </c>
      <c r="AS174" s="332">
        <f t="shared" si="128"/>
        <v>9.8348267213290794E-3</v>
      </c>
      <c r="AT174" s="332">
        <f t="shared" si="128"/>
        <v>9.7647541123458328E-3</v>
      </c>
      <c r="AU174" s="332">
        <f t="shared" si="128"/>
        <v>9.6950067416649958E-3</v>
      </c>
      <c r="AV174" s="332">
        <f t="shared" si="128"/>
        <v>9.6256327672708253E-3</v>
      </c>
      <c r="AW174" s="332">
        <f t="shared" si="128"/>
        <v>9.5567699809624065E-3</v>
      </c>
      <c r="AX174" s="332">
        <f t="shared" ref="AX174:BQ174" si="129">SUM(AX168:AX173)</f>
        <v>9.4883433448022438E-3</v>
      </c>
      <c r="AY174" s="332">
        <f t="shared" si="129"/>
        <v>9.4211077883410085E-3</v>
      </c>
      <c r="AZ174" s="332">
        <f t="shared" si="129"/>
        <v>9.3543388548854439E-3</v>
      </c>
      <c r="BA174" s="332">
        <f t="shared" si="129"/>
        <v>9.2881776085322245E-3</v>
      </c>
      <c r="BB174" s="332">
        <f t="shared" si="129"/>
        <v>9.222727024365775E-3</v>
      </c>
      <c r="BC174" s="332">
        <f t="shared" si="129"/>
        <v>9.1578913873000892E-3</v>
      </c>
      <c r="BD174" s="332">
        <f t="shared" si="129"/>
        <v>9.0938206253387659E-3</v>
      </c>
      <c r="BE174" s="332">
        <f t="shared" si="129"/>
        <v>9.0302942191684173E-3</v>
      </c>
      <c r="BF174" s="332">
        <f t="shared" si="129"/>
        <v>8.9673895047078893E-3</v>
      </c>
      <c r="BG174" s="332">
        <f t="shared" si="129"/>
        <v>8.9051036936652773E-3</v>
      </c>
      <c r="BH174" s="332">
        <f t="shared" si="129"/>
        <v>8.8434246289874948E-3</v>
      </c>
      <c r="BI174" s="332">
        <f t="shared" si="129"/>
        <v>8.7823278037643809E-3</v>
      </c>
      <c r="BJ174" s="332">
        <f t="shared" si="129"/>
        <v>8.7218053848499028E-3</v>
      </c>
      <c r="BK174" s="332">
        <f t="shared" si="129"/>
        <v>8.6618478183754857E-3</v>
      </c>
      <c r="BL174" s="332">
        <f t="shared" si="129"/>
        <v>8.602449305990684E-3</v>
      </c>
      <c r="BM174" s="332">
        <f t="shared" si="129"/>
        <v>8.5435934258601513E-3</v>
      </c>
      <c r="BN174" s="332">
        <f t="shared" si="129"/>
        <v>8.4852707425904124E-3</v>
      </c>
      <c r="BO174" s="332">
        <f t="shared" si="129"/>
        <v>8.4274637389956109E-3</v>
      </c>
      <c r="BP174" s="332">
        <f t="shared" si="129"/>
        <v>8.3701657415143974E-3</v>
      </c>
      <c r="BQ174" s="332">
        <f t="shared" si="129"/>
        <v>8.3133649767042871E-3</v>
      </c>
      <c r="BR174" s="246"/>
    </row>
    <row r="175" spans="2:70" ht="15.75" thickBot="1" x14ac:dyDescent="0.3">
      <c r="B175" s="312"/>
      <c r="C175" s="312"/>
      <c r="D175" s="338" t="s">
        <v>336</v>
      </c>
      <c r="E175" s="339" t="s">
        <v>336</v>
      </c>
      <c r="F175" s="339" t="s">
        <v>336</v>
      </c>
      <c r="G175" s="340" t="s">
        <v>336</v>
      </c>
      <c r="H175" s="340" t="s">
        <v>336</v>
      </c>
      <c r="I175" s="340" t="s">
        <v>336</v>
      </c>
      <c r="J175" s="340" t="s">
        <v>336</v>
      </c>
      <c r="K175" s="340" t="s">
        <v>336</v>
      </c>
      <c r="L175" s="340" t="s">
        <v>336</v>
      </c>
      <c r="M175" s="340" t="s">
        <v>336</v>
      </c>
      <c r="N175" s="340" t="s">
        <v>336</v>
      </c>
      <c r="O175" s="340" t="s">
        <v>336</v>
      </c>
      <c r="P175" s="340" t="s">
        <v>336</v>
      </c>
      <c r="Q175" s="340" t="s">
        <v>336</v>
      </c>
      <c r="R175" s="340" t="s">
        <v>336</v>
      </c>
      <c r="S175" s="340" t="s">
        <v>336</v>
      </c>
      <c r="T175" s="340" t="s">
        <v>336</v>
      </c>
      <c r="U175" s="340" t="s">
        <v>336</v>
      </c>
      <c r="V175" s="340" t="s">
        <v>336</v>
      </c>
      <c r="W175" s="340" t="s">
        <v>336</v>
      </c>
      <c r="X175" s="340" t="s">
        <v>336</v>
      </c>
      <c r="Y175" s="340" t="s">
        <v>336</v>
      </c>
      <c r="Z175" s="340" t="s">
        <v>336</v>
      </c>
      <c r="AA175" s="340" t="s">
        <v>336</v>
      </c>
      <c r="AB175" s="340" t="s">
        <v>336</v>
      </c>
      <c r="AC175" s="340" t="s">
        <v>336</v>
      </c>
      <c r="AD175" s="340" t="s">
        <v>336</v>
      </c>
      <c r="AE175" s="340" t="s">
        <v>336</v>
      </c>
      <c r="AF175" s="340" t="s">
        <v>336</v>
      </c>
      <c r="AG175" s="340" t="s">
        <v>336</v>
      </c>
      <c r="AH175" s="340" t="s">
        <v>336</v>
      </c>
      <c r="AI175" s="340" t="s">
        <v>336</v>
      </c>
      <c r="AJ175" s="340" t="s">
        <v>336</v>
      </c>
      <c r="AK175" s="340" t="s">
        <v>336</v>
      </c>
      <c r="AL175" s="340" t="s">
        <v>336</v>
      </c>
      <c r="AM175" s="340" t="s">
        <v>336</v>
      </c>
      <c r="AN175" s="340" t="s">
        <v>336</v>
      </c>
      <c r="AO175" s="340" t="s">
        <v>336</v>
      </c>
      <c r="AP175" s="340" t="s">
        <v>336</v>
      </c>
      <c r="AQ175" s="340" t="s">
        <v>336</v>
      </c>
      <c r="AR175" s="340" t="s">
        <v>336</v>
      </c>
      <c r="AS175" s="340" t="s">
        <v>336</v>
      </c>
      <c r="AT175" s="340" t="s">
        <v>336</v>
      </c>
      <c r="AU175" s="340" t="s">
        <v>336</v>
      </c>
      <c r="AV175" s="340" t="s">
        <v>336</v>
      </c>
      <c r="AW175" s="340" t="s">
        <v>336</v>
      </c>
      <c r="AX175" s="340" t="s">
        <v>336</v>
      </c>
      <c r="AY175" s="340"/>
      <c r="AZ175" s="340"/>
      <c r="BA175" s="340"/>
      <c r="BB175" s="340"/>
      <c r="BC175" s="340"/>
      <c r="BD175" s="340"/>
      <c r="BE175" s="340"/>
      <c r="BF175" s="340"/>
      <c r="BG175" s="340"/>
      <c r="BH175" s="340"/>
      <c r="BI175" s="340"/>
      <c r="BJ175" s="340"/>
      <c r="BK175" s="340"/>
      <c r="BL175" s="340"/>
      <c r="BM175" s="340"/>
      <c r="BN175" s="340"/>
      <c r="BO175" s="340"/>
      <c r="BP175" s="340"/>
      <c r="BQ175" s="340"/>
      <c r="BR175" s="269"/>
    </row>
    <row r="176" spans="2:70" x14ac:dyDescent="0.25">
      <c r="B176" s="312"/>
      <c r="C176" s="312"/>
      <c r="D176" s="312"/>
      <c r="E176" s="312"/>
      <c r="F176" s="312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2"/>
      <c r="AZ176" s="342"/>
      <c r="BA176" s="342"/>
      <c r="BB176" s="342"/>
      <c r="BC176" s="342"/>
      <c r="BD176" s="342"/>
      <c r="BE176" s="342"/>
      <c r="BF176" s="342"/>
      <c r="BG176" s="342"/>
      <c r="BH176" s="342"/>
      <c r="BI176" s="342"/>
    </row>
    <row r="177" spans="2:61" x14ac:dyDescent="0.25">
      <c r="B177" s="312"/>
      <c r="C177" s="312"/>
      <c r="D177" s="312"/>
      <c r="E177" s="312"/>
      <c r="F177" s="312" t="s">
        <v>356</v>
      </c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227" t="s">
        <v>357</v>
      </c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2"/>
      <c r="AZ177" s="342"/>
      <c r="BA177" s="342"/>
      <c r="BB177" s="342"/>
      <c r="BC177" s="342"/>
      <c r="BD177" s="342"/>
      <c r="BE177" s="342"/>
      <c r="BF177" s="342"/>
      <c r="BG177" s="342"/>
      <c r="BH177" s="342"/>
      <c r="BI177" s="342"/>
    </row>
    <row r="178" spans="2:61" ht="15.75" thickBot="1" x14ac:dyDescent="0.3">
      <c r="B178" s="312"/>
      <c r="C178" s="312">
        <v>1</v>
      </c>
      <c r="D178" s="312"/>
      <c r="E178" s="312"/>
      <c r="F178" s="312" t="s">
        <v>358</v>
      </c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2"/>
      <c r="AZ178" s="342"/>
      <c r="BA178" s="342"/>
      <c r="BB178" s="342"/>
      <c r="BC178" s="342"/>
      <c r="BD178" s="342"/>
      <c r="BE178" s="342"/>
      <c r="BF178" s="342"/>
      <c r="BG178" s="342"/>
      <c r="BH178" s="342"/>
      <c r="BI178" s="342"/>
    </row>
    <row r="179" spans="2:61" ht="15.75" thickBot="1" x14ac:dyDescent="0.3">
      <c r="B179" s="312"/>
      <c r="C179" s="312">
        <v>2</v>
      </c>
      <c r="D179" s="312"/>
      <c r="E179" s="312"/>
      <c r="F179" s="312" t="s">
        <v>359</v>
      </c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675" t="s">
        <v>360</v>
      </c>
      <c r="R179" s="676"/>
      <c r="S179" s="676"/>
      <c r="T179" s="677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2"/>
      <c r="AZ179" s="342"/>
      <c r="BA179" s="342"/>
      <c r="BB179" s="342"/>
      <c r="BC179" s="342"/>
      <c r="BD179" s="342"/>
      <c r="BE179" s="342"/>
      <c r="BF179" s="342"/>
      <c r="BG179" s="342"/>
      <c r="BH179" s="342"/>
      <c r="BI179" s="342"/>
    </row>
    <row r="180" spans="2:61" ht="15.75" thickBot="1" x14ac:dyDescent="0.3">
      <c r="B180" s="312"/>
      <c r="C180" s="312">
        <v>3</v>
      </c>
      <c r="D180" s="312"/>
      <c r="E180" s="312"/>
      <c r="F180" s="312" t="s">
        <v>361</v>
      </c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678" t="s">
        <v>362</v>
      </c>
      <c r="R180" s="679"/>
      <c r="S180" s="344" t="s">
        <v>363</v>
      </c>
      <c r="T180" s="343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2"/>
      <c r="AZ180" s="342"/>
      <c r="BA180" s="342"/>
      <c r="BB180" s="342"/>
      <c r="BC180" s="342"/>
      <c r="BD180" s="342"/>
      <c r="BE180" s="342"/>
      <c r="BF180" s="342"/>
      <c r="BG180" s="342"/>
      <c r="BH180" s="342"/>
      <c r="BI180" s="342"/>
    </row>
    <row r="181" spans="2:61" x14ac:dyDescent="0.25">
      <c r="B181" s="312"/>
      <c r="C181" s="312">
        <v>4</v>
      </c>
      <c r="D181" s="312"/>
      <c r="E181" s="312"/>
      <c r="F181" s="312" t="s">
        <v>364</v>
      </c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5">
        <f>Q114+Q124+Q144+Q153+Q162+Q172</f>
        <v>2.0370636649999965E-2</v>
      </c>
      <c r="S181" s="346">
        <f>Q114/Q181</f>
        <v>0.72948137337671404</v>
      </c>
      <c r="T181" s="347" t="s">
        <v>306</v>
      </c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2"/>
      <c r="AZ181" s="342"/>
      <c r="BA181" s="342"/>
      <c r="BB181" s="342"/>
      <c r="BC181" s="342"/>
      <c r="BD181" s="342"/>
      <c r="BE181" s="342"/>
      <c r="BF181" s="342"/>
      <c r="BG181" s="342"/>
      <c r="BH181" s="342"/>
      <c r="BI181" s="342"/>
    </row>
    <row r="182" spans="2:61" x14ac:dyDescent="0.25">
      <c r="B182" s="312"/>
      <c r="C182" s="312">
        <v>5</v>
      </c>
      <c r="D182" s="312"/>
      <c r="E182" s="312"/>
      <c r="F182" s="312" t="s">
        <v>365</v>
      </c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6"/>
      <c r="S182" s="346">
        <f>Q124/Q181</f>
        <v>6.4878023829460008E-2</v>
      </c>
      <c r="T182" s="348" t="s">
        <v>343</v>
      </c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2"/>
      <c r="AZ182" s="342"/>
      <c r="BA182" s="342"/>
      <c r="BB182" s="342"/>
      <c r="BC182" s="342"/>
      <c r="BD182" s="342"/>
      <c r="BE182" s="342"/>
      <c r="BF182" s="342"/>
      <c r="BG182" s="342"/>
      <c r="BH182" s="342"/>
      <c r="BI182" s="342"/>
    </row>
    <row r="183" spans="2:61" x14ac:dyDescent="0.25">
      <c r="B183" s="312"/>
      <c r="C183" s="312">
        <v>6</v>
      </c>
      <c r="D183" s="312"/>
      <c r="E183" s="312"/>
      <c r="F183" s="312" t="s">
        <v>366</v>
      </c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6"/>
      <c r="S183" s="346">
        <f>Q144/Q181</f>
        <v>8.3453454558574287E-3</v>
      </c>
      <c r="T183" s="349" t="s">
        <v>315</v>
      </c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2"/>
      <c r="AZ183" s="342"/>
      <c r="BA183" s="342"/>
      <c r="BB183" s="342"/>
      <c r="BC183" s="342"/>
      <c r="BD183" s="342"/>
      <c r="BE183" s="342"/>
      <c r="BF183" s="342"/>
      <c r="BG183" s="342"/>
      <c r="BH183" s="342"/>
      <c r="BI183" s="342"/>
    </row>
    <row r="184" spans="2:61" x14ac:dyDescent="0.25">
      <c r="B184" s="312"/>
      <c r="C184" s="312">
        <v>7</v>
      </c>
      <c r="D184" s="312"/>
      <c r="E184" s="312"/>
      <c r="F184" s="312" t="s">
        <v>367</v>
      </c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6"/>
      <c r="S184" s="346">
        <f>Q153/Q181</f>
        <v>1.3745274868471057E-2</v>
      </c>
      <c r="T184" s="349" t="s">
        <v>368</v>
      </c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2"/>
      <c r="AZ184" s="342"/>
      <c r="BA184" s="342"/>
      <c r="BB184" s="342"/>
      <c r="BC184" s="342"/>
      <c r="BD184" s="342"/>
      <c r="BE184" s="342"/>
      <c r="BF184" s="342"/>
      <c r="BG184" s="342"/>
      <c r="BH184" s="342"/>
      <c r="BI184" s="342"/>
    </row>
    <row r="185" spans="2:61" x14ac:dyDescent="0.25">
      <c r="B185" s="312"/>
      <c r="C185" s="312">
        <v>8</v>
      </c>
      <c r="D185" s="312"/>
      <c r="E185" s="312"/>
      <c r="F185" s="312" t="s">
        <v>369</v>
      </c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6"/>
      <c r="S185" s="346">
        <f>Q162/Q181</f>
        <v>0.13593242310372292</v>
      </c>
      <c r="T185" s="349" t="s">
        <v>370</v>
      </c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2"/>
      <c r="AZ185" s="342"/>
      <c r="BA185" s="342"/>
      <c r="BB185" s="342"/>
      <c r="BC185" s="342"/>
      <c r="BD185" s="342"/>
      <c r="BE185" s="342"/>
      <c r="BF185" s="342"/>
      <c r="BG185" s="342"/>
      <c r="BH185" s="342"/>
      <c r="BI185" s="342"/>
    </row>
    <row r="186" spans="2:61" ht="15.75" thickBot="1" x14ac:dyDescent="0.3">
      <c r="B186" s="312"/>
      <c r="C186" s="312"/>
      <c r="D186" s="312"/>
      <c r="E186" s="312"/>
      <c r="F186" s="312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50"/>
      <c r="R186" s="351"/>
      <c r="S186" s="350">
        <f>Q172/Q181</f>
        <v>4.7617559365774741E-2</v>
      </c>
      <c r="T186" s="352" t="s">
        <v>29</v>
      </c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2"/>
      <c r="AZ186" s="342"/>
      <c r="BA186" s="342"/>
      <c r="BB186" s="342"/>
      <c r="BC186" s="342"/>
      <c r="BD186" s="342"/>
      <c r="BE186" s="342"/>
      <c r="BF186" s="342"/>
      <c r="BG186" s="342"/>
      <c r="BH186" s="342"/>
      <c r="BI186" s="342"/>
    </row>
    <row r="187" spans="2:61" x14ac:dyDescent="0.2">
      <c r="C187" s="228"/>
      <c r="D187" s="228"/>
      <c r="E187" s="228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S187" s="227">
        <f>SUM(S181:S186)</f>
        <v>1.0000000000000002</v>
      </c>
      <c r="T187" s="237"/>
      <c r="U187" s="237"/>
      <c r="V187" s="23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7"/>
      <c r="AM187" s="237"/>
      <c r="AN187" s="237"/>
      <c r="AO187" s="237"/>
      <c r="AP187" s="237"/>
      <c r="AQ187" s="237"/>
      <c r="AR187" s="237"/>
      <c r="AS187" s="237"/>
      <c r="AT187" s="237"/>
      <c r="AU187" s="237"/>
      <c r="AV187" s="237"/>
      <c r="AW187" s="237"/>
      <c r="AX187" s="237"/>
    </row>
    <row r="188" spans="2:61" x14ac:dyDescent="0.2">
      <c r="C188" s="228"/>
      <c r="D188" s="228"/>
      <c r="E188" s="228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  <c r="AC188" s="237"/>
      <c r="AD188" s="237"/>
      <c r="AE188" s="237"/>
      <c r="AF188" s="237"/>
      <c r="AG188" s="237"/>
      <c r="AH188" s="237"/>
      <c r="AI188" s="237"/>
      <c r="AJ188" s="237"/>
      <c r="AK188" s="237"/>
      <c r="AL188" s="237"/>
      <c r="AM188" s="237"/>
      <c r="AN188" s="237"/>
      <c r="AO188" s="237"/>
      <c r="AP188" s="237"/>
      <c r="AQ188" s="237"/>
      <c r="AR188" s="237"/>
      <c r="AS188" s="237"/>
      <c r="AT188" s="237"/>
      <c r="AU188" s="237"/>
      <c r="AV188" s="237"/>
      <c r="AW188" s="237"/>
      <c r="AX188" s="237"/>
    </row>
    <row r="189" spans="2:61" x14ac:dyDescent="0.2">
      <c r="C189" s="228"/>
      <c r="D189" s="228"/>
      <c r="E189" s="228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  <c r="AA189" s="237"/>
      <c r="AB189" s="237"/>
      <c r="AC189" s="237"/>
      <c r="AD189" s="237"/>
      <c r="AE189" s="237"/>
      <c r="AF189" s="237"/>
      <c r="AG189" s="237"/>
      <c r="AH189" s="237"/>
      <c r="AI189" s="237"/>
      <c r="AJ189" s="237"/>
      <c r="AK189" s="237"/>
      <c r="AL189" s="237"/>
      <c r="AM189" s="237"/>
      <c r="AN189" s="237"/>
      <c r="AO189" s="237"/>
      <c r="AP189" s="237"/>
      <c r="AQ189" s="237"/>
      <c r="AR189" s="237"/>
      <c r="AS189" s="237"/>
      <c r="AT189" s="237"/>
      <c r="AU189" s="237"/>
      <c r="AV189" s="237"/>
      <c r="AW189" s="237"/>
      <c r="AX189" s="237"/>
    </row>
    <row r="190" spans="2:61" x14ac:dyDescent="0.2">
      <c r="C190" s="228"/>
      <c r="D190" s="228"/>
      <c r="E190" s="228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  <c r="AC190" s="237"/>
      <c r="AD190" s="237"/>
      <c r="AE190" s="237"/>
      <c r="AF190" s="237"/>
      <c r="AG190" s="237"/>
      <c r="AH190" s="237"/>
      <c r="AI190" s="237"/>
      <c r="AJ190" s="237"/>
      <c r="AK190" s="237"/>
      <c r="AL190" s="237"/>
      <c r="AM190" s="237"/>
      <c r="AN190" s="237"/>
      <c r="AO190" s="237"/>
      <c r="AP190" s="237"/>
      <c r="AQ190" s="237"/>
      <c r="AR190" s="237"/>
      <c r="AS190" s="237"/>
      <c r="AT190" s="237"/>
      <c r="AU190" s="237"/>
      <c r="AV190" s="237"/>
      <c r="AW190" s="237"/>
      <c r="AX190" s="237"/>
    </row>
    <row r="191" spans="2:61" x14ac:dyDescent="0.2">
      <c r="C191" s="228"/>
      <c r="D191" s="228"/>
      <c r="E191" s="228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  <c r="AA191" s="237"/>
      <c r="AB191" s="237"/>
      <c r="AC191" s="237"/>
      <c r="AD191" s="237"/>
      <c r="AE191" s="237"/>
      <c r="AF191" s="237"/>
      <c r="AG191" s="237"/>
      <c r="AH191" s="237"/>
      <c r="AI191" s="237"/>
      <c r="AJ191" s="237"/>
      <c r="AK191" s="237"/>
      <c r="AL191" s="237"/>
      <c r="AM191" s="237"/>
      <c r="AN191" s="237"/>
      <c r="AO191" s="237"/>
      <c r="AP191" s="237"/>
      <c r="AQ191" s="237"/>
      <c r="AR191" s="237"/>
      <c r="AS191" s="237"/>
      <c r="AT191" s="237"/>
      <c r="AU191" s="237"/>
      <c r="AV191" s="237"/>
      <c r="AW191" s="237"/>
      <c r="AX191" s="237"/>
    </row>
    <row r="192" spans="2:61" ht="15.75" thickBot="1" x14ac:dyDescent="0.25">
      <c r="C192" s="228"/>
      <c r="D192" s="228"/>
      <c r="E192" s="228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  <c r="AC192" s="237"/>
      <c r="AD192" s="237"/>
      <c r="AE192" s="237"/>
      <c r="AF192" s="237"/>
      <c r="AG192" s="237"/>
      <c r="AH192" s="237"/>
      <c r="AI192" s="237"/>
      <c r="AJ192" s="237"/>
      <c r="AK192" s="237"/>
      <c r="AL192" s="237"/>
      <c r="AM192" s="237"/>
      <c r="AN192" s="237"/>
      <c r="AO192" s="237"/>
      <c r="AP192" s="237"/>
      <c r="AQ192" s="237"/>
      <c r="AR192" s="237"/>
      <c r="AS192" s="237"/>
      <c r="AT192" s="237"/>
      <c r="AU192" s="237"/>
      <c r="AV192" s="237"/>
      <c r="AW192" s="237"/>
      <c r="AX192" s="237"/>
    </row>
    <row r="193" spans="3:50" ht="19.5" thickBot="1" x14ac:dyDescent="0.25">
      <c r="C193" s="228"/>
      <c r="D193" s="353"/>
      <c r="E193" s="354"/>
      <c r="F193" s="355"/>
      <c r="G193" s="355"/>
      <c r="H193" s="355"/>
      <c r="I193" s="356">
        <v>2010</v>
      </c>
      <c r="J193" s="356">
        <v>2011</v>
      </c>
      <c r="K193" s="357">
        <v>2012</v>
      </c>
      <c r="L193" s="357">
        <v>2013</v>
      </c>
      <c r="M193" s="356">
        <v>2014</v>
      </c>
      <c r="N193" s="356">
        <v>2015</v>
      </c>
      <c r="O193" s="356">
        <v>2016</v>
      </c>
      <c r="P193" s="356">
        <v>2017</v>
      </c>
      <c r="Q193" s="356">
        <v>2018</v>
      </c>
      <c r="R193" s="356">
        <v>2019</v>
      </c>
      <c r="S193" s="356">
        <v>2020</v>
      </c>
      <c r="T193" s="356">
        <v>2021</v>
      </c>
      <c r="U193" s="356">
        <v>2022</v>
      </c>
      <c r="V193" s="356">
        <v>2023</v>
      </c>
      <c r="W193" s="356">
        <v>2024</v>
      </c>
      <c r="X193" s="356">
        <v>2025</v>
      </c>
      <c r="Y193" s="356">
        <v>2026</v>
      </c>
      <c r="Z193" s="356">
        <v>2027</v>
      </c>
      <c r="AA193" s="356">
        <v>2028</v>
      </c>
      <c r="AB193" s="356">
        <v>2029</v>
      </c>
      <c r="AC193" s="356">
        <v>2030</v>
      </c>
      <c r="AD193" s="356">
        <v>2031</v>
      </c>
      <c r="AE193" s="356">
        <v>2032</v>
      </c>
      <c r="AF193" s="356">
        <v>2033</v>
      </c>
      <c r="AG193" s="356">
        <v>2034</v>
      </c>
      <c r="AH193" s="358">
        <v>2035</v>
      </c>
      <c r="AI193" s="237"/>
      <c r="AJ193" s="237"/>
      <c r="AK193" s="237"/>
      <c r="AL193" s="237"/>
      <c r="AM193" s="237"/>
      <c r="AN193" s="237"/>
      <c r="AO193" s="237"/>
      <c r="AP193" s="237"/>
      <c r="AQ193" s="237"/>
      <c r="AR193" s="237"/>
      <c r="AS193" s="237"/>
      <c r="AT193" s="237"/>
      <c r="AU193" s="237"/>
      <c r="AV193" s="237"/>
      <c r="AW193" s="237"/>
      <c r="AX193" s="237"/>
    </row>
    <row r="194" spans="3:50" x14ac:dyDescent="0.25">
      <c r="C194" s="228"/>
      <c r="D194" s="313" t="s">
        <v>336</v>
      </c>
      <c r="E194" s="314" t="s">
        <v>336</v>
      </c>
      <c r="F194" s="314" t="s">
        <v>336</v>
      </c>
      <c r="G194" s="315" t="s">
        <v>336</v>
      </c>
      <c r="H194" s="315" t="s">
        <v>336</v>
      </c>
      <c r="I194" s="315" t="s">
        <v>336</v>
      </c>
      <c r="J194" s="315" t="s">
        <v>336</v>
      </c>
      <c r="K194" s="315" t="s">
        <v>336</v>
      </c>
      <c r="L194" s="315" t="s">
        <v>336</v>
      </c>
      <c r="M194" s="315" t="s">
        <v>336</v>
      </c>
      <c r="N194" s="315" t="s">
        <v>336</v>
      </c>
      <c r="O194" s="315" t="s">
        <v>336</v>
      </c>
      <c r="P194" s="315" t="s">
        <v>336</v>
      </c>
      <c r="Q194" s="315" t="s">
        <v>336</v>
      </c>
      <c r="R194" s="315" t="s">
        <v>336</v>
      </c>
      <c r="S194" s="315" t="s">
        <v>336</v>
      </c>
      <c r="T194" s="315" t="s">
        <v>336</v>
      </c>
      <c r="U194" s="315" t="s">
        <v>336</v>
      </c>
      <c r="V194" s="315" t="s">
        <v>336</v>
      </c>
      <c r="W194" s="315" t="s">
        <v>336</v>
      </c>
      <c r="X194" s="315" t="s">
        <v>336</v>
      </c>
      <c r="Y194" s="315" t="s">
        <v>336</v>
      </c>
      <c r="Z194" s="315" t="s">
        <v>336</v>
      </c>
      <c r="AA194" s="315" t="s">
        <v>336</v>
      </c>
      <c r="AB194" s="315" t="s">
        <v>336</v>
      </c>
      <c r="AC194" s="315" t="s">
        <v>336</v>
      </c>
      <c r="AD194" s="315" t="s">
        <v>336</v>
      </c>
      <c r="AE194" s="315" t="s">
        <v>336</v>
      </c>
      <c r="AF194" s="315" t="s">
        <v>336</v>
      </c>
      <c r="AG194" s="315" t="s">
        <v>336</v>
      </c>
      <c r="AH194" s="359" t="s">
        <v>336</v>
      </c>
      <c r="AI194" s="237"/>
      <c r="AJ194" s="237"/>
      <c r="AK194" s="237"/>
      <c r="AL194" s="237"/>
      <c r="AM194" s="237"/>
      <c r="AN194" s="237"/>
      <c r="AO194" s="237"/>
      <c r="AP194" s="237"/>
      <c r="AQ194" s="237"/>
      <c r="AR194" s="237"/>
      <c r="AS194" s="237"/>
      <c r="AT194" s="237"/>
      <c r="AU194" s="237"/>
      <c r="AV194" s="237"/>
      <c r="AW194" s="237"/>
      <c r="AX194" s="237"/>
    </row>
    <row r="195" spans="3:50" ht="15.75" x14ac:dyDescent="0.2">
      <c r="C195" s="228"/>
      <c r="D195" s="317" t="s">
        <v>337</v>
      </c>
      <c r="E195" s="244"/>
      <c r="F195" s="244" t="s">
        <v>338</v>
      </c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360"/>
      <c r="AI195" s="237"/>
      <c r="AJ195" s="237"/>
      <c r="AK195" s="237"/>
      <c r="AL195" s="237"/>
      <c r="AM195" s="237"/>
      <c r="AN195" s="237"/>
      <c r="AO195" s="237"/>
      <c r="AP195" s="237"/>
      <c r="AQ195" s="237"/>
      <c r="AR195" s="237"/>
      <c r="AS195" s="237"/>
      <c r="AT195" s="237"/>
      <c r="AU195" s="237"/>
      <c r="AV195" s="237"/>
      <c r="AW195" s="237"/>
      <c r="AX195" s="237"/>
    </row>
    <row r="196" spans="3:50" ht="15.75" x14ac:dyDescent="0.25">
      <c r="C196" s="228"/>
      <c r="D196" s="243"/>
      <c r="E196" s="318"/>
      <c r="F196" s="248" t="s">
        <v>339</v>
      </c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360"/>
      <c r="AI196" s="237"/>
      <c r="AJ196" s="237"/>
      <c r="AK196" s="237"/>
      <c r="AL196" s="237"/>
      <c r="AM196" s="237"/>
      <c r="AN196" s="237"/>
      <c r="AO196" s="237"/>
      <c r="AP196" s="237"/>
      <c r="AQ196" s="237"/>
      <c r="AR196" s="237"/>
      <c r="AS196" s="237"/>
      <c r="AT196" s="237"/>
      <c r="AU196" s="237"/>
      <c r="AV196" s="237"/>
      <c r="AW196" s="237"/>
      <c r="AX196" s="237"/>
    </row>
    <row r="197" spans="3:50" x14ac:dyDescent="0.25">
      <c r="C197" s="228"/>
      <c r="D197" s="670" t="s">
        <v>341</v>
      </c>
      <c r="E197" s="671"/>
      <c r="F197" s="320" t="s">
        <v>371</v>
      </c>
      <c r="G197" s="321" t="s">
        <v>336</v>
      </c>
      <c r="H197" s="321" t="s">
        <v>336</v>
      </c>
      <c r="I197" s="361">
        <f t="shared" ref="I197:I204" si="130">I111*1000</f>
        <v>94.72</v>
      </c>
      <c r="J197" s="361"/>
      <c r="K197" s="361">
        <f t="shared" ref="K197:K204" si="131">K111*1000</f>
        <v>94.72</v>
      </c>
      <c r="L197" s="361"/>
      <c r="M197" s="361">
        <f t="shared" ref="M197:M204" si="132">M111*1000</f>
        <v>94.72</v>
      </c>
      <c r="N197" s="361"/>
      <c r="O197" s="361">
        <f t="shared" ref="O197:O204" si="133">O111*1000</f>
        <v>90.789999999999978</v>
      </c>
      <c r="P197" s="361"/>
      <c r="Q197" s="361">
        <f t="shared" ref="Q197:AH197" si="134">Q111*1000</f>
        <v>77.460000000000008</v>
      </c>
      <c r="R197" s="361">
        <f t="shared" si="134"/>
        <v>22.009594648387548</v>
      </c>
      <c r="S197" s="361">
        <f t="shared" si="134"/>
        <v>22.784684533525237</v>
      </c>
      <c r="T197" s="361">
        <f t="shared" si="134"/>
        <v>22.611520931070288</v>
      </c>
      <c r="U197" s="361">
        <f t="shared" si="134"/>
        <v>22.439673371994338</v>
      </c>
      <c r="V197" s="361">
        <f t="shared" si="134"/>
        <v>22.269131854366915</v>
      </c>
      <c r="W197" s="361">
        <f t="shared" si="134"/>
        <v>22.099886452273935</v>
      </c>
      <c r="X197" s="361">
        <f t="shared" si="134"/>
        <v>21.931927315236656</v>
      </c>
      <c r="Y197" s="361">
        <f t="shared" si="134"/>
        <v>21.76524466764095</v>
      </c>
      <c r="Z197" s="361">
        <f t="shared" si="134"/>
        <v>21.599828808166652</v>
      </c>
      <c r="AA197" s="361">
        <f t="shared" si="134"/>
        <v>21.435670109224798</v>
      </c>
      <c r="AB197" s="361">
        <f t="shared" si="134"/>
        <v>21.27275901639441</v>
      </c>
      <c r="AC197" s="361">
        <f t="shared" si="134"/>
        <v>21.111086047870174</v>
      </c>
      <c r="AD197" s="361">
        <f t="shared" si="134"/>
        <v>20.950641793906318</v>
      </c>
      <c r="AE197" s="361">
        <f t="shared" si="134"/>
        <v>20.791416916272606</v>
      </c>
      <c r="AF197" s="361">
        <f t="shared" si="134"/>
        <v>20.63340214770864</v>
      </c>
      <c r="AG197" s="361">
        <f t="shared" si="134"/>
        <v>20.47658829138609</v>
      </c>
      <c r="AH197" s="362">
        <f t="shared" si="134"/>
        <v>20.320966220371748</v>
      </c>
      <c r="AI197" s="237"/>
      <c r="AJ197" s="237"/>
      <c r="AK197" s="237"/>
      <c r="AL197" s="237"/>
      <c r="AM197" s="237"/>
      <c r="AN197" s="237"/>
      <c r="AO197" s="237"/>
      <c r="AP197" s="237"/>
      <c r="AQ197" s="237"/>
      <c r="AR197" s="237"/>
      <c r="AS197" s="237"/>
      <c r="AT197" s="237"/>
      <c r="AU197" s="237"/>
      <c r="AV197" s="237"/>
      <c r="AW197" s="237"/>
      <c r="AX197" s="237"/>
    </row>
    <row r="198" spans="3:50" x14ac:dyDescent="0.25">
      <c r="C198" s="228"/>
      <c r="D198" s="670" t="s">
        <v>28</v>
      </c>
      <c r="E198" s="671"/>
      <c r="F198" s="320" t="s">
        <v>371</v>
      </c>
      <c r="G198" s="321" t="s">
        <v>336</v>
      </c>
      <c r="H198" s="321" t="s">
        <v>336</v>
      </c>
      <c r="I198" s="361">
        <f t="shared" si="130"/>
        <v>2.2999999999999998</v>
      </c>
      <c r="J198" s="361"/>
      <c r="K198" s="361">
        <f t="shared" si="131"/>
        <v>2.2999999999999998</v>
      </c>
      <c r="L198" s="361"/>
      <c r="M198" s="361">
        <f t="shared" si="132"/>
        <v>2.2999999999999998</v>
      </c>
      <c r="N198" s="361"/>
      <c r="O198" s="361">
        <f t="shared" si="133"/>
        <v>11.14</v>
      </c>
      <c r="P198" s="361"/>
      <c r="Q198" s="361">
        <f t="shared" ref="Q198:AH198" si="135">Q112*1000</f>
        <v>8.6</v>
      </c>
      <c r="R198" s="361">
        <f t="shared" si="135"/>
        <v>7.134933429462342E-5</v>
      </c>
      <c r="S198" s="361">
        <f t="shared" si="135"/>
        <v>-4.5901407143721547E-2</v>
      </c>
      <c r="T198" s="361">
        <f t="shared" si="135"/>
        <v>2.4943810742353894E-2</v>
      </c>
      <c r="U198" s="361">
        <f t="shared" si="135"/>
        <v>1.590857515913666E-2</v>
      </c>
      <c r="V198" s="361">
        <f t="shared" si="135"/>
        <v>1.8270332766935151E-2</v>
      </c>
      <c r="W198" s="361">
        <f t="shared" si="135"/>
        <v>1.7686448293635974E-2</v>
      </c>
      <c r="X198" s="361">
        <f t="shared" si="135"/>
        <v>1.5922578805310519E-2</v>
      </c>
      <c r="Y198" s="361">
        <f t="shared" si="135"/>
        <v>1.3567340434683807E-2</v>
      </c>
      <c r="Z198" s="361">
        <f t="shared" si="135"/>
        <v>1.8791091548192595E-2</v>
      </c>
      <c r="AA198" s="361">
        <f t="shared" si="135"/>
        <v>1.679833619880599E-2</v>
      </c>
      <c r="AB198" s="361">
        <f t="shared" si="135"/>
        <v>1.2964520966161958E-2</v>
      </c>
      <c r="AC198" s="361">
        <f t="shared" si="135"/>
        <v>1.4066093369822501E-2</v>
      </c>
      <c r="AD198" s="361">
        <f t="shared" si="135"/>
        <v>1.8710611356045927E-2</v>
      </c>
      <c r="AE198" s="361">
        <f t="shared" si="135"/>
        <v>1.4575045190938092E-2</v>
      </c>
      <c r="AF198" s="361">
        <f t="shared" si="135"/>
        <v>1.7087766037701527E-2</v>
      </c>
      <c r="AG198" s="361">
        <f t="shared" si="135"/>
        <v>1.399048616295028E-2</v>
      </c>
      <c r="AH198" s="362">
        <f t="shared" si="135"/>
        <v>1.3980791063494034E-2</v>
      </c>
      <c r="AI198" s="237"/>
      <c r="AJ198" s="237"/>
      <c r="AK198" s="237"/>
      <c r="AL198" s="237"/>
      <c r="AM198" s="237"/>
      <c r="AN198" s="237"/>
      <c r="AO198" s="237"/>
      <c r="AP198" s="237"/>
      <c r="AQ198" s="237"/>
      <c r="AR198" s="237"/>
      <c r="AS198" s="237"/>
      <c r="AT198" s="237"/>
      <c r="AU198" s="237"/>
      <c r="AV198" s="237"/>
      <c r="AW198" s="237"/>
      <c r="AX198" s="237"/>
    </row>
    <row r="199" spans="3:50" x14ac:dyDescent="0.25">
      <c r="C199" s="228"/>
      <c r="D199" s="670" t="s">
        <v>343</v>
      </c>
      <c r="E199" s="671"/>
      <c r="F199" s="320" t="s">
        <v>371</v>
      </c>
      <c r="G199" s="320"/>
      <c r="H199" s="320"/>
      <c r="I199" s="361">
        <f t="shared" si="130"/>
        <v>0</v>
      </c>
      <c r="J199" s="361"/>
      <c r="K199" s="361">
        <f t="shared" si="131"/>
        <v>0</v>
      </c>
      <c r="L199" s="361"/>
      <c r="M199" s="361">
        <f t="shared" si="132"/>
        <v>0</v>
      </c>
      <c r="N199" s="361"/>
      <c r="O199" s="361">
        <f t="shared" si="133"/>
        <v>0</v>
      </c>
      <c r="P199" s="361"/>
      <c r="Q199" s="361">
        <f t="shared" ref="Q199:AH199" si="136">Q113*1000</f>
        <v>0</v>
      </c>
      <c r="R199" s="361">
        <f t="shared" si="136"/>
        <v>15.276864652670598</v>
      </c>
      <c r="S199" s="361">
        <f t="shared" si="136"/>
        <v>36.935083706370975</v>
      </c>
      <c r="T199" s="361">
        <f t="shared" si="136"/>
        <v>20.508067968161473</v>
      </c>
      <c r="U199" s="361">
        <f t="shared" si="136"/>
        <v>19.712870077778888</v>
      </c>
      <c r="V199" s="361">
        <f t="shared" si="136"/>
        <v>21.947819944439576</v>
      </c>
      <c r="W199" s="361">
        <f t="shared" si="136"/>
        <v>20.563031172095947</v>
      </c>
      <c r="X199" s="361">
        <f t="shared" si="136"/>
        <v>24.287103673602676</v>
      </c>
      <c r="Y199" s="361">
        <f t="shared" si="136"/>
        <v>26.22300381803591</v>
      </c>
      <c r="Z199" s="361">
        <f t="shared" si="136"/>
        <v>22.552808215052877</v>
      </c>
      <c r="AA199" s="361">
        <f t="shared" si="136"/>
        <v>24.37006181395418</v>
      </c>
      <c r="AB199" s="361">
        <f t="shared" si="136"/>
        <v>29.19238970606877</v>
      </c>
      <c r="AC199" s="361">
        <f t="shared" si="136"/>
        <v>27.74127116506051</v>
      </c>
      <c r="AD199" s="361">
        <f t="shared" si="136"/>
        <v>23.755752699858594</v>
      </c>
      <c r="AE199" s="361">
        <f t="shared" si="136"/>
        <v>27.73715082822541</v>
      </c>
      <c r="AF199" s="361">
        <f t="shared" si="136"/>
        <v>25.284682016521035</v>
      </c>
      <c r="AG199" s="361">
        <f t="shared" si="136"/>
        <v>28.054635533848327</v>
      </c>
      <c r="AH199" s="362">
        <f t="shared" si="136"/>
        <v>27.517711276782112</v>
      </c>
      <c r="AI199" s="237"/>
      <c r="AJ199" s="237"/>
      <c r="AK199" s="237"/>
      <c r="AL199" s="237"/>
      <c r="AM199" s="237"/>
      <c r="AN199" s="237"/>
      <c r="AO199" s="237"/>
      <c r="AP199" s="237"/>
      <c r="AQ199" s="237"/>
      <c r="AR199" s="237"/>
      <c r="AS199" s="237"/>
      <c r="AT199" s="237"/>
      <c r="AU199" s="237"/>
      <c r="AV199" s="237"/>
      <c r="AW199" s="237"/>
      <c r="AX199" s="237"/>
    </row>
    <row r="200" spans="3:50" x14ac:dyDescent="0.25">
      <c r="C200" s="228"/>
      <c r="D200" s="670" t="s">
        <v>344</v>
      </c>
      <c r="E200" s="671"/>
      <c r="F200" s="320" t="s">
        <v>371</v>
      </c>
      <c r="G200" s="320" t="s">
        <v>336</v>
      </c>
      <c r="H200" s="320" t="s">
        <v>336</v>
      </c>
      <c r="I200" s="361">
        <f t="shared" si="130"/>
        <v>24.389999999999997</v>
      </c>
      <c r="J200" s="361"/>
      <c r="K200" s="361">
        <f t="shared" si="131"/>
        <v>24.389999999999997</v>
      </c>
      <c r="L200" s="361"/>
      <c r="M200" s="361">
        <f t="shared" si="132"/>
        <v>24.389999999999997</v>
      </c>
      <c r="N200" s="361"/>
      <c r="O200" s="361">
        <f t="shared" si="133"/>
        <v>53.55</v>
      </c>
      <c r="P200" s="361"/>
      <c r="Q200" s="361">
        <f t="shared" ref="Q200:AH200" si="137">Q114*1000</f>
        <v>14.86</v>
      </c>
      <c r="R200" s="361">
        <f t="shared" si="137"/>
        <v>-3.9654976969999067</v>
      </c>
      <c r="S200" s="361">
        <f t="shared" si="137"/>
        <v>-4.1489440999999756</v>
      </c>
      <c r="T200" s="361">
        <f t="shared" si="137"/>
        <v>-4.1489440999999756</v>
      </c>
      <c r="U200" s="361">
        <f t="shared" si="137"/>
        <v>-4.1489440999999756</v>
      </c>
      <c r="V200" s="361">
        <f t="shared" si="137"/>
        <v>-4.1489440999999756</v>
      </c>
      <c r="W200" s="361">
        <f t="shared" si="137"/>
        <v>-4.1489441000002358</v>
      </c>
      <c r="X200" s="361">
        <f t="shared" si="137"/>
        <v>-4.1489440999999756</v>
      </c>
      <c r="Y200" s="361">
        <f t="shared" si="137"/>
        <v>-4.1489440999999756</v>
      </c>
      <c r="Z200" s="361">
        <f t="shared" si="137"/>
        <v>-4.1489440999999756</v>
      </c>
      <c r="AA200" s="361">
        <f t="shared" si="137"/>
        <v>-4.1489440999999756</v>
      </c>
      <c r="AB200" s="361">
        <f t="shared" si="137"/>
        <v>-4.1489440999999756</v>
      </c>
      <c r="AC200" s="361">
        <f t="shared" si="137"/>
        <v>-4.1489440999999756</v>
      </c>
      <c r="AD200" s="361">
        <f t="shared" si="137"/>
        <v>-4.1489440999999756</v>
      </c>
      <c r="AE200" s="361">
        <f t="shared" si="137"/>
        <v>-4.1489440999999756</v>
      </c>
      <c r="AF200" s="361">
        <f t="shared" si="137"/>
        <v>-4.1489440999999756</v>
      </c>
      <c r="AG200" s="361">
        <f t="shared" si="137"/>
        <v>-4.1489440999999756</v>
      </c>
      <c r="AH200" s="362">
        <f t="shared" si="137"/>
        <v>-4.1489441000002358</v>
      </c>
      <c r="AI200" s="237"/>
      <c r="AJ200" s="237"/>
      <c r="AK200" s="237"/>
      <c r="AL200" s="237"/>
      <c r="AM200" s="237"/>
      <c r="AN200" s="237"/>
      <c r="AO200" s="237"/>
      <c r="AP200" s="237"/>
      <c r="AQ200" s="237"/>
      <c r="AR200" s="237"/>
      <c r="AS200" s="237"/>
      <c r="AT200" s="237"/>
      <c r="AU200" s="237"/>
      <c r="AV200" s="237"/>
      <c r="AW200" s="237"/>
      <c r="AX200" s="237"/>
    </row>
    <row r="201" spans="3:50" x14ac:dyDescent="0.25">
      <c r="C201" s="228"/>
      <c r="D201" s="670" t="s">
        <v>5</v>
      </c>
      <c r="E201" s="671"/>
      <c r="F201" s="320" t="s">
        <v>371</v>
      </c>
      <c r="G201" s="321" t="s">
        <v>336</v>
      </c>
      <c r="H201" s="321" t="s">
        <v>336</v>
      </c>
      <c r="I201" s="361">
        <f t="shared" si="130"/>
        <v>8.3199999999999985</v>
      </c>
      <c r="J201" s="361"/>
      <c r="K201" s="361">
        <f t="shared" si="131"/>
        <v>8.3199999999999985</v>
      </c>
      <c r="L201" s="361"/>
      <c r="M201" s="361">
        <f t="shared" si="132"/>
        <v>8.3199999999999985</v>
      </c>
      <c r="N201" s="361"/>
      <c r="O201" s="361">
        <f t="shared" si="133"/>
        <v>10.220000000000001</v>
      </c>
      <c r="P201" s="361"/>
      <c r="Q201" s="361">
        <f t="shared" ref="Q201:AH201" si="138">Q115*1000</f>
        <v>6.7299999999999995</v>
      </c>
      <c r="R201" s="361">
        <f t="shared" si="138"/>
        <v>-0.28251403291566207</v>
      </c>
      <c r="S201" s="361">
        <f t="shared" si="138"/>
        <v>-0.282124163550249</v>
      </c>
      <c r="T201" s="361">
        <f t="shared" si="138"/>
        <v>-0.28173483220455497</v>
      </c>
      <c r="U201" s="361">
        <f t="shared" si="138"/>
        <v>-0.28134603813611164</v>
      </c>
      <c r="V201" s="361">
        <f t="shared" si="138"/>
        <v>-0.28095778060346727</v>
      </c>
      <c r="W201" s="361">
        <f t="shared" si="138"/>
        <v>-0.28057005886623237</v>
      </c>
      <c r="X201" s="361">
        <f t="shared" si="138"/>
        <v>-0.28018287218501081</v>
      </c>
      <c r="Y201" s="361">
        <f t="shared" si="138"/>
        <v>-0.27979621982139963</v>
      </c>
      <c r="Z201" s="361">
        <f t="shared" si="138"/>
        <v>-0.27941010103803537</v>
      </c>
      <c r="AA201" s="361">
        <f t="shared" si="138"/>
        <v>-0.27902451509861703</v>
      </c>
      <c r="AB201" s="361">
        <f t="shared" si="138"/>
        <v>-0.27863946126776745</v>
      </c>
      <c r="AC201" s="361">
        <f t="shared" si="138"/>
        <v>-0.27825493881121832</v>
      </c>
      <c r="AD201" s="361">
        <f t="shared" si="138"/>
        <v>-0.27787094699567139</v>
      </c>
      <c r="AE201" s="361">
        <f t="shared" si="138"/>
        <v>-0.27748748508879861</v>
      </c>
      <c r="AF201" s="361">
        <f t="shared" si="138"/>
        <v>-0.27710455235938042</v>
      </c>
      <c r="AG201" s="361">
        <f t="shared" si="138"/>
        <v>-0.27672214807712148</v>
      </c>
      <c r="AH201" s="362">
        <f t="shared" si="138"/>
        <v>-0.27634027151278884</v>
      </c>
      <c r="AI201" s="237"/>
      <c r="AJ201" s="237"/>
      <c r="AK201" s="237"/>
      <c r="AL201" s="237"/>
      <c r="AM201" s="237"/>
      <c r="AN201" s="237"/>
      <c r="AO201" s="237"/>
      <c r="AP201" s="237"/>
      <c r="AQ201" s="237"/>
      <c r="AR201" s="237"/>
      <c r="AS201" s="237"/>
      <c r="AT201" s="237"/>
      <c r="AU201" s="237"/>
      <c r="AV201" s="237"/>
      <c r="AW201" s="237"/>
      <c r="AX201" s="237"/>
    </row>
    <row r="202" spans="3:50" x14ac:dyDescent="0.25">
      <c r="C202" s="228"/>
      <c r="D202" s="670" t="s">
        <v>6</v>
      </c>
      <c r="E202" s="671"/>
      <c r="F202" s="320" t="s">
        <v>371</v>
      </c>
      <c r="G202" s="321" t="s">
        <v>336</v>
      </c>
      <c r="H202" s="321" t="s">
        <v>336</v>
      </c>
      <c r="I202" s="361">
        <f t="shared" si="130"/>
        <v>0</v>
      </c>
      <c r="J202" s="361"/>
      <c r="K202" s="361">
        <f t="shared" si="131"/>
        <v>0</v>
      </c>
      <c r="L202" s="361"/>
      <c r="M202" s="361">
        <f t="shared" si="132"/>
        <v>0</v>
      </c>
      <c r="N202" s="361"/>
      <c r="O202" s="361">
        <f t="shared" si="133"/>
        <v>0</v>
      </c>
      <c r="P202" s="361"/>
      <c r="Q202" s="361">
        <f t="shared" ref="Q202:AH202" si="139">Q116*1000</f>
        <v>0</v>
      </c>
      <c r="R202" s="361">
        <f t="shared" si="139"/>
        <v>0</v>
      </c>
      <c r="S202" s="361">
        <f t="shared" si="139"/>
        <v>0</v>
      </c>
      <c r="T202" s="361">
        <f t="shared" si="139"/>
        <v>0</v>
      </c>
      <c r="U202" s="361">
        <f t="shared" si="139"/>
        <v>0</v>
      </c>
      <c r="V202" s="361">
        <f t="shared" si="139"/>
        <v>0</v>
      </c>
      <c r="W202" s="361">
        <f t="shared" si="139"/>
        <v>0</v>
      </c>
      <c r="X202" s="361">
        <f t="shared" si="139"/>
        <v>0</v>
      </c>
      <c r="Y202" s="361">
        <f t="shared" si="139"/>
        <v>0</v>
      </c>
      <c r="Z202" s="361">
        <f t="shared" si="139"/>
        <v>0</v>
      </c>
      <c r="AA202" s="361">
        <f t="shared" si="139"/>
        <v>0</v>
      </c>
      <c r="AB202" s="361">
        <f t="shared" si="139"/>
        <v>0</v>
      </c>
      <c r="AC202" s="361">
        <f t="shared" si="139"/>
        <v>0</v>
      </c>
      <c r="AD202" s="361">
        <f t="shared" si="139"/>
        <v>0</v>
      </c>
      <c r="AE202" s="361">
        <f t="shared" si="139"/>
        <v>0</v>
      </c>
      <c r="AF202" s="361">
        <f t="shared" si="139"/>
        <v>0</v>
      </c>
      <c r="AG202" s="361">
        <f t="shared" si="139"/>
        <v>0</v>
      </c>
      <c r="AH202" s="362">
        <f t="shared" si="139"/>
        <v>0</v>
      </c>
      <c r="AI202" s="237"/>
      <c r="AJ202" s="237"/>
      <c r="AK202" s="237"/>
      <c r="AL202" s="237"/>
      <c r="AM202" s="237"/>
      <c r="AN202" s="237"/>
      <c r="AO202" s="237"/>
      <c r="AP202" s="237"/>
      <c r="AQ202" s="237"/>
      <c r="AR202" s="237"/>
      <c r="AS202" s="237"/>
      <c r="AT202" s="237"/>
      <c r="AU202" s="237"/>
      <c r="AV202" s="237"/>
      <c r="AW202" s="237"/>
      <c r="AX202" s="237"/>
    </row>
    <row r="203" spans="3:50" x14ac:dyDescent="0.25">
      <c r="C203" s="228"/>
      <c r="D203" s="670" t="s">
        <v>29</v>
      </c>
      <c r="E203" s="671"/>
      <c r="F203" s="320" t="s">
        <v>371</v>
      </c>
      <c r="G203" s="321" t="s">
        <v>336</v>
      </c>
      <c r="H203" s="321" t="s">
        <v>336</v>
      </c>
      <c r="I203" s="361">
        <f t="shared" si="130"/>
        <v>1.28</v>
      </c>
      <c r="J203" s="361"/>
      <c r="K203" s="361">
        <f t="shared" si="131"/>
        <v>1.28</v>
      </c>
      <c r="L203" s="361"/>
      <c r="M203" s="361">
        <f t="shared" si="132"/>
        <v>1.28</v>
      </c>
      <c r="N203" s="361"/>
      <c r="O203" s="361">
        <f t="shared" si="133"/>
        <v>9.23</v>
      </c>
      <c r="P203" s="361"/>
      <c r="Q203" s="361">
        <f t="shared" ref="Q203:AH203" si="140">Q117*1000</f>
        <v>1.55</v>
      </c>
      <c r="R203" s="361">
        <f t="shared" si="140"/>
        <v>0.2141598930484869</v>
      </c>
      <c r="S203" s="361">
        <f t="shared" si="140"/>
        <v>0.21684496623129698</v>
      </c>
      <c r="T203" s="361">
        <f t="shared" si="140"/>
        <v>0.21956370406482484</v>
      </c>
      <c r="U203" s="361">
        <f t="shared" si="140"/>
        <v>0.2220860147261853</v>
      </c>
      <c r="V203" s="361">
        <f t="shared" si="140"/>
        <v>0.22486757615216343</v>
      </c>
      <c r="W203" s="361">
        <f t="shared" si="140"/>
        <v>0.22768397580951741</v>
      </c>
      <c r="X203" s="361">
        <f t="shared" si="140"/>
        <v>0.23053565003675991</v>
      </c>
      <c r="Y203" s="361">
        <f t="shared" si="140"/>
        <v>0.23342304063740546</v>
      </c>
      <c r="Z203" s="361">
        <f t="shared" si="140"/>
        <v>0.23634659494843299</v>
      </c>
      <c r="AA203" s="361">
        <f t="shared" si="140"/>
        <v>0.23930676590958216</v>
      </c>
      <c r="AB203" s="361">
        <f t="shared" si="140"/>
        <v>0.24230401213353178</v>
      </c>
      <c r="AC203" s="361">
        <f t="shared" si="140"/>
        <v>0.24533879797694239</v>
      </c>
      <c r="AD203" s="361">
        <f t="shared" si="140"/>
        <v>0.24841159361240742</v>
      </c>
      <c r="AE203" s="361">
        <f t="shared" si="140"/>
        <v>0.25152287510129451</v>
      </c>
      <c r="AF203" s="361">
        <f t="shared" si="140"/>
        <v>0.25467312446749518</v>
      </c>
      <c r="AG203" s="361">
        <f t="shared" si="140"/>
        <v>0.25786282977210906</v>
      </c>
      <c r="AH203" s="362">
        <f t="shared" si="140"/>
        <v>0.26109248518904876</v>
      </c>
      <c r="AI203" s="237"/>
      <c r="AJ203" s="237"/>
      <c r="AK203" s="237"/>
      <c r="AL203" s="237"/>
      <c r="AM203" s="237"/>
      <c r="AN203" s="237"/>
      <c r="AO203" s="237"/>
      <c r="AP203" s="237"/>
      <c r="AQ203" s="237"/>
      <c r="AR203" s="237"/>
      <c r="AS203" s="237"/>
      <c r="AT203" s="237"/>
      <c r="AU203" s="237"/>
      <c r="AV203" s="237"/>
      <c r="AW203" s="237"/>
      <c r="AX203" s="237"/>
    </row>
    <row r="204" spans="3:50" x14ac:dyDescent="0.25">
      <c r="C204" s="228"/>
      <c r="D204" s="325" t="s">
        <v>336</v>
      </c>
      <c r="E204" s="282" t="s">
        <v>336</v>
      </c>
      <c r="F204" s="326" t="s">
        <v>372</v>
      </c>
      <c r="G204" s="327" t="s">
        <v>336</v>
      </c>
      <c r="H204" s="327" t="s">
        <v>336</v>
      </c>
      <c r="I204" s="328">
        <f t="shared" si="130"/>
        <v>131.02000000000001</v>
      </c>
      <c r="J204" s="328"/>
      <c r="K204" s="328">
        <f t="shared" si="131"/>
        <v>131.02000000000001</v>
      </c>
      <c r="L204" s="328"/>
      <c r="M204" s="328">
        <f t="shared" si="132"/>
        <v>131.02000000000001</v>
      </c>
      <c r="N204" s="328"/>
      <c r="O204" s="328">
        <f t="shared" si="133"/>
        <v>174.9</v>
      </c>
      <c r="P204" s="328"/>
      <c r="Q204" s="328">
        <f t="shared" ref="Q204:AH204" si="141">Q118*1000</f>
        <v>109.2</v>
      </c>
      <c r="R204" s="328">
        <f t="shared" si="141"/>
        <v>109.2</v>
      </c>
      <c r="S204" s="328">
        <f t="shared" si="141"/>
        <v>109.2</v>
      </c>
      <c r="T204" s="328">
        <f t="shared" si="141"/>
        <v>109.2</v>
      </c>
      <c r="U204" s="328">
        <f t="shared" si="141"/>
        <v>37.960247901522457</v>
      </c>
      <c r="V204" s="328">
        <f t="shared" si="141"/>
        <v>40.030187827122141</v>
      </c>
      <c r="W204" s="328">
        <f t="shared" si="141"/>
        <v>38.478773889606565</v>
      </c>
      <c r="X204" s="328">
        <f t="shared" si="141"/>
        <v>42.036362245496413</v>
      </c>
      <c r="Y204" s="328">
        <f t="shared" si="141"/>
        <v>43.806498546927571</v>
      </c>
      <c r="Z204" s="328">
        <f t="shared" si="141"/>
        <v>39.979420508678153</v>
      </c>
      <c r="AA204" s="328">
        <f t="shared" si="141"/>
        <v>41.633868410188768</v>
      </c>
      <c r="AB204" s="328">
        <f t="shared" si="141"/>
        <v>46.292833694295126</v>
      </c>
      <c r="AC204" s="328">
        <f t="shared" si="141"/>
        <v>44.684563065466257</v>
      </c>
      <c r="AD204" s="328">
        <f t="shared" si="141"/>
        <v>40.54670165173772</v>
      </c>
      <c r="AE204" s="328">
        <f t="shared" si="141"/>
        <v>44.368234079701473</v>
      </c>
      <c r="AF204" s="328">
        <f t="shared" si="141"/>
        <v>41.763796402375512</v>
      </c>
      <c r="AG204" s="328">
        <f t="shared" si="141"/>
        <v>44.377410893092382</v>
      </c>
      <c r="AH204" s="363">
        <f t="shared" si="141"/>
        <v>43.688466401893365</v>
      </c>
      <c r="AI204" s="237"/>
      <c r="AJ204" s="237"/>
      <c r="AK204" s="237"/>
      <c r="AL204" s="237"/>
      <c r="AM204" s="237"/>
      <c r="AN204" s="237"/>
      <c r="AO204" s="237"/>
      <c r="AP204" s="237"/>
      <c r="AQ204" s="237"/>
      <c r="AR204" s="237"/>
      <c r="AS204" s="237"/>
      <c r="AT204" s="237"/>
      <c r="AU204" s="237"/>
      <c r="AV204" s="237"/>
      <c r="AW204" s="237"/>
      <c r="AX204" s="237"/>
    </row>
    <row r="205" spans="3:50" x14ac:dyDescent="0.25">
      <c r="C205" s="228"/>
      <c r="D205" s="325"/>
      <c r="E205" s="282"/>
      <c r="F205" s="282"/>
      <c r="G205" s="330"/>
      <c r="H205" s="330"/>
      <c r="I205" s="364"/>
      <c r="J205" s="364"/>
      <c r="K205" s="364"/>
      <c r="L205" s="364"/>
      <c r="M205" s="364"/>
      <c r="N205" s="364"/>
      <c r="O205" s="364"/>
      <c r="P205" s="364"/>
      <c r="Q205" s="364"/>
      <c r="R205" s="364"/>
      <c r="S205" s="364"/>
      <c r="T205" s="364"/>
      <c r="U205" s="364"/>
      <c r="V205" s="364"/>
      <c r="W205" s="364"/>
      <c r="X205" s="364"/>
      <c r="Y205" s="364"/>
      <c r="Z205" s="364"/>
      <c r="AA205" s="364"/>
      <c r="AB205" s="364"/>
      <c r="AC205" s="364"/>
      <c r="AD205" s="364"/>
      <c r="AE205" s="364"/>
      <c r="AF205" s="364"/>
      <c r="AG205" s="364"/>
      <c r="AH205" s="365"/>
      <c r="AI205" s="237"/>
      <c r="AJ205" s="237"/>
      <c r="AK205" s="237"/>
      <c r="AL205" s="237"/>
      <c r="AM205" s="237"/>
      <c r="AN205" s="237"/>
      <c r="AO205" s="237"/>
      <c r="AP205" s="237"/>
      <c r="AQ205" s="237"/>
      <c r="AR205" s="237"/>
      <c r="AS205" s="237"/>
      <c r="AT205" s="237"/>
      <c r="AU205" s="237"/>
      <c r="AV205" s="237"/>
      <c r="AW205" s="237"/>
      <c r="AX205" s="237"/>
    </row>
    <row r="206" spans="3:50" ht="15.75" x14ac:dyDescent="0.2">
      <c r="C206" s="228"/>
      <c r="D206" s="243"/>
      <c r="E206" s="247"/>
      <c r="F206" s="248" t="s">
        <v>373</v>
      </c>
      <c r="G206" s="245"/>
      <c r="H206" s="245"/>
      <c r="I206" s="333">
        <f t="shared" ref="I206:I214" si="142">I120*1000</f>
        <v>0</v>
      </c>
      <c r="J206" s="333"/>
      <c r="K206" s="333">
        <f t="shared" ref="K206:K214" si="143">K120*1000</f>
        <v>0</v>
      </c>
      <c r="L206" s="333"/>
      <c r="M206" s="333">
        <f t="shared" ref="M206:M214" si="144">M120*1000</f>
        <v>0</v>
      </c>
      <c r="N206" s="333"/>
      <c r="O206" s="333">
        <f t="shared" ref="O206:O214" si="145">O120*1000</f>
        <v>0</v>
      </c>
      <c r="P206" s="333"/>
      <c r="Q206" s="333">
        <f t="shared" ref="Q206:AH206" si="146">Q120*1000</f>
        <v>0</v>
      </c>
      <c r="R206" s="333">
        <f t="shared" si="146"/>
        <v>0</v>
      </c>
      <c r="S206" s="333">
        <f t="shared" si="146"/>
        <v>0</v>
      </c>
      <c r="T206" s="333">
        <f t="shared" si="146"/>
        <v>0</v>
      </c>
      <c r="U206" s="333">
        <f t="shared" si="146"/>
        <v>0</v>
      </c>
      <c r="V206" s="333">
        <f t="shared" si="146"/>
        <v>0</v>
      </c>
      <c r="W206" s="333">
        <f t="shared" si="146"/>
        <v>0</v>
      </c>
      <c r="X206" s="333">
        <f t="shared" si="146"/>
        <v>0</v>
      </c>
      <c r="Y206" s="333">
        <f t="shared" si="146"/>
        <v>0</v>
      </c>
      <c r="Z206" s="333">
        <f t="shared" si="146"/>
        <v>0</v>
      </c>
      <c r="AA206" s="333">
        <f t="shared" si="146"/>
        <v>0</v>
      </c>
      <c r="AB206" s="333">
        <f t="shared" si="146"/>
        <v>0</v>
      </c>
      <c r="AC206" s="333">
        <f t="shared" si="146"/>
        <v>0</v>
      </c>
      <c r="AD206" s="333">
        <f t="shared" si="146"/>
        <v>0</v>
      </c>
      <c r="AE206" s="333">
        <f t="shared" si="146"/>
        <v>0</v>
      </c>
      <c r="AF206" s="333">
        <f t="shared" si="146"/>
        <v>0</v>
      </c>
      <c r="AG206" s="333">
        <f t="shared" si="146"/>
        <v>0</v>
      </c>
      <c r="AH206" s="366">
        <f t="shared" si="146"/>
        <v>0</v>
      </c>
      <c r="AI206" s="237"/>
      <c r="AJ206" s="237"/>
      <c r="AK206" s="237"/>
      <c r="AL206" s="237"/>
      <c r="AM206" s="237"/>
      <c r="AN206" s="237"/>
      <c r="AO206" s="237"/>
      <c r="AP206" s="237"/>
      <c r="AQ206" s="237"/>
      <c r="AR206" s="237"/>
      <c r="AS206" s="237"/>
      <c r="AT206" s="237"/>
      <c r="AU206" s="237"/>
      <c r="AV206" s="237"/>
      <c r="AW206" s="237"/>
      <c r="AX206" s="237"/>
    </row>
    <row r="207" spans="3:50" x14ac:dyDescent="0.25">
      <c r="C207" s="228"/>
      <c r="D207" s="670" t="s">
        <v>341</v>
      </c>
      <c r="E207" s="671"/>
      <c r="F207" s="331" t="s">
        <v>374</v>
      </c>
      <c r="G207" s="323" t="s">
        <v>336</v>
      </c>
      <c r="H207" s="323" t="s">
        <v>336</v>
      </c>
      <c r="I207" s="361">
        <f t="shared" si="142"/>
        <v>0</v>
      </c>
      <c r="J207" s="361"/>
      <c r="K207" s="361">
        <f t="shared" si="143"/>
        <v>0</v>
      </c>
      <c r="L207" s="361"/>
      <c r="M207" s="361">
        <f t="shared" si="144"/>
        <v>0</v>
      </c>
      <c r="N207" s="361"/>
      <c r="O207" s="361">
        <f t="shared" si="145"/>
        <v>0</v>
      </c>
      <c r="P207" s="361"/>
      <c r="Q207" s="361">
        <f t="shared" ref="Q207:AH207" si="147">Q121*1000</f>
        <v>58.059151500000006</v>
      </c>
      <c r="R207" s="361">
        <f t="shared" si="147"/>
        <v>66.028783945162644</v>
      </c>
      <c r="S207" s="361">
        <f t="shared" si="147"/>
        <v>68.35405360057571</v>
      </c>
      <c r="T207" s="361">
        <f t="shared" si="147"/>
        <v>67.834562793210864</v>
      </c>
      <c r="U207" s="361">
        <f t="shared" si="147"/>
        <v>67.319020115983022</v>
      </c>
      <c r="V207" s="361">
        <f t="shared" si="147"/>
        <v>66.807395563100755</v>
      </c>
      <c r="W207" s="361">
        <f t="shared" si="147"/>
        <v>66.29965935682182</v>
      </c>
      <c r="X207" s="361">
        <f t="shared" si="147"/>
        <v>65.795781945709962</v>
      </c>
      <c r="Y207" s="361">
        <f t="shared" si="147"/>
        <v>65.295734002922856</v>
      </c>
      <c r="Z207" s="361">
        <f t="shared" si="147"/>
        <v>64.79948642449996</v>
      </c>
      <c r="AA207" s="361">
        <f t="shared" si="147"/>
        <v>64.307010327674405</v>
      </c>
      <c r="AB207" s="361">
        <f t="shared" si="147"/>
        <v>63.81827704918323</v>
      </c>
      <c r="AC207" s="361">
        <f t="shared" si="147"/>
        <v>63.333258143610529</v>
      </c>
      <c r="AD207" s="361">
        <f t="shared" si="147"/>
        <v>62.851925381718949</v>
      </c>
      <c r="AE207" s="361">
        <f t="shared" si="147"/>
        <v>62.374250748817822</v>
      </c>
      <c r="AF207" s="361">
        <f t="shared" si="147"/>
        <v>61.900206443125924</v>
      </c>
      <c r="AG207" s="361">
        <f t="shared" si="147"/>
        <v>61.429764874158273</v>
      </c>
      <c r="AH207" s="362">
        <f t="shared" si="147"/>
        <v>60.962898661115247</v>
      </c>
      <c r="AI207" s="237"/>
      <c r="AJ207" s="237"/>
      <c r="AK207" s="237"/>
      <c r="AL207" s="237"/>
      <c r="AM207" s="237"/>
      <c r="AN207" s="237"/>
      <c r="AO207" s="237"/>
      <c r="AP207" s="237"/>
      <c r="AQ207" s="237"/>
      <c r="AR207" s="237"/>
      <c r="AS207" s="237"/>
      <c r="AT207" s="237"/>
      <c r="AU207" s="237"/>
      <c r="AV207" s="237"/>
      <c r="AW207" s="237"/>
      <c r="AX207" s="237"/>
    </row>
    <row r="208" spans="3:50" x14ac:dyDescent="0.25">
      <c r="C208" s="228"/>
      <c r="D208" s="670" t="s">
        <v>28</v>
      </c>
      <c r="E208" s="671"/>
      <c r="F208" s="320" t="s">
        <v>374</v>
      </c>
      <c r="G208" s="321" t="s">
        <v>336</v>
      </c>
      <c r="H208" s="321" t="s">
        <v>336</v>
      </c>
      <c r="I208" s="361">
        <f t="shared" si="142"/>
        <v>0</v>
      </c>
      <c r="J208" s="361"/>
      <c r="K208" s="361">
        <f t="shared" si="143"/>
        <v>0</v>
      </c>
      <c r="L208" s="361"/>
      <c r="M208" s="361">
        <f t="shared" si="144"/>
        <v>0</v>
      </c>
      <c r="N208" s="361"/>
      <c r="O208" s="361">
        <f t="shared" si="145"/>
        <v>0</v>
      </c>
      <c r="P208" s="361"/>
      <c r="Q208" s="361">
        <f t="shared" ref="Q208:AH208" si="148">Q122*1000</f>
        <v>19.647178328199846</v>
      </c>
      <c r="R208" s="361">
        <f t="shared" si="148"/>
        <v>2.3783111431541138E-5</v>
      </c>
      <c r="S208" s="361">
        <f t="shared" si="148"/>
        <v>-1.5300469047907182E-2</v>
      </c>
      <c r="T208" s="361">
        <f t="shared" si="148"/>
        <v>8.3146035807846307E-3</v>
      </c>
      <c r="U208" s="361">
        <f t="shared" si="148"/>
        <v>5.3028583863788869E-3</v>
      </c>
      <c r="V208" s="361">
        <f t="shared" si="148"/>
        <v>6.0901109223117167E-3</v>
      </c>
      <c r="W208" s="361">
        <f t="shared" si="148"/>
        <v>5.8954827645453243E-3</v>
      </c>
      <c r="X208" s="361">
        <f t="shared" si="148"/>
        <v>5.3075262684368386E-3</v>
      </c>
      <c r="Y208" s="361">
        <f t="shared" si="148"/>
        <v>4.5224468115612681E-3</v>
      </c>
      <c r="Z208" s="361">
        <f t="shared" si="148"/>
        <v>6.2636971827308638E-3</v>
      </c>
      <c r="AA208" s="361">
        <f t="shared" si="148"/>
        <v>5.5994453996019954E-3</v>
      </c>
      <c r="AB208" s="361">
        <f t="shared" si="148"/>
        <v>4.3215069887206524E-3</v>
      </c>
      <c r="AC208" s="361">
        <f t="shared" si="148"/>
        <v>4.6886977899408336E-3</v>
      </c>
      <c r="AD208" s="361">
        <f t="shared" si="148"/>
        <v>6.2368704520153091E-3</v>
      </c>
      <c r="AE208" s="361">
        <f t="shared" si="148"/>
        <v>4.8583483969793636E-3</v>
      </c>
      <c r="AF208" s="361">
        <f t="shared" si="148"/>
        <v>5.6959220125671747E-3</v>
      </c>
      <c r="AG208" s="361">
        <f t="shared" si="148"/>
        <v>4.6634953876500927E-3</v>
      </c>
      <c r="AH208" s="362">
        <f t="shared" si="148"/>
        <v>4.6602636878313444E-3</v>
      </c>
      <c r="AI208" s="237"/>
      <c r="AJ208" s="237"/>
      <c r="AK208" s="237"/>
      <c r="AL208" s="237"/>
      <c r="AM208" s="237"/>
      <c r="AN208" s="237"/>
      <c r="AO208" s="237"/>
      <c r="AP208" s="237"/>
      <c r="AQ208" s="237"/>
      <c r="AR208" s="237"/>
      <c r="AS208" s="237"/>
      <c r="AT208" s="237"/>
      <c r="AU208" s="237"/>
      <c r="AV208" s="237"/>
      <c r="AW208" s="237"/>
      <c r="AX208" s="237"/>
    </row>
    <row r="209" spans="3:50" x14ac:dyDescent="0.25">
      <c r="C209" s="228"/>
      <c r="D209" s="673" t="s">
        <v>19</v>
      </c>
      <c r="E209" s="674"/>
      <c r="F209" s="320" t="s">
        <v>374</v>
      </c>
      <c r="G209" s="321"/>
      <c r="H209" s="321"/>
      <c r="I209" s="361">
        <f t="shared" si="142"/>
        <v>0</v>
      </c>
      <c r="J209" s="361"/>
      <c r="K209" s="361">
        <f t="shared" si="143"/>
        <v>0</v>
      </c>
      <c r="L209" s="361"/>
      <c r="M209" s="361">
        <f t="shared" si="144"/>
        <v>0</v>
      </c>
      <c r="N209" s="361"/>
      <c r="O209" s="361">
        <f t="shared" si="145"/>
        <v>0</v>
      </c>
      <c r="P209" s="361"/>
      <c r="Q209" s="361">
        <f t="shared" ref="Q209:AH209" si="149">Q123*1000</f>
        <v>349.25462999999996</v>
      </c>
      <c r="R209" s="361">
        <f t="shared" si="149"/>
        <v>1.9207041015838253</v>
      </c>
      <c r="S209" s="361">
        <f t="shared" si="149"/>
        <v>0.426944315569453</v>
      </c>
      <c r="T209" s="361">
        <f t="shared" si="149"/>
        <v>4.0482671003459014</v>
      </c>
      <c r="U209" s="361">
        <f t="shared" si="149"/>
        <v>4.16432249194437</v>
      </c>
      <c r="V209" s="361">
        <f t="shared" si="149"/>
        <v>3.5986446170855002</v>
      </c>
      <c r="W209" s="361">
        <f t="shared" si="149"/>
        <v>3.8486346472086552</v>
      </c>
      <c r="X209" s="361">
        <f t="shared" si="149"/>
        <v>2.9498781431310661</v>
      </c>
      <c r="Y209" s="361">
        <f t="shared" si="149"/>
        <v>2.4544206112667055</v>
      </c>
      <c r="Z209" s="361">
        <f t="shared" si="149"/>
        <v>3.2195074655037637</v>
      </c>
      <c r="AA209" s="361">
        <f t="shared" si="149"/>
        <v>2.7519582017127315</v>
      </c>
      <c r="AB209" s="361">
        <f t="shared" si="149"/>
        <v>1.6091039925750203</v>
      </c>
      <c r="AC209" s="361">
        <f t="shared" si="149"/>
        <v>1.8776738860160158</v>
      </c>
      <c r="AD209" s="361">
        <f t="shared" si="149"/>
        <v>2.7164384876933223</v>
      </c>
      <c r="AE209" s="361">
        <f t="shared" si="149"/>
        <v>1.7649447317271338</v>
      </c>
      <c r="AF209" s="361">
        <f t="shared" si="149"/>
        <v>2.2605274662878645</v>
      </c>
      <c r="AG209" s="361">
        <f t="shared" si="149"/>
        <v>1.582666821673131</v>
      </c>
      <c r="AH209" s="362">
        <f t="shared" si="149"/>
        <v>1.6489281862883942</v>
      </c>
      <c r="AI209" s="237"/>
      <c r="AJ209" s="237"/>
      <c r="AK209" s="237"/>
      <c r="AL209" s="237"/>
      <c r="AM209" s="237"/>
      <c r="AN209" s="237"/>
      <c r="AO209" s="237"/>
      <c r="AP209" s="237"/>
      <c r="AQ209" s="237"/>
      <c r="AR209" s="237"/>
      <c r="AS209" s="237"/>
      <c r="AT209" s="237"/>
      <c r="AU209" s="237"/>
      <c r="AV209" s="237"/>
      <c r="AW209" s="237"/>
      <c r="AX209" s="237"/>
    </row>
    <row r="210" spans="3:50" x14ac:dyDescent="0.25">
      <c r="C210" s="228"/>
      <c r="D210" s="673" t="s">
        <v>344</v>
      </c>
      <c r="E210" s="674"/>
      <c r="F210" s="321" t="s">
        <v>374</v>
      </c>
      <c r="G210" s="321" t="s">
        <v>336</v>
      </c>
      <c r="H210" s="321" t="s">
        <v>336</v>
      </c>
      <c r="I210" s="361">
        <f t="shared" si="142"/>
        <v>0</v>
      </c>
      <c r="J210" s="361"/>
      <c r="K210" s="361">
        <f t="shared" si="143"/>
        <v>0</v>
      </c>
      <c r="L210" s="361"/>
      <c r="M210" s="361">
        <f t="shared" si="144"/>
        <v>0</v>
      </c>
      <c r="N210" s="361"/>
      <c r="O210" s="361">
        <f t="shared" si="145"/>
        <v>0</v>
      </c>
      <c r="P210" s="361"/>
      <c r="Q210" s="361">
        <f t="shared" ref="Q210:AH210" si="150">Q124*1000</f>
        <v>1.321606649999969</v>
      </c>
      <c r="R210" s="361">
        <f t="shared" si="150"/>
        <v>-1.321606649999969</v>
      </c>
      <c r="S210" s="361">
        <f t="shared" si="150"/>
        <v>-1.3827449999999919</v>
      </c>
      <c r="T210" s="361">
        <f t="shared" si="150"/>
        <v>-1.3827449999999919</v>
      </c>
      <c r="U210" s="361">
        <f t="shared" si="150"/>
        <v>-1.3827449999999919</v>
      </c>
      <c r="V210" s="361">
        <f t="shared" si="150"/>
        <v>-1.3827449999999919</v>
      </c>
      <c r="W210" s="361">
        <f t="shared" si="150"/>
        <v>-1.3827450000000787</v>
      </c>
      <c r="X210" s="361">
        <f t="shared" si="150"/>
        <v>-1.3827449999999919</v>
      </c>
      <c r="Y210" s="361">
        <f t="shared" si="150"/>
        <v>-1.3827449999999919</v>
      </c>
      <c r="Z210" s="361">
        <f t="shared" si="150"/>
        <v>-1.3827449999999919</v>
      </c>
      <c r="AA210" s="361">
        <f t="shared" si="150"/>
        <v>-1.3827449999999919</v>
      </c>
      <c r="AB210" s="361">
        <f t="shared" si="150"/>
        <v>-1.3827449999999919</v>
      </c>
      <c r="AC210" s="361">
        <f t="shared" si="150"/>
        <v>-1.3827449999999919</v>
      </c>
      <c r="AD210" s="361">
        <f t="shared" si="150"/>
        <v>-1.3827449999999919</v>
      </c>
      <c r="AE210" s="361">
        <f t="shared" si="150"/>
        <v>-1.3827449999999919</v>
      </c>
      <c r="AF210" s="361">
        <f t="shared" si="150"/>
        <v>-1.3827449999999919</v>
      </c>
      <c r="AG210" s="361">
        <f t="shared" si="150"/>
        <v>-1.3827449999999919</v>
      </c>
      <c r="AH210" s="362">
        <f t="shared" si="150"/>
        <v>-1.3827450000000787</v>
      </c>
      <c r="AI210" s="237"/>
      <c r="AJ210" s="237"/>
      <c r="AK210" s="237"/>
      <c r="AL210" s="237"/>
      <c r="AM210" s="237"/>
      <c r="AN210" s="237"/>
      <c r="AO210" s="237"/>
      <c r="AP210" s="237"/>
      <c r="AQ210" s="237"/>
      <c r="AR210" s="237"/>
      <c r="AS210" s="237"/>
      <c r="AT210" s="237"/>
      <c r="AU210" s="237"/>
      <c r="AV210" s="237"/>
      <c r="AW210" s="237"/>
      <c r="AX210" s="237"/>
    </row>
    <row r="211" spans="3:50" x14ac:dyDescent="0.25">
      <c r="C211" s="228"/>
      <c r="D211" s="670" t="s">
        <v>5</v>
      </c>
      <c r="E211" s="671"/>
      <c r="F211" s="320" t="s">
        <v>374</v>
      </c>
      <c r="G211" s="321" t="s">
        <v>336</v>
      </c>
      <c r="H211" s="321" t="s">
        <v>336</v>
      </c>
      <c r="I211" s="361">
        <f t="shared" si="142"/>
        <v>0</v>
      </c>
      <c r="J211" s="361"/>
      <c r="K211" s="361">
        <f t="shared" si="143"/>
        <v>0</v>
      </c>
      <c r="L211" s="361"/>
      <c r="M211" s="361">
        <f t="shared" si="144"/>
        <v>0</v>
      </c>
      <c r="N211" s="361"/>
      <c r="O211" s="361">
        <f t="shared" si="145"/>
        <v>0</v>
      </c>
      <c r="P211" s="361"/>
      <c r="Q211" s="361">
        <f t="shared" ref="Q211:AH211" si="151">Q125*1000</f>
        <v>68.240104568999996</v>
      </c>
      <c r="R211" s="361">
        <f t="shared" si="151"/>
        <v>-9.4171344305220686E-2</v>
      </c>
      <c r="S211" s="361">
        <f t="shared" si="151"/>
        <v>-9.4041387850082994E-2</v>
      </c>
      <c r="T211" s="361">
        <f t="shared" si="151"/>
        <v>-9.391161073485163E-2</v>
      </c>
      <c r="U211" s="361">
        <f t="shared" si="151"/>
        <v>-9.3782012712037191E-2</v>
      </c>
      <c r="V211" s="361">
        <f t="shared" si="151"/>
        <v>-9.365259353448907E-2</v>
      </c>
      <c r="W211" s="361">
        <f t="shared" si="151"/>
        <v>-9.3523352955410768E-2</v>
      </c>
      <c r="X211" s="361">
        <f t="shared" si="151"/>
        <v>-9.3394290728336923E-2</v>
      </c>
      <c r="Y211" s="361">
        <f t="shared" si="151"/>
        <v>-9.32654066071332E-2</v>
      </c>
      <c r="Z211" s="361">
        <f t="shared" si="151"/>
        <v>-9.3136700346011791E-2</v>
      </c>
      <c r="AA211" s="361">
        <f t="shared" si="151"/>
        <v>-9.3008171699538983E-2</v>
      </c>
      <c r="AB211" s="361">
        <f t="shared" si="151"/>
        <v>-9.2879820422589132E-2</v>
      </c>
      <c r="AC211" s="361">
        <f t="shared" si="151"/>
        <v>-9.2751646270406093E-2</v>
      </c>
      <c r="AD211" s="361">
        <f t="shared" si="151"/>
        <v>-9.2623648998557129E-2</v>
      </c>
      <c r="AE211" s="361">
        <f t="shared" si="151"/>
        <v>-9.2495828362932839E-2</v>
      </c>
      <c r="AF211" s="361">
        <f t="shared" si="151"/>
        <v>-9.2368184119793459E-2</v>
      </c>
      <c r="AG211" s="361">
        <f t="shared" si="151"/>
        <v>-9.2240716025707159E-2</v>
      </c>
      <c r="AH211" s="362">
        <f t="shared" si="151"/>
        <v>-9.2113423837596256E-2</v>
      </c>
      <c r="AI211" s="237"/>
      <c r="AJ211" s="237"/>
      <c r="AK211" s="237"/>
      <c r="AL211" s="237"/>
      <c r="AM211" s="237"/>
      <c r="AN211" s="237"/>
      <c r="AO211" s="237"/>
      <c r="AP211" s="237"/>
      <c r="AQ211" s="237"/>
      <c r="AR211" s="237"/>
      <c r="AS211" s="237"/>
      <c r="AT211" s="237"/>
      <c r="AU211" s="237"/>
      <c r="AV211" s="237"/>
      <c r="AW211" s="237"/>
      <c r="AX211" s="237"/>
    </row>
    <row r="212" spans="3:50" x14ac:dyDescent="0.25">
      <c r="C212" s="228"/>
      <c r="D212" s="670" t="s">
        <v>6</v>
      </c>
      <c r="E212" s="671"/>
      <c r="F212" s="320" t="s">
        <v>374</v>
      </c>
      <c r="G212" s="321" t="s">
        <v>336</v>
      </c>
      <c r="H212" s="321" t="s">
        <v>336</v>
      </c>
      <c r="I212" s="361">
        <f t="shared" si="142"/>
        <v>0</v>
      </c>
      <c r="J212" s="361"/>
      <c r="K212" s="361">
        <f t="shared" si="143"/>
        <v>0</v>
      </c>
      <c r="L212" s="361"/>
      <c r="M212" s="361">
        <f t="shared" si="144"/>
        <v>0</v>
      </c>
      <c r="N212" s="361"/>
      <c r="O212" s="361">
        <f t="shared" si="145"/>
        <v>0</v>
      </c>
      <c r="P212" s="361"/>
      <c r="Q212" s="361">
        <f t="shared" ref="Q212:AH212" si="152">Q126*1000</f>
        <v>0</v>
      </c>
      <c r="R212" s="361">
        <f t="shared" si="152"/>
        <v>0</v>
      </c>
      <c r="S212" s="361">
        <f t="shared" si="152"/>
        <v>0</v>
      </c>
      <c r="T212" s="361">
        <f t="shared" si="152"/>
        <v>0</v>
      </c>
      <c r="U212" s="361">
        <f t="shared" si="152"/>
        <v>0</v>
      </c>
      <c r="V212" s="361">
        <f t="shared" si="152"/>
        <v>0</v>
      </c>
      <c r="W212" s="361">
        <f t="shared" si="152"/>
        <v>0</v>
      </c>
      <c r="X212" s="361">
        <f t="shared" si="152"/>
        <v>0</v>
      </c>
      <c r="Y212" s="361">
        <f t="shared" si="152"/>
        <v>0</v>
      </c>
      <c r="Z212" s="361">
        <f t="shared" si="152"/>
        <v>0</v>
      </c>
      <c r="AA212" s="361">
        <f t="shared" si="152"/>
        <v>0</v>
      </c>
      <c r="AB212" s="361">
        <f t="shared" si="152"/>
        <v>0</v>
      </c>
      <c r="AC212" s="361">
        <f t="shared" si="152"/>
        <v>0</v>
      </c>
      <c r="AD212" s="361">
        <f t="shared" si="152"/>
        <v>0</v>
      </c>
      <c r="AE212" s="361">
        <f t="shared" si="152"/>
        <v>0</v>
      </c>
      <c r="AF212" s="361">
        <f t="shared" si="152"/>
        <v>0</v>
      </c>
      <c r="AG212" s="361">
        <f t="shared" si="152"/>
        <v>0</v>
      </c>
      <c r="AH212" s="362">
        <f t="shared" si="152"/>
        <v>0</v>
      </c>
      <c r="AI212" s="237"/>
      <c r="AJ212" s="237"/>
      <c r="AK212" s="237"/>
      <c r="AL212" s="237"/>
      <c r="AM212" s="237"/>
      <c r="AN212" s="237"/>
      <c r="AO212" s="237"/>
      <c r="AP212" s="237"/>
      <c r="AQ212" s="237"/>
      <c r="AR212" s="237"/>
      <c r="AS212" s="237"/>
      <c r="AT212" s="237"/>
      <c r="AU212" s="237"/>
      <c r="AV212" s="237"/>
      <c r="AW212" s="237"/>
      <c r="AX212" s="237"/>
    </row>
    <row r="213" spans="3:50" x14ac:dyDescent="0.25">
      <c r="C213" s="228"/>
      <c r="D213" s="670" t="s">
        <v>29</v>
      </c>
      <c r="E213" s="671"/>
      <c r="F213" s="320" t="s">
        <v>374</v>
      </c>
      <c r="G213" s="321" t="s">
        <v>336</v>
      </c>
      <c r="H213" s="321" t="s">
        <v>336</v>
      </c>
      <c r="I213" s="361">
        <f t="shared" si="142"/>
        <v>0</v>
      </c>
      <c r="J213" s="361"/>
      <c r="K213" s="361">
        <f t="shared" si="143"/>
        <v>0</v>
      </c>
      <c r="L213" s="361"/>
      <c r="M213" s="361">
        <f t="shared" si="144"/>
        <v>0</v>
      </c>
      <c r="N213" s="361"/>
      <c r="O213" s="361">
        <f t="shared" si="145"/>
        <v>0</v>
      </c>
      <c r="P213" s="361"/>
      <c r="Q213" s="361">
        <f t="shared" ref="Q213:AH213" si="153">Q127*1000</f>
        <v>5.6923087679999993</v>
      </c>
      <c r="R213" s="361">
        <f t="shared" si="153"/>
        <v>7.1368478026711271E-2</v>
      </c>
      <c r="S213" s="361">
        <f t="shared" si="153"/>
        <v>7.2263274824186832E-2</v>
      </c>
      <c r="T213" s="361">
        <f t="shared" si="153"/>
        <v>7.3169290318360586E-2</v>
      </c>
      <c r="U213" s="361">
        <f t="shared" si="153"/>
        <v>7.4009846738376572E-2</v>
      </c>
      <c r="V213" s="361">
        <f t="shared" si="153"/>
        <v>7.4936798104872263E-2</v>
      </c>
      <c r="W213" s="361">
        <f t="shared" si="153"/>
        <v>7.5875359262141784E-2</v>
      </c>
      <c r="X213" s="361">
        <f t="shared" si="153"/>
        <v>7.6825675619370343E-2</v>
      </c>
      <c r="Y213" s="361">
        <f t="shared" si="153"/>
        <v>7.7787894406947208E-2</v>
      </c>
      <c r="Z213" s="361">
        <f t="shared" si="153"/>
        <v>7.8762164699280726E-2</v>
      </c>
      <c r="AA213" s="361">
        <f t="shared" si="153"/>
        <v>7.974863743789129E-2</v>
      </c>
      <c r="AB213" s="361">
        <f t="shared" si="153"/>
        <v>8.0747465454798065E-2</v>
      </c>
      <c r="AC213" s="361">
        <f t="shared" si="153"/>
        <v>8.1758803496194035E-2</v>
      </c>
      <c r="AD213" s="361">
        <f t="shared" si="153"/>
        <v>8.2782808246423381E-2</v>
      </c>
      <c r="AE213" s="361">
        <f t="shared" si="153"/>
        <v>8.3819638352255935E-2</v>
      </c>
      <c r="AF213" s="361">
        <f t="shared" si="153"/>
        <v>8.4869454447464077E-2</v>
      </c>
      <c r="AG213" s="361">
        <f t="shared" si="153"/>
        <v>8.593241917771112E-2</v>
      </c>
      <c r="AH213" s="362">
        <f t="shared" si="153"/>
        <v>8.7008697225746584E-2</v>
      </c>
      <c r="AI213" s="237"/>
      <c r="AJ213" s="237"/>
      <c r="AK213" s="237"/>
      <c r="AL213" s="237"/>
      <c r="AM213" s="237"/>
      <c r="AN213" s="237"/>
      <c r="AO213" s="237"/>
      <c r="AP213" s="237"/>
      <c r="AQ213" s="237"/>
      <c r="AR213" s="237"/>
      <c r="AS213" s="237"/>
      <c r="AT213" s="237"/>
      <c r="AU213" s="237"/>
      <c r="AV213" s="237"/>
      <c r="AW213" s="237"/>
      <c r="AX213" s="237"/>
    </row>
    <row r="214" spans="3:50" x14ac:dyDescent="0.25">
      <c r="C214" s="228"/>
      <c r="D214" s="325" t="s">
        <v>336</v>
      </c>
      <c r="E214" s="282" t="s">
        <v>336</v>
      </c>
      <c r="F214" s="326" t="s">
        <v>372</v>
      </c>
      <c r="G214" s="327" t="s">
        <v>336</v>
      </c>
      <c r="H214" s="327" t="s">
        <v>336</v>
      </c>
      <c r="I214" s="328">
        <f t="shared" si="142"/>
        <v>131.02000000000001</v>
      </c>
      <c r="J214" s="328"/>
      <c r="K214" s="328">
        <f t="shared" si="143"/>
        <v>131.02000000000001</v>
      </c>
      <c r="L214" s="328"/>
      <c r="M214" s="328">
        <f t="shared" si="144"/>
        <v>131.02000000000001</v>
      </c>
      <c r="N214" s="328"/>
      <c r="O214" s="328">
        <f t="shared" si="145"/>
        <v>174.9</v>
      </c>
      <c r="P214" s="328"/>
      <c r="Q214" s="328">
        <f t="shared" ref="Q214:AH214" si="154">Q128*1000</f>
        <v>109.2</v>
      </c>
      <c r="R214" s="328">
        <f t="shared" si="154"/>
        <v>70.086128300340107</v>
      </c>
      <c r="S214" s="328">
        <f t="shared" si="154"/>
        <v>67.361174334071364</v>
      </c>
      <c r="T214" s="328">
        <f t="shared" si="154"/>
        <v>70.487657176721058</v>
      </c>
      <c r="U214" s="328">
        <f t="shared" si="154"/>
        <v>70.086128300340107</v>
      </c>
      <c r="V214" s="328">
        <f t="shared" si="154"/>
        <v>69.010669495678968</v>
      </c>
      <c r="W214" s="328">
        <f t="shared" si="154"/>
        <v>68.75379649310166</v>
      </c>
      <c r="X214" s="328">
        <f t="shared" si="154"/>
        <v>67.351654000000508</v>
      </c>
      <c r="Y214" s="328">
        <f t="shared" si="154"/>
        <v>66.35645454880094</v>
      </c>
      <c r="Z214" s="328">
        <f t="shared" si="154"/>
        <v>66.628138051539736</v>
      </c>
      <c r="AA214" s="328">
        <f t="shared" si="154"/>
        <v>65.668563440525091</v>
      </c>
      <c r="AB214" s="328">
        <f t="shared" si="154"/>
        <v>64.03682519377918</v>
      </c>
      <c r="AC214" s="328">
        <f t="shared" si="154"/>
        <v>63.821882884642285</v>
      </c>
      <c r="AD214" s="328">
        <f t="shared" si="154"/>
        <v>64.182014899112147</v>
      </c>
      <c r="AE214" s="328">
        <f t="shared" si="154"/>
        <v>62.752632638931274</v>
      </c>
      <c r="AF214" s="328">
        <f t="shared" si="154"/>
        <v>62.776186101754035</v>
      </c>
      <c r="AG214" s="328">
        <f t="shared" si="154"/>
        <v>61.628041894371066</v>
      </c>
      <c r="AH214" s="363">
        <f t="shared" si="154"/>
        <v>61.228637384479541</v>
      </c>
      <c r="AI214" s="237"/>
      <c r="AJ214" s="237"/>
      <c r="AK214" s="237"/>
      <c r="AL214" s="237"/>
      <c r="AM214" s="237"/>
      <c r="AN214" s="237"/>
      <c r="AO214" s="237"/>
      <c r="AP214" s="237"/>
      <c r="AQ214" s="237"/>
      <c r="AR214" s="237"/>
      <c r="AS214" s="237"/>
      <c r="AT214" s="237"/>
      <c r="AU214" s="237"/>
      <c r="AV214" s="237"/>
      <c r="AW214" s="237"/>
      <c r="AX214" s="237"/>
    </row>
    <row r="215" spans="3:50" x14ac:dyDescent="0.25">
      <c r="C215" s="228"/>
      <c r="D215" s="325"/>
      <c r="E215" s="282"/>
      <c r="F215" s="282"/>
      <c r="G215" s="330"/>
      <c r="H215" s="330"/>
      <c r="I215" s="364"/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  <c r="AA215" s="364"/>
      <c r="AB215" s="364"/>
      <c r="AC215" s="364"/>
      <c r="AD215" s="364"/>
      <c r="AE215" s="364"/>
      <c r="AF215" s="364"/>
      <c r="AG215" s="364"/>
      <c r="AH215" s="365"/>
      <c r="AI215" s="237"/>
      <c r="AJ215" s="237"/>
      <c r="AK215" s="237"/>
      <c r="AL215" s="237"/>
      <c r="AM215" s="237"/>
      <c r="AN215" s="237"/>
      <c r="AO215" s="237"/>
      <c r="AP215" s="237"/>
      <c r="AQ215" s="237"/>
      <c r="AR215" s="237"/>
      <c r="AS215" s="237"/>
      <c r="AT215" s="237"/>
      <c r="AU215" s="237"/>
      <c r="AV215" s="237"/>
      <c r="AW215" s="237"/>
      <c r="AX215" s="237"/>
    </row>
    <row r="216" spans="3:50" ht="15.75" x14ac:dyDescent="0.25">
      <c r="C216" s="228"/>
      <c r="D216" s="243"/>
      <c r="E216" s="282"/>
      <c r="F216" s="248" t="s">
        <v>375</v>
      </c>
      <c r="G216" s="245"/>
      <c r="H216" s="245"/>
      <c r="I216" s="333">
        <f t="shared" ref="I216:I223" si="155">I130*1000</f>
        <v>0</v>
      </c>
      <c r="J216" s="333"/>
      <c r="K216" s="333">
        <f t="shared" ref="K216:K223" si="156">K130*1000</f>
        <v>0</v>
      </c>
      <c r="L216" s="333"/>
      <c r="M216" s="333">
        <f t="shared" ref="M216:M223" si="157">M130*1000</f>
        <v>0</v>
      </c>
      <c r="N216" s="333"/>
      <c r="O216" s="333">
        <f t="shared" ref="O216:O223" si="158">O130*1000</f>
        <v>0</v>
      </c>
      <c r="P216" s="333"/>
      <c r="Q216" s="333">
        <f t="shared" ref="Q216:AH216" si="159">Q130*1000</f>
        <v>0</v>
      </c>
      <c r="R216" s="333">
        <f t="shared" si="159"/>
        <v>0</v>
      </c>
      <c r="S216" s="333">
        <f t="shared" si="159"/>
        <v>0</v>
      </c>
      <c r="T216" s="333">
        <f t="shared" si="159"/>
        <v>0</v>
      </c>
      <c r="U216" s="333">
        <f t="shared" si="159"/>
        <v>0</v>
      </c>
      <c r="V216" s="333">
        <f t="shared" si="159"/>
        <v>0</v>
      </c>
      <c r="W216" s="333">
        <f t="shared" si="159"/>
        <v>0</v>
      </c>
      <c r="X216" s="333">
        <f t="shared" si="159"/>
        <v>0</v>
      </c>
      <c r="Y216" s="333">
        <f t="shared" si="159"/>
        <v>0</v>
      </c>
      <c r="Z216" s="333">
        <f t="shared" si="159"/>
        <v>0</v>
      </c>
      <c r="AA216" s="333">
        <f t="shared" si="159"/>
        <v>0</v>
      </c>
      <c r="AB216" s="333">
        <f t="shared" si="159"/>
        <v>0</v>
      </c>
      <c r="AC216" s="333">
        <f t="shared" si="159"/>
        <v>0</v>
      </c>
      <c r="AD216" s="333">
        <f t="shared" si="159"/>
        <v>0</v>
      </c>
      <c r="AE216" s="333">
        <f t="shared" si="159"/>
        <v>0</v>
      </c>
      <c r="AF216" s="333">
        <f t="shared" si="159"/>
        <v>0</v>
      </c>
      <c r="AG216" s="333">
        <f t="shared" si="159"/>
        <v>0</v>
      </c>
      <c r="AH216" s="366">
        <f t="shared" si="159"/>
        <v>0</v>
      </c>
      <c r="AI216" s="237"/>
      <c r="AJ216" s="237"/>
      <c r="AK216" s="237"/>
      <c r="AL216" s="237"/>
      <c r="AM216" s="237"/>
      <c r="AN216" s="237"/>
      <c r="AO216" s="237"/>
      <c r="AP216" s="237"/>
      <c r="AQ216" s="237"/>
      <c r="AR216" s="237"/>
      <c r="AS216" s="237"/>
      <c r="AT216" s="237"/>
      <c r="AU216" s="237"/>
      <c r="AV216" s="237"/>
      <c r="AW216" s="237"/>
      <c r="AX216" s="237"/>
    </row>
    <row r="217" spans="3:50" x14ac:dyDescent="0.25">
      <c r="C217" s="228"/>
      <c r="D217" s="670" t="s">
        <v>341</v>
      </c>
      <c r="E217" s="672"/>
      <c r="F217" s="320" t="s">
        <v>376</v>
      </c>
      <c r="G217" s="321" t="s">
        <v>336</v>
      </c>
      <c r="H217" s="321" t="s">
        <v>336</v>
      </c>
      <c r="I217" s="361">
        <f t="shared" si="155"/>
        <v>0</v>
      </c>
      <c r="J217" s="361"/>
      <c r="K217" s="361">
        <f t="shared" si="156"/>
        <v>0</v>
      </c>
      <c r="L217" s="361"/>
      <c r="M217" s="361">
        <f t="shared" si="157"/>
        <v>0</v>
      </c>
      <c r="N217" s="361"/>
      <c r="O217" s="361">
        <f t="shared" si="158"/>
        <v>0</v>
      </c>
      <c r="P217" s="361"/>
      <c r="Q217" s="361">
        <f t="shared" ref="Q217:AH217" si="160">Q131*1000</f>
        <v>1.8</v>
      </c>
      <c r="R217" s="361">
        <f t="shared" si="160"/>
        <v>2.0648660224500048</v>
      </c>
      <c r="S217" s="361">
        <f t="shared" si="160"/>
        <v>2.1375823442966104</v>
      </c>
      <c r="T217" s="361">
        <f t="shared" si="160"/>
        <v>2.1213367184799417</v>
      </c>
      <c r="U217" s="361">
        <f t="shared" si="160"/>
        <v>2.1052145594195117</v>
      </c>
      <c r="V217" s="361">
        <f t="shared" si="160"/>
        <v>2.0892149287678983</v>
      </c>
      <c r="W217" s="361">
        <f t="shared" si="160"/>
        <v>2.0733368953092817</v>
      </c>
      <c r="X217" s="361">
        <f t="shared" si="160"/>
        <v>2.0575795349049315</v>
      </c>
      <c r="Y217" s="361">
        <f t="shared" si="160"/>
        <v>2.0419419304396627</v>
      </c>
      <c r="Z217" s="361">
        <f t="shared" si="160"/>
        <v>2.0264231717683003</v>
      </c>
      <c r="AA217" s="361">
        <f t="shared" si="160"/>
        <v>2.011022355662881</v>
      </c>
      <c r="AB217" s="361">
        <f t="shared" si="160"/>
        <v>1.9957385857598169</v>
      </c>
      <c r="AC217" s="361">
        <f t="shared" si="160"/>
        <v>1.9805709725080758</v>
      </c>
      <c r="AD217" s="361">
        <f t="shared" si="160"/>
        <v>1.9655186331170105</v>
      </c>
      <c r="AE217" s="361">
        <f t="shared" si="160"/>
        <v>1.950580691505319</v>
      </c>
      <c r="AF217" s="361">
        <f t="shared" si="160"/>
        <v>1.9357562782498512</v>
      </c>
      <c r="AG217" s="361">
        <f t="shared" si="160"/>
        <v>1.9210445305351556</v>
      </c>
      <c r="AH217" s="362">
        <f t="shared" si="160"/>
        <v>1.9064445921031066</v>
      </c>
      <c r="AI217" s="237"/>
      <c r="AJ217" s="237"/>
      <c r="AK217" s="237"/>
      <c r="AL217" s="237"/>
      <c r="AM217" s="237"/>
      <c r="AN217" s="237"/>
      <c r="AO217" s="237"/>
      <c r="AP217" s="237"/>
      <c r="AQ217" s="237"/>
      <c r="AR217" s="237"/>
      <c r="AS217" s="237"/>
      <c r="AT217" s="237"/>
      <c r="AU217" s="237"/>
      <c r="AV217" s="237"/>
      <c r="AW217" s="237"/>
      <c r="AX217" s="237"/>
    </row>
    <row r="218" spans="3:50" x14ac:dyDescent="0.25">
      <c r="C218" s="228"/>
      <c r="D218" s="670" t="s">
        <v>28</v>
      </c>
      <c r="E218" s="671"/>
      <c r="F218" s="320" t="s">
        <v>376</v>
      </c>
      <c r="G218" s="321" t="s">
        <v>336</v>
      </c>
      <c r="H218" s="321" t="s">
        <v>336</v>
      </c>
      <c r="I218" s="361">
        <f t="shared" si="155"/>
        <v>1.63</v>
      </c>
      <c r="J218" s="361"/>
      <c r="K218" s="361">
        <f t="shared" si="156"/>
        <v>1.63</v>
      </c>
      <c r="L218" s="361"/>
      <c r="M218" s="361">
        <f t="shared" si="157"/>
        <v>1.63</v>
      </c>
      <c r="N218" s="361"/>
      <c r="O218" s="361">
        <f t="shared" si="158"/>
        <v>0.11</v>
      </c>
      <c r="P218" s="361"/>
      <c r="Q218" s="361">
        <f t="shared" ref="Q218:AH218" si="161">Q132*1000</f>
        <v>4.37</v>
      </c>
      <c r="R218" s="361">
        <f t="shared" si="161"/>
        <v>4.8733254576355252E-5</v>
      </c>
      <c r="S218" s="361">
        <f t="shared" si="161"/>
        <v>-3.1351728532055534E-2</v>
      </c>
      <c r="T218" s="361">
        <f t="shared" si="161"/>
        <v>1.703720281386226E-2</v>
      </c>
      <c r="U218" s="361">
        <f t="shared" si="161"/>
        <v>1.0865926793036801E-2</v>
      </c>
      <c r="V218" s="361">
        <f t="shared" si="161"/>
        <v>1.2479062162642635E-2</v>
      </c>
      <c r="W218" s="361">
        <f t="shared" si="161"/>
        <v>1.2080255488946536E-2</v>
      </c>
      <c r="X218" s="361">
        <f t="shared" si="161"/>
        <v>1.0875491609033118E-2</v>
      </c>
      <c r="Y218" s="361">
        <f t="shared" si="161"/>
        <v>9.2668090300226935E-3</v>
      </c>
      <c r="Z218" s="361">
        <f t="shared" si="161"/>
        <v>1.2834752520664712E-2</v>
      </c>
      <c r="AA218" s="361">
        <f t="shared" si="161"/>
        <v>1.147365427482769E-2</v>
      </c>
      <c r="AB218" s="361">
        <f t="shared" si="161"/>
        <v>8.8550693142497305E-3</v>
      </c>
      <c r="AC218" s="361">
        <f t="shared" si="161"/>
        <v>9.6074688833922006E-3</v>
      </c>
      <c r="AD218" s="361">
        <f t="shared" si="161"/>
        <v>1.2779782677834197E-2</v>
      </c>
      <c r="AE218" s="361">
        <f t="shared" si="161"/>
        <v>9.9550948130625039E-3</v>
      </c>
      <c r="AF218" s="361">
        <f t="shared" si="161"/>
        <v>1.1671341585583056E-2</v>
      </c>
      <c r="AG218" s="361">
        <f t="shared" si="161"/>
        <v>9.5558274028270662E-3</v>
      </c>
      <c r="AH218" s="362">
        <f t="shared" si="161"/>
        <v>9.5492054244356028E-3</v>
      </c>
      <c r="AI218" s="237"/>
      <c r="AJ218" s="237"/>
      <c r="AK218" s="237"/>
      <c r="AL218" s="237"/>
      <c r="AM218" s="237"/>
      <c r="AN218" s="237"/>
      <c r="AO218" s="237"/>
      <c r="AP218" s="237"/>
      <c r="AQ218" s="237"/>
      <c r="AR218" s="237"/>
      <c r="AS218" s="237"/>
      <c r="AT218" s="237"/>
      <c r="AU218" s="237"/>
      <c r="AV218" s="237"/>
      <c r="AW218" s="237"/>
      <c r="AX218" s="237"/>
    </row>
    <row r="219" spans="3:50" x14ac:dyDescent="0.25">
      <c r="C219" s="228"/>
      <c r="D219" s="670" t="s">
        <v>19</v>
      </c>
      <c r="E219" s="671"/>
      <c r="F219" s="320" t="s">
        <v>376</v>
      </c>
      <c r="G219" s="321" t="s">
        <v>336</v>
      </c>
      <c r="H219" s="321" t="s">
        <v>336</v>
      </c>
      <c r="I219" s="361">
        <f t="shared" si="155"/>
        <v>66.53</v>
      </c>
      <c r="J219" s="361"/>
      <c r="K219" s="361">
        <f t="shared" si="156"/>
        <v>66.53</v>
      </c>
      <c r="L219" s="361"/>
      <c r="M219" s="361">
        <f t="shared" si="157"/>
        <v>66.53</v>
      </c>
      <c r="N219" s="361"/>
      <c r="O219" s="361">
        <f t="shared" si="158"/>
        <v>21.95</v>
      </c>
      <c r="P219" s="361"/>
      <c r="Q219" s="361">
        <f t="shared" ref="Q219:AH219" si="162">Q133*1000</f>
        <v>16.049999999999997</v>
      </c>
      <c r="R219" s="361">
        <f t="shared" si="162"/>
        <v>6.6029538781115074</v>
      </c>
      <c r="S219" s="361">
        <f t="shared" si="162"/>
        <v>1.4677396804132083</v>
      </c>
      <c r="T219" s="361">
        <f t="shared" si="162"/>
        <v>13.917042676078021</v>
      </c>
      <c r="U219" s="361">
        <f t="shared" si="162"/>
        <v>14.316015322306535</v>
      </c>
      <c r="V219" s="361">
        <f t="shared" si="162"/>
        <v>12.371340494736152</v>
      </c>
      <c r="W219" s="361">
        <f t="shared" si="162"/>
        <v>13.230750664959533</v>
      </c>
      <c r="X219" s="361">
        <f t="shared" si="162"/>
        <v>10.141025527608354</v>
      </c>
      <c r="Y219" s="361">
        <f t="shared" si="162"/>
        <v>8.4377526347324299</v>
      </c>
      <c r="Z219" s="361">
        <f t="shared" si="162"/>
        <v>11.067951220298495</v>
      </c>
      <c r="AA219" s="361">
        <f t="shared" si="162"/>
        <v>9.4606207512213256</v>
      </c>
      <c r="AB219" s="361">
        <f t="shared" si="162"/>
        <v>5.5317419478079035</v>
      </c>
      <c r="AC219" s="361">
        <f t="shared" si="162"/>
        <v>6.4550255592595036</v>
      </c>
      <c r="AD219" s="361">
        <f t="shared" si="162"/>
        <v>9.3385118676923771</v>
      </c>
      <c r="AE219" s="361">
        <f t="shared" si="162"/>
        <v>6.0674877777375027</v>
      </c>
      <c r="AF219" s="361">
        <f t="shared" si="162"/>
        <v>7.7711910896607268</v>
      </c>
      <c r="AG219" s="361">
        <f t="shared" si="162"/>
        <v>5.4408568291740753</v>
      </c>
      <c r="AH219" s="362">
        <f t="shared" si="162"/>
        <v>5.6686486759736576</v>
      </c>
      <c r="AI219" s="237"/>
      <c r="AJ219" s="237"/>
      <c r="AK219" s="237"/>
      <c r="AL219" s="237"/>
      <c r="AM219" s="237"/>
      <c r="AN219" s="237"/>
      <c r="AO219" s="237"/>
      <c r="AP219" s="237"/>
      <c r="AQ219" s="237"/>
      <c r="AR219" s="237"/>
      <c r="AS219" s="237"/>
      <c r="AT219" s="237"/>
      <c r="AU219" s="237"/>
      <c r="AV219" s="237"/>
      <c r="AW219" s="237"/>
      <c r="AX219" s="237"/>
    </row>
    <row r="220" spans="3:50" x14ac:dyDescent="0.25">
      <c r="C220" s="228"/>
      <c r="D220" s="670" t="s">
        <v>343</v>
      </c>
      <c r="E220" s="671"/>
      <c r="F220" s="321" t="s">
        <v>376</v>
      </c>
      <c r="G220" s="321"/>
      <c r="H220" s="321"/>
      <c r="I220" s="361">
        <f t="shared" si="155"/>
        <v>0</v>
      </c>
      <c r="J220" s="361"/>
      <c r="K220" s="361">
        <f t="shared" si="156"/>
        <v>0</v>
      </c>
      <c r="L220" s="361"/>
      <c r="M220" s="361">
        <f t="shared" si="157"/>
        <v>0</v>
      </c>
      <c r="N220" s="361"/>
      <c r="O220" s="361">
        <f t="shared" si="158"/>
        <v>0</v>
      </c>
      <c r="P220" s="361"/>
      <c r="Q220" s="361">
        <f t="shared" ref="Q220:AH220" si="163">Q134*1000</f>
        <v>0</v>
      </c>
      <c r="R220" s="361">
        <f t="shared" si="163"/>
        <v>2.2342414554530747</v>
      </c>
      <c r="S220" s="361">
        <f t="shared" si="163"/>
        <v>5.4017559920567555</v>
      </c>
      <c r="T220" s="361">
        <f t="shared" si="163"/>
        <v>2.9993049403436149</v>
      </c>
      <c r="U220" s="361">
        <f t="shared" si="163"/>
        <v>2.8830072488751628</v>
      </c>
      <c r="V220" s="361">
        <f t="shared" si="163"/>
        <v>3.209868666874288</v>
      </c>
      <c r="W220" s="361">
        <f t="shared" si="163"/>
        <v>3.0073433089190322</v>
      </c>
      <c r="X220" s="361">
        <f t="shared" si="163"/>
        <v>3.5519889122643908</v>
      </c>
      <c r="Y220" s="361">
        <f t="shared" si="163"/>
        <v>3.8351143083877517</v>
      </c>
      <c r="Z220" s="361">
        <f t="shared" si="163"/>
        <v>3.2983482014514833</v>
      </c>
      <c r="AA220" s="361">
        <f t="shared" si="163"/>
        <v>3.5641215402907989</v>
      </c>
      <c r="AB220" s="361">
        <f t="shared" si="163"/>
        <v>4.2693869945125575</v>
      </c>
      <c r="AC220" s="361">
        <f t="shared" si="163"/>
        <v>4.0571609078900996</v>
      </c>
      <c r="AD220" s="361">
        <f t="shared" si="163"/>
        <v>3.4742788323543192</v>
      </c>
      <c r="AE220" s="361">
        <f t="shared" si="163"/>
        <v>4.0565583086279657</v>
      </c>
      <c r="AF220" s="361">
        <f t="shared" si="163"/>
        <v>3.6978847449162009</v>
      </c>
      <c r="AG220" s="361">
        <f t="shared" si="163"/>
        <v>4.1029904468253182</v>
      </c>
      <c r="AH220" s="362">
        <f t="shared" si="163"/>
        <v>4.0244652742293834</v>
      </c>
      <c r="AI220" s="237"/>
      <c r="AJ220" s="237"/>
      <c r="AK220" s="237"/>
      <c r="AL220" s="237"/>
      <c r="AM220" s="237"/>
      <c r="AN220" s="237"/>
      <c r="AO220" s="237"/>
      <c r="AP220" s="237"/>
      <c r="AQ220" s="237"/>
      <c r="AR220" s="237"/>
      <c r="AS220" s="237"/>
      <c r="AT220" s="237"/>
      <c r="AU220" s="237"/>
      <c r="AV220" s="237"/>
      <c r="AW220" s="237"/>
      <c r="AX220" s="237"/>
    </row>
    <row r="221" spans="3:50" x14ac:dyDescent="0.25">
      <c r="C221" s="228"/>
      <c r="D221" s="670" t="s">
        <v>5</v>
      </c>
      <c r="E221" s="671"/>
      <c r="F221" s="320" t="s">
        <v>376</v>
      </c>
      <c r="G221" s="321" t="s">
        <v>336</v>
      </c>
      <c r="H221" s="321" t="s">
        <v>336</v>
      </c>
      <c r="I221" s="361">
        <f t="shared" si="155"/>
        <v>0.01</v>
      </c>
      <c r="J221" s="361"/>
      <c r="K221" s="361">
        <f t="shared" si="156"/>
        <v>0.01</v>
      </c>
      <c r="L221" s="361"/>
      <c r="M221" s="361">
        <f t="shared" si="157"/>
        <v>0.01</v>
      </c>
      <c r="N221" s="361"/>
      <c r="O221" s="361">
        <f t="shared" si="158"/>
        <v>2.7399999999999998</v>
      </c>
      <c r="P221" s="361"/>
      <c r="Q221" s="361">
        <f t="shared" ref="Q221:AH221" si="164">Q135*1000</f>
        <v>0.71</v>
      </c>
      <c r="R221" s="361">
        <f t="shared" si="164"/>
        <v>-3.9718988045100302E-2</v>
      </c>
      <c r="S221" s="361">
        <f t="shared" si="164"/>
        <v>-3.9664175841599543E-2</v>
      </c>
      <c r="T221" s="361">
        <f t="shared" si="164"/>
        <v>-3.9609439278938875E-2</v>
      </c>
      <c r="U221" s="361">
        <f t="shared" si="164"/>
        <v>-3.9554778252733791E-2</v>
      </c>
      <c r="V221" s="361">
        <f t="shared" si="164"/>
        <v>-3.9500192658742689E-2</v>
      </c>
      <c r="W221" s="361">
        <f t="shared" si="164"/>
        <v>-3.9445682392873327E-2</v>
      </c>
      <c r="X221" s="361">
        <f t="shared" si="164"/>
        <v>-3.9391247351173109E-2</v>
      </c>
      <c r="Y221" s="361">
        <f t="shared" si="164"/>
        <v>-3.9336887429829076E-2</v>
      </c>
      <c r="Z221" s="361">
        <f t="shared" si="164"/>
        <v>-3.9282602525174411E-2</v>
      </c>
      <c r="AA221" s="361">
        <f t="shared" si="164"/>
        <v>-3.9228392533691654E-2</v>
      </c>
      <c r="AB221" s="361">
        <f t="shared" si="164"/>
        <v>-3.9174257351993258E-2</v>
      </c>
      <c r="AC221" s="361">
        <f t="shared" si="164"/>
        <v>-3.9120196876847563E-2</v>
      </c>
      <c r="AD221" s="361">
        <f t="shared" si="164"/>
        <v>-3.9066211005159286E-2</v>
      </c>
      <c r="AE221" s="361">
        <f t="shared" si="164"/>
        <v>-3.9012299633969516E-2</v>
      </c>
      <c r="AF221" s="361">
        <f t="shared" si="164"/>
        <v>-3.8958462660475264E-2</v>
      </c>
      <c r="AG221" s="361">
        <f t="shared" si="164"/>
        <v>-3.8904699982003382E-2</v>
      </c>
      <c r="AH221" s="362">
        <f t="shared" si="164"/>
        <v>-3.8851011496030152E-2</v>
      </c>
      <c r="AI221" s="237"/>
      <c r="AJ221" s="237"/>
      <c r="AK221" s="237"/>
      <c r="AL221" s="237"/>
      <c r="AM221" s="237"/>
      <c r="AN221" s="237"/>
      <c r="AO221" s="237"/>
      <c r="AP221" s="237"/>
      <c r="AQ221" s="237"/>
      <c r="AR221" s="237"/>
      <c r="AS221" s="237"/>
      <c r="AT221" s="237"/>
      <c r="AU221" s="237"/>
      <c r="AV221" s="237"/>
      <c r="AW221" s="237"/>
      <c r="AX221" s="237"/>
    </row>
    <row r="222" spans="3:50" x14ac:dyDescent="0.25">
      <c r="C222" s="228"/>
      <c r="D222" s="670" t="s">
        <v>29</v>
      </c>
      <c r="E222" s="671"/>
      <c r="F222" s="320" t="s">
        <v>376</v>
      </c>
      <c r="G222" s="321" t="s">
        <v>336</v>
      </c>
      <c r="H222" s="321" t="s">
        <v>336</v>
      </c>
      <c r="I222" s="361">
        <f t="shared" si="155"/>
        <v>3.69</v>
      </c>
      <c r="J222" s="361"/>
      <c r="K222" s="361">
        <f t="shared" si="156"/>
        <v>3.69</v>
      </c>
      <c r="L222" s="361"/>
      <c r="M222" s="361">
        <f t="shared" si="157"/>
        <v>3.69</v>
      </c>
      <c r="N222" s="361"/>
      <c r="O222" s="361">
        <f t="shared" si="158"/>
        <v>4.4400000000000004</v>
      </c>
      <c r="P222" s="361"/>
      <c r="Q222" s="361">
        <f t="shared" ref="Q222:AH222" si="165">Q136*1000</f>
        <v>3.3</v>
      </c>
      <c r="R222" s="361">
        <f t="shared" si="165"/>
        <v>0.60776208682037225</v>
      </c>
      <c r="S222" s="361">
        <f t="shared" si="165"/>
        <v>0.61538202749937054</v>
      </c>
      <c r="T222" s="361">
        <f t="shared" si="165"/>
        <v>0.62309750473323477</v>
      </c>
      <c r="U222" s="361">
        <f t="shared" si="165"/>
        <v>0.63025554338060474</v>
      </c>
      <c r="V222" s="361">
        <f t="shared" si="165"/>
        <v>0.63814930702050709</v>
      </c>
      <c r="W222" s="361">
        <f t="shared" si="165"/>
        <v>0.64614193770736539</v>
      </c>
      <c r="X222" s="361">
        <f t="shared" si="165"/>
        <v>0.65423467372161237</v>
      </c>
      <c r="Y222" s="361">
        <f t="shared" si="165"/>
        <v>0.66242876885275148</v>
      </c>
      <c r="Z222" s="361">
        <f t="shared" si="165"/>
        <v>0.67072549259364578</v>
      </c>
      <c r="AA222" s="361">
        <f t="shared" si="165"/>
        <v>0.67912613033717417</v>
      </c>
      <c r="AB222" s="361">
        <f t="shared" si="165"/>
        <v>0.68763198357538846</v>
      </c>
      <c r="AC222" s="361">
        <f t="shared" si="165"/>
        <v>0.69624437010112594</v>
      </c>
      <c r="AD222" s="361">
        <f t="shared" si="165"/>
        <v>0.70496462421219763</v>
      </c>
      <c r="AE222" s="361">
        <f t="shared" si="165"/>
        <v>0.71379409691810469</v>
      </c>
      <c r="AF222" s="361">
        <f t="shared" si="165"/>
        <v>0.72273415614933167</v>
      </c>
      <c r="AG222" s="361">
        <f t="shared" si="165"/>
        <v>0.73178618696929121</v>
      </c>
      <c r="AH222" s="362">
        <f t="shared" si="165"/>
        <v>0.74095159178888348</v>
      </c>
      <c r="AI222" s="237"/>
      <c r="AJ222" s="237"/>
      <c r="AK222" s="237"/>
      <c r="AL222" s="237"/>
      <c r="AM222" s="237"/>
      <c r="AN222" s="237"/>
      <c r="AO222" s="237"/>
      <c r="AP222" s="237"/>
      <c r="AQ222" s="237"/>
      <c r="AR222" s="237"/>
      <c r="AS222" s="237"/>
      <c r="AT222" s="237"/>
      <c r="AU222" s="237"/>
      <c r="AV222" s="237"/>
      <c r="AW222" s="237"/>
      <c r="AX222" s="237"/>
    </row>
    <row r="223" spans="3:50" x14ac:dyDescent="0.25">
      <c r="C223" s="228"/>
      <c r="D223" s="325" t="s">
        <v>336</v>
      </c>
      <c r="E223" s="282" t="s">
        <v>336</v>
      </c>
      <c r="F223" s="326" t="s">
        <v>372</v>
      </c>
      <c r="G223" s="327" t="s">
        <v>336</v>
      </c>
      <c r="H223" s="327" t="s">
        <v>336</v>
      </c>
      <c r="I223" s="328">
        <f t="shared" si="155"/>
        <v>71.86</v>
      </c>
      <c r="J223" s="328"/>
      <c r="K223" s="328">
        <f t="shared" si="156"/>
        <v>71.86</v>
      </c>
      <c r="L223" s="328"/>
      <c r="M223" s="328">
        <f t="shared" si="157"/>
        <v>71.86</v>
      </c>
      <c r="N223" s="328"/>
      <c r="O223" s="328">
        <f t="shared" si="158"/>
        <v>29.24</v>
      </c>
      <c r="P223" s="328"/>
      <c r="Q223" s="328">
        <f t="shared" ref="Q223:AH223" si="166">Q137*1000</f>
        <v>26.23</v>
      </c>
      <c r="R223" s="328">
        <f t="shared" si="166"/>
        <v>11.470153188044435</v>
      </c>
      <c r="S223" s="328">
        <f t="shared" si="166"/>
        <v>9.5514441398922898</v>
      </c>
      <c r="T223" s="328">
        <f t="shared" si="166"/>
        <v>19.638209603169734</v>
      </c>
      <c r="U223" s="328">
        <f t="shared" si="166"/>
        <v>17.800589263102605</v>
      </c>
      <c r="V223" s="328">
        <f t="shared" si="166"/>
        <v>18.281552266902747</v>
      </c>
      <c r="W223" s="328">
        <f t="shared" si="166"/>
        <v>18.930207379991288</v>
      </c>
      <c r="X223" s="328">
        <f t="shared" si="166"/>
        <v>16.376312892757149</v>
      </c>
      <c r="Y223" s="328">
        <f t="shared" si="166"/>
        <v>14.947167564012791</v>
      </c>
      <c r="Z223" s="328">
        <f t="shared" si="166"/>
        <v>17.037000236107414</v>
      </c>
      <c r="AA223" s="328">
        <f t="shared" si="166"/>
        <v>15.687136039253316</v>
      </c>
      <c r="AB223" s="328">
        <f t="shared" si="166"/>
        <v>12.454180323617923</v>
      </c>
      <c r="AC223" s="328">
        <f t="shared" si="166"/>
        <v>13.159489081765347</v>
      </c>
      <c r="AD223" s="328">
        <f t="shared" si="166"/>
        <v>15.456987529048581</v>
      </c>
      <c r="AE223" s="328">
        <f t="shared" si="166"/>
        <v>12.759363669967984</v>
      </c>
      <c r="AF223" s="328">
        <f t="shared" si="166"/>
        <v>14.100279147901219</v>
      </c>
      <c r="AG223" s="328">
        <f t="shared" si="166"/>
        <v>12.167329120924663</v>
      </c>
      <c r="AH223" s="363">
        <f t="shared" si="166"/>
        <v>12.311208328023437</v>
      </c>
      <c r="AI223" s="237"/>
      <c r="AJ223" s="237"/>
      <c r="AK223" s="237"/>
      <c r="AL223" s="237"/>
      <c r="AM223" s="237"/>
      <c r="AN223" s="237"/>
      <c r="AO223" s="237"/>
      <c r="AP223" s="237"/>
      <c r="AQ223" s="237"/>
      <c r="AR223" s="237"/>
      <c r="AS223" s="237"/>
      <c r="AT223" s="237"/>
      <c r="AU223" s="237"/>
      <c r="AV223" s="237"/>
      <c r="AW223" s="237"/>
      <c r="AX223" s="237"/>
    </row>
    <row r="224" spans="3:50" x14ac:dyDescent="0.25">
      <c r="C224" s="228"/>
      <c r="D224" s="325" t="s">
        <v>336</v>
      </c>
      <c r="E224" s="282" t="s">
        <v>336</v>
      </c>
      <c r="F224" s="282" t="s">
        <v>336</v>
      </c>
      <c r="G224" s="330" t="s">
        <v>336</v>
      </c>
      <c r="H224" s="330" t="s">
        <v>336</v>
      </c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364"/>
      <c r="AB224" s="364"/>
      <c r="AC224" s="364"/>
      <c r="AD224" s="364"/>
      <c r="AE224" s="364"/>
      <c r="AF224" s="364"/>
      <c r="AG224" s="364"/>
      <c r="AH224" s="365"/>
      <c r="AI224" s="237"/>
      <c r="AJ224" s="237"/>
      <c r="AK224" s="237"/>
      <c r="AL224" s="237"/>
      <c r="AM224" s="237"/>
      <c r="AN224" s="237"/>
      <c r="AO224" s="237"/>
      <c r="AP224" s="237"/>
      <c r="AQ224" s="237"/>
      <c r="AR224" s="237"/>
      <c r="AS224" s="237"/>
      <c r="AT224" s="237"/>
      <c r="AU224" s="237"/>
      <c r="AV224" s="237"/>
      <c r="AW224" s="237"/>
      <c r="AX224" s="237"/>
    </row>
    <row r="225" spans="3:50" ht="15.75" x14ac:dyDescent="0.25">
      <c r="C225" s="228"/>
      <c r="D225" s="243"/>
      <c r="E225" s="282"/>
      <c r="F225" s="248" t="s">
        <v>377</v>
      </c>
      <c r="G225" s="245"/>
      <c r="H225" s="245"/>
      <c r="I225" s="333">
        <f t="shared" ref="I225:I232" si="167">I139*1000</f>
        <v>0</v>
      </c>
      <c r="J225" s="333"/>
      <c r="K225" s="333">
        <f t="shared" ref="K225:K232" si="168">K139*1000</f>
        <v>0</v>
      </c>
      <c r="L225" s="333"/>
      <c r="M225" s="333">
        <f t="shared" ref="M225:M232" si="169">M139*1000</f>
        <v>0</v>
      </c>
      <c r="N225" s="333"/>
      <c r="O225" s="333">
        <f t="shared" ref="O225:O232" si="170">O139*1000</f>
        <v>0</v>
      </c>
      <c r="P225" s="333"/>
      <c r="Q225" s="333">
        <f t="shared" ref="Q225:AH225" si="171">Q139*1000</f>
        <v>0</v>
      </c>
      <c r="R225" s="333">
        <f t="shared" si="171"/>
        <v>0</v>
      </c>
      <c r="S225" s="333">
        <f t="shared" si="171"/>
        <v>0</v>
      </c>
      <c r="T225" s="333">
        <f t="shared" si="171"/>
        <v>0</v>
      </c>
      <c r="U225" s="333">
        <f t="shared" si="171"/>
        <v>0</v>
      </c>
      <c r="V225" s="333">
        <f t="shared" si="171"/>
        <v>0</v>
      </c>
      <c r="W225" s="333">
        <f t="shared" si="171"/>
        <v>0</v>
      </c>
      <c r="X225" s="333">
        <f t="shared" si="171"/>
        <v>0</v>
      </c>
      <c r="Y225" s="333">
        <f t="shared" si="171"/>
        <v>0</v>
      </c>
      <c r="Z225" s="333">
        <f t="shared" si="171"/>
        <v>0</v>
      </c>
      <c r="AA225" s="333">
        <f t="shared" si="171"/>
        <v>0</v>
      </c>
      <c r="AB225" s="333">
        <f t="shared" si="171"/>
        <v>0</v>
      </c>
      <c r="AC225" s="333">
        <f t="shared" si="171"/>
        <v>0</v>
      </c>
      <c r="AD225" s="333">
        <f t="shared" si="171"/>
        <v>0</v>
      </c>
      <c r="AE225" s="333">
        <f t="shared" si="171"/>
        <v>0</v>
      </c>
      <c r="AF225" s="333">
        <f t="shared" si="171"/>
        <v>0</v>
      </c>
      <c r="AG225" s="333">
        <f t="shared" si="171"/>
        <v>0</v>
      </c>
      <c r="AH225" s="366">
        <f t="shared" si="171"/>
        <v>0</v>
      </c>
      <c r="AI225" s="237"/>
      <c r="AJ225" s="237"/>
      <c r="AK225" s="237"/>
      <c r="AL225" s="237"/>
      <c r="AM225" s="237"/>
      <c r="AN225" s="237"/>
      <c r="AO225" s="237"/>
      <c r="AP225" s="237"/>
      <c r="AQ225" s="237"/>
      <c r="AR225" s="237"/>
      <c r="AS225" s="237"/>
      <c r="AT225" s="237"/>
      <c r="AU225" s="237"/>
      <c r="AV225" s="237"/>
      <c r="AW225" s="237"/>
      <c r="AX225" s="237"/>
    </row>
    <row r="226" spans="3:50" x14ac:dyDescent="0.25">
      <c r="C226" s="228"/>
      <c r="D226" s="670" t="s">
        <v>341</v>
      </c>
      <c r="E226" s="671"/>
      <c r="F226" s="320" t="s">
        <v>378</v>
      </c>
      <c r="G226" s="321" t="s">
        <v>336</v>
      </c>
      <c r="H226" s="321" t="s">
        <v>336</v>
      </c>
      <c r="I226" s="361">
        <f t="shared" si="167"/>
        <v>0.92</v>
      </c>
      <c r="J226" s="361"/>
      <c r="K226" s="361">
        <f t="shared" si="168"/>
        <v>0.92</v>
      </c>
      <c r="L226" s="361"/>
      <c r="M226" s="361">
        <f t="shared" si="169"/>
        <v>0.92</v>
      </c>
      <c r="N226" s="361"/>
      <c r="O226" s="361">
        <f t="shared" si="170"/>
        <v>1.1900000000000002</v>
      </c>
      <c r="P226" s="361"/>
      <c r="Q226" s="361">
        <f t="shared" ref="Q226:AH226" si="172">Q140*1000</f>
        <v>1.1100000000000001</v>
      </c>
      <c r="R226" s="361">
        <f t="shared" si="172"/>
        <v>1.2201481041750026</v>
      </c>
      <c r="S226" s="361">
        <f t="shared" si="172"/>
        <v>1.2631168398116335</v>
      </c>
      <c r="T226" s="361">
        <f t="shared" si="172"/>
        <v>1.2535171518290562</v>
      </c>
      <c r="U226" s="361">
        <f t="shared" si="172"/>
        <v>1.2439904214751658</v>
      </c>
      <c r="V226" s="361">
        <f t="shared" si="172"/>
        <v>1.2345360942719399</v>
      </c>
      <c r="W226" s="361">
        <f t="shared" si="172"/>
        <v>1.2251536199554849</v>
      </c>
      <c r="X226" s="361">
        <f t="shared" si="172"/>
        <v>1.2158424524438229</v>
      </c>
      <c r="Y226" s="361">
        <f t="shared" si="172"/>
        <v>1.2066020498052552</v>
      </c>
      <c r="Z226" s="361">
        <f t="shared" si="172"/>
        <v>1.1974318742267227</v>
      </c>
      <c r="AA226" s="361">
        <f t="shared" si="172"/>
        <v>1.1883313919826115</v>
      </c>
      <c r="AB226" s="361">
        <f t="shared" si="172"/>
        <v>1.1793000734035282</v>
      </c>
      <c r="AC226" s="361">
        <f t="shared" si="172"/>
        <v>1.1703373928456811</v>
      </c>
      <c r="AD226" s="361">
        <f t="shared" si="172"/>
        <v>1.1614428286600518</v>
      </c>
      <c r="AE226" s="361">
        <f t="shared" si="172"/>
        <v>1.1526158631622341</v>
      </c>
      <c r="AF226" s="361">
        <f t="shared" si="172"/>
        <v>1.1438559826021848</v>
      </c>
      <c r="AG226" s="361">
        <f t="shared" si="172"/>
        <v>1.1351626771344101</v>
      </c>
      <c r="AH226" s="362">
        <f t="shared" si="172"/>
        <v>1.1265354407881993</v>
      </c>
      <c r="AI226" s="237"/>
      <c r="AJ226" s="237"/>
      <c r="AK226" s="237"/>
      <c r="AL226" s="237"/>
      <c r="AM226" s="237"/>
      <c r="AN226" s="237"/>
      <c r="AO226" s="237"/>
      <c r="AP226" s="237"/>
      <c r="AQ226" s="237"/>
      <c r="AR226" s="237"/>
      <c r="AS226" s="237"/>
      <c r="AT226" s="237"/>
      <c r="AU226" s="237"/>
      <c r="AV226" s="237"/>
      <c r="AW226" s="237"/>
      <c r="AX226" s="237"/>
    </row>
    <row r="227" spans="3:50" x14ac:dyDescent="0.25">
      <c r="C227" s="228"/>
      <c r="D227" s="670" t="s">
        <v>28</v>
      </c>
      <c r="E227" s="671"/>
      <c r="F227" s="320" t="s">
        <v>378</v>
      </c>
      <c r="G227" s="321" t="s">
        <v>336</v>
      </c>
      <c r="H227" s="321" t="s">
        <v>336</v>
      </c>
      <c r="I227" s="361">
        <f t="shared" si="167"/>
        <v>0</v>
      </c>
      <c r="J227" s="361"/>
      <c r="K227" s="361">
        <f t="shared" si="168"/>
        <v>0</v>
      </c>
      <c r="L227" s="361"/>
      <c r="M227" s="361">
        <f t="shared" si="169"/>
        <v>0</v>
      </c>
      <c r="N227" s="361"/>
      <c r="O227" s="361">
        <f t="shared" si="170"/>
        <v>0.11</v>
      </c>
      <c r="P227" s="361"/>
      <c r="Q227" s="361">
        <f t="shared" ref="Q227:AH227" si="173">Q141*1000</f>
        <v>0.02</v>
      </c>
      <c r="R227" s="361">
        <f t="shared" si="173"/>
        <v>2.2151479352888748E-7</v>
      </c>
      <c r="S227" s="361">
        <f t="shared" si="173"/>
        <v>-1.4250785696388879E-4</v>
      </c>
      <c r="T227" s="361">
        <f t="shared" si="173"/>
        <v>7.7441830972101167E-5</v>
      </c>
      <c r="U227" s="361">
        <f t="shared" si="173"/>
        <v>4.9390576331985458E-5</v>
      </c>
      <c r="V227" s="361">
        <f t="shared" si="173"/>
        <v>5.67230098301938E-5</v>
      </c>
      <c r="W227" s="361">
        <f t="shared" si="173"/>
        <v>5.4910252222484246E-5</v>
      </c>
      <c r="X227" s="361">
        <f t="shared" si="173"/>
        <v>4.9434052768332348E-5</v>
      </c>
      <c r="Y227" s="361">
        <f t="shared" si="173"/>
        <v>4.212185922737588E-5</v>
      </c>
      <c r="Z227" s="361">
        <f t="shared" si="173"/>
        <v>5.83397841848396E-5</v>
      </c>
      <c r="AA227" s="361">
        <f t="shared" si="173"/>
        <v>5.2152973976489492E-5</v>
      </c>
      <c r="AB227" s="361">
        <f t="shared" si="173"/>
        <v>4.0250315064771502E-5</v>
      </c>
      <c r="AC227" s="361">
        <f t="shared" si="173"/>
        <v>4.3670313106328191E-5</v>
      </c>
      <c r="AD227" s="361">
        <f t="shared" si="173"/>
        <v>5.8089921262882704E-5</v>
      </c>
      <c r="AE227" s="361">
        <f t="shared" si="173"/>
        <v>4.5250430968465927E-5</v>
      </c>
      <c r="AF227" s="361">
        <f t="shared" si="173"/>
        <v>5.3051552661741164E-5</v>
      </c>
      <c r="AG227" s="361">
        <f t="shared" si="173"/>
        <v>4.3435579103759392E-5</v>
      </c>
      <c r="AH227" s="362">
        <f t="shared" si="173"/>
        <v>4.340547920198002E-5</v>
      </c>
      <c r="AI227" s="237"/>
      <c r="AJ227" s="237"/>
      <c r="AK227" s="237"/>
      <c r="AL227" s="237"/>
      <c r="AM227" s="237"/>
      <c r="AN227" s="237"/>
      <c r="AO227" s="237"/>
      <c r="AP227" s="237"/>
      <c r="AQ227" s="237"/>
      <c r="AR227" s="237"/>
      <c r="AS227" s="237"/>
      <c r="AT227" s="237"/>
      <c r="AU227" s="237"/>
      <c r="AV227" s="237"/>
      <c r="AW227" s="237"/>
      <c r="AX227" s="237"/>
    </row>
    <row r="228" spans="3:50" x14ac:dyDescent="0.25">
      <c r="C228" s="228"/>
      <c r="D228" s="670" t="s">
        <v>19</v>
      </c>
      <c r="E228" s="671"/>
      <c r="F228" s="320" t="s">
        <v>378</v>
      </c>
      <c r="G228" s="321" t="s">
        <v>336</v>
      </c>
      <c r="H228" s="321" t="s">
        <v>336</v>
      </c>
      <c r="I228" s="361">
        <f t="shared" si="167"/>
        <v>7.74</v>
      </c>
      <c r="J228" s="361"/>
      <c r="K228" s="361">
        <f t="shared" si="168"/>
        <v>7.74</v>
      </c>
      <c r="L228" s="361"/>
      <c r="M228" s="361">
        <f t="shared" si="169"/>
        <v>7.74</v>
      </c>
      <c r="N228" s="361"/>
      <c r="O228" s="361">
        <f t="shared" si="170"/>
        <v>7.53</v>
      </c>
      <c r="P228" s="361"/>
      <c r="Q228" s="361">
        <f t="shared" ref="Q228:AH228" si="174">Q142*1000</f>
        <v>8.34</v>
      </c>
      <c r="R228" s="361">
        <f t="shared" si="174"/>
        <v>2.1597250564475905</v>
      </c>
      <c r="S228" s="361">
        <f t="shared" si="174"/>
        <v>0.48007516372920717</v>
      </c>
      <c r="T228" s="361">
        <f t="shared" si="174"/>
        <v>4.5520514506111684</v>
      </c>
      <c r="U228" s="361">
        <f t="shared" si="174"/>
        <v>4.6825492909418918</v>
      </c>
      <c r="V228" s="361">
        <f t="shared" si="174"/>
        <v>4.0464759472116958</v>
      </c>
      <c r="W228" s="361">
        <f t="shared" si="174"/>
        <v>4.3275758477501762</v>
      </c>
      <c r="X228" s="361">
        <f t="shared" si="174"/>
        <v>3.3169740898318212</v>
      </c>
      <c r="Y228" s="361">
        <f t="shared" si="174"/>
        <v>2.7598596206687844</v>
      </c>
      <c r="Z228" s="361">
        <f t="shared" si="174"/>
        <v>3.6201572834331208</v>
      </c>
      <c r="AA228" s="361">
        <f t="shared" si="174"/>
        <v>3.094424111259205</v>
      </c>
      <c r="AB228" s="361">
        <f t="shared" si="174"/>
        <v>1.8093480449843564</v>
      </c>
      <c r="AC228" s="361">
        <f t="shared" si="174"/>
        <v>2.1113399696091197</v>
      </c>
      <c r="AD228" s="361">
        <f t="shared" si="174"/>
        <v>3.0544841661618243</v>
      </c>
      <c r="AE228" s="361">
        <f t="shared" si="174"/>
        <v>1.9845822983420658</v>
      </c>
      <c r="AF228" s="361">
        <f t="shared" si="174"/>
        <v>2.5418375509814655</v>
      </c>
      <c r="AG228" s="361">
        <f t="shared" si="174"/>
        <v>1.7796209150368985</v>
      </c>
      <c r="AH228" s="362">
        <f t="shared" si="174"/>
        <v>1.8541281383598387</v>
      </c>
      <c r="AI228" s="237"/>
      <c r="AJ228" s="237"/>
      <c r="AK228" s="237"/>
      <c r="AL228" s="237"/>
      <c r="AM228" s="237"/>
      <c r="AN228" s="237"/>
      <c r="AO228" s="237"/>
      <c r="AP228" s="237"/>
      <c r="AQ228" s="237"/>
      <c r="AR228" s="237"/>
      <c r="AS228" s="237"/>
      <c r="AT228" s="237"/>
      <c r="AU228" s="237"/>
      <c r="AV228" s="237"/>
      <c r="AW228" s="237"/>
      <c r="AX228" s="237"/>
    </row>
    <row r="229" spans="3:50" x14ac:dyDescent="0.25">
      <c r="C229" s="228"/>
      <c r="D229" s="670" t="s">
        <v>351</v>
      </c>
      <c r="E229" s="671"/>
      <c r="F229" s="320" t="s">
        <v>378</v>
      </c>
      <c r="G229" s="320"/>
      <c r="H229" s="320"/>
      <c r="I229" s="361">
        <f t="shared" si="167"/>
        <v>0</v>
      </c>
      <c r="J229" s="361"/>
      <c r="K229" s="361">
        <f t="shared" si="168"/>
        <v>0</v>
      </c>
      <c r="L229" s="361"/>
      <c r="M229" s="361">
        <f t="shared" si="169"/>
        <v>0</v>
      </c>
      <c r="N229" s="361"/>
      <c r="O229" s="361">
        <f t="shared" si="170"/>
        <v>0</v>
      </c>
      <c r="P229" s="361"/>
      <c r="Q229" s="361">
        <f t="shared" ref="Q229:AH229" si="175">Q143*1000</f>
        <v>0</v>
      </c>
      <c r="R229" s="361">
        <f t="shared" si="175"/>
        <v>1.9550567539255195</v>
      </c>
      <c r="S229" s="361">
        <f t="shared" si="175"/>
        <v>4.7267673373228254</v>
      </c>
      <c r="T229" s="361">
        <f t="shared" si="175"/>
        <v>2.6245199982254643</v>
      </c>
      <c r="U229" s="361">
        <f t="shared" si="175"/>
        <v>2.522754548203753</v>
      </c>
      <c r="V229" s="361">
        <f t="shared" si="175"/>
        <v>2.8087722573896543</v>
      </c>
      <c r="W229" s="361">
        <f t="shared" si="175"/>
        <v>2.6315539142489786</v>
      </c>
      <c r="X229" s="361">
        <f t="shared" si="175"/>
        <v>3.108142092629302</v>
      </c>
      <c r="Y229" s="361">
        <f t="shared" si="175"/>
        <v>3.3558889136131453</v>
      </c>
      <c r="Z229" s="361">
        <f t="shared" si="175"/>
        <v>2.8861956313213923</v>
      </c>
      <c r="AA229" s="361">
        <f t="shared" si="175"/>
        <v>3.1187586606407862</v>
      </c>
      <c r="AB229" s="361">
        <f t="shared" si="175"/>
        <v>3.7358960726341501</v>
      </c>
      <c r="AC229" s="361">
        <f t="shared" si="175"/>
        <v>3.5501891773486189</v>
      </c>
      <c r="AD229" s="361">
        <f t="shared" si="175"/>
        <v>3.0401424517644027</v>
      </c>
      <c r="AE229" s="361">
        <f t="shared" si="175"/>
        <v>3.5496618772421469</v>
      </c>
      <c r="AF229" s="361">
        <f t="shared" si="175"/>
        <v>3.235807181064279</v>
      </c>
      <c r="AG229" s="361">
        <f t="shared" si="175"/>
        <v>3.5902919824442394</v>
      </c>
      <c r="AH229" s="362">
        <f t="shared" si="175"/>
        <v>3.5215791006461901</v>
      </c>
      <c r="AI229" s="237"/>
      <c r="AJ229" s="237"/>
      <c r="AK229" s="237"/>
      <c r="AL229" s="237"/>
      <c r="AM229" s="237"/>
      <c r="AN229" s="237"/>
      <c r="AO229" s="237"/>
      <c r="AP229" s="237"/>
      <c r="AQ229" s="237"/>
      <c r="AR229" s="237"/>
      <c r="AS229" s="237"/>
      <c r="AT229" s="237"/>
      <c r="AU229" s="237"/>
      <c r="AV229" s="237"/>
      <c r="AW229" s="237"/>
      <c r="AX229" s="237"/>
    </row>
    <row r="230" spans="3:50" x14ac:dyDescent="0.25">
      <c r="C230" s="228"/>
      <c r="D230" s="670" t="s">
        <v>344</v>
      </c>
      <c r="E230" s="671"/>
      <c r="F230" s="320" t="s">
        <v>378</v>
      </c>
      <c r="G230" s="320" t="s">
        <v>336</v>
      </c>
      <c r="H230" s="320" t="s">
        <v>336</v>
      </c>
      <c r="I230" s="361">
        <f t="shared" si="167"/>
        <v>0.42000000000000004</v>
      </c>
      <c r="J230" s="361"/>
      <c r="K230" s="361">
        <f t="shared" si="168"/>
        <v>0.42000000000000004</v>
      </c>
      <c r="L230" s="361"/>
      <c r="M230" s="361">
        <f t="shared" si="169"/>
        <v>0.42000000000000004</v>
      </c>
      <c r="N230" s="361"/>
      <c r="O230" s="361">
        <f t="shared" si="170"/>
        <v>0.8899999999999999</v>
      </c>
      <c r="P230" s="361"/>
      <c r="Q230" s="361">
        <f t="shared" ref="Q230:AH230" si="176">Q144*1000</f>
        <v>0.17</v>
      </c>
      <c r="R230" s="361">
        <f t="shared" si="176"/>
        <v>-6.0319482999998592E-2</v>
      </c>
      <c r="S230" s="361">
        <f t="shared" si="176"/>
        <v>-6.3109899999999622E-2</v>
      </c>
      <c r="T230" s="361">
        <f t="shared" si="176"/>
        <v>-6.3109899999999622E-2</v>
      </c>
      <c r="U230" s="361">
        <f t="shared" si="176"/>
        <v>-6.3109899999999622E-2</v>
      </c>
      <c r="V230" s="361">
        <f t="shared" si="176"/>
        <v>-6.3109899999999622E-2</v>
      </c>
      <c r="W230" s="361">
        <f t="shared" si="176"/>
        <v>-6.3109900000003577E-2</v>
      </c>
      <c r="X230" s="361">
        <f t="shared" si="176"/>
        <v>-6.3109899999999622E-2</v>
      </c>
      <c r="Y230" s="361">
        <f t="shared" si="176"/>
        <v>-6.3109899999999622E-2</v>
      </c>
      <c r="Z230" s="361">
        <f t="shared" si="176"/>
        <v>-6.3109899999999622E-2</v>
      </c>
      <c r="AA230" s="361">
        <f t="shared" si="176"/>
        <v>-6.3109899999999622E-2</v>
      </c>
      <c r="AB230" s="361">
        <f t="shared" si="176"/>
        <v>-6.3109899999999622E-2</v>
      </c>
      <c r="AC230" s="361">
        <f t="shared" si="176"/>
        <v>-6.3109899999999622E-2</v>
      </c>
      <c r="AD230" s="361">
        <f t="shared" si="176"/>
        <v>-6.3109899999999622E-2</v>
      </c>
      <c r="AE230" s="361">
        <f t="shared" si="176"/>
        <v>-6.3109899999999622E-2</v>
      </c>
      <c r="AF230" s="361">
        <f t="shared" si="176"/>
        <v>-6.3109899999999622E-2</v>
      </c>
      <c r="AG230" s="361">
        <f t="shared" si="176"/>
        <v>-6.3109899999999622E-2</v>
      </c>
      <c r="AH230" s="362">
        <f t="shared" si="176"/>
        <v>-6.3109900000003577E-2</v>
      </c>
      <c r="AI230" s="237"/>
      <c r="AJ230" s="237"/>
      <c r="AK230" s="237"/>
      <c r="AL230" s="237"/>
      <c r="AM230" s="237"/>
      <c r="AN230" s="237"/>
      <c r="AO230" s="237"/>
      <c r="AP230" s="237"/>
      <c r="AQ230" s="237"/>
      <c r="AR230" s="237"/>
      <c r="AS230" s="237"/>
      <c r="AT230" s="237"/>
      <c r="AU230" s="237"/>
      <c r="AV230" s="237"/>
      <c r="AW230" s="237"/>
      <c r="AX230" s="237"/>
    </row>
    <row r="231" spans="3:50" x14ac:dyDescent="0.25">
      <c r="C231" s="228"/>
      <c r="D231" s="670" t="s">
        <v>29</v>
      </c>
      <c r="E231" s="671"/>
      <c r="F231" s="320" t="s">
        <v>378</v>
      </c>
      <c r="G231" s="321" t="s">
        <v>336</v>
      </c>
      <c r="H231" s="321" t="s">
        <v>336</v>
      </c>
      <c r="I231" s="361">
        <f t="shared" si="167"/>
        <v>1.85</v>
      </c>
      <c r="J231" s="361"/>
      <c r="K231" s="361">
        <f t="shared" si="168"/>
        <v>1.85</v>
      </c>
      <c r="L231" s="361"/>
      <c r="M231" s="361">
        <f t="shared" si="169"/>
        <v>1.85</v>
      </c>
      <c r="N231" s="361"/>
      <c r="O231" s="361">
        <f t="shared" si="170"/>
        <v>3.64</v>
      </c>
      <c r="P231" s="361"/>
      <c r="Q231" s="361">
        <f t="shared" ref="Q231:AH231" si="177">Q145*1000</f>
        <v>1.6900000000000002</v>
      </c>
      <c r="R231" s="361">
        <f t="shared" si="177"/>
        <v>0.31123300413785193</v>
      </c>
      <c r="S231" s="361">
        <f t="shared" si="177"/>
        <v>0.31513515117911312</v>
      </c>
      <c r="T231" s="361">
        <f t="shared" si="177"/>
        <v>0.31908622218193877</v>
      </c>
      <c r="U231" s="361">
        <f t="shared" si="177"/>
        <v>0.32275183068280966</v>
      </c>
      <c r="V231" s="361">
        <f t="shared" si="177"/>
        <v>0.32679420157904993</v>
      </c>
      <c r="W231" s="361">
        <f t="shared" si="177"/>
        <v>0.33088720197111049</v>
      </c>
      <c r="X231" s="361">
        <f t="shared" si="177"/>
        <v>0.33503146597840633</v>
      </c>
      <c r="Y231" s="361">
        <f t="shared" si="177"/>
        <v>0.33922763566249775</v>
      </c>
      <c r="Z231" s="361">
        <f t="shared" si="177"/>
        <v>0.34347636112658475</v>
      </c>
      <c r="AA231" s="361">
        <f t="shared" si="177"/>
        <v>0.34777830061621412</v>
      </c>
      <c r="AB231" s="361">
        <f t="shared" si="177"/>
        <v>0.35213412062126742</v>
      </c>
      <c r="AC231" s="361">
        <f t="shared" si="177"/>
        <v>0.35654449597920557</v>
      </c>
      <c r="AD231" s="361">
        <f t="shared" si="177"/>
        <v>0.36101010997963345</v>
      </c>
      <c r="AE231" s="361">
        <f t="shared" si="177"/>
        <v>0.36553165447015845</v>
      </c>
      <c r="AF231" s="361">
        <f t="shared" si="177"/>
        <v>0.37010982996356906</v>
      </c>
      <c r="AG231" s="361">
        <f t="shared" si="177"/>
        <v>0.37474534574637086</v>
      </c>
      <c r="AH231" s="362">
        <f t="shared" si="177"/>
        <v>0.37943891998866214</v>
      </c>
      <c r="AI231" s="237"/>
      <c r="AJ231" s="237"/>
      <c r="AK231" s="237"/>
      <c r="AL231" s="237"/>
      <c r="AM231" s="237"/>
      <c r="AN231" s="237"/>
      <c r="AO231" s="237"/>
      <c r="AP231" s="237"/>
      <c r="AQ231" s="237"/>
      <c r="AR231" s="237"/>
      <c r="AS231" s="237"/>
      <c r="AT231" s="237"/>
      <c r="AU231" s="237"/>
      <c r="AV231" s="237"/>
      <c r="AW231" s="237"/>
      <c r="AX231" s="237"/>
    </row>
    <row r="232" spans="3:50" x14ac:dyDescent="0.25">
      <c r="C232" s="228"/>
      <c r="D232" s="325" t="s">
        <v>336</v>
      </c>
      <c r="E232" s="282" t="s">
        <v>336</v>
      </c>
      <c r="F232" s="326" t="s">
        <v>372</v>
      </c>
      <c r="G232" s="327" t="s">
        <v>336</v>
      </c>
      <c r="H232" s="327" t="s">
        <v>336</v>
      </c>
      <c r="I232" s="328">
        <f t="shared" si="167"/>
        <v>10.92</v>
      </c>
      <c r="J232" s="328"/>
      <c r="K232" s="328">
        <f t="shared" si="168"/>
        <v>10.92</v>
      </c>
      <c r="L232" s="328"/>
      <c r="M232" s="328">
        <f t="shared" si="169"/>
        <v>10.92</v>
      </c>
      <c r="N232" s="328"/>
      <c r="O232" s="328">
        <f t="shared" si="170"/>
        <v>13.360000000000001</v>
      </c>
      <c r="P232" s="328"/>
      <c r="Q232" s="328">
        <f t="shared" ref="Q232:AH232" si="178">Q146*1000</f>
        <v>11.33</v>
      </c>
      <c r="R232" s="328">
        <f t="shared" si="178"/>
        <v>5.5858436572007584</v>
      </c>
      <c r="S232" s="328">
        <f t="shared" si="178"/>
        <v>6.7218420841858162</v>
      </c>
      <c r="T232" s="328">
        <f t="shared" si="178"/>
        <v>8.6861423646786005</v>
      </c>
      <c r="U232" s="328">
        <f t="shared" si="178"/>
        <v>7.4649951604047873</v>
      </c>
      <c r="V232" s="328">
        <f t="shared" si="178"/>
        <v>8.3535253234621702</v>
      </c>
      <c r="W232" s="328">
        <f t="shared" si="178"/>
        <v>8.4521155941779682</v>
      </c>
      <c r="X232" s="328">
        <f t="shared" si="178"/>
        <v>7.9129296349361216</v>
      </c>
      <c r="Y232" s="328">
        <f t="shared" si="178"/>
        <v>7.5985104416089113</v>
      </c>
      <c r="Z232" s="328">
        <f t="shared" si="178"/>
        <v>7.9842095898920062</v>
      </c>
      <c r="AA232" s="328">
        <f t="shared" si="178"/>
        <v>7.6862347174727939</v>
      </c>
      <c r="AB232" s="328">
        <f t="shared" si="178"/>
        <v>7.0136086619583677</v>
      </c>
      <c r="AC232" s="328">
        <f t="shared" si="178"/>
        <v>7.1253448060957334</v>
      </c>
      <c r="AD232" s="328">
        <f t="shared" si="178"/>
        <v>7.5540277464871757</v>
      </c>
      <c r="AE232" s="328">
        <f t="shared" si="178"/>
        <v>6.9893270436475747</v>
      </c>
      <c r="AF232" s="328">
        <f t="shared" si="178"/>
        <v>7.2285536961641608</v>
      </c>
      <c r="AG232" s="328">
        <f t="shared" si="178"/>
        <v>6.8167544559410231</v>
      </c>
      <c r="AH232" s="363">
        <f t="shared" si="178"/>
        <v>6.8186151052620882</v>
      </c>
      <c r="AI232" s="237"/>
      <c r="AJ232" s="237"/>
      <c r="AK232" s="237"/>
      <c r="AL232" s="237"/>
      <c r="AM232" s="237"/>
      <c r="AN232" s="237"/>
      <c r="AO232" s="237"/>
      <c r="AP232" s="237"/>
      <c r="AQ232" s="237"/>
      <c r="AR232" s="237"/>
      <c r="AS232" s="237"/>
      <c r="AT232" s="237"/>
      <c r="AU232" s="237"/>
      <c r="AV232" s="237"/>
      <c r="AW232" s="237"/>
      <c r="AX232" s="237"/>
    </row>
    <row r="233" spans="3:50" x14ac:dyDescent="0.25">
      <c r="C233" s="228"/>
      <c r="D233" s="325" t="s">
        <v>336</v>
      </c>
      <c r="E233" s="282" t="s">
        <v>336</v>
      </c>
      <c r="F233" s="282" t="s">
        <v>336</v>
      </c>
      <c r="G233" s="330" t="s">
        <v>336</v>
      </c>
      <c r="H233" s="330" t="s">
        <v>336</v>
      </c>
      <c r="I233" s="364"/>
      <c r="J233" s="364"/>
      <c r="K233" s="364"/>
      <c r="L233" s="364"/>
      <c r="M233" s="364"/>
      <c r="N233" s="364"/>
      <c r="O233" s="364"/>
      <c r="P233" s="364"/>
      <c r="Q233" s="364"/>
      <c r="R233" s="364"/>
      <c r="S233" s="364"/>
      <c r="T233" s="364"/>
      <c r="U233" s="364"/>
      <c r="V233" s="364"/>
      <c r="W233" s="364"/>
      <c r="X233" s="364"/>
      <c r="Y233" s="364"/>
      <c r="Z233" s="364"/>
      <c r="AA233" s="364"/>
      <c r="AB233" s="364"/>
      <c r="AC233" s="364"/>
      <c r="AD233" s="364"/>
      <c r="AE233" s="364"/>
      <c r="AF233" s="364"/>
      <c r="AG233" s="364"/>
      <c r="AH233" s="365"/>
      <c r="AI233" s="237"/>
      <c r="AJ233" s="237"/>
      <c r="AK233" s="237"/>
      <c r="AL233" s="237"/>
      <c r="AM233" s="237"/>
      <c r="AN233" s="237"/>
      <c r="AO233" s="237"/>
      <c r="AP233" s="237"/>
      <c r="AQ233" s="237"/>
      <c r="AR233" s="237"/>
      <c r="AS233" s="237"/>
      <c r="AT233" s="237"/>
      <c r="AU233" s="237"/>
      <c r="AV233" s="237"/>
      <c r="AW233" s="237"/>
      <c r="AX233" s="237"/>
    </row>
    <row r="234" spans="3:50" ht="15.75" x14ac:dyDescent="0.25">
      <c r="C234" s="228"/>
      <c r="D234" s="243"/>
      <c r="E234" s="282"/>
      <c r="F234" s="248" t="s">
        <v>379</v>
      </c>
      <c r="G234" s="245"/>
      <c r="H234" s="245"/>
      <c r="I234" s="333">
        <f t="shared" ref="I234:I242" si="179">I148*1000</f>
        <v>0</v>
      </c>
      <c r="J234" s="333"/>
      <c r="K234" s="333">
        <f t="shared" ref="K234:K242" si="180">K148*1000</f>
        <v>0</v>
      </c>
      <c r="L234" s="333"/>
      <c r="M234" s="333">
        <f t="shared" ref="M234:M242" si="181">M148*1000</f>
        <v>0</v>
      </c>
      <c r="N234" s="333"/>
      <c r="O234" s="333">
        <f t="shared" ref="O234:O242" si="182">O148*1000</f>
        <v>0</v>
      </c>
      <c r="P234" s="333"/>
      <c r="Q234" s="333">
        <f t="shared" ref="Q234:AH234" si="183">Q148*1000</f>
        <v>0</v>
      </c>
      <c r="R234" s="333">
        <f t="shared" si="183"/>
        <v>0</v>
      </c>
      <c r="S234" s="333">
        <f t="shared" si="183"/>
        <v>0</v>
      </c>
      <c r="T234" s="333">
        <f t="shared" si="183"/>
        <v>0</v>
      </c>
      <c r="U234" s="333">
        <f t="shared" si="183"/>
        <v>0</v>
      </c>
      <c r="V234" s="333">
        <f t="shared" si="183"/>
        <v>0</v>
      </c>
      <c r="W234" s="333">
        <f t="shared" si="183"/>
        <v>0</v>
      </c>
      <c r="X234" s="333">
        <f t="shared" si="183"/>
        <v>0</v>
      </c>
      <c r="Y234" s="333">
        <f t="shared" si="183"/>
        <v>0</v>
      </c>
      <c r="Z234" s="333">
        <f t="shared" si="183"/>
        <v>0</v>
      </c>
      <c r="AA234" s="333">
        <f t="shared" si="183"/>
        <v>0</v>
      </c>
      <c r="AB234" s="333">
        <f t="shared" si="183"/>
        <v>0</v>
      </c>
      <c r="AC234" s="333">
        <f t="shared" si="183"/>
        <v>0</v>
      </c>
      <c r="AD234" s="333">
        <f t="shared" si="183"/>
        <v>0</v>
      </c>
      <c r="AE234" s="333">
        <f t="shared" si="183"/>
        <v>0</v>
      </c>
      <c r="AF234" s="333">
        <f t="shared" si="183"/>
        <v>0</v>
      </c>
      <c r="AG234" s="333">
        <f t="shared" si="183"/>
        <v>0</v>
      </c>
      <c r="AH234" s="366">
        <f t="shared" si="183"/>
        <v>0</v>
      </c>
      <c r="AI234" s="237"/>
      <c r="AJ234" s="237"/>
      <c r="AK234" s="237"/>
      <c r="AL234" s="237"/>
      <c r="AM234" s="237"/>
      <c r="AN234" s="237"/>
      <c r="AO234" s="237"/>
      <c r="AP234" s="237"/>
      <c r="AQ234" s="237"/>
      <c r="AR234" s="237"/>
      <c r="AS234" s="237"/>
      <c r="AT234" s="237"/>
      <c r="AU234" s="237"/>
      <c r="AV234" s="237"/>
      <c r="AW234" s="237"/>
      <c r="AX234" s="237"/>
    </row>
    <row r="235" spans="3:50" x14ac:dyDescent="0.25">
      <c r="C235" s="228"/>
      <c r="D235" s="670" t="s">
        <v>341</v>
      </c>
      <c r="E235" s="671"/>
      <c r="F235" s="320" t="s">
        <v>380</v>
      </c>
      <c r="G235" s="321" t="s">
        <v>336</v>
      </c>
      <c r="H235" s="321" t="s">
        <v>336</v>
      </c>
      <c r="I235" s="361">
        <f t="shared" si="179"/>
        <v>0</v>
      </c>
      <c r="J235" s="361"/>
      <c r="K235" s="361">
        <f t="shared" si="180"/>
        <v>0.66</v>
      </c>
      <c r="L235" s="361"/>
      <c r="M235" s="361">
        <f t="shared" si="181"/>
        <v>0.66</v>
      </c>
      <c r="N235" s="361"/>
      <c r="O235" s="361">
        <f t="shared" si="182"/>
        <v>0.35000000000000003</v>
      </c>
      <c r="P235" s="361"/>
      <c r="Q235" s="361">
        <f t="shared" ref="Q235:AH235" si="184">Q149*1000</f>
        <v>0.56000000000000016</v>
      </c>
      <c r="R235" s="361">
        <f t="shared" si="184"/>
        <v>0.65700282532500154</v>
      </c>
      <c r="S235" s="361">
        <f t="shared" si="184"/>
        <v>0.68013983682164891</v>
      </c>
      <c r="T235" s="361">
        <f t="shared" si="184"/>
        <v>0.67497077406179973</v>
      </c>
      <c r="U235" s="361">
        <f t="shared" si="184"/>
        <v>0.66984099617893555</v>
      </c>
      <c r="V235" s="361">
        <f t="shared" si="184"/>
        <v>0.66475020460796774</v>
      </c>
      <c r="W235" s="361">
        <f t="shared" si="184"/>
        <v>0.6596981030529534</v>
      </c>
      <c r="X235" s="361">
        <f t="shared" si="184"/>
        <v>0.65468439746975093</v>
      </c>
      <c r="Y235" s="361">
        <f t="shared" si="184"/>
        <v>0.64970879604898357</v>
      </c>
      <c r="Z235" s="361">
        <f t="shared" si="184"/>
        <v>0.64477100919900465</v>
      </c>
      <c r="AA235" s="361">
        <f t="shared" si="184"/>
        <v>0.6398707495290985</v>
      </c>
      <c r="AB235" s="361">
        <f t="shared" si="184"/>
        <v>0.63500773183266901</v>
      </c>
      <c r="AC235" s="361">
        <f t="shared" si="184"/>
        <v>0.63018167307075146</v>
      </c>
      <c r="AD235" s="361">
        <f t="shared" si="184"/>
        <v>0.62539229235541249</v>
      </c>
      <c r="AE235" s="361">
        <f t="shared" si="184"/>
        <v>0.62063931093351066</v>
      </c>
      <c r="AF235" s="361">
        <f t="shared" si="184"/>
        <v>0.6159224521704072</v>
      </c>
      <c r="AG235" s="361">
        <f t="shared" si="184"/>
        <v>0.61124144153391313</v>
      </c>
      <c r="AH235" s="362">
        <f t="shared" si="184"/>
        <v>0.60659600657826118</v>
      </c>
      <c r="AI235" s="237"/>
      <c r="AJ235" s="237"/>
      <c r="AK235" s="237"/>
      <c r="AL235" s="237"/>
      <c r="AM235" s="237"/>
      <c r="AN235" s="237"/>
      <c r="AO235" s="237"/>
      <c r="AP235" s="237"/>
      <c r="AQ235" s="237"/>
      <c r="AR235" s="237"/>
      <c r="AS235" s="237"/>
      <c r="AT235" s="237"/>
      <c r="AU235" s="237"/>
      <c r="AV235" s="237"/>
      <c r="AW235" s="237"/>
      <c r="AX235" s="237"/>
    </row>
    <row r="236" spans="3:50" x14ac:dyDescent="0.25">
      <c r="C236" s="228"/>
      <c r="D236" s="670" t="s">
        <v>28</v>
      </c>
      <c r="E236" s="671"/>
      <c r="F236" s="320" t="s">
        <v>380</v>
      </c>
      <c r="G236" s="321" t="s">
        <v>336</v>
      </c>
      <c r="H236" s="321" t="s">
        <v>336</v>
      </c>
      <c r="I236" s="361">
        <f t="shared" si="179"/>
        <v>0.02</v>
      </c>
      <c r="J236" s="361"/>
      <c r="K236" s="361">
        <f t="shared" si="180"/>
        <v>0.02</v>
      </c>
      <c r="L236" s="361"/>
      <c r="M236" s="361">
        <f t="shared" si="181"/>
        <v>0.02</v>
      </c>
      <c r="N236" s="361"/>
      <c r="O236" s="361">
        <f t="shared" si="182"/>
        <v>6.9999999999999993E-2</v>
      </c>
      <c r="P236" s="361"/>
      <c r="Q236" s="361">
        <f t="shared" ref="Q236:AH236" si="185">Q150*1000</f>
        <v>0.18000000000000002</v>
      </c>
      <c r="R236" s="361">
        <f t="shared" si="185"/>
        <v>1.9936331417599873E-6</v>
      </c>
      <c r="S236" s="361">
        <f t="shared" si="185"/>
        <v>-1.2825707126749991E-3</v>
      </c>
      <c r="T236" s="361">
        <f t="shared" si="185"/>
        <v>6.969764787489105E-4</v>
      </c>
      <c r="U236" s="361">
        <f t="shared" si="185"/>
        <v>4.4451518698786913E-4</v>
      </c>
      <c r="V236" s="361">
        <f t="shared" si="185"/>
        <v>5.1050708847174414E-4</v>
      </c>
      <c r="W236" s="361">
        <f t="shared" si="185"/>
        <v>4.9419227000235821E-4</v>
      </c>
      <c r="X236" s="361">
        <f t="shared" si="185"/>
        <v>4.4490647491499113E-4</v>
      </c>
      <c r="Y236" s="361">
        <f t="shared" si="185"/>
        <v>3.7909673304638292E-4</v>
      </c>
      <c r="Z236" s="361">
        <f t="shared" si="185"/>
        <v>5.2505805766355634E-4</v>
      </c>
      <c r="AA236" s="361">
        <f t="shared" si="185"/>
        <v>4.6937676578840543E-4</v>
      </c>
      <c r="AB236" s="361">
        <f t="shared" si="185"/>
        <v>3.6225283558294352E-4</v>
      </c>
      <c r="AC236" s="361">
        <f t="shared" si="185"/>
        <v>3.9303281795695366E-4</v>
      </c>
      <c r="AD236" s="361">
        <f t="shared" si="185"/>
        <v>5.2280929136594434E-4</v>
      </c>
      <c r="AE236" s="361">
        <f t="shared" si="185"/>
        <v>4.0725387871619334E-4</v>
      </c>
      <c r="AF236" s="361">
        <f t="shared" si="185"/>
        <v>4.7746397395567047E-4</v>
      </c>
      <c r="AG236" s="361">
        <f t="shared" si="185"/>
        <v>3.9092021193383453E-4</v>
      </c>
      <c r="AH236" s="362">
        <f t="shared" si="185"/>
        <v>3.9064931281782012E-4</v>
      </c>
      <c r="AI236" s="237"/>
      <c r="AJ236" s="237"/>
      <c r="AK236" s="237"/>
      <c r="AL236" s="237"/>
      <c r="AM236" s="237"/>
      <c r="AN236" s="237"/>
      <c r="AO236" s="237"/>
      <c r="AP236" s="237"/>
      <c r="AQ236" s="237"/>
      <c r="AR236" s="237"/>
      <c r="AS236" s="237"/>
      <c r="AT236" s="237"/>
      <c r="AU236" s="237"/>
      <c r="AV236" s="237"/>
      <c r="AW236" s="237"/>
      <c r="AX236" s="237"/>
    </row>
    <row r="237" spans="3:50" x14ac:dyDescent="0.25">
      <c r="C237" s="228"/>
      <c r="D237" s="670" t="s">
        <v>19</v>
      </c>
      <c r="E237" s="671"/>
      <c r="F237" s="320" t="s">
        <v>380</v>
      </c>
      <c r="G237" s="321" t="s">
        <v>336</v>
      </c>
      <c r="H237" s="321" t="s">
        <v>336</v>
      </c>
      <c r="I237" s="361">
        <f t="shared" si="179"/>
        <v>9.6900000000000013</v>
      </c>
      <c r="J237" s="361"/>
      <c r="K237" s="361">
        <f t="shared" si="180"/>
        <v>9.6900000000000013</v>
      </c>
      <c r="L237" s="361"/>
      <c r="M237" s="361">
        <f t="shared" si="181"/>
        <v>9.6900000000000013</v>
      </c>
      <c r="N237" s="361"/>
      <c r="O237" s="361">
        <f t="shared" si="182"/>
        <v>2.3199999999999998</v>
      </c>
      <c r="P237" s="361"/>
      <c r="Q237" s="361">
        <f t="shared" ref="Q237:AH237" si="186">Q151*1000</f>
        <v>14.22</v>
      </c>
      <c r="R237" s="361">
        <f t="shared" si="186"/>
        <v>6.2290568130031883</v>
      </c>
      <c r="S237" s="361">
        <f t="shared" si="186"/>
        <v>1.3846278536490215</v>
      </c>
      <c r="T237" s="361">
        <f t="shared" si="186"/>
        <v>13.128980013877351</v>
      </c>
      <c r="U237" s="361">
        <f t="shared" si="186"/>
        <v>13.505360543874696</v>
      </c>
      <c r="V237" s="361">
        <f t="shared" si="186"/>
        <v>11.670804342610175</v>
      </c>
      <c r="W237" s="361">
        <f t="shared" si="186"/>
        <v>12.48154978696958</v>
      </c>
      <c r="X237" s="361">
        <f t="shared" si="186"/>
        <v>9.5667825824121717</v>
      </c>
      <c r="Y237" s="361">
        <f t="shared" si="186"/>
        <v>7.9599587557391773</v>
      </c>
      <c r="Z237" s="361">
        <f t="shared" si="186"/>
        <v>10.441220433680428</v>
      </c>
      <c r="AA237" s="361">
        <f t="shared" si="186"/>
        <v>8.9249062212879124</v>
      </c>
      <c r="AB237" s="361">
        <f t="shared" si="186"/>
        <v>5.2185030372532992</v>
      </c>
      <c r="AC237" s="361">
        <f t="shared" si="186"/>
        <v>6.0895050427817186</v>
      </c>
      <c r="AD237" s="361">
        <f t="shared" si="186"/>
        <v>8.8097118420880758</v>
      </c>
      <c r="AE237" s="361">
        <f t="shared" si="186"/>
        <v>5.7239118699612863</v>
      </c>
      <c r="AF237" s="361">
        <f t="shared" si="186"/>
        <v>7.3311417428900212</v>
      </c>
      <c r="AG237" s="361">
        <f t="shared" si="186"/>
        <v>5.1327643545550377</v>
      </c>
      <c r="AH237" s="362">
        <f t="shared" si="186"/>
        <v>5.3476573223761825</v>
      </c>
      <c r="AI237" s="237"/>
      <c r="AJ237" s="237"/>
      <c r="AK237" s="237"/>
      <c r="AL237" s="237"/>
      <c r="AM237" s="237"/>
      <c r="AN237" s="237"/>
      <c r="AO237" s="237"/>
      <c r="AP237" s="237"/>
      <c r="AQ237" s="237"/>
      <c r="AR237" s="237"/>
      <c r="AS237" s="237"/>
      <c r="AT237" s="237"/>
      <c r="AU237" s="237"/>
      <c r="AV237" s="237"/>
      <c r="AW237" s="237"/>
      <c r="AX237" s="237"/>
    </row>
    <row r="238" spans="3:50" x14ac:dyDescent="0.25">
      <c r="C238" s="228"/>
      <c r="D238" s="670" t="s">
        <v>351</v>
      </c>
      <c r="E238" s="671"/>
      <c r="F238" s="321" t="s">
        <v>380</v>
      </c>
      <c r="G238" s="321"/>
      <c r="H238" s="321"/>
      <c r="I238" s="361">
        <f t="shared" si="179"/>
        <v>0</v>
      </c>
      <c r="J238" s="361"/>
      <c r="K238" s="361">
        <f t="shared" si="180"/>
        <v>0</v>
      </c>
      <c r="L238" s="361"/>
      <c r="M238" s="361">
        <f t="shared" si="181"/>
        <v>0</v>
      </c>
      <c r="N238" s="361"/>
      <c r="O238" s="361">
        <f t="shared" si="182"/>
        <v>0</v>
      </c>
      <c r="P238" s="361"/>
      <c r="Q238" s="361">
        <f t="shared" ref="Q238:AH238" si="187">Q152*1000</f>
        <v>0</v>
      </c>
      <c r="R238" s="361">
        <f t="shared" si="187"/>
        <v>5.8006255086190244</v>
      </c>
      <c r="S238" s="361">
        <f t="shared" si="187"/>
        <v>14.024251283309058</v>
      </c>
      <c r="T238" s="361">
        <f t="shared" si="187"/>
        <v>7.7869134075109088</v>
      </c>
      <c r="U238" s="361">
        <f t="shared" si="187"/>
        <v>7.4849767685326425</v>
      </c>
      <c r="V238" s="361">
        <f t="shared" si="187"/>
        <v>8.3335872329037048</v>
      </c>
      <c r="W238" s="361">
        <f t="shared" si="187"/>
        <v>7.8077829360448305</v>
      </c>
      <c r="X238" s="361">
        <f t="shared" si="187"/>
        <v>9.2218132648669346</v>
      </c>
      <c r="Y238" s="361">
        <f t="shared" si="187"/>
        <v>9.9568745497082336</v>
      </c>
      <c r="Z238" s="361">
        <f t="shared" si="187"/>
        <v>8.5633012792555778</v>
      </c>
      <c r="AA238" s="361">
        <f t="shared" si="187"/>
        <v>9.2533124707584005</v>
      </c>
      <c r="AB238" s="361">
        <f t="shared" si="187"/>
        <v>11.08435037139431</v>
      </c>
      <c r="AC238" s="361">
        <f t="shared" si="187"/>
        <v>10.533360661373475</v>
      </c>
      <c r="AD238" s="361">
        <f t="shared" si="187"/>
        <v>9.020059300136305</v>
      </c>
      <c r="AE238" s="361">
        <f t="shared" si="187"/>
        <v>10.531796169477188</v>
      </c>
      <c r="AF238" s="361">
        <f t="shared" si="187"/>
        <v>9.6005937616730339</v>
      </c>
      <c r="AG238" s="361">
        <f t="shared" si="187"/>
        <v>10.652345112202209</v>
      </c>
      <c r="AH238" s="362">
        <f t="shared" si="187"/>
        <v>10.448474971794166</v>
      </c>
      <c r="AI238" s="237"/>
      <c r="AJ238" s="237"/>
      <c r="AK238" s="237"/>
      <c r="AL238" s="237"/>
      <c r="AM238" s="237"/>
      <c r="AN238" s="237"/>
      <c r="AO238" s="237"/>
      <c r="AP238" s="237"/>
      <c r="AQ238" s="237"/>
      <c r="AR238" s="237"/>
      <c r="AS238" s="237"/>
      <c r="AT238" s="237"/>
      <c r="AU238" s="237"/>
      <c r="AV238" s="237"/>
      <c r="AW238" s="237"/>
      <c r="AX238" s="237"/>
    </row>
    <row r="239" spans="3:50" x14ac:dyDescent="0.25">
      <c r="C239" s="228"/>
      <c r="D239" s="670" t="s">
        <v>344</v>
      </c>
      <c r="E239" s="671"/>
      <c r="F239" s="321" t="s">
        <v>380</v>
      </c>
      <c r="G239" s="321" t="s">
        <v>336</v>
      </c>
      <c r="H239" s="321" t="s">
        <v>336</v>
      </c>
      <c r="I239" s="361">
        <f t="shared" si="179"/>
        <v>0.61</v>
      </c>
      <c r="J239" s="361"/>
      <c r="K239" s="361">
        <f t="shared" si="180"/>
        <v>0.61</v>
      </c>
      <c r="L239" s="361"/>
      <c r="M239" s="361">
        <f t="shared" si="181"/>
        <v>0.61</v>
      </c>
      <c r="N239" s="361"/>
      <c r="O239" s="361">
        <f t="shared" si="182"/>
        <v>0.35</v>
      </c>
      <c r="P239" s="361"/>
      <c r="Q239" s="361">
        <f t="shared" ref="Q239:AH239" si="188">Q153*1000</f>
        <v>0.27999999999999997</v>
      </c>
      <c r="R239" s="361">
        <f t="shared" si="188"/>
        <v>-9.9628808999997667E-2</v>
      </c>
      <c r="S239" s="361">
        <f t="shared" si="188"/>
        <v>-0.10423769999999938</v>
      </c>
      <c r="T239" s="361">
        <f t="shared" si="188"/>
        <v>-0.10423769999999938</v>
      </c>
      <c r="U239" s="361">
        <f t="shared" si="188"/>
        <v>-0.10423769999999938</v>
      </c>
      <c r="V239" s="361">
        <f t="shared" si="188"/>
        <v>-0.10423769999999938</v>
      </c>
      <c r="W239" s="361">
        <f t="shared" si="188"/>
        <v>-0.10423770000000591</v>
      </c>
      <c r="X239" s="361">
        <f t="shared" si="188"/>
        <v>-0.10423769999999938</v>
      </c>
      <c r="Y239" s="361">
        <f t="shared" si="188"/>
        <v>-0.10423769999999938</v>
      </c>
      <c r="Z239" s="361">
        <f t="shared" si="188"/>
        <v>-0.10423769999999938</v>
      </c>
      <c r="AA239" s="361">
        <f t="shared" si="188"/>
        <v>-0.10423769999999938</v>
      </c>
      <c r="AB239" s="361">
        <f t="shared" si="188"/>
        <v>-0.10423769999999938</v>
      </c>
      <c r="AC239" s="361">
        <f t="shared" si="188"/>
        <v>-0.10423769999999938</v>
      </c>
      <c r="AD239" s="361">
        <f t="shared" si="188"/>
        <v>-0.10423769999999938</v>
      </c>
      <c r="AE239" s="361">
        <f t="shared" si="188"/>
        <v>-0.10423769999999938</v>
      </c>
      <c r="AF239" s="361">
        <f t="shared" si="188"/>
        <v>-0.10423769999999938</v>
      </c>
      <c r="AG239" s="361">
        <f t="shared" si="188"/>
        <v>-0.10423769999999938</v>
      </c>
      <c r="AH239" s="362">
        <f t="shared" si="188"/>
        <v>-0.10423770000000591</v>
      </c>
      <c r="AI239" s="237"/>
      <c r="AJ239" s="237"/>
      <c r="AK239" s="237"/>
      <c r="AL239" s="237"/>
      <c r="AM239" s="237"/>
      <c r="AN239" s="237"/>
      <c r="AO239" s="237"/>
      <c r="AP239" s="237"/>
      <c r="AQ239" s="237"/>
      <c r="AR239" s="237"/>
      <c r="AS239" s="237"/>
      <c r="AT239" s="237"/>
      <c r="AU239" s="237"/>
      <c r="AV239" s="237"/>
      <c r="AW239" s="237"/>
      <c r="AX239" s="237"/>
    </row>
    <row r="240" spans="3:50" x14ac:dyDescent="0.25">
      <c r="C240" s="228"/>
      <c r="D240" s="670" t="s">
        <v>5</v>
      </c>
      <c r="E240" s="671"/>
      <c r="F240" s="320" t="s">
        <v>380</v>
      </c>
      <c r="G240" s="321" t="s">
        <v>336</v>
      </c>
      <c r="H240" s="321" t="s">
        <v>336</v>
      </c>
      <c r="I240" s="361">
        <f t="shared" si="179"/>
        <v>0.27999999999999997</v>
      </c>
      <c r="J240" s="361"/>
      <c r="K240" s="361">
        <f t="shared" si="180"/>
        <v>0.27999999999999997</v>
      </c>
      <c r="L240" s="361"/>
      <c r="M240" s="361">
        <f t="shared" si="181"/>
        <v>0.27999999999999997</v>
      </c>
      <c r="N240" s="361"/>
      <c r="O240" s="361">
        <f t="shared" si="182"/>
        <v>0.25</v>
      </c>
      <c r="P240" s="361"/>
      <c r="Q240" s="361">
        <f t="shared" ref="Q240:AH240" si="189">Q154*1000</f>
        <v>0.44</v>
      </c>
      <c r="R240" s="361">
        <f t="shared" si="189"/>
        <v>-2.4646141299780183E-2</v>
      </c>
      <c r="S240" s="361">
        <f t="shared" si="189"/>
        <v>-2.4612129624787402E-2</v>
      </c>
      <c r="T240" s="361">
        <f t="shared" si="189"/>
        <v>-2.4578164885905657E-2</v>
      </c>
      <c r="U240" s="361">
        <f t="shared" si="189"/>
        <v>-2.4544247018363018E-2</v>
      </c>
      <c r="V240" s="361">
        <f t="shared" si="189"/>
        <v>-2.4510375957476231E-2</v>
      </c>
      <c r="W240" s="361">
        <f t="shared" si="189"/>
        <v>-2.4476551638654729E-2</v>
      </c>
      <c r="X240" s="361">
        <f t="shared" si="189"/>
        <v>-2.4442773997394595E-2</v>
      </c>
      <c r="Y240" s="361">
        <f t="shared" si="189"/>
        <v>-2.4409042969278552E-2</v>
      </c>
      <c r="Z240" s="361">
        <f t="shared" si="189"/>
        <v>-2.4375358489980015E-2</v>
      </c>
      <c r="AA240" s="361">
        <f t="shared" si="189"/>
        <v>-2.4341720495265073E-2</v>
      </c>
      <c r="AB240" s="361">
        <f t="shared" si="189"/>
        <v>-2.4308128920980429E-2</v>
      </c>
      <c r="AC240" s="361">
        <f t="shared" si="189"/>
        <v>-2.4274583703069515E-2</v>
      </c>
      <c r="AD240" s="361">
        <f t="shared" si="189"/>
        <v>-2.4241084777560373E-2</v>
      </c>
      <c r="AE240" s="361">
        <f t="shared" si="189"/>
        <v>-2.4207632080565696E-2</v>
      </c>
      <c r="AF240" s="361">
        <f t="shared" si="189"/>
        <v>-2.41742255482949E-2</v>
      </c>
      <c r="AG240" s="361">
        <f t="shared" si="189"/>
        <v>-2.4140865117037998E-2</v>
      </c>
      <c r="AH240" s="362">
        <f t="shared" si="189"/>
        <v>-2.4107550723177686E-2</v>
      </c>
      <c r="AI240" s="237"/>
      <c r="AJ240" s="237"/>
      <c r="AK240" s="237"/>
      <c r="AL240" s="237"/>
      <c r="AM240" s="237"/>
      <c r="AN240" s="237"/>
      <c r="AO240" s="237"/>
      <c r="AP240" s="237"/>
      <c r="AQ240" s="237"/>
      <c r="AR240" s="237"/>
      <c r="AS240" s="237"/>
      <c r="AT240" s="237"/>
      <c r="AU240" s="237"/>
      <c r="AV240" s="237"/>
      <c r="AW240" s="237"/>
      <c r="AX240" s="237"/>
    </row>
    <row r="241" spans="3:50" x14ac:dyDescent="0.25">
      <c r="C241" s="228"/>
      <c r="D241" s="670" t="s">
        <v>29</v>
      </c>
      <c r="E241" s="671"/>
      <c r="F241" s="320" t="s">
        <v>380</v>
      </c>
      <c r="G241" s="321" t="s">
        <v>336</v>
      </c>
      <c r="H241" s="321" t="s">
        <v>336</v>
      </c>
      <c r="I241" s="361">
        <f t="shared" si="179"/>
        <v>0.22</v>
      </c>
      <c r="J241" s="361"/>
      <c r="K241" s="361">
        <f t="shared" si="180"/>
        <v>0.22</v>
      </c>
      <c r="L241" s="361"/>
      <c r="M241" s="361">
        <f t="shared" si="181"/>
        <v>0.22</v>
      </c>
      <c r="N241" s="361"/>
      <c r="O241" s="361">
        <f t="shared" si="182"/>
        <v>0.12000000000000001</v>
      </c>
      <c r="P241" s="361"/>
      <c r="Q241" s="361">
        <f t="shared" ref="Q241:AH241" si="190">Q155*1000</f>
        <v>0.75</v>
      </c>
      <c r="R241" s="361">
        <f t="shared" si="190"/>
        <v>0.13818963219594038</v>
      </c>
      <c r="S241" s="361">
        <f t="shared" si="190"/>
        <v>0.13992221279387571</v>
      </c>
      <c r="T241" s="361">
        <f t="shared" si="190"/>
        <v>0.14167651597317052</v>
      </c>
      <c r="U241" s="361">
        <f t="shared" si="190"/>
        <v>0.14330407180360974</v>
      </c>
      <c r="V241" s="361">
        <f t="shared" si="190"/>
        <v>0.14509891277460008</v>
      </c>
      <c r="W241" s="361">
        <f t="shared" si="190"/>
        <v>0.14691623359609676</v>
      </c>
      <c r="X241" s="361">
        <f t="shared" si="190"/>
        <v>0.14875631582155838</v>
      </c>
      <c r="Y241" s="361">
        <f t="shared" si="190"/>
        <v>0.15061944453081155</v>
      </c>
      <c r="Z241" s="361">
        <f t="shared" si="190"/>
        <v>0.15250590837422728</v>
      </c>
      <c r="AA241" s="361">
        <f t="shared" si="190"/>
        <v>0.15441599961743543</v>
      </c>
      <c r="AB241" s="361">
        <f t="shared" si="190"/>
        <v>0.15635001418660824</v>
      </c>
      <c r="AC241" s="361">
        <f t="shared" si="190"/>
        <v>0.15830825171430171</v>
      </c>
      <c r="AD241" s="361">
        <f t="shared" si="190"/>
        <v>0.16029101558588274</v>
      </c>
      <c r="AE241" s="361">
        <f t="shared" si="190"/>
        <v>0.16229861298653145</v>
      </c>
      <c r="AF241" s="361">
        <f t="shared" si="190"/>
        <v>0.16433135494882878</v>
      </c>
      <c r="AG241" s="361">
        <f t="shared" si="190"/>
        <v>0.16638955640094771</v>
      </c>
      <c r="AH241" s="362">
        <f t="shared" si="190"/>
        <v>0.16847353621543837</v>
      </c>
      <c r="AI241" s="237"/>
      <c r="AJ241" s="237"/>
      <c r="AK241" s="237"/>
      <c r="AL241" s="237"/>
      <c r="AM241" s="237"/>
      <c r="AN241" s="237"/>
      <c r="AO241" s="237"/>
      <c r="AP241" s="237"/>
      <c r="AQ241" s="237"/>
      <c r="AR241" s="237"/>
      <c r="AS241" s="237"/>
      <c r="AT241" s="237"/>
      <c r="AU241" s="237"/>
      <c r="AV241" s="237"/>
      <c r="AW241" s="237"/>
      <c r="AX241" s="237"/>
    </row>
    <row r="242" spans="3:50" x14ac:dyDescent="0.25">
      <c r="C242" s="228"/>
      <c r="D242" s="325" t="s">
        <v>336</v>
      </c>
      <c r="E242" s="282" t="s">
        <v>336</v>
      </c>
      <c r="F242" s="326" t="s">
        <v>372</v>
      </c>
      <c r="G242" s="327" t="s">
        <v>336</v>
      </c>
      <c r="H242" s="327" t="s">
        <v>336</v>
      </c>
      <c r="I242" s="328">
        <f t="shared" si="179"/>
        <v>11.5</v>
      </c>
      <c r="J242" s="328"/>
      <c r="K242" s="328">
        <f t="shared" si="180"/>
        <v>11.5</v>
      </c>
      <c r="L242" s="328"/>
      <c r="M242" s="328">
        <f t="shared" si="181"/>
        <v>11.5</v>
      </c>
      <c r="N242" s="328"/>
      <c r="O242" s="328">
        <f t="shared" si="182"/>
        <v>3.46</v>
      </c>
      <c r="P242" s="328"/>
      <c r="Q242" s="328">
        <f t="shared" ref="Q242:AH242" si="191">Q156*1000</f>
        <v>16.420000000000002</v>
      </c>
      <c r="R242" s="328">
        <f t="shared" si="191"/>
        <v>12.700601822476518</v>
      </c>
      <c r="S242" s="328">
        <f t="shared" si="191"/>
        <v>16.098808786236145</v>
      </c>
      <c r="T242" s="328">
        <f t="shared" si="191"/>
        <v>21.604421823016079</v>
      </c>
      <c r="U242" s="328">
        <f t="shared" si="191"/>
        <v>21.675144948558511</v>
      </c>
      <c r="V242" s="328">
        <f t="shared" si="191"/>
        <v>20.686003124027444</v>
      </c>
      <c r="W242" s="328">
        <f t="shared" si="191"/>
        <v>20.967727000294804</v>
      </c>
      <c r="X242" s="328">
        <f t="shared" si="191"/>
        <v>19.46380099304794</v>
      </c>
      <c r="Y242" s="328">
        <f t="shared" si="191"/>
        <v>18.588893899790978</v>
      </c>
      <c r="Z242" s="328">
        <f t="shared" si="191"/>
        <v>19.673710630076922</v>
      </c>
      <c r="AA242" s="328">
        <f t="shared" si="191"/>
        <v>18.844395397463373</v>
      </c>
      <c r="AB242" s="328">
        <f t="shared" si="191"/>
        <v>16.966027578581492</v>
      </c>
      <c r="AC242" s="328">
        <f t="shared" si="191"/>
        <v>17.283236378055136</v>
      </c>
      <c r="AD242" s="328">
        <f t="shared" si="191"/>
        <v>18.48749847467948</v>
      </c>
      <c r="AE242" s="328">
        <f t="shared" si="191"/>
        <v>16.910607885156665</v>
      </c>
      <c r="AF242" s="328">
        <f t="shared" si="191"/>
        <v>17.584054850107954</v>
      </c>
      <c r="AG242" s="328">
        <f t="shared" si="191"/>
        <v>16.434752819787004</v>
      </c>
      <c r="AH242" s="363">
        <f t="shared" si="191"/>
        <v>16.443247235553681</v>
      </c>
      <c r="AI242" s="237"/>
      <c r="AJ242" s="237"/>
      <c r="AK242" s="237"/>
      <c r="AL242" s="237"/>
      <c r="AM242" s="237"/>
      <c r="AN242" s="237"/>
      <c r="AO242" s="237"/>
      <c r="AP242" s="237"/>
      <c r="AQ242" s="237"/>
      <c r="AR242" s="237"/>
      <c r="AS242" s="237"/>
      <c r="AT242" s="237"/>
      <c r="AU242" s="237"/>
      <c r="AV242" s="237"/>
      <c r="AW242" s="237"/>
      <c r="AX242" s="237"/>
    </row>
    <row r="243" spans="3:50" x14ac:dyDescent="0.25">
      <c r="C243" s="228"/>
      <c r="D243" s="325"/>
      <c r="E243" s="282"/>
      <c r="F243" s="282"/>
      <c r="G243" s="330"/>
      <c r="H243" s="330"/>
      <c r="I243" s="364"/>
      <c r="J243" s="364"/>
      <c r="K243" s="364"/>
      <c r="L243" s="364"/>
      <c r="M243" s="364"/>
      <c r="N243" s="364"/>
      <c r="O243" s="364"/>
      <c r="P243" s="364"/>
      <c r="Q243" s="364"/>
      <c r="R243" s="364"/>
      <c r="S243" s="364"/>
      <c r="T243" s="364"/>
      <c r="U243" s="364"/>
      <c r="V243" s="364"/>
      <c r="W243" s="364"/>
      <c r="X243" s="364"/>
      <c r="Y243" s="364"/>
      <c r="Z243" s="364"/>
      <c r="AA243" s="364"/>
      <c r="AB243" s="364"/>
      <c r="AC243" s="364"/>
      <c r="AD243" s="364"/>
      <c r="AE243" s="364"/>
      <c r="AF243" s="364"/>
      <c r="AG243" s="364"/>
      <c r="AH243" s="365"/>
      <c r="AI243" s="237"/>
      <c r="AJ243" s="237"/>
      <c r="AK243" s="237"/>
      <c r="AL243" s="237"/>
      <c r="AM243" s="237"/>
      <c r="AN243" s="237"/>
      <c r="AO243" s="237"/>
      <c r="AP243" s="237"/>
      <c r="AQ243" s="237"/>
      <c r="AR243" s="237"/>
      <c r="AS243" s="237"/>
      <c r="AT243" s="237"/>
      <c r="AU243" s="237"/>
      <c r="AV243" s="237"/>
      <c r="AW243" s="237"/>
      <c r="AX243" s="237"/>
    </row>
    <row r="244" spans="3:50" ht="15.75" x14ac:dyDescent="0.25">
      <c r="C244" s="228"/>
      <c r="D244" s="325"/>
      <c r="E244" s="282"/>
      <c r="F244" s="248" t="s">
        <v>381</v>
      </c>
      <c r="G244" s="327"/>
      <c r="H244" s="327"/>
      <c r="I244" s="328">
        <f t="shared" ref="I244:I251" si="192">I158*1000</f>
        <v>0</v>
      </c>
      <c r="J244" s="328"/>
      <c r="K244" s="328">
        <f t="shared" ref="K244:K251" si="193">K158*1000</f>
        <v>0</v>
      </c>
      <c r="L244" s="328"/>
      <c r="M244" s="328">
        <f t="shared" ref="M244:M251" si="194">M158*1000</f>
        <v>0</v>
      </c>
      <c r="N244" s="328"/>
      <c r="O244" s="328">
        <f t="shared" ref="O244:O251" si="195">O158*1000</f>
        <v>0</v>
      </c>
      <c r="P244" s="328"/>
      <c r="Q244" s="328">
        <f t="shared" ref="Q244:AH244" si="196">Q158*1000</f>
        <v>0</v>
      </c>
      <c r="R244" s="328">
        <f t="shared" si="196"/>
        <v>0</v>
      </c>
      <c r="S244" s="328">
        <f t="shared" si="196"/>
        <v>0</v>
      </c>
      <c r="T244" s="328">
        <f t="shared" si="196"/>
        <v>0</v>
      </c>
      <c r="U244" s="328">
        <f t="shared" si="196"/>
        <v>0</v>
      </c>
      <c r="V244" s="328">
        <f t="shared" si="196"/>
        <v>0</v>
      </c>
      <c r="W244" s="328">
        <f t="shared" si="196"/>
        <v>0</v>
      </c>
      <c r="X244" s="328">
        <f t="shared" si="196"/>
        <v>0</v>
      </c>
      <c r="Y244" s="328">
        <f t="shared" si="196"/>
        <v>0</v>
      </c>
      <c r="Z244" s="328">
        <f t="shared" si="196"/>
        <v>0</v>
      </c>
      <c r="AA244" s="328">
        <f t="shared" si="196"/>
        <v>0</v>
      </c>
      <c r="AB244" s="328">
        <f t="shared" si="196"/>
        <v>0</v>
      </c>
      <c r="AC244" s="328">
        <f t="shared" si="196"/>
        <v>0</v>
      </c>
      <c r="AD244" s="328">
        <f t="shared" si="196"/>
        <v>0</v>
      </c>
      <c r="AE244" s="328">
        <f t="shared" si="196"/>
        <v>0</v>
      </c>
      <c r="AF244" s="328">
        <f t="shared" si="196"/>
        <v>0</v>
      </c>
      <c r="AG244" s="328">
        <f t="shared" si="196"/>
        <v>0</v>
      </c>
      <c r="AH244" s="363">
        <f t="shared" si="196"/>
        <v>0</v>
      </c>
      <c r="AI244" s="237"/>
      <c r="AJ244" s="237"/>
      <c r="AK244" s="237"/>
      <c r="AL244" s="237"/>
      <c r="AM244" s="237"/>
      <c r="AN244" s="237"/>
      <c r="AO244" s="237"/>
      <c r="AP244" s="237"/>
      <c r="AQ244" s="237"/>
      <c r="AR244" s="237"/>
      <c r="AS244" s="237"/>
      <c r="AT244" s="237"/>
      <c r="AU244" s="237"/>
      <c r="AV244" s="237"/>
      <c r="AW244" s="237"/>
      <c r="AX244" s="237"/>
    </row>
    <row r="245" spans="3:50" x14ac:dyDescent="0.25">
      <c r="C245" s="228"/>
      <c r="D245" s="670" t="s">
        <v>28</v>
      </c>
      <c r="E245" s="671"/>
      <c r="F245" s="320" t="s">
        <v>382</v>
      </c>
      <c r="G245" s="321" t="s">
        <v>336</v>
      </c>
      <c r="H245" s="321" t="s">
        <v>336</v>
      </c>
      <c r="I245" s="361">
        <f t="shared" si="192"/>
        <v>0</v>
      </c>
      <c r="J245" s="361"/>
      <c r="K245" s="361">
        <f t="shared" si="193"/>
        <v>0</v>
      </c>
      <c r="L245" s="361"/>
      <c r="M245" s="361">
        <f t="shared" si="194"/>
        <v>0</v>
      </c>
      <c r="N245" s="361"/>
      <c r="O245" s="361">
        <f t="shared" si="195"/>
        <v>0</v>
      </c>
      <c r="P245" s="361"/>
      <c r="Q245" s="361">
        <f t="shared" ref="Q245:AH245" si="197">Q159*1000</f>
        <v>97.016000000000005</v>
      </c>
      <c r="R245" s="361">
        <f t="shared" si="197"/>
        <v>1.4767652901925832E-7</v>
      </c>
      <c r="S245" s="361">
        <f t="shared" si="197"/>
        <v>-9.500523797592586E-5</v>
      </c>
      <c r="T245" s="361">
        <f t="shared" si="197"/>
        <v>5.1627887314734118E-5</v>
      </c>
      <c r="U245" s="361">
        <f t="shared" si="197"/>
        <v>3.2927050887990312E-5</v>
      </c>
      <c r="V245" s="361">
        <f t="shared" si="197"/>
        <v>3.7815339886795862E-5</v>
      </c>
      <c r="W245" s="361">
        <f t="shared" si="197"/>
        <v>3.6606834814989497E-5</v>
      </c>
      <c r="X245" s="361">
        <f t="shared" si="197"/>
        <v>3.2956035178888232E-5</v>
      </c>
      <c r="Y245" s="361">
        <f t="shared" si="197"/>
        <v>2.8081239484917256E-5</v>
      </c>
      <c r="Z245" s="361">
        <f t="shared" si="197"/>
        <v>3.8893189456559729E-5</v>
      </c>
      <c r="AA245" s="361">
        <f t="shared" si="197"/>
        <v>3.4768649317659668E-5</v>
      </c>
      <c r="AB245" s="361">
        <f t="shared" si="197"/>
        <v>2.6833543376514335E-5</v>
      </c>
      <c r="AC245" s="361">
        <f t="shared" si="197"/>
        <v>2.9113542070885456E-5</v>
      </c>
      <c r="AD245" s="361">
        <f t="shared" si="197"/>
        <v>3.8726614175255136E-5</v>
      </c>
      <c r="AE245" s="361">
        <f t="shared" si="197"/>
        <v>3.0166953978977284E-5</v>
      </c>
      <c r="AF245" s="361">
        <f t="shared" si="197"/>
        <v>3.5367701774494109E-5</v>
      </c>
      <c r="AG245" s="361">
        <f t="shared" si="197"/>
        <v>2.8957052735839595E-5</v>
      </c>
      <c r="AH245" s="362">
        <f t="shared" si="197"/>
        <v>2.8936986134653342E-5</v>
      </c>
      <c r="AI245" s="237"/>
      <c r="AJ245" s="237"/>
      <c r="AK245" s="237"/>
      <c r="AL245" s="237"/>
      <c r="AM245" s="237"/>
      <c r="AN245" s="237"/>
      <c r="AO245" s="237"/>
      <c r="AP245" s="237"/>
      <c r="AQ245" s="237"/>
      <c r="AR245" s="237"/>
      <c r="AS245" s="237"/>
      <c r="AT245" s="237"/>
      <c r="AU245" s="237"/>
      <c r="AV245" s="237"/>
      <c r="AW245" s="237"/>
      <c r="AX245" s="237"/>
    </row>
    <row r="246" spans="3:50" x14ac:dyDescent="0.25">
      <c r="C246" s="228"/>
      <c r="D246" s="670" t="s">
        <v>19</v>
      </c>
      <c r="E246" s="671"/>
      <c r="F246" s="320" t="s">
        <v>382</v>
      </c>
      <c r="G246" s="321" t="s">
        <v>336</v>
      </c>
      <c r="H246" s="321" t="s">
        <v>336</v>
      </c>
      <c r="I246" s="361">
        <f t="shared" si="192"/>
        <v>0</v>
      </c>
      <c r="J246" s="361"/>
      <c r="K246" s="361">
        <f t="shared" si="193"/>
        <v>0</v>
      </c>
      <c r="L246" s="361"/>
      <c r="M246" s="361">
        <f t="shared" si="194"/>
        <v>0</v>
      </c>
      <c r="N246" s="361"/>
      <c r="O246" s="361">
        <f t="shared" si="195"/>
        <v>0</v>
      </c>
      <c r="P246" s="361"/>
      <c r="Q246" s="361">
        <f t="shared" ref="Q246:AH246" si="198">Q160*1000</f>
        <v>4.7886075000000003</v>
      </c>
      <c r="R246" s="361">
        <f t="shared" si="198"/>
        <v>2.0976222904963802</v>
      </c>
      <c r="S246" s="361">
        <f t="shared" si="198"/>
        <v>0.46627063085912818</v>
      </c>
      <c r="T246" s="361">
        <f t="shared" si="198"/>
        <v>4.4211574810333181</v>
      </c>
      <c r="U246" s="361">
        <f t="shared" si="198"/>
        <v>4.5479028637023573</v>
      </c>
      <c r="V246" s="361">
        <f t="shared" si="198"/>
        <v>3.9301197712592648</v>
      </c>
      <c r="W246" s="361">
        <f t="shared" si="198"/>
        <v>4.2031366608237635</v>
      </c>
      <c r="X246" s="361">
        <f t="shared" si="198"/>
        <v>3.2215946965372502</v>
      </c>
      <c r="Y246" s="361">
        <f t="shared" si="198"/>
        <v>2.6805000209044945</v>
      </c>
      <c r="Z246" s="361">
        <f t="shared" si="198"/>
        <v>3.5160598753818326</v>
      </c>
      <c r="AA246" s="361">
        <f t="shared" si="198"/>
        <v>3.005444129403827</v>
      </c>
      <c r="AB246" s="361">
        <f t="shared" si="198"/>
        <v>1.7573203492244307</v>
      </c>
      <c r="AC246" s="361">
        <f t="shared" si="198"/>
        <v>2.0506285139612692</v>
      </c>
      <c r="AD246" s="361">
        <f t="shared" si="198"/>
        <v>2.9666526550597405</v>
      </c>
      <c r="AE246" s="361">
        <f t="shared" si="198"/>
        <v>1.9275157520162223</v>
      </c>
      <c r="AF246" s="361">
        <f t="shared" si="198"/>
        <v>2.4687471629048248</v>
      </c>
      <c r="AG246" s="361">
        <f t="shared" si="198"/>
        <v>1.7284480211361339</v>
      </c>
      <c r="AH246" s="362">
        <f t="shared" si="198"/>
        <v>1.8008127936698475</v>
      </c>
      <c r="AI246" s="237"/>
      <c r="AJ246" s="237"/>
      <c r="AK246" s="237"/>
      <c r="AL246" s="237"/>
      <c r="AM246" s="237"/>
      <c r="AN246" s="237"/>
      <c r="AO246" s="237"/>
      <c r="AP246" s="237"/>
      <c r="AQ246" s="237"/>
      <c r="AR246" s="237"/>
      <c r="AS246" s="237"/>
      <c r="AT246" s="237"/>
      <c r="AU246" s="237"/>
      <c r="AV246" s="237"/>
      <c r="AW246" s="237"/>
      <c r="AX246" s="237"/>
    </row>
    <row r="247" spans="3:50" x14ac:dyDescent="0.25">
      <c r="C247" s="228"/>
      <c r="D247" s="670" t="s">
        <v>351</v>
      </c>
      <c r="E247" s="671"/>
      <c r="F247" s="321" t="s">
        <v>382</v>
      </c>
      <c r="G247" s="321"/>
      <c r="H247" s="321"/>
      <c r="I247" s="361">
        <f t="shared" si="192"/>
        <v>0</v>
      </c>
      <c r="J247" s="361"/>
      <c r="K247" s="361">
        <f t="shared" si="193"/>
        <v>0</v>
      </c>
      <c r="L247" s="361"/>
      <c r="M247" s="361">
        <f t="shared" si="194"/>
        <v>0</v>
      </c>
      <c r="N247" s="361"/>
      <c r="O247" s="361">
        <f t="shared" si="195"/>
        <v>0</v>
      </c>
      <c r="P247" s="361"/>
      <c r="Q247" s="361">
        <f t="shared" ref="Q247:AH247" si="199">Q161*1000</f>
        <v>0</v>
      </c>
      <c r="R247" s="361">
        <f t="shared" si="199"/>
        <v>2.226221101510423</v>
      </c>
      <c r="S247" s="361">
        <f t="shared" si="199"/>
        <v>5.3823650731109103</v>
      </c>
      <c r="T247" s="361">
        <f t="shared" si="199"/>
        <v>2.9885382046603302</v>
      </c>
      <c r="U247" s="361">
        <f t="shared" si="199"/>
        <v>2.8726579920843287</v>
      </c>
      <c r="V247" s="361">
        <f t="shared" si="199"/>
        <v>3.1983460614034569</v>
      </c>
      <c r="W247" s="361">
        <f t="shared" si="199"/>
        <v>2.9965477175536819</v>
      </c>
      <c r="X247" s="361">
        <f t="shared" si="199"/>
        <v>3.5392381828357498</v>
      </c>
      <c r="Y247" s="361">
        <f t="shared" si="199"/>
        <v>3.8213472313832826</v>
      </c>
      <c r="Z247" s="361">
        <f t="shared" si="199"/>
        <v>3.2865079771385806</v>
      </c>
      <c r="AA247" s="361">
        <f t="shared" si="199"/>
        <v>3.5513272578384734</v>
      </c>
      <c r="AB247" s="361">
        <f t="shared" si="199"/>
        <v>4.2540609899168711</v>
      </c>
      <c r="AC247" s="361">
        <f t="shared" si="199"/>
        <v>4.0425967405284435</v>
      </c>
      <c r="AD247" s="361">
        <f t="shared" si="199"/>
        <v>3.4618070621868933</v>
      </c>
      <c r="AE247" s="361">
        <f t="shared" si="199"/>
        <v>4.0419963044431482</v>
      </c>
      <c r="AF247" s="361">
        <f t="shared" si="199"/>
        <v>3.6846102868575272</v>
      </c>
      <c r="AG247" s="361">
        <f t="shared" si="199"/>
        <v>4.0882617631700473</v>
      </c>
      <c r="AH247" s="362">
        <f t="shared" si="199"/>
        <v>4.0100184758090736</v>
      </c>
      <c r="AI247" s="237"/>
      <c r="AJ247" s="237"/>
      <c r="AK247" s="237"/>
      <c r="AL247" s="237"/>
      <c r="AM247" s="237"/>
      <c r="AN247" s="237"/>
      <c r="AO247" s="237"/>
      <c r="AP247" s="237"/>
      <c r="AQ247" s="237"/>
      <c r="AR247" s="237"/>
      <c r="AS247" s="237"/>
      <c r="AT247" s="237"/>
      <c r="AU247" s="237"/>
      <c r="AV247" s="237"/>
      <c r="AW247" s="237"/>
      <c r="AX247" s="237"/>
    </row>
    <row r="248" spans="3:50" x14ac:dyDescent="0.25">
      <c r="C248" s="228"/>
      <c r="D248" s="670" t="s">
        <v>344</v>
      </c>
      <c r="E248" s="671"/>
      <c r="F248" s="321" t="s">
        <v>382</v>
      </c>
      <c r="G248" s="321" t="s">
        <v>336</v>
      </c>
      <c r="H248" s="321" t="s">
        <v>336</v>
      </c>
      <c r="I248" s="361">
        <f t="shared" si="192"/>
        <v>0</v>
      </c>
      <c r="J248" s="361"/>
      <c r="K248" s="361">
        <f t="shared" si="193"/>
        <v>0</v>
      </c>
      <c r="L248" s="361"/>
      <c r="M248" s="361">
        <f t="shared" si="194"/>
        <v>0</v>
      </c>
      <c r="N248" s="361"/>
      <c r="O248" s="361">
        <f t="shared" si="195"/>
        <v>0</v>
      </c>
      <c r="P248" s="361"/>
      <c r="Q248" s="361">
        <f t="shared" ref="Q248:AH248" si="200">Q162*1000</f>
        <v>2.7690299999999999</v>
      </c>
      <c r="R248" s="361">
        <f t="shared" si="200"/>
        <v>-0.98544413799997688</v>
      </c>
      <c r="S248" s="361">
        <f t="shared" si="200"/>
        <v>-1.031031399999994</v>
      </c>
      <c r="T248" s="361">
        <f t="shared" si="200"/>
        <v>-1.031031399999994</v>
      </c>
      <c r="U248" s="361">
        <f t="shared" si="200"/>
        <v>-1.031031399999994</v>
      </c>
      <c r="V248" s="361">
        <f t="shared" si="200"/>
        <v>-1.031031399999994</v>
      </c>
      <c r="W248" s="361">
        <f t="shared" si="200"/>
        <v>-1.0310314000000587</v>
      </c>
      <c r="X248" s="361">
        <f t="shared" si="200"/>
        <v>-1.031031399999994</v>
      </c>
      <c r="Y248" s="361">
        <f t="shared" si="200"/>
        <v>-1.031031399999994</v>
      </c>
      <c r="Z248" s="361">
        <f t="shared" si="200"/>
        <v>-1.031031399999994</v>
      </c>
      <c r="AA248" s="361">
        <f t="shared" si="200"/>
        <v>-1.031031399999994</v>
      </c>
      <c r="AB248" s="361">
        <f t="shared" si="200"/>
        <v>-1.031031399999994</v>
      </c>
      <c r="AC248" s="361">
        <f t="shared" si="200"/>
        <v>-1.031031399999994</v>
      </c>
      <c r="AD248" s="361">
        <f t="shared" si="200"/>
        <v>-1.031031399999994</v>
      </c>
      <c r="AE248" s="361">
        <f t="shared" si="200"/>
        <v>-1.031031399999994</v>
      </c>
      <c r="AF248" s="361">
        <f t="shared" si="200"/>
        <v>-1.031031399999994</v>
      </c>
      <c r="AG248" s="361">
        <f t="shared" si="200"/>
        <v>-1.031031399999994</v>
      </c>
      <c r="AH248" s="362">
        <f t="shared" si="200"/>
        <v>-1.0310314000000587</v>
      </c>
      <c r="AI248" s="237"/>
      <c r="AJ248" s="237"/>
      <c r="AK248" s="237"/>
      <c r="AL248" s="237"/>
      <c r="AM248" s="237"/>
      <c r="AN248" s="237"/>
      <c r="AO248" s="237"/>
      <c r="AP248" s="237"/>
      <c r="AQ248" s="237"/>
      <c r="AR248" s="237"/>
      <c r="AS248" s="237"/>
      <c r="AT248" s="237"/>
      <c r="AU248" s="237"/>
      <c r="AV248" s="237"/>
      <c r="AW248" s="237"/>
      <c r="AX248" s="237"/>
    </row>
    <row r="249" spans="3:50" x14ac:dyDescent="0.25">
      <c r="C249" s="228"/>
      <c r="D249" s="670" t="s">
        <v>5</v>
      </c>
      <c r="E249" s="671"/>
      <c r="F249" s="320" t="s">
        <v>382</v>
      </c>
      <c r="G249" s="321" t="s">
        <v>336</v>
      </c>
      <c r="H249" s="321" t="s">
        <v>336</v>
      </c>
      <c r="I249" s="361">
        <f t="shared" si="192"/>
        <v>0</v>
      </c>
      <c r="J249" s="361"/>
      <c r="K249" s="361">
        <f t="shared" si="193"/>
        <v>0</v>
      </c>
      <c r="L249" s="361"/>
      <c r="M249" s="361">
        <f t="shared" si="194"/>
        <v>0</v>
      </c>
      <c r="N249" s="361"/>
      <c r="O249" s="361">
        <f t="shared" si="195"/>
        <v>0</v>
      </c>
      <c r="P249" s="361"/>
      <c r="Q249" s="361">
        <f t="shared" ref="Q249:AH249" si="201">Q163*1000</f>
        <v>4.0815000000000004E-2</v>
      </c>
      <c r="R249" s="361">
        <f t="shared" si="201"/>
        <v>-2.3084540060400172E-3</v>
      </c>
      <c r="S249" s="361">
        <f t="shared" si="201"/>
        <v>-2.3052683395117677E-3</v>
      </c>
      <c r="T249" s="361">
        <f t="shared" si="201"/>
        <v>-2.3020870692032846E-3</v>
      </c>
      <c r="U249" s="361">
        <f t="shared" si="201"/>
        <v>-2.2989101890477756E-3</v>
      </c>
      <c r="V249" s="361">
        <f t="shared" si="201"/>
        <v>-2.2957376929867543E-3</v>
      </c>
      <c r="W249" s="361">
        <f t="shared" si="201"/>
        <v>-2.2925695749704154E-3</v>
      </c>
      <c r="X249" s="361">
        <f t="shared" si="201"/>
        <v>-2.2894058289570692E-3</v>
      </c>
      <c r="Y249" s="361">
        <f t="shared" si="201"/>
        <v>-2.2862464489131428E-3</v>
      </c>
      <c r="Z249" s="361">
        <f t="shared" si="201"/>
        <v>-2.2830914288135547E-3</v>
      </c>
      <c r="AA249" s="361">
        <f t="shared" si="201"/>
        <v>-2.2799407626419078E-3</v>
      </c>
      <c r="AB249" s="361">
        <f t="shared" si="201"/>
        <v>-2.2767944443893517E-3</v>
      </c>
      <c r="AC249" s="361">
        <f t="shared" si="201"/>
        <v>-2.2736524680560975E-3</v>
      </c>
      <c r="AD249" s="361">
        <f t="shared" si="201"/>
        <v>-2.2705148276502825E-3</v>
      </c>
      <c r="AE249" s="361">
        <f t="shared" si="201"/>
        <v>-2.2673815171879719E-3</v>
      </c>
      <c r="AF249" s="361">
        <f t="shared" si="201"/>
        <v>-2.2642525306942884E-3</v>
      </c>
      <c r="AG249" s="361">
        <f t="shared" si="201"/>
        <v>-2.2611278622019057E-3</v>
      </c>
      <c r="AH249" s="362">
        <f t="shared" si="201"/>
        <v>-2.2580075057521795E-3</v>
      </c>
      <c r="AI249" s="237"/>
      <c r="AJ249" s="237"/>
      <c r="AK249" s="237"/>
      <c r="AL249" s="237"/>
      <c r="AM249" s="237"/>
      <c r="AN249" s="237"/>
      <c r="AO249" s="237"/>
      <c r="AP249" s="237"/>
      <c r="AQ249" s="237"/>
      <c r="AR249" s="237"/>
      <c r="AS249" s="237"/>
      <c r="AT249" s="237"/>
      <c r="AU249" s="237"/>
      <c r="AV249" s="237"/>
      <c r="AW249" s="237"/>
      <c r="AX249" s="237"/>
    </row>
    <row r="250" spans="3:50" x14ac:dyDescent="0.25">
      <c r="C250" s="228"/>
      <c r="D250" s="670" t="s">
        <v>29</v>
      </c>
      <c r="E250" s="671"/>
      <c r="F250" s="320" t="s">
        <v>382</v>
      </c>
      <c r="G250" s="321" t="s">
        <v>336</v>
      </c>
      <c r="H250" s="321" t="s">
        <v>336</v>
      </c>
      <c r="I250" s="361">
        <f t="shared" si="192"/>
        <v>0</v>
      </c>
      <c r="J250" s="361"/>
      <c r="K250" s="361">
        <f t="shared" si="193"/>
        <v>0</v>
      </c>
      <c r="L250" s="361"/>
      <c r="M250" s="361">
        <f t="shared" si="194"/>
        <v>0</v>
      </c>
      <c r="N250" s="361"/>
      <c r="O250" s="361">
        <f t="shared" si="195"/>
        <v>0</v>
      </c>
      <c r="P250" s="361"/>
      <c r="Q250" s="361">
        <f t="shared" ref="Q250:AH250" si="202">Q164*1000</f>
        <v>0.10251</v>
      </c>
      <c r="R250" s="361">
        <f t="shared" si="202"/>
        <v>1.8924491502695279E-2</v>
      </c>
      <c r="S250" s="361">
        <f t="shared" si="202"/>
        <v>1.9161761160934699E-2</v>
      </c>
      <c r="T250" s="361">
        <f t="shared" si="202"/>
        <v>1.940200563573468E-2</v>
      </c>
      <c r="U250" s="361">
        <f t="shared" si="202"/>
        <v>1.9624892591824383E-2</v>
      </c>
      <c r="V250" s="361">
        <f t="shared" si="202"/>
        <v>1.9870688547457542E-2</v>
      </c>
      <c r="W250" s="361">
        <f t="shared" si="202"/>
        <v>2.0119563024490094E-2</v>
      </c>
      <c r="X250" s="361">
        <f t="shared" si="202"/>
        <v>2.0371554580489271E-2</v>
      </c>
      <c r="Y250" s="361">
        <f t="shared" si="202"/>
        <v>2.0626702255943648E-2</v>
      </c>
      <c r="Z250" s="361">
        <f t="shared" si="202"/>
        <v>2.0885045580312893E-2</v>
      </c>
      <c r="AA250" s="361">
        <f t="shared" si="202"/>
        <v>2.1146624578151252E-2</v>
      </c>
      <c r="AB250" s="361">
        <f t="shared" si="202"/>
        <v>2.1411479775308911E-2</v>
      </c>
      <c r="AC250" s="361">
        <f t="shared" si="202"/>
        <v>2.1679652205209784E-2</v>
      </c>
      <c r="AD250" s="361">
        <f t="shared" si="202"/>
        <v>2.1951183415209553E-2</v>
      </c>
      <c r="AE250" s="361">
        <f t="shared" si="202"/>
        <v>2.2226115473032382E-2</v>
      </c>
      <c r="AF250" s="361">
        <f t="shared" si="202"/>
        <v>2.2504490973287876E-2</v>
      </c>
      <c r="AG250" s="361">
        <f t="shared" si="202"/>
        <v>2.2786353044070666E-2</v>
      </c>
      <c r="AH250" s="362">
        <f t="shared" si="202"/>
        <v>2.3071745353641308E-2</v>
      </c>
      <c r="AI250" s="237"/>
      <c r="AJ250" s="237"/>
      <c r="AK250" s="237"/>
      <c r="AL250" s="237"/>
      <c r="AM250" s="237"/>
      <c r="AN250" s="237"/>
      <c r="AO250" s="237"/>
      <c r="AP250" s="237"/>
      <c r="AQ250" s="237"/>
      <c r="AR250" s="237"/>
      <c r="AS250" s="237"/>
      <c r="AT250" s="237"/>
      <c r="AU250" s="237"/>
      <c r="AV250" s="237"/>
      <c r="AW250" s="237"/>
      <c r="AX250" s="237"/>
    </row>
    <row r="251" spans="3:50" x14ac:dyDescent="0.25">
      <c r="C251" s="228"/>
      <c r="D251" s="325" t="s">
        <v>336</v>
      </c>
      <c r="E251" s="282" t="s">
        <v>336</v>
      </c>
      <c r="F251" s="326" t="s">
        <v>372</v>
      </c>
      <c r="G251" s="327" t="s">
        <v>336</v>
      </c>
      <c r="H251" s="327" t="s">
        <v>336</v>
      </c>
      <c r="I251" s="328">
        <f t="shared" si="192"/>
        <v>11.5</v>
      </c>
      <c r="J251" s="328"/>
      <c r="K251" s="328">
        <f t="shared" si="193"/>
        <v>11.5</v>
      </c>
      <c r="L251" s="328"/>
      <c r="M251" s="328">
        <f t="shared" si="194"/>
        <v>11.5</v>
      </c>
      <c r="N251" s="328"/>
      <c r="O251" s="328">
        <f t="shared" si="195"/>
        <v>3.46</v>
      </c>
      <c r="P251" s="328"/>
      <c r="Q251" s="328">
        <f t="shared" ref="Q251:AH251" si="203">Q165*1000</f>
        <v>7.7009625000000002</v>
      </c>
      <c r="R251" s="328">
        <f t="shared" si="203"/>
        <v>3.3550152915034808</v>
      </c>
      <c r="S251" s="328">
        <f t="shared" si="203"/>
        <v>4.8344607967914683</v>
      </c>
      <c r="T251" s="328">
        <f t="shared" si="203"/>
        <v>6.3957642042601863</v>
      </c>
      <c r="U251" s="328">
        <f t="shared" si="203"/>
        <v>6.4068554381894689</v>
      </c>
      <c r="V251" s="328">
        <f t="shared" si="203"/>
        <v>6.115009383517199</v>
      </c>
      <c r="W251" s="328">
        <f t="shared" si="203"/>
        <v>6.1864799718269055</v>
      </c>
      <c r="X251" s="328">
        <f t="shared" si="203"/>
        <v>5.7478836281245371</v>
      </c>
      <c r="Y251" s="328">
        <f t="shared" si="203"/>
        <v>5.489156308094814</v>
      </c>
      <c r="Z251" s="328">
        <f t="shared" si="203"/>
        <v>5.7901384066719181</v>
      </c>
      <c r="AA251" s="328">
        <f t="shared" si="203"/>
        <v>5.5446066710578146</v>
      </c>
      <c r="AB251" s="328">
        <f t="shared" si="203"/>
        <v>4.9994846244722266</v>
      </c>
      <c r="AC251" s="328">
        <f t="shared" si="203"/>
        <v>5.0815998542268721</v>
      </c>
      <c r="AD251" s="328">
        <f t="shared" si="203"/>
        <v>5.4171089858341981</v>
      </c>
      <c r="AE251" s="328">
        <f t="shared" si="203"/>
        <v>4.9584393904152204</v>
      </c>
      <c r="AF251" s="328">
        <f t="shared" si="203"/>
        <v>5.1425662882049519</v>
      </c>
      <c r="AG251" s="328">
        <f t="shared" si="203"/>
        <v>4.8062036094880565</v>
      </c>
      <c r="AH251" s="363">
        <f t="shared" si="203"/>
        <v>4.8006136073267509</v>
      </c>
      <c r="AI251" s="237"/>
      <c r="AJ251" s="237"/>
      <c r="AK251" s="237"/>
      <c r="AL251" s="237"/>
      <c r="AM251" s="237"/>
      <c r="AN251" s="237"/>
      <c r="AO251" s="237"/>
      <c r="AP251" s="237"/>
      <c r="AQ251" s="237"/>
      <c r="AR251" s="237"/>
      <c r="AS251" s="237"/>
      <c r="AT251" s="237"/>
      <c r="AU251" s="237"/>
      <c r="AV251" s="237"/>
      <c r="AW251" s="237"/>
      <c r="AX251" s="237"/>
    </row>
    <row r="252" spans="3:50" x14ac:dyDescent="0.25">
      <c r="C252" s="228"/>
      <c r="D252" s="325" t="s">
        <v>336</v>
      </c>
      <c r="E252" s="282" t="s">
        <v>336</v>
      </c>
      <c r="F252" s="282" t="s">
        <v>336</v>
      </c>
      <c r="G252" s="330" t="s">
        <v>336</v>
      </c>
      <c r="H252" s="330" t="s">
        <v>336</v>
      </c>
      <c r="I252" s="364"/>
      <c r="J252" s="364"/>
      <c r="K252" s="364"/>
      <c r="L252" s="364"/>
      <c r="M252" s="364"/>
      <c r="N252" s="364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  <c r="AA252" s="364"/>
      <c r="AB252" s="364"/>
      <c r="AC252" s="364"/>
      <c r="AD252" s="364"/>
      <c r="AE252" s="364"/>
      <c r="AF252" s="364"/>
      <c r="AG252" s="364"/>
      <c r="AH252" s="365"/>
      <c r="AI252" s="237"/>
      <c r="AJ252" s="237"/>
      <c r="AK252" s="237"/>
      <c r="AL252" s="237"/>
      <c r="AM252" s="237"/>
      <c r="AN252" s="237"/>
      <c r="AO252" s="237"/>
      <c r="AP252" s="237"/>
      <c r="AQ252" s="237"/>
      <c r="AR252" s="237"/>
      <c r="AS252" s="237"/>
      <c r="AT252" s="237"/>
      <c r="AU252" s="237"/>
      <c r="AV252" s="237"/>
      <c r="AW252" s="237"/>
      <c r="AX252" s="237"/>
    </row>
    <row r="253" spans="3:50" ht="15.75" x14ac:dyDescent="0.25">
      <c r="C253" s="228"/>
      <c r="D253" s="243"/>
      <c r="E253" s="282"/>
      <c r="F253" s="248" t="s">
        <v>383</v>
      </c>
      <c r="G253" s="245"/>
      <c r="H253" s="245"/>
      <c r="I253" s="333">
        <f t="shared" ref="I253:I260" si="204">I167*1000</f>
        <v>0</v>
      </c>
      <c r="J253" s="333"/>
      <c r="K253" s="333">
        <f t="shared" ref="K253:K260" si="205">K167*1000</f>
        <v>0</v>
      </c>
      <c r="L253" s="333"/>
      <c r="M253" s="333">
        <f t="shared" ref="M253:M260" si="206">M167*1000</f>
        <v>0</v>
      </c>
      <c r="N253" s="333"/>
      <c r="O253" s="333">
        <f t="shared" ref="O253:O260" si="207">O167*1000</f>
        <v>0</v>
      </c>
      <c r="P253" s="333"/>
      <c r="Q253" s="333">
        <f t="shared" ref="Q253:AH253" si="208">Q167*1000</f>
        <v>0</v>
      </c>
      <c r="R253" s="333">
        <f t="shared" si="208"/>
        <v>0</v>
      </c>
      <c r="S253" s="333">
        <f t="shared" si="208"/>
        <v>0</v>
      </c>
      <c r="T253" s="333">
        <f t="shared" si="208"/>
        <v>0</v>
      </c>
      <c r="U253" s="333">
        <f t="shared" si="208"/>
        <v>0</v>
      </c>
      <c r="V253" s="333">
        <f t="shared" si="208"/>
        <v>0</v>
      </c>
      <c r="W253" s="333">
        <f t="shared" si="208"/>
        <v>0</v>
      </c>
      <c r="X253" s="333">
        <f t="shared" si="208"/>
        <v>0</v>
      </c>
      <c r="Y253" s="333">
        <f t="shared" si="208"/>
        <v>0</v>
      </c>
      <c r="Z253" s="333">
        <f t="shared" si="208"/>
        <v>0</v>
      </c>
      <c r="AA253" s="333">
        <f t="shared" si="208"/>
        <v>0</v>
      </c>
      <c r="AB253" s="333">
        <f t="shared" si="208"/>
        <v>0</v>
      </c>
      <c r="AC253" s="333">
        <f t="shared" si="208"/>
        <v>0</v>
      </c>
      <c r="AD253" s="333">
        <f t="shared" si="208"/>
        <v>0</v>
      </c>
      <c r="AE253" s="333">
        <f t="shared" si="208"/>
        <v>0</v>
      </c>
      <c r="AF253" s="333">
        <f t="shared" si="208"/>
        <v>0</v>
      </c>
      <c r="AG253" s="333">
        <f t="shared" si="208"/>
        <v>0</v>
      </c>
      <c r="AH253" s="366">
        <f t="shared" si="208"/>
        <v>0</v>
      </c>
      <c r="AI253" s="237"/>
      <c r="AJ253" s="237"/>
      <c r="AK253" s="237"/>
      <c r="AL253" s="237"/>
      <c r="AM253" s="237"/>
      <c r="AN253" s="237"/>
      <c r="AO253" s="237"/>
      <c r="AP253" s="237"/>
      <c r="AQ253" s="237"/>
      <c r="AR253" s="237"/>
      <c r="AS253" s="237"/>
      <c r="AT253" s="237"/>
      <c r="AU253" s="237"/>
      <c r="AV253" s="237"/>
      <c r="AW253" s="237"/>
      <c r="AX253" s="237"/>
    </row>
    <row r="254" spans="3:50" x14ac:dyDescent="0.25">
      <c r="C254" s="228"/>
      <c r="D254" s="670" t="s">
        <v>341</v>
      </c>
      <c r="E254" s="671"/>
      <c r="F254" s="320" t="s">
        <v>384</v>
      </c>
      <c r="G254" s="321" t="s">
        <v>336</v>
      </c>
      <c r="H254" s="321" t="s">
        <v>336</v>
      </c>
      <c r="I254" s="361">
        <f t="shared" si="204"/>
        <v>0</v>
      </c>
      <c r="J254" s="361"/>
      <c r="K254" s="361">
        <f t="shared" si="205"/>
        <v>0.80000000000000016</v>
      </c>
      <c r="L254" s="361"/>
      <c r="M254" s="361">
        <f t="shared" si="206"/>
        <v>0.80000000000000016</v>
      </c>
      <c r="N254" s="361"/>
      <c r="O254" s="361">
        <f t="shared" si="207"/>
        <v>2.0500000000000003</v>
      </c>
      <c r="P254" s="361"/>
      <c r="Q254" s="361">
        <f t="shared" ref="Q254:AH254" si="209">Q168*1000</f>
        <v>1.61</v>
      </c>
      <c r="R254" s="361">
        <f t="shared" si="209"/>
        <v>1.8771509295000044</v>
      </c>
      <c r="S254" s="361">
        <f t="shared" si="209"/>
        <v>1.9432566766332826</v>
      </c>
      <c r="T254" s="361">
        <f t="shared" si="209"/>
        <v>1.9284879258908563</v>
      </c>
      <c r="U254" s="361">
        <f t="shared" si="209"/>
        <v>1.9138314176541016</v>
      </c>
      <c r="V254" s="361">
        <f t="shared" si="209"/>
        <v>1.8992862988799075</v>
      </c>
      <c r="W254" s="361">
        <f t="shared" si="209"/>
        <v>1.8848517230084383</v>
      </c>
      <c r="X254" s="361">
        <f t="shared" si="209"/>
        <v>1.8705268499135741</v>
      </c>
      <c r="Y254" s="361">
        <f t="shared" si="209"/>
        <v>1.8563108458542388</v>
      </c>
      <c r="Z254" s="361">
        <f t="shared" si="209"/>
        <v>1.8422028834257276</v>
      </c>
      <c r="AA254" s="361">
        <f t="shared" si="209"/>
        <v>1.82820214151171</v>
      </c>
      <c r="AB254" s="361">
        <f t="shared" si="209"/>
        <v>1.8143078052361972</v>
      </c>
      <c r="AC254" s="361">
        <f t="shared" si="209"/>
        <v>1.8005190659164327</v>
      </c>
      <c r="AD254" s="361">
        <f t="shared" si="209"/>
        <v>1.7868351210154643</v>
      </c>
      <c r="AE254" s="361">
        <f t="shared" si="209"/>
        <v>1.7732551740957447</v>
      </c>
      <c r="AF254" s="361">
        <f t="shared" si="209"/>
        <v>1.759778434772592</v>
      </c>
      <c r="AG254" s="361">
        <f t="shared" si="209"/>
        <v>1.7464041186683232</v>
      </c>
      <c r="AH254" s="362">
        <f t="shared" si="209"/>
        <v>1.7331314473664605</v>
      </c>
      <c r="AI254" s="237"/>
      <c r="AJ254" s="237"/>
      <c r="AK254" s="237"/>
      <c r="AL254" s="237"/>
      <c r="AM254" s="237"/>
      <c r="AN254" s="237"/>
      <c r="AO254" s="237"/>
      <c r="AP254" s="237"/>
      <c r="AQ254" s="237"/>
      <c r="AR254" s="237"/>
      <c r="AS254" s="237"/>
      <c r="AT254" s="237"/>
      <c r="AU254" s="237"/>
      <c r="AV254" s="237"/>
      <c r="AW254" s="237"/>
      <c r="AX254" s="237"/>
    </row>
    <row r="255" spans="3:50" x14ac:dyDescent="0.25">
      <c r="C255" s="228"/>
      <c r="D255" s="670" t="s">
        <v>28</v>
      </c>
      <c r="E255" s="671"/>
      <c r="F255" s="320" t="s">
        <v>384</v>
      </c>
      <c r="G255" s="321" t="s">
        <v>336</v>
      </c>
      <c r="H255" s="321" t="s">
        <v>336</v>
      </c>
      <c r="I255" s="361">
        <f t="shared" si="204"/>
        <v>3.0000000000000002E-2</v>
      </c>
      <c r="J255" s="361"/>
      <c r="K255" s="361">
        <f t="shared" si="205"/>
        <v>3.0000000000000002E-2</v>
      </c>
      <c r="L255" s="361"/>
      <c r="M255" s="361">
        <f t="shared" si="206"/>
        <v>3.0000000000000002E-2</v>
      </c>
      <c r="N255" s="361"/>
      <c r="O255" s="361">
        <f t="shared" si="207"/>
        <v>0.18000000000000002</v>
      </c>
      <c r="P255" s="361"/>
      <c r="Q255" s="361">
        <f t="shared" ref="Q255:AH255" si="210">Q169*1000</f>
        <v>0.18000000000000002</v>
      </c>
      <c r="R255" s="361">
        <f t="shared" si="210"/>
        <v>1.9936331417599873E-6</v>
      </c>
      <c r="S255" s="361">
        <f t="shared" si="210"/>
        <v>-1.2825707126749991E-3</v>
      </c>
      <c r="T255" s="361">
        <f t="shared" si="210"/>
        <v>6.969764787489105E-4</v>
      </c>
      <c r="U255" s="361">
        <f t="shared" si="210"/>
        <v>4.4451518698786913E-4</v>
      </c>
      <c r="V255" s="361">
        <f t="shared" si="210"/>
        <v>5.1050708847174414E-4</v>
      </c>
      <c r="W255" s="361">
        <f t="shared" si="210"/>
        <v>4.9419227000235821E-4</v>
      </c>
      <c r="X255" s="361">
        <f t="shared" si="210"/>
        <v>4.4490647491499113E-4</v>
      </c>
      <c r="Y255" s="361">
        <f t="shared" si="210"/>
        <v>3.7909673304638292E-4</v>
      </c>
      <c r="Z255" s="361">
        <f t="shared" si="210"/>
        <v>5.2505805766355634E-4</v>
      </c>
      <c r="AA255" s="361">
        <f t="shared" si="210"/>
        <v>4.6937676578840543E-4</v>
      </c>
      <c r="AB255" s="361">
        <f t="shared" si="210"/>
        <v>3.6225283558294352E-4</v>
      </c>
      <c r="AC255" s="361">
        <f t="shared" si="210"/>
        <v>3.9303281795695366E-4</v>
      </c>
      <c r="AD255" s="361">
        <f t="shared" si="210"/>
        <v>5.2280929136594434E-4</v>
      </c>
      <c r="AE255" s="361">
        <f t="shared" si="210"/>
        <v>4.0725387871619334E-4</v>
      </c>
      <c r="AF255" s="361">
        <f t="shared" si="210"/>
        <v>4.7746397395567047E-4</v>
      </c>
      <c r="AG255" s="361">
        <f t="shared" si="210"/>
        <v>3.9092021193383453E-4</v>
      </c>
      <c r="AH255" s="362">
        <f t="shared" si="210"/>
        <v>3.9064931281782012E-4</v>
      </c>
      <c r="AI255" s="237"/>
      <c r="AJ255" s="237"/>
      <c r="AK255" s="237"/>
      <c r="AL255" s="237"/>
      <c r="AM255" s="237"/>
      <c r="AN255" s="237"/>
      <c r="AO255" s="237"/>
      <c r="AP255" s="237"/>
      <c r="AQ255" s="237"/>
      <c r="AR255" s="237"/>
      <c r="AS255" s="237"/>
      <c r="AT255" s="237"/>
      <c r="AU255" s="237"/>
      <c r="AV255" s="237"/>
      <c r="AW255" s="237"/>
      <c r="AX255" s="237"/>
    </row>
    <row r="256" spans="3:50" x14ac:dyDescent="0.25">
      <c r="C256" s="228"/>
      <c r="D256" s="670" t="s">
        <v>19</v>
      </c>
      <c r="E256" s="671"/>
      <c r="F256" s="320" t="s">
        <v>384</v>
      </c>
      <c r="G256" s="321" t="s">
        <v>336</v>
      </c>
      <c r="H256" s="321" t="s">
        <v>336</v>
      </c>
      <c r="I256" s="361">
        <f t="shared" si="204"/>
        <v>3.3800000000000003</v>
      </c>
      <c r="J256" s="361"/>
      <c r="K256" s="361">
        <f t="shared" si="205"/>
        <v>3.3800000000000003</v>
      </c>
      <c r="L256" s="361"/>
      <c r="M256" s="361">
        <f t="shared" si="206"/>
        <v>3.3800000000000003</v>
      </c>
      <c r="N256" s="361"/>
      <c r="O256" s="361">
        <f t="shared" si="207"/>
        <v>2.14</v>
      </c>
      <c r="P256" s="361"/>
      <c r="Q256" s="361">
        <f t="shared" ref="Q256:AH256" si="211">Q170*1000</f>
        <v>5.32</v>
      </c>
      <c r="R256" s="361">
        <f t="shared" si="211"/>
        <v>2.3304543099217088</v>
      </c>
      <c r="S256" s="361">
        <f t="shared" si="211"/>
        <v>0.51802576955760304</v>
      </c>
      <c r="T256" s="361">
        <f t="shared" si="211"/>
        <v>4.9118974150863606</v>
      </c>
      <c r="U256" s="361">
        <f t="shared" si="211"/>
        <v>5.0527112902258358</v>
      </c>
      <c r="V256" s="361">
        <f t="shared" si="211"/>
        <v>4.3663554687304078</v>
      </c>
      <c r="W256" s="361">
        <f t="shared" si="211"/>
        <v>4.6696767052798354</v>
      </c>
      <c r="X256" s="361">
        <f t="shared" si="211"/>
        <v>3.5791854803323604</v>
      </c>
      <c r="Y256" s="361">
        <f t="shared" si="211"/>
        <v>2.9780303416702694</v>
      </c>
      <c r="Z256" s="361">
        <f t="shared" si="211"/>
        <v>3.9063357248112331</v>
      </c>
      <c r="AA256" s="361">
        <f t="shared" si="211"/>
        <v>3.339042618078115</v>
      </c>
      <c r="AB256" s="361">
        <f t="shared" si="211"/>
        <v>1.9523795109910251</v>
      </c>
      <c r="AC256" s="361">
        <f t="shared" si="211"/>
        <v>2.278244315032766</v>
      </c>
      <c r="AD256" s="361">
        <f t="shared" si="211"/>
        <v>3.2959453650678978</v>
      </c>
      <c r="AE256" s="361">
        <f t="shared" si="211"/>
        <v>2.1414662744955892</v>
      </c>
      <c r="AF256" s="361">
        <f t="shared" si="211"/>
        <v>2.7427733257626095</v>
      </c>
      <c r="AG256" s="361">
        <f t="shared" si="211"/>
        <v>1.9203024102967323</v>
      </c>
      <c r="AH256" s="362">
        <f t="shared" si="211"/>
        <v>2.0006995326965851</v>
      </c>
      <c r="AI256" s="237"/>
      <c r="AJ256" s="237"/>
      <c r="AK256" s="237"/>
      <c r="AL256" s="237"/>
      <c r="AM256" s="237"/>
      <c r="AN256" s="237"/>
      <c r="AO256" s="237"/>
      <c r="AP256" s="237"/>
      <c r="AQ256" s="237"/>
      <c r="AR256" s="237"/>
      <c r="AS256" s="237"/>
      <c r="AT256" s="237"/>
      <c r="AU256" s="237"/>
      <c r="AV256" s="237"/>
      <c r="AW256" s="237"/>
      <c r="AX256" s="237"/>
    </row>
    <row r="257" spans="3:50" x14ac:dyDescent="0.25">
      <c r="C257" s="228"/>
      <c r="D257" s="670" t="s">
        <v>351</v>
      </c>
      <c r="E257" s="671"/>
      <c r="F257" s="321" t="s">
        <v>384</v>
      </c>
      <c r="G257" s="321"/>
      <c r="H257" s="321"/>
      <c r="I257" s="361">
        <f t="shared" si="204"/>
        <v>0</v>
      </c>
      <c r="J257" s="361"/>
      <c r="K257" s="361">
        <f t="shared" si="205"/>
        <v>0</v>
      </c>
      <c r="L257" s="361"/>
      <c r="M257" s="361">
        <f t="shared" si="206"/>
        <v>0</v>
      </c>
      <c r="N257" s="361"/>
      <c r="O257" s="361">
        <f t="shared" si="207"/>
        <v>0</v>
      </c>
      <c r="P257" s="361"/>
      <c r="Q257" s="361">
        <f t="shared" ref="Q257:AH257" si="212">Q171*1000</f>
        <v>0</v>
      </c>
      <c r="R257" s="361">
        <f t="shared" si="212"/>
        <v>4.1705840501790732</v>
      </c>
      <c r="S257" s="361">
        <f t="shared" si="212"/>
        <v>10.083277851839275</v>
      </c>
      <c r="T257" s="361">
        <f t="shared" si="212"/>
        <v>5.5987025553080816</v>
      </c>
      <c r="U257" s="361">
        <f t="shared" si="212"/>
        <v>5.3816135312336364</v>
      </c>
      <c r="V257" s="361">
        <f t="shared" si="212"/>
        <v>5.9917548448320037</v>
      </c>
      <c r="W257" s="361">
        <f t="shared" si="212"/>
        <v>5.6137075099821931</v>
      </c>
      <c r="X257" s="361">
        <f t="shared" si="212"/>
        <v>6.6303793028935303</v>
      </c>
      <c r="Y257" s="361">
        <f t="shared" si="212"/>
        <v>7.158880042323803</v>
      </c>
      <c r="Z257" s="361">
        <f t="shared" si="212"/>
        <v>6.1569166427094357</v>
      </c>
      <c r="AA257" s="361">
        <f t="shared" si="212"/>
        <v>6.6530268752094921</v>
      </c>
      <c r="AB257" s="361">
        <f t="shared" si="212"/>
        <v>7.9695223897567731</v>
      </c>
      <c r="AC257" s="361">
        <f t="shared" si="212"/>
        <v>7.5733670280615195</v>
      </c>
      <c r="AD257" s="361">
        <f t="shared" si="212"/>
        <v>6.4853204870613954</v>
      </c>
      <c r="AE257" s="361">
        <f t="shared" si="212"/>
        <v>7.5722421761055374</v>
      </c>
      <c r="AF257" s="361">
        <f t="shared" si="212"/>
        <v>6.9027181905102415</v>
      </c>
      <c r="AG257" s="361">
        <f t="shared" si="212"/>
        <v>7.6589155007405934</v>
      </c>
      <c r="AH257" s="362">
        <f t="shared" si="212"/>
        <v>7.512335178561516</v>
      </c>
      <c r="AI257" s="237"/>
      <c r="AJ257" s="237"/>
      <c r="AK257" s="237"/>
      <c r="AL257" s="237"/>
      <c r="AM257" s="237"/>
      <c r="AN257" s="237"/>
      <c r="AO257" s="237"/>
      <c r="AP257" s="237"/>
      <c r="AQ257" s="237"/>
      <c r="AR257" s="237"/>
      <c r="AS257" s="237"/>
      <c r="AT257" s="237"/>
      <c r="AU257" s="237"/>
      <c r="AV257" s="237"/>
      <c r="AW257" s="237"/>
      <c r="AX257" s="237"/>
    </row>
    <row r="258" spans="3:50" x14ac:dyDescent="0.25">
      <c r="C258" s="228"/>
      <c r="D258" s="670" t="s">
        <v>344</v>
      </c>
      <c r="E258" s="671"/>
      <c r="F258" s="321" t="s">
        <v>384</v>
      </c>
      <c r="G258" s="321" t="s">
        <v>336</v>
      </c>
      <c r="H258" s="321" t="s">
        <v>336</v>
      </c>
      <c r="I258" s="361">
        <f t="shared" si="204"/>
        <v>1.1599999999999999</v>
      </c>
      <c r="J258" s="361"/>
      <c r="K258" s="361">
        <f t="shared" si="205"/>
        <v>1.1599999999999999</v>
      </c>
      <c r="L258" s="361"/>
      <c r="M258" s="361">
        <f t="shared" si="206"/>
        <v>1.1599999999999999</v>
      </c>
      <c r="N258" s="361"/>
      <c r="O258" s="361">
        <f t="shared" si="207"/>
        <v>2.42</v>
      </c>
      <c r="P258" s="361"/>
      <c r="Q258" s="361">
        <f t="shared" ref="Q258:AH258" si="213">Q172*1000</f>
        <v>0.97000000000000008</v>
      </c>
      <c r="R258" s="361">
        <f t="shared" si="213"/>
        <v>-0.34497322299999195</v>
      </c>
      <c r="S258" s="361">
        <f t="shared" si="213"/>
        <v>-0.36093189999999792</v>
      </c>
      <c r="T258" s="361">
        <f t="shared" si="213"/>
        <v>-0.36093189999999792</v>
      </c>
      <c r="U258" s="361">
        <f t="shared" si="213"/>
        <v>-0.36093189999999792</v>
      </c>
      <c r="V258" s="361">
        <f t="shared" si="213"/>
        <v>-0.36093189999999792</v>
      </c>
      <c r="W258" s="361">
        <f t="shared" si="213"/>
        <v>-0.36093190000002051</v>
      </c>
      <c r="X258" s="361">
        <f t="shared" si="213"/>
        <v>-0.36093189999999792</v>
      </c>
      <c r="Y258" s="361">
        <f t="shared" si="213"/>
        <v>-0.36093189999999792</v>
      </c>
      <c r="Z258" s="361">
        <f t="shared" si="213"/>
        <v>-0.36093189999999792</v>
      </c>
      <c r="AA258" s="361">
        <f t="shared" si="213"/>
        <v>-0.36093189999999792</v>
      </c>
      <c r="AB258" s="361">
        <f t="shared" si="213"/>
        <v>-0.36093189999999792</v>
      </c>
      <c r="AC258" s="361">
        <f t="shared" si="213"/>
        <v>-0.36093189999999792</v>
      </c>
      <c r="AD258" s="361">
        <f t="shared" si="213"/>
        <v>-0.36093189999999792</v>
      </c>
      <c r="AE258" s="361">
        <f t="shared" si="213"/>
        <v>-0.36093189999999792</v>
      </c>
      <c r="AF258" s="361">
        <f t="shared" si="213"/>
        <v>-0.36093189999999792</v>
      </c>
      <c r="AG258" s="361">
        <f t="shared" si="213"/>
        <v>-0.36093189999999792</v>
      </c>
      <c r="AH258" s="362">
        <f t="shared" si="213"/>
        <v>-0.36093190000002051</v>
      </c>
      <c r="AI258" s="237"/>
      <c r="AJ258" s="237"/>
      <c r="AK258" s="237"/>
      <c r="AL258" s="237"/>
      <c r="AM258" s="237"/>
      <c r="AN258" s="237"/>
      <c r="AO258" s="237"/>
      <c r="AP258" s="237"/>
      <c r="AQ258" s="237"/>
      <c r="AR258" s="237"/>
      <c r="AS258" s="237"/>
      <c r="AT258" s="237"/>
      <c r="AU258" s="237"/>
      <c r="AV258" s="237"/>
      <c r="AW258" s="237"/>
      <c r="AX258" s="237"/>
    </row>
    <row r="259" spans="3:50" x14ac:dyDescent="0.25">
      <c r="C259" s="228"/>
      <c r="D259" s="670" t="s">
        <v>5</v>
      </c>
      <c r="E259" s="671"/>
      <c r="F259" s="320" t="s">
        <v>384</v>
      </c>
      <c r="G259" s="321" t="s">
        <v>336</v>
      </c>
      <c r="H259" s="321" t="s">
        <v>336</v>
      </c>
      <c r="I259" s="361">
        <f t="shared" si="204"/>
        <v>1.8</v>
      </c>
      <c r="J259" s="361"/>
      <c r="K259" s="361">
        <f t="shared" si="205"/>
        <v>1.8</v>
      </c>
      <c r="L259" s="361"/>
      <c r="M259" s="361">
        <f t="shared" si="206"/>
        <v>1.8</v>
      </c>
      <c r="N259" s="361"/>
      <c r="O259" s="361">
        <f t="shared" si="207"/>
        <v>1.03</v>
      </c>
      <c r="P259" s="361"/>
      <c r="Q259" s="361">
        <f t="shared" ref="Q259:AH259" si="214">Q173*1000</f>
        <v>4.21</v>
      </c>
      <c r="R259" s="361">
        <f t="shared" si="214"/>
        <v>-0.23566599573426175</v>
      </c>
      <c r="S259" s="361">
        <f t="shared" si="214"/>
        <v>-0.23534077666015726</v>
      </c>
      <c r="T259" s="361">
        <f t="shared" si="214"/>
        <v>-0.23501600638837064</v>
      </c>
      <c r="U259" s="361">
        <f t="shared" si="214"/>
        <v>-0.23469168429955384</v>
      </c>
      <c r="V259" s="361">
        <f t="shared" si="214"/>
        <v>-0.23436780977520663</v>
      </c>
      <c r="W259" s="361">
        <f t="shared" si="214"/>
        <v>-0.23404438219771509</v>
      </c>
      <c r="X259" s="361">
        <f t="shared" si="214"/>
        <v>-0.23372140095029378</v>
      </c>
      <c r="Y259" s="361">
        <f t="shared" si="214"/>
        <v>-0.23339886541698585</v>
      </c>
      <c r="Z259" s="361">
        <f t="shared" si="214"/>
        <v>-0.23307677498270146</v>
      </c>
      <c r="AA259" s="361">
        <f t="shared" si="214"/>
        <v>-0.23275512903323714</v>
      </c>
      <c r="AB259" s="361">
        <f t="shared" si="214"/>
        <v>-0.23243392695515999</v>
      </c>
      <c r="AC259" s="361">
        <f t="shared" si="214"/>
        <v>-0.23211316813596222</v>
      </c>
      <c r="AD259" s="361">
        <f t="shared" si="214"/>
        <v>-0.23179285196394506</v>
      </c>
      <c r="AE259" s="361">
        <f t="shared" si="214"/>
        <v>-0.23147297782821916</v>
      </c>
      <c r="AF259" s="361">
        <f t="shared" si="214"/>
        <v>-0.23115354511881989</v>
      </c>
      <c r="AG259" s="361">
        <f t="shared" si="214"/>
        <v>-0.23083455322655344</v>
      </c>
      <c r="AH259" s="362">
        <f t="shared" si="214"/>
        <v>-0.23051600154311225</v>
      </c>
      <c r="AI259" s="237"/>
      <c r="AJ259" s="237"/>
      <c r="AK259" s="237"/>
      <c r="AL259" s="237"/>
      <c r="AM259" s="237"/>
      <c r="AN259" s="237"/>
      <c r="AO259" s="237"/>
      <c r="AP259" s="237"/>
      <c r="AQ259" s="237"/>
      <c r="AR259" s="237"/>
      <c r="AS259" s="237"/>
      <c r="AT259" s="237"/>
      <c r="AU259" s="237"/>
      <c r="AV259" s="237"/>
      <c r="AW259" s="237"/>
      <c r="AX259" s="237"/>
    </row>
    <row r="260" spans="3:50" x14ac:dyDescent="0.25">
      <c r="C260" s="228"/>
      <c r="D260" s="325" t="s">
        <v>336</v>
      </c>
      <c r="E260" s="282" t="s">
        <v>336</v>
      </c>
      <c r="F260" s="326" t="s">
        <v>372</v>
      </c>
      <c r="G260" s="327" t="s">
        <v>336</v>
      </c>
      <c r="H260" s="327" t="s">
        <v>336</v>
      </c>
      <c r="I260" s="328">
        <f t="shared" si="204"/>
        <v>7.18</v>
      </c>
      <c r="J260" s="328"/>
      <c r="K260" s="328">
        <f t="shared" si="205"/>
        <v>7.18</v>
      </c>
      <c r="L260" s="328"/>
      <c r="M260" s="328">
        <f t="shared" si="206"/>
        <v>7.18</v>
      </c>
      <c r="N260" s="328"/>
      <c r="O260" s="328">
        <f t="shared" si="207"/>
        <v>7.8</v>
      </c>
      <c r="P260" s="328"/>
      <c r="Q260" s="328">
        <f t="shared" ref="Q260:AH260" si="215">Q174*1000</f>
        <v>12.28</v>
      </c>
      <c r="R260" s="328">
        <f t="shared" si="215"/>
        <v>7.7975520644996754</v>
      </c>
      <c r="S260" s="328">
        <f t="shared" si="215"/>
        <v>11.947005050657332</v>
      </c>
      <c r="T260" s="328">
        <f t="shared" si="215"/>
        <v>11.84383696637568</v>
      </c>
      <c r="U260" s="328">
        <f t="shared" si="215"/>
        <v>11.75297717000101</v>
      </c>
      <c r="V260" s="328">
        <f t="shared" si="215"/>
        <v>11.662607409755585</v>
      </c>
      <c r="W260" s="328">
        <f t="shared" si="215"/>
        <v>11.573753848342733</v>
      </c>
      <c r="X260" s="328">
        <f t="shared" si="215"/>
        <v>11.485883238664089</v>
      </c>
      <c r="Y260" s="328">
        <f t="shared" si="215"/>
        <v>11.399269561164374</v>
      </c>
      <c r="Z260" s="328">
        <f t="shared" si="215"/>
        <v>11.31197163402136</v>
      </c>
      <c r="AA260" s="328">
        <f t="shared" si="215"/>
        <v>11.227053982531871</v>
      </c>
      <c r="AB260" s="328">
        <f t="shared" si="215"/>
        <v>11.143206131864419</v>
      </c>
      <c r="AC260" s="328">
        <f t="shared" si="215"/>
        <v>11.059478373692714</v>
      </c>
      <c r="AD260" s="328">
        <f t="shared" si="215"/>
        <v>10.97589903047218</v>
      </c>
      <c r="AE260" s="328">
        <f t="shared" si="215"/>
        <v>10.89496600074737</v>
      </c>
      <c r="AF260" s="328">
        <f t="shared" si="215"/>
        <v>10.813661969900581</v>
      </c>
      <c r="AG260" s="328">
        <f t="shared" si="215"/>
        <v>10.73424649669103</v>
      </c>
      <c r="AH260" s="363">
        <f t="shared" si="215"/>
        <v>10.655108906394243</v>
      </c>
      <c r="AI260" s="237"/>
      <c r="AJ260" s="237"/>
      <c r="AK260" s="237"/>
      <c r="AL260" s="237"/>
      <c r="AM260" s="237"/>
      <c r="AN260" s="237"/>
      <c r="AO260" s="237"/>
      <c r="AP260" s="237"/>
      <c r="AQ260" s="237"/>
      <c r="AR260" s="237"/>
      <c r="AS260" s="237"/>
      <c r="AT260" s="237"/>
      <c r="AU260" s="237"/>
      <c r="AV260" s="237"/>
      <c r="AW260" s="237"/>
      <c r="AX260" s="237"/>
    </row>
    <row r="261" spans="3:50" ht="15.75" thickBot="1" x14ac:dyDescent="0.3">
      <c r="C261" s="228"/>
      <c r="D261" s="338" t="s">
        <v>336</v>
      </c>
      <c r="E261" s="339" t="s">
        <v>336</v>
      </c>
      <c r="F261" s="339" t="s">
        <v>336</v>
      </c>
      <c r="G261" s="340" t="s">
        <v>336</v>
      </c>
      <c r="H261" s="340" t="s">
        <v>336</v>
      </c>
      <c r="I261" s="367"/>
      <c r="J261" s="367"/>
      <c r="K261" s="367"/>
      <c r="L261" s="367"/>
      <c r="M261" s="367"/>
      <c r="N261" s="367"/>
      <c r="O261" s="367"/>
      <c r="P261" s="367"/>
      <c r="Q261" s="367"/>
      <c r="R261" s="367"/>
      <c r="S261" s="367"/>
      <c r="T261" s="367"/>
      <c r="U261" s="367"/>
      <c r="V261" s="367"/>
      <c r="W261" s="367"/>
      <c r="X261" s="367"/>
      <c r="Y261" s="367"/>
      <c r="Z261" s="367"/>
      <c r="AA261" s="367"/>
      <c r="AB261" s="367"/>
      <c r="AC261" s="367"/>
      <c r="AD261" s="367"/>
      <c r="AE261" s="367"/>
      <c r="AF261" s="367"/>
      <c r="AG261" s="367"/>
      <c r="AH261" s="368"/>
      <c r="AI261" s="237"/>
      <c r="AJ261" s="237"/>
      <c r="AK261" s="237"/>
      <c r="AL261" s="237"/>
      <c r="AM261" s="237"/>
      <c r="AN261" s="237"/>
      <c r="AO261" s="237"/>
      <c r="AP261" s="237"/>
      <c r="AQ261" s="237"/>
      <c r="AR261" s="237"/>
      <c r="AS261" s="237"/>
      <c r="AT261" s="237"/>
      <c r="AU261" s="237"/>
      <c r="AV261" s="237"/>
      <c r="AW261" s="237"/>
      <c r="AX261" s="237"/>
    </row>
    <row r="262" spans="3:50" x14ac:dyDescent="0.25">
      <c r="C262" s="228"/>
      <c r="D262" s="312"/>
      <c r="E262" s="312"/>
      <c r="F262" s="312"/>
      <c r="G262" s="341"/>
      <c r="H262" s="341"/>
      <c r="I262" s="341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  <c r="AC262" s="237"/>
      <c r="AD262" s="237"/>
      <c r="AE262" s="237"/>
      <c r="AF262" s="237"/>
      <c r="AG262" s="237"/>
      <c r="AH262" s="237"/>
      <c r="AI262" s="237"/>
      <c r="AJ262" s="237"/>
      <c r="AK262" s="237"/>
      <c r="AL262" s="237"/>
      <c r="AM262" s="237"/>
      <c r="AN262" s="237"/>
      <c r="AO262" s="237"/>
      <c r="AP262" s="237"/>
      <c r="AQ262" s="237"/>
      <c r="AR262" s="237"/>
      <c r="AS262" s="237"/>
      <c r="AT262" s="237"/>
      <c r="AU262" s="237"/>
      <c r="AV262" s="237"/>
      <c r="AW262" s="237"/>
      <c r="AX262" s="237"/>
    </row>
    <row r="263" spans="3:50" x14ac:dyDescent="0.2">
      <c r="C263" s="228"/>
      <c r="D263" s="228"/>
      <c r="E263" s="228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  <c r="AC263" s="237"/>
      <c r="AD263" s="237"/>
      <c r="AE263" s="237"/>
      <c r="AF263" s="237"/>
      <c r="AG263" s="237"/>
      <c r="AH263" s="237"/>
      <c r="AI263" s="237"/>
      <c r="AJ263" s="237"/>
      <c r="AK263" s="237"/>
      <c r="AL263" s="237"/>
      <c r="AM263" s="237"/>
      <c r="AN263" s="237"/>
      <c r="AO263" s="237"/>
      <c r="AP263" s="237"/>
      <c r="AQ263" s="237"/>
      <c r="AR263" s="237"/>
      <c r="AS263" s="237"/>
      <c r="AT263" s="237"/>
      <c r="AU263" s="237"/>
      <c r="AV263" s="237"/>
      <c r="AW263" s="237"/>
      <c r="AX263" s="237"/>
    </row>
    <row r="264" spans="3:50" x14ac:dyDescent="0.2">
      <c r="C264" s="228"/>
      <c r="D264" s="228"/>
      <c r="E264" s="228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  <c r="AC264" s="237"/>
      <c r="AD264" s="237"/>
      <c r="AE264" s="237"/>
      <c r="AF264" s="237"/>
      <c r="AG264" s="237"/>
      <c r="AH264" s="237"/>
      <c r="AI264" s="237"/>
      <c r="AJ264" s="237"/>
      <c r="AK264" s="237"/>
      <c r="AL264" s="237"/>
      <c r="AM264" s="237"/>
      <c r="AN264" s="237"/>
      <c r="AO264" s="237"/>
      <c r="AP264" s="237"/>
      <c r="AQ264" s="237"/>
      <c r="AR264" s="237"/>
      <c r="AS264" s="237"/>
      <c r="AT264" s="237"/>
      <c r="AU264" s="237"/>
      <c r="AV264" s="237"/>
      <c r="AW264" s="237"/>
      <c r="AX264" s="237"/>
    </row>
    <row r="265" spans="3:50" x14ac:dyDescent="0.2">
      <c r="C265" s="228"/>
      <c r="D265" s="228"/>
      <c r="E265" s="228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7"/>
      <c r="AV265" s="237"/>
      <c r="AW265" s="237"/>
      <c r="AX265" s="237"/>
    </row>
    <row r="266" spans="3:50" x14ac:dyDescent="0.2">
      <c r="C266" s="228"/>
      <c r="D266" s="228"/>
      <c r="E266" s="228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  <c r="AC266" s="237"/>
      <c r="AD266" s="237"/>
      <c r="AE266" s="237"/>
      <c r="AF266" s="237"/>
      <c r="AG266" s="237"/>
      <c r="AH266" s="237"/>
      <c r="AI266" s="237"/>
      <c r="AJ266" s="237"/>
      <c r="AK266" s="237"/>
      <c r="AL266" s="237"/>
      <c r="AM266" s="237"/>
      <c r="AN266" s="237"/>
      <c r="AO266" s="237"/>
      <c r="AP266" s="237"/>
      <c r="AQ266" s="237"/>
      <c r="AR266" s="237"/>
      <c r="AS266" s="237"/>
      <c r="AT266" s="237"/>
      <c r="AU266" s="237"/>
      <c r="AV266" s="237"/>
      <c r="AW266" s="237"/>
      <c r="AX266" s="237"/>
    </row>
    <row r="267" spans="3:50" x14ac:dyDescent="0.2">
      <c r="C267" s="228"/>
      <c r="D267" s="228"/>
      <c r="E267" s="228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  <c r="AC267" s="237"/>
      <c r="AD267" s="237"/>
      <c r="AE267" s="237"/>
      <c r="AF267" s="237"/>
      <c r="AG267" s="237"/>
      <c r="AH267" s="237"/>
      <c r="AI267" s="237"/>
      <c r="AJ267" s="237"/>
      <c r="AK267" s="237"/>
      <c r="AL267" s="237"/>
      <c r="AM267" s="237"/>
      <c r="AN267" s="237"/>
      <c r="AO267" s="237"/>
      <c r="AP267" s="237"/>
      <c r="AQ267" s="237"/>
      <c r="AR267" s="237"/>
      <c r="AS267" s="237"/>
      <c r="AT267" s="237"/>
      <c r="AU267" s="237"/>
      <c r="AV267" s="237"/>
      <c r="AW267" s="237"/>
      <c r="AX267" s="237"/>
    </row>
    <row r="268" spans="3:50" x14ac:dyDescent="0.2">
      <c r="C268" s="228"/>
      <c r="D268" s="228"/>
      <c r="E268" s="228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  <c r="AD268" s="237"/>
      <c r="AE268" s="237"/>
      <c r="AF268" s="237"/>
      <c r="AG268" s="237"/>
      <c r="AH268" s="237"/>
      <c r="AI268" s="237"/>
      <c r="AJ268" s="237"/>
      <c r="AK268" s="237"/>
      <c r="AL268" s="237"/>
      <c r="AM268" s="237"/>
      <c r="AN268" s="237"/>
      <c r="AO268" s="237"/>
      <c r="AP268" s="237"/>
      <c r="AQ268" s="237"/>
      <c r="AR268" s="237"/>
      <c r="AS268" s="237"/>
      <c r="AT268" s="237"/>
      <c r="AU268" s="237"/>
      <c r="AV268" s="237"/>
      <c r="AW268" s="237"/>
      <c r="AX268" s="237"/>
    </row>
    <row r="269" spans="3:50" x14ac:dyDescent="0.2">
      <c r="C269" s="228"/>
      <c r="D269" s="228"/>
      <c r="E269" s="228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  <c r="AC269" s="237"/>
      <c r="AD269" s="237"/>
      <c r="AE269" s="237"/>
      <c r="AF269" s="237"/>
      <c r="AG269" s="237"/>
      <c r="AH269" s="237"/>
      <c r="AI269" s="237"/>
      <c r="AJ269" s="237"/>
      <c r="AK269" s="237"/>
      <c r="AL269" s="237"/>
      <c r="AM269" s="237"/>
      <c r="AN269" s="237"/>
      <c r="AO269" s="237"/>
      <c r="AP269" s="237"/>
      <c r="AQ269" s="237"/>
      <c r="AR269" s="237"/>
      <c r="AS269" s="237"/>
      <c r="AT269" s="237"/>
      <c r="AU269" s="237"/>
      <c r="AV269" s="237"/>
      <c r="AW269" s="237"/>
      <c r="AX269" s="237"/>
    </row>
    <row r="270" spans="3:50" x14ac:dyDescent="0.2">
      <c r="C270" s="228"/>
      <c r="D270" s="228"/>
      <c r="E270" s="228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7"/>
      <c r="AM270" s="237"/>
      <c r="AN270" s="237"/>
      <c r="AO270" s="237"/>
      <c r="AP270" s="237"/>
      <c r="AQ270" s="237"/>
      <c r="AR270" s="237"/>
      <c r="AS270" s="237"/>
      <c r="AT270" s="237"/>
      <c r="AU270" s="237"/>
      <c r="AV270" s="237"/>
      <c r="AW270" s="237"/>
      <c r="AX270" s="237"/>
    </row>
    <row r="271" spans="3:50" x14ac:dyDescent="0.2">
      <c r="C271" s="228"/>
      <c r="D271" s="228"/>
      <c r="E271" s="228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  <c r="AC271" s="237"/>
      <c r="AD271" s="237"/>
      <c r="AE271" s="237"/>
      <c r="AF271" s="237"/>
      <c r="AG271" s="237"/>
      <c r="AH271" s="237"/>
      <c r="AI271" s="237"/>
      <c r="AJ271" s="237"/>
      <c r="AK271" s="237"/>
      <c r="AL271" s="237"/>
      <c r="AM271" s="237"/>
      <c r="AN271" s="237"/>
      <c r="AO271" s="237"/>
      <c r="AP271" s="237"/>
      <c r="AQ271" s="237"/>
      <c r="AR271" s="237"/>
      <c r="AS271" s="237"/>
      <c r="AT271" s="237"/>
      <c r="AU271" s="237"/>
      <c r="AV271" s="237"/>
      <c r="AW271" s="237"/>
      <c r="AX271" s="237"/>
    </row>
    <row r="272" spans="3:50" x14ac:dyDescent="0.2">
      <c r="C272" s="228"/>
      <c r="D272" s="228"/>
      <c r="E272" s="228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  <c r="AC272" s="237"/>
      <c r="AD272" s="237"/>
      <c r="AE272" s="237"/>
      <c r="AF272" s="237"/>
      <c r="AG272" s="237"/>
      <c r="AH272" s="237"/>
      <c r="AI272" s="237"/>
      <c r="AJ272" s="237"/>
      <c r="AK272" s="237"/>
      <c r="AL272" s="237"/>
      <c r="AM272" s="237"/>
      <c r="AN272" s="237"/>
      <c r="AO272" s="237"/>
      <c r="AP272" s="237"/>
      <c r="AQ272" s="237"/>
      <c r="AR272" s="237"/>
      <c r="AS272" s="237"/>
      <c r="AT272" s="237"/>
      <c r="AU272" s="237"/>
      <c r="AV272" s="237"/>
      <c r="AW272" s="237"/>
      <c r="AX272" s="237"/>
    </row>
    <row r="273" spans="3:50" x14ac:dyDescent="0.2">
      <c r="C273" s="228"/>
      <c r="D273" s="228"/>
      <c r="E273" s="228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  <c r="AC273" s="237"/>
      <c r="AD273" s="237"/>
      <c r="AE273" s="237"/>
      <c r="AF273" s="237"/>
      <c r="AG273" s="237"/>
      <c r="AH273" s="237"/>
      <c r="AI273" s="237"/>
      <c r="AJ273" s="237"/>
      <c r="AK273" s="237"/>
      <c r="AL273" s="237"/>
      <c r="AM273" s="237"/>
      <c r="AN273" s="237"/>
      <c r="AO273" s="237"/>
      <c r="AP273" s="237"/>
      <c r="AQ273" s="237"/>
      <c r="AR273" s="237"/>
      <c r="AS273" s="237"/>
      <c r="AT273" s="237"/>
      <c r="AU273" s="237"/>
      <c r="AV273" s="237"/>
      <c r="AW273" s="237"/>
      <c r="AX273" s="237"/>
    </row>
    <row r="274" spans="3:50" x14ac:dyDescent="0.2">
      <c r="C274" s="228"/>
      <c r="D274" s="228"/>
      <c r="E274" s="228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  <c r="AC274" s="237"/>
      <c r="AD274" s="237"/>
      <c r="AE274" s="237"/>
      <c r="AF274" s="237"/>
      <c r="AG274" s="237"/>
      <c r="AH274" s="237"/>
      <c r="AI274" s="237"/>
      <c r="AJ274" s="237"/>
      <c r="AK274" s="237"/>
      <c r="AL274" s="237"/>
      <c r="AM274" s="237"/>
      <c r="AN274" s="237"/>
      <c r="AO274" s="237"/>
      <c r="AP274" s="237"/>
      <c r="AQ274" s="237"/>
      <c r="AR274" s="237"/>
      <c r="AS274" s="237"/>
      <c r="AT274" s="237"/>
      <c r="AU274" s="237"/>
      <c r="AV274" s="237"/>
      <c r="AW274" s="237"/>
      <c r="AX274" s="237"/>
    </row>
    <row r="275" spans="3:50" x14ac:dyDescent="0.2">
      <c r="C275" s="228"/>
      <c r="D275" s="228"/>
      <c r="E275" s="228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  <c r="AC275" s="237"/>
      <c r="AD275" s="237"/>
      <c r="AE275" s="237"/>
      <c r="AF275" s="237"/>
      <c r="AG275" s="237"/>
      <c r="AH275" s="237"/>
      <c r="AI275" s="237"/>
      <c r="AJ275" s="237"/>
      <c r="AK275" s="237"/>
      <c r="AL275" s="237"/>
      <c r="AM275" s="237"/>
      <c r="AN275" s="237"/>
      <c r="AO275" s="237"/>
      <c r="AP275" s="237"/>
      <c r="AQ275" s="237"/>
      <c r="AR275" s="237"/>
      <c r="AS275" s="237"/>
      <c r="AT275" s="237"/>
      <c r="AU275" s="237"/>
      <c r="AV275" s="237"/>
      <c r="AW275" s="237"/>
      <c r="AX275" s="237"/>
    </row>
    <row r="276" spans="3:50" x14ac:dyDescent="0.2">
      <c r="C276" s="228"/>
      <c r="D276" s="228"/>
      <c r="E276" s="228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  <c r="AP276" s="237"/>
      <c r="AQ276" s="237"/>
      <c r="AR276" s="237"/>
      <c r="AS276" s="237"/>
      <c r="AT276" s="237"/>
      <c r="AU276" s="237"/>
      <c r="AV276" s="237"/>
      <c r="AW276" s="237"/>
      <c r="AX276" s="237"/>
    </row>
    <row r="277" spans="3:50" x14ac:dyDescent="0.2">
      <c r="C277" s="228"/>
      <c r="D277" s="228"/>
      <c r="E277" s="228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7"/>
      <c r="AM277" s="237"/>
      <c r="AN277" s="237"/>
      <c r="AO277" s="237"/>
      <c r="AP277" s="237"/>
      <c r="AQ277" s="237"/>
      <c r="AR277" s="237"/>
      <c r="AS277" s="237"/>
      <c r="AT277" s="237"/>
      <c r="AU277" s="237"/>
      <c r="AV277" s="237"/>
      <c r="AW277" s="237"/>
      <c r="AX277" s="237"/>
    </row>
    <row r="278" spans="3:50" x14ac:dyDescent="0.2">
      <c r="C278" s="228"/>
      <c r="D278" s="228"/>
      <c r="E278" s="228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7"/>
      <c r="AV278" s="237"/>
      <c r="AW278" s="237"/>
      <c r="AX278" s="237"/>
    </row>
    <row r="279" spans="3:50" x14ac:dyDescent="0.2">
      <c r="C279" s="228"/>
      <c r="D279" s="228"/>
      <c r="E279" s="228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  <c r="AC279" s="237"/>
      <c r="AD279" s="237"/>
      <c r="AE279" s="237"/>
      <c r="AF279" s="237"/>
      <c r="AG279" s="237"/>
      <c r="AH279" s="237"/>
      <c r="AI279" s="237"/>
      <c r="AJ279" s="237"/>
      <c r="AK279" s="237"/>
      <c r="AL279" s="237"/>
      <c r="AM279" s="237"/>
      <c r="AN279" s="237"/>
      <c r="AO279" s="237"/>
      <c r="AP279" s="237"/>
      <c r="AQ279" s="237"/>
      <c r="AR279" s="237"/>
      <c r="AS279" s="237"/>
      <c r="AT279" s="237"/>
      <c r="AU279" s="237"/>
      <c r="AV279" s="237"/>
      <c r="AW279" s="237"/>
      <c r="AX279" s="237"/>
    </row>
    <row r="280" spans="3:50" x14ac:dyDescent="0.2">
      <c r="C280" s="228"/>
      <c r="D280" s="228"/>
      <c r="E280" s="228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  <c r="AC280" s="237"/>
      <c r="AD280" s="237"/>
      <c r="AE280" s="237"/>
      <c r="AF280" s="237"/>
      <c r="AG280" s="237"/>
      <c r="AH280" s="237"/>
      <c r="AI280" s="237"/>
      <c r="AJ280" s="237"/>
      <c r="AK280" s="237"/>
      <c r="AL280" s="237"/>
      <c r="AM280" s="237"/>
      <c r="AN280" s="237"/>
      <c r="AO280" s="237"/>
      <c r="AP280" s="237"/>
      <c r="AQ280" s="237"/>
      <c r="AR280" s="237"/>
      <c r="AS280" s="237"/>
      <c r="AT280" s="237"/>
      <c r="AU280" s="237"/>
      <c r="AV280" s="237"/>
      <c r="AW280" s="237"/>
      <c r="AX280" s="237"/>
    </row>
    <row r="281" spans="3:50" x14ac:dyDescent="0.2">
      <c r="C281" s="228"/>
      <c r="D281" s="228"/>
      <c r="E281" s="228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7"/>
      <c r="AM281" s="237"/>
      <c r="AN281" s="237"/>
      <c r="AO281" s="237"/>
      <c r="AP281" s="237"/>
      <c r="AQ281" s="237"/>
      <c r="AR281" s="237"/>
      <c r="AS281" s="237"/>
      <c r="AT281" s="237"/>
      <c r="AU281" s="237"/>
      <c r="AV281" s="237"/>
      <c r="AW281" s="237"/>
      <c r="AX281" s="237"/>
    </row>
    <row r="282" spans="3:50" x14ac:dyDescent="0.2">
      <c r="C282" s="228"/>
      <c r="D282" s="228"/>
      <c r="E282" s="228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  <c r="AD282" s="237"/>
      <c r="AE282" s="237"/>
      <c r="AF282" s="237"/>
      <c r="AG282" s="237"/>
      <c r="AH282" s="237"/>
      <c r="AI282" s="237"/>
      <c r="AJ282" s="237"/>
      <c r="AK282" s="237"/>
      <c r="AL282" s="237"/>
      <c r="AM282" s="237"/>
      <c r="AN282" s="237"/>
      <c r="AO282" s="237"/>
      <c r="AP282" s="237"/>
      <c r="AQ282" s="237"/>
      <c r="AR282" s="237"/>
      <c r="AS282" s="237"/>
      <c r="AT282" s="237"/>
      <c r="AU282" s="237"/>
      <c r="AV282" s="237"/>
      <c r="AW282" s="237"/>
      <c r="AX282" s="237"/>
    </row>
    <row r="283" spans="3:50" x14ac:dyDescent="0.2">
      <c r="C283" s="228"/>
      <c r="D283" s="228"/>
      <c r="E283" s="228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  <c r="AD283" s="237"/>
      <c r="AE283" s="237"/>
      <c r="AF283" s="237"/>
      <c r="AG283" s="237"/>
      <c r="AH283" s="237"/>
      <c r="AI283" s="237"/>
      <c r="AJ283" s="237"/>
      <c r="AK283" s="237"/>
      <c r="AL283" s="237"/>
      <c r="AM283" s="237"/>
      <c r="AN283" s="237"/>
      <c r="AO283" s="237"/>
      <c r="AP283" s="237"/>
      <c r="AQ283" s="237"/>
      <c r="AR283" s="237"/>
      <c r="AS283" s="237"/>
      <c r="AT283" s="237"/>
      <c r="AU283" s="237"/>
      <c r="AV283" s="237"/>
      <c r="AW283" s="237"/>
      <c r="AX283" s="237"/>
    </row>
    <row r="284" spans="3:50" x14ac:dyDescent="0.2">
      <c r="C284" s="228"/>
      <c r="D284" s="228"/>
      <c r="E284" s="228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  <c r="AC284" s="237"/>
      <c r="AD284" s="237"/>
      <c r="AE284" s="237"/>
      <c r="AF284" s="237"/>
      <c r="AG284" s="237"/>
      <c r="AH284" s="237"/>
      <c r="AI284" s="237"/>
      <c r="AJ284" s="237"/>
      <c r="AK284" s="237"/>
      <c r="AL284" s="237"/>
      <c r="AM284" s="237"/>
      <c r="AN284" s="237"/>
      <c r="AO284" s="237"/>
      <c r="AP284" s="237"/>
      <c r="AQ284" s="237"/>
      <c r="AR284" s="237"/>
      <c r="AS284" s="237"/>
      <c r="AT284" s="237"/>
      <c r="AU284" s="237"/>
      <c r="AV284" s="237"/>
      <c r="AW284" s="237"/>
      <c r="AX284" s="237"/>
    </row>
    <row r="285" spans="3:50" x14ac:dyDescent="0.2">
      <c r="C285" s="228"/>
      <c r="D285" s="228"/>
      <c r="E285" s="228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  <c r="AC285" s="237"/>
      <c r="AD285" s="237"/>
      <c r="AE285" s="237"/>
      <c r="AF285" s="237"/>
      <c r="AG285" s="237"/>
      <c r="AH285" s="237"/>
      <c r="AI285" s="237"/>
      <c r="AJ285" s="237"/>
      <c r="AK285" s="237"/>
      <c r="AL285" s="237"/>
      <c r="AM285" s="237"/>
      <c r="AN285" s="237"/>
      <c r="AO285" s="237"/>
      <c r="AP285" s="237"/>
      <c r="AQ285" s="237"/>
      <c r="AR285" s="237"/>
      <c r="AS285" s="237"/>
      <c r="AT285" s="237"/>
      <c r="AU285" s="237"/>
      <c r="AV285" s="237"/>
      <c r="AW285" s="237"/>
      <c r="AX285" s="237"/>
    </row>
    <row r="286" spans="3:50" x14ac:dyDescent="0.2">
      <c r="C286" s="228"/>
      <c r="D286" s="228"/>
      <c r="E286" s="228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  <c r="AC286" s="237"/>
      <c r="AD286" s="237"/>
      <c r="AE286" s="237"/>
      <c r="AF286" s="237"/>
      <c r="AG286" s="237"/>
      <c r="AH286" s="237"/>
      <c r="AI286" s="237"/>
      <c r="AJ286" s="237"/>
      <c r="AK286" s="237"/>
      <c r="AL286" s="237"/>
      <c r="AM286" s="237"/>
      <c r="AN286" s="237"/>
      <c r="AO286" s="237"/>
      <c r="AP286" s="237"/>
      <c r="AQ286" s="237"/>
      <c r="AR286" s="237"/>
      <c r="AS286" s="237"/>
      <c r="AT286" s="237"/>
      <c r="AU286" s="237"/>
      <c r="AV286" s="237"/>
      <c r="AW286" s="237"/>
      <c r="AX286" s="237"/>
    </row>
    <row r="287" spans="3:50" x14ac:dyDescent="0.2">
      <c r="C287" s="228"/>
      <c r="D287" s="228"/>
      <c r="E287" s="228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  <c r="AC287" s="237"/>
      <c r="AD287" s="237"/>
      <c r="AE287" s="237"/>
      <c r="AF287" s="237"/>
      <c r="AG287" s="237"/>
      <c r="AH287" s="237"/>
      <c r="AI287" s="237"/>
      <c r="AJ287" s="237"/>
      <c r="AK287" s="237"/>
      <c r="AL287" s="237"/>
      <c r="AM287" s="237"/>
      <c r="AN287" s="237"/>
      <c r="AO287" s="237"/>
      <c r="AP287" s="237"/>
      <c r="AQ287" s="237"/>
      <c r="AR287" s="237"/>
      <c r="AS287" s="237"/>
      <c r="AT287" s="237"/>
      <c r="AU287" s="237"/>
      <c r="AV287" s="237"/>
      <c r="AW287" s="237"/>
      <c r="AX287" s="237"/>
    </row>
    <row r="288" spans="3:50" x14ac:dyDescent="0.2">
      <c r="C288" s="228"/>
      <c r="D288" s="228"/>
      <c r="E288" s="228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  <c r="AC288" s="237"/>
      <c r="AD288" s="237"/>
      <c r="AE288" s="237"/>
      <c r="AF288" s="237"/>
      <c r="AG288" s="237"/>
      <c r="AH288" s="237"/>
      <c r="AI288" s="237"/>
      <c r="AJ288" s="237"/>
      <c r="AK288" s="237"/>
      <c r="AL288" s="237"/>
      <c r="AM288" s="237"/>
      <c r="AN288" s="237"/>
      <c r="AO288" s="237"/>
      <c r="AP288" s="237"/>
      <c r="AQ288" s="237"/>
      <c r="AR288" s="237"/>
      <c r="AS288" s="237"/>
      <c r="AT288" s="237"/>
      <c r="AU288" s="237"/>
      <c r="AV288" s="237"/>
      <c r="AW288" s="237"/>
      <c r="AX288" s="237"/>
    </row>
    <row r="289" spans="3:50" x14ac:dyDescent="0.2">
      <c r="C289" s="228"/>
      <c r="D289" s="228"/>
      <c r="E289" s="228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  <c r="AC289" s="237"/>
      <c r="AD289" s="237"/>
      <c r="AE289" s="237"/>
      <c r="AF289" s="237"/>
      <c r="AG289" s="237"/>
      <c r="AH289" s="237"/>
      <c r="AI289" s="237"/>
      <c r="AJ289" s="237"/>
      <c r="AK289" s="237"/>
      <c r="AL289" s="237"/>
      <c r="AM289" s="237"/>
      <c r="AN289" s="237"/>
      <c r="AO289" s="237"/>
      <c r="AP289" s="237"/>
      <c r="AQ289" s="237"/>
      <c r="AR289" s="237"/>
      <c r="AS289" s="237"/>
      <c r="AT289" s="237"/>
      <c r="AU289" s="237"/>
      <c r="AV289" s="237"/>
      <c r="AW289" s="237"/>
      <c r="AX289" s="237"/>
    </row>
    <row r="290" spans="3:50" x14ac:dyDescent="0.2">
      <c r="C290" s="228"/>
      <c r="D290" s="228"/>
      <c r="E290" s="228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  <c r="AD290" s="237"/>
      <c r="AE290" s="237"/>
      <c r="AF290" s="237"/>
      <c r="AG290" s="237"/>
      <c r="AH290" s="237"/>
      <c r="AI290" s="237"/>
      <c r="AJ290" s="237"/>
      <c r="AK290" s="237"/>
      <c r="AL290" s="237"/>
      <c r="AM290" s="237"/>
      <c r="AN290" s="237"/>
      <c r="AO290" s="237"/>
      <c r="AP290" s="237"/>
      <c r="AQ290" s="237"/>
      <c r="AR290" s="237"/>
      <c r="AS290" s="237"/>
      <c r="AT290" s="237"/>
      <c r="AU290" s="237"/>
      <c r="AV290" s="237"/>
      <c r="AW290" s="237"/>
      <c r="AX290" s="237"/>
    </row>
    <row r="291" spans="3:50" x14ac:dyDescent="0.2">
      <c r="C291" s="228"/>
      <c r="D291" s="228"/>
      <c r="E291" s="228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  <c r="AC291" s="237"/>
      <c r="AD291" s="237"/>
      <c r="AE291" s="237"/>
      <c r="AF291" s="237"/>
      <c r="AG291" s="237"/>
      <c r="AH291" s="237"/>
      <c r="AI291" s="237"/>
      <c r="AJ291" s="237"/>
      <c r="AK291" s="237"/>
      <c r="AL291" s="237"/>
      <c r="AM291" s="237"/>
      <c r="AN291" s="237"/>
      <c r="AO291" s="237"/>
      <c r="AP291" s="237"/>
      <c r="AQ291" s="237"/>
      <c r="AR291" s="237"/>
      <c r="AS291" s="237"/>
      <c r="AT291" s="237"/>
      <c r="AU291" s="237"/>
      <c r="AV291" s="237"/>
      <c r="AW291" s="237"/>
      <c r="AX291" s="237"/>
    </row>
    <row r="292" spans="3:50" x14ac:dyDescent="0.2">
      <c r="C292" s="228"/>
      <c r="D292" s="228"/>
      <c r="E292" s="228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  <c r="AC292" s="237"/>
      <c r="AD292" s="237"/>
      <c r="AE292" s="237"/>
      <c r="AF292" s="237"/>
      <c r="AG292" s="237"/>
      <c r="AH292" s="237"/>
      <c r="AI292" s="237"/>
      <c r="AJ292" s="237"/>
      <c r="AK292" s="237"/>
      <c r="AL292" s="237"/>
      <c r="AM292" s="237"/>
      <c r="AN292" s="237"/>
      <c r="AO292" s="237"/>
      <c r="AP292" s="237"/>
      <c r="AQ292" s="237"/>
      <c r="AR292" s="237"/>
      <c r="AS292" s="237"/>
      <c r="AT292" s="237"/>
      <c r="AU292" s="237"/>
      <c r="AV292" s="237"/>
      <c r="AW292" s="237"/>
      <c r="AX292" s="237"/>
    </row>
    <row r="293" spans="3:50" x14ac:dyDescent="0.2">
      <c r="C293" s="228"/>
      <c r="D293" s="228"/>
      <c r="E293" s="228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  <c r="AD293" s="237"/>
      <c r="AE293" s="237"/>
      <c r="AF293" s="237"/>
      <c r="AG293" s="237"/>
      <c r="AH293" s="237"/>
      <c r="AI293" s="237"/>
      <c r="AJ293" s="237"/>
      <c r="AK293" s="237"/>
      <c r="AL293" s="237"/>
      <c r="AM293" s="237"/>
      <c r="AN293" s="237"/>
      <c r="AO293" s="237"/>
      <c r="AP293" s="237"/>
      <c r="AQ293" s="237"/>
      <c r="AR293" s="237"/>
      <c r="AS293" s="237"/>
      <c r="AT293" s="237"/>
      <c r="AU293" s="237"/>
      <c r="AV293" s="237"/>
      <c r="AW293" s="237"/>
      <c r="AX293" s="237"/>
    </row>
    <row r="294" spans="3:50" x14ac:dyDescent="0.2">
      <c r="C294" s="228"/>
      <c r="D294" s="228"/>
      <c r="E294" s="228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  <c r="AC294" s="237"/>
      <c r="AD294" s="237"/>
      <c r="AE294" s="237"/>
      <c r="AF294" s="237"/>
      <c r="AG294" s="237"/>
      <c r="AH294" s="237"/>
      <c r="AI294" s="237"/>
      <c r="AJ294" s="237"/>
      <c r="AK294" s="237"/>
      <c r="AL294" s="237"/>
      <c r="AM294" s="237"/>
      <c r="AN294" s="237"/>
      <c r="AO294" s="237"/>
      <c r="AP294" s="237"/>
      <c r="AQ294" s="237"/>
      <c r="AR294" s="237"/>
      <c r="AS294" s="237"/>
      <c r="AT294" s="237"/>
      <c r="AU294" s="237"/>
      <c r="AV294" s="237"/>
      <c r="AW294" s="237"/>
      <c r="AX294" s="237"/>
    </row>
    <row r="295" spans="3:50" x14ac:dyDescent="0.2">
      <c r="C295" s="228"/>
      <c r="D295" s="228"/>
      <c r="E295" s="228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  <c r="AC295" s="237"/>
      <c r="AD295" s="237"/>
      <c r="AE295" s="237"/>
      <c r="AF295" s="237"/>
      <c r="AG295" s="237"/>
      <c r="AH295" s="237"/>
      <c r="AI295" s="237"/>
      <c r="AJ295" s="237"/>
      <c r="AK295" s="237"/>
      <c r="AL295" s="237"/>
      <c r="AM295" s="237"/>
      <c r="AN295" s="237"/>
      <c r="AO295" s="237"/>
      <c r="AP295" s="237"/>
      <c r="AQ295" s="237"/>
      <c r="AR295" s="237"/>
      <c r="AS295" s="237"/>
      <c r="AT295" s="237"/>
      <c r="AU295" s="237"/>
      <c r="AV295" s="237"/>
      <c r="AW295" s="237"/>
      <c r="AX295" s="237"/>
    </row>
    <row r="296" spans="3:50" x14ac:dyDescent="0.2">
      <c r="C296" s="228"/>
      <c r="D296" s="228"/>
      <c r="E296" s="228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  <c r="AC296" s="237"/>
      <c r="AD296" s="237"/>
      <c r="AE296" s="237"/>
      <c r="AF296" s="237"/>
      <c r="AG296" s="237"/>
      <c r="AH296" s="237"/>
      <c r="AI296" s="237"/>
      <c r="AJ296" s="237"/>
      <c r="AK296" s="237"/>
      <c r="AL296" s="237"/>
      <c r="AM296" s="237"/>
      <c r="AN296" s="237"/>
      <c r="AO296" s="237"/>
      <c r="AP296" s="237"/>
      <c r="AQ296" s="237"/>
      <c r="AR296" s="237"/>
      <c r="AS296" s="237"/>
      <c r="AT296" s="237"/>
      <c r="AU296" s="237"/>
      <c r="AV296" s="237"/>
      <c r="AW296" s="237"/>
      <c r="AX296" s="237"/>
    </row>
    <row r="297" spans="3:50" x14ac:dyDescent="0.2">
      <c r="C297" s="228"/>
      <c r="D297" s="228"/>
      <c r="E297" s="228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  <c r="AC297" s="237"/>
      <c r="AD297" s="237"/>
      <c r="AE297" s="237"/>
      <c r="AF297" s="237"/>
      <c r="AG297" s="237"/>
      <c r="AH297" s="237"/>
      <c r="AI297" s="237"/>
      <c r="AJ297" s="237"/>
      <c r="AK297" s="237"/>
      <c r="AL297" s="237"/>
      <c r="AM297" s="237"/>
      <c r="AN297" s="237"/>
      <c r="AO297" s="237"/>
      <c r="AP297" s="237"/>
      <c r="AQ297" s="237"/>
      <c r="AR297" s="237"/>
      <c r="AS297" s="237"/>
      <c r="AT297" s="237"/>
      <c r="AU297" s="237"/>
      <c r="AV297" s="237"/>
      <c r="AW297" s="237"/>
      <c r="AX297" s="237"/>
    </row>
    <row r="298" spans="3:50" x14ac:dyDescent="0.2">
      <c r="C298" s="228"/>
      <c r="D298" s="228"/>
      <c r="E298" s="228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  <c r="AC298" s="237"/>
      <c r="AD298" s="237"/>
      <c r="AE298" s="237"/>
      <c r="AF298" s="237"/>
      <c r="AG298" s="237"/>
      <c r="AH298" s="237"/>
      <c r="AI298" s="237"/>
      <c r="AJ298" s="237"/>
      <c r="AK298" s="237"/>
      <c r="AL298" s="237"/>
      <c r="AM298" s="237"/>
      <c r="AN298" s="237"/>
      <c r="AO298" s="237"/>
      <c r="AP298" s="237"/>
      <c r="AQ298" s="237"/>
      <c r="AR298" s="237"/>
      <c r="AS298" s="237"/>
      <c r="AT298" s="237"/>
      <c r="AU298" s="237"/>
      <c r="AV298" s="237"/>
      <c r="AW298" s="237"/>
      <c r="AX298" s="237"/>
    </row>
    <row r="299" spans="3:50" x14ac:dyDescent="0.2">
      <c r="C299" s="228"/>
      <c r="D299" s="228"/>
      <c r="E299" s="228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  <c r="AC299" s="237"/>
      <c r="AD299" s="237"/>
      <c r="AE299" s="237"/>
      <c r="AF299" s="237"/>
      <c r="AG299" s="237"/>
      <c r="AH299" s="237"/>
      <c r="AI299" s="237"/>
      <c r="AJ299" s="237"/>
      <c r="AK299" s="237"/>
      <c r="AL299" s="237"/>
      <c r="AM299" s="237"/>
      <c r="AN299" s="237"/>
      <c r="AO299" s="237"/>
      <c r="AP299" s="237"/>
      <c r="AQ299" s="237"/>
      <c r="AR299" s="237"/>
      <c r="AS299" s="237"/>
      <c r="AT299" s="237"/>
      <c r="AU299" s="237"/>
      <c r="AV299" s="237"/>
      <c r="AW299" s="237"/>
      <c r="AX299" s="237"/>
    </row>
    <row r="300" spans="3:50" x14ac:dyDescent="0.2">
      <c r="C300" s="228"/>
      <c r="D300" s="228"/>
      <c r="E300" s="228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  <c r="AC300" s="237"/>
      <c r="AD300" s="237"/>
      <c r="AE300" s="237"/>
      <c r="AF300" s="237"/>
      <c r="AG300" s="237"/>
      <c r="AH300" s="237"/>
      <c r="AI300" s="237"/>
      <c r="AJ300" s="237"/>
      <c r="AK300" s="237"/>
      <c r="AL300" s="237"/>
      <c r="AM300" s="237"/>
      <c r="AN300" s="237"/>
      <c r="AO300" s="237"/>
      <c r="AP300" s="237"/>
      <c r="AQ300" s="237"/>
      <c r="AR300" s="237"/>
      <c r="AS300" s="237"/>
      <c r="AT300" s="237"/>
      <c r="AU300" s="237"/>
      <c r="AV300" s="237"/>
      <c r="AW300" s="237"/>
      <c r="AX300" s="237"/>
    </row>
    <row r="301" spans="3:50" x14ac:dyDescent="0.2">
      <c r="C301" s="228"/>
      <c r="D301" s="228"/>
      <c r="E301" s="228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  <c r="AC301" s="237"/>
      <c r="AD301" s="237"/>
      <c r="AE301" s="237"/>
      <c r="AF301" s="237"/>
      <c r="AG301" s="237"/>
      <c r="AH301" s="237"/>
      <c r="AI301" s="237"/>
      <c r="AJ301" s="237"/>
      <c r="AK301" s="237"/>
      <c r="AL301" s="237"/>
      <c r="AM301" s="237"/>
      <c r="AN301" s="237"/>
      <c r="AO301" s="237"/>
      <c r="AP301" s="237"/>
      <c r="AQ301" s="237"/>
      <c r="AR301" s="237"/>
      <c r="AS301" s="237"/>
      <c r="AT301" s="237"/>
      <c r="AU301" s="237"/>
      <c r="AV301" s="237"/>
      <c r="AW301" s="237"/>
      <c r="AX301" s="237"/>
    </row>
    <row r="302" spans="3:50" x14ac:dyDescent="0.2">
      <c r="C302" s="228"/>
      <c r="D302" s="228"/>
      <c r="E302" s="228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7"/>
      <c r="AM302" s="237"/>
      <c r="AN302" s="237"/>
      <c r="AO302" s="237"/>
      <c r="AP302" s="237"/>
      <c r="AQ302" s="237"/>
      <c r="AR302" s="237"/>
      <c r="AS302" s="237"/>
      <c r="AT302" s="237"/>
      <c r="AU302" s="237"/>
      <c r="AV302" s="237"/>
      <c r="AW302" s="237"/>
      <c r="AX302" s="237"/>
    </row>
    <row r="303" spans="3:50" x14ac:dyDescent="0.2">
      <c r="C303" s="228"/>
      <c r="D303" s="228"/>
      <c r="E303" s="228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  <c r="AC303" s="237"/>
      <c r="AD303" s="237"/>
      <c r="AE303" s="237"/>
      <c r="AF303" s="237"/>
      <c r="AG303" s="237"/>
      <c r="AH303" s="237"/>
      <c r="AI303" s="237"/>
      <c r="AJ303" s="237"/>
      <c r="AK303" s="237"/>
      <c r="AL303" s="237"/>
      <c r="AM303" s="237"/>
      <c r="AN303" s="237"/>
      <c r="AO303" s="237"/>
      <c r="AP303" s="237"/>
      <c r="AQ303" s="237"/>
      <c r="AR303" s="237"/>
      <c r="AS303" s="237"/>
      <c r="AT303" s="237"/>
      <c r="AU303" s="237"/>
      <c r="AV303" s="237"/>
      <c r="AW303" s="237"/>
      <c r="AX303" s="237"/>
    </row>
    <row r="304" spans="3:50" x14ac:dyDescent="0.2">
      <c r="C304" s="228"/>
      <c r="D304" s="228"/>
      <c r="E304" s="228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  <c r="AC304" s="237"/>
      <c r="AD304" s="237"/>
      <c r="AE304" s="237"/>
      <c r="AF304" s="237"/>
      <c r="AG304" s="237"/>
      <c r="AH304" s="237"/>
      <c r="AI304" s="237"/>
      <c r="AJ304" s="237"/>
      <c r="AK304" s="237"/>
      <c r="AL304" s="237"/>
      <c r="AM304" s="237"/>
      <c r="AN304" s="237"/>
      <c r="AO304" s="237"/>
      <c r="AP304" s="237"/>
      <c r="AQ304" s="237"/>
      <c r="AR304" s="237"/>
      <c r="AS304" s="237"/>
      <c r="AT304" s="237"/>
      <c r="AU304" s="237"/>
      <c r="AV304" s="237"/>
      <c r="AW304" s="237"/>
      <c r="AX304" s="237"/>
    </row>
    <row r="305" spans="3:50" x14ac:dyDescent="0.2">
      <c r="C305" s="228"/>
      <c r="D305" s="228"/>
      <c r="E305" s="228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  <c r="AC305" s="237"/>
      <c r="AD305" s="237"/>
      <c r="AE305" s="237"/>
      <c r="AF305" s="237"/>
      <c r="AG305" s="237"/>
      <c r="AH305" s="237"/>
      <c r="AI305" s="237"/>
      <c r="AJ305" s="237"/>
      <c r="AK305" s="237"/>
      <c r="AL305" s="237"/>
      <c r="AM305" s="237"/>
      <c r="AN305" s="237"/>
      <c r="AO305" s="237"/>
      <c r="AP305" s="237"/>
      <c r="AQ305" s="237"/>
      <c r="AR305" s="237"/>
      <c r="AS305" s="237"/>
      <c r="AT305" s="237"/>
      <c r="AU305" s="237"/>
      <c r="AV305" s="237"/>
      <c r="AW305" s="237"/>
      <c r="AX305" s="237"/>
    </row>
    <row r="306" spans="3:50" x14ac:dyDescent="0.2">
      <c r="C306" s="228"/>
      <c r="D306" s="228"/>
      <c r="E306" s="228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  <c r="AC306" s="237"/>
      <c r="AD306" s="237"/>
      <c r="AE306" s="237"/>
      <c r="AF306" s="237"/>
      <c r="AG306" s="237"/>
      <c r="AH306" s="237"/>
      <c r="AI306" s="237"/>
      <c r="AJ306" s="237"/>
      <c r="AK306" s="237"/>
      <c r="AL306" s="237"/>
      <c r="AM306" s="237"/>
      <c r="AN306" s="237"/>
      <c r="AO306" s="237"/>
      <c r="AP306" s="237"/>
      <c r="AQ306" s="237"/>
      <c r="AR306" s="237"/>
      <c r="AS306" s="237"/>
      <c r="AT306" s="237"/>
      <c r="AU306" s="237"/>
      <c r="AV306" s="237"/>
      <c r="AW306" s="237"/>
      <c r="AX306" s="237"/>
    </row>
    <row r="307" spans="3:50" x14ac:dyDescent="0.2">
      <c r="C307" s="228"/>
      <c r="D307" s="228"/>
      <c r="E307" s="228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7"/>
      <c r="AM307" s="237"/>
      <c r="AN307" s="237"/>
      <c r="AO307" s="237"/>
      <c r="AP307" s="237"/>
      <c r="AQ307" s="237"/>
      <c r="AR307" s="237"/>
      <c r="AS307" s="237"/>
      <c r="AT307" s="237"/>
      <c r="AU307" s="237"/>
      <c r="AV307" s="237"/>
      <c r="AW307" s="237"/>
      <c r="AX307" s="237"/>
    </row>
    <row r="308" spans="3:50" x14ac:dyDescent="0.2">
      <c r="C308" s="228"/>
      <c r="D308" s="228"/>
      <c r="E308" s="228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  <c r="AC308" s="237"/>
      <c r="AD308" s="237"/>
      <c r="AE308" s="237"/>
      <c r="AF308" s="237"/>
      <c r="AG308" s="237"/>
      <c r="AH308" s="237"/>
      <c r="AI308" s="237"/>
      <c r="AJ308" s="237"/>
      <c r="AK308" s="237"/>
      <c r="AL308" s="237"/>
      <c r="AM308" s="237"/>
      <c r="AN308" s="237"/>
      <c r="AO308" s="237"/>
      <c r="AP308" s="237"/>
      <c r="AQ308" s="237"/>
      <c r="AR308" s="237"/>
      <c r="AS308" s="237"/>
      <c r="AT308" s="237"/>
      <c r="AU308" s="237"/>
      <c r="AV308" s="237"/>
      <c r="AW308" s="237"/>
      <c r="AX308" s="237"/>
    </row>
    <row r="309" spans="3:50" x14ac:dyDescent="0.2">
      <c r="C309" s="228"/>
      <c r="D309" s="228"/>
      <c r="E309" s="228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  <c r="AC309" s="237"/>
      <c r="AD309" s="237"/>
      <c r="AE309" s="237"/>
      <c r="AF309" s="237"/>
      <c r="AG309" s="237"/>
      <c r="AH309" s="237"/>
      <c r="AI309" s="237"/>
      <c r="AJ309" s="237"/>
      <c r="AK309" s="237"/>
      <c r="AL309" s="237"/>
      <c r="AM309" s="237"/>
      <c r="AN309" s="237"/>
      <c r="AO309" s="237"/>
      <c r="AP309" s="237"/>
      <c r="AQ309" s="237"/>
      <c r="AR309" s="237"/>
      <c r="AS309" s="237"/>
      <c r="AT309" s="237"/>
      <c r="AU309" s="237"/>
      <c r="AV309" s="237"/>
      <c r="AW309" s="237"/>
      <c r="AX309" s="237"/>
    </row>
    <row r="310" spans="3:50" x14ac:dyDescent="0.2">
      <c r="C310" s="228"/>
      <c r="D310" s="228"/>
      <c r="E310" s="228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  <c r="AC310" s="237"/>
      <c r="AD310" s="237"/>
      <c r="AE310" s="237"/>
      <c r="AF310" s="237"/>
      <c r="AG310" s="237"/>
      <c r="AH310" s="237"/>
      <c r="AI310" s="237"/>
      <c r="AJ310" s="237"/>
      <c r="AK310" s="237"/>
      <c r="AL310" s="237"/>
      <c r="AM310" s="237"/>
      <c r="AN310" s="237"/>
      <c r="AO310" s="237"/>
      <c r="AP310" s="237"/>
      <c r="AQ310" s="237"/>
      <c r="AR310" s="237"/>
      <c r="AS310" s="237"/>
      <c r="AT310" s="237"/>
      <c r="AU310" s="237"/>
      <c r="AV310" s="237"/>
      <c r="AW310" s="237"/>
      <c r="AX310" s="237"/>
    </row>
    <row r="311" spans="3:50" x14ac:dyDescent="0.2">
      <c r="C311" s="228"/>
      <c r="D311" s="228"/>
      <c r="E311" s="228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  <c r="AC311" s="237"/>
      <c r="AD311" s="237"/>
      <c r="AE311" s="237"/>
      <c r="AF311" s="237"/>
      <c r="AG311" s="237"/>
      <c r="AH311" s="237"/>
      <c r="AI311" s="237"/>
      <c r="AJ311" s="237"/>
      <c r="AK311" s="237"/>
      <c r="AL311" s="237"/>
      <c r="AM311" s="237"/>
      <c r="AN311" s="237"/>
      <c r="AO311" s="237"/>
      <c r="AP311" s="237"/>
      <c r="AQ311" s="237"/>
      <c r="AR311" s="237"/>
      <c r="AS311" s="237"/>
      <c r="AT311" s="237"/>
      <c r="AU311" s="237"/>
      <c r="AV311" s="237"/>
      <c r="AW311" s="237"/>
      <c r="AX311" s="237"/>
    </row>
    <row r="312" spans="3:50" x14ac:dyDescent="0.2">
      <c r="C312" s="228"/>
      <c r="D312" s="228"/>
      <c r="E312" s="228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  <c r="AC312" s="237"/>
      <c r="AD312" s="237"/>
      <c r="AE312" s="237"/>
      <c r="AF312" s="237"/>
      <c r="AG312" s="237"/>
      <c r="AH312" s="237"/>
      <c r="AI312" s="237"/>
      <c r="AJ312" s="237"/>
      <c r="AK312" s="237"/>
      <c r="AL312" s="237"/>
      <c r="AM312" s="237"/>
      <c r="AN312" s="237"/>
      <c r="AO312" s="237"/>
      <c r="AP312" s="237"/>
      <c r="AQ312" s="237"/>
      <c r="AR312" s="237"/>
      <c r="AS312" s="237"/>
      <c r="AT312" s="237"/>
      <c r="AU312" s="237"/>
      <c r="AV312" s="237"/>
      <c r="AW312" s="237"/>
      <c r="AX312" s="237"/>
    </row>
    <row r="313" spans="3:50" x14ac:dyDescent="0.2">
      <c r="C313" s="228"/>
      <c r="D313" s="228"/>
      <c r="E313" s="228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  <c r="AC313" s="237"/>
      <c r="AD313" s="237"/>
      <c r="AE313" s="237"/>
      <c r="AF313" s="237"/>
      <c r="AG313" s="237"/>
      <c r="AH313" s="237"/>
      <c r="AI313" s="237"/>
      <c r="AJ313" s="237"/>
      <c r="AK313" s="237"/>
      <c r="AL313" s="237"/>
      <c r="AM313" s="237"/>
      <c r="AN313" s="237"/>
      <c r="AO313" s="237"/>
      <c r="AP313" s="237"/>
      <c r="AQ313" s="237"/>
      <c r="AR313" s="237"/>
      <c r="AS313" s="237"/>
      <c r="AT313" s="237"/>
      <c r="AU313" s="237"/>
      <c r="AV313" s="237"/>
      <c r="AW313" s="237"/>
      <c r="AX313" s="237"/>
    </row>
    <row r="314" spans="3:50" x14ac:dyDescent="0.2">
      <c r="C314" s="228"/>
      <c r="D314" s="228"/>
      <c r="E314" s="228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  <c r="AC314" s="237"/>
      <c r="AD314" s="237"/>
      <c r="AE314" s="237"/>
      <c r="AF314" s="237"/>
      <c r="AG314" s="237"/>
      <c r="AH314" s="237"/>
      <c r="AI314" s="237"/>
      <c r="AJ314" s="237"/>
      <c r="AK314" s="237"/>
      <c r="AL314" s="237"/>
      <c r="AM314" s="237"/>
      <c r="AN314" s="237"/>
      <c r="AO314" s="237"/>
      <c r="AP314" s="237"/>
      <c r="AQ314" s="237"/>
      <c r="AR314" s="237"/>
      <c r="AS314" s="237"/>
      <c r="AT314" s="237"/>
      <c r="AU314" s="237"/>
      <c r="AV314" s="237"/>
      <c r="AW314" s="237"/>
      <c r="AX314" s="237"/>
    </row>
    <row r="315" spans="3:50" x14ac:dyDescent="0.2">
      <c r="C315" s="228"/>
      <c r="D315" s="228"/>
      <c r="E315" s="228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  <c r="AC315" s="237"/>
      <c r="AD315" s="237"/>
      <c r="AE315" s="237"/>
      <c r="AF315" s="237"/>
      <c r="AG315" s="237"/>
      <c r="AH315" s="237"/>
      <c r="AI315" s="237"/>
      <c r="AJ315" s="237"/>
      <c r="AK315" s="237"/>
      <c r="AL315" s="237"/>
      <c r="AM315" s="237"/>
      <c r="AN315" s="237"/>
      <c r="AO315" s="237"/>
      <c r="AP315" s="237"/>
      <c r="AQ315" s="237"/>
      <c r="AR315" s="237"/>
      <c r="AS315" s="237"/>
      <c r="AT315" s="237"/>
      <c r="AU315" s="237"/>
      <c r="AV315" s="237"/>
      <c r="AW315" s="237"/>
      <c r="AX315" s="237"/>
    </row>
    <row r="316" spans="3:50" x14ac:dyDescent="0.2">
      <c r="C316" s="228"/>
      <c r="D316" s="228"/>
      <c r="E316" s="228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7"/>
      <c r="AM316" s="237"/>
      <c r="AN316" s="237"/>
      <c r="AO316" s="237"/>
      <c r="AP316" s="237"/>
      <c r="AQ316" s="237"/>
      <c r="AR316" s="237"/>
      <c r="AS316" s="237"/>
      <c r="AT316" s="237"/>
      <c r="AU316" s="237"/>
      <c r="AV316" s="237"/>
      <c r="AW316" s="237"/>
      <c r="AX316" s="237"/>
    </row>
    <row r="317" spans="3:50" x14ac:dyDescent="0.2">
      <c r="C317" s="228"/>
      <c r="D317" s="228"/>
      <c r="E317" s="228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  <c r="AD317" s="237"/>
      <c r="AE317" s="237"/>
      <c r="AF317" s="237"/>
      <c r="AG317" s="237"/>
      <c r="AH317" s="237"/>
      <c r="AI317" s="237"/>
      <c r="AJ317" s="237"/>
      <c r="AK317" s="237"/>
      <c r="AL317" s="237"/>
      <c r="AM317" s="237"/>
      <c r="AN317" s="237"/>
      <c r="AO317" s="237"/>
      <c r="AP317" s="237"/>
      <c r="AQ317" s="237"/>
      <c r="AR317" s="237"/>
      <c r="AS317" s="237"/>
      <c r="AT317" s="237"/>
      <c r="AU317" s="237"/>
      <c r="AV317" s="237"/>
      <c r="AW317" s="237"/>
      <c r="AX317" s="237"/>
    </row>
    <row r="318" spans="3:50" x14ac:dyDescent="0.2">
      <c r="C318" s="228"/>
      <c r="D318" s="228"/>
      <c r="E318" s="228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  <c r="AC318" s="237"/>
      <c r="AD318" s="237"/>
      <c r="AE318" s="237"/>
      <c r="AF318" s="237"/>
      <c r="AG318" s="237"/>
      <c r="AH318" s="237"/>
      <c r="AI318" s="237"/>
      <c r="AJ318" s="237"/>
      <c r="AK318" s="237"/>
      <c r="AL318" s="237"/>
      <c r="AM318" s="237"/>
      <c r="AN318" s="237"/>
      <c r="AO318" s="237"/>
      <c r="AP318" s="237"/>
      <c r="AQ318" s="237"/>
      <c r="AR318" s="237"/>
      <c r="AS318" s="237"/>
      <c r="AT318" s="237"/>
      <c r="AU318" s="237"/>
      <c r="AV318" s="237"/>
      <c r="AW318" s="237"/>
      <c r="AX318" s="237"/>
    </row>
    <row r="319" spans="3:50" x14ac:dyDescent="0.2">
      <c r="C319" s="228"/>
      <c r="D319" s="228"/>
      <c r="E319" s="228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  <c r="AC319" s="237"/>
      <c r="AD319" s="237"/>
      <c r="AE319" s="237"/>
      <c r="AF319" s="237"/>
      <c r="AG319" s="237"/>
      <c r="AH319" s="237"/>
      <c r="AI319" s="237"/>
      <c r="AJ319" s="237"/>
      <c r="AK319" s="237"/>
      <c r="AL319" s="237"/>
      <c r="AM319" s="237"/>
      <c r="AN319" s="237"/>
      <c r="AO319" s="237"/>
      <c r="AP319" s="237"/>
      <c r="AQ319" s="237"/>
      <c r="AR319" s="237"/>
      <c r="AS319" s="237"/>
      <c r="AT319" s="237"/>
      <c r="AU319" s="237"/>
      <c r="AV319" s="237"/>
      <c r="AW319" s="237"/>
      <c r="AX319" s="237"/>
    </row>
    <row r="320" spans="3:50" x14ac:dyDescent="0.2">
      <c r="C320" s="228"/>
      <c r="D320" s="228"/>
      <c r="E320" s="228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  <c r="AC320" s="237"/>
      <c r="AD320" s="237"/>
      <c r="AE320" s="237"/>
      <c r="AF320" s="237"/>
      <c r="AG320" s="237"/>
      <c r="AH320" s="237"/>
      <c r="AI320" s="237"/>
      <c r="AJ320" s="237"/>
      <c r="AK320" s="237"/>
      <c r="AL320" s="237"/>
      <c r="AM320" s="237"/>
      <c r="AN320" s="237"/>
      <c r="AO320" s="237"/>
      <c r="AP320" s="237"/>
      <c r="AQ320" s="237"/>
      <c r="AR320" s="237"/>
      <c r="AS320" s="237"/>
      <c r="AT320" s="237"/>
      <c r="AU320" s="237"/>
      <c r="AV320" s="237"/>
      <c r="AW320" s="237"/>
      <c r="AX320" s="237"/>
    </row>
    <row r="321" spans="3:50" x14ac:dyDescent="0.2">
      <c r="C321" s="228"/>
      <c r="D321" s="228"/>
      <c r="E321" s="228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  <c r="AC321" s="237"/>
      <c r="AD321" s="237"/>
      <c r="AE321" s="237"/>
      <c r="AF321" s="237"/>
      <c r="AG321" s="237"/>
      <c r="AH321" s="237"/>
      <c r="AI321" s="237"/>
      <c r="AJ321" s="237"/>
      <c r="AK321" s="237"/>
      <c r="AL321" s="237"/>
      <c r="AM321" s="237"/>
      <c r="AN321" s="237"/>
      <c r="AO321" s="237"/>
      <c r="AP321" s="237"/>
      <c r="AQ321" s="237"/>
      <c r="AR321" s="237"/>
      <c r="AS321" s="237"/>
      <c r="AT321" s="237"/>
      <c r="AU321" s="237"/>
      <c r="AV321" s="237"/>
      <c r="AW321" s="237"/>
      <c r="AX321" s="237"/>
    </row>
    <row r="322" spans="3:50" x14ac:dyDescent="0.2">
      <c r="C322" s="228"/>
      <c r="D322" s="228"/>
      <c r="E322" s="228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  <c r="AC322" s="237"/>
      <c r="AD322" s="237"/>
      <c r="AE322" s="237"/>
      <c r="AF322" s="237"/>
      <c r="AG322" s="237"/>
      <c r="AH322" s="237"/>
      <c r="AI322" s="237"/>
      <c r="AJ322" s="237"/>
      <c r="AK322" s="237"/>
      <c r="AL322" s="237"/>
      <c r="AM322" s="237"/>
      <c r="AN322" s="237"/>
      <c r="AO322" s="237"/>
      <c r="AP322" s="237"/>
      <c r="AQ322" s="237"/>
      <c r="AR322" s="237"/>
      <c r="AS322" s="237"/>
      <c r="AT322" s="237"/>
      <c r="AU322" s="237"/>
      <c r="AV322" s="237"/>
      <c r="AW322" s="237"/>
      <c r="AX322" s="237"/>
    </row>
    <row r="323" spans="3:50" x14ac:dyDescent="0.2">
      <c r="C323" s="228"/>
      <c r="D323" s="228"/>
      <c r="E323" s="228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7"/>
      <c r="AM323" s="237"/>
      <c r="AN323" s="237"/>
      <c r="AO323" s="237"/>
      <c r="AP323" s="237"/>
      <c r="AQ323" s="237"/>
      <c r="AR323" s="237"/>
      <c r="AS323" s="237"/>
      <c r="AT323" s="237"/>
      <c r="AU323" s="237"/>
      <c r="AV323" s="237"/>
      <c r="AW323" s="237"/>
      <c r="AX323" s="237"/>
    </row>
    <row r="324" spans="3:50" x14ac:dyDescent="0.2">
      <c r="C324" s="228"/>
      <c r="D324" s="228"/>
      <c r="E324" s="228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  <c r="AC324" s="237"/>
      <c r="AD324" s="237"/>
      <c r="AE324" s="237"/>
      <c r="AF324" s="237"/>
      <c r="AG324" s="237"/>
      <c r="AH324" s="237"/>
      <c r="AI324" s="237"/>
      <c r="AJ324" s="237"/>
      <c r="AK324" s="237"/>
      <c r="AL324" s="237"/>
      <c r="AM324" s="237"/>
      <c r="AN324" s="237"/>
      <c r="AO324" s="237"/>
      <c r="AP324" s="237"/>
      <c r="AQ324" s="237"/>
      <c r="AR324" s="237"/>
      <c r="AS324" s="237"/>
      <c r="AT324" s="237"/>
      <c r="AU324" s="237"/>
      <c r="AV324" s="237"/>
      <c r="AW324" s="237"/>
      <c r="AX324" s="237"/>
    </row>
    <row r="325" spans="3:50" x14ac:dyDescent="0.2">
      <c r="C325" s="228"/>
      <c r="D325" s="228"/>
      <c r="E325" s="228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  <c r="AC325" s="237"/>
      <c r="AD325" s="237"/>
      <c r="AE325" s="237"/>
      <c r="AF325" s="237"/>
      <c r="AG325" s="237"/>
      <c r="AH325" s="237"/>
      <c r="AI325" s="237"/>
      <c r="AJ325" s="237"/>
      <c r="AK325" s="237"/>
      <c r="AL325" s="237"/>
      <c r="AM325" s="237"/>
      <c r="AN325" s="237"/>
      <c r="AO325" s="237"/>
      <c r="AP325" s="237"/>
      <c r="AQ325" s="237"/>
      <c r="AR325" s="237"/>
      <c r="AS325" s="237"/>
      <c r="AT325" s="237"/>
      <c r="AU325" s="237"/>
      <c r="AV325" s="237"/>
      <c r="AW325" s="237"/>
      <c r="AX325" s="237"/>
    </row>
    <row r="326" spans="3:50" x14ac:dyDescent="0.2">
      <c r="C326" s="228"/>
      <c r="D326" s="228"/>
      <c r="E326" s="228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  <c r="AC326" s="237"/>
      <c r="AD326" s="237"/>
      <c r="AE326" s="237"/>
      <c r="AF326" s="237"/>
      <c r="AG326" s="237"/>
      <c r="AH326" s="237"/>
      <c r="AI326" s="237"/>
      <c r="AJ326" s="237"/>
      <c r="AK326" s="237"/>
      <c r="AL326" s="237"/>
      <c r="AM326" s="237"/>
      <c r="AN326" s="237"/>
      <c r="AO326" s="237"/>
      <c r="AP326" s="237"/>
      <c r="AQ326" s="237"/>
      <c r="AR326" s="237"/>
      <c r="AS326" s="237"/>
      <c r="AT326" s="237"/>
      <c r="AU326" s="237"/>
      <c r="AV326" s="237"/>
      <c r="AW326" s="237"/>
      <c r="AX326" s="237"/>
    </row>
    <row r="327" spans="3:50" x14ac:dyDescent="0.2">
      <c r="C327" s="228"/>
      <c r="D327" s="228"/>
      <c r="E327" s="228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  <c r="AC327" s="237"/>
      <c r="AD327" s="237"/>
      <c r="AE327" s="237"/>
      <c r="AF327" s="237"/>
      <c r="AG327" s="237"/>
      <c r="AH327" s="237"/>
      <c r="AI327" s="237"/>
      <c r="AJ327" s="237"/>
      <c r="AK327" s="237"/>
      <c r="AL327" s="237"/>
      <c r="AM327" s="237"/>
      <c r="AN327" s="237"/>
      <c r="AO327" s="237"/>
      <c r="AP327" s="237"/>
      <c r="AQ327" s="237"/>
      <c r="AR327" s="237"/>
      <c r="AS327" s="237"/>
      <c r="AT327" s="237"/>
      <c r="AU327" s="237"/>
      <c r="AV327" s="237"/>
      <c r="AW327" s="237"/>
      <c r="AX327" s="237"/>
    </row>
    <row r="328" spans="3:50" x14ac:dyDescent="0.2">
      <c r="C328" s="228"/>
      <c r="D328" s="228"/>
      <c r="E328" s="228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  <c r="AC328" s="237"/>
      <c r="AD328" s="237"/>
      <c r="AE328" s="237"/>
      <c r="AF328" s="237"/>
      <c r="AG328" s="237"/>
      <c r="AH328" s="237"/>
      <c r="AI328" s="237"/>
      <c r="AJ328" s="237"/>
      <c r="AK328" s="237"/>
      <c r="AL328" s="237"/>
      <c r="AM328" s="237"/>
      <c r="AN328" s="237"/>
      <c r="AO328" s="237"/>
      <c r="AP328" s="237"/>
      <c r="AQ328" s="237"/>
      <c r="AR328" s="237"/>
      <c r="AS328" s="237"/>
      <c r="AT328" s="237"/>
      <c r="AU328" s="237"/>
      <c r="AV328" s="237"/>
      <c r="AW328" s="237"/>
      <c r="AX328" s="237"/>
    </row>
    <row r="329" spans="3:50" x14ac:dyDescent="0.2">
      <c r="C329" s="228"/>
      <c r="D329" s="228"/>
      <c r="E329" s="228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  <c r="AC329" s="237"/>
      <c r="AD329" s="237"/>
      <c r="AE329" s="237"/>
      <c r="AF329" s="237"/>
      <c r="AG329" s="237"/>
      <c r="AH329" s="237"/>
      <c r="AI329" s="237"/>
      <c r="AJ329" s="237"/>
      <c r="AK329" s="237"/>
      <c r="AL329" s="237"/>
      <c r="AM329" s="237"/>
      <c r="AN329" s="237"/>
      <c r="AO329" s="237"/>
      <c r="AP329" s="237"/>
      <c r="AQ329" s="237"/>
      <c r="AR329" s="237"/>
      <c r="AS329" s="237"/>
      <c r="AT329" s="237"/>
      <c r="AU329" s="237"/>
      <c r="AV329" s="237"/>
      <c r="AW329" s="237"/>
      <c r="AX329" s="237"/>
    </row>
    <row r="330" spans="3:50" x14ac:dyDescent="0.2">
      <c r="C330" s="228"/>
      <c r="D330" s="228"/>
      <c r="E330" s="228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  <c r="AD330" s="237"/>
      <c r="AE330" s="237"/>
      <c r="AF330" s="237"/>
      <c r="AG330" s="237"/>
      <c r="AH330" s="237"/>
      <c r="AI330" s="237"/>
      <c r="AJ330" s="237"/>
      <c r="AK330" s="237"/>
      <c r="AL330" s="237"/>
      <c r="AM330" s="237"/>
      <c r="AN330" s="237"/>
      <c r="AO330" s="237"/>
      <c r="AP330" s="237"/>
      <c r="AQ330" s="237"/>
      <c r="AR330" s="237"/>
      <c r="AS330" s="237"/>
      <c r="AT330" s="237"/>
      <c r="AU330" s="237"/>
      <c r="AV330" s="237"/>
      <c r="AW330" s="237"/>
      <c r="AX330" s="237"/>
    </row>
    <row r="331" spans="3:50" x14ac:dyDescent="0.2">
      <c r="C331" s="228"/>
      <c r="D331" s="228"/>
      <c r="E331" s="228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  <c r="AC331" s="237"/>
      <c r="AD331" s="237"/>
      <c r="AE331" s="237"/>
      <c r="AF331" s="237"/>
      <c r="AG331" s="237"/>
      <c r="AH331" s="237"/>
      <c r="AI331" s="237"/>
      <c r="AJ331" s="237"/>
      <c r="AK331" s="237"/>
      <c r="AL331" s="237"/>
      <c r="AM331" s="237"/>
      <c r="AN331" s="237"/>
      <c r="AO331" s="237"/>
      <c r="AP331" s="237"/>
      <c r="AQ331" s="237"/>
      <c r="AR331" s="237"/>
      <c r="AS331" s="237"/>
      <c r="AT331" s="237"/>
      <c r="AU331" s="237"/>
      <c r="AV331" s="237"/>
      <c r="AW331" s="237"/>
      <c r="AX331" s="237"/>
    </row>
    <row r="332" spans="3:50" x14ac:dyDescent="0.2">
      <c r="C332" s="228"/>
      <c r="D332" s="228"/>
      <c r="E332" s="228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  <c r="AC332" s="237"/>
      <c r="AD332" s="237"/>
      <c r="AE332" s="237"/>
      <c r="AF332" s="237"/>
      <c r="AG332" s="237"/>
      <c r="AH332" s="237"/>
      <c r="AI332" s="237"/>
      <c r="AJ332" s="237"/>
      <c r="AK332" s="237"/>
      <c r="AL332" s="237"/>
      <c r="AM332" s="237"/>
      <c r="AN332" s="237"/>
      <c r="AO332" s="237"/>
      <c r="AP332" s="237"/>
      <c r="AQ332" s="237"/>
      <c r="AR332" s="237"/>
      <c r="AS332" s="237"/>
      <c r="AT332" s="237"/>
      <c r="AU332" s="237"/>
      <c r="AV332" s="237"/>
      <c r="AW332" s="237"/>
      <c r="AX332" s="237"/>
    </row>
    <row r="333" spans="3:50" x14ac:dyDescent="0.2">
      <c r="C333" s="228"/>
      <c r="D333" s="228"/>
      <c r="E333" s="228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  <c r="AC333" s="237"/>
      <c r="AD333" s="237"/>
      <c r="AE333" s="237"/>
      <c r="AF333" s="237"/>
      <c r="AG333" s="237"/>
      <c r="AH333" s="237"/>
      <c r="AI333" s="237"/>
      <c r="AJ333" s="237"/>
      <c r="AK333" s="237"/>
      <c r="AL333" s="237"/>
      <c r="AM333" s="237"/>
      <c r="AN333" s="237"/>
      <c r="AO333" s="237"/>
      <c r="AP333" s="237"/>
      <c r="AQ333" s="237"/>
      <c r="AR333" s="237"/>
      <c r="AS333" s="237"/>
      <c r="AT333" s="237"/>
      <c r="AU333" s="237"/>
      <c r="AV333" s="237"/>
      <c r="AW333" s="237"/>
      <c r="AX333" s="237"/>
    </row>
    <row r="334" spans="3:50" x14ac:dyDescent="0.2">
      <c r="C334" s="228"/>
      <c r="D334" s="228"/>
      <c r="E334" s="228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  <c r="AC334" s="237"/>
      <c r="AD334" s="237"/>
      <c r="AE334" s="237"/>
      <c r="AF334" s="237"/>
      <c r="AG334" s="237"/>
      <c r="AH334" s="237"/>
      <c r="AI334" s="237"/>
      <c r="AJ334" s="237"/>
      <c r="AK334" s="237"/>
      <c r="AL334" s="237"/>
      <c r="AM334" s="237"/>
      <c r="AN334" s="237"/>
      <c r="AO334" s="237"/>
      <c r="AP334" s="237"/>
      <c r="AQ334" s="237"/>
      <c r="AR334" s="237"/>
      <c r="AS334" s="237"/>
      <c r="AT334" s="237"/>
      <c r="AU334" s="237"/>
      <c r="AV334" s="237"/>
      <c r="AW334" s="237"/>
      <c r="AX334" s="237"/>
    </row>
    <row r="335" spans="3:50" x14ac:dyDescent="0.2">
      <c r="C335" s="228"/>
      <c r="D335" s="228"/>
      <c r="E335" s="228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  <c r="AC335" s="237"/>
      <c r="AD335" s="237"/>
      <c r="AE335" s="237"/>
      <c r="AF335" s="237"/>
      <c r="AG335" s="237"/>
      <c r="AH335" s="237"/>
      <c r="AI335" s="237"/>
      <c r="AJ335" s="237"/>
      <c r="AK335" s="237"/>
      <c r="AL335" s="237"/>
      <c r="AM335" s="237"/>
      <c r="AN335" s="237"/>
      <c r="AO335" s="237"/>
      <c r="AP335" s="237"/>
      <c r="AQ335" s="237"/>
      <c r="AR335" s="237"/>
      <c r="AS335" s="237"/>
      <c r="AT335" s="237"/>
      <c r="AU335" s="237"/>
      <c r="AV335" s="237"/>
      <c r="AW335" s="237"/>
      <c r="AX335" s="237"/>
    </row>
    <row r="336" spans="3:50" x14ac:dyDescent="0.2">
      <c r="C336" s="228"/>
      <c r="D336" s="228"/>
      <c r="E336" s="228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  <c r="AA336" s="237"/>
      <c r="AB336" s="237"/>
      <c r="AC336" s="237"/>
      <c r="AD336" s="237"/>
      <c r="AE336" s="237"/>
      <c r="AF336" s="237"/>
      <c r="AG336" s="237"/>
      <c r="AH336" s="237"/>
      <c r="AI336" s="237"/>
      <c r="AJ336" s="237"/>
      <c r="AK336" s="237"/>
      <c r="AL336" s="237"/>
      <c r="AM336" s="237"/>
      <c r="AN336" s="237"/>
      <c r="AO336" s="237"/>
      <c r="AP336" s="237"/>
      <c r="AQ336" s="237"/>
      <c r="AR336" s="237"/>
      <c r="AS336" s="237"/>
      <c r="AT336" s="237"/>
      <c r="AU336" s="237"/>
      <c r="AV336" s="237"/>
      <c r="AW336" s="237"/>
      <c r="AX336" s="237"/>
    </row>
    <row r="337" spans="3:50" x14ac:dyDescent="0.2">
      <c r="C337" s="228"/>
      <c r="D337" s="228"/>
      <c r="E337" s="228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  <c r="AA337" s="237"/>
      <c r="AB337" s="237"/>
      <c r="AC337" s="237"/>
      <c r="AD337" s="237"/>
      <c r="AE337" s="237"/>
      <c r="AF337" s="237"/>
      <c r="AG337" s="237"/>
      <c r="AH337" s="237"/>
      <c r="AI337" s="237"/>
      <c r="AJ337" s="237"/>
      <c r="AK337" s="237"/>
      <c r="AL337" s="237"/>
      <c r="AM337" s="237"/>
      <c r="AN337" s="237"/>
      <c r="AO337" s="237"/>
      <c r="AP337" s="237"/>
      <c r="AQ337" s="237"/>
      <c r="AR337" s="237"/>
      <c r="AS337" s="237"/>
      <c r="AT337" s="237"/>
      <c r="AU337" s="237"/>
      <c r="AV337" s="237"/>
      <c r="AW337" s="237"/>
      <c r="AX337" s="237"/>
    </row>
    <row r="338" spans="3:50" x14ac:dyDescent="0.2">
      <c r="C338" s="228"/>
      <c r="D338" s="228"/>
      <c r="E338" s="228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  <c r="AA338" s="237"/>
      <c r="AB338" s="237"/>
      <c r="AC338" s="237"/>
      <c r="AD338" s="237"/>
      <c r="AE338" s="237"/>
      <c r="AF338" s="237"/>
      <c r="AG338" s="237"/>
      <c r="AH338" s="237"/>
      <c r="AI338" s="237"/>
      <c r="AJ338" s="237"/>
      <c r="AK338" s="237"/>
      <c r="AL338" s="237"/>
      <c r="AM338" s="237"/>
      <c r="AN338" s="237"/>
      <c r="AO338" s="237"/>
      <c r="AP338" s="237"/>
      <c r="AQ338" s="237"/>
      <c r="AR338" s="237"/>
      <c r="AS338" s="237"/>
      <c r="AT338" s="237"/>
      <c r="AU338" s="237"/>
      <c r="AV338" s="237"/>
      <c r="AW338" s="237"/>
      <c r="AX338" s="237"/>
    </row>
    <row r="339" spans="3:50" x14ac:dyDescent="0.2">
      <c r="C339" s="228"/>
      <c r="D339" s="228"/>
      <c r="E339" s="228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  <c r="AA339" s="237"/>
      <c r="AB339" s="237"/>
      <c r="AC339" s="237"/>
      <c r="AD339" s="237"/>
      <c r="AE339" s="237"/>
      <c r="AF339" s="237"/>
      <c r="AG339" s="237"/>
      <c r="AH339" s="237"/>
      <c r="AI339" s="237"/>
      <c r="AJ339" s="237"/>
      <c r="AK339" s="237"/>
      <c r="AL339" s="237"/>
      <c r="AM339" s="237"/>
      <c r="AN339" s="237"/>
      <c r="AO339" s="237"/>
      <c r="AP339" s="237"/>
      <c r="AQ339" s="237"/>
      <c r="AR339" s="237"/>
      <c r="AS339" s="237"/>
      <c r="AT339" s="237"/>
      <c r="AU339" s="237"/>
      <c r="AV339" s="237"/>
      <c r="AW339" s="237"/>
      <c r="AX339" s="237"/>
    </row>
    <row r="340" spans="3:50" x14ac:dyDescent="0.2">
      <c r="C340" s="228"/>
      <c r="D340" s="228"/>
      <c r="E340" s="228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  <c r="AA340" s="237"/>
      <c r="AB340" s="237"/>
      <c r="AC340" s="237"/>
      <c r="AD340" s="237"/>
      <c r="AE340" s="237"/>
      <c r="AF340" s="237"/>
      <c r="AG340" s="237"/>
      <c r="AH340" s="237"/>
      <c r="AI340" s="237"/>
      <c r="AJ340" s="237"/>
      <c r="AK340" s="237"/>
      <c r="AL340" s="237"/>
      <c r="AM340" s="237"/>
      <c r="AN340" s="237"/>
      <c r="AO340" s="237"/>
      <c r="AP340" s="237"/>
      <c r="AQ340" s="237"/>
      <c r="AR340" s="237"/>
      <c r="AS340" s="237"/>
      <c r="AT340" s="237"/>
      <c r="AU340" s="237"/>
      <c r="AV340" s="237"/>
      <c r="AW340" s="237"/>
      <c r="AX340" s="237"/>
    </row>
    <row r="341" spans="3:50" x14ac:dyDescent="0.2">
      <c r="C341" s="228"/>
      <c r="D341" s="228"/>
      <c r="E341" s="228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  <c r="AA341" s="237"/>
      <c r="AB341" s="237"/>
      <c r="AC341" s="237"/>
      <c r="AD341" s="237"/>
      <c r="AE341" s="237"/>
      <c r="AF341" s="237"/>
      <c r="AG341" s="237"/>
      <c r="AH341" s="237"/>
      <c r="AI341" s="237"/>
      <c r="AJ341" s="237"/>
      <c r="AK341" s="237"/>
      <c r="AL341" s="237"/>
      <c r="AM341" s="237"/>
      <c r="AN341" s="237"/>
      <c r="AO341" s="237"/>
      <c r="AP341" s="237"/>
      <c r="AQ341" s="237"/>
      <c r="AR341" s="237"/>
      <c r="AS341" s="237"/>
      <c r="AT341" s="237"/>
      <c r="AU341" s="237"/>
      <c r="AV341" s="237"/>
      <c r="AW341" s="237"/>
      <c r="AX341" s="237"/>
    </row>
    <row r="342" spans="3:50" x14ac:dyDescent="0.2">
      <c r="C342" s="228"/>
      <c r="D342" s="228"/>
      <c r="E342" s="228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  <c r="AA342" s="237"/>
      <c r="AB342" s="237"/>
      <c r="AC342" s="237"/>
      <c r="AD342" s="237"/>
      <c r="AE342" s="237"/>
      <c r="AF342" s="237"/>
      <c r="AG342" s="237"/>
      <c r="AH342" s="237"/>
      <c r="AI342" s="237"/>
      <c r="AJ342" s="237"/>
      <c r="AK342" s="237"/>
      <c r="AL342" s="237"/>
      <c r="AM342" s="237"/>
      <c r="AN342" s="237"/>
      <c r="AO342" s="237"/>
      <c r="AP342" s="237"/>
      <c r="AQ342" s="237"/>
      <c r="AR342" s="237"/>
      <c r="AS342" s="237"/>
      <c r="AT342" s="237"/>
      <c r="AU342" s="237"/>
      <c r="AV342" s="237"/>
      <c r="AW342" s="237"/>
      <c r="AX342" s="237"/>
    </row>
    <row r="343" spans="3:50" x14ac:dyDescent="0.2">
      <c r="C343" s="228"/>
      <c r="D343" s="228"/>
      <c r="E343" s="228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  <c r="AA343" s="237"/>
      <c r="AB343" s="237"/>
      <c r="AC343" s="237"/>
      <c r="AD343" s="237"/>
      <c r="AE343" s="237"/>
      <c r="AF343" s="237"/>
      <c r="AG343" s="237"/>
      <c r="AH343" s="237"/>
      <c r="AI343" s="237"/>
      <c r="AJ343" s="237"/>
      <c r="AK343" s="237"/>
      <c r="AL343" s="237"/>
      <c r="AM343" s="237"/>
      <c r="AN343" s="237"/>
      <c r="AO343" s="237"/>
      <c r="AP343" s="237"/>
      <c r="AQ343" s="237"/>
      <c r="AR343" s="237"/>
      <c r="AS343" s="237"/>
      <c r="AT343" s="237"/>
      <c r="AU343" s="237"/>
      <c r="AV343" s="237"/>
      <c r="AW343" s="237"/>
      <c r="AX343" s="237"/>
    </row>
    <row r="344" spans="3:50" x14ac:dyDescent="0.2">
      <c r="C344" s="228"/>
      <c r="D344" s="228"/>
      <c r="E344" s="228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  <c r="AA344" s="237"/>
      <c r="AB344" s="237"/>
      <c r="AC344" s="237"/>
      <c r="AD344" s="237"/>
      <c r="AE344" s="237"/>
      <c r="AF344" s="237"/>
      <c r="AG344" s="237"/>
      <c r="AH344" s="237"/>
      <c r="AI344" s="237"/>
      <c r="AJ344" s="237"/>
      <c r="AK344" s="237"/>
      <c r="AL344" s="237"/>
      <c r="AM344" s="237"/>
      <c r="AN344" s="237"/>
      <c r="AO344" s="237"/>
      <c r="AP344" s="237"/>
      <c r="AQ344" s="237"/>
      <c r="AR344" s="237"/>
      <c r="AS344" s="237"/>
      <c r="AT344" s="237"/>
      <c r="AU344" s="237"/>
      <c r="AV344" s="237"/>
      <c r="AW344" s="237"/>
      <c r="AX344" s="237"/>
    </row>
    <row r="345" spans="3:50" x14ac:dyDescent="0.2">
      <c r="C345" s="228"/>
      <c r="D345" s="228"/>
      <c r="E345" s="228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  <c r="AA345" s="237"/>
      <c r="AB345" s="237"/>
      <c r="AC345" s="237"/>
      <c r="AD345" s="237"/>
      <c r="AE345" s="237"/>
      <c r="AF345" s="237"/>
      <c r="AG345" s="237"/>
      <c r="AH345" s="237"/>
      <c r="AI345" s="237"/>
      <c r="AJ345" s="237"/>
      <c r="AK345" s="237"/>
      <c r="AL345" s="237"/>
      <c r="AM345" s="237"/>
      <c r="AN345" s="237"/>
      <c r="AO345" s="237"/>
      <c r="AP345" s="237"/>
      <c r="AQ345" s="237"/>
      <c r="AR345" s="237"/>
      <c r="AS345" s="237"/>
      <c r="AT345" s="237"/>
      <c r="AU345" s="237"/>
      <c r="AV345" s="237"/>
      <c r="AW345" s="237"/>
      <c r="AX345" s="237"/>
    </row>
    <row r="346" spans="3:50" x14ac:dyDescent="0.2">
      <c r="C346" s="228"/>
      <c r="D346" s="228"/>
      <c r="E346" s="228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  <c r="AA346" s="237"/>
      <c r="AB346" s="237"/>
      <c r="AC346" s="237"/>
      <c r="AD346" s="237"/>
      <c r="AE346" s="237"/>
      <c r="AF346" s="237"/>
      <c r="AG346" s="237"/>
      <c r="AH346" s="237"/>
      <c r="AI346" s="237"/>
      <c r="AJ346" s="237"/>
      <c r="AK346" s="237"/>
      <c r="AL346" s="237"/>
      <c r="AM346" s="237"/>
      <c r="AN346" s="237"/>
      <c r="AO346" s="237"/>
      <c r="AP346" s="237"/>
      <c r="AQ346" s="237"/>
      <c r="AR346" s="237"/>
      <c r="AS346" s="237"/>
      <c r="AT346" s="237"/>
      <c r="AU346" s="237"/>
      <c r="AV346" s="237"/>
      <c r="AW346" s="237"/>
      <c r="AX346" s="237"/>
    </row>
    <row r="347" spans="3:50" x14ac:dyDescent="0.2">
      <c r="C347" s="228"/>
      <c r="D347" s="228"/>
      <c r="E347" s="228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  <c r="AA347" s="237"/>
      <c r="AB347" s="237"/>
      <c r="AC347" s="237"/>
      <c r="AD347" s="237"/>
      <c r="AE347" s="237"/>
      <c r="AF347" s="237"/>
      <c r="AG347" s="237"/>
      <c r="AH347" s="237"/>
      <c r="AI347" s="237"/>
      <c r="AJ347" s="237"/>
      <c r="AK347" s="237"/>
      <c r="AL347" s="237"/>
      <c r="AM347" s="237"/>
      <c r="AN347" s="237"/>
      <c r="AO347" s="237"/>
      <c r="AP347" s="237"/>
      <c r="AQ347" s="237"/>
      <c r="AR347" s="237"/>
      <c r="AS347" s="237"/>
      <c r="AT347" s="237"/>
      <c r="AU347" s="237"/>
      <c r="AV347" s="237"/>
      <c r="AW347" s="237"/>
      <c r="AX347" s="237"/>
    </row>
    <row r="348" spans="3:50" x14ac:dyDescent="0.2">
      <c r="C348" s="228"/>
      <c r="D348" s="228"/>
      <c r="E348" s="228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  <c r="AA348" s="237"/>
      <c r="AB348" s="237"/>
      <c r="AC348" s="237"/>
      <c r="AD348" s="237"/>
      <c r="AE348" s="237"/>
      <c r="AF348" s="237"/>
      <c r="AG348" s="237"/>
      <c r="AH348" s="237"/>
      <c r="AI348" s="237"/>
      <c r="AJ348" s="237"/>
      <c r="AK348" s="237"/>
      <c r="AL348" s="237"/>
      <c r="AM348" s="237"/>
      <c r="AN348" s="237"/>
      <c r="AO348" s="237"/>
      <c r="AP348" s="237"/>
      <c r="AQ348" s="237"/>
      <c r="AR348" s="237"/>
      <c r="AS348" s="237"/>
      <c r="AT348" s="237"/>
      <c r="AU348" s="237"/>
      <c r="AV348" s="237"/>
      <c r="AW348" s="237"/>
      <c r="AX348" s="237"/>
    </row>
    <row r="349" spans="3:50" x14ac:dyDescent="0.2">
      <c r="C349" s="228"/>
      <c r="D349" s="228"/>
      <c r="E349" s="228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7"/>
      <c r="AB349" s="237"/>
      <c r="AC349" s="237"/>
      <c r="AD349" s="237"/>
      <c r="AE349" s="237"/>
      <c r="AF349" s="237"/>
      <c r="AG349" s="237"/>
      <c r="AH349" s="237"/>
      <c r="AI349" s="237"/>
      <c r="AJ349" s="237"/>
      <c r="AK349" s="237"/>
      <c r="AL349" s="237"/>
      <c r="AM349" s="237"/>
      <c r="AN349" s="237"/>
      <c r="AO349" s="237"/>
      <c r="AP349" s="237"/>
      <c r="AQ349" s="237"/>
      <c r="AR349" s="237"/>
      <c r="AS349" s="237"/>
      <c r="AT349" s="237"/>
      <c r="AU349" s="237"/>
      <c r="AV349" s="237"/>
      <c r="AW349" s="237"/>
      <c r="AX349" s="237"/>
    </row>
    <row r="350" spans="3:50" x14ac:dyDescent="0.2">
      <c r="C350" s="228"/>
      <c r="D350" s="228"/>
      <c r="E350" s="228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  <c r="AA350" s="237"/>
      <c r="AB350" s="237"/>
      <c r="AC350" s="237"/>
      <c r="AD350" s="237"/>
      <c r="AE350" s="237"/>
      <c r="AF350" s="237"/>
      <c r="AG350" s="237"/>
      <c r="AH350" s="237"/>
      <c r="AI350" s="237"/>
      <c r="AJ350" s="237"/>
      <c r="AK350" s="237"/>
      <c r="AL350" s="237"/>
      <c r="AM350" s="237"/>
      <c r="AN350" s="237"/>
      <c r="AO350" s="237"/>
      <c r="AP350" s="237"/>
      <c r="AQ350" s="237"/>
      <c r="AR350" s="237"/>
      <c r="AS350" s="237"/>
      <c r="AT350" s="237"/>
      <c r="AU350" s="237"/>
      <c r="AV350" s="237"/>
      <c r="AW350" s="237"/>
      <c r="AX350" s="237"/>
    </row>
    <row r="351" spans="3:50" x14ac:dyDescent="0.2">
      <c r="C351" s="228"/>
      <c r="D351" s="228"/>
      <c r="E351" s="228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  <c r="AA351" s="237"/>
      <c r="AB351" s="237"/>
      <c r="AC351" s="237"/>
      <c r="AD351" s="237"/>
      <c r="AE351" s="237"/>
      <c r="AF351" s="237"/>
      <c r="AG351" s="237"/>
      <c r="AH351" s="237"/>
      <c r="AI351" s="237"/>
      <c r="AJ351" s="237"/>
      <c r="AK351" s="237"/>
      <c r="AL351" s="237"/>
      <c r="AM351" s="237"/>
      <c r="AN351" s="237"/>
      <c r="AO351" s="237"/>
      <c r="AP351" s="237"/>
      <c r="AQ351" s="237"/>
      <c r="AR351" s="237"/>
      <c r="AS351" s="237"/>
      <c r="AT351" s="237"/>
      <c r="AU351" s="237"/>
      <c r="AV351" s="237"/>
      <c r="AW351" s="237"/>
      <c r="AX351" s="237"/>
    </row>
    <row r="352" spans="3:50" x14ac:dyDescent="0.2">
      <c r="C352" s="228"/>
      <c r="D352" s="228"/>
      <c r="E352" s="228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  <c r="AA352" s="237"/>
      <c r="AB352" s="237"/>
      <c r="AC352" s="237"/>
      <c r="AD352" s="237"/>
      <c r="AE352" s="237"/>
      <c r="AF352" s="237"/>
      <c r="AG352" s="237"/>
      <c r="AH352" s="237"/>
      <c r="AI352" s="237"/>
      <c r="AJ352" s="237"/>
      <c r="AK352" s="237"/>
      <c r="AL352" s="237"/>
      <c r="AM352" s="237"/>
      <c r="AN352" s="237"/>
      <c r="AO352" s="237"/>
      <c r="AP352" s="237"/>
      <c r="AQ352" s="237"/>
      <c r="AR352" s="237"/>
      <c r="AS352" s="237"/>
      <c r="AT352" s="237"/>
      <c r="AU352" s="237"/>
      <c r="AV352" s="237"/>
      <c r="AW352" s="237"/>
      <c r="AX352" s="237"/>
    </row>
    <row r="353" spans="3:50" x14ac:dyDescent="0.2">
      <c r="C353" s="228"/>
      <c r="D353" s="228"/>
      <c r="E353" s="228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  <c r="AA353" s="237"/>
      <c r="AB353" s="237"/>
      <c r="AC353" s="237"/>
      <c r="AD353" s="237"/>
      <c r="AE353" s="237"/>
      <c r="AF353" s="237"/>
      <c r="AG353" s="237"/>
      <c r="AH353" s="237"/>
      <c r="AI353" s="237"/>
      <c r="AJ353" s="237"/>
      <c r="AK353" s="237"/>
      <c r="AL353" s="237"/>
      <c r="AM353" s="237"/>
      <c r="AN353" s="237"/>
      <c r="AO353" s="237"/>
      <c r="AP353" s="237"/>
      <c r="AQ353" s="237"/>
      <c r="AR353" s="237"/>
      <c r="AS353" s="237"/>
      <c r="AT353" s="237"/>
      <c r="AU353" s="237"/>
      <c r="AV353" s="237"/>
      <c r="AW353" s="237"/>
      <c r="AX353" s="237"/>
    </row>
    <row r="354" spans="3:50" x14ac:dyDescent="0.2">
      <c r="C354" s="228"/>
      <c r="D354" s="228"/>
      <c r="E354" s="228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  <c r="AA354" s="237"/>
      <c r="AB354" s="237"/>
      <c r="AC354" s="237"/>
      <c r="AD354" s="237"/>
      <c r="AE354" s="237"/>
      <c r="AF354" s="237"/>
      <c r="AG354" s="237"/>
      <c r="AH354" s="237"/>
      <c r="AI354" s="237"/>
      <c r="AJ354" s="237"/>
      <c r="AK354" s="237"/>
      <c r="AL354" s="237"/>
      <c r="AM354" s="237"/>
      <c r="AN354" s="237"/>
      <c r="AO354" s="237"/>
      <c r="AP354" s="237"/>
      <c r="AQ354" s="237"/>
      <c r="AR354" s="237"/>
      <c r="AS354" s="237"/>
      <c r="AT354" s="237"/>
      <c r="AU354" s="237"/>
      <c r="AV354" s="237"/>
      <c r="AW354" s="237"/>
      <c r="AX354" s="237"/>
    </row>
    <row r="355" spans="3:50" x14ac:dyDescent="0.2">
      <c r="C355" s="228"/>
      <c r="D355" s="228"/>
      <c r="E355" s="228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  <c r="AA355" s="237"/>
      <c r="AB355" s="237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7"/>
      <c r="AM355" s="237"/>
      <c r="AN355" s="237"/>
      <c r="AO355" s="237"/>
      <c r="AP355" s="237"/>
      <c r="AQ355" s="237"/>
      <c r="AR355" s="237"/>
      <c r="AS355" s="237"/>
      <c r="AT355" s="237"/>
      <c r="AU355" s="237"/>
      <c r="AV355" s="237"/>
      <c r="AW355" s="237"/>
      <c r="AX355" s="237"/>
    </row>
    <row r="356" spans="3:50" x14ac:dyDescent="0.2">
      <c r="C356" s="228"/>
      <c r="D356" s="228"/>
      <c r="E356" s="228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  <c r="AA356" s="237"/>
      <c r="AB356" s="237"/>
      <c r="AC356" s="237"/>
      <c r="AD356" s="237"/>
      <c r="AE356" s="237"/>
      <c r="AF356" s="237"/>
      <c r="AG356" s="237"/>
      <c r="AH356" s="237"/>
      <c r="AI356" s="237"/>
      <c r="AJ356" s="237"/>
      <c r="AK356" s="237"/>
      <c r="AL356" s="237"/>
      <c r="AM356" s="237"/>
      <c r="AN356" s="237"/>
      <c r="AO356" s="237"/>
      <c r="AP356" s="237"/>
      <c r="AQ356" s="237"/>
      <c r="AR356" s="237"/>
      <c r="AS356" s="237"/>
      <c r="AT356" s="237"/>
      <c r="AU356" s="237"/>
      <c r="AV356" s="237"/>
      <c r="AW356" s="237"/>
      <c r="AX356" s="237"/>
    </row>
    <row r="357" spans="3:50" x14ac:dyDescent="0.2">
      <c r="C357" s="228"/>
      <c r="D357" s="228"/>
      <c r="E357" s="228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  <c r="AA357" s="237"/>
      <c r="AB357" s="237"/>
      <c r="AC357" s="237"/>
      <c r="AD357" s="237"/>
      <c r="AE357" s="237"/>
      <c r="AF357" s="237"/>
      <c r="AG357" s="237"/>
      <c r="AH357" s="237"/>
      <c r="AI357" s="237"/>
      <c r="AJ357" s="237"/>
      <c r="AK357" s="237"/>
      <c r="AL357" s="237"/>
      <c r="AM357" s="237"/>
      <c r="AN357" s="237"/>
      <c r="AO357" s="237"/>
      <c r="AP357" s="237"/>
      <c r="AQ357" s="237"/>
      <c r="AR357" s="237"/>
      <c r="AS357" s="237"/>
      <c r="AT357" s="237"/>
      <c r="AU357" s="237"/>
      <c r="AV357" s="237"/>
      <c r="AW357" s="237"/>
      <c r="AX357" s="237"/>
    </row>
    <row r="358" spans="3:50" x14ac:dyDescent="0.2">
      <c r="C358" s="228"/>
      <c r="D358" s="228"/>
      <c r="E358" s="228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  <c r="AA358" s="237"/>
      <c r="AB358" s="237"/>
      <c r="AC358" s="237"/>
      <c r="AD358" s="237"/>
      <c r="AE358" s="237"/>
      <c r="AF358" s="237"/>
      <c r="AG358" s="237"/>
      <c r="AH358" s="237"/>
      <c r="AI358" s="237"/>
      <c r="AJ358" s="237"/>
      <c r="AK358" s="237"/>
      <c r="AL358" s="237"/>
      <c r="AM358" s="237"/>
      <c r="AN358" s="237"/>
      <c r="AO358" s="237"/>
      <c r="AP358" s="237"/>
      <c r="AQ358" s="237"/>
      <c r="AR358" s="237"/>
      <c r="AS358" s="237"/>
      <c r="AT358" s="237"/>
      <c r="AU358" s="237"/>
      <c r="AV358" s="237"/>
      <c r="AW358" s="237"/>
      <c r="AX358" s="237"/>
    </row>
    <row r="359" spans="3:50" x14ac:dyDescent="0.2">
      <c r="C359" s="228"/>
      <c r="D359" s="228"/>
      <c r="E359" s="228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  <c r="AA359" s="237"/>
      <c r="AB359" s="237"/>
      <c r="AC359" s="237"/>
      <c r="AD359" s="237"/>
      <c r="AE359" s="237"/>
      <c r="AF359" s="237"/>
      <c r="AG359" s="237"/>
      <c r="AH359" s="237"/>
      <c r="AI359" s="237"/>
      <c r="AJ359" s="237"/>
      <c r="AK359" s="237"/>
      <c r="AL359" s="237"/>
      <c r="AM359" s="237"/>
      <c r="AN359" s="237"/>
      <c r="AO359" s="237"/>
      <c r="AP359" s="237"/>
      <c r="AQ359" s="237"/>
      <c r="AR359" s="237"/>
      <c r="AS359" s="237"/>
      <c r="AT359" s="237"/>
      <c r="AU359" s="237"/>
      <c r="AV359" s="237"/>
      <c r="AW359" s="237"/>
      <c r="AX359" s="237"/>
    </row>
    <row r="360" spans="3:50" x14ac:dyDescent="0.2">
      <c r="C360" s="228"/>
      <c r="D360" s="228"/>
      <c r="E360" s="228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  <c r="AA360" s="237"/>
      <c r="AB360" s="237"/>
      <c r="AC360" s="237"/>
      <c r="AD360" s="237"/>
      <c r="AE360" s="237"/>
      <c r="AF360" s="237"/>
      <c r="AG360" s="237"/>
      <c r="AH360" s="237"/>
      <c r="AI360" s="237"/>
      <c r="AJ360" s="237"/>
      <c r="AK360" s="237"/>
      <c r="AL360" s="237"/>
      <c r="AM360" s="237"/>
      <c r="AN360" s="237"/>
      <c r="AO360" s="237"/>
      <c r="AP360" s="237"/>
      <c r="AQ360" s="237"/>
      <c r="AR360" s="237"/>
      <c r="AS360" s="237"/>
      <c r="AT360" s="237"/>
      <c r="AU360" s="237"/>
      <c r="AV360" s="237"/>
      <c r="AW360" s="237"/>
      <c r="AX360" s="237"/>
    </row>
    <row r="361" spans="3:50" x14ac:dyDescent="0.2">
      <c r="C361" s="228"/>
      <c r="D361" s="228"/>
      <c r="E361" s="228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  <c r="AA361" s="237"/>
      <c r="AB361" s="237"/>
      <c r="AC361" s="237"/>
      <c r="AD361" s="237"/>
      <c r="AE361" s="237"/>
      <c r="AF361" s="237"/>
      <c r="AG361" s="237"/>
      <c r="AH361" s="237"/>
      <c r="AI361" s="237"/>
      <c r="AJ361" s="237"/>
      <c r="AK361" s="237"/>
      <c r="AL361" s="237"/>
      <c r="AM361" s="237"/>
      <c r="AN361" s="237"/>
      <c r="AO361" s="237"/>
      <c r="AP361" s="237"/>
      <c r="AQ361" s="237"/>
      <c r="AR361" s="237"/>
      <c r="AS361" s="237"/>
      <c r="AT361" s="237"/>
      <c r="AU361" s="237"/>
      <c r="AV361" s="237"/>
      <c r="AW361" s="237"/>
      <c r="AX361" s="237"/>
    </row>
    <row r="362" spans="3:50" x14ac:dyDescent="0.2">
      <c r="C362" s="228"/>
      <c r="D362" s="228"/>
      <c r="E362" s="228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  <c r="AA362" s="237"/>
      <c r="AB362" s="237"/>
      <c r="AC362" s="237"/>
      <c r="AD362" s="237"/>
      <c r="AE362" s="237"/>
      <c r="AF362" s="237"/>
      <c r="AG362" s="237"/>
      <c r="AH362" s="237"/>
      <c r="AI362" s="237"/>
      <c r="AJ362" s="237"/>
      <c r="AK362" s="237"/>
      <c r="AL362" s="237"/>
      <c r="AM362" s="237"/>
      <c r="AN362" s="237"/>
      <c r="AO362" s="237"/>
      <c r="AP362" s="237"/>
      <c r="AQ362" s="237"/>
      <c r="AR362" s="237"/>
      <c r="AS362" s="237"/>
      <c r="AT362" s="237"/>
      <c r="AU362" s="237"/>
      <c r="AV362" s="237"/>
      <c r="AW362" s="237"/>
      <c r="AX362" s="237"/>
    </row>
    <row r="363" spans="3:50" x14ac:dyDescent="0.2">
      <c r="C363" s="228"/>
      <c r="D363" s="228"/>
      <c r="E363" s="228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  <c r="AA363" s="237"/>
      <c r="AB363" s="237"/>
      <c r="AC363" s="237"/>
      <c r="AD363" s="237"/>
      <c r="AE363" s="237"/>
      <c r="AF363" s="237"/>
      <c r="AG363" s="237"/>
      <c r="AH363" s="237"/>
      <c r="AI363" s="237"/>
      <c r="AJ363" s="237"/>
      <c r="AK363" s="237"/>
      <c r="AL363" s="237"/>
      <c r="AM363" s="237"/>
      <c r="AN363" s="237"/>
      <c r="AO363" s="237"/>
      <c r="AP363" s="237"/>
      <c r="AQ363" s="237"/>
      <c r="AR363" s="237"/>
      <c r="AS363" s="237"/>
      <c r="AT363" s="237"/>
      <c r="AU363" s="237"/>
      <c r="AV363" s="237"/>
      <c r="AW363" s="237"/>
      <c r="AX363" s="237"/>
    </row>
    <row r="364" spans="3:50" x14ac:dyDescent="0.2">
      <c r="C364" s="228"/>
      <c r="D364" s="228"/>
      <c r="E364" s="228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  <c r="AA364" s="237"/>
      <c r="AB364" s="237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7"/>
      <c r="AM364" s="237"/>
      <c r="AN364" s="237"/>
      <c r="AO364" s="237"/>
      <c r="AP364" s="237"/>
      <c r="AQ364" s="237"/>
      <c r="AR364" s="237"/>
      <c r="AS364" s="237"/>
      <c r="AT364" s="237"/>
      <c r="AU364" s="237"/>
      <c r="AV364" s="237"/>
      <c r="AW364" s="237"/>
      <c r="AX364" s="237"/>
    </row>
    <row r="365" spans="3:50" x14ac:dyDescent="0.2">
      <c r="C365" s="228"/>
      <c r="D365" s="228"/>
      <c r="E365" s="228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  <c r="AA365" s="237"/>
      <c r="AB365" s="237"/>
      <c r="AC365" s="237"/>
      <c r="AD365" s="237"/>
      <c r="AE365" s="237"/>
      <c r="AF365" s="237"/>
      <c r="AG365" s="237"/>
      <c r="AH365" s="237"/>
      <c r="AI365" s="237"/>
      <c r="AJ365" s="237"/>
      <c r="AK365" s="237"/>
      <c r="AL365" s="237"/>
      <c r="AM365" s="237"/>
      <c r="AN365" s="237"/>
      <c r="AO365" s="237"/>
      <c r="AP365" s="237"/>
      <c r="AQ365" s="237"/>
      <c r="AR365" s="237"/>
      <c r="AS365" s="237"/>
      <c r="AT365" s="237"/>
      <c r="AU365" s="237"/>
      <c r="AV365" s="237"/>
      <c r="AW365" s="237"/>
      <c r="AX365" s="237"/>
    </row>
    <row r="366" spans="3:50" x14ac:dyDescent="0.2">
      <c r="C366" s="228"/>
      <c r="D366" s="228"/>
      <c r="E366" s="228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  <c r="AA366" s="237"/>
      <c r="AB366" s="237"/>
      <c r="AC366" s="237"/>
      <c r="AD366" s="237"/>
      <c r="AE366" s="237"/>
      <c r="AF366" s="237"/>
      <c r="AG366" s="237"/>
      <c r="AH366" s="237"/>
      <c r="AI366" s="237"/>
      <c r="AJ366" s="237"/>
      <c r="AK366" s="237"/>
      <c r="AL366" s="237"/>
      <c r="AM366" s="237"/>
      <c r="AN366" s="237"/>
      <c r="AO366" s="237"/>
      <c r="AP366" s="237"/>
      <c r="AQ366" s="237"/>
      <c r="AR366" s="237"/>
      <c r="AS366" s="237"/>
      <c r="AT366" s="237"/>
      <c r="AU366" s="237"/>
      <c r="AV366" s="237"/>
      <c r="AW366" s="237"/>
      <c r="AX366" s="237"/>
    </row>
    <row r="367" spans="3:50" x14ac:dyDescent="0.2">
      <c r="C367" s="228"/>
      <c r="D367" s="228"/>
      <c r="E367" s="228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  <c r="AA367" s="237"/>
      <c r="AB367" s="237"/>
      <c r="AC367" s="237"/>
      <c r="AD367" s="237"/>
      <c r="AE367" s="237"/>
      <c r="AF367" s="237"/>
      <c r="AG367" s="237"/>
      <c r="AH367" s="237"/>
      <c r="AI367" s="237"/>
      <c r="AJ367" s="237"/>
      <c r="AK367" s="237"/>
      <c r="AL367" s="237"/>
      <c r="AM367" s="237"/>
      <c r="AN367" s="237"/>
      <c r="AO367" s="237"/>
      <c r="AP367" s="237"/>
      <c r="AQ367" s="237"/>
      <c r="AR367" s="237"/>
      <c r="AS367" s="237"/>
      <c r="AT367" s="237"/>
      <c r="AU367" s="237"/>
      <c r="AV367" s="237"/>
      <c r="AW367" s="237"/>
      <c r="AX367" s="237"/>
    </row>
    <row r="368" spans="3:50" x14ac:dyDescent="0.2">
      <c r="C368" s="228"/>
      <c r="D368" s="228"/>
      <c r="E368" s="228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  <c r="AA368" s="237"/>
      <c r="AB368" s="237"/>
      <c r="AC368" s="237"/>
      <c r="AD368" s="237"/>
      <c r="AE368" s="237"/>
      <c r="AF368" s="237"/>
      <c r="AG368" s="237"/>
      <c r="AH368" s="237"/>
      <c r="AI368" s="237"/>
      <c r="AJ368" s="237"/>
      <c r="AK368" s="237"/>
      <c r="AL368" s="237"/>
      <c r="AM368" s="237"/>
      <c r="AN368" s="237"/>
      <c r="AO368" s="237"/>
      <c r="AP368" s="237"/>
      <c r="AQ368" s="237"/>
      <c r="AR368" s="237"/>
      <c r="AS368" s="237"/>
      <c r="AT368" s="237"/>
      <c r="AU368" s="237"/>
      <c r="AV368" s="237"/>
      <c r="AW368" s="237"/>
      <c r="AX368" s="237"/>
    </row>
    <row r="369" spans="3:50" x14ac:dyDescent="0.2">
      <c r="C369" s="228"/>
      <c r="D369" s="228"/>
      <c r="E369" s="228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  <c r="AA369" s="237"/>
      <c r="AB369" s="237"/>
      <c r="AC369" s="237"/>
      <c r="AD369" s="237"/>
      <c r="AE369" s="237"/>
      <c r="AF369" s="237"/>
      <c r="AG369" s="237"/>
      <c r="AH369" s="237"/>
      <c r="AI369" s="237"/>
      <c r="AJ369" s="237"/>
      <c r="AK369" s="237"/>
      <c r="AL369" s="237"/>
      <c r="AM369" s="237"/>
      <c r="AN369" s="237"/>
      <c r="AO369" s="237"/>
      <c r="AP369" s="237"/>
      <c r="AQ369" s="237"/>
      <c r="AR369" s="237"/>
      <c r="AS369" s="237"/>
      <c r="AT369" s="237"/>
      <c r="AU369" s="237"/>
      <c r="AV369" s="237"/>
      <c r="AW369" s="237"/>
      <c r="AX369" s="237"/>
    </row>
    <row r="370" spans="3:50" x14ac:dyDescent="0.2">
      <c r="C370" s="228"/>
      <c r="D370" s="228"/>
      <c r="E370" s="228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  <c r="AA370" s="237"/>
      <c r="AB370" s="237"/>
      <c r="AC370" s="237"/>
      <c r="AD370" s="237"/>
      <c r="AE370" s="237"/>
      <c r="AF370" s="237"/>
      <c r="AG370" s="237"/>
      <c r="AH370" s="237"/>
      <c r="AI370" s="237"/>
      <c r="AJ370" s="237"/>
      <c r="AK370" s="237"/>
      <c r="AL370" s="237"/>
      <c r="AM370" s="237"/>
      <c r="AN370" s="237"/>
      <c r="AO370" s="237"/>
      <c r="AP370" s="237"/>
      <c r="AQ370" s="237"/>
      <c r="AR370" s="237"/>
      <c r="AS370" s="237"/>
      <c r="AT370" s="237"/>
      <c r="AU370" s="237"/>
      <c r="AV370" s="237"/>
      <c r="AW370" s="237"/>
      <c r="AX370" s="237"/>
    </row>
    <row r="371" spans="3:50" x14ac:dyDescent="0.2">
      <c r="C371" s="228"/>
      <c r="D371" s="228"/>
      <c r="E371" s="228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  <c r="AA371" s="237"/>
      <c r="AB371" s="237"/>
      <c r="AC371" s="237"/>
      <c r="AD371" s="237"/>
      <c r="AE371" s="237"/>
      <c r="AF371" s="237"/>
      <c r="AG371" s="237"/>
      <c r="AH371" s="237"/>
      <c r="AI371" s="237"/>
      <c r="AJ371" s="237"/>
      <c r="AK371" s="237"/>
      <c r="AL371" s="237"/>
      <c r="AM371" s="237"/>
      <c r="AN371" s="237"/>
      <c r="AO371" s="237"/>
      <c r="AP371" s="237"/>
      <c r="AQ371" s="237"/>
      <c r="AR371" s="237"/>
      <c r="AS371" s="237"/>
      <c r="AT371" s="237"/>
      <c r="AU371" s="237"/>
      <c r="AV371" s="237"/>
      <c r="AW371" s="237"/>
      <c r="AX371" s="237"/>
    </row>
    <row r="372" spans="3:50" x14ac:dyDescent="0.2">
      <c r="C372" s="228"/>
      <c r="D372" s="228"/>
      <c r="E372" s="228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  <c r="AA372" s="237"/>
      <c r="AB372" s="237"/>
      <c r="AC372" s="237"/>
      <c r="AD372" s="237"/>
      <c r="AE372" s="237"/>
      <c r="AF372" s="237"/>
      <c r="AG372" s="237"/>
      <c r="AH372" s="237"/>
      <c r="AI372" s="237"/>
      <c r="AJ372" s="237"/>
      <c r="AK372" s="237"/>
      <c r="AL372" s="237"/>
      <c r="AM372" s="237"/>
      <c r="AN372" s="237"/>
      <c r="AO372" s="237"/>
      <c r="AP372" s="237"/>
      <c r="AQ372" s="237"/>
      <c r="AR372" s="237"/>
      <c r="AS372" s="237"/>
      <c r="AT372" s="237"/>
      <c r="AU372" s="237"/>
      <c r="AV372" s="237"/>
      <c r="AW372" s="237"/>
      <c r="AX372" s="237"/>
    </row>
    <row r="373" spans="3:50" x14ac:dyDescent="0.2">
      <c r="C373" s="228"/>
      <c r="D373" s="228"/>
      <c r="E373" s="228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  <c r="AA373" s="237"/>
      <c r="AB373" s="237"/>
      <c r="AC373" s="237"/>
      <c r="AD373" s="237"/>
      <c r="AE373" s="237"/>
      <c r="AF373" s="237"/>
      <c r="AG373" s="237"/>
      <c r="AH373" s="237"/>
      <c r="AI373" s="237"/>
      <c r="AJ373" s="237"/>
      <c r="AK373" s="237"/>
      <c r="AL373" s="237"/>
      <c r="AM373" s="237"/>
      <c r="AN373" s="237"/>
      <c r="AO373" s="237"/>
      <c r="AP373" s="237"/>
      <c r="AQ373" s="237"/>
      <c r="AR373" s="237"/>
      <c r="AS373" s="237"/>
      <c r="AT373" s="237"/>
      <c r="AU373" s="237"/>
      <c r="AV373" s="237"/>
      <c r="AW373" s="237"/>
      <c r="AX373" s="237"/>
    </row>
    <row r="374" spans="3:50" x14ac:dyDescent="0.2">
      <c r="C374" s="228"/>
      <c r="D374" s="228"/>
      <c r="E374" s="228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  <c r="AA374" s="237"/>
      <c r="AB374" s="237"/>
      <c r="AC374" s="237"/>
      <c r="AD374" s="237"/>
      <c r="AE374" s="237"/>
      <c r="AF374" s="237"/>
      <c r="AG374" s="237"/>
      <c r="AH374" s="237"/>
      <c r="AI374" s="237"/>
      <c r="AJ374" s="237"/>
      <c r="AK374" s="237"/>
      <c r="AL374" s="237"/>
      <c r="AM374" s="237"/>
      <c r="AN374" s="237"/>
      <c r="AO374" s="237"/>
      <c r="AP374" s="237"/>
      <c r="AQ374" s="237"/>
      <c r="AR374" s="237"/>
      <c r="AS374" s="237"/>
      <c r="AT374" s="237"/>
      <c r="AU374" s="237"/>
      <c r="AV374" s="237"/>
      <c r="AW374" s="237"/>
      <c r="AX374" s="237"/>
    </row>
    <row r="375" spans="3:50" x14ac:dyDescent="0.2">
      <c r="C375" s="228"/>
      <c r="D375" s="228"/>
      <c r="E375" s="228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7"/>
      <c r="AM375" s="237"/>
      <c r="AN375" s="237"/>
      <c r="AO375" s="237"/>
      <c r="AP375" s="237"/>
      <c r="AQ375" s="237"/>
      <c r="AR375" s="237"/>
      <c r="AS375" s="237"/>
      <c r="AT375" s="237"/>
      <c r="AU375" s="237"/>
      <c r="AV375" s="237"/>
      <c r="AW375" s="237"/>
      <c r="AX375" s="237"/>
    </row>
    <row r="376" spans="3:50" x14ac:dyDescent="0.2">
      <c r="C376" s="228"/>
      <c r="D376" s="228"/>
      <c r="E376" s="228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  <c r="AA376" s="237"/>
      <c r="AB376" s="237"/>
      <c r="AC376" s="237"/>
      <c r="AD376" s="237"/>
      <c r="AE376" s="237"/>
      <c r="AF376" s="237"/>
      <c r="AG376" s="237"/>
      <c r="AH376" s="237"/>
      <c r="AI376" s="237"/>
      <c r="AJ376" s="237"/>
      <c r="AK376" s="237"/>
      <c r="AL376" s="237"/>
      <c r="AM376" s="237"/>
      <c r="AN376" s="237"/>
      <c r="AO376" s="237"/>
      <c r="AP376" s="237"/>
      <c r="AQ376" s="237"/>
      <c r="AR376" s="237"/>
      <c r="AS376" s="237"/>
      <c r="AT376" s="237"/>
      <c r="AU376" s="237"/>
      <c r="AV376" s="237"/>
      <c r="AW376" s="237"/>
      <c r="AX376" s="237"/>
    </row>
    <row r="377" spans="3:50" x14ac:dyDescent="0.2">
      <c r="C377" s="228"/>
      <c r="D377" s="228"/>
      <c r="E377" s="228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  <c r="AA377" s="237"/>
      <c r="AB377" s="237"/>
      <c r="AC377" s="237"/>
      <c r="AD377" s="237"/>
      <c r="AE377" s="237"/>
      <c r="AF377" s="237"/>
      <c r="AG377" s="237"/>
      <c r="AH377" s="237"/>
      <c r="AI377" s="237"/>
      <c r="AJ377" s="237"/>
      <c r="AK377" s="237"/>
      <c r="AL377" s="237"/>
      <c r="AM377" s="237"/>
      <c r="AN377" s="237"/>
      <c r="AO377" s="237"/>
      <c r="AP377" s="237"/>
      <c r="AQ377" s="237"/>
      <c r="AR377" s="237"/>
      <c r="AS377" s="237"/>
      <c r="AT377" s="237"/>
      <c r="AU377" s="237"/>
      <c r="AV377" s="237"/>
      <c r="AW377" s="237"/>
      <c r="AX377" s="237"/>
    </row>
    <row r="378" spans="3:50" x14ac:dyDescent="0.2">
      <c r="C378" s="228"/>
      <c r="D378" s="228"/>
      <c r="E378" s="228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  <c r="AA378" s="237"/>
      <c r="AB378" s="237"/>
      <c r="AC378" s="237"/>
      <c r="AD378" s="237"/>
      <c r="AE378" s="237"/>
      <c r="AF378" s="237"/>
      <c r="AG378" s="237"/>
      <c r="AH378" s="237"/>
      <c r="AI378" s="237"/>
      <c r="AJ378" s="237"/>
      <c r="AK378" s="237"/>
      <c r="AL378" s="237"/>
      <c r="AM378" s="237"/>
      <c r="AN378" s="237"/>
      <c r="AO378" s="237"/>
      <c r="AP378" s="237"/>
      <c r="AQ378" s="237"/>
      <c r="AR378" s="237"/>
      <c r="AS378" s="237"/>
      <c r="AT378" s="237"/>
      <c r="AU378" s="237"/>
      <c r="AV378" s="237"/>
      <c r="AW378" s="237"/>
      <c r="AX378" s="237"/>
    </row>
    <row r="379" spans="3:50" x14ac:dyDescent="0.2">
      <c r="C379" s="228"/>
      <c r="D379" s="228"/>
      <c r="E379" s="228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  <c r="AA379" s="237"/>
      <c r="AB379" s="237"/>
      <c r="AC379" s="237"/>
      <c r="AD379" s="237"/>
      <c r="AE379" s="237"/>
      <c r="AF379" s="237"/>
      <c r="AG379" s="237"/>
      <c r="AH379" s="237"/>
      <c r="AI379" s="237"/>
      <c r="AJ379" s="237"/>
      <c r="AK379" s="237"/>
      <c r="AL379" s="237"/>
      <c r="AM379" s="237"/>
      <c r="AN379" s="237"/>
      <c r="AO379" s="237"/>
      <c r="AP379" s="237"/>
      <c r="AQ379" s="237"/>
      <c r="AR379" s="237"/>
      <c r="AS379" s="237"/>
      <c r="AT379" s="237"/>
      <c r="AU379" s="237"/>
      <c r="AV379" s="237"/>
      <c r="AW379" s="237"/>
      <c r="AX379" s="237"/>
    </row>
    <row r="380" spans="3:50" x14ac:dyDescent="0.2">
      <c r="C380" s="228"/>
      <c r="D380" s="228"/>
      <c r="E380" s="228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  <c r="AA380" s="237"/>
      <c r="AB380" s="237"/>
      <c r="AC380" s="237"/>
      <c r="AD380" s="237"/>
      <c r="AE380" s="237"/>
      <c r="AF380" s="237"/>
      <c r="AG380" s="237"/>
      <c r="AH380" s="237"/>
      <c r="AI380" s="237"/>
      <c r="AJ380" s="237"/>
      <c r="AK380" s="237"/>
      <c r="AL380" s="237"/>
      <c r="AM380" s="237"/>
      <c r="AN380" s="237"/>
      <c r="AO380" s="237"/>
      <c r="AP380" s="237"/>
      <c r="AQ380" s="237"/>
      <c r="AR380" s="237"/>
      <c r="AS380" s="237"/>
      <c r="AT380" s="237"/>
      <c r="AU380" s="237"/>
      <c r="AV380" s="237"/>
      <c r="AW380" s="237"/>
      <c r="AX380" s="237"/>
    </row>
    <row r="381" spans="3:50" x14ac:dyDescent="0.2">
      <c r="C381" s="228"/>
      <c r="D381" s="228"/>
      <c r="E381" s="228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  <c r="AA381" s="237"/>
      <c r="AB381" s="237"/>
      <c r="AC381" s="237"/>
      <c r="AD381" s="237"/>
      <c r="AE381" s="237"/>
      <c r="AF381" s="237"/>
      <c r="AG381" s="237"/>
      <c r="AH381" s="237"/>
      <c r="AI381" s="237"/>
      <c r="AJ381" s="237"/>
      <c r="AK381" s="237"/>
      <c r="AL381" s="237"/>
      <c r="AM381" s="237"/>
      <c r="AN381" s="237"/>
      <c r="AO381" s="237"/>
      <c r="AP381" s="237"/>
      <c r="AQ381" s="237"/>
      <c r="AR381" s="237"/>
      <c r="AS381" s="237"/>
      <c r="AT381" s="237"/>
      <c r="AU381" s="237"/>
      <c r="AV381" s="237"/>
      <c r="AW381" s="237"/>
      <c r="AX381" s="237"/>
    </row>
    <row r="382" spans="3:50" x14ac:dyDescent="0.2">
      <c r="C382" s="228"/>
      <c r="D382" s="228"/>
      <c r="E382" s="228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  <c r="AA382" s="237"/>
      <c r="AB382" s="237"/>
      <c r="AC382" s="237"/>
      <c r="AD382" s="237"/>
      <c r="AE382" s="237"/>
      <c r="AF382" s="237"/>
      <c r="AG382" s="237"/>
      <c r="AH382" s="237"/>
      <c r="AI382" s="237"/>
      <c r="AJ382" s="237"/>
      <c r="AK382" s="237"/>
      <c r="AL382" s="237"/>
      <c r="AM382" s="237"/>
      <c r="AN382" s="237"/>
      <c r="AO382" s="237"/>
      <c r="AP382" s="237"/>
      <c r="AQ382" s="237"/>
      <c r="AR382" s="237"/>
      <c r="AS382" s="237"/>
      <c r="AT382" s="237"/>
      <c r="AU382" s="237"/>
      <c r="AV382" s="237"/>
      <c r="AW382" s="237"/>
      <c r="AX382" s="237"/>
    </row>
    <row r="383" spans="3:50" x14ac:dyDescent="0.2">
      <c r="C383" s="228"/>
      <c r="D383" s="228"/>
      <c r="E383" s="228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  <c r="AA383" s="237"/>
      <c r="AB383" s="237"/>
      <c r="AC383" s="237"/>
      <c r="AD383" s="237"/>
      <c r="AE383" s="237"/>
      <c r="AF383" s="237"/>
      <c r="AG383" s="237"/>
      <c r="AH383" s="237"/>
      <c r="AI383" s="237"/>
      <c r="AJ383" s="237"/>
      <c r="AK383" s="237"/>
      <c r="AL383" s="237"/>
      <c r="AM383" s="237"/>
      <c r="AN383" s="237"/>
      <c r="AO383" s="237"/>
      <c r="AP383" s="237"/>
      <c r="AQ383" s="237"/>
      <c r="AR383" s="237"/>
      <c r="AS383" s="237"/>
      <c r="AT383" s="237"/>
      <c r="AU383" s="237"/>
      <c r="AV383" s="237"/>
      <c r="AW383" s="237"/>
      <c r="AX383" s="237"/>
    </row>
    <row r="384" spans="3:50" x14ac:dyDescent="0.2">
      <c r="C384" s="228"/>
      <c r="D384" s="228"/>
      <c r="E384" s="228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  <c r="AA384" s="237"/>
      <c r="AB384" s="237"/>
      <c r="AC384" s="237"/>
      <c r="AD384" s="237"/>
      <c r="AE384" s="237"/>
      <c r="AF384" s="237"/>
      <c r="AG384" s="237"/>
      <c r="AH384" s="237"/>
      <c r="AI384" s="237"/>
      <c r="AJ384" s="237"/>
      <c r="AK384" s="237"/>
      <c r="AL384" s="237"/>
      <c r="AM384" s="237"/>
      <c r="AN384" s="237"/>
      <c r="AO384" s="237"/>
      <c r="AP384" s="237"/>
      <c r="AQ384" s="237"/>
      <c r="AR384" s="237"/>
      <c r="AS384" s="237"/>
      <c r="AT384" s="237"/>
      <c r="AU384" s="237"/>
      <c r="AV384" s="237"/>
      <c r="AW384" s="237"/>
      <c r="AX384" s="237"/>
    </row>
    <row r="385" spans="3:50" x14ac:dyDescent="0.2">
      <c r="C385" s="228"/>
      <c r="D385" s="228"/>
      <c r="E385" s="228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  <c r="AA385" s="237"/>
      <c r="AB385" s="237"/>
      <c r="AC385" s="237"/>
      <c r="AD385" s="237"/>
      <c r="AE385" s="237"/>
      <c r="AF385" s="237"/>
      <c r="AG385" s="237"/>
      <c r="AH385" s="237"/>
      <c r="AI385" s="237"/>
      <c r="AJ385" s="237"/>
      <c r="AK385" s="237"/>
      <c r="AL385" s="237"/>
      <c r="AM385" s="237"/>
      <c r="AN385" s="237"/>
      <c r="AO385" s="237"/>
      <c r="AP385" s="237"/>
      <c r="AQ385" s="237"/>
      <c r="AR385" s="237"/>
      <c r="AS385" s="237"/>
      <c r="AT385" s="237"/>
      <c r="AU385" s="237"/>
      <c r="AV385" s="237"/>
      <c r="AW385" s="237"/>
      <c r="AX385" s="237"/>
    </row>
    <row r="386" spans="3:50" x14ac:dyDescent="0.2">
      <c r="C386" s="228"/>
      <c r="D386" s="228"/>
      <c r="E386" s="228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  <c r="AA386" s="237"/>
      <c r="AB386" s="237"/>
      <c r="AC386" s="237"/>
      <c r="AD386" s="237"/>
      <c r="AE386" s="237"/>
      <c r="AF386" s="237"/>
      <c r="AG386" s="237"/>
      <c r="AH386" s="237"/>
      <c r="AI386" s="237"/>
      <c r="AJ386" s="237"/>
      <c r="AK386" s="237"/>
      <c r="AL386" s="237"/>
      <c r="AM386" s="237"/>
      <c r="AN386" s="237"/>
      <c r="AO386" s="237"/>
      <c r="AP386" s="237"/>
      <c r="AQ386" s="237"/>
      <c r="AR386" s="237"/>
      <c r="AS386" s="237"/>
      <c r="AT386" s="237"/>
      <c r="AU386" s="237"/>
      <c r="AV386" s="237"/>
      <c r="AW386" s="237"/>
      <c r="AX386" s="237"/>
    </row>
    <row r="387" spans="3:50" x14ac:dyDescent="0.2">
      <c r="C387" s="228"/>
      <c r="D387" s="228"/>
      <c r="E387" s="228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7"/>
      <c r="AV387" s="237"/>
      <c r="AW387" s="237"/>
      <c r="AX387" s="237"/>
    </row>
    <row r="388" spans="3:50" x14ac:dyDescent="0.2">
      <c r="C388" s="228"/>
      <c r="D388" s="228"/>
      <c r="E388" s="228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  <c r="AA388" s="237"/>
      <c r="AB388" s="237"/>
      <c r="AC388" s="237"/>
      <c r="AD388" s="237"/>
      <c r="AE388" s="237"/>
      <c r="AF388" s="237"/>
      <c r="AG388" s="237"/>
      <c r="AH388" s="237"/>
      <c r="AI388" s="237"/>
      <c r="AJ388" s="237"/>
      <c r="AK388" s="237"/>
      <c r="AL388" s="237"/>
      <c r="AM388" s="237"/>
      <c r="AN388" s="237"/>
      <c r="AO388" s="237"/>
      <c r="AP388" s="237"/>
      <c r="AQ388" s="237"/>
      <c r="AR388" s="237"/>
      <c r="AS388" s="237"/>
      <c r="AT388" s="237"/>
      <c r="AU388" s="237"/>
      <c r="AV388" s="237"/>
      <c r="AW388" s="237"/>
      <c r="AX388" s="237"/>
    </row>
    <row r="389" spans="3:50" x14ac:dyDescent="0.2">
      <c r="C389" s="228"/>
      <c r="D389" s="228"/>
      <c r="E389" s="228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  <c r="AA389" s="237"/>
      <c r="AB389" s="237"/>
      <c r="AC389" s="237"/>
      <c r="AD389" s="237"/>
      <c r="AE389" s="237"/>
      <c r="AF389" s="237"/>
      <c r="AG389" s="237"/>
      <c r="AH389" s="237"/>
      <c r="AI389" s="237"/>
      <c r="AJ389" s="237"/>
      <c r="AK389" s="237"/>
      <c r="AL389" s="237"/>
      <c r="AM389" s="237"/>
      <c r="AN389" s="237"/>
      <c r="AO389" s="237"/>
      <c r="AP389" s="237"/>
      <c r="AQ389" s="237"/>
      <c r="AR389" s="237"/>
      <c r="AS389" s="237"/>
      <c r="AT389" s="237"/>
      <c r="AU389" s="237"/>
      <c r="AV389" s="237"/>
      <c r="AW389" s="237"/>
      <c r="AX389" s="237"/>
    </row>
    <row r="390" spans="3:50" x14ac:dyDescent="0.2">
      <c r="C390" s="228"/>
      <c r="D390" s="228"/>
      <c r="E390" s="228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  <c r="AA390" s="237"/>
      <c r="AB390" s="237"/>
      <c r="AC390" s="237"/>
      <c r="AD390" s="237"/>
      <c r="AE390" s="237"/>
      <c r="AF390" s="237"/>
      <c r="AG390" s="237"/>
      <c r="AH390" s="237"/>
      <c r="AI390" s="237"/>
      <c r="AJ390" s="237"/>
      <c r="AK390" s="237"/>
      <c r="AL390" s="237"/>
      <c r="AM390" s="237"/>
      <c r="AN390" s="237"/>
      <c r="AO390" s="237"/>
      <c r="AP390" s="237"/>
      <c r="AQ390" s="237"/>
      <c r="AR390" s="237"/>
      <c r="AS390" s="237"/>
      <c r="AT390" s="237"/>
      <c r="AU390" s="237"/>
      <c r="AV390" s="237"/>
      <c r="AW390" s="237"/>
      <c r="AX390" s="237"/>
    </row>
    <row r="391" spans="3:50" x14ac:dyDescent="0.2">
      <c r="C391" s="228"/>
      <c r="D391" s="228"/>
      <c r="E391" s="228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  <c r="AA391" s="237"/>
      <c r="AB391" s="237"/>
      <c r="AC391" s="237"/>
      <c r="AD391" s="237"/>
      <c r="AE391" s="237"/>
      <c r="AF391" s="237"/>
      <c r="AG391" s="237"/>
      <c r="AH391" s="237"/>
      <c r="AI391" s="237"/>
      <c r="AJ391" s="237"/>
      <c r="AK391" s="237"/>
      <c r="AL391" s="237"/>
      <c r="AM391" s="237"/>
      <c r="AN391" s="237"/>
      <c r="AO391" s="237"/>
      <c r="AP391" s="237"/>
      <c r="AQ391" s="237"/>
      <c r="AR391" s="237"/>
      <c r="AS391" s="237"/>
      <c r="AT391" s="237"/>
      <c r="AU391" s="237"/>
      <c r="AV391" s="237"/>
      <c r="AW391" s="237"/>
      <c r="AX391" s="237"/>
    </row>
    <row r="392" spans="3:50" x14ac:dyDescent="0.2">
      <c r="C392" s="228"/>
      <c r="D392" s="228"/>
      <c r="E392" s="228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  <c r="AA392" s="237"/>
      <c r="AB392" s="237"/>
      <c r="AC392" s="237"/>
      <c r="AD392" s="237"/>
      <c r="AE392" s="237"/>
      <c r="AF392" s="237"/>
      <c r="AG392" s="237"/>
      <c r="AH392" s="237"/>
      <c r="AI392" s="237"/>
      <c r="AJ392" s="237"/>
      <c r="AK392" s="237"/>
      <c r="AL392" s="237"/>
      <c r="AM392" s="237"/>
      <c r="AN392" s="237"/>
      <c r="AO392" s="237"/>
      <c r="AP392" s="237"/>
      <c r="AQ392" s="237"/>
      <c r="AR392" s="237"/>
      <c r="AS392" s="237"/>
      <c r="AT392" s="237"/>
      <c r="AU392" s="237"/>
      <c r="AV392" s="237"/>
      <c r="AW392" s="237"/>
      <c r="AX392" s="237"/>
    </row>
    <row r="393" spans="3:50" x14ac:dyDescent="0.2">
      <c r="C393" s="228"/>
      <c r="D393" s="228"/>
      <c r="E393" s="228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  <c r="AA393" s="237"/>
      <c r="AB393" s="237"/>
      <c r="AC393" s="237"/>
      <c r="AD393" s="237"/>
      <c r="AE393" s="237"/>
      <c r="AF393" s="237"/>
      <c r="AG393" s="237"/>
      <c r="AH393" s="237"/>
      <c r="AI393" s="237"/>
      <c r="AJ393" s="237"/>
      <c r="AK393" s="237"/>
      <c r="AL393" s="237"/>
      <c r="AM393" s="237"/>
      <c r="AN393" s="237"/>
      <c r="AO393" s="237"/>
      <c r="AP393" s="237"/>
      <c r="AQ393" s="237"/>
      <c r="AR393" s="237"/>
      <c r="AS393" s="237"/>
      <c r="AT393" s="237"/>
      <c r="AU393" s="237"/>
      <c r="AV393" s="237"/>
      <c r="AW393" s="237"/>
      <c r="AX393" s="237"/>
    </row>
    <row r="394" spans="3:50" x14ac:dyDescent="0.2">
      <c r="C394" s="228"/>
      <c r="D394" s="228"/>
      <c r="E394" s="228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  <c r="AA394" s="237"/>
      <c r="AB394" s="237"/>
      <c r="AC394" s="237"/>
      <c r="AD394" s="237"/>
      <c r="AE394" s="237"/>
      <c r="AF394" s="237"/>
      <c r="AG394" s="237"/>
      <c r="AH394" s="237"/>
      <c r="AI394" s="237"/>
      <c r="AJ394" s="237"/>
      <c r="AK394" s="237"/>
      <c r="AL394" s="237"/>
      <c r="AM394" s="237"/>
      <c r="AN394" s="237"/>
      <c r="AO394" s="237"/>
      <c r="AP394" s="237"/>
      <c r="AQ394" s="237"/>
      <c r="AR394" s="237"/>
      <c r="AS394" s="237"/>
      <c r="AT394" s="237"/>
      <c r="AU394" s="237"/>
      <c r="AV394" s="237"/>
      <c r="AW394" s="237"/>
      <c r="AX394" s="237"/>
    </row>
    <row r="395" spans="3:50" x14ac:dyDescent="0.2">
      <c r="C395" s="228"/>
      <c r="D395" s="228"/>
      <c r="E395" s="228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  <c r="AA395" s="237"/>
      <c r="AB395" s="237"/>
      <c r="AC395" s="237"/>
      <c r="AD395" s="237"/>
      <c r="AE395" s="237"/>
      <c r="AF395" s="237"/>
      <c r="AG395" s="237"/>
      <c r="AH395" s="237"/>
      <c r="AI395" s="237"/>
      <c r="AJ395" s="237"/>
      <c r="AK395" s="237"/>
      <c r="AL395" s="237"/>
      <c r="AM395" s="237"/>
      <c r="AN395" s="237"/>
      <c r="AO395" s="237"/>
      <c r="AP395" s="237"/>
      <c r="AQ395" s="237"/>
      <c r="AR395" s="237"/>
      <c r="AS395" s="237"/>
      <c r="AT395" s="237"/>
      <c r="AU395" s="237"/>
      <c r="AV395" s="237"/>
      <c r="AW395" s="237"/>
      <c r="AX395" s="237"/>
    </row>
    <row r="396" spans="3:50" x14ac:dyDescent="0.2">
      <c r="C396" s="228"/>
      <c r="D396" s="228"/>
      <c r="E396" s="228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  <c r="AA396" s="237"/>
      <c r="AB396" s="237"/>
      <c r="AC396" s="237"/>
      <c r="AD396" s="237"/>
      <c r="AE396" s="237"/>
      <c r="AF396" s="237"/>
      <c r="AG396" s="237"/>
      <c r="AH396" s="237"/>
      <c r="AI396" s="237"/>
      <c r="AJ396" s="237"/>
      <c r="AK396" s="237"/>
      <c r="AL396" s="237"/>
      <c r="AM396" s="237"/>
      <c r="AN396" s="237"/>
      <c r="AO396" s="237"/>
      <c r="AP396" s="237"/>
      <c r="AQ396" s="237"/>
      <c r="AR396" s="237"/>
      <c r="AS396" s="237"/>
      <c r="AT396" s="237"/>
      <c r="AU396" s="237"/>
      <c r="AV396" s="237"/>
      <c r="AW396" s="237"/>
      <c r="AX396" s="237"/>
    </row>
    <row r="397" spans="3:50" x14ac:dyDescent="0.2">
      <c r="C397" s="228"/>
      <c r="D397" s="228"/>
      <c r="E397" s="228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  <c r="AA397" s="237"/>
      <c r="AB397" s="237"/>
      <c r="AC397" s="237"/>
      <c r="AD397" s="237"/>
      <c r="AE397" s="237"/>
      <c r="AF397" s="237"/>
      <c r="AG397" s="237"/>
      <c r="AH397" s="237"/>
      <c r="AI397" s="237"/>
      <c r="AJ397" s="237"/>
      <c r="AK397" s="237"/>
      <c r="AL397" s="237"/>
      <c r="AM397" s="237"/>
      <c r="AN397" s="237"/>
      <c r="AO397" s="237"/>
      <c r="AP397" s="237"/>
      <c r="AQ397" s="237"/>
      <c r="AR397" s="237"/>
      <c r="AS397" s="237"/>
      <c r="AT397" s="237"/>
      <c r="AU397" s="237"/>
      <c r="AV397" s="237"/>
      <c r="AW397" s="237"/>
      <c r="AX397" s="237"/>
    </row>
    <row r="398" spans="3:50" x14ac:dyDescent="0.2">
      <c r="C398" s="228"/>
      <c r="D398" s="228"/>
      <c r="E398" s="228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  <c r="AA398" s="237"/>
      <c r="AB398" s="237"/>
      <c r="AC398" s="237"/>
      <c r="AD398" s="237"/>
      <c r="AE398" s="237"/>
      <c r="AF398" s="237"/>
      <c r="AG398" s="237"/>
      <c r="AH398" s="237"/>
      <c r="AI398" s="237"/>
      <c r="AJ398" s="237"/>
      <c r="AK398" s="237"/>
      <c r="AL398" s="237"/>
      <c r="AM398" s="237"/>
      <c r="AN398" s="237"/>
      <c r="AO398" s="237"/>
      <c r="AP398" s="237"/>
      <c r="AQ398" s="237"/>
      <c r="AR398" s="237"/>
      <c r="AS398" s="237"/>
      <c r="AT398" s="237"/>
      <c r="AU398" s="237"/>
      <c r="AV398" s="237"/>
      <c r="AW398" s="237"/>
      <c r="AX398" s="237"/>
    </row>
    <row r="399" spans="3:50" x14ac:dyDescent="0.2">
      <c r="C399" s="228"/>
      <c r="D399" s="228"/>
      <c r="E399" s="228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  <c r="AA399" s="237"/>
      <c r="AB399" s="237"/>
      <c r="AC399" s="237"/>
      <c r="AD399" s="237"/>
      <c r="AE399" s="237"/>
      <c r="AF399" s="237"/>
      <c r="AG399" s="237"/>
      <c r="AH399" s="237"/>
      <c r="AI399" s="237"/>
      <c r="AJ399" s="237"/>
      <c r="AK399" s="237"/>
      <c r="AL399" s="237"/>
      <c r="AM399" s="237"/>
      <c r="AN399" s="237"/>
      <c r="AO399" s="237"/>
      <c r="AP399" s="237"/>
      <c r="AQ399" s="237"/>
      <c r="AR399" s="237"/>
      <c r="AS399" s="237"/>
      <c r="AT399" s="237"/>
      <c r="AU399" s="237"/>
      <c r="AV399" s="237"/>
      <c r="AW399" s="237"/>
      <c r="AX399" s="237"/>
    </row>
    <row r="400" spans="3:50" x14ac:dyDescent="0.2">
      <c r="C400" s="228"/>
      <c r="D400" s="228"/>
      <c r="E400" s="228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  <c r="AA400" s="237"/>
      <c r="AB400" s="237"/>
      <c r="AC400" s="237"/>
      <c r="AD400" s="237"/>
      <c r="AE400" s="237"/>
      <c r="AF400" s="237"/>
      <c r="AG400" s="237"/>
      <c r="AH400" s="237"/>
      <c r="AI400" s="237"/>
      <c r="AJ400" s="237"/>
      <c r="AK400" s="237"/>
      <c r="AL400" s="237"/>
      <c r="AM400" s="237"/>
      <c r="AN400" s="237"/>
      <c r="AO400" s="237"/>
      <c r="AP400" s="237"/>
      <c r="AQ400" s="237"/>
      <c r="AR400" s="237"/>
      <c r="AS400" s="237"/>
      <c r="AT400" s="237"/>
      <c r="AU400" s="237"/>
      <c r="AV400" s="237"/>
      <c r="AW400" s="237"/>
      <c r="AX400" s="237"/>
    </row>
    <row r="401" spans="3:50" x14ac:dyDescent="0.2">
      <c r="C401" s="228"/>
      <c r="D401" s="228"/>
      <c r="E401" s="228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7"/>
      <c r="AM401" s="237"/>
      <c r="AN401" s="237"/>
      <c r="AO401" s="237"/>
      <c r="AP401" s="237"/>
      <c r="AQ401" s="237"/>
      <c r="AR401" s="237"/>
      <c r="AS401" s="237"/>
      <c r="AT401" s="237"/>
      <c r="AU401" s="237"/>
      <c r="AV401" s="237"/>
      <c r="AW401" s="237"/>
      <c r="AX401" s="237"/>
    </row>
    <row r="402" spans="3:50" x14ac:dyDescent="0.2">
      <c r="C402" s="228"/>
      <c r="D402" s="228"/>
      <c r="E402" s="228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  <c r="AC402" s="237"/>
      <c r="AD402" s="237"/>
      <c r="AE402" s="237"/>
      <c r="AF402" s="237"/>
      <c r="AG402" s="237"/>
      <c r="AH402" s="237"/>
      <c r="AI402" s="237"/>
      <c r="AJ402" s="237"/>
      <c r="AK402" s="237"/>
      <c r="AL402" s="237"/>
      <c r="AM402" s="237"/>
      <c r="AN402" s="237"/>
      <c r="AO402" s="237"/>
      <c r="AP402" s="237"/>
      <c r="AQ402" s="237"/>
      <c r="AR402" s="237"/>
      <c r="AS402" s="237"/>
      <c r="AT402" s="237"/>
      <c r="AU402" s="237"/>
      <c r="AV402" s="237"/>
      <c r="AW402" s="237"/>
      <c r="AX402" s="237"/>
    </row>
    <row r="403" spans="3:50" x14ac:dyDescent="0.2">
      <c r="C403" s="228"/>
      <c r="D403" s="228"/>
      <c r="E403" s="228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  <c r="AC403" s="237"/>
      <c r="AD403" s="237"/>
      <c r="AE403" s="237"/>
      <c r="AF403" s="237"/>
      <c r="AG403" s="237"/>
      <c r="AH403" s="237"/>
      <c r="AI403" s="237"/>
      <c r="AJ403" s="237"/>
      <c r="AK403" s="237"/>
      <c r="AL403" s="237"/>
      <c r="AM403" s="237"/>
      <c r="AN403" s="237"/>
      <c r="AO403" s="237"/>
      <c r="AP403" s="237"/>
      <c r="AQ403" s="237"/>
      <c r="AR403" s="237"/>
      <c r="AS403" s="237"/>
      <c r="AT403" s="237"/>
      <c r="AU403" s="237"/>
      <c r="AV403" s="237"/>
      <c r="AW403" s="237"/>
      <c r="AX403" s="237"/>
    </row>
    <row r="404" spans="3:50" x14ac:dyDescent="0.2">
      <c r="C404" s="228"/>
      <c r="D404" s="228"/>
      <c r="E404" s="228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  <c r="AA404" s="237"/>
      <c r="AB404" s="237"/>
      <c r="AC404" s="237"/>
      <c r="AD404" s="237"/>
      <c r="AE404" s="237"/>
      <c r="AF404" s="237"/>
      <c r="AG404" s="237"/>
      <c r="AH404" s="237"/>
      <c r="AI404" s="237"/>
      <c r="AJ404" s="237"/>
      <c r="AK404" s="237"/>
      <c r="AL404" s="237"/>
      <c r="AM404" s="237"/>
      <c r="AN404" s="237"/>
      <c r="AO404" s="237"/>
      <c r="AP404" s="237"/>
      <c r="AQ404" s="237"/>
      <c r="AR404" s="237"/>
      <c r="AS404" s="237"/>
      <c r="AT404" s="237"/>
      <c r="AU404" s="237"/>
      <c r="AV404" s="237"/>
      <c r="AW404" s="237"/>
      <c r="AX404" s="237"/>
    </row>
    <row r="405" spans="3:50" x14ac:dyDescent="0.2">
      <c r="C405" s="228"/>
      <c r="D405" s="228"/>
      <c r="E405" s="228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  <c r="AA405" s="237"/>
      <c r="AB405" s="237"/>
      <c r="AC405" s="237"/>
      <c r="AD405" s="237"/>
      <c r="AE405" s="237"/>
      <c r="AF405" s="237"/>
      <c r="AG405" s="237"/>
      <c r="AH405" s="237"/>
      <c r="AI405" s="237"/>
      <c r="AJ405" s="237"/>
      <c r="AK405" s="237"/>
      <c r="AL405" s="237"/>
      <c r="AM405" s="237"/>
      <c r="AN405" s="237"/>
      <c r="AO405" s="237"/>
      <c r="AP405" s="237"/>
      <c r="AQ405" s="237"/>
      <c r="AR405" s="237"/>
      <c r="AS405" s="237"/>
      <c r="AT405" s="237"/>
      <c r="AU405" s="237"/>
      <c r="AV405" s="237"/>
      <c r="AW405" s="237"/>
      <c r="AX405" s="237"/>
    </row>
    <row r="406" spans="3:50" x14ac:dyDescent="0.2">
      <c r="C406" s="228"/>
      <c r="D406" s="228"/>
      <c r="E406" s="228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  <c r="AA406" s="237"/>
      <c r="AB406" s="237"/>
      <c r="AC406" s="237"/>
      <c r="AD406" s="237"/>
      <c r="AE406" s="237"/>
      <c r="AF406" s="237"/>
      <c r="AG406" s="237"/>
      <c r="AH406" s="237"/>
      <c r="AI406" s="237"/>
      <c r="AJ406" s="237"/>
      <c r="AK406" s="237"/>
      <c r="AL406" s="237"/>
      <c r="AM406" s="237"/>
      <c r="AN406" s="237"/>
      <c r="AO406" s="237"/>
      <c r="AP406" s="237"/>
      <c r="AQ406" s="237"/>
      <c r="AR406" s="237"/>
      <c r="AS406" s="237"/>
      <c r="AT406" s="237"/>
      <c r="AU406" s="237"/>
      <c r="AV406" s="237"/>
      <c r="AW406" s="237"/>
      <c r="AX406" s="237"/>
    </row>
    <row r="407" spans="3:50" x14ac:dyDescent="0.2">
      <c r="C407" s="228"/>
      <c r="D407" s="228"/>
      <c r="E407" s="228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  <c r="AA407" s="237"/>
      <c r="AB407" s="237"/>
      <c r="AC407" s="237"/>
      <c r="AD407" s="237"/>
      <c r="AE407" s="237"/>
      <c r="AF407" s="237"/>
      <c r="AG407" s="237"/>
      <c r="AH407" s="237"/>
      <c r="AI407" s="237"/>
      <c r="AJ407" s="237"/>
      <c r="AK407" s="237"/>
      <c r="AL407" s="237"/>
      <c r="AM407" s="237"/>
      <c r="AN407" s="237"/>
      <c r="AO407" s="237"/>
      <c r="AP407" s="237"/>
      <c r="AQ407" s="237"/>
      <c r="AR407" s="237"/>
      <c r="AS407" s="237"/>
      <c r="AT407" s="237"/>
      <c r="AU407" s="237"/>
      <c r="AV407" s="237"/>
      <c r="AW407" s="237"/>
      <c r="AX407" s="237"/>
    </row>
    <row r="408" spans="3:50" x14ac:dyDescent="0.2">
      <c r="C408" s="228"/>
      <c r="D408" s="228"/>
      <c r="E408" s="228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  <c r="AA408" s="237"/>
      <c r="AB408" s="237"/>
      <c r="AC408" s="237"/>
      <c r="AD408" s="237"/>
      <c r="AE408" s="237"/>
      <c r="AF408" s="237"/>
      <c r="AG408" s="237"/>
      <c r="AH408" s="237"/>
      <c r="AI408" s="237"/>
      <c r="AJ408" s="237"/>
      <c r="AK408" s="237"/>
      <c r="AL408" s="237"/>
      <c r="AM408" s="237"/>
      <c r="AN408" s="237"/>
      <c r="AO408" s="237"/>
      <c r="AP408" s="237"/>
      <c r="AQ408" s="237"/>
      <c r="AR408" s="237"/>
      <c r="AS408" s="237"/>
      <c r="AT408" s="237"/>
      <c r="AU408" s="237"/>
      <c r="AV408" s="237"/>
      <c r="AW408" s="237"/>
      <c r="AX408" s="237"/>
    </row>
    <row r="409" spans="3:50" x14ac:dyDescent="0.2">
      <c r="C409" s="228"/>
      <c r="D409" s="228"/>
      <c r="E409" s="228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  <c r="AA409" s="237"/>
      <c r="AB409" s="237"/>
      <c r="AC409" s="237"/>
      <c r="AD409" s="237"/>
      <c r="AE409" s="237"/>
      <c r="AF409" s="237"/>
      <c r="AG409" s="237"/>
      <c r="AH409" s="237"/>
      <c r="AI409" s="237"/>
      <c r="AJ409" s="237"/>
      <c r="AK409" s="237"/>
      <c r="AL409" s="237"/>
      <c r="AM409" s="237"/>
      <c r="AN409" s="237"/>
      <c r="AO409" s="237"/>
      <c r="AP409" s="237"/>
      <c r="AQ409" s="237"/>
      <c r="AR409" s="237"/>
      <c r="AS409" s="237"/>
      <c r="AT409" s="237"/>
      <c r="AU409" s="237"/>
      <c r="AV409" s="237"/>
      <c r="AW409" s="237"/>
      <c r="AX409" s="237"/>
    </row>
    <row r="410" spans="3:50" x14ac:dyDescent="0.2">
      <c r="C410" s="228"/>
      <c r="D410" s="228"/>
      <c r="E410" s="228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  <c r="AA410" s="237"/>
      <c r="AB410" s="237"/>
      <c r="AC410" s="237"/>
      <c r="AD410" s="237"/>
      <c r="AE410" s="237"/>
      <c r="AF410" s="237"/>
      <c r="AG410" s="237"/>
      <c r="AH410" s="237"/>
      <c r="AI410" s="237"/>
      <c r="AJ410" s="237"/>
      <c r="AK410" s="237"/>
      <c r="AL410" s="237"/>
      <c r="AM410" s="237"/>
      <c r="AN410" s="237"/>
      <c r="AO410" s="237"/>
      <c r="AP410" s="237"/>
      <c r="AQ410" s="237"/>
      <c r="AR410" s="237"/>
      <c r="AS410" s="237"/>
      <c r="AT410" s="237"/>
      <c r="AU410" s="237"/>
      <c r="AV410" s="237"/>
      <c r="AW410" s="237"/>
      <c r="AX410" s="237"/>
    </row>
    <row r="411" spans="3:50" x14ac:dyDescent="0.2">
      <c r="C411" s="228"/>
      <c r="D411" s="228"/>
      <c r="E411" s="228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  <c r="AA411" s="237"/>
      <c r="AB411" s="237"/>
      <c r="AC411" s="237"/>
      <c r="AD411" s="237"/>
      <c r="AE411" s="237"/>
      <c r="AF411" s="237"/>
      <c r="AG411" s="237"/>
      <c r="AH411" s="237"/>
      <c r="AI411" s="237"/>
      <c r="AJ411" s="237"/>
      <c r="AK411" s="237"/>
      <c r="AL411" s="237"/>
      <c r="AM411" s="237"/>
      <c r="AN411" s="237"/>
      <c r="AO411" s="237"/>
      <c r="AP411" s="237"/>
      <c r="AQ411" s="237"/>
      <c r="AR411" s="237"/>
      <c r="AS411" s="237"/>
      <c r="AT411" s="237"/>
      <c r="AU411" s="237"/>
      <c r="AV411" s="237"/>
      <c r="AW411" s="237"/>
      <c r="AX411" s="237"/>
    </row>
    <row r="412" spans="3:50" x14ac:dyDescent="0.2">
      <c r="C412" s="228"/>
      <c r="D412" s="228"/>
      <c r="E412" s="228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  <c r="AA412" s="237"/>
      <c r="AB412" s="237"/>
      <c r="AC412" s="237"/>
      <c r="AD412" s="237"/>
      <c r="AE412" s="237"/>
      <c r="AF412" s="237"/>
      <c r="AG412" s="237"/>
      <c r="AH412" s="237"/>
      <c r="AI412" s="237"/>
      <c r="AJ412" s="237"/>
      <c r="AK412" s="237"/>
      <c r="AL412" s="237"/>
      <c r="AM412" s="237"/>
      <c r="AN412" s="237"/>
      <c r="AO412" s="237"/>
      <c r="AP412" s="237"/>
      <c r="AQ412" s="237"/>
      <c r="AR412" s="237"/>
      <c r="AS412" s="237"/>
      <c r="AT412" s="237"/>
      <c r="AU412" s="237"/>
      <c r="AV412" s="237"/>
      <c r="AW412" s="237"/>
      <c r="AX412" s="237"/>
    </row>
    <row r="413" spans="3:50" x14ac:dyDescent="0.2">
      <c r="C413" s="228"/>
      <c r="D413" s="228"/>
      <c r="E413" s="228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  <c r="AA413" s="237"/>
      <c r="AB413" s="237"/>
      <c r="AC413" s="237"/>
      <c r="AD413" s="237"/>
      <c r="AE413" s="237"/>
      <c r="AF413" s="237"/>
      <c r="AG413" s="237"/>
      <c r="AH413" s="237"/>
      <c r="AI413" s="237"/>
      <c r="AJ413" s="237"/>
      <c r="AK413" s="237"/>
      <c r="AL413" s="237"/>
      <c r="AM413" s="237"/>
      <c r="AN413" s="237"/>
      <c r="AO413" s="237"/>
      <c r="AP413" s="237"/>
      <c r="AQ413" s="237"/>
      <c r="AR413" s="237"/>
      <c r="AS413" s="237"/>
      <c r="AT413" s="237"/>
      <c r="AU413" s="237"/>
      <c r="AV413" s="237"/>
      <c r="AW413" s="237"/>
      <c r="AX413" s="237"/>
    </row>
    <row r="414" spans="3:50" x14ac:dyDescent="0.2">
      <c r="C414" s="228"/>
      <c r="D414" s="228"/>
      <c r="E414" s="228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  <c r="AA414" s="237"/>
      <c r="AB414" s="237"/>
      <c r="AC414" s="237"/>
      <c r="AD414" s="237"/>
      <c r="AE414" s="237"/>
      <c r="AF414" s="237"/>
      <c r="AG414" s="237"/>
      <c r="AH414" s="237"/>
      <c r="AI414" s="237"/>
      <c r="AJ414" s="237"/>
      <c r="AK414" s="237"/>
      <c r="AL414" s="237"/>
      <c r="AM414" s="237"/>
      <c r="AN414" s="237"/>
      <c r="AO414" s="237"/>
      <c r="AP414" s="237"/>
      <c r="AQ414" s="237"/>
      <c r="AR414" s="237"/>
      <c r="AS414" s="237"/>
      <c r="AT414" s="237"/>
      <c r="AU414" s="237"/>
      <c r="AV414" s="237"/>
      <c r="AW414" s="237"/>
      <c r="AX414" s="237"/>
    </row>
    <row r="415" spans="3:50" x14ac:dyDescent="0.2">
      <c r="C415" s="228"/>
      <c r="D415" s="228"/>
      <c r="E415" s="228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  <c r="AA415" s="237"/>
      <c r="AB415" s="237"/>
      <c r="AC415" s="237"/>
      <c r="AD415" s="237"/>
      <c r="AE415" s="237"/>
      <c r="AF415" s="237"/>
      <c r="AG415" s="237"/>
      <c r="AH415" s="237"/>
      <c r="AI415" s="237"/>
      <c r="AJ415" s="237"/>
      <c r="AK415" s="237"/>
      <c r="AL415" s="237"/>
      <c r="AM415" s="237"/>
      <c r="AN415" s="237"/>
      <c r="AO415" s="237"/>
      <c r="AP415" s="237"/>
      <c r="AQ415" s="237"/>
      <c r="AR415" s="237"/>
      <c r="AS415" s="237"/>
      <c r="AT415" s="237"/>
      <c r="AU415" s="237"/>
      <c r="AV415" s="237"/>
      <c r="AW415" s="237"/>
      <c r="AX415" s="237"/>
    </row>
    <row r="416" spans="3:50" x14ac:dyDescent="0.2">
      <c r="C416" s="228"/>
      <c r="D416" s="228"/>
      <c r="E416" s="228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  <c r="AA416" s="237"/>
      <c r="AB416" s="237"/>
      <c r="AC416" s="237"/>
      <c r="AD416" s="237"/>
      <c r="AE416" s="237"/>
      <c r="AF416" s="237"/>
      <c r="AG416" s="237"/>
      <c r="AH416" s="237"/>
      <c r="AI416" s="237"/>
      <c r="AJ416" s="237"/>
      <c r="AK416" s="237"/>
      <c r="AL416" s="237"/>
      <c r="AM416" s="237"/>
      <c r="AN416" s="237"/>
      <c r="AO416" s="237"/>
      <c r="AP416" s="237"/>
      <c r="AQ416" s="237"/>
      <c r="AR416" s="237"/>
      <c r="AS416" s="237"/>
      <c r="AT416" s="237"/>
      <c r="AU416" s="237"/>
      <c r="AV416" s="237"/>
      <c r="AW416" s="237"/>
      <c r="AX416" s="237"/>
    </row>
    <row r="417" spans="3:50" x14ac:dyDescent="0.2">
      <c r="C417" s="228"/>
      <c r="D417" s="228"/>
      <c r="E417" s="228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  <c r="AA417" s="237"/>
      <c r="AB417" s="237"/>
      <c r="AC417" s="237"/>
      <c r="AD417" s="237"/>
      <c r="AE417" s="237"/>
      <c r="AF417" s="237"/>
      <c r="AG417" s="237"/>
      <c r="AH417" s="237"/>
      <c r="AI417" s="237"/>
      <c r="AJ417" s="237"/>
      <c r="AK417" s="237"/>
      <c r="AL417" s="237"/>
      <c r="AM417" s="237"/>
      <c r="AN417" s="237"/>
      <c r="AO417" s="237"/>
      <c r="AP417" s="237"/>
      <c r="AQ417" s="237"/>
      <c r="AR417" s="237"/>
      <c r="AS417" s="237"/>
      <c r="AT417" s="237"/>
      <c r="AU417" s="237"/>
      <c r="AV417" s="237"/>
      <c r="AW417" s="237"/>
      <c r="AX417" s="237"/>
    </row>
    <row r="418" spans="3:50" x14ac:dyDescent="0.2">
      <c r="C418" s="228"/>
      <c r="D418" s="228"/>
      <c r="E418" s="228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  <c r="AA418" s="237"/>
      <c r="AB418" s="237"/>
      <c r="AC418" s="237"/>
      <c r="AD418" s="237"/>
      <c r="AE418" s="237"/>
      <c r="AF418" s="237"/>
      <c r="AG418" s="237"/>
      <c r="AH418" s="237"/>
      <c r="AI418" s="237"/>
      <c r="AJ418" s="237"/>
      <c r="AK418" s="237"/>
      <c r="AL418" s="237"/>
      <c r="AM418" s="237"/>
      <c r="AN418" s="237"/>
      <c r="AO418" s="237"/>
      <c r="AP418" s="237"/>
      <c r="AQ418" s="237"/>
      <c r="AR418" s="237"/>
      <c r="AS418" s="237"/>
      <c r="AT418" s="237"/>
      <c r="AU418" s="237"/>
      <c r="AV418" s="237"/>
      <c r="AW418" s="237"/>
      <c r="AX418" s="237"/>
    </row>
    <row r="419" spans="3:50" x14ac:dyDescent="0.2">
      <c r="C419" s="228"/>
      <c r="D419" s="228"/>
      <c r="E419" s="228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  <c r="AA419" s="237"/>
      <c r="AB419" s="237"/>
      <c r="AC419" s="237"/>
      <c r="AD419" s="237"/>
      <c r="AE419" s="237"/>
      <c r="AF419" s="237"/>
      <c r="AG419" s="237"/>
      <c r="AH419" s="237"/>
      <c r="AI419" s="237"/>
      <c r="AJ419" s="237"/>
      <c r="AK419" s="237"/>
      <c r="AL419" s="237"/>
      <c r="AM419" s="237"/>
      <c r="AN419" s="237"/>
      <c r="AO419" s="237"/>
      <c r="AP419" s="237"/>
      <c r="AQ419" s="237"/>
      <c r="AR419" s="237"/>
      <c r="AS419" s="237"/>
      <c r="AT419" s="237"/>
      <c r="AU419" s="237"/>
      <c r="AV419" s="237"/>
      <c r="AW419" s="237"/>
      <c r="AX419" s="237"/>
    </row>
    <row r="420" spans="3:50" x14ac:dyDescent="0.2">
      <c r="C420" s="228"/>
      <c r="D420" s="228"/>
      <c r="E420" s="228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  <c r="AA420" s="237"/>
      <c r="AB420" s="237"/>
      <c r="AC420" s="237"/>
      <c r="AD420" s="237"/>
      <c r="AE420" s="237"/>
      <c r="AF420" s="237"/>
      <c r="AG420" s="237"/>
      <c r="AH420" s="237"/>
      <c r="AI420" s="237"/>
      <c r="AJ420" s="237"/>
      <c r="AK420" s="237"/>
      <c r="AL420" s="237"/>
      <c r="AM420" s="237"/>
      <c r="AN420" s="237"/>
      <c r="AO420" s="237"/>
      <c r="AP420" s="237"/>
      <c r="AQ420" s="237"/>
      <c r="AR420" s="237"/>
      <c r="AS420" s="237"/>
      <c r="AT420" s="237"/>
      <c r="AU420" s="237"/>
      <c r="AV420" s="237"/>
      <c r="AW420" s="237"/>
      <c r="AX420" s="237"/>
    </row>
    <row r="421" spans="3:50" x14ac:dyDescent="0.2">
      <c r="C421" s="228"/>
      <c r="D421" s="228"/>
      <c r="E421" s="228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  <c r="AA421" s="237"/>
      <c r="AB421" s="237"/>
      <c r="AC421" s="237"/>
      <c r="AD421" s="237"/>
      <c r="AE421" s="237"/>
      <c r="AF421" s="237"/>
      <c r="AG421" s="237"/>
      <c r="AH421" s="237"/>
      <c r="AI421" s="237"/>
      <c r="AJ421" s="237"/>
      <c r="AK421" s="237"/>
      <c r="AL421" s="237"/>
      <c r="AM421" s="237"/>
      <c r="AN421" s="237"/>
      <c r="AO421" s="237"/>
      <c r="AP421" s="237"/>
      <c r="AQ421" s="237"/>
      <c r="AR421" s="237"/>
      <c r="AS421" s="237"/>
      <c r="AT421" s="237"/>
      <c r="AU421" s="237"/>
      <c r="AV421" s="237"/>
      <c r="AW421" s="237"/>
      <c r="AX421" s="237"/>
    </row>
    <row r="422" spans="3:50" x14ac:dyDescent="0.2">
      <c r="C422" s="228"/>
      <c r="D422" s="228"/>
      <c r="E422" s="228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7"/>
      <c r="AM422" s="237"/>
      <c r="AN422" s="237"/>
      <c r="AO422" s="237"/>
      <c r="AP422" s="237"/>
      <c r="AQ422" s="237"/>
      <c r="AR422" s="237"/>
      <c r="AS422" s="237"/>
      <c r="AT422" s="237"/>
      <c r="AU422" s="237"/>
      <c r="AV422" s="237"/>
      <c r="AW422" s="237"/>
      <c r="AX422" s="237"/>
    </row>
    <row r="423" spans="3:50" x14ac:dyDescent="0.2">
      <c r="C423" s="228"/>
      <c r="D423" s="228"/>
      <c r="E423" s="228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  <c r="AA423" s="237"/>
      <c r="AB423" s="237"/>
      <c r="AC423" s="237"/>
      <c r="AD423" s="237"/>
      <c r="AE423" s="237"/>
      <c r="AF423" s="237"/>
      <c r="AG423" s="237"/>
      <c r="AH423" s="237"/>
      <c r="AI423" s="237"/>
      <c r="AJ423" s="237"/>
      <c r="AK423" s="237"/>
      <c r="AL423" s="237"/>
      <c r="AM423" s="237"/>
      <c r="AN423" s="237"/>
      <c r="AO423" s="237"/>
      <c r="AP423" s="237"/>
      <c r="AQ423" s="237"/>
      <c r="AR423" s="237"/>
      <c r="AS423" s="237"/>
      <c r="AT423" s="237"/>
      <c r="AU423" s="237"/>
      <c r="AV423" s="237"/>
      <c r="AW423" s="237"/>
      <c r="AX423" s="237"/>
    </row>
    <row r="424" spans="3:50" x14ac:dyDescent="0.2">
      <c r="C424" s="228"/>
      <c r="D424" s="228"/>
      <c r="E424" s="228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  <c r="AA424" s="237"/>
      <c r="AB424" s="237"/>
      <c r="AC424" s="237"/>
      <c r="AD424" s="237"/>
      <c r="AE424" s="237"/>
      <c r="AF424" s="237"/>
      <c r="AG424" s="237"/>
      <c r="AH424" s="237"/>
      <c r="AI424" s="237"/>
      <c r="AJ424" s="237"/>
      <c r="AK424" s="237"/>
      <c r="AL424" s="237"/>
      <c r="AM424" s="237"/>
      <c r="AN424" s="237"/>
      <c r="AO424" s="237"/>
      <c r="AP424" s="237"/>
      <c r="AQ424" s="237"/>
      <c r="AR424" s="237"/>
      <c r="AS424" s="237"/>
      <c r="AT424" s="237"/>
      <c r="AU424" s="237"/>
      <c r="AV424" s="237"/>
      <c r="AW424" s="237"/>
      <c r="AX424" s="237"/>
    </row>
    <row r="425" spans="3:50" x14ac:dyDescent="0.2">
      <c r="C425" s="228"/>
      <c r="D425" s="228"/>
      <c r="E425" s="228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  <c r="AA425" s="237"/>
      <c r="AB425" s="237"/>
      <c r="AC425" s="237"/>
      <c r="AD425" s="237"/>
      <c r="AE425" s="237"/>
      <c r="AF425" s="237"/>
      <c r="AG425" s="237"/>
      <c r="AH425" s="237"/>
      <c r="AI425" s="237"/>
      <c r="AJ425" s="237"/>
      <c r="AK425" s="237"/>
      <c r="AL425" s="237"/>
      <c r="AM425" s="237"/>
      <c r="AN425" s="237"/>
      <c r="AO425" s="237"/>
      <c r="AP425" s="237"/>
      <c r="AQ425" s="237"/>
      <c r="AR425" s="237"/>
      <c r="AS425" s="237"/>
      <c r="AT425" s="237"/>
      <c r="AU425" s="237"/>
      <c r="AV425" s="237"/>
      <c r="AW425" s="237"/>
      <c r="AX425" s="237"/>
    </row>
    <row r="426" spans="3:50" x14ac:dyDescent="0.2">
      <c r="C426" s="228"/>
      <c r="D426" s="228"/>
      <c r="E426" s="228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  <c r="AA426" s="237"/>
      <c r="AB426" s="237"/>
      <c r="AC426" s="237"/>
      <c r="AD426" s="237"/>
      <c r="AE426" s="237"/>
      <c r="AF426" s="237"/>
      <c r="AG426" s="237"/>
      <c r="AH426" s="237"/>
      <c r="AI426" s="237"/>
      <c r="AJ426" s="237"/>
      <c r="AK426" s="237"/>
      <c r="AL426" s="237"/>
      <c r="AM426" s="237"/>
      <c r="AN426" s="237"/>
      <c r="AO426" s="237"/>
      <c r="AP426" s="237"/>
      <c r="AQ426" s="237"/>
      <c r="AR426" s="237"/>
      <c r="AS426" s="237"/>
      <c r="AT426" s="237"/>
      <c r="AU426" s="237"/>
      <c r="AV426" s="237"/>
      <c r="AW426" s="237"/>
      <c r="AX426" s="237"/>
    </row>
    <row r="427" spans="3:50" x14ac:dyDescent="0.2">
      <c r="C427" s="228"/>
      <c r="D427" s="228"/>
      <c r="E427" s="228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  <c r="AA427" s="237"/>
      <c r="AB427" s="237"/>
      <c r="AC427" s="237"/>
      <c r="AD427" s="237"/>
      <c r="AE427" s="237"/>
      <c r="AF427" s="237"/>
      <c r="AG427" s="237"/>
      <c r="AH427" s="237"/>
      <c r="AI427" s="237"/>
      <c r="AJ427" s="237"/>
      <c r="AK427" s="237"/>
      <c r="AL427" s="237"/>
      <c r="AM427" s="237"/>
      <c r="AN427" s="237"/>
      <c r="AO427" s="237"/>
      <c r="AP427" s="237"/>
      <c r="AQ427" s="237"/>
      <c r="AR427" s="237"/>
      <c r="AS427" s="237"/>
      <c r="AT427" s="237"/>
      <c r="AU427" s="237"/>
      <c r="AV427" s="237"/>
      <c r="AW427" s="237"/>
      <c r="AX427" s="237"/>
    </row>
    <row r="428" spans="3:50" x14ac:dyDescent="0.2">
      <c r="C428" s="228"/>
      <c r="D428" s="228"/>
      <c r="E428" s="228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  <c r="AA428" s="237"/>
      <c r="AB428" s="237"/>
      <c r="AC428" s="237"/>
      <c r="AD428" s="237"/>
      <c r="AE428" s="237"/>
      <c r="AF428" s="237"/>
      <c r="AG428" s="237"/>
      <c r="AH428" s="237"/>
      <c r="AI428" s="237"/>
      <c r="AJ428" s="237"/>
      <c r="AK428" s="237"/>
      <c r="AL428" s="237"/>
      <c r="AM428" s="237"/>
      <c r="AN428" s="237"/>
      <c r="AO428" s="237"/>
      <c r="AP428" s="237"/>
      <c r="AQ428" s="237"/>
      <c r="AR428" s="237"/>
      <c r="AS428" s="237"/>
      <c r="AT428" s="237"/>
      <c r="AU428" s="237"/>
      <c r="AV428" s="237"/>
      <c r="AW428" s="237"/>
      <c r="AX428" s="237"/>
    </row>
    <row r="429" spans="3:50" x14ac:dyDescent="0.2">
      <c r="C429" s="228"/>
      <c r="D429" s="228"/>
      <c r="E429" s="228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  <c r="AA429" s="237"/>
      <c r="AB429" s="237"/>
      <c r="AC429" s="237"/>
      <c r="AD429" s="237"/>
      <c r="AE429" s="237"/>
      <c r="AF429" s="237"/>
      <c r="AG429" s="237"/>
      <c r="AH429" s="237"/>
      <c r="AI429" s="237"/>
      <c r="AJ429" s="237"/>
      <c r="AK429" s="237"/>
      <c r="AL429" s="237"/>
      <c r="AM429" s="237"/>
      <c r="AN429" s="237"/>
      <c r="AO429" s="237"/>
      <c r="AP429" s="237"/>
      <c r="AQ429" s="237"/>
      <c r="AR429" s="237"/>
      <c r="AS429" s="237"/>
      <c r="AT429" s="237"/>
      <c r="AU429" s="237"/>
      <c r="AV429" s="237"/>
      <c r="AW429" s="237"/>
      <c r="AX429" s="237"/>
    </row>
    <row r="430" spans="3:50" x14ac:dyDescent="0.2">
      <c r="C430" s="228"/>
      <c r="D430" s="228"/>
      <c r="E430" s="228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  <c r="AA430" s="237"/>
      <c r="AB430" s="237"/>
      <c r="AC430" s="237"/>
      <c r="AD430" s="237"/>
      <c r="AE430" s="237"/>
      <c r="AF430" s="237"/>
      <c r="AG430" s="237"/>
      <c r="AH430" s="237"/>
      <c r="AI430" s="237"/>
      <c r="AJ430" s="237"/>
      <c r="AK430" s="237"/>
      <c r="AL430" s="237"/>
      <c r="AM430" s="237"/>
      <c r="AN430" s="237"/>
      <c r="AO430" s="237"/>
      <c r="AP430" s="237"/>
      <c r="AQ430" s="237"/>
      <c r="AR430" s="237"/>
      <c r="AS430" s="237"/>
      <c r="AT430" s="237"/>
      <c r="AU430" s="237"/>
      <c r="AV430" s="237"/>
      <c r="AW430" s="237"/>
      <c r="AX430" s="237"/>
    </row>
    <row r="431" spans="3:50" x14ac:dyDescent="0.2">
      <c r="C431" s="228"/>
      <c r="D431" s="228"/>
      <c r="E431" s="228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  <c r="AA431" s="237"/>
      <c r="AB431" s="237"/>
      <c r="AC431" s="237"/>
      <c r="AD431" s="237"/>
      <c r="AE431" s="237"/>
      <c r="AF431" s="237"/>
      <c r="AG431" s="237"/>
      <c r="AH431" s="237"/>
      <c r="AI431" s="237"/>
      <c r="AJ431" s="237"/>
      <c r="AK431" s="237"/>
      <c r="AL431" s="237"/>
      <c r="AM431" s="237"/>
      <c r="AN431" s="237"/>
      <c r="AO431" s="237"/>
      <c r="AP431" s="237"/>
      <c r="AQ431" s="237"/>
      <c r="AR431" s="237"/>
      <c r="AS431" s="237"/>
      <c r="AT431" s="237"/>
      <c r="AU431" s="237"/>
      <c r="AV431" s="237"/>
      <c r="AW431" s="237"/>
      <c r="AX431" s="237"/>
    </row>
    <row r="432" spans="3:50" x14ac:dyDescent="0.2">
      <c r="C432" s="228"/>
      <c r="D432" s="228"/>
      <c r="E432" s="228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  <c r="AA432" s="237"/>
      <c r="AB432" s="237"/>
      <c r="AC432" s="237"/>
      <c r="AD432" s="237"/>
      <c r="AE432" s="237"/>
      <c r="AF432" s="237"/>
      <c r="AG432" s="237"/>
      <c r="AH432" s="237"/>
      <c r="AI432" s="237"/>
      <c r="AJ432" s="237"/>
      <c r="AK432" s="237"/>
      <c r="AL432" s="237"/>
      <c r="AM432" s="237"/>
      <c r="AN432" s="237"/>
      <c r="AO432" s="237"/>
      <c r="AP432" s="237"/>
      <c r="AQ432" s="237"/>
      <c r="AR432" s="237"/>
      <c r="AS432" s="237"/>
      <c r="AT432" s="237"/>
      <c r="AU432" s="237"/>
      <c r="AV432" s="237"/>
      <c r="AW432" s="237"/>
      <c r="AX432" s="237"/>
    </row>
    <row r="433" spans="3:50" x14ac:dyDescent="0.2">
      <c r="C433" s="228"/>
      <c r="D433" s="228"/>
      <c r="E433" s="228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  <c r="AA433" s="237"/>
      <c r="AB433" s="237"/>
      <c r="AC433" s="237"/>
      <c r="AD433" s="237"/>
      <c r="AE433" s="237"/>
      <c r="AF433" s="237"/>
      <c r="AG433" s="237"/>
      <c r="AH433" s="237"/>
      <c r="AI433" s="237"/>
      <c r="AJ433" s="237"/>
      <c r="AK433" s="237"/>
      <c r="AL433" s="237"/>
      <c r="AM433" s="237"/>
      <c r="AN433" s="237"/>
      <c r="AO433" s="237"/>
      <c r="AP433" s="237"/>
      <c r="AQ433" s="237"/>
      <c r="AR433" s="237"/>
      <c r="AS433" s="237"/>
      <c r="AT433" s="237"/>
      <c r="AU433" s="237"/>
      <c r="AV433" s="237"/>
      <c r="AW433" s="237"/>
      <c r="AX433" s="237"/>
    </row>
    <row r="434" spans="3:50" x14ac:dyDescent="0.2">
      <c r="C434" s="228"/>
      <c r="D434" s="228"/>
      <c r="E434" s="228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  <c r="AA434" s="237"/>
      <c r="AB434" s="237"/>
      <c r="AC434" s="237"/>
      <c r="AD434" s="237"/>
      <c r="AE434" s="237"/>
      <c r="AF434" s="237"/>
      <c r="AG434" s="237"/>
      <c r="AH434" s="237"/>
      <c r="AI434" s="237"/>
      <c r="AJ434" s="237"/>
      <c r="AK434" s="237"/>
      <c r="AL434" s="237"/>
      <c r="AM434" s="237"/>
      <c r="AN434" s="237"/>
      <c r="AO434" s="237"/>
      <c r="AP434" s="237"/>
      <c r="AQ434" s="237"/>
      <c r="AR434" s="237"/>
      <c r="AS434" s="237"/>
      <c r="AT434" s="237"/>
      <c r="AU434" s="237"/>
      <c r="AV434" s="237"/>
      <c r="AW434" s="237"/>
      <c r="AX434" s="237"/>
    </row>
    <row r="435" spans="3:50" x14ac:dyDescent="0.2">
      <c r="C435" s="228"/>
      <c r="D435" s="228"/>
      <c r="E435" s="228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  <c r="AA435" s="237"/>
      <c r="AB435" s="237"/>
      <c r="AC435" s="237"/>
      <c r="AD435" s="237"/>
      <c r="AE435" s="237"/>
      <c r="AF435" s="237"/>
      <c r="AG435" s="237"/>
      <c r="AH435" s="237"/>
      <c r="AI435" s="237"/>
      <c r="AJ435" s="237"/>
      <c r="AK435" s="237"/>
      <c r="AL435" s="237"/>
      <c r="AM435" s="237"/>
      <c r="AN435" s="237"/>
      <c r="AO435" s="237"/>
      <c r="AP435" s="237"/>
      <c r="AQ435" s="237"/>
      <c r="AR435" s="237"/>
      <c r="AS435" s="237"/>
      <c r="AT435" s="237"/>
      <c r="AU435" s="237"/>
      <c r="AV435" s="237"/>
      <c r="AW435" s="237"/>
      <c r="AX435" s="237"/>
    </row>
    <row r="436" spans="3:50" x14ac:dyDescent="0.2">
      <c r="C436" s="228"/>
      <c r="D436" s="228"/>
      <c r="E436" s="228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  <c r="AA436" s="237"/>
      <c r="AB436" s="237"/>
      <c r="AC436" s="237"/>
      <c r="AD436" s="237"/>
      <c r="AE436" s="237"/>
      <c r="AF436" s="237"/>
      <c r="AG436" s="237"/>
      <c r="AH436" s="237"/>
      <c r="AI436" s="237"/>
      <c r="AJ436" s="237"/>
      <c r="AK436" s="237"/>
      <c r="AL436" s="237"/>
      <c r="AM436" s="237"/>
      <c r="AN436" s="237"/>
      <c r="AO436" s="237"/>
      <c r="AP436" s="237"/>
      <c r="AQ436" s="237"/>
      <c r="AR436" s="237"/>
      <c r="AS436" s="237"/>
      <c r="AT436" s="237"/>
      <c r="AU436" s="237"/>
      <c r="AV436" s="237"/>
      <c r="AW436" s="237"/>
      <c r="AX436" s="237"/>
    </row>
    <row r="437" spans="3:50" x14ac:dyDescent="0.2">
      <c r="C437" s="228"/>
      <c r="D437" s="228"/>
      <c r="E437" s="228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  <c r="AA437" s="237"/>
      <c r="AB437" s="237"/>
      <c r="AC437" s="237"/>
      <c r="AD437" s="237"/>
      <c r="AE437" s="237"/>
      <c r="AF437" s="237"/>
      <c r="AG437" s="237"/>
      <c r="AH437" s="237"/>
      <c r="AI437" s="237"/>
      <c r="AJ437" s="237"/>
      <c r="AK437" s="237"/>
      <c r="AL437" s="237"/>
      <c r="AM437" s="237"/>
      <c r="AN437" s="237"/>
      <c r="AO437" s="237"/>
      <c r="AP437" s="237"/>
      <c r="AQ437" s="237"/>
      <c r="AR437" s="237"/>
      <c r="AS437" s="237"/>
      <c r="AT437" s="237"/>
      <c r="AU437" s="237"/>
      <c r="AV437" s="237"/>
      <c r="AW437" s="237"/>
      <c r="AX437" s="237"/>
    </row>
    <row r="438" spans="3:50" x14ac:dyDescent="0.2">
      <c r="C438" s="228"/>
      <c r="D438" s="228"/>
      <c r="E438" s="228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7"/>
      <c r="AM438" s="237"/>
      <c r="AN438" s="237"/>
      <c r="AO438" s="237"/>
      <c r="AP438" s="237"/>
      <c r="AQ438" s="237"/>
      <c r="AR438" s="237"/>
      <c r="AS438" s="237"/>
      <c r="AT438" s="237"/>
      <c r="AU438" s="237"/>
      <c r="AV438" s="237"/>
      <c r="AW438" s="237"/>
      <c r="AX438" s="237"/>
    </row>
    <row r="439" spans="3:50" x14ac:dyDescent="0.2">
      <c r="C439" s="228"/>
      <c r="D439" s="228"/>
      <c r="E439" s="228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  <c r="AC439" s="237"/>
      <c r="AD439" s="237"/>
      <c r="AE439" s="237"/>
      <c r="AF439" s="237"/>
      <c r="AG439" s="237"/>
      <c r="AH439" s="237"/>
      <c r="AI439" s="237"/>
      <c r="AJ439" s="237"/>
      <c r="AK439" s="237"/>
      <c r="AL439" s="237"/>
      <c r="AM439" s="237"/>
      <c r="AN439" s="237"/>
      <c r="AO439" s="237"/>
      <c r="AP439" s="237"/>
      <c r="AQ439" s="237"/>
      <c r="AR439" s="237"/>
      <c r="AS439" s="237"/>
      <c r="AT439" s="237"/>
      <c r="AU439" s="237"/>
      <c r="AV439" s="237"/>
      <c r="AW439" s="237"/>
      <c r="AX439" s="237"/>
    </row>
    <row r="440" spans="3:50" x14ac:dyDescent="0.2">
      <c r="C440" s="228"/>
      <c r="D440" s="228"/>
      <c r="E440" s="228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  <c r="AA440" s="237"/>
      <c r="AB440" s="237"/>
      <c r="AC440" s="237"/>
      <c r="AD440" s="237"/>
      <c r="AE440" s="237"/>
      <c r="AF440" s="237"/>
      <c r="AG440" s="237"/>
      <c r="AH440" s="237"/>
      <c r="AI440" s="237"/>
      <c r="AJ440" s="237"/>
      <c r="AK440" s="237"/>
      <c r="AL440" s="237"/>
      <c r="AM440" s="237"/>
      <c r="AN440" s="237"/>
      <c r="AO440" s="237"/>
      <c r="AP440" s="237"/>
      <c r="AQ440" s="237"/>
      <c r="AR440" s="237"/>
      <c r="AS440" s="237"/>
      <c r="AT440" s="237"/>
      <c r="AU440" s="237"/>
      <c r="AV440" s="237"/>
      <c r="AW440" s="237"/>
      <c r="AX440" s="237"/>
    </row>
    <row r="441" spans="3:50" x14ac:dyDescent="0.2">
      <c r="C441" s="228"/>
      <c r="D441" s="228"/>
      <c r="E441" s="228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  <c r="AA441" s="237"/>
      <c r="AB441" s="237"/>
      <c r="AC441" s="237"/>
      <c r="AD441" s="237"/>
      <c r="AE441" s="237"/>
      <c r="AF441" s="237"/>
      <c r="AG441" s="237"/>
      <c r="AH441" s="237"/>
      <c r="AI441" s="237"/>
      <c r="AJ441" s="237"/>
      <c r="AK441" s="237"/>
      <c r="AL441" s="237"/>
      <c r="AM441" s="237"/>
      <c r="AN441" s="237"/>
      <c r="AO441" s="237"/>
      <c r="AP441" s="237"/>
      <c r="AQ441" s="237"/>
      <c r="AR441" s="237"/>
      <c r="AS441" s="237"/>
      <c r="AT441" s="237"/>
      <c r="AU441" s="237"/>
      <c r="AV441" s="237"/>
      <c r="AW441" s="237"/>
      <c r="AX441" s="237"/>
    </row>
    <row r="442" spans="3:50" x14ac:dyDescent="0.2">
      <c r="C442" s="228"/>
      <c r="D442" s="228"/>
      <c r="E442" s="228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  <c r="AA442" s="237"/>
      <c r="AB442" s="237"/>
      <c r="AC442" s="237"/>
      <c r="AD442" s="237"/>
      <c r="AE442" s="237"/>
      <c r="AF442" s="237"/>
      <c r="AG442" s="237"/>
      <c r="AH442" s="237"/>
      <c r="AI442" s="237"/>
      <c r="AJ442" s="237"/>
      <c r="AK442" s="237"/>
      <c r="AL442" s="237"/>
      <c r="AM442" s="237"/>
      <c r="AN442" s="237"/>
      <c r="AO442" s="237"/>
      <c r="AP442" s="237"/>
      <c r="AQ442" s="237"/>
      <c r="AR442" s="237"/>
      <c r="AS442" s="237"/>
      <c r="AT442" s="237"/>
      <c r="AU442" s="237"/>
      <c r="AV442" s="237"/>
      <c r="AW442" s="237"/>
      <c r="AX442" s="237"/>
    </row>
    <row r="443" spans="3:50" x14ac:dyDescent="0.2">
      <c r="C443" s="228"/>
      <c r="D443" s="228"/>
      <c r="E443" s="228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  <c r="AA443" s="237"/>
      <c r="AB443" s="237"/>
      <c r="AC443" s="237"/>
      <c r="AD443" s="237"/>
      <c r="AE443" s="237"/>
      <c r="AF443" s="237"/>
      <c r="AG443" s="237"/>
      <c r="AH443" s="237"/>
      <c r="AI443" s="237"/>
      <c r="AJ443" s="237"/>
      <c r="AK443" s="237"/>
      <c r="AL443" s="237"/>
      <c r="AM443" s="237"/>
      <c r="AN443" s="237"/>
      <c r="AO443" s="237"/>
      <c r="AP443" s="237"/>
      <c r="AQ443" s="237"/>
      <c r="AR443" s="237"/>
      <c r="AS443" s="237"/>
      <c r="AT443" s="237"/>
      <c r="AU443" s="237"/>
      <c r="AV443" s="237"/>
      <c r="AW443" s="237"/>
      <c r="AX443" s="237"/>
    </row>
    <row r="444" spans="3:50" x14ac:dyDescent="0.2">
      <c r="C444" s="228"/>
      <c r="D444" s="228"/>
      <c r="E444" s="228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  <c r="AA444" s="237"/>
      <c r="AB444" s="237"/>
      <c r="AC444" s="237"/>
      <c r="AD444" s="237"/>
      <c r="AE444" s="237"/>
      <c r="AF444" s="237"/>
      <c r="AG444" s="237"/>
      <c r="AH444" s="237"/>
      <c r="AI444" s="237"/>
      <c r="AJ444" s="237"/>
      <c r="AK444" s="237"/>
      <c r="AL444" s="237"/>
      <c r="AM444" s="237"/>
      <c r="AN444" s="237"/>
      <c r="AO444" s="237"/>
      <c r="AP444" s="237"/>
      <c r="AQ444" s="237"/>
      <c r="AR444" s="237"/>
      <c r="AS444" s="237"/>
      <c r="AT444" s="237"/>
      <c r="AU444" s="237"/>
      <c r="AV444" s="237"/>
      <c r="AW444" s="237"/>
      <c r="AX444" s="237"/>
    </row>
    <row r="445" spans="3:50" x14ac:dyDescent="0.2">
      <c r="C445" s="228"/>
      <c r="D445" s="228"/>
      <c r="E445" s="228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  <c r="AA445" s="237"/>
      <c r="AB445" s="237"/>
      <c r="AC445" s="237"/>
      <c r="AD445" s="237"/>
      <c r="AE445" s="237"/>
      <c r="AF445" s="237"/>
      <c r="AG445" s="237"/>
      <c r="AH445" s="237"/>
      <c r="AI445" s="237"/>
      <c r="AJ445" s="237"/>
      <c r="AK445" s="237"/>
      <c r="AL445" s="237"/>
      <c r="AM445" s="237"/>
      <c r="AN445" s="237"/>
      <c r="AO445" s="237"/>
      <c r="AP445" s="237"/>
      <c r="AQ445" s="237"/>
      <c r="AR445" s="237"/>
      <c r="AS445" s="237"/>
      <c r="AT445" s="237"/>
      <c r="AU445" s="237"/>
      <c r="AV445" s="237"/>
      <c r="AW445" s="237"/>
      <c r="AX445" s="237"/>
    </row>
    <row r="446" spans="3:50" x14ac:dyDescent="0.2">
      <c r="C446" s="228"/>
      <c r="D446" s="228"/>
      <c r="E446" s="228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  <c r="AA446" s="237"/>
      <c r="AB446" s="237"/>
      <c r="AC446" s="237"/>
      <c r="AD446" s="237"/>
      <c r="AE446" s="237"/>
      <c r="AF446" s="237"/>
      <c r="AG446" s="237"/>
      <c r="AH446" s="237"/>
      <c r="AI446" s="237"/>
      <c r="AJ446" s="237"/>
      <c r="AK446" s="237"/>
      <c r="AL446" s="237"/>
      <c r="AM446" s="237"/>
      <c r="AN446" s="237"/>
      <c r="AO446" s="237"/>
      <c r="AP446" s="237"/>
      <c r="AQ446" s="237"/>
      <c r="AR446" s="237"/>
      <c r="AS446" s="237"/>
      <c r="AT446" s="237"/>
      <c r="AU446" s="237"/>
      <c r="AV446" s="237"/>
      <c r="AW446" s="237"/>
      <c r="AX446" s="237"/>
    </row>
    <row r="447" spans="3:50" x14ac:dyDescent="0.2">
      <c r="C447" s="228"/>
      <c r="D447" s="228"/>
      <c r="E447" s="228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  <c r="AA447" s="237"/>
      <c r="AB447" s="237"/>
      <c r="AC447" s="237"/>
      <c r="AD447" s="237"/>
      <c r="AE447" s="237"/>
      <c r="AF447" s="237"/>
      <c r="AG447" s="237"/>
      <c r="AH447" s="237"/>
      <c r="AI447" s="237"/>
      <c r="AJ447" s="237"/>
      <c r="AK447" s="237"/>
      <c r="AL447" s="237"/>
      <c r="AM447" s="237"/>
      <c r="AN447" s="237"/>
      <c r="AO447" s="237"/>
      <c r="AP447" s="237"/>
      <c r="AQ447" s="237"/>
      <c r="AR447" s="237"/>
      <c r="AS447" s="237"/>
      <c r="AT447" s="237"/>
      <c r="AU447" s="237"/>
      <c r="AV447" s="237"/>
      <c r="AW447" s="237"/>
      <c r="AX447" s="237"/>
    </row>
    <row r="448" spans="3:50" x14ac:dyDescent="0.2">
      <c r="C448" s="228"/>
      <c r="D448" s="228"/>
      <c r="E448" s="228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7"/>
      <c r="AM448" s="237"/>
      <c r="AN448" s="237"/>
      <c r="AO448" s="237"/>
      <c r="AP448" s="237"/>
      <c r="AQ448" s="237"/>
      <c r="AR448" s="237"/>
      <c r="AS448" s="237"/>
      <c r="AT448" s="237"/>
      <c r="AU448" s="237"/>
      <c r="AV448" s="237"/>
      <c r="AW448" s="237"/>
      <c r="AX448" s="237"/>
    </row>
    <row r="449" spans="3:50" x14ac:dyDescent="0.2">
      <c r="C449" s="228"/>
      <c r="D449" s="228"/>
      <c r="E449" s="228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  <c r="AA449" s="237"/>
      <c r="AB449" s="237"/>
      <c r="AC449" s="237"/>
      <c r="AD449" s="237"/>
      <c r="AE449" s="237"/>
      <c r="AF449" s="237"/>
      <c r="AG449" s="237"/>
      <c r="AH449" s="237"/>
      <c r="AI449" s="237"/>
      <c r="AJ449" s="237"/>
      <c r="AK449" s="237"/>
      <c r="AL449" s="237"/>
      <c r="AM449" s="237"/>
      <c r="AN449" s="237"/>
      <c r="AO449" s="237"/>
      <c r="AP449" s="237"/>
      <c r="AQ449" s="237"/>
      <c r="AR449" s="237"/>
      <c r="AS449" s="237"/>
      <c r="AT449" s="237"/>
      <c r="AU449" s="237"/>
      <c r="AV449" s="237"/>
      <c r="AW449" s="237"/>
      <c r="AX449" s="237"/>
    </row>
    <row r="450" spans="3:50" x14ac:dyDescent="0.2">
      <c r="C450" s="228"/>
      <c r="D450" s="228"/>
      <c r="E450" s="228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  <c r="AA450" s="237"/>
      <c r="AB450" s="237"/>
      <c r="AC450" s="237"/>
      <c r="AD450" s="237"/>
      <c r="AE450" s="237"/>
      <c r="AF450" s="237"/>
      <c r="AG450" s="237"/>
      <c r="AH450" s="237"/>
      <c r="AI450" s="237"/>
      <c r="AJ450" s="237"/>
      <c r="AK450" s="237"/>
      <c r="AL450" s="237"/>
      <c r="AM450" s="237"/>
      <c r="AN450" s="237"/>
      <c r="AO450" s="237"/>
      <c r="AP450" s="237"/>
      <c r="AQ450" s="237"/>
      <c r="AR450" s="237"/>
      <c r="AS450" s="237"/>
      <c r="AT450" s="237"/>
      <c r="AU450" s="237"/>
      <c r="AV450" s="237"/>
      <c r="AW450" s="237"/>
      <c r="AX450" s="237"/>
    </row>
    <row r="451" spans="3:50" x14ac:dyDescent="0.2">
      <c r="C451" s="228"/>
      <c r="D451" s="228"/>
      <c r="E451" s="228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  <c r="AA451" s="237"/>
      <c r="AB451" s="237"/>
      <c r="AC451" s="237"/>
      <c r="AD451" s="237"/>
      <c r="AE451" s="237"/>
      <c r="AF451" s="237"/>
      <c r="AG451" s="237"/>
      <c r="AH451" s="237"/>
      <c r="AI451" s="237"/>
      <c r="AJ451" s="237"/>
      <c r="AK451" s="237"/>
      <c r="AL451" s="237"/>
      <c r="AM451" s="237"/>
      <c r="AN451" s="237"/>
      <c r="AO451" s="237"/>
      <c r="AP451" s="237"/>
      <c r="AQ451" s="237"/>
      <c r="AR451" s="237"/>
      <c r="AS451" s="237"/>
      <c r="AT451" s="237"/>
      <c r="AU451" s="237"/>
      <c r="AV451" s="237"/>
      <c r="AW451" s="237"/>
      <c r="AX451" s="237"/>
    </row>
    <row r="452" spans="3:50" x14ac:dyDescent="0.2">
      <c r="C452" s="228"/>
      <c r="D452" s="228"/>
      <c r="E452" s="228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  <c r="AC452" s="237"/>
      <c r="AD452" s="237"/>
      <c r="AE452" s="237"/>
      <c r="AF452" s="237"/>
      <c r="AG452" s="237"/>
      <c r="AH452" s="237"/>
      <c r="AI452" s="237"/>
      <c r="AJ452" s="237"/>
      <c r="AK452" s="237"/>
      <c r="AL452" s="237"/>
      <c r="AM452" s="237"/>
      <c r="AN452" s="237"/>
      <c r="AO452" s="237"/>
      <c r="AP452" s="237"/>
      <c r="AQ452" s="237"/>
      <c r="AR452" s="237"/>
      <c r="AS452" s="237"/>
      <c r="AT452" s="237"/>
      <c r="AU452" s="237"/>
      <c r="AV452" s="237"/>
      <c r="AW452" s="237"/>
      <c r="AX452" s="237"/>
    </row>
    <row r="453" spans="3:50" x14ac:dyDescent="0.2">
      <c r="C453" s="228"/>
      <c r="D453" s="228"/>
      <c r="E453" s="228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  <c r="AA453" s="237"/>
      <c r="AB453" s="237"/>
      <c r="AC453" s="237"/>
      <c r="AD453" s="237"/>
      <c r="AE453" s="237"/>
      <c r="AF453" s="237"/>
      <c r="AG453" s="237"/>
      <c r="AH453" s="237"/>
      <c r="AI453" s="237"/>
      <c r="AJ453" s="237"/>
      <c r="AK453" s="237"/>
      <c r="AL453" s="237"/>
      <c r="AM453" s="237"/>
      <c r="AN453" s="237"/>
      <c r="AO453" s="237"/>
      <c r="AP453" s="237"/>
      <c r="AQ453" s="237"/>
      <c r="AR453" s="237"/>
      <c r="AS453" s="237"/>
      <c r="AT453" s="237"/>
      <c r="AU453" s="237"/>
      <c r="AV453" s="237"/>
      <c r="AW453" s="237"/>
      <c r="AX453" s="237"/>
    </row>
    <row r="454" spans="3:50" x14ac:dyDescent="0.2">
      <c r="C454" s="228"/>
      <c r="D454" s="228"/>
      <c r="E454" s="228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  <c r="AA454" s="237"/>
      <c r="AB454" s="237"/>
      <c r="AC454" s="237"/>
      <c r="AD454" s="237"/>
      <c r="AE454" s="237"/>
      <c r="AF454" s="237"/>
      <c r="AG454" s="237"/>
      <c r="AH454" s="237"/>
      <c r="AI454" s="237"/>
      <c r="AJ454" s="237"/>
      <c r="AK454" s="237"/>
      <c r="AL454" s="237"/>
      <c r="AM454" s="237"/>
      <c r="AN454" s="237"/>
      <c r="AO454" s="237"/>
      <c r="AP454" s="237"/>
      <c r="AQ454" s="237"/>
      <c r="AR454" s="237"/>
      <c r="AS454" s="237"/>
      <c r="AT454" s="237"/>
      <c r="AU454" s="237"/>
      <c r="AV454" s="237"/>
      <c r="AW454" s="237"/>
      <c r="AX454" s="237"/>
    </row>
    <row r="455" spans="3:50" x14ac:dyDescent="0.2">
      <c r="C455" s="228"/>
      <c r="D455" s="228"/>
      <c r="E455" s="228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  <c r="AA455" s="237"/>
      <c r="AB455" s="237"/>
      <c r="AC455" s="237"/>
      <c r="AD455" s="237"/>
      <c r="AE455" s="237"/>
      <c r="AF455" s="237"/>
      <c r="AG455" s="237"/>
      <c r="AH455" s="237"/>
      <c r="AI455" s="237"/>
      <c r="AJ455" s="237"/>
      <c r="AK455" s="237"/>
      <c r="AL455" s="237"/>
      <c r="AM455" s="237"/>
      <c r="AN455" s="237"/>
      <c r="AO455" s="237"/>
      <c r="AP455" s="237"/>
      <c r="AQ455" s="237"/>
      <c r="AR455" s="237"/>
      <c r="AS455" s="237"/>
      <c r="AT455" s="237"/>
      <c r="AU455" s="237"/>
      <c r="AV455" s="237"/>
      <c r="AW455" s="237"/>
      <c r="AX455" s="237"/>
    </row>
    <row r="456" spans="3:50" x14ac:dyDescent="0.2">
      <c r="C456" s="228"/>
      <c r="D456" s="228"/>
      <c r="E456" s="228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  <c r="AA456" s="237"/>
      <c r="AB456" s="237"/>
      <c r="AC456" s="237"/>
      <c r="AD456" s="237"/>
      <c r="AE456" s="237"/>
      <c r="AF456" s="237"/>
      <c r="AG456" s="237"/>
      <c r="AH456" s="237"/>
      <c r="AI456" s="237"/>
      <c r="AJ456" s="237"/>
      <c r="AK456" s="237"/>
      <c r="AL456" s="237"/>
      <c r="AM456" s="237"/>
      <c r="AN456" s="237"/>
      <c r="AO456" s="237"/>
      <c r="AP456" s="237"/>
      <c r="AQ456" s="237"/>
      <c r="AR456" s="237"/>
      <c r="AS456" s="237"/>
      <c r="AT456" s="237"/>
      <c r="AU456" s="237"/>
      <c r="AV456" s="237"/>
      <c r="AW456" s="237"/>
      <c r="AX456" s="237"/>
    </row>
    <row r="457" spans="3:50" x14ac:dyDescent="0.2">
      <c r="C457" s="228"/>
      <c r="D457" s="228"/>
      <c r="E457" s="228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  <c r="AA457" s="237"/>
      <c r="AB457" s="237"/>
      <c r="AC457" s="237"/>
      <c r="AD457" s="237"/>
      <c r="AE457" s="237"/>
      <c r="AF457" s="237"/>
      <c r="AG457" s="237"/>
      <c r="AH457" s="237"/>
      <c r="AI457" s="237"/>
      <c r="AJ457" s="237"/>
      <c r="AK457" s="237"/>
      <c r="AL457" s="237"/>
      <c r="AM457" s="237"/>
      <c r="AN457" s="237"/>
      <c r="AO457" s="237"/>
      <c r="AP457" s="237"/>
      <c r="AQ457" s="237"/>
      <c r="AR457" s="237"/>
      <c r="AS457" s="237"/>
      <c r="AT457" s="237"/>
      <c r="AU457" s="237"/>
      <c r="AV457" s="237"/>
      <c r="AW457" s="237"/>
      <c r="AX457" s="237"/>
    </row>
    <row r="458" spans="3:50" x14ac:dyDescent="0.2">
      <c r="C458" s="228"/>
      <c r="D458" s="228"/>
      <c r="E458" s="228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  <c r="AA458" s="237"/>
      <c r="AB458" s="237"/>
      <c r="AC458" s="237"/>
      <c r="AD458" s="237"/>
      <c r="AE458" s="237"/>
      <c r="AF458" s="237"/>
      <c r="AG458" s="237"/>
      <c r="AH458" s="237"/>
      <c r="AI458" s="237"/>
      <c r="AJ458" s="237"/>
      <c r="AK458" s="237"/>
      <c r="AL458" s="237"/>
      <c r="AM458" s="237"/>
      <c r="AN458" s="237"/>
      <c r="AO458" s="237"/>
      <c r="AP458" s="237"/>
      <c r="AQ458" s="237"/>
      <c r="AR458" s="237"/>
      <c r="AS458" s="237"/>
      <c r="AT458" s="237"/>
      <c r="AU458" s="237"/>
      <c r="AV458" s="237"/>
      <c r="AW458" s="237"/>
      <c r="AX458" s="237"/>
    </row>
    <row r="459" spans="3:50" x14ac:dyDescent="0.2">
      <c r="C459" s="228"/>
      <c r="D459" s="228"/>
      <c r="E459" s="228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  <c r="AA459" s="237"/>
      <c r="AB459" s="237"/>
      <c r="AC459" s="237"/>
      <c r="AD459" s="237"/>
      <c r="AE459" s="237"/>
      <c r="AF459" s="237"/>
      <c r="AG459" s="237"/>
      <c r="AH459" s="237"/>
      <c r="AI459" s="237"/>
      <c r="AJ459" s="237"/>
      <c r="AK459" s="237"/>
      <c r="AL459" s="237"/>
      <c r="AM459" s="237"/>
      <c r="AN459" s="237"/>
      <c r="AO459" s="237"/>
      <c r="AP459" s="237"/>
      <c r="AQ459" s="237"/>
      <c r="AR459" s="237"/>
      <c r="AS459" s="237"/>
      <c r="AT459" s="237"/>
      <c r="AU459" s="237"/>
      <c r="AV459" s="237"/>
      <c r="AW459" s="237"/>
      <c r="AX459" s="237"/>
    </row>
    <row r="460" spans="3:50" x14ac:dyDescent="0.2">
      <c r="C460" s="228"/>
      <c r="D460" s="228"/>
      <c r="E460" s="228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  <c r="AA460" s="237"/>
      <c r="AB460" s="237"/>
      <c r="AC460" s="237"/>
      <c r="AD460" s="237"/>
      <c r="AE460" s="237"/>
      <c r="AF460" s="237"/>
      <c r="AG460" s="237"/>
      <c r="AH460" s="237"/>
      <c r="AI460" s="237"/>
      <c r="AJ460" s="237"/>
      <c r="AK460" s="237"/>
      <c r="AL460" s="237"/>
      <c r="AM460" s="237"/>
      <c r="AN460" s="237"/>
      <c r="AO460" s="237"/>
      <c r="AP460" s="237"/>
      <c r="AQ460" s="237"/>
      <c r="AR460" s="237"/>
      <c r="AS460" s="237"/>
      <c r="AT460" s="237"/>
      <c r="AU460" s="237"/>
      <c r="AV460" s="237"/>
      <c r="AW460" s="237"/>
      <c r="AX460" s="237"/>
    </row>
    <row r="461" spans="3:50" x14ac:dyDescent="0.2">
      <c r="C461" s="228"/>
      <c r="D461" s="228"/>
      <c r="E461" s="228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  <c r="AA461" s="237"/>
      <c r="AB461" s="237"/>
      <c r="AC461" s="237"/>
      <c r="AD461" s="237"/>
      <c r="AE461" s="237"/>
      <c r="AF461" s="237"/>
      <c r="AG461" s="237"/>
      <c r="AH461" s="237"/>
      <c r="AI461" s="237"/>
      <c r="AJ461" s="237"/>
      <c r="AK461" s="237"/>
      <c r="AL461" s="237"/>
      <c r="AM461" s="237"/>
      <c r="AN461" s="237"/>
      <c r="AO461" s="237"/>
      <c r="AP461" s="237"/>
      <c r="AQ461" s="237"/>
      <c r="AR461" s="237"/>
      <c r="AS461" s="237"/>
      <c r="AT461" s="237"/>
      <c r="AU461" s="237"/>
      <c r="AV461" s="237"/>
      <c r="AW461" s="237"/>
      <c r="AX461" s="237"/>
    </row>
    <row r="462" spans="3:50" x14ac:dyDescent="0.2">
      <c r="C462" s="228"/>
      <c r="D462" s="228"/>
      <c r="E462" s="228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  <c r="AA462" s="237"/>
      <c r="AB462" s="237"/>
      <c r="AC462" s="237"/>
      <c r="AD462" s="237"/>
      <c r="AE462" s="237"/>
      <c r="AF462" s="237"/>
      <c r="AG462" s="237"/>
      <c r="AH462" s="237"/>
      <c r="AI462" s="237"/>
      <c r="AJ462" s="237"/>
      <c r="AK462" s="237"/>
      <c r="AL462" s="237"/>
      <c r="AM462" s="237"/>
      <c r="AN462" s="237"/>
      <c r="AO462" s="237"/>
      <c r="AP462" s="237"/>
      <c r="AQ462" s="237"/>
      <c r="AR462" s="237"/>
      <c r="AS462" s="237"/>
      <c r="AT462" s="237"/>
      <c r="AU462" s="237"/>
      <c r="AV462" s="237"/>
      <c r="AW462" s="237"/>
      <c r="AX462" s="237"/>
    </row>
    <row r="463" spans="3:50" x14ac:dyDescent="0.2">
      <c r="C463" s="228"/>
      <c r="D463" s="228"/>
      <c r="E463" s="228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  <c r="AA463" s="237"/>
      <c r="AB463" s="237"/>
      <c r="AC463" s="237"/>
      <c r="AD463" s="237"/>
      <c r="AE463" s="237"/>
      <c r="AF463" s="237"/>
      <c r="AG463" s="237"/>
      <c r="AH463" s="237"/>
      <c r="AI463" s="237"/>
      <c r="AJ463" s="237"/>
      <c r="AK463" s="237"/>
      <c r="AL463" s="237"/>
      <c r="AM463" s="237"/>
      <c r="AN463" s="237"/>
      <c r="AO463" s="237"/>
      <c r="AP463" s="237"/>
      <c r="AQ463" s="237"/>
      <c r="AR463" s="237"/>
      <c r="AS463" s="237"/>
      <c r="AT463" s="237"/>
      <c r="AU463" s="237"/>
      <c r="AV463" s="237"/>
      <c r="AW463" s="237"/>
      <c r="AX463" s="237"/>
    </row>
    <row r="464" spans="3:50" x14ac:dyDescent="0.2">
      <c r="C464" s="228"/>
      <c r="D464" s="228"/>
      <c r="E464" s="228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  <c r="AA464" s="237"/>
      <c r="AB464" s="237"/>
      <c r="AC464" s="237"/>
      <c r="AD464" s="237"/>
      <c r="AE464" s="237"/>
      <c r="AF464" s="237"/>
      <c r="AG464" s="237"/>
      <c r="AH464" s="237"/>
      <c r="AI464" s="237"/>
      <c r="AJ464" s="237"/>
      <c r="AK464" s="237"/>
      <c r="AL464" s="237"/>
      <c r="AM464" s="237"/>
      <c r="AN464" s="237"/>
      <c r="AO464" s="237"/>
      <c r="AP464" s="237"/>
      <c r="AQ464" s="237"/>
      <c r="AR464" s="237"/>
      <c r="AS464" s="237"/>
      <c r="AT464" s="237"/>
      <c r="AU464" s="237"/>
      <c r="AV464" s="237"/>
      <c r="AW464" s="237"/>
      <c r="AX464" s="237"/>
    </row>
    <row r="465" spans="3:50" x14ac:dyDescent="0.2">
      <c r="C465" s="228"/>
      <c r="D465" s="228"/>
      <c r="E465" s="228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  <c r="AA465" s="237"/>
      <c r="AB465" s="237"/>
      <c r="AC465" s="237"/>
      <c r="AD465" s="237"/>
      <c r="AE465" s="237"/>
      <c r="AF465" s="237"/>
      <c r="AG465" s="237"/>
      <c r="AH465" s="237"/>
      <c r="AI465" s="237"/>
      <c r="AJ465" s="237"/>
      <c r="AK465" s="237"/>
      <c r="AL465" s="237"/>
      <c r="AM465" s="237"/>
      <c r="AN465" s="237"/>
      <c r="AO465" s="237"/>
      <c r="AP465" s="237"/>
      <c r="AQ465" s="237"/>
      <c r="AR465" s="237"/>
      <c r="AS465" s="237"/>
      <c r="AT465" s="237"/>
      <c r="AU465" s="237"/>
      <c r="AV465" s="237"/>
      <c r="AW465" s="237"/>
      <c r="AX465" s="237"/>
    </row>
    <row r="466" spans="3:50" x14ac:dyDescent="0.2">
      <c r="C466" s="228"/>
      <c r="D466" s="228"/>
      <c r="E466" s="228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  <c r="AA466" s="237"/>
      <c r="AB466" s="237"/>
      <c r="AC466" s="237"/>
      <c r="AD466" s="237"/>
      <c r="AE466" s="237"/>
      <c r="AF466" s="237"/>
      <c r="AG466" s="237"/>
      <c r="AH466" s="237"/>
      <c r="AI466" s="237"/>
      <c r="AJ466" s="237"/>
      <c r="AK466" s="237"/>
      <c r="AL466" s="237"/>
      <c r="AM466" s="237"/>
      <c r="AN466" s="237"/>
      <c r="AO466" s="237"/>
      <c r="AP466" s="237"/>
      <c r="AQ466" s="237"/>
      <c r="AR466" s="237"/>
      <c r="AS466" s="237"/>
      <c r="AT466" s="237"/>
      <c r="AU466" s="237"/>
      <c r="AV466" s="237"/>
      <c r="AW466" s="237"/>
      <c r="AX466" s="237"/>
    </row>
    <row r="467" spans="3:50" x14ac:dyDescent="0.2">
      <c r="C467" s="228"/>
      <c r="D467" s="228"/>
      <c r="E467" s="228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  <c r="AA467" s="237"/>
      <c r="AB467" s="237"/>
      <c r="AC467" s="237"/>
      <c r="AD467" s="237"/>
      <c r="AE467" s="237"/>
      <c r="AF467" s="237"/>
      <c r="AG467" s="237"/>
      <c r="AH467" s="237"/>
      <c r="AI467" s="237"/>
      <c r="AJ467" s="237"/>
      <c r="AK467" s="237"/>
      <c r="AL467" s="237"/>
      <c r="AM467" s="237"/>
      <c r="AN467" s="237"/>
      <c r="AO467" s="237"/>
      <c r="AP467" s="237"/>
      <c r="AQ467" s="237"/>
      <c r="AR467" s="237"/>
      <c r="AS467" s="237"/>
      <c r="AT467" s="237"/>
      <c r="AU467" s="237"/>
      <c r="AV467" s="237"/>
      <c r="AW467" s="237"/>
      <c r="AX467" s="237"/>
    </row>
    <row r="468" spans="3:50" x14ac:dyDescent="0.2">
      <c r="C468" s="228"/>
      <c r="D468" s="228"/>
      <c r="E468" s="228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  <c r="AA468" s="237"/>
      <c r="AB468" s="237"/>
      <c r="AC468" s="237"/>
      <c r="AD468" s="237"/>
      <c r="AE468" s="237"/>
      <c r="AF468" s="237"/>
      <c r="AG468" s="237"/>
      <c r="AH468" s="237"/>
      <c r="AI468" s="237"/>
      <c r="AJ468" s="237"/>
      <c r="AK468" s="237"/>
      <c r="AL468" s="237"/>
      <c r="AM468" s="237"/>
      <c r="AN468" s="237"/>
      <c r="AO468" s="237"/>
      <c r="AP468" s="237"/>
      <c r="AQ468" s="237"/>
      <c r="AR468" s="237"/>
      <c r="AS468" s="237"/>
      <c r="AT468" s="237"/>
      <c r="AU468" s="237"/>
      <c r="AV468" s="237"/>
      <c r="AW468" s="237"/>
      <c r="AX468" s="237"/>
    </row>
    <row r="469" spans="3:50" x14ac:dyDescent="0.2">
      <c r="C469" s="228"/>
      <c r="D469" s="228"/>
      <c r="E469" s="228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  <c r="AA469" s="237"/>
      <c r="AB469" s="237"/>
      <c r="AC469" s="237"/>
      <c r="AD469" s="237"/>
      <c r="AE469" s="237"/>
      <c r="AF469" s="237"/>
      <c r="AG469" s="237"/>
      <c r="AH469" s="237"/>
      <c r="AI469" s="237"/>
      <c r="AJ469" s="237"/>
      <c r="AK469" s="237"/>
      <c r="AL469" s="237"/>
      <c r="AM469" s="237"/>
      <c r="AN469" s="237"/>
      <c r="AO469" s="237"/>
      <c r="AP469" s="237"/>
      <c r="AQ469" s="237"/>
      <c r="AR469" s="237"/>
      <c r="AS469" s="237"/>
      <c r="AT469" s="237"/>
      <c r="AU469" s="237"/>
      <c r="AV469" s="237"/>
      <c r="AW469" s="237"/>
      <c r="AX469" s="237"/>
    </row>
    <row r="470" spans="3:50" x14ac:dyDescent="0.2">
      <c r="C470" s="228"/>
      <c r="D470" s="228"/>
      <c r="E470" s="228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  <c r="AA470" s="237"/>
      <c r="AB470" s="237"/>
      <c r="AC470" s="237"/>
      <c r="AD470" s="237"/>
      <c r="AE470" s="237"/>
      <c r="AF470" s="237"/>
      <c r="AG470" s="237"/>
      <c r="AH470" s="237"/>
      <c r="AI470" s="237"/>
      <c r="AJ470" s="237"/>
      <c r="AK470" s="237"/>
      <c r="AL470" s="237"/>
      <c r="AM470" s="237"/>
      <c r="AN470" s="237"/>
      <c r="AO470" s="237"/>
      <c r="AP470" s="237"/>
      <c r="AQ470" s="237"/>
      <c r="AR470" s="237"/>
      <c r="AS470" s="237"/>
      <c r="AT470" s="237"/>
      <c r="AU470" s="237"/>
      <c r="AV470" s="237"/>
      <c r="AW470" s="237"/>
      <c r="AX470" s="237"/>
    </row>
    <row r="471" spans="3:50" x14ac:dyDescent="0.2">
      <c r="C471" s="228"/>
      <c r="D471" s="228"/>
      <c r="E471" s="228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  <c r="AA471" s="237"/>
      <c r="AB471" s="237"/>
      <c r="AC471" s="237"/>
      <c r="AD471" s="237"/>
      <c r="AE471" s="237"/>
      <c r="AF471" s="237"/>
      <c r="AG471" s="237"/>
      <c r="AH471" s="237"/>
      <c r="AI471" s="237"/>
      <c r="AJ471" s="237"/>
      <c r="AK471" s="237"/>
      <c r="AL471" s="237"/>
      <c r="AM471" s="237"/>
      <c r="AN471" s="237"/>
      <c r="AO471" s="237"/>
      <c r="AP471" s="237"/>
      <c r="AQ471" s="237"/>
      <c r="AR471" s="237"/>
      <c r="AS471" s="237"/>
      <c r="AT471" s="237"/>
      <c r="AU471" s="237"/>
      <c r="AV471" s="237"/>
      <c r="AW471" s="237"/>
      <c r="AX471" s="237"/>
    </row>
    <row r="472" spans="3:50" x14ac:dyDescent="0.2">
      <c r="C472" s="228"/>
      <c r="D472" s="228"/>
      <c r="E472" s="228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  <c r="AA472" s="237"/>
      <c r="AB472" s="237"/>
      <c r="AC472" s="237"/>
      <c r="AD472" s="237"/>
      <c r="AE472" s="237"/>
      <c r="AF472" s="237"/>
      <c r="AG472" s="237"/>
      <c r="AH472" s="237"/>
      <c r="AI472" s="237"/>
      <c r="AJ472" s="237"/>
      <c r="AK472" s="237"/>
      <c r="AL472" s="237"/>
      <c r="AM472" s="237"/>
      <c r="AN472" s="237"/>
      <c r="AO472" s="237"/>
      <c r="AP472" s="237"/>
      <c r="AQ472" s="237"/>
      <c r="AR472" s="237"/>
      <c r="AS472" s="237"/>
      <c r="AT472" s="237"/>
      <c r="AU472" s="237"/>
      <c r="AV472" s="237"/>
      <c r="AW472" s="237"/>
      <c r="AX472" s="237"/>
    </row>
    <row r="473" spans="3:50" x14ac:dyDescent="0.2">
      <c r="C473" s="228"/>
      <c r="D473" s="228"/>
      <c r="E473" s="228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  <c r="AA473" s="237"/>
      <c r="AB473" s="237"/>
      <c r="AC473" s="237"/>
      <c r="AD473" s="237"/>
      <c r="AE473" s="237"/>
      <c r="AF473" s="237"/>
      <c r="AG473" s="237"/>
      <c r="AH473" s="237"/>
      <c r="AI473" s="237"/>
      <c r="AJ473" s="237"/>
      <c r="AK473" s="237"/>
      <c r="AL473" s="237"/>
      <c r="AM473" s="237"/>
      <c r="AN473" s="237"/>
      <c r="AO473" s="237"/>
      <c r="AP473" s="237"/>
      <c r="AQ473" s="237"/>
      <c r="AR473" s="237"/>
      <c r="AS473" s="237"/>
      <c r="AT473" s="237"/>
      <c r="AU473" s="237"/>
      <c r="AV473" s="237"/>
      <c r="AW473" s="237"/>
      <c r="AX473" s="237"/>
    </row>
    <row r="474" spans="3:50" x14ac:dyDescent="0.2">
      <c r="C474" s="228"/>
      <c r="D474" s="228"/>
      <c r="E474" s="228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  <c r="AA474" s="237"/>
      <c r="AB474" s="237"/>
      <c r="AC474" s="237"/>
      <c r="AD474" s="237"/>
      <c r="AE474" s="237"/>
      <c r="AF474" s="237"/>
      <c r="AG474" s="237"/>
      <c r="AH474" s="237"/>
      <c r="AI474" s="237"/>
      <c r="AJ474" s="237"/>
      <c r="AK474" s="237"/>
      <c r="AL474" s="237"/>
      <c r="AM474" s="237"/>
      <c r="AN474" s="237"/>
      <c r="AO474" s="237"/>
      <c r="AP474" s="237"/>
      <c r="AQ474" s="237"/>
      <c r="AR474" s="237"/>
      <c r="AS474" s="237"/>
      <c r="AT474" s="237"/>
      <c r="AU474" s="237"/>
      <c r="AV474" s="237"/>
      <c r="AW474" s="237"/>
      <c r="AX474" s="237"/>
    </row>
    <row r="475" spans="3:50" x14ac:dyDescent="0.2">
      <c r="C475" s="228"/>
      <c r="D475" s="228"/>
      <c r="E475" s="228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  <c r="AA475" s="237"/>
      <c r="AB475" s="237"/>
      <c r="AC475" s="237"/>
      <c r="AD475" s="237"/>
      <c r="AE475" s="237"/>
      <c r="AF475" s="237"/>
      <c r="AG475" s="237"/>
      <c r="AH475" s="237"/>
      <c r="AI475" s="237"/>
      <c r="AJ475" s="237"/>
      <c r="AK475" s="237"/>
      <c r="AL475" s="237"/>
      <c r="AM475" s="237"/>
      <c r="AN475" s="237"/>
      <c r="AO475" s="237"/>
      <c r="AP475" s="237"/>
      <c r="AQ475" s="237"/>
      <c r="AR475" s="237"/>
      <c r="AS475" s="237"/>
      <c r="AT475" s="237"/>
      <c r="AU475" s="237"/>
      <c r="AV475" s="237"/>
      <c r="AW475" s="237"/>
      <c r="AX475" s="237"/>
    </row>
    <row r="476" spans="3:50" x14ac:dyDescent="0.2">
      <c r="C476" s="228"/>
      <c r="D476" s="228"/>
      <c r="E476" s="228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  <c r="AA476" s="237"/>
      <c r="AB476" s="237"/>
      <c r="AC476" s="237"/>
      <c r="AD476" s="237"/>
      <c r="AE476" s="237"/>
      <c r="AF476" s="237"/>
      <c r="AG476" s="237"/>
      <c r="AH476" s="237"/>
      <c r="AI476" s="237"/>
      <c r="AJ476" s="237"/>
      <c r="AK476" s="237"/>
      <c r="AL476" s="237"/>
      <c r="AM476" s="237"/>
      <c r="AN476" s="237"/>
      <c r="AO476" s="237"/>
      <c r="AP476" s="237"/>
      <c r="AQ476" s="237"/>
      <c r="AR476" s="237"/>
      <c r="AS476" s="237"/>
      <c r="AT476" s="237"/>
      <c r="AU476" s="237"/>
      <c r="AV476" s="237"/>
      <c r="AW476" s="237"/>
      <c r="AX476" s="237"/>
    </row>
    <row r="477" spans="3:50" x14ac:dyDescent="0.2">
      <c r="C477" s="228"/>
      <c r="D477" s="228"/>
      <c r="E477" s="228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  <c r="AA477" s="237"/>
      <c r="AB477" s="237"/>
      <c r="AC477" s="237"/>
      <c r="AD477" s="237"/>
      <c r="AE477" s="237"/>
      <c r="AF477" s="237"/>
      <c r="AG477" s="237"/>
      <c r="AH477" s="237"/>
      <c r="AI477" s="237"/>
      <c r="AJ477" s="237"/>
      <c r="AK477" s="237"/>
      <c r="AL477" s="237"/>
      <c r="AM477" s="237"/>
      <c r="AN477" s="237"/>
      <c r="AO477" s="237"/>
      <c r="AP477" s="237"/>
      <c r="AQ477" s="237"/>
      <c r="AR477" s="237"/>
      <c r="AS477" s="237"/>
      <c r="AT477" s="237"/>
      <c r="AU477" s="237"/>
      <c r="AV477" s="237"/>
      <c r="AW477" s="237"/>
      <c r="AX477" s="237"/>
    </row>
    <row r="478" spans="3:50" x14ac:dyDescent="0.2">
      <c r="C478" s="228"/>
      <c r="D478" s="228"/>
      <c r="E478" s="228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  <c r="AA478" s="237"/>
      <c r="AB478" s="237"/>
      <c r="AC478" s="237"/>
      <c r="AD478" s="237"/>
      <c r="AE478" s="237"/>
      <c r="AF478" s="237"/>
      <c r="AG478" s="237"/>
      <c r="AH478" s="237"/>
      <c r="AI478" s="237"/>
      <c r="AJ478" s="237"/>
      <c r="AK478" s="237"/>
      <c r="AL478" s="237"/>
      <c r="AM478" s="237"/>
      <c r="AN478" s="237"/>
      <c r="AO478" s="237"/>
      <c r="AP478" s="237"/>
      <c r="AQ478" s="237"/>
      <c r="AR478" s="237"/>
      <c r="AS478" s="237"/>
      <c r="AT478" s="237"/>
      <c r="AU478" s="237"/>
      <c r="AV478" s="237"/>
      <c r="AW478" s="237"/>
      <c r="AX478" s="237"/>
    </row>
    <row r="479" spans="3:50" x14ac:dyDescent="0.2">
      <c r="C479" s="228"/>
      <c r="D479" s="228"/>
      <c r="E479" s="228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  <c r="AA479" s="237"/>
      <c r="AB479" s="237"/>
      <c r="AC479" s="237"/>
      <c r="AD479" s="237"/>
      <c r="AE479" s="237"/>
      <c r="AF479" s="237"/>
      <c r="AG479" s="237"/>
      <c r="AH479" s="237"/>
      <c r="AI479" s="237"/>
      <c r="AJ479" s="237"/>
      <c r="AK479" s="237"/>
      <c r="AL479" s="237"/>
      <c r="AM479" s="237"/>
      <c r="AN479" s="237"/>
      <c r="AO479" s="237"/>
      <c r="AP479" s="237"/>
      <c r="AQ479" s="237"/>
      <c r="AR479" s="237"/>
      <c r="AS479" s="237"/>
      <c r="AT479" s="237"/>
      <c r="AU479" s="237"/>
      <c r="AV479" s="237"/>
      <c r="AW479" s="237"/>
      <c r="AX479" s="237"/>
    </row>
    <row r="480" spans="3:50" x14ac:dyDescent="0.2">
      <c r="C480" s="228"/>
      <c r="D480" s="228"/>
      <c r="E480" s="228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  <c r="AA480" s="237"/>
      <c r="AB480" s="237"/>
      <c r="AC480" s="237"/>
      <c r="AD480" s="237"/>
      <c r="AE480" s="237"/>
      <c r="AF480" s="237"/>
      <c r="AG480" s="237"/>
      <c r="AH480" s="237"/>
      <c r="AI480" s="237"/>
      <c r="AJ480" s="237"/>
      <c r="AK480" s="237"/>
      <c r="AL480" s="237"/>
      <c r="AM480" s="237"/>
      <c r="AN480" s="237"/>
      <c r="AO480" s="237"/>
      <c r="AP480" s="237"/>
      <c r="AQ480" s="237"/>
      <c r="AR480" s="237"/>
      <c r="AS480" s="237"/>
      <c r="AT480" s="237"/>
      <c r="AU480" s="237"/>
      <c r="AV480" s="237"/>
      <c r="AW480" s="237"/>
      <c r="AX480" s="237"/>
    </row>
    <row r="481" spans="3:50" x14ac:dyDescent="0.2">
      <c r="C481" s="228"/>
      <c r="D481" s="228"/>
      <c r="E481" s="228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  <c r="AA481" s="237"/>
      <c r="AB481" s="237"/>
      <c r="AC481" s="237"/>
      <c r="AD481" s="237"/>
      <c r="AE481" s="237"/>
      <c r="AF481" s="237"/>
      <c r="AG481" s="237"/>
      <c r="AH481" s="237"/>
      <c r="AI481" s="237"/>
      <c r="AJ481" s="237"/>
      <c r="AK481" s="237"/>
      <c r="AL481" s="237"/>
      <c r="AM481" s="237"/>
      <c r="AN481" s="237"/>
      <c r="AO481" s="237"/>
      <c r="AP481" s="237"/>
      <c r="AQ481" s="237"/>
      <c r="AR481" s="237"/>
      <c r="AS481" s="237"/>
      <c r="AT481" s="237"/>
      <c r="AU481" s="237"/>
      <c r="AV481" s="237"/>
      <c r="AW481" s="237"/>
      <c r="AX481" s="237"/>
    </row>
    <row r="482" spans="3:50" x14ac:dyDescent="0.2">
      <c r="C482" s="228"/>
      <c r="D482" s="228"/>
      <c r="E482" s="228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  <c r="AA482" s="237"/>
      <c r="AB482" s="237"/>
      <c r="AC482" s="237"/>
      <c r="AD482" s="237"/>
      <c r="AE482" s="237"/>
      <c r="AF482" s="237"/>
      <c r="AG482" s="237"/>
      <c r="AH482" s="237"/>
      <c r="AI482" s="237"/>
      <c r="AJ482" s="237"/>
      <c r="AK482" s="237"/>
      <c r="AL482" s="237"/>
      <c r="AM482" s="237"/>
      <c r="AN482" s="237"/>
      <c r="AO482" s="237"/>
      <c r="AP482" s="237"/>
      <c r="AQ482" s="237"/>
      <c r="AR482" s="237"/>
      <c r="AS482" s="237"/>
      <c r="AT482" s="237"/>
      <c r="AU482" s="237"/>
      <c r="AV482" s="237"/>
      <c r="AW482" s="237"/>
      <c r="AX482" s="237"/>
    </row>
    <row r="483" spans="3:50" x14ac:dyDescent="0.2">
      <c r="C483" s="228"/>
      <c r="D483" s="228"/>
      <c r="E483" s="228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  <c r="AA483" s="237"/>
      <c r="AB483" s="237"/>
      <c r="AC483" s="237"/>
      <c r="AD483" s="237"/>
      <c r="AE483" s="237"/>
      <c r="AF483" s="237"/>
      <c r="AG483" s="237"/>
      <c r="AH483" s="237"/>
      <c r="AI483" s="237"/>
      <c r="AJ483" s="237"/>
      <c r="AK483" s="237"/>
      <c r="AL483" s="237"/>
      <c r="AM483" s="237"/>
      <c r="AN483" s="237"/>
      <c r="AO483" s="237"/>
      <c r="AP483" s="237"/>
      <c r="AQ483" s="237"/>
      <c r="AR483" s="237"/>
      <c r="AS483" s="237"/>
      <c r="AT483" s="237"/>
      <c r="AU483" s="237"/>
      <c r="AV483" s="237"/>
      <c r="AW483" s="237"/>
      <c r="AX483" s="237"/>
    </row>
    <row r="484" spans="3:50" x14ac:dyDescent="0.2">
      <c r="C484" s="228"/>
      <c r="D484" s="228"/>
      <c r="E484" s="228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  <c r="AA484" s="237"/>
      <c r="AB484" s="237"/>
      <c r="AC484" s="237"/>
      <c r="AD484" s="237"/>
      <c r="AE484" s="237"/>
      <c r="AF484" s="237"/>
      <c r="AG484" s="237"/>
      <c r="AH484" s="237"/>
      <c r="AI484" s="237"/>
      <c r="AJ484" s="237"/>
      <c r="AK484" s="237"/>
      <c r="AL484" s="237"/>
      <c r="AM484" s="237"/>
      <c r="AN484" s="237"/>
      <c r="AO484" s="237"/>
      <c r="AP484" s="237"/>
      <c r="AQ484" s="237"/>
      <c r="AR484" s="237"/>
      <c r="AS484" s="237"/>
      <c r="AT484" s="237"/>
      <c r="AU484" s="237"/>
      <c r="AV484" s="237"/>
      <c r="AW484" s="237"/>
      <c r="AX484" s="237"/>
    </row>
    <row r="485" spans="3:50" x14ac:dyDescent="0.2">
      <c r="C485" s="228"/>
      <c r="D485" s="228"/>
      <c r="E485" s="228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  <c r="AA485" s="237"/>
      <c r="AB485" s="237"/>
      <c r="AC485" s="237"/>
      <c r="AD485" s="237"/>
      <c r="AE485" s="237"/>
      <c r="AF485" s="237"/>
      <c r="AG485" s="237"/>
      <c r="AH485" s="237"/>
      <c r="AI485" s="237"/>
      <c r="AJ485" s="237"/>
      <c r="AK485" s="237"/>
      <c r="AL485" s="237"/>
      <c r="AM485" s="237"/>
      <c r="AN485" s="237"/>
      <c r="AO485" s="237"/>
      <c r="AP485" s="237"/>
      <c r="AQ485" s="237"/>
      <c r="AR485" s="237"/>
      <c r="AS485" s="237"/>
      <c r="AT485" s="237"/>
      <c r="AU485" s="237"/>
      <c r="AV485" s="237"/>
      <c r="AW485" s="237"/>
      <c r="AX485" s="237"/>
    </row>
    <row r="486" spans="3:50" x14ac:dyDescent="0.2">
      <c r="C486" s="228"/>
      <c r="D486" s="228"/>
      <c r="E486" s="228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  <c r="AA486" s="237"/>
      <c r="AB486" s="237"/>
      <c r="AC486" s="237"/>
      <c r="AD486" s="237"/>
      <c r="AE486" s="237"/>
      <c r="AF486" s="237"/>
      <c r="AG486" s="237"/>
      <c r="AH486" s="237"/>
      <c r="AI486" s="237"/>
      <c r="AJ486" s="237"/>
      <c r="AK486" s="237"/>
      <c r="AL486" s="237"/>
      <c r="AM486" s="237"/>
      <c r="AN486" s="237"/>
      <c r="AO486" s="237"/>
      <c r="AP486" s="237"/>
      <c r="AQ486" s="237"/>
      <c r="AR486" s="237"/>
      <c r="AS486" s="237"/>
      <c r="AT486" s="237"/>
      <c r="AU486" s="237"/>
      <c r="AV486" s="237"/>
      <c r="AW486" s="237"/>
      <c r="AX486" s="237"/>
    </row>
    <row r="487" spans="3:50" x14ac:dyDescent="0.2">
      <c r="C487" s="228"/>
      <c r="D487" s="228"/>
      <c r="E487" s="228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  <c r="AC487" s="237"/>
      <c r="AD487" s="237"/>
      <c r="AE487" s="237"/>
      <c r="AF487" s="237"/>
      <c r="AG487" s="237"/>
      <c r="AH487" s="237"/>
      <c r="AI487" s="237"/>
      <c r="AJ487" s="237"/>
      <c r="AK487" s="237"/>
      <c r="AL487" s="237"/>
      <c r="AM487" s="237"/>
      <c r="AN487" s="237"/>
      <c r="AO487" s="237"/>
      <c r="AP487" s="237"/>
      <c r="AQ487" s="237"/>
      <c r="AR487" s="237"/>
      <c r="AS487" s="237"/>
      <c r="AT487" s="237"/>
      <c r="AU487" s="237"/>
      <c r="AV487" s="237"/>
      <c r="AW487" s="237"/>
      <c r="AX487" s="237"/>
    </row>
    <row r="488" spans="3:50" x14ac:dyDescent="0.2">
      <c r="C488" s="228"/>
      <c r="D488" s="228"/>
      <c r="E488" s="228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  <c r="AA488" s="237"/>
      <c r="AB488" s="237"/>
      <c r="AC488" s="237"/>
      <c r="AD488" s="237"/>
      <c r="AE488" s="237"/>
      <c r="AF488" s="237"/>
      <c r="AG488" s="237"/>
      <c r="AH488" s="237"/>
      <c r="AI488" s="237"/>
      <c r="AJ488" s="237"/>
      <c r="AK488" s="237"/>
      <c r="AL488" s="237"/>
      <c r="AM488" s="237"/>
      <c r="AN488" s="237"/>
      <c r="AO488" s="237"/>
      <c r="AP488" s="237"/>
      <c r="AQ488" s="237"/>
      <c r="AR488" s="237"/>
      <c r="AS488" s="237"/>
      <c r="AT488" s="237"/>
      <c r="AU488" s="237"/>
      <c r="AV488" s="237"/>
      <c r="AW488" s="237"/>
      <c r="AX488" s="237"/>
    </row>
    <row r="489" spans="3:50" x14ac:dyDescent="0.2">
      <c r="C489" s="228"/>
      <c r="D489" s="228"/>
      <c r="E489" s="228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  <c r="AA489" s="237"/>
      <c r="AB489" s="237"/>
      <c r="AC489" s="237"/>
      <c r="AD489" s="237"/>
      <c r="AE489" s="237"/>
      <c r="AF489" s="237"/>
      <c r="AG489" s="237"/>
      <c r="AH489" s="237"/>
      <c r="AI489" s="237"/>
      <c r="AJ489" s="237"/>
      <c r="AK489" s="237"/>
      <c r="AL489" s="237"/>
      <c r="AM489" s="237"/>
      <c r="AN489" s="237"/>
      <c r="AO489" s="237"/>
      <c r="AP489" s="237"/>
      <c r="AQ489" s="237"/>
      <c r="AR489" s="237"/>
      <c r="AS489" s="237"/>
      <c r="AT489" s="237"/>
      <c r="AU489" s="237"/>
      <c r="AV489" s="237"/>
      <c r="AW489" s="237"/>
      <c r="AX489" s="237"/>
    </row>
    <row r="490" spans="3:50" x14ac:dyDescent="0.2">
      <c r="C490" s="228"/>
      <c r="D490" s="228"/>
      <c r="E490" s="228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  <c r="AA490" s="237"/>
      <c r="AB490" s="237"/>
      <c r="AC490" s="237"/>
      <c r="AD490" s="237"/>
      <c r="AE490" s="237"/>
      <c r="AF490" s="237"/>
      <c r="AG490" s="237"/>
      <c r="AH490" s="237"/>
      <c r="AI490" s="237"/>
      <c r="AJ490" s="237"/>
      <c r="AK490" s="237"/>
      <c r="AL490" s="237"/>
      <c r="AM490" s="237"/>
      <c r="AN490" s="237"/>
      <c r="AO490" s="237"/>
      <c r="AP490" s="237"/>
      <c r="AQ490" s="237"/>
      <c r="AR490" s="237"/>
      <c r="AS490" s="237"/>
      <c r="AT490" s="237"/>
      <c r="AU490" s="237"/>
      <c r="AV490" s="237"/>
      <c r="AW490" s="237"/>
      <c r="AX490" s="237"/>
    </row>
    <row r="491" spans="3:50" x14ac:dyDescent="0.2">
      <c r="C491" s="228"/>
      <c r="D491" s="228"/>
      <c r="E491" s="228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  <c r="AA491" s="237"/>
      <c r="AB491" s="237"/>
      <c r="AC491" s="237"/>
      <c r="AD491" s="237"/>
      <c r="AE491" s="237"/>
      <c r="AF491" s="237"/>
      <c r="AG491" s="237"/>
      <c r="AH491" s="237"/>
      <c r="AI491" s="237"/>
      <c r="AJ491" s="237"/>
      <c r="AK491" s="237"/>
      <c r="AL491" s="237"/>
      <c r="AM491" s="237"/>
      <c r="AN491" s="237"/>
      <c r="AO491" s="237"/>
      <c r="AP491" s="237"/>
      <c r="AQ491" s="237"/>
      <c r="AR491" s="237"/>
      <c r="AS491" s="237"/>
      <c r="AT491" s="237"/>
      <c r="AU491" s="237"/>
      <c r="AV491" s="237"/>
      <c r="AW491" s="237"/>
      <c r="AX491" s="237"/>
    </row>
    <row r="492" spans="3:50" x14ac:dyDescent="0.2">
      <c r="C492" s="228"/>
      <c r="D492" s="228"/>
      <c r="E492" s="228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  <c r="AA492" s="237"/>
      <c r="AB492" s="237"/>
      <c r="AC492" s="237"/>
      <c r="AD492" s="237"/>
      <c r="AE492" s="237"/>
      <c r="AF492" s="237"/>
      <c r="AG492" s="237"/>
      <c r="AH492" s="237"/>
      <c r="AI492" s="237"/>
      <c r="AJ492" s="237"/>
      <c r="AK492" s="237"/>
      <c r="AL492" s="237"/>
      <c r="AM492" s="237"/>
      <c r="AN492" s="237"/>
      <c r="AO492" s="237"/>
      <c r="AP492" s="237"/>
      <c r="AQ492" s="237"/>
      <c r="AR492" s="237"/>
      <c r="AS492" s="237"/>
      <c r="AT492" s="237"/>
      <c r="AU492" s="237"/>
      <c r="AV492" s="237"/>
      <c r="AW492" s="237"/>
      <c r="AX492" s="237"/>
    </row>
    <row r="493" spans="3:50" x14ac:dyDescent="0.2">
      <c r="C493" s="228"/>
      <c r="D493" s="228"/>
      <c r="E493" s="228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  <c r="AA493" s="237"/>
      <c r="AB493" s="237"/>
      <c r="AC493" s="237"/>
      <c r="AD493" s="237"/>
      <c r="AE493" s="237"/>
      <c r="AF493" s="237"/>
      <c r="AG493" s="237"/>
      <c r="AH493" s="237"/>
      <c r="AI493" s="237"/>
      <c r="AJ493" s="237"/>
      <c r="AK493" s="237"/>
      <c r="AL493" s="237"/>
      <c r="AM493" s="237"/>
      <c r="AN493" s="237"/>
      <c r="AO493" s="237"/>
      <c r="AP493" s="237"/>
      <c r="AQ493" s="237"/>
      <c r="AR493" s="237"/>
      <c r="AS493" s="237"/>
      <c r="AT493" s="237"/>
      <c r="AU493" s="237"/>
      <c r="AV493" s="237"/>
      <c r="AW493" s="237"/>
      <c r="AX493" s="237"/>
    </row>
    <row r="494" spans="3:50" x14ac:dyDescent="0.2">
      <c r="C494" s="228"/>
      <c r="D494" s="228"/>
      <c r="E494" s="228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  <c r="AA494" s="237"/>
      <c r="AB494" s="237"/>
      <c r="AC494" s="237"/>
      <c r="AD494" s="237"/>
      <c r="AE494" s="237"/>
      <c r="AF494" s="237"/>
      <c r="AG494" s="237"/>
      <c r="AH494" s="237"/>
      <c r="AI494" s="237"/>
      <c r="AJ494" s="237"/>
      <c r="AK494" s="237"/>
      <c r="AL494" s="237"/>
      <c r="AM494" s="237"/>
      <c r="AN494" s="237"/>
      <c r="AO494" s="237"/>
      <c r="AP494" s="237"/>
      <c r="AQ494" s="237"/>
      <c r="AR494" s="237"/>
      <c r="AS494" s="237"/>
      <c r="AT494" s="237"/>
      <c r="AU494" s="237"/>
      <c r="AV494" s="237"/>
      <c r="AW494" s="237"/>
      <c r="AX494" s="237"/>
    </row>
    <row r="495" spans="3:50" x14ac:dyDescent="0.2">
      <c r="C495" s="228"/>
      <c r="D495" s="228"/>
      <c r="E495" s="228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  <c r="AA495" s="237"/>
      <c r="AB495" s="237"/>
      <c r="AC495" s="237"/>
      <c r="AD495" s="237"/>
      <c r="AE495" s="237"/>
      <c r="AF495" s="237"/>
      <c r="AG495" s="237"/>
      <c r="AH495" s="237"/>
      <c r="AI495" s="237"/>
      <c r="AJ495" s="237"/>
      <c r="AK495" s="237"/>
      <c r="AL495" s="237"/>
      <c r="AM495" s="237"/>
      <c r="AN495" s="237"/>
      <c r="AO495" s="237"/>
      <c r="AP495" s="237"/>
      <c r="AQ495" s="237"/>
      <c r="AR495" s="237"/>
      <c r="AS495" s="237"/>
      <c r="AT495" s="237"/>
      <c r="AU495" s="237"/>
      <c r="AV495" s="237"/>
      <c r="AW495" s="237"/>
      <c r="AX495" s="237"/>
    </row>
    <row r="496" spans="3:50" x14ac:dyDescent="0.2">
      <c r="C496" s="228"/>
      <c r="D496" s="228"/>
      <c r="E496" s="228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  <c r="AC496" s="237"/>
      <c r="AD496" s="237"/>
      <c r="AE496" s="237"/>
      <c r="AF496" s="237"/>
      <c r="AG496" s="237"/>
      <c r="AH496" s="237"/>
      <c r="AI496" s="237"/>
      <c r="AJ496" s="237"/>
      <c r="AK496" s="237"/>
      <c r="AL496" s="237"/>
      <c r="AM496" s="237"/>
      <c r="AN496" s="237"/>
      <c r="AO496" s="237"/>
      <c r="AP496" s="237"/>
      <c r="AQ496" s="237"/>
      <c r="AR496" s="237"/>
      <c r="AS496" s="237"/>
      <c r="AT496" s="237"/>
      <c r="AU496" s="237"/>
      <c r="AV496" s="237"/>
      <c r="AW496" s="237"/>
      <c r="AX496" s="237"/>
    </row>
    <row r="497" spans="3:50" x14ac:dyDescent="0.2">
      <c r="C497" s="228"/>
      <c r="D497" s="228"/>
      <c r="E497" s="228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  <c r="AA497" s="237"/>
      <c r="AB497" s="237"/>
      <c r="AC497" s="237"/>
      <c r="AD497" s="237"/>
      <c r="AE497" s="237"/>
      <c r="AF497" s="237"/>
      <c r="AG497" s="237"/>
      <c r="AH497" s="237"/>
      <c r="AI497" s="237"/>
      <c r="AJ497" s="237"/>
      <c r="AK497" s="237"/>
      <c r="AL497" s="237"/>
      <c r="AM497" s="237"/>
      <c r="AN497" s="237"/>
      <c r="AO497" s="237"/>
      <c r="AP497" s="237"/>
      <c r="AQ497" s="237"/>
      <c r="AR497" s="237"/>
      <c r="AS497" s="237"/>
      <c r="AT497" s="237"/>
      <c r="AU497" s="237"/>
      <c r="AV497" s="237"/>
      <c r="AW497" s="237"/>
      <c r="AX497" s="237"/>
    </row>
    <row r="498" spans="3:50" x14ac:dyDescent="0.2">
      <c r="C498" s="228"/>
      <c r="D498" s="228"/>
      <c r="E498" s="228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  <c r="AA498" s="237"/>
      <c r="AB498" s="237"/>
      <c r="AC498" s="237"/>
      <c r="AD498" s="237"/>
      <c r="AE498" s="237"/>
      <c r="AF498" s="237"/>
      <c r="AG498" s="237"/>
      <c r="AH498" s="237"/>
      <c r="AI498" s="237"/>
      <c r="AJ498" s="237"/>
      <c r="AK498" s="237"/>
      <c r="AL498" s="237"/>
      <c r="AM498" s="237"/>
      <c r="AN498" s="237"/>
      <c r="AO498" s="237"/>
      <c r="AP498" s="237"/>
      <c r="AQ498" s="237"/>
      <c r="AR498" s="237"/>
      <c r="AS498" s="237"/>
      <c r="AT498" s="237"/>
      <c r="AU498" s="237"/>
      <c r="AV498" s="237"/>
      <c r="AW498" s="237"/>
      <c r="AX498" s="237"/>
    </row>
    <row r="499" spans="3:50" x14ac:dyDescent="0.2">
      <c r="C499" s="228"/>
      <c r="D499" s="228"/>
      <c r="E499" s="228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  <c r="AA499" s="237"/>
      <c r="AB499" s="237"/>
      <c r="AC499" s="237"/>
      <c r="AD499" s="237"/>
      <c r="AE499" s="237"/>
      <c r="AF499" s="237"/>
      <c r="AG499" s="237"/>
      <c r="AH499" s="237"/>
      <c r="AI499" s="237"/>
      <c r="AJ499" s="237"/>
      <c r="AK499" s="237"/>
      <c r="AL499" s="237"/>
      <c r="AM499" s="237"/>
      <c r="AN499" s="237"/>
      <c r="AO499" s="237"/>
      <c r="AP499" s="237"/>
      <c r="AQ499" s="237"/>
      <c r="AR499" s="237"/>
      <c r="AS499" s="237"/>
      <c r="AT499" s="237"/>
      <c r="AU499" s="237"/>
      <c r="AV499" s="237"/>
      <c r="AW499" s="237"/>
      <c r="AX499" s="237"/>
    </row>
    <row r="500" spans="3:50" x14ac:dyDescent="0.2">
      <c r="C500" s="228"/>
      <c r="D500" s="228"/>
      <c r="E500" s="228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  <c r="AA500" s="237"/>
      <c r="AB500" s="237"/>
      <c r="AC500" s="237"/>
      <c r="AD500" s="237"/>
      <c r="AE500" s="237"/>
      <c r="AF500" s="237"/>
      <c r="AG500" s="237"/>
      <c r="AH500" s="237"/>
      <c r="AI500" s="237"/>
      <c r="AJ500" s="237"/>
      <c r="AK500" s="237"/>
      <c r="AL500" s="237"/>
      <c r="AM500" s="237"/>
      <c r="AN500" s="237"/>
      <c r="AO500" s="237"/>
      <c r="AP500" s="237"/>
      <c r="AQ500" s="237"/>
      <c r="AR500" s="237"/>
      <c r="AS500" s="237"/>
      <c r="AT500" s="237"/>
      <c r="AU500" s="237"/>
      <c r="AV500" s="237"/>
      <c r="AW500" s="237"/>
      <c r="AX500" s="237"/>
    </row>
    <row r="501" spans="3:50" x14ac:dyDescent="0.2">
      <c r="C501" s="228"/>
      <c r="D501" s="228"/>
      <c r="E501" s="228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  <c r="AC501" s="237"/>
      <c r="AD501" s="237"/>
      <c r="AE501" s="237"/>
      <c r="AF501" s="237"/>
      <c r="AG501" s="237"/>
      <c r="AH501" s="237"/>
      <c r="AI501" s="237"/>
      <c r="AJ501" s="237"/>
      <c r="AK501" s="237"/>
      <c r="AL501" s="237"/>
      <c r="AM501" s="237"/>
      <c r="AN501" s="237"/>
      <c r="AO501" s="237"/>
      <c r="AP501" s="237"/>
      <c r="AQ501" s="237"/>
      <c r="AR501" s="237"/>
      <c r="AS501" s="237"/>
      <c r="AT501" s="237"/>
      <c r="AU501" s="237"/>
      <c r="AV501" s="237"/>
      <c r="AW501" s="237"/>
      <c r="AX501" s="237"/>
    </row>
    <row r="502" spans="3:50" x14ac:dyDescent="0.2">
      <c r="C502" s="228"/>
      <c r="D502" s="228"/>
      <c r="E502" s="228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  <c r="AA502" s="237"/>
      <c r="AB502" s="237"/>
      <c r="AC502" s="237"/>
      <c r="AD502" s="237"/>
      <c r="AE502" s="237"/>
      <c r="AF502" s="237"/>
      <c r="AG502" s="237"/>
      <c r="AH502" s="237"/>
      <c r="AI502" s="237"/>
      <c r="AJ502" s="237"/>
      <c r="AK502" s="237"/>
      <c r="AL502" s="237"/>
      <c r="AM502" s="237"/>
      <c r="AN502" s="237"/>
      <c r="AO502" s="237"/>
      <c r="AP502" s="237"/>
      <c r="AQ502" s="237"/>
      <c r="AR502" s="237"/>
      <c r="AS502" s="237"/>
      <c r="AT502" s="237"/>
      <c r="AU502" s="237"/>
      <c r="AV502" s="237"/>
      <c r="AW502" s="237"/>
      <c r="AX502" s="237"/>
    </row>
    <row r="503" spans="3:50" x14ac:dyDescent="0.2">
      <c r="C503" s="228"/>
      <c r="D503" s="228"/>
      <c r="E503" s="228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  <c r="AA503" s="237"/>
      <c r="AB503" s="237"/>
      <c r="AC503" s="237"/>
      <c r="AD503" s="237"/>
      <c r="AE503" s="237"/>
      <c r="AF503" s="237"/>
      <c r="AG503" s="237"/>
      <c r="AH503" s="237"/>
      <c r="AI503" s="237"/>
      <c r="AJ503" s="237"/>
      <c r="AK503" s="237"/>
      <c r="AL503" s="237"/>
      <c r="AM503" s="237"/>
      <c r="AN503" s="237"/>
      <c r="AO503" s="237"/>
      <c r="AP503" s="237"/>
      <c r="AQ503" s="237"/>
      <c r="AR503" s="237"/>
      <c r="AS503" s="237"/>
      <c r="AT503" s="237"/>
      <c r="AU503" s="237"/>
      <c r="AV503" s="237"/>
      <c r="AW503" s="237"/>
      <c r="AX503" s="237"/>
    </row>
    <row r="504" spans="3:50" x14ac:dyDescent="0.2">
      <c r="C504" s="228"/>
      <c r="D504" s="228"/>
      <c r="E504" s="228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  <c r="AC504" s="237"/>
      <c r="AD504" s="237"/>
      <c r="AE504" s="237"/>
      <c r="AF504" s="237"/>
      <c r="AG504" s="237"/>
      <c r="AH504" s="237"/>
      <c r="AI504" s="237"/>
      <c r="AJ504" s="237"/>
      <c r="AK504" s="237"/>
      <c r="AL504" s="237"/>
      <c r="AM504" s="237"/>
      <c r="AN504" s="237"/>
      <c r="AO504" s="237"/>
      <c r="AP504" s="237"/>
      <c r="AQ504" s="237"/>
      <c r="AR504" s="237"/>
      <c r="AS504" s="237"/>
      <c r="AT504" s="237"/>
      <c r="AU504" s="237"/>
      <c r="AV504" s="237"/>
      <c r="AW504" s="237"/>
      <c r="AX504" s="237"/>
    </row>
    <row r="505" spans="3:50" x14ac:dyDescent="0.2">
      <c r="C505" s="228"/>
      <c r="D505" s="228"/>
      <c r="E505" s="228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7"/>
      <c r="AM505" s="237"/>
      <c r="AN505" s="237"/>
      <c r="AO505" s="237"/>
      <c r="AP505" s="237"/>
      <c r="AQ505" s="237"/>
      <c r="AR505" s="237"/>
      <c r="AS505" s="237"/>
      <c r="AT505" s="237"/>
      <c r="AU505" s="237"/>
      <c r="AV505" s="237"/>
      <c r="AW505" s="237"/>
      <c r="AX505" s="237"/>
    </row>
    <row r="506" spans="3:50" x14ac:dyDescent="0.2">
      <c r="C506" s="228"/>
      <c r="D506" s="228"/>
      <c r="E506" s="228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  <c r="AA506" s="237"/>
      <c r="AB506" s="237"/>
      <c r="AC506" s="237"/>
      <c r="AD506" s="237"/>
      <c r="AE506" s="237"/>
      <c r="AF506" s="237"/>
      <c r="AG506" s="237"/>
      <c r="AH506" s="237"/>
      <c r="AI506" s="237"/>
      <c r="AJ506" s="237"/>
      <c r="AK506" s="237"/>
      <c r="AL506" s="237"/>
      <c r="AM506" s="237"/>
      <c r="AN506" s="237"/>
      <c r="AO506" s="237"/>
      <c r="AP506" s="237"/>
      <c r="AQ506" s="237"/>
      <c r="AR506" s="237"/>
      <c r="AS506" s="237"/>
      <c r="AT506" s="237"/>
      <c r="AU506" s="237"/>
      <c r="AV506" s="237"/>
      <c r="AW506" s="237"/>
      <c r="AX506" s="237"/>
    </row>
    <row r="507" spans="3:50" x14ac:dyDescent="0.2">
      <c r="C507" s="228"/>
      <c r="D507" s="228"/>
      <c r="E507" s="228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  <c r="AA507" s="237"/>
      <c r="AB507" s="237"/>
      <c r="AC507" s="237"/>
      <c r="AD507" s="237"/>
      <c r="AE507" s="237"/>
      <c r="AF507" s="237"/>
      <c r="AG507" s="237"/>
      <c r="AH507" s="237"/>
      <c r="AI507" s="237"/>
      <c r="AJ507" s="237"/>
      <c r="AK507" s="237"/>
      <c r="AL507" s="237"/>
      <c r="AM507" s="237"/>
      <c r="AN507" s="237"/>
      <c r="AO507" s="237"/>
      <c r="AP507" s="237"/>
      <c r="AQ507" s="237"/>
      <c r="AR507" s="237"/>
      <c r="AS507" s="237"/>
      <c r="AT507" s="237"/>
      <c r="AU507" s="237"/>
      <c r="AV507" s="237"/>
      <c r="AW507" s="237"/>
      <c r="AX507" s="237"/>
    </row>
    <row r="508" spans="3:50" x14ac:dyDescent="0.2">
      <c r="C508" s="228"/>
      <c r="D508" s="228"/>
      <c r="E508" s="228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  <c r="AA508" s="237"/>
      <c r="AB508" s="237"/>
      <c r="AC508" s="237"/>
      <c r="AD508" s="237"/>
      <c r="AE508" s="237"/>
      <c r="AF508" s="237"/>
      <c r="AG508" s="237"/>
      <c r="AH508" s="237"/>
      <c r="AI508" s="237"/>
      <c r="AJ508" s="237"/>
      <c r="AK508" s="237"/>
      <c r="AL508" s="237"/>
      <c r="AM508" s="237"/>
      <c r="AN508" s="237"/>
      <c r="AO508" s="237"/>
      <c r="AP508" s="237"/>
      <c r="AQ508" s="237"/>
      <c r="AR508" s="237"/>
      <c r="AS508" s="237"/>
      <c r="AT508" s="237"/>
      <c r="AU508" s="237"/>
      <c r="AV508" s="237"/>
      <c r="AW508" s="237"/>
      <c r="AX508" s="237"/>
    </row>
    <row r="509" spans="3:50" x14ac:dyDescent="0.2">
      <c r="C509" s="228"/>
      <c r="D509" s="228"/>
      <c r="E509" s="228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  <c r="AA509" s="237"/>
      <c r="AB509" s="237"/>
      <c r="AC509" s="237"/>
      <c r="AD509" s="237"/>
      <c r="AE509" s="237"/>
      <c r="AF509" s="237"/>
      <c r="AG509" s="237"/>
      <c r="AH509" s="237"/>
      <c r="AI509" s="237"/>
      <c r="AJ509" s="237"/>
      <c r="AK509" s="237"/>
      <c r="AL509" s="237"/>
      <c r="AM509" s="237"/>
      <c r="AN509" s="237"/>
      <c r="AO509" s="237"/>
      <c r="AP509" s="237"/>
      <c r="AQ509" s="237"/>
      <c r="AR509" s="237"/>
      <c r="AS509" s="237"/>
      <c r="AT509" s="237"/>
      <c r="AU509" s="237"/>
      <c r="AV509" s="237"/>
      <c r="AW509" s="237"/>
      <c r="AX509" s="237"/>
    </row>
    <row r="510" spans="3:50" x14ac:dyDescent="0.2">
      <c r="C510" s="228"/>
      <c r="D510" s="228"/>
      <c r="E510" s="228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  <c r="AA510" s="237"/>
      <c r="AB510" s="237"/>
      <c r="AC510" s="237"/>
      <c r="AD510" s="237"/>
      <c r="AE510" s="237"/>
      <c r="AF510" s="237"/>
      <c r="AG510" s="237"/>
      <c r="AH510" s="237"/>
      <c r="AI510" s="237"/>
      <c r="AJ510" s="237"/>
      <c r="AK510" s="237"/>
      <c r="AL510" s="237"/>
      <c r="AM510" s="237"/>
      <c r="AN510" s="237"/>
      <c r="AO510" s="237"/>
      <c r="AP510" s="237"/>
      <c r="AQ510" s="237"/>
      <c r="AR510" s="237"/>
      <c r="AS510" s="237"/>
      <c r="AT510" s="237"/>
      <c r="AU510" s="237"/>
      <c r="AV510" s="237"/>
      <c r="AW510" s="237"/>
      <c r="AX510" s="237"/>
    </row>
    <row r="511" spans="3:50" x14ac:dyDescent="0.2">
      <c r="C511" s="228"/>
      <c r="D511" s="228"/>
      <c r="E511" s="228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  <c r="AA511" s="237"/>
      <c r="AB511" s="237"/>
      <c r="AC511" s="237"/>
      <c r="AD511" s="237"/>
      <c r="AE511" s="237"/>
      <c r="AF511" s="237"/>
      <c r="AG511" s="237"/>
      <c r="AH511" s="237"/>
      <c r="AI511" s="237"/>
      <c r="AJ511" s="237"/>
      <c r="AK511" s="237"/>
      <c r="AL511" s="237"/>
      <c r="AM511" s="237"/>
      <c r="AN511" s="237"/>
      <c r="AO511" s="237"/>
      <c r="AP511" s="237"/>
      <c r="AQ511" s="237"/>
      <c r="AR511" s="237"/>
      <c r="AS511" s="237"/>
      <c r="AT511" s="237"/>
      <c r="AU511" s="237"/>
      <c r="AV511" s="237"/>
      <c r="AW511" s="237"/>
      <c r="AX511" s="237"/>
    </row>
    <row r="512" spans="3:50" x14ac:dyDescent="0.2">
      <c r="C512" s="228"/>
      <c r="D512" s="228"/>
      <c r="E512" s="228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  <c r="AA512" s="237"/>
      <c r="AB512" s="237"/>
      <c r="AC512" s="237"/>
      <c r="AD512" s="237"/>
      <c r="AE512" s="237"/>
      <c r="AF512" s="237"/>
      <c r="AG512" s="237"/>
      <c r="AH512" s="237"/>
      <c r="AI512" s="237"/>
      <c r="AJ512" s="237"/>
      <c r="AK512" s="237"/>
      <c r="AL512" s="237"/>
      <c r="AM512" s="237"/>
      <c r="AN512" s="237"/>
      <c r="AO512" s="237"/>
      <c r="AP512" s="237"/>
      <c r="AQ512" s="237"/>
      <c r="AR512" s="237"/>
      <c r="AS512" s="237"/>
      <c r="AT512" s="237"/>
      <c r="AU512" s="237"/>
      <c r="AV512" s="237"/>
      <c r="AW512" s="237"/>
      <c r="AX512" s="237"/>
    </row>
    <row r="513" spans="3:50" x14ac:dyDescent="0.2">
      <c r="C513" s="228"/>
      <c r="D513" s="228"/>
      <c r="E513" s="228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  <c r="AA513" s="237"/>
      <c r="AB513" s="237"/>
      <c r="AC513" s="237"/>
      <c r="AD513" s="237"/>
      <c r="AE513" s="237"/>
      <c r="AF513" s="237"/>
      <c r="AG513" s="237"/>
      <c r="AH513" s="237"/>
      <c r="AI513" s="237"/>
      <c r="AJ513" s="237"/>
      <c r="AK513" s="237"/>
      <c r="AL513" s="237"/>
      <c r="AM513" s="237"/>
      <c r="AN513" s="237"/>
      <c r="AO513" s="237"/>
      <c r="AP513" s="237"/>
      <c r="AQ513" s="237"/>
      <c r="AR513" s="237"/>
      <c r="AS513" s="237"/>
      <c r="AT513" s="237"/>
      <c r="AU513" s="237"/>
      <c r="AV513" s="237"/>
      <c r="AW513" s="237"/>
      <c r="AX513" s="237"/>
    </row>
    <row r="514" spans="3:50" x14ac:dyDescent="0.2">
      <c r="C514" s="228"/>
      <c r="D514" s="228"/>
      <c r="E514" s="228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  <c r="AA514" s="237"/>
      <c r="AB514" s="237"/>
      <c r="AC514" s="237"/>
      <c r="AD514" s="237"/>
      <c r="AE514" s="237"/>
      <c r="AF514" s="237"/>
      <c r="AG514" s="237"/>
      <c r="AH514" s="237"/>
      <c r="AI514" s="237"/>
      <c r="AJ514" s="237"/>
      <c r="AK514" s="237"/>
      <c r="AL514" s="237"/>
      <c r="AM514" s="237"/>
      <c r="AN514" s="237"/>
      <c r="AO514" s="237"/>
      <c r="AP514" s="237"/>
      <c r="AQ514" s="237"/>
      <c r="AR514" s="237"/>
      <c r="AS514" s="237"/>
      <c r="AT514" s="237"/>
      <c r="AU514" s="237"/>
      <c r="AV514" s="237"/>
      <c r="AW514" s="237"/>
      <c r="AX514" s="237"/>
    </row>
    <row r="515" spans="3:50" x14ac:dyDescent="0.2">
      <c r="C515" s="228"/>
      <c r="D515" s="228"/>
      <c r="E515" s="228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  <c r="AA515" s="237"/>
      <c r="AB515" s="237"/>
      <c r="AC515" s="237"/>
      <c r="AD515" s="237"/>
      <c r="AE515" s="237"/>
      <c r="AF515" s="237"/>
      <c r="AG515" s="237"/>
      <c r="AH515" s="237"/>
      <c r="AI515" s="237"/>
      <c r="AJ515" s="237"/>
      <c r="AK515" s="237"/>
      <c r="AL515" s="237"/>
      <c r="AM515" s="237"/>
      <c r="AN515" s="237"/>
      <c r="AO515" s="237"/>
      <c r="AP515" s="237"/>
      <c r="AQ515" s="237"/>
      <c r="AR515" s="237"/>
      <c r="AS515" s="237"/>
      <c r="AT515" s="237"/>
      <c r="AU515" s="237"/>
      <c r="AV515" s="237"/>
      <c r="AW515" s="237"/>
      <c r="AX515" s="237"/>
    </row>
    <row r="516" spans="3:50" x14ac:dyDescent="0.2">
      <c r="C516" s="228"/>
      <c r="D516" s="228"/>
      <c r="E516" s="228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  <c r="AA516" s="237"/>
      <c r="AB516" s="237"/>
      <c r="AC516" s="237"/>
      <c r="AD516" s="237"/>
      <c r="AE516" s="237"/>
      <c r="AF516" s="237"/>
      <c r="AG516" s="237"/>
      <c r="AH516" s="237"/>
      <c r="AI516" s="237"/>
      <c r="AJ516" s="237"/>
      <c r="AK516" s="237"/>
      <c r="AL516" s="237"/>
      <c r="AM516" s="237"/>
      <c r="AN516" s="237"/>
      <c r="AO516" s="237"/>
      <c r="AP516" s="237"/>
      <c r="AQ516" s="237"/>
      <c r="AR516" s="237"/>
      <c r="AS516" s="237"/>
      <c r="AT516" s="237"/>
      <c r="AU516" s="237"/>
      <c r="AV516" s="237"/>
      <c r="AW516" s="237"/>
      <c r="AX516" s="237"/>
    </row>
    <row r="517" spans="3:50" x14ac:dyDescent="0.2">
      <c r="C517" s="228"/>
      <c r="D517" s="228"/>
      <c r="E517" s="228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  <c r="AA517" s="237"/>
      <c r="AB517" s="237"/>
      <c r="AC517" s="237"/>
      <c r="AD517" s="237"/>
      <c r="AE517" s="237"/>
      <c r="AF517" s="237"/>
      <c r="AG517" s="237"/>
      <c r="AH517" s="237"/>
      <c r="AI517" s="237"/>
      <c r="AJ517" s="237"/>
      <c r="AK517" s="237"/>
      <c r="AL517" s="237"/>
      <c r="AM517" s="237"/>
      <c r="AN517" s="237"/>
      <c r="AO517" s="237"/>
      <c r="AP517" s="237"/>
      <c r="AQ517" s="237"/>
      <c r="AR517" s="237"/>
      <c r="AS517" s="237"/>
      <c r="AT517" s="237"/>
      <c r="AU517" s="237"/>
      <c r="AV517" s="237"/>
      <c r="AW517" s="237"/>
      <c r="AX517" s="237"/>
    </row>
    <row r="518" spans="3:50" x14ac:dyDescent="0.2">
      <c r="C518" s="228"/>
      <c r="D518" s="228"/>
      <c r="E518" s="228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  <c r="AA518" s="237"/>
      <c r="AB518" s="237"/>
      <c r="AC518" s="237"/>
      <c r="AD518" s="237"/>
      <c r="AE518" s="237"/>
      <c r="AF518" s="237"/>
      <c r="AG518" s="237"/>
      <c r="AH518" s="237"/>
      <c r="AI518" s="237"/>
      <c r="AJ518" s="237"/>
      <c r="AK518" s="237"/>
      <c r="AL518" s="237"/>
      <c r="AM518" s="237"/>
      <c r="AN518" s="237"/>
      <c r="AO518" s="237"/>
      <c r="AP518" s="237"/>
      <c r="AQ518" s="237"/>
      <c r="AR518" s="237"/>
      <c r="AS518" s="237"/>
      <c r="AT518" s="237"/>
      <c r="AU518" s="237"/>
      <c r="AV518" s="237"/>
      <c r="AW518" s="237"/>
      <c r="AX518" s="237"/>
    </row>
    <row r="519" spans="3:50" x14ac:dyDescent="0.2">
      <c r="C519" s="228"/>
      <c r="D519" s="228"/>
      <c r="E519" s="228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  <c r="AA519" s="237"/>
      <c r="AB519" s="237"/>
      <c r="AC519" s="237"/>
      <c r="AD519" s="237"/>
      <c r="AE519" s="237"/>
      <c r="AF519" s="237"/>
      <c r="AG519" s="237"/>
      <c r="AH519" s="237"/>
      <c r="AI519" s="237"/>
      <c r="AJ519" s="237"/>
      <c r="AK519" s="237"/>
      <c r="AL519" s="237"/>
      <c r="AM519" s="237"/>
      <c r="AN519" s="237"/>
      <c r="AO519" s="237"/>
      <c r="AP519" s="237"/>
      <c r="AQ519" s="237"/>
      <c r="AR519" s="237"/>
      <c r="AS519" s="237"/>
      <c r="AT519" s="237"/>
      <c r="AU519" s="237"/>
      <c r="AV519" s="237"/>
      <c r="AW519" s="237"/>
      <c r="AX519" s="237"/>
    </row>
    <row r="520" spans="3:50" x14ac:dyDescent="0.2">
      <c r="C520" s="228"/>
      <c r="D520" s="228"/>
      <c r="E520" s="228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  <c r="AA520" s="237"/>
      <c r="AB520" s="237"/>
      <c r="AC520" s="237"/>
      <c r="AD520" s="237"/>
      <c r="AE520" s="237"/>
      <c r="AF520" s="237"/>
      <c r="AG520" s="237"/>
      <c r="AH520" s="237"/>
      <c r="AI520" s="237"/>
      <c r="AJ520" s="237"/>
      <c r="AK520" s="237"/>
      <c r="AL520" s="237"/>
      <c r="AM520" s="237"/>
      <c r="AN520" s="237"/>
      <c r="AO520" s="237"/>
      <c r="AP520" s="237"/>
      <c r="AQ520" s="237"/>
      <c r="AR520" s="237"/>
      <c r="AS520" s="237"/>
      <c r="AT520" s="237"/>
      <c r="AU520" s="237"/>
      <c r="AV520" s="237"/>
      <c r="AW520" s="237"/>
      <c r="AX520" s="237"/>
    </row>
    <row r="521" spans="3:50" x14ac:dyDescent="0.2">
      <c r="C521" s="228"/>
      <c r="D521" s="228"/>
      <c r="E521" s="228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  <c r="AA521" s="237"/>
      <c r="AB521" s="237"/>
      <c r="AC521" s="237"/>
      <c r="AD521" s="237"/>
      <c r="AE521" s="237"/>
      <c r="AF521" s="237"/>
      <c r="AG521" s="237"/>
      <c r="AH521" s="237"/>
      <c r="AI521" s="237"/>
      <c r="AJ521" s="237"/>
      <c r="AK521" s="237"/>
      <c r="AL521" s="237"/>
      <c r="AM521" s="237"/>
      <c r="AN521" s="237"/>
      <c r="AO521" s="237"/>
      <c r="AP521" s="237"/>
      <c r="AQ521" s="237"/>
      <c r="AR521" s="237"/>
      <c r="AS521" s="237"/>
      <c r="AT521" s="237"/>
      <c r="AU521" s="237"/>
      <c r="AV521" s="237"/>
      <c r="AW521" s="237"/>
      <c r="AX521" s="237"/>
    </row>
    <row r="522" spans="3:50" x14ac:dyDescent="0.2">
      <c r="C522" s="228"/>
      <c r="D522" s="228"/>
      <c r="E522" s="228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  <c r="AA522" s="237"/>
      <c r="AB522" s="237"/>
      <c r="AC522" s="237"/>
      <c r="AD522" s="237"/>
      <c r="AE522" s="237"/>
      <c r="AF522" s="237"/>
      <c r="AG522" s="237"/>
      <c r="AH522" s="237"/>
      <c r="AI522" s="237"/>
      <c r="AJ522" s="237"/>
      <c r="AK522" s="237"/>
      <c r="AL522" s="237"/>
      <c r="AM522" s="237"/>
      <c r="AN522" s="237"/>
      <c r="AO522" s="237"/>
      <c r="AP522" s="237"/>
      <c r="AQ522" s="237"/>
      <c r="AR522" s="237"/>
      <c r="AS522" s="237"/>
      <c r="AT522" s="237"/>
      <c r="AU522" s="237"/>
      <c r="AV522" s="237"/>
      <c r="AW522" s="237"/>
      <c r="AX522" s="237"/>
    </row>
    <row r="523" spans="3:50" x14ac:dyDescent="0.2">
      <c r="C523" s="228"/>
      <c r="D523" s="228"/>
      <c r="E523" s="228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  <c r="AA523" s="237"/>
      <c r="AB523" s="237"/>
      <c r="AC523" s="237"/>
      <c r="AD523" s="237"/>
      <c r="AE523" s="237"/>
      <c r="AF523" s="237"/>
      <c r="AG523" s="237"/>
      <c r="AH523" s="237"/>
      <c r="AI523" s="237"/>
      <c r="AJ523" s="237"/>
      <c r="AK523" s="237"/>
      <c r="AL523" s="237"/>
      <c r="AM523" s="237"/>
      <c r="AN523" s="237"/>
      <c r="AO523" s="237"/>
      <c r="AP523" s="237"/>
      <c r="AQ523" s="237"/>
      <c r="AR523" s="237"/>
      <c r="AS523" s="237"/>
      <c r="AT523" s="237"/>
      <c r="AU523" s="237"/>
      <c r="AV523" s="237"/>
      <c r="AW523" s="237"/>
      <c r="AX523" s="237"/>
    </row>
    <row r="524" spans="3:50" x14ac:dyDescent="0.2">
      <c r="C524" s="228"/>
      <c r="D524" s="228"/>
      <c r="E524" s="228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  <c r="AA524" s="237"/>
      <c r="AB524" s="237"/>
      <c r="AC524" s="237"/>
      <c r="AD524" s="237"/>
      <c r="AE524" s="237"/>
      <c r="AF524" s="237"/>
      <c r="AG524" s="237"/>
      <c r="AH524" s="237"/>
      <c r="AI524" s="237"/>
      <c r="AJ524" s="237"/>
      <c r="AK524" s="237"/>
      <c r="AL524" s="237"/>
      <c r="AM524" s="237"/>
      <c r="AN524" s="237"/>
      <c r="AO524" s="237"/>
      <c r="AP524" s="237"/>
      <c r="AQ524" s="237"/>
      <c r="AR524" s="237"/>
      <c r="AS524" s="237"/>
      <c r="AT524" s="237"/>
      <c r="AU524" s="237"/>
      <c r="AV524" s="237"/>
      <c r="AW524" s="237"/>
      <c r="AX524" s="237"/>
    </row>
    <row r="525" spans="3:50" x14ac:dyDescent="0.2">
      <c r="C525" s="228"/>
      <c r="D525" s="228"/>
      <c r="E525" s="228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  <c r="AA525" s="237"/>
      <c r="AB525" s="237"/>
      <c r="AC525" s="237"/>
      <c r="AD525" s="237"/>
      <c r="AE525" s="237"/>
      <c r="AF525" s="237"/>
      <c r="AG525" s="237"/>
      <c r="AH525" s="237"/>
      <c r="AI525" s="237"/>
      <c r="AJ525" s="237"/>
      <c r="AK525" s="237"/>
      <c r="AL525" s="237"/>
      <c r="AM525" s="237"/>
      <c r="AN525" s="237"/>
      <c r="AO525" s="237"/>
      <c r="AP525" s="237"/>
      <c r="AQ525" s="237"/>
      <c r="AR525" s="237"/>
      <c r="AS525" s="237"/>
      <c r="AT525" s="237"/>
      <c r="AU525" s="237"/>
      <c r="AV525" s="237"/>
      <c r="AW525" s="237"/>
      <c r="AX525" s="237"/>
    </row>
    <row r="526" spans="3:50" x14ac:dyDescent="0.2">
      <c r="C526" s="228"/>
      <c r="D526" s="228"/>
      <c r="E526" s="228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  <c r="AA526" s="237"/>
      <c r="AB526" s="237"/>
      <c r="AC526" s="237"/>
      <c r="AD526" s="237"/>
      <c r="AE526" s="237"/>
      <c r="AF526" s="237"/>
      <c r="AG526" s="237"/>
      <c r="AH526" s="237"/>
      <c r="AI526" s="237"/>
      <c r="AJ526" s="237"/>
      <c r="AK526" s="237"/>
      <c r="AL526" s="237"/>
      <c r="AM526" s="237"/>
      <c r="AN526" s="237"/>
      <c r="AO526" s="237"/>
      <c r="AP526" s="237"/>
      <c r="AQ526" s="237"/>
      <c r="AR526" s="237"/>
      <c r="AS526" s="237"/>
      <c r="AT526" s="237"/>
      <c r="AU526" s="237"/>
      <c r="AV526" s="237"/>
      <c r="AW526" s="237"/>
      <c r="AX526" s="237"/>
    </row>
    <row r="527" spans="3:50" x14ac:dyDescent="0.2">
      <c r="C527" s="228"/>
      <c r="D527" s="228"/>
      <c r="E527" s="228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  <c r="AA527" s="237"/>
      <c r="AB527" s="237"/>
      <c r="AC527" s="237"/>
      <c r="AD527" s="237"/>
      <c r="AE527" s="237"/>
      <c r="AF527" s="237"/>
      <c r="AG527" s="237"/>
      <c r="AH527" s="237"/>
      <c r="AI527" s="237"/>
      <c r="AJ527" s="237"/>
      <c r="AK527" s="237"/>
      <c r="AL527" s="237"/>
      <c r="AM527" s="237"/>
      <c r="AN527" s="237"/>
      <c r="AO527" s="237"/>
      <c r="AP527" s="237"/>
      <c r="AQ527" s="237"/>
      <c r="AR527" s="237"/>
      <c r="AS527" s="237"/>
      <c r="AT527" s="237"/>
      <c r="AU527" s="237"/>
      <c r="AV527" s="237"/>
      <c r="AW527" s="237"/>
      <c r="AX527" s="237"/>
    </row>
    <row r="528" spans="3:50" x14ac:dyDescent="0.2">
      <c r="C528" s="228"/>
      <c r="D528" s="228"/>
      <c r="E528" s="228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  <c r="AA528" s="237"/>
      <c r="AB528" s="237"/>
      <c r="AC528" s="237"/>
      <c r="AD528" s="237"/>
      <c r="AE528" s="237"/>
      <c r="AF528" s="237"/>
      <c r="AG528" s="237"/>
      <c r="AH528" s="237"/>
      <c r="AI528" s="237"/>
      <c r="AJ528" s="237"/>
      <c r="AK528" s="237"/>
      <c r="AL528" s="237"/>
      <c r="AM528" s="237"/>
      <c r="AN528" s="237"/>
      <c r="AO528" s="237"/>
      <c r="AP528" s="237"/>
      <c r="AQ528" s="237"/>
      <c r="AR528" s="237"/>
      <c r="AS528" s="237"/>
      <c r="AT528" s="237"/>
      <c r="AU528" s="237"/>
      <c r="AV528" s="237"/>
      <c r="AW528" s="237"/>
      <c r="AX528" s="237"/>
    </row>
    <row r="529" spans="3:50" x14ac:dyDescent="0.2">
      <c r="C529" s="228"/>
      <c r="D529" s="228"/>
      <c r="E529" s="228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  <c r="AA529" s="237"/>
      <c r="AB529" s="237"/>
      <c r="AC529" s="237"/>
      <c r="AD529" s="237"/>
      <c r="AE529" s="237"/>
      <c r="AF529" s="237"/>
      <c r="AG529" s="237"/>
      <c r="AH529" s="237"/>
      <c r="AI529" s="237"/>
      <c r="AJ529" s="237"/>
      <c r="AK529" s="237"/>
      <c r="AL529" s="237"/>
      <c r="AM529" s="237"/>
      <c r="AN529" s="237"/>
      <c r="AO529" s="237"/>
      <c r="AP529" s="237"/>
      <c r="AQ529" s="237"/>
      <c r="AR529" s="237"/>
      <c r="AS529" s="237"/>
      <c r="AT529" s="237"/>
      <c r="AU529" s="237"/>
      <c r="AV529" s="237"/>
      <c r="AW529" s="237"/>
      <c r="AX529" s="237"/>
    </row>
    <row r="530" spans="3:50" x14ac:dyDescent="0.2">
      <c r="C530" s="228"/>
      <c r="D530" s="228"/>
      <c r="E530" s="228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  <c r="AA530" s="237"/>
      <c r="AB530" s="237"/>
      <c r="AC530" s="237"/>
      <c r="AD530" s="237"/>
      <c r="AE530" s="237"/>
      <c r="AF530" s="237"/>
      <c r="AG530" s="237"/>
      <c r="AH530" s="237"/>
      <c r="AI530" s="237"/>
      <c r="AJ530" s="237"/>
      <c r="AK530" s="237"/>
      <c r="AL530" s="237"/>
      <c r="AM530" s="237"/>
      <c r="AN530" s="237"/>
      <c r="AO530" s="237"/>
      <c r="AP530" s="237"/>
      <c r="AQ530" s="237"/>
      <c r="AR530" s="237"/>
      <c r="AS530" s="237"/>
      <c r="AT530" s="237"/>
      <c r="AU530" s="237"/>
      <c r="AV530" s="237"/>
      <c r="AW530" s="237"/>
      <c r="AX530" s="237"/>
    </row>
    <row r="531" spans="3:50" x14ac:dyDescent="0.2">
      <c r="C531" s="228"/>
      <c r="D531" s="228"/>
      <c r="E531" s="228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  <c r="AA531" s="237"/>
      <c r="AB531" s="237"/>
      <c r="AC531" s="237"/>
      <c r="AD531" s="237"/>
      <c r="AE531" s="237"/>
      <c r="AF531" s="237"/>
      <c r="AG531" s="237"/>
      <c r="AH531" s="237"/>
      <c r="AI531" s="237"/>
      <c r="AJ531" s="237"/>
      <c r="AK531" s="237"/>
      <c r="AL531" s="237"/>
      <c r="AM531" s="237"/>
      <c r="AN531" s="237"/>
      <c r="AO531" s="237"/>
      <c r="AP531" s="237"/>
      <c r="AQ531" s="237"/>
      <c r="AR531" s="237"/>
      <c r="AS531" s="237"/>
      <c r="AT531" s="237"/>
      <c r="AU531" s="237"/>
      <c r="AV531" s="237"/>
      <c r="AW531" s="237"/>
      <c r="AX531" s="237"/>
    </row>
    <row r="532" spans="3:50" x14ac:dyDescent="0.2">
      <c r="C532" s="228"/>
      <c r="D532" s="228"/>
      <c r="E532" s="228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  <c r="AA532" s="237"/>
      <c r="AB532" s="237"/>
      <c r="AC532" s="237"/>
      <c r="AD532" s="237"/>
      <c r="AE532" s="237"/>
      <c r="AF532" s="237"/>
      <c r="AG532" s="237"/>
      <c r="AH532" s="237"/>
      <c r="AI532" s="237"/>
      <c r="AJ532" s="237"/>
      <c r="AK532" s="237"/>
      <c r="AL532" s="237"/>
      <c r="AM532" s="237"/>
      <c r="AN532" s="237"/>
      <c r="AO532" s="237"/>
      <c r="AP532" s="237"/>
      <c r="AQ532" s="237"/>
      <c r="AR532" s="237"/>
      <c r="AS532" s="237"/>
      <c r="AT532" s="237"/>
      <c r="AU532" s="237"/>
      <c r="AV532" s="237"/>
      <c r="AW532" s="237"/>
      <c r="AX532" s="237"/>
    </row>
    <row r="533" spans="3:50" x14ac:dyDescent="0.2">
      <c r="C533" s="228"/>
      <c r="D533" s="228"/>
      <c r="E533" s="228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  <c r="AA533" s="237"/>
      <c r="AB533" s="237"/>
      <c r="AC533" s="237"/>
      <c r="AD533" s="237"/>
      <c r="AE533" s="237"/>
      <c r="AF533" s="237"/>
      <c r="AG533" s="237"/>
      <c r="AH533" s="237"/>
      <c r="AI533" s="237"/>
      <c r="AJ533" s="237"/>
      <c r="AK533" s="237"/>
      <c r="AL533" s="237"/>
      <c r="AM533" s="237"/>
      <c r="AN533" s="237"/>
      <c r="AO533" s="237"/>
      <c r="AP533" s="237"/>
      <c r="AQ533" s="237"/>
      <c r="AR533" s="237"/>
      <c r="AS533" s="237"/>
      <c r="AT533" s="237"/>
      <c r="AU533" s="237"/>
      <c r="AV533" s="237"/>
      <c r="AW533" s="237"/>
      <c r="AX533" s="237"/>
    </row>
    <row r="534" spans="3:50" x14ac:dyDescent="0.2">
      <c r="C534" s="228"/>
      <c r="D534" s="228"/>
      <c r="E534" s="228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  <c r="AA534" s="237"/>
      <c r="AB534" s="237"/>
      <c r="AC534" s="237"/>
      <c r="AD534" s="237"/>
      <c r="AE534" s="237"/>
      <c r="AF534" s="237"/>
      <c r="AG534" s="237"/>
      <c r="AH534" s="237"/>
      <c r="AI534" s="237"/>
      <c r="AJ534" s="237"/>
      <c r="AK534" s="237"/>
      <c r="AL534" s="237"/>
      <c r="AM534" s="237"/>
      <c r="AN534" s="237"/>
      <c r="AO534" s="237"/>
      <c r="AP534" s="237"/>
      <c r="AQ534" s="237"/>
      <c r="AR534" s="237"/>
      <c r="AS534" s="237"/>
      <c r="AT534" s="237"/>
      <c r="AU534" s="237"/>
      <c r="AV534" s="237"/>
      <c r="AW534" s="237"/>
      <c r="AX534" s="237"/>
    </row>
    <row r="535" spans="3:50" x14ac:dyDescent="0.2">
      <c r="C535" s="228"/>
      <c r="D535" s="228"/>
      <c r="E535" s="228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  <c r="AC535" s="237"/>
      <c r="AD535" s="237"/>
      <c r="AE535" s="237"/>
      <c r="AF535" s="237"/>
      <c r="AG535" s="237"/>
      <c r="AH535" s="237"/>
      <c r="AI535" s="237"/>
      <c r="AJ535" s="237"/>
      <c r="AK535" s="237"/>
      <c r="AL535" s="237"/>
      <c r="AM535" s="237"/>
      <c r="AN535" s="237"/>
      <c r="AO535" s="237"/>
      <c r="AP535" s="237"/>
      <c r="AQ535" s="237"/>
      <c r="AR535" s="237"/>
      <c r="AS535" s="237"/>
      <c r="AT535" s="237"/>
      <c r="AU535" s="237"/>
      <c r="AV535" s="237"/>
      <c r="AW535" s="237"/>
      <c r="AX535" s="237"/>
    </row>
    <row r="536" spans="3:50" x14ac:dyDescent="0.2">
      <c r="C536" s="228"/>
      <c r="D536" s="228"/>
      <c r="E536" s="228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  <c r="AA536" s="237"/>
      <c r="AB536" s="237"/>
      <c r="AC536" s="237"/>
      <c r="AD536" s="237"/>
      <c r="AE536" s="237"/>
      <c r="AF536" s="237"/>
      <c r="AG536" s="237"/>
      <c r="AH536" s="237"/>
      <c r="AI536" s="237"/>
      <c r="AJ536" s="237"/>
      <c r="AK536" s="237"/>
      <c r="AL536" s="237"/>
      <c r="AM536" s="237"/>
      <c r="AN536" s="237"/>
      <c r="AO536" s="237"/>
      <c r="AP536" s="237"/>
      <c r="AQ536" s="237"/>
      <c r="AR536" s="237"/>
      <c r="AS536" s="237"/>
      <c r="AT536" s="237"/>
      <c r="AU536" s="237"/>
      <c r="AV536" s="237"/>
      <c r="AW536" s="237"/>
      <c r="AX536" s="237"/>
    </row>
    <row r="537" spans="3:50" x14ac:dyDescent="0.2">
      <c r="C537" s="228"/>
      <c r="D537" s="228"/>
      <c r="E537" s="228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  <c r="AA537" s="237"/>
      <c r="AB537" s="237"/>
      <c r="AC537" s="237"/>
      <c r="AD537" s="237"/>
      <c r="AE537" s="237"/>
      <c r="AF537" s="237"/>
      <c r="AG537" s="237"/>
      <c r="AH537" s="237"/>
      <c r="AI537" s="237"/>
      <c r="AJ537" s="237"/>
      <c r="AK537" s="237"/>
      <c r="AL537" s="237"/>
      <c r="AM537" s="237"/>
      <c r="AN537" s="237"/>
      <c r="AO537" s="237"/>
      <c r="AP537" s="237"/>
      <c r="AQ537" s="237"/>
      <c r="AR537" s="237"/>
      <c r="AS537" s="237"/>
      <c r="AT537" s="237"/>
      <c r="AU537" s="237"/>
      <c r="AV537" s="237"/>
      <c r="AW537" s="237"/>
      <c r="AX537" s="237"/>
    </row>
    <row r="538" spans="3:50" x14ac:dyDescent="0.2">
      <c r="C538" s="228"/>
      <c r="D538" s="228"/>
      <c r="E538" s="228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  <c r="AA538" s="237"/>
      <c r="AB538" s="237"/>
      <c r="AC538" s="237"/>
      <c r="AD538" s="237"/>
      <c r="AE538" s="237"/>
      <c r="AF538" s="237"/>
      <c r="AG538" s="237"/>
      <c r="AH538" s="237"/>
      <c r="AI538" s="237"/>
      <c r="AJ538" s="237"/>
      <c r="AK538" s="237"/>
      <c r="AL538" s="237"/>
      <c r="AM538" s="237"/>
      <c r="AN538" s="237"/>
      <c r="AO538" s="237"/>
      <c r="AP538" s="237"/>
      <c r="AQ538" s="237"/>
      <c r="AR538" s="237"/>
      <c r="AS538" s="237"/>
      <c r="AT538" s="237"/>
      <c r="AU538" s="237"/>
      <c r="AV538" s="237"/>
      <c r="AW538" s="237"/>
      <c r="AX538" s="237"/>
    </row>
    <row r="539" spans="3:50" x14ac:dyDescent="0.2">
      <c r="C539" s="228"/>
      <c r="D539" s="228"/>
      <c r="E539" s="228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  <c r="AA539" s="237"/>
      <c r="AB539" s="237"/>
      <c r="AC539" s="237"/>
      <c r="AD539" s="237"/>
      <c r="AE539" s="237"/>
      <c r="AF539" s="237"/>
      <c r="AG539" s="237"/>
      <c r="AH539" s="237"/>
      <c r="AI539" s="237"/>
      <c r="AJ539" s="237"/>
      <c r="AK539" s="237"/>
      <c r="AL539" s="237"/>
      <c r="AM539" s="237"/>
      <c r="AN539" s="237"/>
      <c r="AO539" s="237"/>
      <c r="AP539" s="237"/>
      <c r="AQ539" s="237"/>
      <c r="AR539" s="237"/>
      <c r="AS539" s="237"/>
      <c r="AT539" s="237"/>
      <c r="AU539" s="237"/>
      <c r="AV539" s="237"/>
      <c r="AW539" s="237"/>
      <c r="AX539" s="237"/>
    </row>
    <row r="540" spans="3:50" x14ac:dyDescent="0.2">
      <c r="C540" s="228"/>
      <c r="D540" s="228"/>
      <c r="E540" s="228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  <c r="AA540" s="237"/>
      <c r="AB540" s="237"/>
      <c r="AC540" s="237"/>
      <c r="AD540" s="237"/>
      <c r="AE540" s="237"/>
      <c r="AF540" s="237"/>
      <c r="AG540" s="237"/>
      <c r="AH540" s="237"/>
      <c r="AI540" s="237"/>
      <c r="AJ540" s="237"/>
      <c r="AK540" s="237"/>
      <c r="AL540" s="237"/>
      <c r="AM540" s="237"/>
      <c r="AN540" s="237"/>
      <c r="AO540" s="237"/>
      <c r="AP540" s="237"/>
      <c r="AQ540" s="237"/>
      <c r="AR540" s="237"/>
      <c r="AS540" s="237"/>
      <c r="AT540" s="237"/>
      <c r="AU540" s="237"/>
      <c r="AV540" s="237"/>
      <c r="AW540" s="237"/>
      <c r="AX540" s="237"/>
    </row>
    <row r="541" spans="3:50" x14ac:dyDescent="0.2">
      <c r="C541" s="228"/>
      <c r="D541" s="228"/>
      <c r="E541" s="228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  <c r="AA541" s="237"/>
      <c r="AB541" s="237"/>
      <c r="AC541" s="237"/>
      <c r="AD541" s="237"/>
      <c r="AE541" s="237"/>
      <c r="AF541" s="237"/>
      <c r="AG541" s="237"/>
      <c r="AH541" s="237"/>
      <c r="AI541" s="237"/>
      <c r="AJ541" s="237"/>
      <c r="AK541" s="237"/>
      <c r="AL541" s="237"/>
      <c r="AM541" s="237"/>
      <c r="AN541" s="237"/>
      <c r="AO541" s="237"/>
      <c r="AP541" s="237"/>
      <c r="AQ541" s="237"/>
      <c r="AR541" s="237"/>
      <c r="AS541" s="237"/>
      <c r="AT541" s="237"/>
      <c r="AU541" s="237"/>
      <c r="AV541" s="237"/>
      <c r="AW541" s="237"/>
      <c r="AX541" s="237"/>
    </row>
    <row r="542" spans="3:50" x14ac:dyDescent="0.2">
      <c r="C542" s="228"/>
      <c r="D542" s="228"/>
      <c r="E542" s="228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  <c r="AA542" s="237"/>
      <c r="AB542" s="237"/>
      <c r="AC542" s="237"/>
      <c r="AD542" s="237"/>
      <c r="AE542" s="237"/>
      <c r="AF542" s="237"/>
      <c r="AG542" s="237"/>
      <c r="AH542" s="237"/>
      <c r="AI542" s="237"/>
      <c r="AJ542" s="237"/>
      <c r="AK542" s="237"/>
      <c r="AL542" s="237"/>
      <c r="AM542" s="237"/>
      <c r="AN542" s="237"/>
      <c r="AO542" s="237"/>
      <c r="AP542" s="237"/>
      <c r="AQ542" s="237"/>
      <c r="AR542" s="237"/>
      <c r="AS542" s="237"/>
      <c r="AT542" s="237"/>
      <c r="AU542" s="237"/>
      <c r="AV542" s="237"/>
      <c r="AW542" s="237"/>
      <c r="AX542" s="237"/>
    </row>
    <row r="543" spans="3:50" x14ac:dyDescent="0.2">
      <c r="C543" s="228"/>
      <c r="D543" s="228"/>
      <c r="E543" s="228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  <c r="AA543" s="237"/>
      <c r="AB543" s="237"/>
      <c r="AC543" s="237"/>
      <c r="AD543" s="237"/>
      <c r="AE543" s="237"/>
      <c r="AF543" s="237"/>
      <c r="AG543" s="237"/>
      <c r="AH543" s="237"/>
      <c r="AI543" s="237"/>
      <c r="AJ543" s="237"/>
      <c r="AK543" s="237"/>
      <c r="AL543" s="237"/>
      <c r="AM543" s="237"/>
      <c r="AN543" s="237"/>
      <c r="AO543" s="237"/>
      <c r="AP543" s="237"/>
      <c r="AQ543" s="237"/>
      <c r="AR543" s="237"/>
      <c r="AS543" s="237"/>
      <c r="AT543" s="237"/>
      <c r="AU543" s="237"/>
      <c r="AV543" s="237"/>
      <c r="AW543" s="237"/>
      <c r="AX543" s="237"/>
    </row>
    <row r="544" spans="3:50" x14ac:dyDescent="0.2">
      <c r="C544" s="228"/>
      <c r="D544" s="228"/>
      <c r="E544" s="228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  <c r="AA544" s="237"/>
      <c r="AB544" s="237"/>
      <c r="AC544" s="237"/>
      <c r="AD544" s="237"/>
      <c r="AE544" s="237"/>
      <c r="AF544" s="237"/>
      <c r="AG544" s="237"/>
      <c r="AH544" s="237"/>
      <c r="AI544" s="237"/>
      <c r="AJ544" s="237"/>
      <c r="AK544" s="237"/>
      <c r="AL544" s="237"/>
      <c r="AM544" s="237"/>
      <c r="AN544" s="237"/>
      <c r="AO544" s="237"/>
      <c r="AP544" s="237"/>
      <c r="AQ544" s="237"/>
      <c r="AR544" s="237"/>
      <c r="AS544" s="237"/>
      <c r="AT544" s="237"/>
      <c r="AU544" s="237"/>
      <c r="AV544" s="237"/>
      <c r="AW544" s="237"/>
      <c r="AX544" s="237"/>
    </row>
    <row r="545" spans="3:50" x14ac:dyDescent="0.2">
      <c r="C545" s="228"/>
      <c r="D545" s="228"/>
      <c r="E545" s="228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  <c r="AA545" s="237"/>
      <c r="AB545" s="237"/>
      <c r="AC545" s="237"/>
      <c r="AD545" s="237"/>
      <c r="AE545" s="237"/>
      <c r="AF545" s="237"/>
      <c r="AG545" s="237"/>
      <c r="AH545" s="237"/>
      <c r="AI545" s="237"/>
      <c r="AJ545" s="237"/>
      <c r="AK545" s="237"/>
      <c r="AL545" s="237"/>
      <c r="AM545" s="237"/>
      <c r="AN545" s="237"/>
      <c r="AO545" s="237"/>
      <c r="AP545" s="237"/>
      <c r="AQ545" s="237"/>
      <c r="AR545" s="237"/>
      <c r="AS545" s="237"/>
      <c r="AT545" s="237"/>
      <c r="AU545" s="237"/>
      <c r="AV545" s="237"/>
      <c r="AW545" s="237"/>
      <c r="AX545" s="237"/>
    </row>
    <row r="546" spans="3:50" x14ac:dyDescent="0.2">
      <c r="C546" s="228"/>
      <c r="D546" s="228"/>
      <c r="E546" s="228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  <c r="AC546" s="237"/>
      <c r="AD546" s="237"/>
      <c r="AE546" s="237"/>
      <c r="AF546" s="237"/>
      <c r="AG546" s="237"/>
      <c r="AH546" s="237"/>
      <c r="AI546" s="237"/>
      <c r="AJ546" s="237"/>
      <c r="AK546" s="237"/>
      <c r="AL546" s="237"/>
      <c r="AM546" s="237"/>
      <c r="AN546" s="237"/>
      <c r="AO546" s="237"/>
      <c r="AP546" s="237"/>
      <c r="AQ546" s="237"/>
      <c r="AR546" s="237"/>
      <c r="AS546" s="237"/>
      <c r="AT546" s="237"/>
      <c r="AU546" s="237"/>
      <c r="AV546" s="237"/>
      <c r="AW546" s="237"/>
      <c r="AX546" s="237"/>
    </row>
    <row r="547" spans="3:50" x14ac:dyDescent="0.2">
      <c r="C547" s="228"/>
      <c r="D547" s="228"/>
      <c r="E547" s="228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  <c r="AA547" s="237"/>
      <c r="AB547" s="237"/>
      <c r="AC547" s="237"/>
      <c r="AD547" s="237"/>
      <c r="AE547" s="237"/>
      <c r="AF547" s="237"/>
      <c r="AG547" s="237"/>
      <c r="AH547" s="237"/>
      <c r="AI547" s="237"/>
      <c r="AJ547" s="237"/>
      <c r="AK547" s="237"/>
      <c r="AL547" s="237"/>
      <c r="AM547" s="237"/>
      <c r="AN547" s="237"/>
      <c r="AO547" s="237"/>
      <c r="AP547" s="237"/>
      <c r="AQ547" s="237"/>
      <c r="AR547" s="237"/>
      <c r="AS547" s="237"/>
      <c r="AT547" s="237"/>
      <c r="AU547" s="237"/>
      <c r="AV547" s="237"/>
      <c r="AW547" s="237"/>
      <c r="AX547" s="237"/>
    </row>
    <row r="548" spans="3:50" x14ac:dyDescent="0.2">
      <c r="C548" s="228"/>
      <c r="D548" s="228"/>
      <c r="E548" s="228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  <c r="AA548" s="237"/>
      <c r="AB548" s="237"/>
      <c r="AC548" s="237"/>
      <c r="AD548" s="237"/>
      <c r="AE548" s="237"/>
      <c r="AF548" s="237"/>
      <c r="AG548" s="237"/>
      <c r="AH548" s="237"/>
      <c r="AI548" s="237"/>
      <c r="AJ548" s="237"/>
      <c r="AK548" s="237"/>
      <c r="AL548" s="237"/>
      <c r="AM548" s="237"/>
      <c r="AN548" s="237"/>
      <c r="AO548" s="237"/>
      <c r="AP548" s="237"/>
      <c r="AQ548" s="237"/>
      <c r="AR548" s="237"/>
      <c r="AS548" s="237"/>
      <c r="AT548" s="237"/>
      <c r="AU548" s="237"/>
      <c r="AV548" s="237"/>
      <c r="AW548" s="237"/>
      <c r="AX548" s="237"/>
    </row>
    <row r="549" spans="3:50" x14ac:dyDescent="0.2">
      <c r="C549" s="228"/>
      <c r="D549" s="228"/>
      <c r="E549" s="228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  <c r="AA549" s="237"/>
      <c r="AB549" s="237"/>
      <c r="AC549" s="237"/>
      <c r="AD549" s="237"/>
      <c r="AE549" s="237"/>
      <c r="AF549" s="237"/>
      <c r="AG549" s="237"/>
      <c r="AH549" s="237"/>
      <c r="AI549" s="237"/>
      <c r="AJ549" s="237"/>
      <c r="AK549" s="237"/>
      <c r="AL549" s="237"/>
      <c r="AM549" s="237"/>
      <c r="AN549" s="237"/>
      <c r="AO549" s="237"/>
      <c r="AP549" s="237"/>
      <c r="AQ549" s="237"/>
      <c r="AR549" s="237"/>
      <c r="AS549" s="237"/>
      <c r="AT549" s="237"/>
      <c r="AU549" s="237"/>
      <c r="AV549" s="237"/>
      <c r="AW549" s="237"/>
      <c r="AX549" s="237"/>
    </row>
    <row r="550" spans="3:50" x14ac:dyDescent="0.2">
      <c r="C550" s="228"/>
      <c r="D550" s="228"/>
      <c r="E550" s="228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  <c r="AC550" s="237"/>
      <c r="AD550" s="237"/>
      <c r="AE550" s="237"/>
      <c r="AF550" s="237"/>
      <c r="AG550" s="237"/>
      <c r="AH550" s="237"/>
      <c r="AI550" s="237"/>
      <c r="AJ550" s="237"/>
      <c r="AK550" s="237"/>
      <c r="AL550" s="237"/>
      <c r="AM550" s="237"/>
      <c r="AN550" s="237"/>
      <c r="AO550" s="237"/>
      <c r="AP550" s="237"/>
      <c r="AQ550" s="237"/>
      <c r="AR550" s="237"/>
      <c r="AS550" s="237"/>
      <c r="AT550" s="237"/>
      <c r="AU550" s="237"/>
      <c r="AV550" s="237"/>
      <c r="AW550" s="237"/>
      <c r="AX550" s="237"/>
    </row>
    <row r="551" spans="3:50" x14ac:dyDescent="0.2">
      <c r="C551" s="228"/>
      <c r="D551" s="228"/>
      <c r="E551" s="228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  <c r="AA551" s="237"/>
      <c r="AB551" s="237"/>
      <c r="AC551" s="237"/>
      <c r="AD551" s="237"/>
      <c r="AE551" s="237"/>
      <c r="AF551" s="237"/>
      <c r="AG551" s="237"/>
      <c r="AH551" s="237"/>
      <c r="AI551" s="237"/>
      <c r="AJ551" s="237"/>
      <c r="AK551" s="237"/>
      <c r="AL551" s="237"/>
      <c r="AM551" s="237"/>
      <c r="AN551" s="237"/>
      <c r="AO551" s="237"/>
      <c r="AP551" s="237"/>
      <c r="AQ551" s="237"/>
      <c r="AR551" s="237"/>
      <c r="AS551" s="237"/>
      <c r="AT551" s="237"/>
      <c r="AU551" s="237"/>
      <c r="AV551" s="237"/>
      <c r="AW551" s="237"/>
      <c r="AX551" s="237"/>
    </row>
    <row r="552" spans="3:50" x14ac:dyDescent="0.2">
      <c r="C552" s="228"/>
      <c r="D552" s="228"/>
      <c r="E552" s="228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  <c r="AA552" s="237"/>
      <c r="AB552" s="237"/>
      <c r="AC552" s="237"/>
      <c r="AD552" s="237"/>
      <c r="AE552" s="237"/>
      <c r="AF552" s="237"/>
      <c r="AG552" s="237"/>
      <c r="AH552" s="237"/>
      <c r="AI552" s="237"/>
      <c r="AJ552" s="237"/>
      <c r="AK552" s="237"/>
      <c r="AL552" s="237"/>
      <c r="AM552" s="237"/>
      <c r="AN552" s="237"/>
      <c r="AO552" s="237"/>
      <c r="AP552" s="237"/>
      <c r="AQ552" s="237"/>
      <c r="AR552" s="237"/>
      <c r="AS552" s="237"/>
      <c r="AT552" s="237"/>
      <c r="AU552" s="237"/>
      <c r="AV552" s="237"/>
      <c r="AW552" s="237"/>
      <c r="AX552" s="237"/>
    </row>
    <row r="553" spans="3:50" x14ac:dyDescent="0.2">
      <c r="C553" s="228"/>
      <c r="D553" s="228"/>
      <c r="E553" s="228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  <c r="AA553" s="237"/>
      <c r="AB553" s="237"/>
      <c r="AC553" s="237"/>
      <c r="AD553" s="237"/>
      <c r="AE553" s="237"/>
      <c r="AF553" s="237"/>
      <c r="AG553" s="237"/>
      <c r="AH553" s="237"/>
      <c r="AI553" s="237"/>
      <c r="AJ553" s="237"/>
      <c r="AK553" s="237"/>
      <c r="AL553" s="237"/>
      <c r="AM553" s="237"/>
      <c r="AN553" s="237"/>
      <c r="AO553" s="237"/>
      <c r="AP553" s="237"/>
      <c r="AQ553" s="237"/>
      <c r="AR553" s="237"/>
      <c r="AS553" s="237"/>
      <c r="AT553" s="237"/>
      <c r="AU553" s="237"/>
      <c r="AV553" s="237"/>
      <c r="AW553" s="237"/>
      <c r="AX553" s="237"/>
    </row>
    <row r="554" spans="3:50" x14ac:dyDescent="0.2">
      <c r="C554" s="228"/>
      <c r="D554" s="228"/>
      <c r="E554" s="228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  <c r="AA554" s="237"/>
      <c r="AB554" s="237"/>
      <c r="AC554" s="237"/>
      <c r="AD554" s="237"/>
      <c r="AE554" s="237"/>
      <c r="AF554" s="237"/>
      <c r="AG554" s="237"/>
      <c r="AH554" s="237"/>
      <c r="AI554" s="237"/>
      <c r="AJ554" s="237"/>
      <c r="AK554" s="237"/>
      <c r="AL554" s="237"/>
      <c r="AM554" s="237"/>
      <c r="AN554" s="237"/>
      <c r="AO554" s="237"/>
      <c r="AP554" s="237"/>
      <c r="AQ554" s="237"/>
      <c r="AR554" s="237"/>
      <c r="AS554" s="237"/>
      <c r="AT554" s="237"/>
      <c r="AU554" s="237"/>
      <c r="AV554" s="237"/>
      <c r="AW554" s="237"/>
      <c r="AX554" s="237"/>
    </row>
    <row r="555" spans="3:50" x14ac:dyDescent="0.2">
      <c r="C555" s="228"/>
      <c r="D555" s="228"/>
      <c r="E555" s="228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  <c r="AA555" s="237"/>
      <c r="AB555" s="237"/>
      <c r="AC555" s="237"/>
      <c r="AD555" s="237"/>
      <c r="AE555" s="237"/>
      <c r="AF555" s="237"/>
      <c r="AG555" s="237"/>
      <c r="AH555" s="237"/>
      <c r="AI555" s="237"/>
      <c r="AJ555" s="237"/>
      <c r="AK555" s="237"/>
      <c r="AL555" s="237"/>
      <c r="AM555" s="237"/>
      <c r="AN555" s="237"/>
      <c r="AO555" s="237"/>
      <c r="AP555" s="237"/>
      <c r="AQ555" s="237"/>
      <c r="AR555" s="237"/>
      <c r="AS555" s="237"/>
      <c r="AT555" s="237"/>
      <c r="AU555" s="237"/>
      <c r="AV555" s="237"/>
      <c r="AW555" s="237"/>
      <c r="AX555" s="237"/>
    </row>
    <row r="556" spans="3:50" x14ac:dyDescent="0.2">
      <c r="C556" s="228"/>
      <c r="D556" s="228"/>
      <c r="E556" s="228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  <c r="AA556" s="237"/>
      <c r="AB556" s="237"/>
      <c r="AC556" s="237"/>
      <c r="AD556" s="237"/>
      <c r="AE556" s="237"/>
      <c r="AF556" s="237"/>
      <c r="AG556" s="237"/>
      <c r="AH556" s="237"/>
      <c r="AI556" s="237"/>
      <c r="AJ556" s="237"/>
      <c r="AK556" s="237"/>
      <c r="AL556" s="237"/>
      <c r="AM556" s="237"/>
      <c r="AN556" s="237"/>
      <c r="AO556" s="237"/>
      <c r="AP556" s="237"/>
      <c r="AQ556" s="237"/>
      <c r="AR556" s="237"/>
      <c r="AS556" s="237"/>
      <c r="AT556" s="237"/>
      <c r="AU556" s="237"/>
      <c r="AV556" s="237"/>
      <c r="AW556" s="237"/>
      <c r="AX556" s="237"/>
    </row>
    <row r="557" spans="3:50" x14ac:dyDescent="0.2">
      <c r="C557" s="228"/>
      <c r="D557" s="228"/>
      <c r="E557" s="228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  <c r="AA557" s="237"/>
      <c r="AB557" s="237"/>
      <c r="AC557" s="237"/>
      <c r="AD557" s="237"/>
      <c r="AE557" s="237"/>
      <c r="AF557" s="237"/>
      <c r="AG557" s="237"/>
      <c r="AH557" s="237"/>
      <c r="AI557" s="237"/>
      <c r="AJ557" s="237"/>
      <c r="AK557" s="237"/>
      <c r="AL557" s="237"/>
      <c r="AM557" s="237"/>
      <c r="AN557" s="237"/>
      <c r="AO557" s="237"/>
      <c r="AP557" s="237"/>
      <c r="AQ557" s="237"/>
      <c r="AR557" s="237"/>
      <c r="AS557" s="237"/>
      <c r="AT557" s="237"/>
      <c r="AU557" s="237"/>
      <c r="AV557" s="237"/>
      <c r="AW557" s="237"/>
      <c r="AX557" s="237"/>
    </row>
    <row r="558" spans="3:50" x14ac:dyDescent="0.2">
      <c r="C558" s="228"/>
      <c r="D558" s="228"/>
      <c r="E558" s="228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  <c r="AC558" s="237"/>
      <c r="AD558" s="237"/>
      <c r="AE558" s="237"/>
      <c r="AF558" s="237"/>
      <c r="AG558" s="237"/>
      <c r="AH558" s="237"/>
      <c r="AI558" s="237"/>
      <c r="AJ558" s="237"/>
      <c r="AK558" s="237"/>
      <c r="AL558" s="237"/>
      <c r="AM558" s="237"/>
      <c r="AN558" s="237"/>
      <c r="AO558" s="237"/>
      <c r="AP558" s="237"/>
      <c r="AQ558" s="237"/>
      <c r="AR558" s="237"/>
      <c r="AS558" s="237"/>
      <c r="AT558" s="237"/>
      <c r="AU558" s="237"/>
      <c r="AV558" s="237"/>
      <c r="AW558" s="237"/>
      <c r="AX558" s="237"/>
    </row>
    <row r="559" spans="3:50" x14ac:dyDescent="0.2">
      <c r="C559" s="228"/>
      <c r="D559" s="228"/>
      <c r="E559" s="228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  <c r="AC559" s="237"/>
      <c r="AD559" s="237"/>
      <c r="AE559" s="237"/>
      <c r="AF559" s="237"/>
      <c r="AG559" s="237"/>
      <c r="AH559" s="237"/>
      <c r="AI559" s="237"/>
      <c r="AJ559" s="237"/>
      <c r="AK559" s="237"/>
      <c r="AL559" s="237"/>
      <c r="AM559" s="237"/>
      <c r="AN559" s="237"/>
      <c r="AO559" s="237"/>
      <c r="AP559" s="237"/>
      <c r="AQ559" s="237"/>
      <c r="AR559" s="237"/>
      <c r="AS559" s="237"/>
      <c r="AT559" s="237"/>
      <c r="AU559" s="237"/>
      <c r="AV559" s="237"/>
      <c r="AW559" s="237"/>
      <c r="AX559" s="237"/>
    </row>
    <row r="560" spans="3:50" x14ac:dyDescent="0.2">
      <c r="C560" s="228"/>
      <c r="D560" s="228"/>
      <c r="E560" s="228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  <c r="AA560" s="237"/>
      <c r="AB560" s="237"/>
      <c r="AC560" s="237"/>
      <c r="AD560" s="237"/>
      <c r="AE560" s="237"/>
      <c r="AF560" s="237"/>
      <c r="AG560" s="237"/>
      <c r="AH560" s="237"/>
      <c r="AI560" s="237"/>
      <c r="AJ560" s="237"/>
      <c r="AK560" s="237"/>
      <c r="AL560" s="237"/>
      <c r="AM560" s="237"/>
      <c r="AN560" s="237"/>
      <c r="AO560" s="237"/>
      <c r="AP560" s="237"/>
      <c r="AQ560" s="237"/>
      <c r="AR560" s="237"/>
      <c r="AS560" s="237"/>
      <c r="AT560" s="237"/>
      <c r="AU560" s="237"/>
      <c r="AV560" s="237"/>
      <c r="AW560" s="237"/>
      <c r="AX560" s="237"/>
    </row>
    <row r="561" spans="3:50" x14ac:dyDescent="0.2">
      <c r="C561" s="228"/>
      <c r="D561" s="228"/>
      <c r="E561" s="228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  <c r="AA561" s="237"/>
      <c r="AB561" s="237"/>
      <c r="AC561" s="237"/>
      <c r="AD561" s="237"/>
      <c r="AE561" s="237"/>
      <c r="AF561" s="237"/>
      <c r="AG561" s="237"/>
      <c r="AH561" s="237"/>
      <c r="AI561" s="237"/>
      <c r="AJ561" s="237"/>
      <c r="AK561" s="237"/>
      <c r="AL561" s="237"/>
      <c r="AM561" s="237"/>
      <c r="AN561" s="237"/>
      <c r="AO561" s="237"/>
      <c r="AP561" s="237"/>
      <c r="AQ561" s="237"/>
      <c r="AR561" s="237"/>
      <c r="AS561" s="237"/>
      <c r="AT561" s="237"/>
      <c r="AU561" s="237"/>
      <c r="AV561" s="237"/>
      <c r="AW561" s="237"/>
      <c r="AX561" s="237"/>
    </row>
    <row r="562" spans="3:50" x14ac:dyDescent="0.2">
      <c r="C562" s="228"/>
      <c r="D562" s="228"/>
      <c r="E562" s="228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  <c r="AA562" s="237"/>
      <c r="AB562" s="237"/>
      <c r="AC562" s="237"/>
      <c r="AD562" s="237"/>
      <c r="AE562" s="237"/>
      <c r="AF562" s="237"/>
      <c r="AG562" s="237"/>
      <c r="AH562" s="237"/>
      <c r="AI562" s="237"/>
      <c r="AJ562" s="237"/>
      <c r="AK562" s="237"/>
      <c r="AL562" s="237"/>
      <c r="AM562" s="237"/>
      <c r="AN562" s="237"/>
      <c r="AO562" s="237"/>
      <c r="AP562" s="237"/>
      <c r="AQ562" s="237"/>
      <c r="AR562" s="237"/>
      <c r="AS562" s="237"/>
      <c r="AT562" s="237"/>
      <c r="AU562" s="237"/>
      <c r="AV562" s="237"/>
      <c r="AW562" s="237"/>
      <c r="AX562" s="237"/>
    </row>
    <row r="563" spans="3:50" x14ac:dyDescent="0.2">
      <c r="C563" s="228"/>
      <c r="D563" s="228"/>
      <c r="E563" s="228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  <c r="AA563" s="237"/>
      <c r="AB563" s="237"/>
      <c r="AC563" s="237"/>
      <c r="AD563" s="237"/>
      <c r="AE563" s="237"/>
      <c r="AF563" s="237"/>
      <c r="AG563" s="237"/>
      <c r="AH563" s="237"/>
      <c r="AI563" s="237"/>
      <c r="AJ563" s="237"/>
      <c r="AK563" s="237"/>
      <c r="AL563" s="237"/>
      <c r="AM563" s="237"/>
      <c r="AN563" s="237"/>
      <c r="AO563" s="237"/>
      <c r="AP563" s="237"/>
      <c r="AQ563" s="237"/>
      <c r="AR563" s="237"/>
      <c r="AS563" s="237"/>
      <c r="AT563" s="237"/>
      <c r="AU563" s="237"/>
      <c r="AV563" s="237"/>
      <c r="AW563" s="237"/>
      <c r="AX563" s="237"/>
    </row>
    <row r="564" spans="3:50" x14ac:dyDescent="0.2">
      <c r="C564" s="228"/>
      <c r="D564" s="228"/>
      <c r="E564" s="228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  <c r="AA564" s="237"/>
      <c r="AB564" s="237"/>
      <c r="AC564" s="237"/>
      <c r="AD564" s="237"/>
      <c r="AE564" s="237"/>
      <c r="AF564" s="237"/>
      <c r="AG564" s="237"/>
      <c r="AH564" s="237"/>
      <c r="AI564" s="237"/>
      <c r="AJ564" s="237"/>
      <c r="AK564" s="237"/>
      <c r="AL564" s="237"/>
      <c r="AM564" s="237"/>
      <c r="AN564" s="237"/>
      <c r="AO564" s="237"/>
      <c r="AP564" s="237"/>
      <c r="AQ564" s="237"/>
      <c r="AR564" s="237"/>
      <c r="AS564" s="237"/>
      <c r="AT564" s="237"/>
      <c r="AU564" s="237"/>
      <c r="AV564" s="237"/>
      <c r="AW564" s="237"/>
      <c r="AX564" s="237"/>
    </row>
    <row r="565" spans="3:50" x14ac:dyDescent="0.2">
      <c r="C565" s="228"/>
      <c r="D565" s="228"/>
      <c r="E565" s="228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  <c r="AA565" s="237"/>
      <c r="AB565" s="237"/>
      <c r="AC565" s="237"/>
      <c r="AD565" s="237"/>
      <c r="AE565" s="237"/>
      <c r="AF565" s="237"/>
      <c r="AG565" s="237"/>
      <c r="AH565" s="237"/>
      <c r="AI565" s="237"/>
      <c r="AJ565" s="237"/>
      <c r="AK565" s="237"/>
      <c r="AL565" s="237"/>
      <c r="AM565" s="237"/>
      <c r="AN565" s="237"/>
      <c r="AO565" s="237"/>
      <c r="AP565" s="237"/>
      <c r="AQ565" s="237"/>
      <c r="AR565" s="237"/>
      <c r="AS565" s="237"/>
      <c r="AT565" s="237"/>
      <c r="AU565" s="237"/>
      <c r="AV565" s="237"/>
      <c r="AW565" s="237"/>
      <c r="AX565" s="237"/>
    </row>
    <row r="566" spans="3:50" x14ac:dyDescent="0.2">
      <c r="C566" s="228"/>
      <c r="D566" s="228"/>
      <c r="E566" s="228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  <c r="AA566" s="237"/>
      <c r="AB566" s="237"/>
      <c r="AC566" s="237"/>
      <c r="AD566" s="237"/>
      <c r="AE566" s="237"/>
      <c r="AF566" s="237"/>
      <c r="AG566" s="237"/>
      <c r="AH566" s="237"/>
      <c r="AI566" s="237"/>
      <c r="AJ566" s="237"/>
      <c r="AK566" s="237"/>
      <c r="AL566" s="237"/>
      <c r="AM566" s="237"/>
      <c r="AN566" s="237"/>
      <c r="AO566" s="237"/>
      <c r="AP566" s="237"/>
      <c r="AQ566" s="237"/>
      <c r="AR566" s="237"/>
      <c r="AS566" s="237"/>
      <c r="AT566" s="237"/>
      <c r="AU566" s="237"/>
      <c r="AV566" s="237"/>
      <c r="AW566" s="237"/>
      <c r="AX566" s="237"/>
    </row>
    <row r="567" spans="3:50" x14ac:dyDescent="0.2">
      <c r="C567" s="228"/>
      <c r="D567" s="228"/>
      <c r="E567" s="228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  <c r="AA567" s="237"/>
      <c r="AB567" s="237"/>
      <c r="AC567" s="237"/>
      <c r="AD567" s="237"/>
      <c r="AE567" s="237"/>
      <c r="AF567" s="237"/>
      <c r="AG567" s="237"/>
      <c r="AH567" s="237"/>
      <c r="AI567" s="237"/>
      <c r="AJ567" s="237"/>
      <c r="AK567" s="237"/>
      <c r="AL567" s="237"/>
      <c r="AM567" s="237"/>
      <c r="AN567" s="237"/>
      <c r="AO567" s="237"/>
      <c r="AP567" s="237"/>
      <c r="AQ567" s="237"/>
      <c r="AR567" s="237"/>
      <c r="AS567" s="237"/>
      <c r="AT567" s="237"/>
      <c r="AU567" s="237"/>
      <c r="AV567" s="237"/>
      <c r="AW567" s="237"/>
      <c r="AX567" s="237"/>
    </row>
    <row r="568" spans="3:50" x14ac:dyDescent="0.2">
      <c r="C568" s="228"/>
      <c r="D568" s="228"/>
      <c r="E568" s="228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  <c r="AA568" s="237"/>
      <c r="AB568" s="237"/>
      <c r="AC568" s="237"/>
      <c r="AD568" s="237"/>
      <c r="AE568" s="237"/>
      <c r="AF568" s="237"/>
      <c r="AG568" s="237"/>
      <c r="AH568" s="237"/>
      <c r="AI568" s="237"/>
      <c r="AJ568" s="237"/>
      <c r="AK568" s="237"/>
      <c r="AL568" s="237"/>
      <c r="AM568" s="237"/>
      <c r="AN568" s="237"/>
      <c r="AO568" s="237"/>
      <c r="AP568" s="237"/>
      <c r="AQ568" s="237"/>
      <c r="AR568" s="237"/>
      <c r="AS568" s="237"/>
      <c r="AT568" s="237"/>
      <c r="AU568" s="237"/>
      <c r="AV568" s="237"/>
      <c r="AW568" s="237"/>
      <c r="AX568" s="237"/>
    </row>
    <row r="569" spans="3:50" x14ac:dyDescent="0.2">
      <c r="C569" s="228"/>
      <c r="D569" s="228"/>
      <c r="E569" s="228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  <c r="AA569" s="237"/>
      <c r="AB569" s="237"/>
      <c r="AC569" s="237"/>
      <c r="AD569" s="237"/>
      <c r="AE569" s="237"/>
      <c r="AF569" s="237"/>
      <c r="AG569" s="237"/>
      <c r="AH569" s="237"/>
      <c r="AI569" s="237"/>
      <c r="AJ569" s="237"/>
      <c r="AK569" s="237"/>
      <c r="AL569" s="237"/>
      <c r="AM569" s="237"/>
      <c r="AN569" s="237"/>
      <c r="AO569" s="237"/>
      <c r="AP569" s="237"/>
      <c r="AQ569" s="237"/>
      <c r="AR569" s="237"/>
      <c r="AS569" s="237"/>
      <c r="AT569" s="237"/>
      <c r="AU569" s="237"/>
      <c r="AV569" s="237"/>
      <c r="AW569" s="237"/>
      <c r="AX569" s="237"/>
    </row>
    <row r="570" spans="3:50" x14ac:dyDescent="0.2">
      <c r="C570" s="228"/>
      <c r="D570" s="228"/>
      <c r="E570" s="228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  <c r="AA570" s="237"/>
      <c r="AB570" s="237"/>
      <c r="AC570" s="237"/>
      <c r="AD570" s="237"/>
      <c r="AE570" s="237"/>
      <c r="AF570" s="237"/>
      <c r="AG570" s="237"/>
      <c r="AH570" s="237"/>
      <c r="AI570" s="237"/>
      <c r="AJ570" s="237"/>
      <c r="AK570" s="237"/>
      <c r="AL570" s="237"/>
      <c r="AM570" s="237"/>
      <c r="AN570" s="237"/>
      <c r="AO570" s="237"/>
      <c r="AP570" s="237"/>
      <c r="AQ570" s="237"/>
      <c r="AR570" s="237"/>
      <c r="AS570" s="237"/>
      <c r="AT570" s="237"/>
      <c r="AU570" s="237"/>
      <c r="AV570" s="237"/>
      <c r="AW570" s="237"/>
      <c r="AX570" s="237"/>
    </row>
    <row r="571" spans="3:50" x14ac:dyDescent="0.2">
      <c r="C571" s="228"/>
      <c r="D571" s="228"/>
      <c r="E571" s="228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  <c r="AA571" s="237"/>
      <c r="AB571" s="237"/>
      <c r="AC571" s="237"/>
      <c r="AD571" s="237"/>
      <c r="AE571" s="237"/>
      <c r="AF571" s="237"/>
      <c r="AG571" s="237"/>
      <c r="AH571" s="237"/>
      <c r="AI571" s="237"/>
      <c r="AJ571" s="237"/>
      <c r="AK571" s="237"/>
      <c r="AL571" s="237"/>
      <c r="AM571" s="237"/>
      <c r="AN571" s="237"/>
      <c r="AO571" s="237"/>
      <c r="AP571" s="237"/>
      <c r="AQ571" s="237"/>
      <c r="AR571" s="237"/>
      <c r="AS571" s="237"/>
      <c r="AT571" s="237"/>
      <c r="AU571" s="237"/>
      <c r="AV571" s="237"/>
      <c r="AW571" s="237"/>
      <c r="AX571" s="237"/>
    </row>
    <row r="572" spans="3:50" x14ac:dyDescent="0.2">
      <c r="C572" s="228"/>
      <c r="D572" s="228"/>
      <c r="E572" s="228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  <c r="AA572" s="237"/>
      <c r="AB572" s="237"/>
      <c r="AC572" s="237"/>
      <c r="AD572" s="237"/>
      <c r="AE572" s="237"/>
      <c r="AF572" s="237"/>
      <c r="AG572" s="237"/>
      <c r="AH572" s="237"/>
      <c r="AI572" s="237"/>
      <c r="AJ572" s="237"/>
      <c r="AK572" s="237"/>
      <c r="AL572" s="237"/>
      <c r="AM572" s="237"/>
      <c r="AN572" s="237"/>
      <c r="AO572" s="237"/>
      <c r="AP572" s="237"/>
      <c r="AQ572" s="237"/>
      <c r="AR572" s="237"/>
      <c r="AS572" s="237"/>
      <c r="AT572" s="237"/>
      <c r="AU572" s="237"/>
      <c r="AV572" s="237"/>
      <c r="AW572" s="237"/>
      <c r="AX572" s="237"/>
    </row>
    <row r="573" spans="3:50" x14ac:dyDescent="0.2">
      <c r="C573" s="228"/>
      <c r="D573" s="228"/>
      <c r="E573" s="228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  <c r="AA573" s="237"/>
      <c r="AB573" s="237"/>
      <c r="AC573" s="237"/>
      <c r="AD573" s="237"/>
      <c r="AE573" s="237"/>
      <c r="AF573" s="237"/>
      <c r="AG573" s="237"/>
      <c r="AH573" s="237"/>
      <c r="AI573" s="237"/>
      <c r="AJ573" s="237"/>
      <c r="AK573" s="237"/>
      <c r="AL573" s="237"/>
      <c r="AM573" s="237"/>
      <c r="AN573" s="237"/>
      <c r="AO573" s="237"/>
      <c r="AP573" s="237"/>
      <c r="AQ573" s="237"/>
      <c r="AR573" s="237"/>
      <c r="AS573" s="237"/>
      <c r="AT573" s="237"/>
      <c r="AU573" s="237"/>
      <c r="AV573" s="237"/>
      <c r="AW573" s="237"/>
      <c r="AX573" s="237"/>
    </row>
    <row r="574" spans="3:50" x14ac:dyDescent="0.2">
      <c r="C574" s="228"/>
      <c r="D574" s="228"/>
      <c r="E574" s="228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  <c r="AA574" s="237"/>
      <c r="AB574" s="237"/>
      <c r="AC574" s="237"/>
      <c r="AD574" s="237"/>
      <c r="AE574" s="237"/>
      <c r="AF574" s="237"/>
      <c r="AG574" s="237"/>
      <c r="AH574" s="237"/>
      <c r="AI574" s="237"/>
      <c r="AJ574" s="237"/>
      <c r="AK574" s="237"/>
      <c r="AL574" s="237"/>
      <c r="AM574" s="237"/>
      <c r="AN574" s="237"/>
      <c r="AO574" s="237"/>
      <c r="AP574" s="237"/>
      <c r="AQ574" s="237"/>
      <c r="AR574" s="237"/>
      <c r="AS574" s="237"/>
      <c r="AT574" s="237"/>
      <c r="AU574" s="237"/>
      <c r="AV574" s="237"/>
      <c r="AW574" s="237"/>
      <c r="AX574" s="237"/>
    </row>
    <row r="575" spans="3:50" x14ac:dyDescent="0.2">
      <c r="C575" s="228"/>
      <c r="D575" s="228"/>
      <c r="E575" s="228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  <c r="AA575" s="237"/>
      <c r="AB575" s="237"/>
      <c r="AC575" s="237"/>
      <c r="AD575" s="237"/>
      <c r="AE575" s="237"/>
      <c r="AF575" s="237"/>
      <c r="AG575" s="237"/>
      <c r="AH575" s="237"/>
      <c r="AI575" s="237"/>
      <c r="AJ575" s="237"/>
      <c r="AK575" s="237"/>
      <c r="AL575" s="237"/>
      <c r="AM575" s="237"/>
      <c r="AN575" s="237"/>
      <c r="AO575" s="237"/>
      <c r="AP575" s="237"/>
      <c r="AQ575" s="237"/>
      <c r="AR575" s="237"/>
      <c r="AS575" s="237"/>
      <c r="AT575" s="237"/>
      <c r="AU575" s="237"/>
      <c r="AV575" s="237"/>
      <c r="AW575" s="237"/>
      <c r="AX575" s="237"/>
    </row>
    <row r="576" spans="3:50" x14ac:dyDescent="0.2">
      <c r="C576" s="228"/>
      <c r="D576" s="228"/>
      <c r="E576" s="228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  <c r="AA576" s="237"/>
      <c r="AB576" s="237"/>
      <c r="AC576" s="237"/>
      <c r="AD576" s="237"/>
      <c r="AE576" s="237"/>
      <c r="AF576" s="237"/>
      <c r="AG576" s="237"/>
      <c r="AH576" s="237"/>
      <c r="AI576" s="237"/>
      <c r="AJ576" s="237"/>
      <c r="AK576" s="237"/>
      <c r="AL576" s="237"/>
      <c r="AM576" s="237"/>
      <c r="AN576" s="237"/>
      <c r="AO576" s="237"/>
      <c r="AP576" s="237"/>
      <c r="AQ576" s="237"/>
      <c r="AR576" s="237"/>
      <c r="AS576" s="237"/>
      <c r="AT576" s="237"/>
      <c r="AU576" s="237"/>
      <c r="AV576" s="237"/>
      <c r="AW576" s="237"/>
      <c r="AX576" s="237"/>
    </row>
    <row r="577" spans="3:50" x14ac:dyDescent="0.2">
      <c r="C577" s="228"/>
      <c r="D577" s="228"/>
      <c r="E577" s="228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  <c r="AA577" s="237"/>
      <c r="AB577" s="237"/>
      <c r="AC577" s="237"/>
      <c r="AD577" s="237"/>
      <c r="AE577" s="237"/>
      <c r="AF577" s="237"/>
      <c r="AG577" s="237"/>
      <c r="AH577" s="237"/>
      <c r="AI577" s="237"/>
      <c r="AJ577" s="237"/>
      <c r="AK577" s="237"/>
      <c r="AL577" s="237"/>
      <c r="AM577" s="237"/>
      <c r="AN577" s="237"/>
      <c r="AO577" s="237"/>
      <c r="AP577" s="237"/>
      <c r="AQ577" s="237"/>
      <c r="AR577" s="237"/>
      <c r="AS577" s="237"/>
      <c r="AT577" s="237"/>
      <c r="AU577" s="237"/>
      <c r="AV577" s="237"/>
      <c r="AW577" s="237"/>
      <c r="AX577" s="237"/>
    </row>
    <row r="578" spans="3:50" x14ac:dyDescent="0.2">
      <c r="C578" s="228"/>
      <c r="D578" s="228"/>
      <c r="E578" s="228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  <c r="AA578" s="237"/>
      <c r="AB578" s="237"/>
      <c r="AC578" s="237"/>
      <c r="AD578" s="237"/>
      <c r="AE578" s="237"/>
      <c r="AF578" s="237"/>
      <c r="AG578" s="237"/>
      <c r="AH578" s="237"/>
      <c r="AI578" s="237"/>
      <c r="AJ578" s="237"/>
      <c r="AK578" s="237"/>
      <c r="AL578" s="237"/>
      <c r="AM578" s="237"/>
      <c r="AN578" s="237"/>
      <c r="AO578" s="237"/>
      <c r="AP578" s="237"/>
      <c r="AQ578" s="237"/>
      <c r="AR578" s="237"/>
      <c r="AS578" s="237"/>
      <c r="AT578" s="237"/>
      <c r="AU578" s="237"/>
      <c r="AV578" s="237"/>
      <c r="AW578" s="237"/>
      <c r="AX578" s="237"/>
    </row>
    <row r="579" spans="3:50" x14ac:dyDescent="0.2">
      <c r="C579" s="228"/>
      <c r="D579" s="228"/>
      <c r="E579" s="228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  <c r="AA579" s="237"/>
      <c r="AB579" s="237"/>
      <c r="AC579" s="237"/>
      <c r="AD579" s="237"/>
      <c r="AE579" s="237"/>
      <c r="AF579" s="237"/>
      <c r="AG579" s="237"/>
      <c r="AH579" s="237"/>
      <c r="AI579" s="237"/>
      <c r="AJ579" s="237"/>
      <c r="AK579" s="237"/>
      <c r="AL579" s="237"/>
      <c r="AM579" s="237"/>
      <c r="AN579" s="237"/>
      <c r="AO579" s="237"/>
      <c r="AP579" s="237"/>
      <c r="AQ579" s="237"/>
      <c r="AR579" s="237"/>
      <c r="AS579" s="237"/>
      <c r="AT579" s="237"/>
      <c r="AU579" s="237"/>
      <c r="AV579" s="237"/>
      <c r="AW579" s="237"/>
      <c r="AX579" s="237"/>
    </row>
    <row r="580" spans="3:50" x14ac:dyDescent="0.2">
      <c r="C580" s="228"/>
      <c r="D580" s="228"/>
      <c r="E580" s="228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  <c r="AA580" s="237"/>
      <c r="AB580" s="237"/>
      <c r="AC580" s="237"/>
      <c r="AD580" s="237"/>
      <c r="AE580" s="237"/>
      <c r="AF580" s="237"/>
      <c r="AG580" s="237"/>
      <c r="AH580" s="237"/>
      <c r="AI580" s="237"/>
      <c r="AJ580" s="237"/>
      <c r="AK580" s="237"/>
      <c r="AL580" s="237"/>
      <c r="AM580" s="237"/>
      <c r="AN580" s="237"/>
      <c r="AO580" s="237"/>
      <c r="AP580" s="237"/>
      <c r="AQ580" s="237"/>
      <c r="AR580" s="237"/>
      <c r="AS580" s="237"/>
      <c r="AT580" s="237"/>
      <c r="AU580" s="237"/>
      <c r="AV580" s="237"/>
      <c r="AW580" s="237"/>
      <c r="AX580" s="237"/>
    </row>
    <row r="581" spans="3:50" x14ac:dyDescent="0.2">
      <c r="C581" s="228"/>
      <c r="D581" s="228"/>
      <c r="E581" s="228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  <c r="AA581" s="237"/>
      <c r="AB581" s="237"/>
      <c r="AC581" s="237"/>
      <c r="AD581" s="237"/>
      <c r="AE581" s="237"/>
      <c r="AF581" s="237"/>
      <c r="AG581" s="237"/>
      <c r="AH581" s="237"/>
      <c r="AI581" s="237"/>
      <c r="AJ581" s="237"/>
      <c r="AK581" s="237"/>
      <c r="AL581" s="237"/>
      <c r="AM581" s="237"/>
      <c r="AN581" s="237"/>
      <c r="AO581" s="237"/>
      <c r="AP581" s="237"/>
      <c r="AQ581" s="237"/>
      <c r="AR581" s="237"/>
      <c r="AS581" s="237"/>
      <c r="AT581" s="237"/>
      <c r="AU581" s="237"/>
      <c r="AV581" s="237"/>
      <c r="AW581" s="237"/>
      <c r="AX581" s="237"/>
    </row>
    <row r="582" spans="3:50" x14ac:dyDescent="0.2">
      <c r="C582" s="228"/>
      <c r="D582" s="228"/>
      <c r="E582" s="228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  <c r="AA582" s="237"/>
      <c r="AB582" s="237"/>
      <c r="AC582" s="237"/>
      <c r="AD582" s="237"/>
      <c r="AE582" s="237"/>
      <c r="AF582" s="237"/>
      <c r="AG582" s="237"/>
      <c r="AH582" s="237"/>
      <c r="AI582" s="237"/>
      <c r="AJ582" s="237"/>
      <c r="AK582" s="237"/>
      <c r="AL582" s="237"/>
      <c r="AM582" s="237"/>
      <c r="AN582" s="237"/>
      <c r="AO582" s="237"/>
      <c r="AP582" s="237"/>
      <c r="AQ582" s="237"/>
      <c r="AR582" s="237"/>
      <c r="AS582" s="237"/>
      <c r="AT582" s="237"/>
      <c r="AU582" s="237"/>
      <c r="AV582" s="237"/>
      <c r="AW582" s="237"/>
      <c r="AX582" s="237"/>
    </row>
    <row r="583" spans="3:50" x14ac:dyDescent="0.2">
      <c r="C583" s="228"/>
      <c r="D583" s="228"/>
      <c r="E583" s="228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  <c r="AA583" s="237"/>
      <c r="AB583" s="237"/>
      <c r="AC583" s="237"/>
      <c r="AD583" s="237"/>
      <c r="AE583" s="237"/>
      <c r="AF583" s="237"/>
      <c r="AG583" s="237"/>
      <c r="AH583" s="237"/>
      <c r="AI583" s="237"/>
      <c r="AJ583" s="237"/>
      <c r="AK583" s="237"/>
      <c r="AL583" s="237"/>
      <c r="AM583" s="237"/>
      <c r="AN583" s="237"/>
      <c r="AO583" s="237"/>
      <c r="AP583" s="237"/>
      <c r="AQ583" s="237"/>
      <c r="AR583" s="237"/>
      <c r="AS583" s="237"/>
      <c r="AT583" s="237"/>
      <c r="AU583" s="237"/>
      <c r="AV583" s="237"/>
      <c r="AW583" s="237"/>
      <c r="AX583" s="237"/>
    </row>
    <row r="584" spans="3:50" x14ac:dyDescent="0.2">
      <c r="C584" s="228"/>
      <c r="D584" s="228"/>
      <c r="E584" s="228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  <c r="AA584" s="237"/>
      <c r="AB584" s="237"/>
      <c r="AC584" s="237"/>
      <c r="AD584" s="237"/>
      <c r="AE584" s="237"/>
      <c r="AF584" s="237"/>
      <c r="AG584" s="237"/>
      <c r="AH584" s="237"/>
      <c r="AI584" s="237"/>
      <c r="AJ584" s="237"/>
      <c r="AK584" s="237"/>
      <c r="AL584" s="237"/>
      <c r="AM584" s="237"/>
      <c r="AN584" s="237"/>
      <c r="AO584" s="237"/>
      <c r="AP584" s="237"/>
      <c r="AQ584" s="237"/>
      <c r="AR584" s="237"/>
      <c r="AS584" s="237"/>
      <c r="AT584" s="237"/>
      <c r="AU584" s="237"/>
      <c r="AV584" s="237"/>
      <c r="AW584" s="237"/>
      <c r="AX584" s="237"/>
    </row>
    <row r="585" spans="3:50" x14ac:dyDescent="0.2">
      <c r="C585" s="228"/>
      <c r="D585" s="228"/>
      <c r="E585" s="228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  <c r="AA585" s="237"/>
      <c r="AB585" s="237"/>
      <c r="AC585" s="237"/>
      <c r="AD585" s="237"/>
      <c r="AE585" s="237"/>
      <c r="AF585" s="237"/>
      <c r="AG585" s="237"/>
      <c r="AH585" s="237"/>
      <c r="AI585" s="237"/>
      <c r="AJ585" s="237"/>
      <c r="AK585" s="237"/>
      <c r="AL585" s="237"/>
      <c r="AM585" s="237"/>
      <c r="AN585" s="237"/>
      <c r="AO585" s="237"/>
      <c r="AP585" s="237"/>
      <c r="AQ585" s="237"/>
      <c r="AR585" s="237"/>
      <c r="AS585" s="237"/>
      <c r="AT585" s="237"/>
      <c r="AU585" s="237"/>
      <c r="AV585" s="237"/>
      <c r="AW585" s="237"/>
      <c r="AX585" s="237"/>
    </row>
    <row r="586" spans="3:50" x14ac:dyDescent="0.2">
      <c r="C586" s="228"/>
      <c r="D586" s="228"/>
      <c r="E586" s="228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  <c r="AA586" s="237"/>
      <c r="AB586" s="237"/>
      <c r="AC586" s="237"/>
      <c r="AD586" s="237"/>
      <c r="AE586" s="237"/>
      <c r="AF586" s="237"/>
      <c r="AG586" s="237"/>
      <c r="AH586" s="237"/>
      <c r="AI586" s="237"/>
      <c r="AJ586" s="237"/>
      <c r="AK586" s="237"/>
      <c r="AL586" s="237"/>
      <c r="AM586" s="237"/>
      <c r="AN586" s="237"/>
      <c r="AO586" s="237"/>
      <c r="AP586" s="237"/>
      <c r="AQ586" s="237"/>
      <c r="AR586" s="237"/>
      <c r="AS586" s="237"/>
      <c r="AT586" s="237"/>
      <c r="AU586" s="237"/>
      <c r="AV586" s="237"/>
      <c r="AW586" s="237"/>
      <c r="AX586" s="237"/>
    </row>
    <row r="587" spans="3:50" x14ac:dyDescent="0.2">
      <c r="C587" s="228"/>
      <c r="D587" s="228"/>
      <c r="E587" s="228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  <c r="AA587" s="237"/>
      <c r="AB587" s="237"/>
      <c r="AC587" s="237"/>
      <c r="AD587" s="237"/>
      <c r="AE587" s="237"/>
      <c r="AF587" s="237"/>
      <c r="AG587" s="237"/>
      <c r="AH587" s="237"/>
      <c r="AI587" s="237"/>
      <c r="AJ587" s="237"/>
      <c r="AK587" s="237"/>
      <c r="AL587" s="237"/>
      <c r="AM587" s="237"/>
      <c r="AN587" s="237"/>
      <c r="AO587" s="237"/>
      <c r="AP587" s="237"/>
      <c r="AQ587" s="237"/>
      <c r="AR587" s="237"/>
      <c r="AS587" s="237"/>
      <c r="AT587" s="237"/>
      <c r="AU587" s="237"/>
      <c r="AV587" s="237"/>
      <c r="AW587" s="237"/>
      <c r="AX587" s="237"/>
    </row>
    <row r="588" spans="3:50" x14ac:dyDescent="0.2">
      <c r="C588" s="228"/>
      <c r="D588" s="228"/>
      <c r="E588" s="228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  <c r="AA588" s="237"/>
      <c r="AB588" s="237"/>
      <c r="AC588" s="237"/>
      <c r="AD588" s="237"/>
      <c r="AE588" s="237"/>
      <c r="AF588" s="237"/>
      <c r="AG588" s="237"/>
      <c r="AH588" s="237"/>
      <c r="AI588" s="237"/>
      <c r="AJ588" s="237"/>
      <c r="AK588" s="237"/>
      <c r="AL588" s="237"/>
      <c r="AM588" s="237"/>
      <c r="AN588" s="237"/>
      <c r="AO588" s="237"/>
      <c r="AP588" s="237"/>
      <c r="AQ588" s="237"/>
      <c r="AR588" s="237"/>
      <c r="AS588" s="237"/>
      <c r="AT588" s="237"/>
      <c r="AU588" s="237"/>
      <c r="AV588" s="237"/>
      <c r="AW588" s="237"/>
      <c r="AX588" s="237"/>
    </row>
    <row r="589" spans="3:50" x14ac:dyDescent="0.2">
      <c r="C589" s="228"/>
      <c r="D589" s="228"/>
      <c r="E589" s="228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  <c r="AC589" s="237"/>
      <c r="AD589" s="237"/>
      <c r="AE589" s="237"/>
      <c r="AF589" s="237"/>
      <c r="AG589" s="237"/>
      <c r="AH589" s="237"/>
      <c r="AI589" s="237"/>
      <c r="AJ589" s="237"/>
      <c r="AK589" s="237"/>
      <c r="AL589" s="237"/>
      <c r="AM589" s="237"/>
      <c r="AN589" s="237"/>
      <c r="AO589" s="237"/>
      <c r="AP589" s="237"/>
      <c r="AQ589" s="237"/>
      <c r="AR589" s="237"/>
      <c r="AS589" s="237"/>
      <c r="AT589" s="237"/>
      <c r="AU589" s="237"/>
      <c r="AV589" s="237"/>
      <c r="AW589" s="237"/>
      <c r="AX589" s="237"/>
    </row>
    <row r="590" spans="3:50" x14ac:dyDescent="0.2">
      <c r="C590" s="228"/>
      <c r="D590" s="228"/>
      <c r="E590" s="228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  <c r="AA590" s="237"/>
      <c r="AB590" s="237"/>
      <c r="AC590" s="237"/>
      <c r="AD590" s="237"/>
      <c r="AE590" s="237"/>
      <c r="AF590" s="237"/>
      <c r="AG590" s="237"/>
      <c r="AH590" s="237"/>
      <c r="AI590" s="237"/>
      <c r="AJ590" s="237"/>
      <c r="AK590" s="237"/>
      <c r="AL590" s="237"/>
      <c r="AM590" s="237"/>
      <c r="AN590" s="237"/>
      <c r="AO590" s="237"/>
      <c r="AP590" s="237"/>
      <c r="AQ590" s="237"/>
      <c r="AR590" s="237"/>
      <c r="AS590" s="237"/>
      <c r="AT590" s="237"/>
      <c r="AU590" s="237"/>
      <c r="AV590" s="237"/>
      <c r="AW590" s="237"/>
      <c r="AX590" s="237"/>
    </row>
    <row r="591" spans="3:50" x14ac:dyDescent="0.2">
      <c r="C591" s="228"/>
      <c r="D591" s="228"/>
      <c r="E591" s="228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  <c r="AA591" s="237"/>
      <c r="AB591" s="237"/>
      <c r="AC591" s="237"/>
      <c r="AD591" s="237"/>
      <c r="AE591" s="237"/>
      <c r="AF591" s="237"/>
      <c r="AG591" s="237"/>
      <c r="AH591" s="237"/>
      <c r="AI591" s="237"/>
      <c r="AJ591" s="237"/>
      <c r="AK591" s="237"/>
      <c r="AL591" s="237"/>
      <c r="AM591" s="237"/>
      <c r="AN591" s="237"/>
      <c r="AO591" s="237"/>
      <c r="AP591" s="237"/>
      <c r="AQ591" s="237"/>
      <c r="AR591" s="237"/>
      <c r="AS591" s="237"/>
      <c r="AT591" s="237"/>
      <c r="AU591" s="237"/>
      <c r="AV591" s="237"/>
      <c r="AW591" s="237"/>
      <c r="AX591" s="237"/>
    </row>
    <row r="592" spans="3:50" x14ac:dyDescent="0.2">
      <c r="C592" s="228"/>
      <c r="D592" s="228"/>
      <c r="E592" s="228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  <c r="AA592" s="237"/>
      <c r="AB592" s="237"/>
      <c r="AC592" s="237"/>
      <c r="AD592" s="237"/>
      <c r="AE592" s="237"/>
      <c r="AF592" s="237"/>
      <c r="AG592" s="237"/>
      <c r="AH592" s="237"/>
      <c r="AI592" s="237"/>
      <c r="AJ592" s="237"/>
      <c r="AK592" s="237"/>
      <c r="AL592" s="237"/>
      <c r="AM592" s="237"/>
      <c r="AN592" s="237"/>
      <c r="AO592" s="237"/>
      <c r="AP592" s="237"/>
      <c r="AQ592" s="237"/>
      <c r="AR592" s="237"/>
      <c r="AS592" s="237"/>
      <c r="AT592" s="237"/>
      <c r="AU592" s="237"/>
      <c r="AV592" s="237"/>
      <c r="AW592" s="237"/>
      <c r="AX592" s="237"/>
    </row>
    <row r="593" spans="3:50" x14ac:dyDescent="0.2">
      <c r="C593" s="228"/>
      <c r="D593" s="228"/>
      <c r="E593" s="228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  <c r="AA593" s="237"/>
      <c r="AB593" s="237"/>
      <c r="AC593" s="237"/>
      <c r="AD593" s="237"/>
      <c r="AE593" s="237"/>
      <c r="AF593" s="237"/>
      <c r="AG593" s="237"/>
      <c r="AH593" s="237"/>
      <c r="AI593" s="237"/>
      <c r="AJ593" s="237"/>
      <c r="AK593" s="237"/>
      <c r="AL593" s="237"/>
      <c r="AM593" s="237"/>
      <c r="AN593" s="237"/>
      <c r="AO593" s="237"/>
      <c r="AP593" s="237"/>
      <c r="AQ593" s="237"/>
      <c r="AR593" s="237"/>
      <c r="AS593" s="237"/>
      <c r="AT593" s="237"/>
      <c r="AU593" s="237"/>
      <c r="AV593" s="237"/>
      <c r="AW593" s="237"/>
      <c r="AX593" s="237"/>
    </row>
    <row r="594" spans="3:50" x14ac:dyDescent="0.2">
      <c r="C594" s="228"/>
      <c r="D594" s="228"/>
      <c r="E594" s="228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  <c r="AA594" s="237"/>
      <c r="AB594" s="237"/>
      <c r="AC594" s="237"/>
      <c r="AD594" s="237"/>
      <c r="AE594" s="237"/>
      <c r="AF594" s="237"/>
      <c r="AG594" s="237"/>
      <c r="AH594" s="237"/>
      <c r="AI594" s="237"/>
      <c r="AJ594" s="237"/>
      <c r="AK594" s="237"/>
      <c r="AL594" s="237"/>
      <c r="AM594" s="237"/>
      <c r="AN594" s="237"/>
      <c r="AO594" s="237"/>
      <c r="AP594" s="237"/>
      <c r="AQ594" s="237"/>
      <c r="AR594" s="237"/>
      <c r="AS594" s="237"/>
      <c r="AT594" s="237"/>
      <c r="AU594" s="237"/>
      <c r="AV594" s="237"/>
      <c r="AW594" s="237"/>
      <c r="AX594" s="237"/>
    </row>
    <row r="595" spans="3:50" x14ac:dyDescent="0.2">
      <c r="C595" s="228"/>
      <c r="D595" s="228"/>
      <c r="E595" s="228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  <c r="AC595" s="237"/>
      <c r="AD595" s="237"/>
      <c r="AE595" s="237"/>
      <c r="AF595" s="237"/>
      <c r="AG595" s="237"/>
      <c r="AH595" s="237"/>
      <c r="AI595" s="237"/>
      <c r="AJ595" s="237"/>
      <c r="AK595" s="237"/>
      <c r="AL595" s="237"/>
      <c r="AM595" s="237"/>
      <c r="AN595" s="237"/>
      <c r="AO595" s="237"/>
      <c r="AP595" s="237"/>
      <c r="AQ595" s="237"/>
      <c r="AR595" s="237"/>
      <c r="AS595" s="237"/>
      <c r="AT595" s="237"/>
      <c r="AU595" s="237"/>
      <c r="AV595" s="237"/>
      <c r="AW595" s="237"/>
      <c r="AX595" s="237"/>
    </row>
    <row r="596" spans="3:50" x14ac:dyDescent="0.2">
      <c r="C596" s="228"/>
      <c r="D596" s="228"/>
      <c r="E596" s="228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  <c r="AA596" s="237"/>
      <c r="AB596" s="237"/>
      <c r="AC596" s="237"/>
      <c r="AD596" s="237"/>
      <c r="AE596" s="237"/>
      <c r="AF596" s="237"/>
      <c r="AG596" s="237"/>
      <c r="AH596" s="237"/>
      <c r="AI596" s="237"/>
      <c r="AJ596" s="237"/>
      <c r="AK596" s="237"/>
      <c r="AL596" s="237"/>
      <c r="AM596" s="237"/>
      <c r="AN596" s="237"/>
      <c r="AO596" s="237"/>
      <c r="AP596" s="237"/>
      <c r="AQ596" s="237"/>
      <c r="AR596" s="237"/>
      <c r="AS596" s="237"/>
      <c r="AT596" s="237"/>
      <c r="AU596" s="237"/>
      <c r="AV596" s="237"/>
      <c r="AW596" s="237"/>
      <c r="AX596" s="237"/>
    </row>
    <row r="597" spans="3:50" x14ac:dyDescent="0.2">
      <c r="C597" s="228"/>
      <c r="D597" s="228"/>
      <c r="E597" s="228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  <c r="AA597" s="237"/>
      <c r="AB597" s="237"/>
      <c r="AC597" s="237"/>
      <c r="AD597" s="237"/>
      <c r="AE597" s="237"/>
      <c r="AF597" s="237"/>
      <c r="AG597" s="237"/>
      <c r="AH597" s="237"/>
      <c r="AI597" s="237"/>
      <c r="AJ597" s="237"/>
      <c r="AK597" s="237"/>
      <c r="AL597" s="237"/>
      <c r="AM597" s="237"/>
      <c r="AN597" s="237"/>
      <c r="AO597" s="237"/>
      <c r="AP597" s="237"/>
      <c r="AQ597" s="237"/>
      <c r="AR597" s="237"/>
      <c r="AS597" s="237"/>
      <c r="AT597" s="237"/>
      <c r="AU597" s="237"/>
      <c r="AV597" s="237"/>
      <c r="AW597" s="237"/>
      <c r="AX597" s="237"/>
    </row>
    <row r="598" spans="3:50" x14ac:dyDescent="0.2">
      <c r="C598" s="228"/>
      <c r="D598" s="228"/>
      <c r="E598" s="228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  <c r="AA598" s="237"/>
      <c r="AB598" s="237"/>
      <c r="AC598" s="237"/>
      <c r="AD598" s="237"/>
      <c r="AE598" s="237"/>
      <c r="AF598" s="237"/>
      <c r="AG598" s="237"/>
      <c r="AH598" s="237"/>
      <c r="AI598" s="237"/>
      <c r="AJ598" s="237"/>
      <c r="AK598" s="237"/>
      <c r="AL598" s="237"/>
      <c r="AM598" s="237"/>
      <c r="AN598" s="237"/>
      <c r="AO598" s="237"/>
      <c r="AP598" s="237"/>
      <c r="AQ598" s="237"/>
      <c r="AR598" s="237"/>
      <c r="AS598" s="237"/>
      <c r="AT598" s="237"/>
      <c r="AU598" s="237"/>
      <c r="AV598" s="237"/>
      <c r="AW598" s="237"/>
      <c r="AX598" s="237"/>
    </row>
    <row r="599" spans="3:50" x14ac:dyDescent="0.2">
      <c r="C599" s="228"/>
      <c r="D599" s="228"/>
      <c r="E599" s="228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  <c r="AA599" s="237"/>
      <c r="AB599" s="237"/>
      <c r="AC599" s="237"/>
      <c r="AD599" s="237"/>
      <c r="AE599" s="237"/>
      <c r="AF599" s="237"/>
      <c r="AG599" s="237"/>
      <c r="AH599" s="237"/>
      <c r="AI599" s="237"/>
      <c r="AJ599" s="237"/>
      <c r="AK599" s="237"/>
      <c r="AL599" s="237"/>
      <c r="AM599" s="237"/>
      <c r="AN599" s="237"/>
      <c r="AO599" s="237"/>
      <c r="AP599" s="237"/>
      <c r="AQ599" s="237"/>
      <c r="AR599" s="237"/>
      <c r="AS599" s="237"/>
      <c r="AT599" s="237"/>
      <c r="AU599" s="237"/>
      <c r="AV599" s="237"/>
      <c r="AW599" s="237"/>
      <c r="AX599" s="237"/>
    </row>
    <row r="600" spans="3:50" x14ac:dyDescent="0.2">
      <c r="C600" s="228"/>
      <c r="D600" s="228"/>
      <c r="E600" s="228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  <c r="AA600" s="237"/>
      <c r="AB600" s="237"/>
      <c r="AC600" s="237"/>
      <c r="AD600" s="237"/>
      <c r="AE600" s="237"/>
      <c r="AF600" s="237"/>
      <c r="AG600" s="237"/>
      <c r="AH600" s="237"/>
      <c r="AI600" s="237"/>
      <c r="AJ600" s="237"/>
      <c r="AK600" s="237"/>
      <c r="AL600" s="237"/>
      <c r="AM600" s="237"/>
      <c r="AN600" s="237"/>
      <c r="AO600" s="237"/>
      <c r="AP600" s="237"/>
      <c r="AQ600" s="237"/>
      <c r="AR600" s="237"/>
      <c r="AS600" s="237"/>
      <c r="AT600" s="237"/>
      <c r="AU600" s="237"/>
      <c r="AV600" s="237"/>
      <c r="AW600" s="237"/>
      <c r="AX600" s="237"/>
    </row>
    <row r="601" spans="3:50" x14ac:dyDescent="0.2">
      <c r="C601" s="228"/>
      <c r="D601" s="228"/>
      <c r="E601" s="228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  <c r="AC601" s="237"/>
      <c r="AD601" s="237"/>
      <c r="AE601" s="237"/>
      <c r="AF601" s="237"/>
      <c r="AG601" s="237"/>
      <c r="AH601" s="237"/>
      <c r="AI601" s="237"/>
      <c r="AJ601" s="237"/>
      <c r="AK601" s="237"/>
      <c r="AL601" s="237"/>
      <c r="AM601" s="237"/>
      <c r="AN601" s="237"/>
      <c r="AO601" s="237"/>
      <c r="AP601" s="237"/>
      <c r="AQ601" s="237"/>
      <c r="AR601" s="237"/>
      <c r="AS601" s="237"/>
      <c r="AT601" s="237"/>
      <c r="AU601" s="237"/>
      <c r="AV601" s="237"/>
      <c r="AW601" s="237"/>
      <c r="AX601" s="237"/>
    </row>
    <row r="602" spans="3:50" x14ac:dyDescent="0.2">
      <c r="C602" s="228"/>
      <c r="D602" s="228"/>
      <c r="E602" s="228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  <c r="AA602" s="237"/>
      <c r="AB602" s="237"/>
      <c r="AC602" s="237"/>
      <c r="AD602" s="237"/>
      <c r="AE602" s="237"/>
      <c r="AF602" s="237"/>
      <c r="AG602" s="237"/>
      <c r="AH602" s="237"/>
      <c r="AI602" s="237"/>
      <c r="AJ602" s="237"/>
      <c r="AK602" s="237"/>
      <c r="AL602" s="237"/>
      <c r="AM602" s="237"/>
      <c r="AN602" s="237"/>
      <c r="AO602" s="237"/>
      <c r="AP602" s="237"/>
      <c r="AQ602" s="237"/>
      <c r="AR602" s="237"/>
      <c r="AS602" s="237"/>
      <c r="AT602" s="237"/>
      <c r="AU602" s="237"/>
      <c r="AV602" s="237"/>
      <c r="AW602" s="237"/>
      <c r="AX602" s="237"/>
    </row>
    <row r="603" spans="3:50" x14ac:dyDescent="0.2">
      <c r="C603" s="228"/>
      <c r="D603" s="228"/>
      <c r="E603" s="228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  <c r="AA603" s="237"/>
      <c r="AB603" s="237"/>
      <c r="AC603" s="237"/>
      <c r="AD603" s="237"/>
      <c r="AE603" s="237"/>
      <c r="AF603" s="237"/>
      <c r="AG603" s="237"/>
      <c r="AH603" s="237"/>
      <c r="AI603" s="237"/>
      <c r="AJ603" s="237"/>
      <c r="AK603" s="237"/>
      <c r="AL603" s="237"/>
      <c r="AM603" s="237"/>
      <c r="AN603" s="237"/>
      <c r="AO603" s="237"/>
      <c r="AP603" s="237"/>
      <c r="AQ603" s="237"/>
      <c r="AR603" s="237"/>
      <c r="AS603" s="237"/>
      <c r="AT603" s="237"/>
      <c r="AU603" s="237"/>
      <c r="AV603" s="237"/>
      <c r="AW603" s="237"/>
      <c r="AX603" s="237"/>
    </row>
    <row r="604" spans="3:50" x14ac:dyDescent="0.2">
      <c r="C604" s="228"/>
      <c r="D604" s="228"/>
      <c r="E604" s="228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  <c r="AC604" s="237"/>
      <c r="AD604" s="237"/>
      <c r="AE604" s="237"/>
      <c r="AF604" s="237"/>
      <c r="AG604" s="237"/>
      <c r="AH604" s="237"/>
      <c r="AI604" s="237"/>
      <c r="AJ604" s="237"/>
      <c r="AK604" s="237"/>
      <c r="AL604" s="237"/>
      <c r="AM604" s="237"/>
      <c r="AN604" s="237"/>
      <c r="AO604" s="237"/>
      <c r="AP604" s="237"/>
      <c r="AQ604" s="237"/>
      <c r="AR604" s="237"/>
      <c r="AS604" s="237"/>
      <c r="AT604" s="237"/>
      <c r="AU604" s="237"/>
      <c r="AV604" s="237"/>
      <c r="AW604" s="237"/>
      <c r="AX604" s="237"/>
    </row>
    <row r="605" spans="3:50" x14ac:dyDescent="0.2">
      <c r="C605" s="228"/>
      <c r="D605" s="228"/>
      <c r="E605" s="228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  <c r="AC605" s="237"/>
      <c r="AD605" s="237"/>
      <c r="AE605" s="237"/>
      <c r="AF605" s="237"/>
      <c r="AG605" s="237"/>
      <c r="AH605" s="237"/>
      <c r="AI605" s="237"/>
      <c r="AJ605" s="237"/>
      <c r="AK605" s="237"/>
      <c r="AL605" s="237"/>
      <c r="AM605" s="237"/>
      <c r="AN605" s="237"/>
      <c r="AO605" s="237"/>
      <c r="AP605" s="237"/>
      <c r="AQ605" s="237"/>
      <c r="AR605" s="237"/>
      <c r="AS605" s="237"/>
      <c r="AT605" s="237"/>
      <c r="AU605" s="237"/>
      <c r="AV605" s="237"/>
      <c r="AW605" s="237"/>
      <c r="AX605" s="237"/>
    </row>
    <row r="606" spans="3:50" x14ac:dyDescent="0.2">
      <c r="C606" s="228"/>
      <c r="D606" s="228"/>
      <c r="E606" s="228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  <c r="AC606" s="237"/>
      <c r="AD606" s="237"/>
      <c r="AE606" s="237"/>
      <c r="AF606" s="237"/>
      <c r="AG606" s="237"/>
      <c r="AH606" s="237"/>
      <c r="AI606" s="237"/>
      <c r="AJ606" s="237"/>
      <c r="AK606" s="237"/>
      <c r="AL606" s="237"/>
      <c r="AM606" s="237"/>
      <c r="AN606" s="237"/>
      <c r="AO606" s="237"/>
      <c r="AP606" s="237"/>
      <c r="AQ606" s="237"/>
      <c r="AR606" s="237"/>
      <c r="AS606" s="237"/>
      <c r="AT606" s="237"/>
      <c r="AU606" s="237"/>
      <c r="AV606" s="237"/>
      <c r="AW606" s="237"/>
      <c r="AX606" s="237"/>
    </row>
    <row r="607" spans="3:50" x14ac:dyDescent="0.2">
      <c r="C607" s="228"/>
      <c r="D607" s="228"/>
      <c r="E607" s="228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7"/>
      <c r="AQ607" s="237"/>
      <c r="AR607" s="237"/>
      <c r="AS607" s="237"/>
      <c r="AT607" s="237"/>
      <c r="AU607" s="237"/>
      <c r="AV607" s="237"/>
      <c r="AW607" s="237"/>
      <c r="AX607" s="237"/>
    </row>
    <row r="608" spans="3:50" x14ac:dyDescent="0.2">
      <c r="C608" s="228"/>
      <c r="D608" s="228"/>
      <c r="E608" s="228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  <c r="AA608" s="237"/>
      <c r="AB608" s="237"/>
      <c r="AC608" s="237"/>
      <c r="AD608" s="237"/>
      <c r="AE608" s="237"/>
      <c r="AF608" s="237"/>
      <c r="AG608" s="237"/>
      <c r="AH608" s="237"/>
      <c r="AI608" s="237"/>
      <c r="AJ608" s="237"/>
      <c r="AK608" s="237"/>
      <c r="AL608" s="237"/>
      <c r="AM608" s="237"/>
      <c r="AN608" s="237"/>
      <c r="AO608" s="237"/>
      <c r="AP608" s="237"/>
      <c r="AQ608" s="237"/>
      <c r="AR608" s="237"/>
      <c r="AS608" s="237"/>
      <c r="AT608" s="237"/>
      <c r="AU608" s="237"/>
      <c r="AV608" s="237"/>
      <c r="AW608" s="237"/>
      <c r="AX608" s="237"/>
    </row>
    <row r="609" spans="3:50" x14ac:dyDescent="0.2">
      <c r="C609" s="228"/>
      <c r="D609" s="228"/>
      <c r="E609" s="228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  <c r="AA609" s="237"/>
      <c r="AB609" s="237"/>
      <c r="AC609" s="237"/>
      <c r="AD609" s="237"/>
      <c r="AE609" s="237"/>
      <c r="AF609" s="237"/>
      <c r="AG609" s="237"/>
      <c r="AH609" s="237"/>
      <c r="AI609" s="237"/>
      <c r="AJ609" s="237"/>
      <c r="AK609" s="237"/>
      <c r="AL609" s="237"/>
      <c r="AM609" s="237"/>
      <c r="AN609" s="237"/>
      <c r="AO609" s="237"/>
      <c r="AP609" s="237"/>
      <c r="AQ609" s="237"/>
      <c r="AR609" s="237"/>
      <c r="AS609" s="237"/>
      <c r="AT609" s="237"/>
      <c r="AU609" s="237"/>
      <c r="AV609" s="237"/>
      <c r="AW609" s="237"/>
      <c r="AX609" s="237"/>
    </row>
    <row r="610" spans="3:50" x14ac:dyDescent="0.2">
      <c r="C610" s="228"/>
      <c r="D610" s="228"/>
      <c r="E610" s="228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  <c r="AA610" s="237"/>
      <c r="AB610" s="237"/>
      <c r="AC610" s="237"/>
      <c r="AD610" s="237"/>
      <c r="AE610" s="237"/>
      <c r="AF610" s="237"/>
      <c r="AG610" s="237"/>
      <c r="AH610" s="237"/>
      <c r="AI610" s="237"/>
      <c r="AJ610" s="237"/>
      <c r="AK610" s="237"/>
      <c r="AL610" s="237"/>
      <c r="AM610" s="237"/>
      <c r="AN610" s="237"/>
      <c r="AO610" s="237"/>
      <c r="AP610" s="237"/>
      <c r="AQ610" s="237"/>
      <c r="AR610" s="237"/>
      <c r="AS610" s="237"/>
      <c r="AT610" s="237"/>
      <c r="AU610" s="237"/>
      <c r="AV610" s="237"/>
      <c r="AW610" s="237"/>
      <c r="AX610" s="237"/>
    </row>
    <row r="611" spans="3:50" x14ac:dyDescent="0.2">
      <c r="C611" s="228"/>
      <c r="D611" s="228"/>
      <c r="E611" s="228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  <c r="AA611" s="237"/>
      <c r="AB611" s="237"/>
      <c r="AC611" s="237"/>
      <c r="AD611" s="237"/>
      <c r="AE611" s="237"/>
      <c r="AF611" s="237"/>
      <c r="AG611" s="237"/>
      <c r="AH611" s="237"/>
      <c r="AI611" s="237"/>
      <c r="AJ611" s="237"/>
      <c r="AK611" s="237"/>
      <c r="AL611" s="237"/>
      <c r="AM611" s="237"/>
      <c r="AN611" s="237"/>
      <c r="AO611" s="237"/>
      <c r="AP611" s="237"/>
      <c r="AQ611" s="237"/>
      <c r="AR611" s="237"/>
      <c r="AS611" s="237"/>
      <c r="AT611" s="237"/>
      <c r="AU611" s="237"/>
      <c r="AV611" s="237"/>
      <c r="AW611" s="237"/>
      <c r="AX611" s="237"/>
    </row>
    <row r="612" spans="3:50" x14ac:dyDescent="0.2">
      <c r="C612" s="228"/>
      <c r="D612" s="228"/>
      <c r="E612" s="228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  <c r="AA612" s="237"/>
      <c r="AB612" s="237"/>
      <c r="AC612" s="237"/>
      <c r="AD612" s="237"/>
      <c r="AE612" s="237"/>
      <c r="AF612" s="237"/>
      <c r="AG612" s="237"/>
      <c r="AH612" s="237"/>
      <c r="AI612" s="237"/>
      <c r="AJ612" s="237"/>
      <c r="AK612" s="237"/>
      <c r="AL612" s="237"/>
      <c r="AM612" s="237"/>
      <c r="AN612" s="237"/>
      <c r="AO612" s="237"/>
      <c r="AP612" s="237"/>
      <c r="AQ612" s="237"/>
      <c r="AR612" s="237"/>
      <c r="AS612" s="237"/>
      <c r="AT612" s="237"/>
      <c r="AU612" s="237"/>
      <c r="AV612" s="237"/>
      <c r="AW612" s="237"/>
      <c r="AX612" s="237"/>
    </row>
    <row r="613" spans="3:50" x14ac:dyDescent="0.2">
      <c r="C613" s="228"/>
      <c r="D613" s="228"/>
      <c r="E613" s="228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  <c r="AA613" s="237"/>
      <c r="AB613" s="237"/>
      <c r="AC613" s="237"/>
      <c r="AD613" s="237"/>
      <c r="AE613" s="237"/>
      <c r="AF613" s="237"/>
      <c r="AG613" s="237"/>
      <c r="AH613" s="237"/>
      <c r="AI613" s="237"/>
      <c r="AJ613" s="237"/>
      <c r="AK613" s="237"/>
      <c r="AL613" s="237"/>
      <c r="AM613" s="237"/>
      <c r="AN613" s="237"/>
      <c r="AO613" s="237"/>
      <c r="AP613" s="237"/>
      <c r="AQ613" s="237"/>
      <c r="AR613" s="237"/>
      <c r="AS613" s="237"/>
      <c r="AT613" s="237"/>
      <c r="AU613" s="237"/>
      <c r="AV613" s="237"/>
      <c r="AW613" s="237"/>
      <c r="AX613" s="237"/>
    </row>
    <row r="614" spans="3:50" x14ac:dyDescent="0.2">
      <c r="C614" s="228"/>
      <c r="D614" s="228"/>
      <c r="E614" s="228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  <c r="AA614" s="237"/>
      <c r="AB614" s="237"/>
      <c r="AC614" s="237"/>
      <c r="AD614" s="237"/>
      <c r="AE614" s="237"/>
      <c r="AF614" s="237"/>
      <c r="AG614" s="237"/>
      <c r="AH614" s="237"/>
      <c r="AI614" s="237"/>
      <c r="AJ614" s="237"/>
      <c r="AK614" s="237"/>
      <c r="AL614" s="237"/>
      <c r="AM614" s="237"/>
      <c r="AN614" s="237"/>
      <c r="AO614" s="237"/>
      <c r="AP614" s="237"/>
      <c r="AQ614" s="237"/>
      <c r="AR614" s="237"/>
      <c r="AS614" s="237"/>
      <c r="AT614" s="237"/>
      <c r="AU614" s="237"/>
      <c r="AV614" s="237"/>
      <c r="AW614" s="237"/>
      <c r="AX614" s="237"/>
    </row>
    <row r="615" spans="3:50" x14ac:dyDescent="0.2">
      <c r="C615" s="228"/>
      <c r="D615" s="228"/>
      <c r="E615" s="228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  <c r="AA615" s="237"/>
      <c r="AB615" s="237"/>
      <c r="AC615" s="237"/>
      <c r="AD615" s="237"/>
      <c r="AE615" s="237"/>
      <c r="AF615" s="237"/>
      <c r="AG615" s="237"/>
      <c r="AH615" s="237"/>
      <c r="AI615" s="237"/>
      <c r="AJ615" s="237"/>
      <c r="AK615" s="237"/>
      <c r="AL615" s="237"/>
      <c r="AM615" s="237"/>
      <c r="AN615" s="237"/>
      <c r="AO615" s="237"/>
      <c r="AP615" s="237"/>
      <c r="AQ615" s="237"/>
      <c r="AR615" s="237"/>
      <c r="AS615" s="237"/>
      <c r="AT615" s="237"/>
      <c r="AU615" s="237"/>
      <c r="AV615" s="237"/>
      <c r="AW615" s="237"/>
      <c r="AX615" s="237"/>
    </row>
    <row r="616" spans="3:50" x14ac:dyDescent="0.2">
      <c r="C616" s="228"/>
      <c r="D616" s="228"/>
      <c r="E616" s="228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  <c r="AA616" s="237"/>
      <c r="AB616" s="237"/>
      <c r="AC616" s="237"/>
      <c r="AD616" s="237"/>
      <c r="AE616" s="237"/>
      <c r="AF616" s="237"/>
      <c r="AG616" s="237"/>
      <c r="AH616" s="237"/>
      <c r="AI616" s="237"/>
      <c r="AJ616" s="237"/>
      <c r="AK616" s="237"/>
      <c r="AL616" s="237"/>
      <c r="AM616" s="237"/>
      <c r="AN616" s="237"/>
      <c r="AO616" s="237"/>
      <c r="AP616" s="237"/>
      <c r="AQ616" s="237"/>
      <c r="AR616" s="237"/>
      <c r="AS616" s="237"/>
      <c r="AT616" s="237"/>
      <c r="AU616" s="237"/>
      <c r="AV616" s="237"/>
      <c r="AW616" s="237"/>
      <c r="AX616" s="237"/>
    </row>
    <row r="617" spans="3:50" x14ac:dyDescent="0.2">
      <c r="C617" s="228"/>
      <c r="D617" s="228"/>
      <c r="E617" s="228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  <c r="AA617" s="237"/>
      <c r="AB617" s="237"/>
      <c r="AC617" s="237"/>
      <c r="AD617" s="237"/>
      <c r="AE617" s="237"/>
      <c r="AF617" s="237"/>
      <c r="AG617" s="237"/>
      <c r="AH617" s="237"/>
      <c r="AI617" s="237"/>
      <c r="AJ617" s="237"/>
      <c r="AK617" s="237"/>
      <c r="AL617" s="237"/>
      <c r="AM617" s="237"/>
      <c r="AN617" s="237"/>
      <c r="AO617" s="237"/>
      <c r="AP617" s="237"/>
      <c r="AQ617" s="237"/>
      <c r="AR617" s="237"/>
      <c r="AS617" s="237"/>
      <c r="AT617" s="237"/>
      <c r="AU617" s="237"/>
      <c r="AV617" s="237"/>
      <c r="AW617" s="237"/>
      <c r="AX617" s="237"/>
    </row>
    <row r="618" spans="3:50" x14ac:dyDescent="0.2">
      <c r="C618" s="228"/>
      <c r="D618" s="228"/>
      <c r="E618" s="228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  <c r="AA618" s="237"/>
      <c r="AB618" s="237"/>
      <c r="AC618" s="237"/>
      <c r="AD618" s="237"/>
      <c r="AE618" s="237"/>
      <c r="AF618" s="237"/>
      <c r="AG618" s="237"/>
      <c r="AH618" s="237"/>
      <c r="AI618" s="237"/>
      <c r="AJ618" s="237"/>
      <c r="AK618" s="237"/>
      <c r="AL618" s="237"/>
      <c r="AM618" s="237"/>
      <c r="AN618" s="237"/>
      <c r="AO618" s="237"/>
      <c r="AP618" s="237"/>
      <c r="AQ618" s="237"/>
      <c r="AR618" s="237"/>
      <c r="AS618" s="237"/>
      <c r="AT618" s="237"/>
      <c r="AU618" s="237"/>
      <c r="AV618" s="237"/>
      <c r="AW618" s="237"/>
      <c r="AX618" s="237"/>
    </row>
    <row r="619" spans="3:50" x14ac:dyDescent="0.2">
      <c r="C619" s="228"/>
      <c r="D619" s="228"/>
      <c r="E619" s="228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  <c r="AA619" s="237"/>
      <c r="AB619" s="237"/>
      <c r="AC619" s="237"/>
      <c r="AD619" s="237"/>
      <c r="AE619" s="237"/>
      <c r="AF619" s="237"/>
      <c r="AG619" s="237"/>
      <c r="AH619" s="237"/>
      <c r="AI619" s="237"/>
      <c r="AJ619" s="237"/>
      <c r="AK619" s="237"/>
      <c r="AL619" s="237"/>
      <c r="AM619" s="237"/>
      <c r="AN619" s="237"/>
      <c r="AO619" s="237"/>
      <c r="AP619" s="237"/>
      <c r="AQ619" s="237"/>
      <c r="AR619" s="237"/>
      <c r="AS619" s="237"/>
      <c r="AT619" s="237"/>
      <c r="AU619" s="237"/>
      <c r="AV619" s="237"/>
      <c r="AW619" s="237"/>
      <c r="AX619" s="237"/>
    </row>
    <row r="620" spans="3:50" x14ac:dyDescent="0.2">
      <c r="C620" s="228"/>
      <c r="D620" s="228"/>
      <c r="E620" s="228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  <c r="AA620" s="237"/>
      <c r="AB620" s="237"/>
      <c r="AC620" s="237"/>
      <c r="AD620" s="237"/>
      <c r="AE620" s="237"/>
      <c r="AF620" s="237"/>
      <c r="AG620" s="237"/>
      <c r="AH620" s="237"/>
      <c r="AI620" s="237"/>
      <c r="AJ620" s="237"/>
      <c r="AK620" s="237"/>
      <c r="AL620" s="237"/>
      <c r="AM620" s="237"/>
      <c r="AN620" s="237"/>
      <c r="AO620" s="237"/>
      <c r="AP620" s="237"/>
      <c r="AQ620" s="237"/>
      <c r="AR620" s="237"/>
      <c r="AS620" s="237"/>
      <c r="AT620" s="237"/>
      <c r="AU620" s="237"/>
      <c r="AV620" s="237"/>
      <c r="AW620" s="237"/>
      <c r="AX620" s="237"/>
    </row>
    <row r="621" spans="3:50" x14ac:dyDescent="0.2">
      <c r="C621" s="228"/>
      <c r="D621" s="228"/>
      <c r="E621" s="228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  <c r="AA621" s="237"/>
      <c r="AB621" s="237"/>
      <c r="AC621" s="237"/>
      <c r="AD621" s="237"/>
      <c r="AE621" s="237"/>
      <c r="AF621" s="237"/>
      <c r="AG621" s="237"/>
      <c r="AH621" s="237"/>
      <c r="AI621" s="237"/>
      <c r="AJ621" s="237"/>
      <c r="AK621" s="237"/>
      <c r="AL621" s="237"/>
      <c r="AM621" s="237"/>
      <c r="AN621" s="237"/>
      <c r="AO621" s="237"/>
      <c r="AP621" s="237"/>
      <c r="AQ621" s="237"/>
      <c r="AR621" s="237"/>
      <c r="AS621" s="237"/>
      <c r="AT621" s="237"/>
      <c r="AU621" s="237"/>
      <c r="AV621" s="237"/>
      <c r="AW621" s="237"/>
      <c r="AX621" s="237"/>
    </row>
    <row r="622" spans="3:50" x14ac:dyDescent="0.2">
      <c r="C622" s="228"/>
      <c r="D622" s="228"/>
      <c r="E622" s="228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  <c r="AC622" s="237"/>
      <c r="AD622" s="237"/>
      <c r="AE622" s="237"/>
      <c r="AF622" s="237"/>
      <c r="AG622" s="237"/>
      <c r="AH622" s="237"/>
      <c r="AI622" s="237"/>
      <c r="AJ622" s="237"/>
      <c r="AK622" s="237"/>
      <c r="AL622" s="237"/>
      <c r="AM622" s="237"/>
      <c r="AN622" s="237"/>
      <c r="AO622" s="237"/>
      <c r="AP622" s="237"/>
      <c r="AQ622" s="237"/>
      <c r="AR622" s="237"/>
      <c r="AS622" s="237"/>
      <c r="AT622" s="237"/>
      <c r="AU622" s="237"/>
      <c r="AV622" s="237"/>
      <c r="AW622" s="237"/>
      <c r="AX622" s="237"/>
    </row>
    <row r="623" spans="3:50" x14ac:dyDescent="0.2">
      <c r="C623" s="228"/>
      <c r="D623" s="228"/>
      <c r="E623" s="228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  <c r="AA623" s="237"/>
      <c r="AB623" s="237"/>
      <c r="AC623" s="237"/>
      <c r="AD623" s="237"/>
      <c r="AE623" s="237"/>
      <c r="AF623" s="237"/>
      <c r="AG623" s="237"/>
      <c r="AH623" s="237"/>
      <c r="AI623" s="237"/>
      <c r="AJ623" s="237"/>
      <c r="AK623" s="237"/>
      <c r="AL623" s="237"/>
      <c r="AM623" s="237"/>
      <c r="AN623" s="237"/>
      <c r="AO623" s="237"/>
      <c r="AP623" s="237"/>
      <c r="AQ623" s="237"/>
      <c r="AR623" s="237"/>
      <c r="AS623" s="237"/>
      <c r="AT623" s="237"/>
      <c r="AU623" s="237"/>
      <c r="AV623" s="237"/>
      <c r="AW623" s="237"/>
      <c r="AX623" s="237"/>
    </row>
    <row r="624" spans="3:50" x14ac:dyDescent="0.2">
      <c r="C624" s="228"/>
      <c r="D624" s="228"/>
      <c r="E624" s="228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  <c r="AA624" s="237"/>
      <c r="AB624" s="237"/>
      <c r="AC624" s="237"/>
      <c r="AD624" s="237"/>
      <c r="AE624" s="237"/>
      <c r="AF624" s="237"/>
      <c r="AG624" s="237"/>
      <c r="AH624" s="237"/>
      <c r="AI624" s="237"/>
      <c r="AJ624" s="237"/>
      <c r="AK624" s="237"/>
      <c r="AL624" s="237"/>
      <c r="AM624" s="237"/>
      <c r="AN624" s="237"/>
      <c r="AO624" s="237"/>
      <c r="AP624" s="237"/>
      <c r="AQ624" s="237"/>
      <c r="AR624" s="237"/>
      <c r="AS624" s="237"/>
      <c r="AT624" s="237"/>
      <c r="AU624" s="237"/>
      <c r="AV624" s="237"/>
      <c r="AW624" s="237"/>
      <c r="AX624" s="237"/>
    </row>
    <row r="625" spans="3:50" x14ac:dyDescent="0.2">
      <c r="C625" s="228"/>
      <c r="D625" s="228"/>
      <c r="E625" s="228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  <c r="AA625" s="237"/>
      <c r="AB625" s="237"/>
      <c r="AC625" s="237"/>
      <c r="AD625" s="237"/>
      <c r="AE625" s="237"/>
      <c r="AF625" s="237"/>
      <c r="AG625" s="237"/>
      <c r="AH625" s="237"/>
      <c r="AI625" s="237"/>
      <c r="AJ625" s="237"/>
      <c r="AK625" s="237"/>
      <c r="AL625" s="237"/>
      <c r="AM625" s="237"/>
      <c r="AN625" s="237"/>
      <c r="AO625" s="237"/>
      <c r="AP625" s="237"/>
      <c r="AQ625" s="237"/>
      <c r="AR625" s="237"/>
      <c r="AS625" s="237"/>
      <c r="AT625" s="237"/>
      <c r="AU625" s="237"/>
      <c r="AV625" s="237"/>
      <c r="AW625" s="237"/>
      <c r="AX625" s="237"/>
    </row>
    <row r="626" spans="3:50" x14ac:dyDescent="0.2">
      <c r="C626" s="228"/>
      <c r="D626" s="228"/>
      <c r="E626" s="228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  <c r="AA626" s="237"/>
      <c r="AB626" s="237"/>
      <c r="AC626" s="237"/>
      <c r="AD626" s="237"/>
      <c r="AE626" s="237"/>
      <c r="AF626" s="237"/>
      <c r="AG626" s="237"/>
      <c r="AH626" s="237"/>
      <c r="AI626" s="237"/>
      <c r="AJ626" s="237"/>
      <c r="AK626" s="237"/>
      <c r="AL626" s="237"/>
      <c r="AM626" s="237"/>
      <c r="AN626" s="237"/>
      <c r="AO626" s="237"/>
      <c r="AP626" s="237"/>
      <c r="AQ626" s="237"/>
      <c r="AR626" s="237"/>
      <c r="AS626" s="237"/>
      <c r="AT626" s="237"/>
      <c r="AU626" s="237"/>
      <c r="AV626" s="237"/>
      <c r="AW626" s="237"/>
      <c r="AX626" s="237"/>
    </row>
    <row r="627" spans="3:50" x14ac:dyDescent="0.2">
      <c r="C627" s="228"/>
      <c r="D627" s="228"/>
      <c r="E627" s="228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  <c r="AA627" s="237"/>
      <c r="AB627" s="237"/>
      <c r="AC627" s="237"/>
      <c r="AD627" s="237"/>
      <c r="AE627" s="237"/>
      <c r="AF627" s="237"/>
      <c r="AG627" s="237"/>
      <c r="AH627" s="237"/>
      <c r="AI627" s="237"/>
      <c r="AJ627" s="237"/>
      <c r="AK627" s="237"/>
      <c r="AL627" s="237"/>
      <c r="AM627" s="237"/>
      <c r="AN627" s="237"/>
      <c r="AO627" s="237"/>
      <c r="AP627" s="237"/>
      <c r="AQ627" s="237"/>
      <c r="AR627" s="237"/>
      <c r="AS627" s="237"/>
      <c r="AT627" s="237"/>
      <c r="AU627" s="237"/>
      <c r="AV627" s="237"/>
      <c r="AW627" s="237"/>
      <c r="AX627" s="237"/>
    </row>
    <row r="628" spans="3:50" x14ac:dyDescent="0.2">
      <c r="C628" s="228"/>
      <c r="D628" s="228"/>
      <c r="E628" s="228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  <c r="AA628" s="237"/>
      <c r="AB628" s="237"/>
      <c r="AC628" s="237"/>
      <c r="AD628" s="237"/>
      <c r="AE628" s="237"/>
      <c r="AF628" s="237"/>
      <c r="AG628" s="237"/>
      <c r="AH628" s="237"/>
      <c r="AI628" s="237"/>
      <c r="AJ628" s="237"/>
      <c r="AK628" s="237"/>
      <c r="AL628" s="237"/>
      <c r="AM628" s="237"/>
      <c r="AN628" s="237"/>
      <c r="AO628" s="237"/>
      <c r="AP628" s="237"/>
      <c r="AQ628" s="237"/>
      <c r="AR628" s="237"/>
      <c r="AS628" s="237"/>
      <c r="AT628" s="237"/>
      <c r="AU628" s="237"/>
      <c r="AV628" s="237"/>
      <c r="AW628" s="237"/>
      <c r="AX628" s="237"/>
    </row>
    <row r="629" spans="3:50" x14ac:dyDescent="0.2">
      <c r="C629" s="228"/>
      <c r="D629" s="228"/>
      <c r="E629" s="228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  <c r="AA629" s="237"/>
      <c r="AB629" s="237"/>
      <c r="AC629" s="237"/>
      <c r="AD629" s="237"/>
      <c r="AE629" s="237"/>
      <c r="AF629" s="237"/>
      <c r="AG629" s="237"/>
      <c r="AH629" s="237"/>
      <c r="AI629" s="237"/>
      <c r="AJ629" s="237"/>
      <c r="AK629" s="237"/>
      <c r="AL629" s="237"/>
      <c r="AM629" s="237"/>
      <c r="AN629" s="237"/>
      <c r="AO629" s="237"/>
      <c r="AP629" s="237"/>
      <c r="AQ629" s="237"/>
      <c r="AR629" s="237"/>
      <c r="AS629" s="237"/>
      <c r="AT629" s="237"/>
      <c r="AU629" s="237"/>
      <c r="AV629" s="237"/>
      <c r="AW629" s="237"/>
      <c r="AX629" s="237"/>
    </row>
    <row r="630" spans="3:50" x14ac:dyDescent="0.2">
      <c r="C630" s="228"/>
      <c r="D630" s="228"/>
      <c r="E630" s="228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  <c r="AA630" s="237"/>
      <c r="AB630" s="237"/>
      <c r="AC630" s="237"/>
      <c r="AD630" s="237"/>
      <c r="AE630" s="237"/>
      <c r="AF630" s="237"/>
      <c r="AG630" s="237"/>
      <c r="AH630" s="237"/>
      <c r="AI630" s="237"/>
      <c r="AJ630" s="237"/>
      <c r="AK630" s="237"/>
      <c r="AL630" s="237"/>
      <c r="AM630" s="237"/>
      <c r="AN630" s="237"/>
      <c r="AO630" s="237"/>
      <c r="AP630" s="237"/>
      <c r="AQ630" s="237"/>
      <c r="AR630" s="237"/>
      <c r="AS630" s="237"/>
      <c r="AT630" s="237"/>
      <c r="AU630" s="237"/>
      <c r="AV630" s="237"/>
      <c r="AW630" s="237"/>
      <c r="AX630" s="237"/>
    </row>
    <row r="631" spans="3:50" x14ac:dyDescent="0.2">
      <c r="C631" s="228"/>
      <c r="D631" s="228"/>
      <c r="E631" s="228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  <c r="AA631" s="237"/>
      <c r="AB631" s="237"/>
      <c r="AC631" s="237"/>
      <c r="AD631" s="237"/>
      <c r="AE631" s="237"/>
      <c r="AF631" s="237"/>
      <c r="AG631" s="237"/>
      <c r="AH631" s="237"/>
      <c r="AI631" s="237"/>
      <c r="AJ631" s="237"/>
      <c r="AK631" s="237"/>
      <c r="AL631" s="237"/>
      <c r="AM631" s="237"/>
      <c r="AN631" s="237"/>
      <c r="AO631" s="237"/>
      <c r="AP631" s="237"/>
      <c r="AQ631" s="237"/>
      <c r="AR631" s="237"/>
      <c r="AS631" s="237"/>
      <c r="AT631" s="237"/>
      <c r="AU631" s="237"/>
      <c r="AV631" s="237"/>
      <c r="AW631" s="237"/>
      <c r="AX631" s="237"/>
    </row>
    <row r="632" spans="3:50" x14ac:dyDescent="0.2">
      <c r="C632" s="228"/>
      <c r="D632" s="228"/>
      <c r="E632" s="228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  <c r="AA632" s="237"/>
      <c r="AB632" s="237"/>
      <c r="AC632" s="237"/>
      <c r="AD632" s="237"/>
      <c r="AE632" s="237"/>
      <c r="AF632" s="237"/>
      <c r="AG632" s="237"/>
      <c r="AH632" s="237"/>
      <c r="AI632" s="237"/>
      <c r="AJ632" s="237"/>
      <c r="AK632" s="237"/>
      <c r="AL632" s="237"/>
      <c r="AM632" s="237"/>
      <c r="AN632" s="237"/>
      <c r="AO632" s="237"/>
      <c r="AP632" s="237"/>
      <c r="AQ632" s="237"/>
      <c r="AR632" s="237"/>
      <c r="AS632" s="237"/>
      <c r="AT632" s="237"/>
      <c r="AU632" s="237"/>
      <c r="AV632" s="237"/>
      <c r="AW632" s="237"/>
      <c r="AX632" s="237"/>
    </row>
    <row r="633" spans="3:50" x14ac:dyDescent="0.2">
      <c r="C633" s="228"/>
      <c r="D633" s="228"/>
      <c r="E633" s="228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  <c r="AA633" s="237"/>
      <c r="AB633" s="237"/>
      <c r="AC633" s="237"/>
      <c r="AD633" s="237"/>
      <c r="AE633" s="237"/>
      <c r="AF633" s="237"/>
      <c r="AG633" s="237"/>
      <c r="AH633" s="237"/>
      <c r="AI633" s="237"/>
      <c r="AJ633" s="237"/>
      <c r="AK633" s="237"/>
      <c r="AL633" s="237"/>
      <c r="AM633" s="237"/>
      <c r="AN633" s="237"/>
      <c r="AO633" s="237"/>
      <c r="AP633" s="237"/>
      <c r="AQ633" s="237"/>
      <c r="AR633" s="237"/>
      <c r="AS633" s="237"/>
      <c r="AT633" s="237"/>
      <c r="AU633" s="237"/>
      <c r="AV633" s="237"/>
      <c r="AW633" s="237"/>
      <c r="AX633" s="237"/>
    </row>
    <row r="634" spans="3:50" x14ac:dyDescent="0.2">
      <c r="C634" s="228"/>
      <c r="D634" s="228"/>
      <c r="E634" s="228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  <c r="AA634" s="237"/>
      <c r="AB634" s="237"/>
      <c r="AC634" s="237"/>
      <c r="AD634" s="237"/>
      <c r="AE634" s="237"/>
      <c r="AF634" s="237"/>
      <c r="AG634" s="237"/>
      <c r="AH634" s="237"/>
      <c r="AI634" s="237"/>
      <c r="AJ634" s="237"/>
      <c r="AK634" s="237"/>
      <c r="AL634" s="237"/>
      <c r="AM634" s="237"/>
      <c r="AN634" s="237"/>
      <c r="AO634" s="237"/>
      <c r="AP634" s="237"/>
      <c r="AQ634" s="237"/>
      <c r="AR634" s="237"/>
      <c r="AS634" s="237"/>
      <c r="AT634" s="237"/>
      <c r="AU634" s="237"/>
      <c r="AV634" s="237"/>
      <c r="AW634" s="237"/>
      <c r="AX634" s="237"/>
    </row>
    <row r="635" spans="3:50" x14ac:dyDescent="0.2">
      <c r="C635" s="228"/>
      <c r="D635" s="228"/>
      <c r="E635" s="228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  <c r="AA635" s="237"/>
      <c r="AB635" s="237"/>
      <c r="AC635" s="237"/>
      <c r="AD635" s="237"/>
      <c r="AE635" s="237"/>
      <c r="AF635" s="237"/>
      <c r="AG635" s="237"/>
      <c r="AH635" s="237"/>
      <c r="AI635" s="237"/>
      <c r="AJ635" s="237"/>
      <c r="AK635" s="237"/>
      <c r="AL635" s="237"/>
      <c r="AM635" s="237"/>
      <c r="AN635" s="237"/>
      <c r="AO635" s="237"/>
      <c r="AP635" s="237"/>
      <c r="AQ635" s="237"/>
      <c r="AR635" s="237"/>
      <c r="AS635" s="237"/>
      <c r="AT635" s="237"/>
      <c r="AU635" s="237"/>
      <c r="AV635" s="237"/>
      <c r="AW635" s="237"/>
      <c r="AX635" s="237"/>
    </row>
    <row r="636" spans="3:50" x14ac:dyDescent="0.2">
      <c r="C636" s="228"/>
      <c r="D636" s="228"/>
      <c r="E636" s="228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  <c r="AA636" s="237"/>
      <c r="AB636" s="237"/>
      <c r="AC636" s="237"/>
      <c r="AD636" s="237"/>
      <c r="AE636" s="237"/>
      <c r="AF636" s="237"/>
      <c r="AG636" s="237"/>
      <c r="AH636" s="237"/>
      <c r="AI636" s="237"/>
      <c r="AJ636" s="237"/>
      <c r="AK636" s="237"/>
      <c r="AL636" s="237"/>
      <c r="AM636" s="237"/>
      <c r="AN636" s="237"/>
      <c r="AO636" s="237"/>
      <c r="AP636" s="237"/>
      <c r="AQ636" s="237"/>
      <c r="AR636" s="237"/>
      <c r="AS636" s="237"/>
      <c r="AT636" s="237"/>
      <c r="AU636" s="237"/>
      <c r="AV636" s="237"/>
      <c r="AW636" s="237"/>
      <c r="AX636" s="237"/>
    </row>
    <row r="637" spans="3:50" x14ac:dyDescent="0.2">
      <c r="C637" s="228"/>
      <c r="D637" s="228"/>
      <c r="E637" s="228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  <c r="AA637" s="237"/>
      <c r="AB637" s="237"/>
      <c r="AC637" s="237"/>
      <c r="AD637" s="237"/>
      <c r="AE637" s="237"/>
      <c r="AF637" s="237"/>
      <c r="AG637" s="237"/>
      <c r="AH637" s="237"/>
      <c r="AI637" s="237"/>
      <c r="AJ637" s="237"/>
      <c r="AK637" s="237"/>
      <c r="AL637" s="237"/>
      <c r="AM637" s="237"/>
      <c r="AN637" s="237"/>
      <c r="AO637" s="237"/>
      <c r="AP637" s="237"/>
      <c r="AQ637" s="237"/>
      <c r="AR637" s="237"/>
      <c r="AS637" s="237"/>
      <c r="AT637" s="237"/>
      <c r="AU637" s="237"/>
      <c r="AV637" s="237"/>
      <c r="AW637" s="237"/>
      <c r="AX637" s="237"/>
    </row>
    <row r="638" spans="3:50" x14ac:dyDescent="0.2">
      <c r="C638" s="228"/>
      <c r="D638" s="228"/>
      <c r="E638" s="228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  <c r="AA638" s="237"/>
      <c r="AB638" s="237"/>
      <c r="AC638" s="237"/>
      <c r="AD638" s="237"/>
      <c r="AE638" s="237"/>
      <c r="AF638" s="237"/>
      <c r="AG638" s="237"/>
      <c r="AH638" s="237"/>
      <c r="AI638" s="237"/>
      <c r="AJ638" s="237"/>
      <c r="AK638" s="237"/>
      <c r="AL638" s="237"/>
      <c r="AM638" s="237"/>
      <c r="AN638" s="237"/>
      <c r="AO638" s="237"/>
      <c r="AP638" s="237"/>
      <c r="AQ638" s="237"/>
      <c r="AR638" s="237"/>
      <c r="AS638" s="237"/>
      <c r="AT638" s="237"/>
      <c r="AU638" s="237"/>
      <c r="AV638" s="237"/>
      <c r="AW638" s="237"/>
      <c r="AX638" s="237"/>
    </row>
    <row r="639" spans="3:50" x14ac:dyDescent="0.2">
      <c r="C639" s="228"/>
      <c r="D639" s="228"/>
      <c r="E639" s="228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237"/>
      <c r="AF639" s="237"/>
      <c r="AG639" s="237"/>
      <c r="AH639" s="237"/>
      <c r="AI639" s="237"/>
      <c r="AJ639" s="237"/>
      <c r="AK639" s="237"/>
      <c r="AL639" s="237"/>
      <c r="AM639" s="237"/>
      <c r="AN639" s="237"/>
      <c r="AO639" s="237"/>
      <c r="AP639" s="237"/>
      <c r="AQ639" s="237"/>
      <c r="AR639" s="237"/>
      <c r="AS639" s="237"/>
      <c r="AT639" s="237"/>
      <c r="AU639" s="237"/>
      <c r="AV639" s="237"/>
      <c r="AW639" s="237"/>
      <c r="AX639" s="237"/>
    </row>
    <row r="640" spans="3:50" x14ac:dyDescent="0.2">
      <c r="C640" s="228"/>
      <c r="D640" s="228"/>
      <c r="E640" s="228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  <c r="AA640" s="237"/>
      <c r="AB640" s="237"/>
      <c r="AC640" s="237"/>
      <c r="AD640" s="237"/>
      <c r="AE640" s="237"/>
      <c r="AF640" s="237"/>
      <c r="AG640" s="237"/>
      <c r="AH640" s="237"/>
      <c r="AI640" s="237"/>
      <c r="AJ640" s="237"/>
      <c r="AK640" s="237"/>
      <c r="AL640" s="237"/>
      <c r="AM640" s="237"/>
      <c r="AN640" s="237"/>
      <c r="AO640" s="237"/>
      <c r="AP640" s="237"/>
      <c r="AQ640" s="237"/>
      <c r="AR640" s="237"/>
      <c r="AS640" s="237"/>
      <c r="AT640" s="237"/>
      <c r="AU640" s="237"/>
      <c r="AV640" s="237"/>
      <c r="AW640" s="237"/>
      <c r="AX640" s="237"/>
    </row>
    <row r="641" spans="3:50" x14ac:dyDescent="0.2">
      <c r="C641" s="228"/>
      <c r="D641" s="228"/>
      <c r="E641" s="228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  <c r="AA641" s="237"/>
      <c r="AB641" s="237"/>
      <c r="AC641" s="237"/>
      <c r="AD641" s="237"/>
      <c r="AE641" s="237"/>
      <c r="AF641" s="237"/>
      <c r="AG641" s="237"/>
      <c r="AH641" s="237"/>
      <c r="AI641" s="237"/>
      <c r="AJ641" s="237"/>
      <c r="AK641" s="237"/>
      <c r="AL641" s="237"/>
      <c r="AM641" s="237"/>
      <c r="AN641" s="237"/>
      <c r="AO641" s="237"/>
      <c r="AP641" s="237"/>
      <c r="AQ641" s="237"/>
      <c r="AR641" s="237"/>
      <c r="AS641" s="237"/>
      <c r="AT641" s="237"/>
      <c r="AU641" s="237"/>
      <c r="AV641" s="237"/>
      <c r="AW641" s="237"/>
      <c r="AX641" s="237"/>
    </row>
    <row r="642" spans="3:50" x14ac:dyDescent="0.2">
      <c r="C642" s="228"/>
      <c r="D642" s="228"/>
      <c r="E642" s="228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  <c r="AA642" s="237"/>
      <c r="AB642" s="237"/>
      <c r="AC642" s="237"/>
      <c r="AD642" s="237"/>
      <c r="AE642" s="237"/>
      <c r="AF642" s="237"/>
      <c r="AG642" s="237"/>
      <c r="AH642" s="237"/>
      <c r="AI642" s="237"/>
      <c r="AJ642" s="237"/>
      <c r="AK642" s="237"/>
      <c r="AL642" s="237"/>
      <c r="AM642" s="237"/>
      <c r="AN642" s="237"/>
      <c r="AO642" s="237"/>
      <c r="AP642" s="237"/>
      <c r="AQ642" s="237"/>
      <c r="AR642" s="237"/>
      <c r="AS642" s="237"/>
      <c r="AT642" s="237"/>
      <c r="AU642" s="237"/>
      <c r="AV642" s="237"/>
      <c r="AW642" s="237"/>
      <c r="AX642" s="237"/>
    </row>
    <row r="643" spans="3:50" x14ac:dyDescent="0.2">
      <c r="C643" s="228"/>
      <c r="D643" s="228"/>
      <c r="E643" s="228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  <c r="AA643" s="237"/>
      <c r="AB643" s="237"/>
      <c r="AC643" s="237"/>
      <c r="AD643" s="237"/>
      <c r="AE643" s="237"/>
      <c r="AF643" s="237"/>
      <c r="AG643" s="237"/>
      <c r="AH643" s="237"/>
      <c r="AI643" s="237"/>
      <c r="AJ643" s="237"/>
      <c r="AK643" s="237"/>
      <c r="AL643" s="237"/>
      <c r="AM643" s="237"/>
      <c r="AN643" s="237"/>
      <c r="AO643" s="237"/>
      <c r="AP643" s="237"/>
      <c r="AQ643" s="237"/>
      <c r="AR643" s="237"/>
      <c r="AS643" s="237"/>
      <c r="AT643" s="237"/>
      <c r="AU643" s="237"/>
      <c r="AV643" s="237"/>
      <c r="AW643" s="237"/>
      <c r="AX643" s="237"/>
    </row>
    <row r="644" spans="3:50" x14ac:dyDescent="0.2">
      <c r="C644" s="228"/>
      <c r="D644" s="228"/>
      <c r="E644" s="228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  <c r="AA644" s="237"/>
      <c r="AB644" s="237"/>
      <c r="AC644" s="237"/>
      <c r="AD644" s="237"/>
      <c r="AE644" s="237"/>
      <c r="AF644" s="237"/>
      <c r="AG644" s="237"/>
      <c r="AH644" s="237"/>
      <c r="AI644" s="237"/>
      <c r="AJ644" s="237"/>
      <c r="AK644" s="237"/>
      <c r="AL644" s="237"/>
      <c r="AM644" s="237"/>
      <c r="AN644" s="237"/>
      <c r="AO644" s="237"/>
      <c r="AP644" s="237"/>
      <c r="AQ644" s="237"/>
      <c r="AR644" s="237"/>
      <c r="AS644" s="237"/>
      <c r="AT644" s="237"/>
      <c r="AU644" s="237"/>
      <c r="AV644" s="237"/>
      <c r="AW644" s="237"/>
      <c r="AX644" s="237"/>
    </row>
    <row r="645" spans="3:50" x14ac:dyDescent="0.2">
      <c r="C645" s="228"/>
      <c r="D645" s="228"/>
      <c r="E645" s="228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  <c r="AA645" s="237"/>
      <c r="AB645" s="237"/>
      <c r="AC645" s="237"/>
      <c r="AD645" s="237"/>
      <c r="AE645" s="237"/>
      <c r="AF645" s="237"/>
      <c r="AG645" s="237"/>
      <c r="AH645" s="237"/>
      <c r="AI645" s="237"/>
      <c r="AJ645" s="237"/>
      <c r="AK645" s="237"/>
      <c r="AL645" s="237"/>
      <c r="AM645" s="237"/>
      <c r="AN645" s="237"/>
      <c r="AO645" s="237"/>
      <c r="AP645" s="237"/>
      <c r="AQ645" s="237"/>
      <c r="AR645" s="237"/>
      <c r="AS645" s="237"/>
      <c r="AT645" s="237"/>
      <c r="AU645" s="237"/>
      <c r="AV645" s="237"/>
      <c r="AW645" s="237"/>
      <c r="AX645" s="237"/>
    </row>
    <row r="646" spans="3:50" x14ac:dyDescent="0.2">
      <c r="C646" s="228"/>
      <c r="D646" s="228"/>
      <c r="E646" s="228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  <c r="AA646" s="237"/>
      <c r="AB646" s="237"/>
      <c r="AC646" s="237"/>
      <c r="AD646" s="237"/>
      <c r="AE646" s="237"/>
      <c r="AF646" s="237"/>
      <c r="AG646" s="237"/>
      <c r="AH646" s="237"/>
      <c r="AI646" s="237"/>
      <c r="AJ646" s="237"/>
      <c r="AK646" s="237"/>
      <c r="AL646" s="237"/>
      <c r="AM646" s="237"/>
      <c r="AN646" s="237"/>
      <c r="AO646" s="237"/>
      <c r="AP646" s="237"/>
      <c r="AQ646" s="237"/>
      <c r="AR646" s="237"/>
      <c r="AS646" s="237"/>
      <c r="AT646" s="237"/>
      <c r="AU646" s="237"/>
      <c r="AV646" s="237"/>
      <c r="AW646" s="237"/>
      <c r="AX646" s="237"/>
    </row>
    <row r="647" spans="3:50" x14ac:dyDescent="0.2">
      <c r="C647" s="228"/>
      <c r="D647" s="228"/>
      <c r="E647" s="228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  <c r="AA647" s="237"/>
      <c r="AB647" s="237"/>
      <c r="AC647" s="237"/>
      <c r="AD647" s="237"/>
      <c r="AE647" s="237"/>
      <c r="AF647" s="237"/>
      <c r="AG647" s="237"/>
      <c r="AH647" s="237"/>
      <c r="AI647" s="237"/>
      <c r="AJ647" s="237"/>
      <c r="AK647" s="237"/>
      <c r="AL647" s="237"/>
      <c r="AM647" s="237"/>
      <c r="AN647" s="237"/>
      <c r="AO647" s="237"/>
      <c r="AP647" s="237"/>
      <c r="AQ647" s="237"/>
      <c r="AR647" s="237"/>
      <c r="AS647" s="237"/>
      <c r="AT647" s="237"/>
      <c r="AU647" s="237"/>
      <c r="AV647" s="237"/>
      <c r="AW647" s="237"/>
      <c r="AX647" s="237"/>
    </row>
    <row r="648" spans="3:50" x14ac:dyDescent="0.2">
      <c r="C648" s="228"/>
      <c r="D648" s="228"/>
      <c r="E648" s="228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  <c r="AA648" s="237"/>
      <c r="AB648" s="237"/>
      <c r="AC648" s="237"/>
      <c r="AD648" s="237"/>
      <c r="AE648" s="237"/>
      <c r="AF648" s="237"/>
      <c r="AG648" s="237"/>
      <c r="AH648" s="237"/>
      <c r="AI648" s="237"/>
      <c r="AJ648" s="237"/>
      <c r="AK648" s="237"/>
      <c r="AL648" s="237"/>
      <c r="AM648" s="237"/>
      <c r="AN648" s="237"/>
      <c r="AO648" s="237"/>
      <c r="AP648" s="237"/>
      <c r="AQ648" s="237"/>
      <c r="AR648" s="237"/>
      <c r="AS648" s="237"/>
      <c r="AT648" s="237"/>
      <c r="AU648" s="237"/>
      <c r="AV648" s="237"/>
      <c r="AW648" s="237"/>
      <c r="AX648" s="237"/>
    </row>
    <row r="649" spans="3:50" x14ac:dyDescent="0.2">
      <c r="C649" s="228"/>
      <c r="D649" s="228"/>
      <c r="E649" s="228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  <c r="AA649" s="237"/>
      <c r="AB649" s="237"/>
      <c r="AC649" s="237"/>
      <c r="AD649" s="237"/>
      <c r="AE649" s="237"/>
      <c r="AF649" s="237"/>
      <c r="AG649" s="237"/>
      <c r="AH649" s="237"/>
      <c r="AI649" s="237"/>
      <c r="AJ649" s="237"/>
      <c r="AK649" s="237"/>
      <c r="AL649" s="237"/>
      <c r="AM649" s="237"/>
      <c r="AN649" s="237"/>
      <c r="AO649" s="237"/>
      <c r="AP649" s="237"/>
      <c r="AQ649" s="237"/>
      <c r="AR649" s="237"/>
      <c r="AS649" s="237"/>
      <c r="AT649" s="237"/>
      <c r="AU649" s="237"/>
      <c r="AV649" s="237"/>
      <c r="AW649" s="237"/>
      <c r="AX649" s="237"/>
    </row>
    <row r="650" spans="3:50" x14ac:dyDescent="0.2">
      <c r="C650" s="228"/>
      <c r="D650" s="228"/>
      <c r="E650" s="228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  <c r="AA650" s="237"/>
      <c r="AB650" s="237"/>
      <c r="AC650" s="237"/>
      <c r="AD650" s="237"/>
      <c r="AE650" s="237"/>
      <c r="AF650" s="237"/>
      <c r="AG650" s="237"/>
      <c r="AH650" s="237"/>
      <c r="AI650" s="237"/>
      <c r="AJ650" s="237"/>
      <c r="AK650" s="237"/>
      <c r="AL650" s="237"/>
      <c r="AM650" s="237"/>
      <c r="AN650" s="237"/>
      <c r="AO650" s="237"/>
      <c r="AP650" s="237"/>
      <c r="AQ650" s="237"/>
      <c r="AR650" s="237"/>
      <c r="AS650" s="237"/>
      <c r="AT650" s="237"/>
      <c r="AU650" s="237"/>
      <c r="AV650" s="237"/>
      <c r="AW650" s="237"/>
      <c r="AX650" s="237"/>
    </row>
    <row r="651" spans="3:50" x14ac:dyDescent="0.2">
      <c r="C651" s="228"/>
      <c r="D651" s="228"/>
      <c r="E651" s="228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  <c r="AA651" s="237"/>
      <c r="AB651" s="237"/>
      <c r="AC651" s="237"/>
      <c r="AD651" s="237"/>
      <c r="AE651" s="237"/>
      <c r="AF651" s="237"/>
      <c r="AG651" s="237"/>
      <c r="AH651" s="237"/>
      <c r="AI651" s="237"/>
      <c r="AJ651" s="237"/>
      <c r="AK651" s="237"/>
      <c r="AL651" s="237"/>
      <c r="AM651" s="237"/>
      <c r="AN651" s="237"/>
      <c r="AO651" s="237"/>
      <c r="AP651" s="237"/>
      <c r="AQ651" s="237"/>
      <c r="AR651" s="237"/>
      <c r="AS651" s="237"/>
      <c r="AT651" s="237"/>
      <c r="AU651" s="237"/>
      <c r="AV651" s="237"/>
      <c r="AW651" s="237"/>
      <c r="AX651" s="237"/>
    </row>
    <row r="652" spans="3:50" x14ac:dyDescent="0.2">
      <c r="C652" s="228"/>
      <c r="D652" s="228"/>
      <c r="E652" s="228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  <c r="AC652" s="237"/>
      <c r="AD652" s="237"/>
      <c r="AE652" s="237"/>
      <c r="AF652" s="237"/>
      <c r="AG652" s="237"/>
      <c r="AH652" s="237"/>
      <c r="AI652" s="237"/>
      <c r="AJ652" s="237"/>
      <c r="AK652" s="237"/>
      <c r="AL652" s="237"/>
      <c r="AM652" s="237"/>
      <c r="AN652" s="237"/>
      <c r="AO652" s="237"/>
      <c r="AP652" s="237"/>
      <c r="AQ652" s="237"/>
      <c r="AR652" s="237"/>
      <c r="AS652" s="237"/>
      <c r="AT652" s="237"/>
      <c r="AU652" s="237"/>
      <c r="AV652" s="237"/>
      <c r="AW652" s="237"/>
      <c r="AX652" s="237"/>
    </row>
    <row r="653" spans="3:50" x14ac:dyDescent="0.2">
      <c r="C653" s="228"/>
      <c r="D653" s="228"/>
      <c r="E653" s="228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  <c r="AA653" s="237"/>
      <c r="AB653" s="237"/>
      <c r="AC653" s="237"/>
      <c r="AD653" s="237"/>
      <c r="AE653" s="237"/>
      <c r="AF653" s="237"/>
      <c r="AG653" s="237"/>
      <c r="AH653" s="237"/>
      <c r="AI653" s="237"/>
      <c r="AJ653" s="237"/>
      <c r="AK653" s="237"/>
      <c r="AL653" s="237"/>
      <c r="AM653" s="237"/>
      <c r="AN653" s="237"/>
      <c r="AO653" s="237"/>
      <c r="AP653" s="237"/>
      <c r="AQ653" s="237"/>
      <c r="AR653" s="237"/>
      <c r="AS653" s="237"/>
      <c r="AT653" s="237"/>
      <c r="AU653" s="237"/>
      <c r="AV653" s="237"/>
      <c r="AW653" s="237"/>
      <c r="AX653" s="237"/>
    </row>
    <row r="654" spans="3:50" x14ac:dyDescent="0.2">
      <c r="C654" s="228"/>
      <c r="D654" s="228"/>
      <c r="E654" s="228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  <c r="AA654" s="237"/>
      <c r="AB654" s="237"/>
      <c r="AC654" s="237"/>
      <c r="AD654" s="237"/>
      <c r="AE654" s="237"/>
      <c r="AF654" s="237"/>
      <c r="AG654" s="237"/>
      <c r="AH654" s="237"/>
      <c r="AI654" s="237"/>
      <c r="AJ654" s="237"/>
      <c r="AK654" s="237"/>
      <c r="AL654" s="237"/>
      <c r="AM654" s="237"/>
      <c r="AN654" s="237"/>
      <c r="AO654" s="237"/>
      <c r="AP654" s="237"/>
      <c r="AQ654" s="237"/>
      <c r="AR654" s="237"/>
      <c r="AS654" s="237"/>
      <c r="AT654" s="237"/>
      <c r="AU654" s="237"/>
      <c r="AV654" s="237"/>
      <c r="AW654" s="237"/>
      <c r="AX654" s="237"/>
    </row>
    <row r="655" spans="3:50" x14ac:dyDescent="0.2">
      <c r="C655" s="228"/>
      <c r="D655" s="228"/>
      <c r="E655" s="228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  <c r="AA655" s="237"/>
      <c r="AB655" s="237"/>
      <c r="AC655" s="237"/>
      <c r="AD655" s="237"/>
      <c r="AE655" s="237"/>
      <c r="AF655" s="237"/>
      <c r="AG655" s="237"/>
      <c r="AH655" s="237"/>
      <c r="AI655" s="237"/>
      <c r="AJ655" s="237"/>
      <c r="AK655" s="237"/>
      <c r="AL655" s="237"/>
      <c r="AM655" s="237"/>
      <c r="AN655" s="237"/>
      <c r="AO655" s="237"/>
      <c r="AP655" s="237"/>
      <c r="AQ655" s="237"/>
      <c r="AR655" s="237"/>
      <c r="AS655" s="237"/>
      <c r="AT655" s="237"/>
      <c r="AU655" s="237"/>
      <c r="AV655" s="237"/>
      <c r="AW655" s="237"/>
      <c r="AX655" s="237"/>
    </row>
    <row r="656" spans="3:50" x14ac:dyDescent="0.2">
      <c r="C656" s="228"/>
      <c r="D656" s="228"/>
      <c r="E656" s="228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  <c r="AA656" s="237"/>
      <c r="AB656" s="237"/>
      <c r="AC656" s="237"/>
      <c r="AD656" s="237"/>
      <c r="AE656" s="237"/>
      <c r="AF656" s="237"/>
      <c r="AG656" s="237"/>
      <c r="AH656" s="237"/>
      <c r="AI656" s="237"/>
      <c r="AJ656" s="237"/>
      <c r="AK656" s="237"/>
      <c r="AL656" s="237"/>
      <c r="AM656" s="237"/>
      <c r="AN656" s="237"/>
      <c r="AO656" s="237"/>
      <c r="AP656" s="237"/>
      <c r="AQ656" s="237"/>
      <c r="AR656" s="237"/>
      <c r="AS656" s="237"/>
      <c r="AT656" s="237"/>
      <c r="AU656" s="237"/>
      <c r="AV656" s="237"/>
      <c r="AW656" s="237"/>
      <c r="AX656" s="237"/>
    </row>
    <row r="657" spans="3:50" x14ac:dyDescent="0.2">
      <c r="C657" s="228"/>
      <c r="D657" s="228"/>
      <c r="E657" s="228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  <c r="AC657" s="237"/>
      <c r="AD657" s="237"/>
      <c r="AE657" s="237"/>
      <c r="AF657" s="237"/>
      <c r="AG657" s="237"/>
      <c r="AH657" s="237"/>
      <c r="AI657" s="237"/>
      <c r="AJ657" s="237"/>
      <c r="AK657" s="237"/>
      <c r="AL657" s="237"/>
      <c r="AM657" s="237"/>
      <c r="AN657" s="237"/>
      <c r="AO657" s="237"/>
      <c r="AP657" s="237"/>
      <c r="AQ657" s="237"/>
      <c r="AR657" s="237"/>
      <c r="AS657" s="237"/>
      <c r="AT657" s="237"/>
      <c r="AU657" s="237"/>
      <c r="AV657" s="237"/>
      <c r="AW657" s="237"/>
      <c r="AX657" s="237"/>
    </row>
    <row r="658" spans="3:50" x14ac:dyDescent="0.2">
      <c r="C658" s="228"/>
      <c r="D658" s="228"/>
      <c r="E658" s="228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  <c r="AC658" s="237"/>
      <c r="AD658" s="237"/>
      <c r="AE658" s="237"/>
      <c r="AF658" s="237"/>
      <c r="AG658" s="237"/>
      <c r="AH658" s="237"/>
      <c r="AI658" s="237"/>
      <c r="AJ658" s="237"/>
      <c r="AK658" s="237"/>
      <c r="AL658" s="237"/>
      <c r="AM658" s="237"/>
      <c r="AN658" s="237"/>
      <c r="AO658" s="237"/>
      <c r="AP658" s="237"/>
      <c r="AQ658" s="237"/>
      <c r="AR658" s="237"/>
      <c r="AS658" s="237"/>
      <c r="AT658" s="237"/>
      <c r="AU658" s="237"/>
      <c r="AV658" s="237"/>
      <c r="AW658" s="237"/>
      <c r="AX658" s="237"/>
    </row>
    <row r="659" spans="3:50" x14ac:dyDescent="0.2">
      <c r="C659" s="228"/>
      <c r="D659" s="228"/>
      <c r="E659" s="228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  <c r="AC659" s="237"/>
      <c r="AD659" s="237"/>
      <c r="AE659" s="237"/>
      <c r="AF659" s="237"/>
      <c r="AG659" s="237"/>
      <c r="AH659" s="237"/>
      <c r="AI659" s="237"/>
      <c r="AJ659" s="237"/>
      <c r="AK659" s="237"/>
      <c r="AL659" s="237"/>
      <c r="AM659" s="237"/>
      <c r="AN659" s="237"/>
      <c r="AO659" s="237"/>
      <c r="AP659" s="237"/>
      <c r="AQ659" s="237"/>
      <c r="AR659" s="237"/>
      <c r="AS659" s="237"/>
      <c r="AT659" s="237"/>
      <c r="AU659" s="237"/>
      <c r="AV659" s="237"/>
      <c r="AW659" s="237"/>
      <c r="AX659" s="237"/>
    </row>
    <row r="660" spans="3:50" x14ac:dyDescent="0.2">
      <c r="C660" s="228"/>
      <c r="D660" s="228"/>
      <c r="E660" s="228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  <c r="AC660" s="237"/>
      <c r="AD660" s="237"/>
      <c r="AE660" s="237"/>
      <c r="AF660" s="237"/>
      <c r="AG660" s="237"/>
      <c r="AH660" s="237"/>
      <c r="AI660" s="237"/>
      <c r="AJ660" s="237"/>
      <c r="AK660" s="237"/>
      <c r="AL660" s="237"/>
      <c r="AM660" s="237"/>
      <c r="AN660" s="237"/>
      <c r="AO660" s="237"/>
      <c r="AP660" s="237"/>
      <c r="AQ660" s="237"/>
      <c r="AR660" s="237"/>
      <c r="AS660" s="237"/>
      <c r="AT660" s="237"/>
      <c r="AU660" s="237"/>
      <c r="AV660" s="237"/>
      <c r="AW660" s="237"/>
      <c r="AX660" s="237"/>
    </row>
    <row r="661" spans="3:50" x14ac:dyDescent="0.2">
      <c r="C661" s="228"/>
      <c r="D661" s="228"/>
      <c r="E661" s="228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  <c r="AC661" s="237"/>
      <c r="AD661" s="237"/>
      <c r="AE661" s="237"/>
      <c r="AF661" s="237"/>
      <c r="AG661" s="237"/>
      <c r="AH661" s="237"/>
      <c r="AI661" s="237"/>
      <c r="AJ661" s="237"/>
      <c r="AK661" s="237"/>
      <c r="AL661" s="237"/>
      <c r="AM661" s="237"/>
      <c r="AN661" s="237"/>
      <c r="AO661" s="237"/>
      <c r="AP661" s="237"/>
      <c r="AQ661" s="237"/>
      <c r="AR661" s="237"/>
      <c r="AS661" s="237"/>
      <c r="AT661" s="237"/>
      <c r="AU661" s="237"/>
      <c r="AV661" s="237"/>
      <c r="AW661" s="237"/>
      <c r="AX661" s="237"/>
    </row>
    <row r="662" spans="3:50" x14ac:dyDescent="0.2">
      <c r="C662" s="228"/>
      <c r="D662" s="228"/>
      <c r="E662" s="228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  <c r="AC662" s="237"/>
      <c r="AD662" s="237"/>
      <c r="AE662" s="237"/>
      <c r="AF662" s="237"/>
      <c r="AG662" s="237"/>
      <c r="AH662" s="237"/>
      <c r="AI662" s="237"/>
      <c r="AJ662" s="237"/>
      <c r="AK662" s="237"/>
      <c r="AL662" s="237"/>
      <c r="AM662" s="237"/>
      <c r="AN662" s="237"/>
      <c r="AO662" s="237"/>
      <c r="AP662" s="237"/>
      <c r="AQ662" s="237"/>
      <c r="AR662" s="237"/>
      <c r="AS662" s="237"/>
      <c r="AT662" s="237"/>
      <c r="AU662" s="237"/>
      <c r="AV662" s="237"/>
      <c r="AW662" s="237"/>
      <c r="AX662" s="237"/>
    </row>
    <row r="663" spans="3:50" x14ac:dyDescent="0.2">
      <c r="C663" s="228"/>
      <c r="D663" s="228"/>
      <c r="E663" s="228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  <c r="AC663" s="237"/>
      <c r="AD663" s="237"/>
      <c r="AE663" s="237"/>
      <c r="AF663" s="237"/>
      <c r="AG663" s="237"/>
      <c r="AH663" s="237"/>
      <c r="AI663" s="237"/>
      <c r="AJ663" s="237"/>
      <c r="AK663" s="237"/>
      <c r="AL663" s="237"/>
      <c r="AM663" s="237"/>
      <c r="AN663" s="237"/>
      <c r="AO663" s="237"/>
      <c r="AP663" s="237"/>
      <c r="AQ663" s="237"/>
      <c r="AR663" s="237"/>
      <c r="AS663" s="237"/>
      <c r="AT663" s="237"/>
      <c r="AU663" s="237"/>
      <c r="AV663" s="237"/>
      <c r="AW663" s="237"/>
      <c r="AX663" s="237"/>
    </row>
    <row r="664" spans="3:50" x14ac:dyDescent="0.2">
      <c r="C664" s="228"/>
      <c r="D664" s="228"/>
      <c r="E664" s="228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  <c r="AC664" s="237"/>
      <c r="AD664" s="237"/>
      <c r="AE664" s="237"/>
      <c r="AF664" s="237"/>
      <c r="AG664" s="237"/>
      <c r="AH664" s="237"/>
      <c r="AI664" s="237"/>
      <c r="AJ664" s="237"/>
      <c r="AK664" s="237"/>
      <c r="AL664" s="237"/>
      <c r="AM664" s="237"/>
      <c r="AN664" s="237"/>
      <c r="AO664" s="237"/>
      <c r="AP664" s="237"/>
      <c r="AQ664" s="237"/>
      <c r="AR664" s="237"/>
      <c r="AS664" s="237"/>
      <c r="AT664" s="237"/>
      <c r="AU664" s="237"/>
      <c r="AV664" s="237"/>
      <c r="AW664" s="237"/>
      <c r="AX664" s="237"/>
    </row>
    <row r="665" spans="3:50" x14ac:dyDescent="0.2">
      <c r="C665" s="228"/>
      <c r="D665" s="228"/>
      <c r="E665" s="228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  <c r="AC665" s="237"/>
      <c r="AD665" s="237"/>
      <c r="AE665" s="237"/>
      <c r="AF665" s="237"/>
      <c r="AG665" s="237"/>
      <c r="AH665" s="237"/>
      <c r="AI665" s="237"/>
      <c r="AJ665" s="237"/>
      <c r="AK665" s="237"/>
      <c r="AL665" s="237"/>
      <c r="AM665" s="237"/>
      <c r="AN665" s="237"/>
      <c r="AO665" s="237"/>
      <c r="AP665" s="237"/>
      <c r="AQ665" s="237"/>
      <c r="AR665" s="237"/>
      <c r="AS665" s="237"/>
      <c r="AT665" s="237"/>
      <c r="AU665" s="237"/>
      <c r="AV665" s="237"/>
      <c r="AW665" s="237"/>
      <c r="AX665" s="237"/>
    </row>
    <row r="666" spans="3:50" x14ac:dyDescent="0.2">
      <c r="C666" s="228"/>
      <c r="D666" s="228"/>
      <c r="E666" s="228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  <c r="AC666" s="237"/>
      <c r="AD666" s="237"/>
      <c r="AE666" s="237"/>
      <c r="AF666" s="237"/>
      <c r="AG666" s="237"/>
      <c r="AH666" s="237"/>
      <c r="AI666" s="237"/>
      <c r="AJ666" s="237"/>
      <c r="AK666" s="237"/>
      <c r="AL666" s="237"/>
      <c r="AM666" s="237"/>
      <c r="AN666" s="237"/>
      <c r="AO666" s="237"/>
      <c r="AP666" s="237"/>
      <c r="AQ666" s="237"/>
      <c r="AR666" s="237"/>
      <c r="AS666" s="237"/>
      <c r="AT666" s="237"/>
      <c r="AU666" s="237"/>
      <c r="AV666" s="237"/>
      <c r="AW666" s="237"/>
      <c r="AX666" s="237"/>
    </row>
    <row r="667" spans="3:50" x14ac:dyDescent="0.2">
      <c r="C667" s="228"/>
      <c r="D667" s="228"/>
      <c r="E667" s="228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  <c r="AC667" s="237"/>
      <c r="AD667" s="237"/>
      <c r="AE667" s="237"/>
      <c r="AF667" s="237"/>
      <c r="AG667" s="237"/>
      <c r="AH667" s="237"/>
      <c r="AI667" s="237"/>
      <c r="AJ667" s="237"/>
      <c r="AK667" s="237"/>
      <c r="AL667" s="237"/>
      <c r="AM667" s="237"/>
      <c r="AN667" s="237"/>
      <c r="AO667" s="237"/>
      <c r="AP667" s="237"/>
      <c r="AQ667" s="237"/>
      <c r="AR667" s="237"/>
      <c r="AS667" s="237"/>
      <c r="AT667" s="237"/>
      <c r="AU667" s="237"/>
      <c r="AV667" s="237"/>
      <c r="AW667" s="237"/>
      <c r="AX667" s="237"/>
    </row>
    <row r="668" spans="3:50" x14ac:dyDescent="0.2">
      <c r="C668" s="228"/>
      <c r="D668" s="228"/>
      <c r="E668" s="228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  <c r="AC668" s="237"/>
      <c r="AD668" s="237"/>
      <c r="AE668" s="237"/>
      <c r="AF668" s="237"/>
      <c r="AG668" s="237"/>
      <c r="AH668" s="237"/>
      <c r="AI668" s="237"/>
      <c r="AJ668" s="237"/>
      <c r="AK668" s="237"/>
      <c r="AL668" s="237"/>
      <c r="AM668" s="237"/>
      <c r="AN668" s="237"/>
      <c r="AO668" s="237"/>
      <c r="AP668" s="237"/>
      <c r="AQ668" s="237"/>
      <c r="AR668" s="237"/>
      <c r="AS668" s="237"/>
      <c r="AT668" s="237"/>
      <c r="AU668" s="237"/>
      <c r="AV668" s="237"/>
      <c r="AW668" s="237"/>
      <c r="AX668" s="237"/>
    </row>
    <row r="669" spans="3:50" x14ac:dyDescent="0.2">
      <c r="C669" s="228"/>
      <c r="D669" s="228"/>
      <c r="E669" s="228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  <c r="AC669" s="237"/>
      <c r="AD669" s="237"/>
      <c r="AE669" s="237"/>
      <c r="AF669" s="237"/>
      <c r="AG669" s="237"/>
      <c r="AH669" s="237"/>
      <c r="AI669" s="237"/>
      <c r="AJ669" s="237"/>
      <c r="AK669" s="237"/>
      <c r="AL669" s="237"/>
      <c r="AM669" s="237"/>
      <c r="AN669" s="237"/>
      <c r="AO669" s="237"/>
      <c r="AP669" s="237"/>
      <c r="AQ669" s="237"/>
      <c r="AR669" s="237"/>
      <c r="AS669" s="237"/>
      <c r="AT669" s="237"/>
      <c r="AU669" s="237"/>
      <c r="AV669" s="237"/>
      <c r="AW669" s="237"/>
      <c r="AX669" s="237"/>
    </row>
    <row r="670" spans="3:50" x14ac:dyDescent="0.2">
      <c r="C670" s="228"/>
      <c r="D670" s="228"/>
      <c r="E670" s="228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  <c r="AC670" s="237"/>
      <c r="AD670" s="237"/>
      <c r="AE670" s="237"/>
      <c r="AF670" s="237"/>
      <c r="AG670" s="237"/>
      <c r="AH670" s="237"/>
      <c r="AI670" s="237"/>
      <c r="AJ670" s="237"/>
      <c r="AK670" s="237"/>
      <c r="AL670" s="237"/>
      <c r="AM670" s="237"/>
      <c r="AN670" s="237"/>
      <c r="AO670" s="237"/>
      <c r="AP670" s="237"/>
      <c r="AQ670" s="237"/>
      <c r="AR670" s="237"/>
      <c r="AS670" s="237"/>
      <c r="AT670" s="237"/>
      <c r="AU670" s="237"/>
      <c r="AV670" s="237"/>
      <c r="AW670" s="237"/>
      <c r="AX670" s="237"/>
    </row>
    <row r="671" spans="3:50" x14ac:dyDescent="0.2">
      <c r="C671" s="228"/>
      <c r="D671" s="228"/>
      <c r="E671" s="228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  <c r="AC671" s="237"/>
      <c r="AD671" s="237"/>
      <c r="AE671" s="237"/>
      <c r="AF671" s="237"/>
      <c r="AG671" s="237"/>
      <c r="AH671" s="237"/>
      <c r="AI671" s="237"/>
      <c r="AJ671" s="237"/>
      <c r="AK671" s="237"/>
      <c r="AL671" s="237"/>
      <c r="AM671" s="237"/>
      <c r="AN671" s="237"/>
      <c r="AO671" s="237"/>
      <c r="AP671" s="237"/>
      <c r="AQ671" s="237"/>
      <c r="AR671" s="237"/>
      <c r="AS671" s="237"/>
      <c r="AT671" s="237"/>
      <c r="AU671" s="237"/>
      <c r="AV671" s="237"/>
      <c r="AW671" s="237"/>
      <c r="AX671" s="237"/>
    </row>
    <row r="672" spans="3:50" x14ac:dyDescent="0.2">
      <c r="C672" s="228"/>
      <c r="D672" s="228"/>
      <c r="E672" s="228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  <c r="AC672" s="237"/>
      <c r="AD672" s="237"/>
      <c r="AE672" s="237"/>
      <c r="AF672" s="237"/>
      <c r="AG672" s="237"/>
      <c r="AH672" s="237"/>
      <c r="AI672" s="237"/>
      <c r="AJ672" s="237"/>
      <c r="AK672" s="237"/>
      <c r="AL672" s="237"/>
      <c r="AM672" s="237"/>
      <c r="AN672" s="237"/>
      <c r="AO672" s="237"/>
      <c r="AP672" s="237"/>
      <c r="AQ672" s="237"/>
      <c r="AR672" s="237"/>
      <c r="AS672" s="237"/>
      <c r="AT672" s="237"/>
      <c r="AU672" s="237"/>
      <c r="AV672" s="237"/>
      <c r="AW672" s="237"/>
      <c r="AX672" s="237"/>
    </row>
    <row r="673" spans="3:50" x14ac:dyDescent="0.2">
      <c r="C673" s="228"/>
      <c r="D673" s="228"/>
      <c r="E673" s="228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  <c r="AC673" s="237"/>
      <c r="AD673" s="237"/>
      <c r="AE673" s="237"/>
      <c r="AF673" s="237"/>
      <c r="AG673" s="237"/>
      <c r="AH673" s="237"/>
      <c r="AI673" s="237"/>
      <c r="AJ673" s="237"/>
      <c r="AK673" s="237"/>
      <c r="AL673" s="237"/>
      <c r="AM673" s="237"/>
      <c r="AN673" s="237"/>
      <c r="AO673" s="237"/>
      <c r="AP673" s="237"/>
      <c r="AQ673" s="237"/>
      <c r="AR673" s="237"/>
      <c r="AS673" s="237"/>
      <c r="AT673" s="237"/>
      <c r="AU673" s="237"/>
      <c r="AV673" s="237"/>
      <c r="AW673" s="237"/>
      <c r="AX673" s="237"/>
    </row>
    <row r="674" spans="3:50" x14ac:dyDescent="0.2">
      <c r="C674" s="228"/>
      <c r="D674" s="228"/>
      <c r="E674" s="228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  <c r="AC674" s="237"/>
      <c r="AD674" s="237"/>
      <c r="AE674" s="237"/>
      <c r="AF674" s="237"/>
      <c r="AG674" s="237"/>
      <c r="AH674" s="237"/>
      <c r="AI674" s="237"/>
      <c r="AJ674" s="237"/>
      <c r="AK674" s="237"/>
      <c r="AL674" s="237"/>
      <c r="AM674" s="237"/>
      <c r="AN674" s="237"/>
      <c r="AO674" s="237"/>
      <c r="AP674" s="237"/>
      <c r="AQ674" s="237"/>
      <c r="AR674" s="237"/>
      <c r="AS674" s="237"/>
      <c r="AT674" s="237"/>
      <c r="AU674" s="237"/>
      <c r="AV674" s="237"/>
      <c r="AW674" s="237"/>
      <c r="AX674" s="237"/>
    </row>
    <row r="675" spans="3:50" x14ac:dyDescent="0.2">
      <c r="C675" s="228"/>
      <c r="D675" s="228"/>
      <c r="E675" s="228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  <c r="AC675" s="237"/>
      <c r="AD675" s="237"/>
      <c r="AE675" s="237"/>
      <c r="AF675" s="237"/>
      <c r="AG675" s="237"/>
      <c r="AH675" s="237"/>
      <c r="AI675" s="237"/>
      <c r="AJ675" s="237"/>
      <c r="AK675" s="237"/>
      <c r="AL675" s="237"/>
      <c r="AM675" s="237"/>
      <c r="AN675" s="237"/>
      <c r="AO675" s="237"/>
      <c r="AP675" s="237"/>
      <c r="AQ675" s="237"/>
      <c r="AR675" s="237"/>
      <c r="AS675" s="237"/>
      <c r="AT675" s="237"/>
      <c r="AU675" s="237"/>
      <c r="AV675" s="237"/>
      <c r="AW675" s="237"/>
      <c r="AX675" s="237"/>
    </row>
    <row r="676" spans="3:50" x14ac:dyDescent="0.2">
      <c r="C676" s="228"/>
      <c r="D676" s="228"/>
      <c r="E676" s="228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  <c r="AC676" s="237"/>
      <c r="AD676" s="237"/>
      <c r="AE676" s="237"/>
      <c r="AF676" s="237"/>
      <c r="AG676" s="237"/>
      <c r="AH676" s="237"/>
      <c r="AI676" s="237"/>
      <c r="AJ676" s="237"/>
      <c r="AK676" s="237"/>
      <c r="AL676" s="237"/>
      <c r="AM676" s="237"/>
      <c r="AN676" s="237"/>
      <c r="AO676" s="237"/>
      <c r="AP676" s="237"/>
      <c r="AQ676" s="237"/>
      <c r="AR676" s="237"/>
      <c r="AS676" s="237"/>
      <c r="AT676" s="237"/>
      <c r="AU676" s="237"/>
      <c r="AV676" s="237"/>
      <c r="AW676" s="237"/>
      <c r="AX676" s="237"/>
    </row>
    <row r="677" spans="3:50" x14ac:dyDescent="0.2">
      <c r="C677" s="228"/>
      <c r="D677" s="228"/>
      <c r="E677" s="228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  <c r="AC677" s="237"/>
      <c r="AD677" s="237"/>
      <c r="AE677" s="237"/>
      <c r="AF677" s="237"/>
      <c r="AG677" s="237"/>
      <c r="AH677" s="237"/>
      <c r="AI677" s="237"/>
      <c r="AJ677" s="237"/>
      <c r="AK677" s="237"/>
      <c r="AL677" s="237"/>
      <c r="AM677" s="237"/>
      <c r="AN677" s="237"/>
      <c r="AO677" s="237"/>
      <c r="AP677" s="237"/>
      <c r="AQ677" s="237"/>
      <c r="AR677" s="237"/>
      <c r="AS677" s="237"/>
      <c r="AT677" s="237"/>
      <c r="AU677" s="237"/>
      <c r="AV677" s="237"/>
      <c r="AW677" s="237"/>
      <c r="AX677" s="237"/>
    </row>
    <row r="678" spans="3:50" x14ac:dyDescent="0.2">
      <c r="C678" s="228"/>
      <c r="D678" s="228"/>
      <c r="E678" s="228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  <c r="AC678" s="237"/>
      <c r="AD678" s="237"/>
      <c r="AE678" s="237"/>
      <c r="AF678" s="237"/>
      <c r="AG678" s="237"/>
      <c r="AH678" s="237"/>
      <c r="AI678" s="237"/>
      <c r="AJ678" s="237"/>
      <c r="AK678" s="237"/>
      <c r="AL678" s="237"/>
      <c r="AM678" s="237"/>
      <c r="AN678" s="237"/>
      <c r="AO678" s="237"/>
      <c r="AP678" s="237"/>
      <c r="AQ678" s="237"/>
      <c r="AR678" s="237"/>
      <c r="AS678" s="237"/>
      <c r="AT678" s="237"/>
      <c r="AU678" s="237"/>
      <c r="AV678" s="237"/>
      <c r="AW678" s="237"/>
      <c r="AX678" s="237"/>
    </row>
    <row r="679" spans="3:50" x14ac:dyDescent="0.2">
      <c r="C679" s="228"/>
      <c r="D679" s="228"/>
      <c r="E679" s="228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237"/>
      <c r="AF679" s="237"/>
      <c r="AG679" s="237"/>
      <c r="AH679" s="237"/>
      <c r="AI679" s="237"/>
      <c r="AJ679" s="237"/>
      <c r="AK679" s="237"/>
      <c r="AL679" s="237"/>
      <c r="AM679" s="237"/>
      <c r="AN679" s="237"/>
      <c r="AO679" s="237"/>
      <c r="AP679" s="237"/>
      <c r="AQ679" s="237"/>
      <c r="AR679" s="237"/>
      <c r="AS679" s="237"/>
      <c r="AT679" s="237"/>
      <c r="AU679" s="237"/>
      <c r="AV679" s="237"/>
      <c r="AW679" s="237"/>
      <c r="AX679" s="237"/>
    </row>
    <row r="680" spans="3:50" x14ac:dyDescent="0.2">
      <c r="C680" s="228"/>
      <c r="D680" s="228"/>
      <c r="E680" s="228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  <c r="AC680" s="237"/>
      <c r="AD680" s="237"/>
      <c r="AE680" s="237"/>
      <c r="AF680" s="237"/>
      <c r="AG680" s="237"/>
      <c r="AH680" s="237"/>
      <c r="AI680" s="237"/>
      <c r="AJ680" s="237"/>
      <c r="AK680" s="237"/>
      <c r="AL680" s="237"/>
      <c r="AM680" s="237"/>
      <c r="AN680" s="237"/>
      <c r="AO680" s="237"/>
      <c r="AP680" s="237"/>
      <c r="AQ680" s="237"/>
      <c r="AR680" s="237"/>
      <c r="AS680" s="237"/>
      <c r="AT680" s="237"/>
      <c r="AU680" s="237"/>
      <c r="AV680" s="237"/>
      <c r="AW680" s="237"/>
      <c r="AX680" s="237"/>
    </row>
    <row r="681" spans="3:50" x14ac:dyDescent="0.2">
      <c r="C681" s="228"/>
      <c r="D681" s="228"/>
      <c r="E681" s="228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  <c r="AC681" s="237"/>
      <c r="AD681" s="237"/>
      <c r="AE681" s="237"/>
      <c r="AF681" s="237"/>
      <c r="AG681" s="237"/>
      <c r="AH681" s="237"/>
      <c r="AI681" s="237"/>
      <c r="AJ681" s="237"/>
      <c r="AK681" s="237"/>
      <c r="AL681" s="237"/>
      <c r="AM681" s="237"/>
      <c r="AN681" s="237"/>
      <c r="AO681" s="237"/>
      <c r="AP681" s="237"/>
      <c r="AQ681" s="237"/>
      <c r="AR681" s="237"/>
      <c r="AS681" s="237"/>
      <c r="AT681" s="237"/>
      <c r="AU681" s="237"/>
      <c r="AV681" s="237"/>
      <c r="AW681" s="237"/>
      <c r="AX681" s="237"/>
    </row>
    <row r="682" spans="3:50" x14ac:dyDescent="0.2">
      <c r="C682" s="228"/>
      <c r="D682" s="228"/>
      <c r="E682" s="228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  <c r="AC682" s="237"/>
      <c r="AD682" s="237"/>
      <c r="AE682" s="237"/>
      <c r="AF682" s="237"/>
      <c r="AG682" s="237"/>
      <c r="AH682" s="237"/>
      <c r="AI682" s="237"/>
      <c r="AJ682" s="237"/>
      <c r="AK682" s="237"/>
      <c r="AL682" s="237"/>
      <c r="AM682" s="237"/>
      <c r="AN682" s="237"/>
      <c r="AO682" s="237"/>
      <c r="AP682" s="237"/>
      <c r="AQ682" s="237"/>
      <c r="AR682" s="237"/>
      <c r="AS682" s="237"/>
      <c r="AT682" s="237"/>
      <c r="AU682" s="237"/>
      <c r="AV682" s="237"/>
      <c r="AW682" s="237"/>
      <c r="AX682" s="237"/>
    </row>
    <row r="683" spans="3:50" x14ac:dyDescent="0.2">
      <c r="C683" s="228"/>
      <c r="D683" s="228"/>
      <c r="E683" s="228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  <c r="AC683" s="237"/>
      <c r="AD683" s="237"/>
      <c r="AE683" s="237"/>
      <c r="AF683" s="237"/>
      <c r="AG683" s="237"/>
      <c r="AH683" s="237"/>
      <c r="AI683" s="237"/>
      <c r="AJ683" s="237"/>
      <c r="AK683" s="237"/>
      <c r="AL683" s="237"/>
      <c r="AM683" s="237"/>
      <c r="AN683" s="237"/>
      <c r="AO683" s="237"/>
      <c r="AP683" s="237"/>
      <c r="AQ683" s="237"/>
      <c r="AR683" s="237"/>
      <c r="AS683" s="237"/>
      <c r="AT683" s="237"/>
      <c r="AU683" s="237"/>
      <c r="AV683" s="237"/>
      <c r="AW683" s="237"/>
      <c r="AX683" s="237"/>
    </row>
    <row r="684" spans="3:50" x14ac:dyDescent="0.2">
      <c r="C684" s="228"/>
      <c r="D684" s="228"/>
      <c r="E684" s="228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  <c r="AC684" s="237"/>
      <c r="AD684" s="237"/>
      <c r="AE684" s="237"/>
      <c r="AF684" s="237"/>
      <c r="AG684" s="237"/>
      <c r="AH684" s="237"/>
      <c r="AI684" s="237"/>
      <c r="AJ684" s="237"/>
      <c r="AK684" s="237"/>
      <c r="AL684" s="237"/>
      <c r="AM684" s="237"/>
      <c r="AN684" s="237"/>
      <c r="AO684" s="237"/>
      <c r="AP684" s="237"/>
      <c r="AQ684" s="237"/>
      <c r="AR684" s="237"/>
      <c r="AS684" s="237"/>
      <c r="AT684" s="237"/>
      <c r="AU684" s="237"/>
      <c r="AV684" s="237"/>
      <c r="AW684" s="237"/>
      <c r="AX684" s="237"/>
    </row>
    <row r="685" spans="3:50" x14ac:dyDescent="0.2">
      <c r="C685" s="228"/>
      <c r="D685" s="228"/>
      <c r="E685" s="228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  <c r="AC685" s="237"/>
      <c r="AD685" s="237"/>
      <c r="AE685" s="237"/>
      <c r="AF685" s="237"/>
      <c r="AG685" s="237"/>
      <c r="AH685" s="237"/>
      <c r="AI685" s="237"/>
      <c r="AJ685" s="237"/>
      <c r="AK685" s="237"/>
      <c r="AL685" s="237"/>
      <c r="AM685" s="237"/>
      <c r="AN685" s="237"/>
      <c r="AO685" s="237"/>
      <c r="AP685" s="237"/>
      <c r="AQ685" s="237"/>
      <c r="AR685" s="237"/>
      <c r="AS685" s="237"/>
      <c r="AT685" s="237"/>
      <c r="AU685" s="237"/>
      <c r="AV685" s="237"/>
      <c r="AW685" s="237"/>
      <c r="AX685" s="237"/>
    </row>
    <row r="686" spans="3:50" x14ac:dyDescent="0.2">
      <c r="C686" s="228"/>
      <c r="D686" s="228"/>
      <c r="E686" s="228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  <c r="AC686" s="237"/>
      <c r="AD686" s="237"/>
      <c r="AE686" s="237"/>
      <c r="AF686" s="237"/>
      <c r="AG686" s="237"/>
      <c r="AH686" s="237"/>
      <c r="AI686" s="237"/>
      <c r="AJ686" s="237"/>
      <c r="AK686" s="237"/>
      <c r="AL686" s="237"/>
      <c r="AM686" s="237"/>
      <c r="AN686" s="237"/>
      <c r="AO686" s="237"/>
      <c r="AP686" s="237"/>
      <c r="AQ686" s="237"/>
      <c r="AR686" s="237"/>
      <c r="AS686" s="237"/>
      <c r="AT686" s="237"/>
      <c r="AU686" s="237"/>
      <c r="AV686" s="237"/>
      <c r="AW686" s="237"/>
      <c r="AX686" s="237"/>
    </row>
    <row r="687" spans="3:50" x14ac:dyDescent="0.2">
      <c r="C687" s="228"/>
      <c r="D687" s="228"/>
      <c r="E687" s="228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  <c r="AC687" s="237"/>
      <c r="AD687" s="237"/>
      <c r="AE687" s="237"/>
      <c r="AF687" s="237"/>
      <c r="AG687" s="237"/>
      <c r="AH687" s="237"/>
      <c r="AI687" s="237"/>
      <c r="AJ687" s="237"/>
      <c r="AK687" s="237"/>
      <c r="AL687" s="237"/>
      <c r="AM687" s="237"/>
      <c r="AN687" s="237"/>
      <c r="AO687" s="237"/>
      <c r="AP687" s="237"/>
      <c r="AQ687" s="237"/>
      <c r="AR687" s="237"/>
      <c r="AS687" s="237"/>
      <c r="AT687" s="237"/>
      <c r="AU687" s="237"/>
      <c r="AV687" s="237"/>
      <c r="AW687" s="237"/>
      <c r="AX687" s="237"/>
    </row>
    <row r="688" spans="3:50" x14ac:dyDescent="0.2">
      <c r="C688" s="228"/>
      <c r="D688" s="228"/>
      <c r="E688" s="228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  <c r="AC688" s="237"/>
      <c r="AD688" s="237"/>
      <c r="AE688" s="237"/>
      <c r="AF688" s="237"/>
      <c r="AG688" s="237"/>
      <c r="AH688" s="237"/>
      <c r="AI688" s="237"/>
      <c r="AJ688" s="237"/>
      <c r="AK688" s="237"/>
      <c r="AL688" s="237"/>
      <c r="AM688" s="237"/>
      <c r="AN688" s="237"/>
      <c r="AO688" s="237"/>
      <c r="AP688" s="237"/>
      <c r="AQ688" s="237"/>
      <c r="AR688" s="237"/>
      <c r="AS688" s="237"/>
      <c r="AT688" s="237"/>
      <c r="AU688" s="237"/>
      <c r="AV688" s="237"/>
      <c r="AW688" s="237"/>
      <c r="AX688" s="237"/>
    </row>
    <row r="689" spans="3:50" x14ac:dyDescent="0.2">
      <c r="C689" s="228"/>
      <c r="D689" s="228"/>
      <c r="E689" s="228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  <c r="AC689" s="237"/>
      <c r="AD689" s="237"/>
      <c r="AE689" s="237"/>
      <c r="AF689" s="237"/>
      <c r="AG689" s="237"/>
      <c r="AH689" s="237"/>
      <c r="AI689" s="237"/>
      <c r="AJ689" s="237"/>
      <c r="AK689" s="237"/>
      <c r="AL689" s="237"/>
      <c r="AM689" s="237"/>
      <c r="AN689" s="237"/>
      <c r="AO689" s="237"/>
      <c r="AP689" s="237"/>
      <c r="AQ689" s="237"/>
      <c r="AR689" s="237"/>
      <c r="AS689" s="237"/>
      <c r="AT689" s="237"/>
      <c r="AU689" s="237"/>
      <c r="AV689" s="237"/>
      <c r="AW689" s="237"/>
      <c r="AX689" s="237"/>
    </row>
    <row r="690" spans="3:50" x14ac:dyDescent="0.2">
      <c r="C690" s="228"/>
      <c r="D690" s="228"/>
      <c r="E690" s="228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  <c r="AC690" s="237"/>
      <c r="AD690" s="237"/>
      <c r="AE690" s="237"/>
      <c r="AF690" s="237"/>
      <c r="AG690" s="237"/>
      <c r="AH690" s="237"/>
      <c r="AI690" s="237"/>
      <c r="AJ690" s="237"/>
      <c r="AK690" s="237"/>
      <c r="AL690" s="237"/>
      <c r="AM690" s="237"/>
      <c r="AN690" s="237"/>
      <c r="AO690" s="237"/>
      <c r="AP690" s="237"/>
      <c r="AQ690" s="237"/>
      <c r="AR690" s="237"/>
      <c r="AS690" s="237"/>
      <c r="AT690" s="237"/>
      <c r="AU690" s="237"/>
      <c r="AV690" s="237"/>
      <c r="AW690" s="237"/>
      <c r="AX690" s="237"/>
    </row>
    <row r="691" spans="3:50" x14ac:dyDescent="0.2">
      <c r="C691" s="228"/>
      <c r="D691" s="228"/>
      <c r="E691" s="228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  <c r="AC691" s="237"/>
      <c r="AD691" s="237"/>
      <c r="AE691" s="237"/>
      <c r="AF691" s="237"/>
      <c r="AG691" s="237"/>
      <c r="AH691" s="237"/>
      <c r="AI691" s="237"/>
      <c r="AJ691" s="237"/>
      <c r="AK691" s="237"/>
      <c r="AL691" s="237"/>
      <c r="AM691" s="237"/>
      <c r="AN691" s="237"/>
      <c r="AO691" s="237"/>
      <c r="AP691" s="237"/>
      <c r="AQ691" s="237"/>
      <c r="AR691" s="237"/>
      <c r="AS691" s="237"/>
      <c r="AT691" s="237"/>
      <c r="AU691" s="237"/>
      <c r="AV691" s="237"/>
      <c r="AW691" s="237"/>
      <c r="AX691" s="237"/>
    </row>
    <row r="692" spans="3:50" x14ac:dyDescent="0.2">
      <c r="C692" s="228"/>
      <c r="D692" s="228"/>
      <c r="E692" s="228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  <c r="AC692" s="237"/>
      <c r="AD692" s="237"/>
      <c r="AE692" s="237"/>
      <c r="AF692" s="237"/>
      <c r="AG692" s="237"/>
      <c r="AH692" s="237"/>
      <c r="AI692" s="237"/>
      <c r="AJ692" s="237"/>
      <c r="AK692" s="237"/>
      <c r="AL692" s="237"/>
      <c r="AM692" s="237"/>
      <c r="AN692" s="237"/>
      <c r="AO692" s="237"/>
      <c r="AP692" s="237"/>
      <c r="AQ692" s="237"/>
      <c r="AR692" s="237"/>
      <c r="AS692" s="237"/>
      <c r="AT692" s="237"/>
      <c r="AU692" s="237"/>
      <c r="AV692" s="237"/>
      <c r="AW692" s="237"/>
      <c r="AX692" s="237"/>
    </row>
    <row r="693" spans="3:50" x14ac:dyDescent="0.2">
      <c r="C693" s="228"/>
      <c r="D693" s="228"/>
      <c r="E693" s="228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  <c r="AC693" s="237"/>
      <c r="AD693" s="237"/>
      <c r="AE693" s="237"/>
      <c r="AF693" s="237"/>
      <c r="AG693" s="237"/>
      <c r="AH693" s="237"/>
      <c r="AI693" s="237"/>
      <c r="AJ693" s="237"/>
      <c r="AK693" s="237"/>
      <c r="AL693" s="237"/>
      <c r="AM693" s="237"/>
      <c r="AN693" s="237"/>
      <c r="AO693" s="237"/>
      <c r="AP693" s="237"/>
      <c r="AQ693" s="237"/>
      <c r="AR693" s="237"/>
      <c r="AS693" s="237"/>
      <c r="AT693" s="237"/>
      <c r="AU693" s="237"/>
      <c r="AV693" s="237"/>
      <c r="AW693" s="237"/>
      <c r="AX693" s="237"/>
    </row>
    <row r="694" spans="3:50" x14ac:dyDescent="0.2">
      <c r="C694" s="228"/>
      <c r="D694" s="228"/>
      <c r="E694" s="228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  <c r="AC694" s="237"/>
      <c r="AD694" s="237"/>
      <c r="AE694" s="237"/>
      <c r="AF694" s="237"/>
      <c r="AG694" s="237"/>
      <c r="AH694" s="237"/>
      <c r="AI694" s="237"/>
      <c r="AJ694" s="237"/>
      <c r="AK694" s="237"/>
      <c r="AL694" s="237"/>
      <c r="AM694" s="237"/>
      <c r="AN694" s="237"/>
      <c r="AO694" s="237"/>
      <c r="AP694" s="237"/>
      <c r="AQ694" s="237"/>
      <c r="AR694" s="237"/>
      <c r="AS694" s="237"/>
      <c r="AT694" s="237"/>
      <c r="AU694" s="237"/>
      <c r="AV694" s="237"/>
      <c r="AW694" s="237"/>
      <c r="AX694" s="237"/>
    </row>
    <row r="695" spans="3:50" x14ac:dyDescent="0.2">
      <c r="C695" s="228"/>
      <c r="D695" s="228"/>
      <c r="E695" s="228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7"/>
      <c r="AM695" s="237"/>
      <c r="AN695" s="237"/>
      <c r="AO695" s="237"/>
      <c r="AP695" s="237"/>
      <c r="AQ695" s="237"/>
      <c r="AR695" s="237"/>
      <c r="AS695" s="237"/>
      <c r="AT695" s="237"/>
      <c r="AU695" s="237"/>
      <c r="AV695" s="237"/>
      <c r="AW695" s="237"/>
      <c r="AX695" s="237"/>
    </row>
    <row r="696" spans="3:50" x14ac:dyDescent="0.2">
      <c r="C696" s="228"/>
      <c r="D696" s="228"/>
      <c r="E696" s="228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  <c r="AC696" s="237"/>
      <c r="AD696" s="237"/>
      <c r="AE696" s="237"/>
      <c r="AF696" s="237"/>
      <c r="AG696" s="237"/>
      <c r="AH696" s="237"/>
      <c r="AI696" s="237"/>
      <c r="AJ696" s="237"/>
      <c r="AK696" s="237"/>
      <c r="AL696" s="237"/>
      <c r="AM696" s="237"/>
      <c r="AN696" s="237"/>
      <c r="AO696" s="237"/>
      <c r="AP696" s="237"/>
      <c r="AQ696" s="237"/>
      <c r="AR696" s="237"/>
      <c r="AS696" s="237"/>
      <c r="AT696" s="237"/>
      <c r="AU696" s="237"/>
      <c r="AV696" s="237"/>
      <c r="AW696" s="237"/>
      <c r="AX696" s="237"/>
    </row>
    <row r="697" spans="3:50" x14ac:dyDescent="0.2">
      <c r="C697" s="228"/>
      <c r="D697" s="228"/>
      <c r="E697" s="228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  <c r="AC697" s="237"/>
      <c r="AD697" s="237"/>
      <c r="AE697" s="237"/>
      <c r="AF697" s="237"/>
      <c r="AG697" s="237"/>
      <c r="AH697" s="237"/>
      <c r="AI697" s="237"/>
      <c r="AJ697" s="237"/>
      <c r="AK697" s="237"/>
      <c r="AL697" s="237"/>
      <c r="AM697" s="237"/>
      <c r="AN697" s="237"/>
      <c r="AO697" s="237"/>
      <c r="AP697" s="237"/>
      <c r="AQ697" s="237"/>
      <c r="AR697" s="237"/>
      <c r="AS697" s="237"/>
      <c r="AT697" s="237"/>
      <c r="AU697" s="237"/>
      <c r="AV697" s="237"/>
      <c r="AW697" s="237"/>
      <c r="AX697" s="237"/>
    </row>
    <row r="698" spans="3:50" x14ac:dyDescent="0.2">
      <c r="C698" s="228"/>
      <c r="D698" s="228"/>
      <c r="E698" s="228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  <c r="AC698" s="237"/>
      <c r="AD698" s="237"/>
      <c r="AE698" s="237"/>
      <c r="AF698" s="237"/>
      <c r="AG698" s="237"/>
      <c r="AH698" s="237"/>
      <c r="AI698" s="237"/>
      <c r="AJ698" s="237"/>
      <c r="AK698" s="237"/>
      <c r="AL698" s="237"/>
      <c r="AM698" s="237"/>
      <c r="AN698" s="237"/>
      <c r="AO698" s="237"/>
      <c r="AP698" s="237"/>
      <c r="AQ698" s="237"/>
      <c r="AR698" s="237"/>
      <c r="AS698" s="237"/>
      <c r="AT698" s="237"/>
      <c r="AU698" s="237"/>
      <c r="AV698" s="237"/>
      <c r="AW698" s="237"/>
      <c r="AX698" s="237"/>
    </row>
    <row r="699" spans="3:50" x14ac:dyDescent="0.2">
      <c r="C699" s="228"/>
      <c r="D699" s="228"/>
      <c r="E699" s="228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  <c r="AC699" s="237"/>
      <c r="AD699" s="237"/>
      <c r="AE699" s="237"/>
      <c r="AF699" s="237"/>
      <c r="AG699" s="237"/>
      <c r="AH699" s="237"/>
      <c r="AI699" s="237"/>
      <c r="AJ699" s="237"/>
      <c r="AK699" s="237"/>
      <c r="AL699" s="237"/>
      <c r="AM699" s="237"/>
      <c r="AN699" s="237"/>
      <c r="AO699" s="237"/>
      <c r="AP699" s="237"/>
      <c r="AQ699" s="237"/>
      <c r="AR699" s="237"/>
      <c r="AS699" s="237"/>
      <c r="AT699" s="237"/>
      <c r="AU699" s="237"/>
      <c r="AV699" s="237"/>
      <c r="AW699" s="237"/>
      <c r="AX699" s="237"/>
    </row>
    <row r="700" spans="3:50" x14ac:dyDescent="0.2">
      <c r="C700" s="228"/>
      <c r="D700" s="228"/>
      <c r="E700" s="228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  <c r="AC700" s="237"/>
      <c r="AD700" s="237"/>
      <c r="AE700" s="237"/>
      <c r="AF700" s="237"/>
      <c r="AG700" s="237"/>
      <c r="AH700" s="237"/>
      <c r="AI700" s="237"/>
      <c r="AJ700" s="237"/>
      <c r="AK700" s="237"/>
      <c r="AL700" s="237"/>
      <c r="AM700" s="237"/>
      <c r="AN700" s="237"/>
      <c r="AO700" s="237"/>
      <c r="AP700" s="237"/>
      <c r="AQ700" s="237"/>
      <c r="AR700" s="237"/>
      <c r="AS700" s="237"/>
      <c r="AT700" s="237"/>
      <c r="AU700" s="237"/>
      <c r="AV700" s="237"/>
      <c r="AW700" s="237"/>
      <c r="AX700" s="237"/>
    </row>
    <row r="701" spans="3:50" x14ac:dyDescent="0.2">
      <c r="C701" s="228"/>
      <c r="D701" s="228"/>
      <c r="E701" s="228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  <c r="AF701" s="237"/>
      <c r="AG701" s="237"/>
      <c r="AH701" s="237"/>
      <c r="AI701" s="237"/>
      <c r="AJ701" s="237"/>
      <c r="AK701" s="237"/>
      <c r="AL701" s="237"/>
      <c r="AM701" s="237"/>
      <c r="AN701" s="237"/>
      <c r="AO701" s="237"/>
      <c r="AP701" s="237"/>
      <c r="AQ701" s="237"/>
      <c r="AR701" s="237"/>
      <c r="AS701" s="237"/>
      <c r="AT701" s="237"/>
      <c r="AU701" s="237"/>
      <c r="AV701" s="237"/>
      <c r="AW701" s="237"/>
      <c r="AX701" s="237"/>
    </row>
    <row r="702" spans="3:50" x14ac:dyDescent="0.2">
      <c r="C702" s="228"/>
      <c r="D702" s="228"/>
      <c r="E702" s="228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  <c r="AC702" s="237"/>
      <c r="AD702" s="237"/>
      <c r="AE702" s="237"/>
      <c r="AF702" s="237"/>
      <c r="AG702" s="237"/>
      <c r="AH702" s="237"/>
      <c r="AI702" s="237"/>
      <c r="AJ702" s="237"/>
      <c r="AK702" s="237"/>
      <c r="AL702" s="237"/>
      <c r="AM702" s="237"/>
      <c r="AN702" s="237"/>
      <c r="AO702" s="237"/>
      <c r="AP702" s="237"/>
      <c r="AQ702" s="237"/>
      <c r="AR702" s="237"/>
      <c r="AS702" s="237"/>
      <c r="AT702" s="237"/>
      <c r="AU702" s="237"/>
      <c r="AV702" s="237"/>
      <c r="AW702" s="237"/>
      <c r="AX702" s="237"/>
    </row>
    <row r="703" spans="3:50" x14ac:dyDescent="0.2">
      <c r="C703" s="228"/>
      <c r="D703" s="228"/>
      <c r="E703" s="228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  <c r="AC703" s="237"/>
      <c r="AD703" s="237"/>
      <c r="AE703" s="237"/>
      <c r="AF703" s="237"/>
      <c r="AG703" s="237"/>
      <c r="AH703" s="237"/>
      <c r="AI703" s="237"/>
      <c r="AJ703" s="237"/>
      <c r="AK703" s="237"/>
      <c r="AL703" s="237"/>
      <c r="AM703" s="237"/>
      <c r="AN703" s="237"/>
      <c r="AO703" s="237"/>
      <c r="AP703" s="237"/>
      <c r="AQ703" s="237"/>
      <c r="AR703" s="237"/>
      <c r="AS703" s="237"/>
      <c r="AT703" s="237"/>
      <c r="AU703" s="237"/>
      <c r="AV703" s="237"/>
      <c r="AW703" s="237"/>
      <c r="AX703" s="237"/>
    </row>
    <row r="704" spans="3:50" x14ac:dyDescent="0.2">
      <c r="C704" s="228"/>
      <c r="D704" s="228"/>
      <c r="E704" s="228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  <c r="AC704" s="237"/>
      <c r="AD704" s="237"/>
      <c r="AE704" s="237"/>
      <c r="AF704" s="237"/>
      <c r="AG704" s="237"/>
      <c r="AH704" s="237"/>
      <c r="AI704" s="237"/>
      <c r="AJ704" s="237"/>
      <c r="AK704" s="237"/>
      <c r="AL704" s="237"/>
      <c r="AM704" s="237"/>
      <c r="AN704" s="237"/>
      <c r="AO704" s="237"/>
      <c r="AP704" s="237"/>
      <c r="AQ704" s="237"/>
      <c r="AR704" s="237"/>
      <c r="AS704" s="237"/>
      <c r="AT704" s="237"/>
      <c r="AU704" s="237"/>
      <c r="AV704" s="237"/>
      <c r="AW704" s="237"/>
      <c r="AX704" s="237"/>
    </row>
    <row r="705" spans="3:50" x14ac:dyDescent="0.2">
      <c r="C705" s="228"/>
      <c r="D705" s="228"/>
      <c r="E705" s="228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  <c r="AC705" s="237"/>
      <c r="AD705" s="237"/>
      <c r="AE705" s="237"/>
      <c r="AF705" s="237"/>
      <c r="AG705" s="237"/>
      <c r="AH705" s="237"/>
      <c r="AI705" s="237"/>
      <c r="AJ705" s="237"/>
      <c r="AK705" s="237"/>
      <c r="AL705" s="237"/>
      <c r="AM705" s="237"/>
      <c r="AN705" s="237"/>
      <c r="AO705" s="237"/>
      <c r="AP705" s="237"/>
      <c r="AQ705" s="237"/>
      <c r="AR705" s="237"/>
      <c r="AS705" s="237"/>
      <c r="AT705" s="237"/>
      <c r="AU705" s="237"/>
      <c r="AV705" s="237"/>
      <c r="AW705" s="237"/>
      <c r="AX705" s="237"/>
    </row>
    <row r="706" spans="3:50" x14ac:dyDescent="0.2">
      <c r="C706" s="228"/>
      <c r="D706" s="228"/>
      <c r="E706" s="228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  <c r="AC706" s="237"/>
      <c r="AD706" s="237"/>
      <c r="AE706" s="237"/>
      <c r="AF706" s="237"/>
      <c r="AG706" s="237"/>
      <c r="AH706" s="237"/>
      <c r="AI706" s="237"/>
      <c r="AJ706" s="237"/>
      <c r="AK706" s="237"/>
      <c r="AL706" s="237"/>
      <c r="AM706" s="237"/>
      <c r="AN706" s="237"/>
      <c r="AO706" s="237"/>
      <c r="AP706" s="237"/>
      <c r="AQ706" s="237"/>
      <c r="AR706" s="237"/>
      <c r="AS706" s="237"/>
      <c r="AT706" s="237"/>
      <c r="AU706" s="237"/>
      <c r="AV706" s="237"/>
      <c r="AW706" s="237"/>
      <c r="AX706" s="237"/>
    </row>
    <row r="707" spans="3:50" x14ac:dyDescent="0.2">
      <c r="C707" s="228"/>
      <c r="D707" s="228"/>
      <c r="E707" s="228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  <c r="AC707" s="237"/>
      <c r="AD707" s="237"/>
      <c r="AE707" s="237"/>
      <c r="AF707" s="237"/>
      <c r="AG707" s="237"/>
      <c r="AH707" s="237"/>
      <c r="AI707" s="237"/>
      <c r="AJ707" s="237"/>
      <c r="AK707" s="237"/>
      <c r="AL707" s="237"/>
      <c r="AM707" s="237"/>
      <c r="AN707" s="237"/>
      <c r="AO707" s="237"/>
      <c r="AP707" s="237"/>
      <c r="AQ707" s="237"/>
      <c r="AR707" s="237"/>
      <c r="AS707" s="237"/>
      <c r="AT707" s="237"/>
      <c r="AU707" s="237"/>
      <c r="AV707" s="237"/>
      <c r="AW707" s="237"/>
      <c r="AX707" s="237"/>
    </row>
    <row r="708" spans="3:50" x14ac:dyDescent="0.2">
      <c r="C708" s="228"/>
      <c r="D708" s="228"/>
      <c r="E708" s="228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  <c r="AC708" s="237"/>
      <c r="AD708" s="237"/>
      <c r="AE708" s="237"/>
      <c r="AF708" s="237"/>
      <c r="AG708" s="237"/>
      <c r="AH708" s="237"/>
      <c r="AI708" s="237"/>
      <c r="AJ708" s="237"/>
      <c r="AK708" s="237"/>
      <c r="AL708" s="237"/>
      <c r="AM708" s="237"/>
      <c r="AN708" s="237"/>
      <c r="AO708" s="237"/>
      <c r="AP708" s="237"/>
      <c r="AQ708" s="237"/>
      <c r="AR708" s="237"/>
      <c r="AS708" s="237"/>
      <c r="AT708" s="237"/>
      <c r="AU708" s="237"/>
      <c r="AV708" s="237"/>
      <c r="AW708" s="237"/>
      <c r="AX708" s="237"/>
    </row>
    <row r="709" spans="3:50" x14ac:dyDescent="0.2">
      <c r="C709" s="228"/>
      <c r="D709" s="228"/>
      <c r="E709" s="228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  <c r="AC709" s="237"/>
      <c r="AD709" s="237"/>
      <c r="AE709" s="237"/>
      <c r="AF709" s="237"/>
      <c r="AG709" s="237"/>
      <c r="AH709" s="237"/>
      <c r="AI709" s="237"/>
      <c r="AJ709" s="237"/>
      <c r="AK709" s="237"/>
      <c r="AL709" s="237"/>
      <c r="AM709" s="237"/>
      <c r="AN709" s="237"/>
      <c r="AO709" s="237"/>
      <c r="AP709" s="237"/>
      <c r="AQ709" s="237"/>
      <c r="AR709" s="237"/>
      <c r="AS709" s="237"/>
      <c r="AT709" s="237"/>
      <c r="AU709" s="237"/>
      <c r="AV709" s="237"/>
      <c r="AW709" s="237"/>
      <c r="AX709" s="237"/>
    </row>
    <row r="710" spans="3:50" x14ac:dyDescent="0.2">
      <c r="C710" s="228"/>
      <c r="D710" s="228"/>
      <c r="E710" s="228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  <c r="AC710" s="237"/>
      <c r="AD710" s="237"/>
      <c r="AE710" s="237"/>
      <c r="AF710" s="237"/>
      <c r="AG710" s="237"/>
      <c r="AH710" s="237"/>
      <c r="AI710" s="237"/>
      <c r="AJ710" s="237"/>
      <c r="AK710" s="237"/>
      <c r="AL710" s="237"/>
      <c r="AM710" s="237"/>
      <c r="AN710" s="237"/>
      <c r="AO710" s="237"/>
      <c r="AP710" s="237"/>
      <c r="AQ710" s="237"/>
      <c r="AR710" s="237"/>
      <c r="AS710" s="237"/>
      <c r="AT710" s="237"/>
      <c r="AU710" s="237"/>
      <c r="AV710" s="237"/>
      <c r="AW710" s="237"/>
      <c r="AX710" s="237"/>
    </row>
    <row r="711" spans="3:50" x14ac:dyDescent="0.2">
      <c r="C711" s="228"/>
      <c r="D711" s="228"/>
      <c r="E711" s="228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  <c r="AC711" s="237"/>
      <c r="AD711" s="237"/>
      <c r="AE711" s="237"/>
      <c r="AF711" s="237"/>
      <c r="AG711" s="237"/>
      <c r="AH711" s="237"/>
      <c r="AI711" s="237"/>
      <c r="AJ711" s="237"/>
      <c r="AK711" s="237"/>
      <c r="AL711" s="237"/>
      <c r="AM711" s="237"/>
      <c r="AN711" s="237"/>
      <c r="AO711" s="237"/>
      <c r="AP711" s="237"/>
      <c r="AQ711" s="237"/>
      <c r="AR711" s="237"/>
      <c r="AS711" s="237"/>
      <c r="AT711" s="237"/>
      <c r="AU711" s="237"/>
      <c r="AV711" s="237"/>
      <c r="AW711" s="237"/>
      <c r="AX711" s="237"/>
    </row>
    <row r="712" spans="3:50" x14ac:dyDescent="0.2">
      <c r="C712" s="228"/>
      <c r="D712" s="228"/>
      <c r="E712" s="228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  <c r="AC712" s="237"/>
      <c r="AD712" s="237"/>
      <c r="AE712" s="237"/>
      <c r="AF712" s="237"/>
      <c r="AG712" s="237"/>
      <c r="AH712" s="237"/>
      <c r="AI712" s="237"/>
      <c r="AJ712" s="237"/>
      <c r="AK712" s="237"/>
      <c r="AL712" s="237"/>
      <c r="AM712" s="237"/>
      <c r="AN712" s="237"/>
      <c r="AO712" s="237"/>
      <c r="AP712" s="237"/>
      <c r="AQ712" s="237"/>
      <c r="AR712" s="237"/>
      <c r="AS712" s="237"/>
      <c r="AT712" s="237"/>
      <c r="AU712" s="237"/>
      <c r="AV712" s="237"/>
      <c r="AW712" s="237"/>
      <c r="AX712" s="237"/>
    </row>
    <row r="713" spans="3:50" x14ac:dyDescent="0.2">
      <c r="C713" s="228"/>
      <c r="D713" s="228"/>
      <c r="E713" s="228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  <c r="AC713" s="237"/>
      <c r="AD713" s="237"/>
      <c r="AE713" s="237"/>
      <c r="AF713" s="237"/>
      <c r="AG713" s="237"/>
      <c r="AH713" s="237"/>
      <c r="AI713" s="237"/>
      <c r="AJ713" s="237"/>
      <c r="AK713" s="237"/>
      <c r="AL713" s="237"/>
      <c r="AM713" s="237"/>
      <c r="AN713" s="237"/>
      <c r="AO713" s="237"/>
      <c r="AP713" s="237"/>
      <c r="AQ713" s="237"/>
      <c r="AR713" s="237"/>
      <c r="AS713" s="237"/>
      <c r="AT713" s="237"/>
      <c r="AU713" s="237"/>
      <c r="AV713" s="237"/>
      <c r="AW713" s="237"/>
      <c r="AX713" s="237"/>
    </row>
    <row r="714" spans="3:50" x14ac:dyDescent="0.2">
      <c r="C714" s="228"/>
      <c r="D714" s="228"/>
      <c r="E714" s="228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  <c r="AF714" s="237"/>
      <c r="AG714" s="237"/>
      <c r="AH714" s="237"/>
      <c r="AI714" s="237"/>
      <c r="AJ714" s="237"/>
      <c r="AK714" s="237"/>
      <c r="AL714" s="237"/>
      <c r="AM714" s="237"/>
      <c r="AN714" s="237"/>
      <c r="AO714" s="237"/>
      <c r="AP714" s="237"/>
      <c r="AQ714" s="237"/>
      <c r="AR714" s="237"/>
      <c r="AS714" s="237"/>
      <c r="AT714" s="237"/>
      <c r="AU714" s="237"/>
      <c r="AV714" s="237"/>
      <c r="AW714" s="237"/>
      <c r="AX714" s="237"/>
    </row>
    <row r="715" spans="3:50" x14ac:dyDescent="0.2">
      <c r="C715" s="228"/>
      <c r="D715" s="228"/>
      <c r="E715" s="228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  <c r="AC715" s="237"/>
      <c r="AD715" s="237"/>
      <c r="AE715" s="237"/>
      <c r="AF715" s="237"/>
      <c r="AG715" s="237"/>
      <c r="AH715" s="237"/>
      <c r="AI715" s="237"/>
      <c r="AJ715" s="237"/>
      <c r="AK715" s="237"/>
      <c r="AL715" s="237"/>
      <c r="AM715" s="237"/>
      <c r="AN715" s="237"/>
      <c r="AO715" s="237"/>
      <c r="AP715" s="237"/>
      <c r="AQ715" s="237"/>
      <c r="AR715" s="237"/>
      <c r="AS715" s="237"/>
      <c r="AT715" s="237"/>
      <c r="AU715" s="237"/>
      <c r="AV715" s="237"/>
      <c r="AW715" s="237"/>
      <c r="AX715" s="237"/>
    </row>
    <row r="716" spans="3:50" x14ac:dyDescent="0.2">
      <c r="C716" s="228"/>
      <c r="D716" s="228"/>
      <c r="E716" s="228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  <c r="AC716" s="237"/>
      <c r="AD716" s="237"/>
      <c r="AE716" s="237"/>
      <c r="AF716" s="237"/>
      <c r="AG716" s="237"/>
      <c r="AH716" s="237"/>
      <c r="AI716" s="237"/>
      <c r="AJ716" s="237"/>
      <c r="AK716" s="237"/>
      <c r="AL716" s="237"/>
      <c r="AM716" s="237"/>
      <c r="AN716" s="237"/>
      <c r="AO716" s="237"/>
      <c r="AP716" s="237"/>
      <c r="AQ716" s="237"/>
      <c r="AR716" s="237"/>
      <c r="AS716" s="237"/>
      <c r="AT716" s="237"/>
      <c r="AU716" s="237"/>
      <c r="AV716" s="237"/>
      <c r="AW716" s="237"/>
      <c r="AX716" s="237"/>
    </row>
    <row r="717" spans="3:50" x14ac:dyDescent="0.2">
      <c r="C717" s="228"/>
      <c r="D717" s="228"/>
      <c r="E717" s="228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  <c r="AC717" s="237"/>
      <c r="AD717" s="237"/>
      <c r="AE717" s="237"/>
      <c r="AF717" s="237"/>
      <c r="AG717" s="237"/>
      <c r="AH717" s="237"/>
      <c r="AI717" s="237"/>
      <c r="AJ717" s="237"/>
      <c r="AK717" s="237"/>
      <c r="AL717" s="237"/>
      <c r="AM717" s="237"/>
      <c r="AN717" s="237"/>
      <c r="AO717" s="237"/>
      <c r="AP717" s="237"/>
      <c r="AQ717" s="237"/>
      <c r="AR717" s="237"/>
      <c r="AS717" s="237"/>
      <c r="AT717" s="237"/>
      <c r="AU717" s="237"/>
      <c r="AV717" s="237"/>
      <c r="AW717" s="237"/>
      <c r="AX717" s="237"/>
    </row>
    <row r="718" spans="3:50" x14ac:dyDescent="0.2">
      <c r="C718" s="228"/>
      <c r="D718" s="228"/>
      <c r="E718" s="228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  <c r="AA718" s="237"/>
      <c r="AB718" s="237"/>
      <c r="AC718" s="237"/>
      <c r="AD718" s="237"/>
      <c r="AE718" s="237"/>
      <c r="AF718" s="237"/>
      <c r="AG718" s="237"/>
      <c r="AH718" s="237"/>
      <c r="AI718" s="237"/>
      <c r="AJ718" s="237"/>
      <c r="AK718" s="237"/>
      <c r="AL718" s="237"/>
      <c r="AM718" s="237"/>
      <c r="AN718" s="237"/>
      <c r="AO718" s="237"/>
      <c r="AP718" s="237"/>
      <c r="AQ718" s="237"/>
      <c r="AR718" s="237"/>
      <c r="AS718" s="237"/>
      <c r="AT718" s="237"/>
      <c r="AU718" s="237"/>
      <c r="AV718" s="237"/>
      <c r="AW718" s="237"/>
      <c r="AX718" s="237"/>
    </row>
    <row r="719" spans="3:50" x14ac:dyDescent="0.2">
      <c r="C719" s="228"/>
      <c r="D719" s="228"/>
      <c r="E719" s="228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  <c r="AA719" s="237"/>
      <c r="AB719" s="237"/>
      <c r="AC719" s="237"/>
      <c r="AD719" s="237"/>
      <c r="AE719" s="237"/>
      <c r="AF719" s="237"/>
      <c r="AG719" s="237"/>
      <c r="AH719" s="237"/>
      <c r="AI719" s="237"/>
      <c r="AJ719" s="237"/>
      <c r="AK719" s="237"/>
      <c r="AL719" s="237"/>
      <c r="AM719" s="237"/>
      <c r="AN719" s="237"/>
      <c r="AO719" s="237"/>
      <c r="AP719" s="237"/>
      <c r="AQ719" s="237"/>
      <c r="AR719" s="237"/>
      <c r="AS719" s="237"/>
      <c r="AT719" s="237"/>
      <c r="AU719" s="237"/>
      <c r="AV719" s="237"/>
      <c r="AW719" s="237"/>
      <c r="AX719" s="237"/>
    </row>
    <row r="720" spans="3:50" x14ac:dyDescent="0.2">
      <c r="C720" s="228"/>
      <c r="D720" s="228"/>
      <c r="E720" s="228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  <c r="AA720" s="237"/>
      <c r="AB720" s="237"/>
      <c r="AC720" s="237"/>
      <c r="AD720" s="237"/>
      <c r="AE720" s="237"/>
      <c r="AF720" s="237"/>
      <c r="AG720" s="237"/>
      <c r="AH720" s="237"/>
      <c r="AI720" s="237"/>
      <c r="AJ720" s="237"/>
      <c r="AK720" s="237"/>
      <c r="AL720" s="237"/>
      <c r="AM720" s="237"/>
      <c r="AN720" s="237"/>
      <c r="AO720" s="237"/>
      <c r="AP720" s="237"/>
      <c r="AQ720" s="237"/>
      <c r="AR720" s="237"/>
      <c r="AS720" s="237"/>
      <c r="AT720" s="237"/>
      <c r="AU720" s="237"/>
      <c r="AV720" s="237"/>
      <c r="AW720" s="237"/>
      <c r="AX720" s="237"/>
    </row>
    <row r="721" spans="3:50" x14ac:dyDescent="0.2">
      <c r="C721" s="228"/>
      <c r="D721" s="228"/>
      <c r="E721" s="228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  <c r="AA721" s="237"/>
      <c r="AB721" s="237"/>
      <c r="AC721" s="237"/>
      <c r="AD721" s="237"/>
      <c r="AE721" s="237"/>
      <c r="AF721" s="237"/>
      <c r="AG721" s="237"/>
      <c r="AH721" s="237"/>
      <c r="AI721" s="237"/>
      <c r="AJ721" s="237"/>
      <c r="AK721" s="237"/>
      <c r="AL721" s="237"/>
      <c r="AM721" s="237"/>
      <c r="AN721" s="237"/>
      <c r="AO721" s="237"/>
      <c r="AP721" s="237"/>
      <c r="AQ721" s="237"/>
      <c r="AR721" s="237"/>
      <c r="AS721" s="237"/>
      <c r="AT721" s="237"/>
      <c r="AU721" s="237"/>
      <c r="AV721" s="237"/>
      <c r="AW721" s="237"/>
      <c r="AX721" s="237"/>
    </row>
    <row r="722" spans="3:50" x14ac:dyDescent="0.2">
      <c r="C722" s="228"/>
      <c r="D722" s="228"/>
      <c r="E722" s="228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  <c r="AA722" s="237"/>
      <c r="AB722" s="237"/>
      <c r="AC722" s="237"/>
      <c r="AD722" s="237"/>
      <c r="AE722" s="237"/>
      <c r="AF722" s="237"/>
      <c r="AG722" s="237"/>
      <c r="AH722" s="237"/>
      <c r="AI722" s="237"/>
      <c r="AJ722" s="237"/>
      <c r="AK722" s="237"/>
      <c r="AL722" s="237"/>
      <c r="AM722" s="237"/>
      <c r="AN722" s="237"/>
      <c r="AO722" s="237"/>
      <c r="AP722" s="237"/>
      <c r="AQ722" s="237"/>
      <c r="AR722" s="237"/>
      <c r="AS722" s="237"/>
      <c r="AT722" s="237"/>
      <c r="AU722" s="237"/>
      <c r="AV722" s="237"/>
      <c r="AW722" s="237"/>
      <c r="AX722" s="237"/>
    </row>
    <row r="723" spans="3:50" x14ac:dyDescent="0.2">
      <c r="C723" s="228"/>
      <c r="D723" s="228"/>
      <c r="E723" s="228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  <c r="AA723" s="237"/>
      <c r="AB723" s="237"/>
      <c r="AC723" s="237"/>
      <c r="AD723" s="237"/>
      <c r="AE723" s="237"/>
      <c r="AF723" s="237"/>
      <c r="AG723" s="237"/>
      <c r="AH723" s="237"/>
      <c r="AI723" s="237"/>
      <c r="AJ723" s="237"/>
      <c r="AK723" s="237"/>
      <c r="AL723" s="237"/>
      <c r="AM723" s="237"/>
      <c r="AN723" s="237"/>
      <c r="AO723" s="237"/>
      <c r="AP723" s="237"/>
      <c r="AQ723" s="237"/>
      <c r="AR723" s="237"/>
      <c r="AS723" s="237"/>
      <c r="AT723" s="237"/>
      <c r="AU723" s="237"/>
      <c r="AV723" s="237"/>
      <c r="AW723" s="237"/>
      <c r="AX723" s="237"/>
    </row>
    <row r="724" spans="3:50" x14ac:dyDescent="0.2">
      <c r="C724" s="228"/>
      <c r="D724" s="228"/>
      <c r="E724" s="228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  <c r="AA724" s="237"/>
      <c r="AB724" s="237"/>
      <c r="AC724" s="237"/>
      <c r="AD724" s="237"/>
      <c r="AE724" s="237"/>
      <c r="AF724" s="237"/>
      <c r="AG724" s="237"/>
      <c r="AH724" s="237"/>
      <c r="AI724" s="237"/>
      <c r="AJ724" s="237"/>
      <c r="AK724" s="237"/>
      <c r="AL724" s="237"/>
      <c r="AM724" s="237"/>
      <c r="AN724" s="237"/>
      <c r="AO724" s="237"/>
      <c r="AP724" s="237"/>
      <c r="AQ724" s="237"/>
      <c r="AR724" s="237"/>
      <c r="AS724" s="237"/>
      <c r="AT724" s="237"/>
      <c r="AU724" s="237"/>
      <c r="AV724" s="237"/>
      <c r="AW724" s="237"/>
      <c r="AX724" s="237"/>
    </row>
    <row r="725" spans="3:50" x14ac:dyDescent="0.2">
      <c r="C725" s="228"/>
      <c r="D725" s="228"/>
      <c r="E725" s="228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  <c r="AA725" s="237"/>
      <c r="AB725" s="237"/>
      <c r="AC725" s="237"/>
      <c r="AD725" s="237"/>
      <c r="AE725" s="237"/>
      <c r="AF725" s="237"/>
      <c r="AG725" s="237"/>
      <c r="AH725" s="237"/>
      <c r="AI725" s="237"/>
      <c r="AJ725" s="237"/>
      <c r="AK725" s="237"/>
      <c r="AL725" s="237"/>
      <c r="AM725" s="237"/>
      <c r="AN725" s="237"/>
      <c r="AO725" s="237"/>
      <c r="AP725" s="237"/>
      <c r="AQ725" s="237"/>
      <c r="AR725" s="237"/>
      <c r="AS725" s="237"/>
      <c r="AT725" s="237"/>
      <c r="AU725" s="237"/>
      <c r="AV725" s="237"/>
      <c r="AW725" s="237"/>
      <c r="AX725" s="237"/>
    </row>
    <row r="726" spans="3:50" x14ac:dyDescent="0.2">
      <c r="C726" s="228"/>
      <c r="D726" s="228"/>
      <c r="E726" s="228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  <c r="AA726" s="237"/>
      <c r="AB726" s="237"/>
      <c r="AC726" s="237"/>
      <c r="AD726" s="237"/>
      <c r="AE726" s="237"/>
      <c r="AF726" s="237"/>
      <c r="AG726" s="237"/>
      <c r="AH726" s="237"/>
      <c r="AI726" s="237"/>
      <c r="AJ726" s="237"/>
      <c r="AK726" s="237"/>
      <c r="AL726" s="237"/>
      <c r="AM726" s="237"/>
      <c r="AN726" s="237"/>
      <c r="AO726" s="237"/>
      <c r="AP726" s="237"/>
      <c r="AQ726" s="237"/>
      <c r="AR726" s="237"/>
      <c r="AS726" s="237"/>
      <c r="AT726" s="237"/>
      <c r="AU726" s="237"/>
      <c r="AV726" s="237"/>
      <c r="AW726" s="237"/>
      <c r="AX726" s="237"/>
    </row>
    <row r="727" spans="3:50" x14ac:dyDescent="0.2">
      <c r="C727" s="228"/>
      <c r="D727" s="228"/>
      <c r="E727" s="228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  <c r="AC727" s="237"/>
      <c r="AD727" s="237"/>
      <c r="AE727" s="237"/>
      <c r="AF727" s="237"/>
      <c r="AG727" s="237"/>
      <c r="AH727" s="237"/>
      <c r="AI727" s="237"/>
      <c r="AJ727" s="237"/>
      <c r="AK727" s="237"/>
      <c r="AL727" s="237"/>
      <c r="AM727" s="237"/>
      <c r="AN727" s="237"/>
      <c r="AO727" s="237"/>
      <c r="AP727" s="237"/>
      <c r="AQ727" s="237"/>
      <c r="AR727" s="237"/>
      <c r="AS727" s="237"/>
      <c r="AT727" s="237"/>
      <c r="AU727" s="237"/>
      <c r="AV727" s="237"/>
      <c r="AW727" s="237"/>
      <c r="AX727" s="237"/>
    </row>
    <row r="728" spans="3:50" x14ac:dyDescent="0.2">
      <c r="C728" s="228"/>
      <c r="D728" s="228"/>
      <c r="E728" s="228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  <c r="AA728" s="237"/>
      <c r="AB728" s="237"/>
      <c r="AC728" s="237"/>
      <c r="AD728" s="237"/>
      <c r="AE728" s="237"/>
      <c r="AF728" s="237"/>
      <c r="AG728" s="237"/>
      <c r="AH728" s="237"/>
      <c r="AI728" s="237"/>
      <c r="AJ728" s="237"/>
      <c r="AK728" s="237"/>
      <c r="AL728" s="237"/>
      <c r="AM728" s="237"/>
      <c r="AN728" s="237"/>
      <c r="AO728" s="237"/>
      <c r="AP728" s="237"/>
      <c r="AQ728" s="237"/>
      <c r="AR728" s="237"/>
      <c r="AS728" s="237"/>
      <c r="AT728" s="237"/>
      <c r="AU728" s="237"/>
      <c r="AV728" s="237"/>
      <c r="AW728" s="237"/>
      <c r="AX728" s="237"/>
    </row>
    <row r="729" spans="3:50" x14ac:dyDescent="0.2">
      <c r="C729" s="228"/>
      <c r="D729" s="228"/>
      <c r="E729" s="228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  <c r="AA729" s="237"/>
      <c r="AB729" s="237"/>
      <c r="AC729" s="237"/>
      <c r="AD729" s="237"/>
      <c r="AE729" s="237"/>
      <c r="AF729" s="237"/>
      <c r="AG729" s="237"/>
      <c r="AH729" s="237"/>
      <c r="AI729" s="237"/>
      <c r="AJ729" s="237"/>
      <c r="AK729" s="237"/>
      <c r="AL729" s="237"/>
      <c r="AM729" s="237"/>
      <c r="AN729" s="237"/>
      <c r="AO729" s="237"/>
      <c r="AP729" s="237"/>
      <c r="AQ729" s="237"/>
      <c r="AR729" s="237"/>
      <c r="AS729" s="237"/>
      <c r="AT729" s="237"/>
      <c r="AU729" s="237"/>
      <c r="AV729" s="237"/>
      <c r="AW729" s="237"/>
      <c r="AX729" s="237"/>
    </row>
    <row r="730" spans="3:50" x14ac:dyDescent="0.2">
      <c r="C730" s="228"/>
      <c r="D730" s="228"/>
      <c r="E730" s="228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  <c r="AA730" s="237"/>
      <c r="AB730" s="237"/>
      <c r="AC730" s="237"/>
      <c r="AD730" s="237"/>
      <c r="AE730" s="237"/>
      <c r="AF730" s="237"/>
      <c r="AG730" s="237"/>
      <c r="AH730" s="237"/>
      <c r="AI730" s="237"/>
      <c r="AJ730" s="237"/>
      <c r="AK730" s="237"/>
      <c r="AL730" s="237"/>
      <c r="AM730" s="237"/>
      <c r="AN730" s="237"/>
      <c r="AO730" s="237"/>
      <c r="AP730" s="237"/>
      <c r="AQ730" s="237"/>
      <c r="AR730" s="237"/>
      <c r="AS730" s="237"/>
      <c r="AT730" s="237"/>
      <c r="AU730" s="237"/>
      <c r="AV730" s="237"/>
      <c r="AW730" s="237"/>
      <c r="AX730" s="237"/>
    </row>
    <row r="731" spans="3:50" x14ac:dyDescent="0.2">
      <c r="C731" s="228"/>
      <c r="D731" s="228"/>
      <c r="E731" s="228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  <c r="AA731" s="237"/>
      <c r="AB731" s="237"/>
      <c r="AC731" s="237"/>
      <c r="AD731" s="237"/>
      <c r="AE731" s="237"/>
      <c r="AF731" s="237"/>
      <c r="AG731" s="237"/>
      <c r="AH731" s="237"/>
      <c r="AI731" s="237"/>
      <c r="AJ731" s="237"/>
      <c r="AK731" s="237"/>
      <c r="AL731" s="237"/>
      <c r="AM731" s="237"/>
      <c r="AN731" s="237"/>
      <c r="AO731" s="237"/>
      <c r="AP731" s="237"/>
      <c r="AQ731" s="237"/>
      <c r="AR731" s="237"/>
      <c r="AS731" s="237"/>
      <c r="AT731" s="237"/>
      <c r="AU731" s="237"/>
      <c r="AV731" s="237"/>
      <c r="AW731" s="237"/>
      <c r="AX731" s="237"/>
    </row>
    <row r="732" spans="3:50" x14ac:dyDescent="0.2">
      <c r="C732" s="228"/>
      <c r="D732" s="228"/>
      <c r="E732" s="228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  <c r="AA732" s="237"/>
      <c r="AB732" s="237"/>
      <c r="AC732" s="237"/>
      <c r="AD732" s="237"/>
      <c r="AE732" s="237"/>
      <c r="AF732" s="237"/>
      <c r="AG732" s="237"/>
      <c r="AH732" s="237"/>
      <c r="AI732" s="237"/>
      <c r="AJ732" s="237"/>
      <c r="AK732" s="237"/>
      <c r="AL732" s="237"/>
      <c r="AM732" s="237"/>
      <c r="AN732" s="237"/>
      <c r="AO732" s="237"/>
      <c r="AP732" s="237"/>
      <c r="AQ732" s="237"/>
      <c r="AR732" s="237"/>
      <c r="AS732" s="237"/>
      <c r="AT732" s="237"/>
      <c r="AU732" s="237"/>
      <c r="AV732" s="237"/>
      <c r="AW732" s="237"/>
      <c r="AX732" s="237"/>
    </row>
    <row r="733" spans="3:50" x14ac:dyDescent="0.2">
      <c r="C733" s="228"/>
      <c r="D733" s="228"/>
      <c r="E733" s="228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  <c r="AA733" s="237"/>
      <c r="AB733" s="237"/>
      <c r="AC733" s="237"/>
      <c r="AD733" s="237"/>
      <c r="AE733" s="237"/>
      <c r="AF733" s="237"/>
      <c r="AG733" s="237"/>
      <c r="AH733" s="237"/>
      <c r="AI733" s="237"/>
      <c r="AJ733" s="237"/>
      <c r="AK733" s="237"/>
      <c r="AL733" s="237"/>
      <c r="AM733" s="237"/>
      <c r="AN733" s="237"/>
      <c r="AO733" s="237"/>
      <c r="AP733" s="237"/>
      <c r="AQ733" s="237"/>
      <c r="AR733" s="237"/>
      <c r="AS733" s="237"/>
      <c r="AT733" s="237"/>
      <c r="AU733" s="237"/>
      <c r="AV733" s="237"/>
      <c r="AW733" s="237"/>
      <c r="AX733" s="237"/>
    </row>
    <row r="734" spans="3:50" x14ac:dyDescent="0.2">
      <c r="C734" s="228"/>
      <c r="D734" s="228"/>
      <c r="E734" s="228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  <c r="AA734" s="237"/>
      <c r="AB734" s="237"/>
      <c r="AC734" s="237"/>
      <c r="AD734" s="237"/>
      <c r="AE734" s="237"/>
      <c r="AF734" s="237"/>
      <c r="AG734" s="237"/>
      <c r="AH734" s="237"/>
      <c r="AI734" s="237"/>
      <c r="AJ734" s="237"/>
      <c r="AK734" s="237"/>
      <c r="AL734" s="237"/>
      <c r="AM734" s="237"/>
      <c r="AN734" s="237"/>
      <c r="AO734" s="237"/>
      <c r="AP734" s="237"/>
      <c r="AQ734" s="237"/>
      <c r="AR734" s="237"/>
      <c r="AS734" s="237"/>
      <c r="AT734" s="237"/>
      <c r="AU734" s="237"/>
      <c r="AV734" s="237"/>
      <c r="AW734" s="237"/>
      <c r="AX734" s="237"/>
    </row>
    <row r="735" spans="3:50" x14ac:dyDescent="0.2">
      <c r="C735" s="228"/>
      <c r="D735" s="228"/>
      <c r="E735" s="228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  <c r="AA735" s="237"/>
      <c r="AB735" s="237"/>
      <c r="AC735" s="237"/>
      <c r="AD735" s="237"/>
      <c r="AE735" s="237"/>
      <c r="AF735" s="237"/>
      <c r="AG735" s="237"/>
      <c r="AH735" s="237"/>
      <c r="AI735" s="237"/>
      <c r="AJ735" s="237"/>
      <c r="AK735" s="237"/>
      <c r="AL735" s="237"/>
      <c r="AM735" s="237"/>
      <c r="AN735" s="237"/>
      <c r="AO735" s="237"/>
      <c r="AP735" s="237"/>
      <c r="AQ735" s="237"/>
      <c r="AR735" s="237"/>
      <c r="AS735" s="237"/>
      <c r="AT735" s="237"/>
      <c r="AU735" s="237"/>
      <c r="AV735" s="237"/>
      <c r="AW735" s="237"/>
      <c r="AX735" s="237"/>
    </row>
    <row r="736" spans="3:50" x14ac:dyDescent="0.2">
      <c r="C736" s="228"/>
      <c r="D736" s="228"/>
      <c r="E736" s="228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  <c r="AA736" s="237"/>
      <c r="AB736" s="237"/>
      <c r="AC736" s="237"/>
      <c r="AD736" s="237"/>
      <c r="AE736" s="237"/>
      <c r="AF736" s="237"/>
      <c r="AG736" s="237"/>
      <c r="AH736" s="237"/>
      <c r="AI736" s="237"/>
      <c r="AJ736" s="237"/>
      <c r="AK736" s="237"/>
      <c r="AL736" s="237"/>
      <c r="AM736" s="237"/>
      <c r="AN736" s="237"/>
      <c r="AO736" s="237"/>
      <c r="AP736" s="237"/>
      <c r="AQ736" s="237"/>
      <c r="AR736" s="237"/>
      <c r="AS736" s="237"/>
      <c r="AT736" s="237"/>
      <c r="AU736" s="237"/>
      <c r="AV736" s="237"/>
      <c r="AW736" s="237"/>
      <c r="AX736" s="237"/>
    </row>
    <row r="737" spans="3:50" x14ac:dyDescent="0.2">
      <c r="C737" s="228"/>
      <c r="D737" s="228"/>
      <c r="E737" s="228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  <c r="AA737" s="237"/>
      <c r="AB737" s="237"/>
      <c r="AC737" s="237"/>
      <c r="AD737" s="237"/>
      <c r="AE737" s="237"/>
      <c r="AF737" s="237"/>
      <c r="AG737" s="237"/>
      <c r="AH737" s="237"/>
      <c r="AI737" s="237"/>
      <c r="AJ737" s="237"/>
      <c r="AK737" s="237"/>
      <c r="AL737" s="237"/>
      <c r="AM737" s="237"/>
      <c r="AN737" s="237"/>
      <c r="AO737" s="237"/>
      <c r="AP737" s="237"/>
      <c r="AQ737" s="237"/>
      <c r="AR737" s="237"/>
      <c r="AS737" s="237"/>
      <c r="AT737" s="237"/>
      <c r="AU737" s="237"/>
      <c r="AV737" s="237"/>
      <c r="AW737" s="237"/>
      <c r="AX737" s="237"/>
    </row>
    <row r="738" spans="3:50" x14ac:dyDescent="0.2">
      <c r="C738" s="228"/>
      <c r="D738" s="228"/>
      <c r="E738" s="228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  <c r="AA738" s="237"/>
      <c r="AB738" s="237"/>
      <c r="AC738" s="237"/>
      <c r="AD738" s="237"/>
      <c r="AE738" s="237"/>
      <c r="AF738" s="237"/>
      <c r="AG738" s="237"/>
      <c r="AH738" s="237"/>
      <c r="AI738" s="237"/>
      <c r="AJ738" s="237"/>
      <c r="AK738" s="237"/>
      <c r="AL738" s="237"/>
      <c r="AM738" s="237"/>
      <c r="AN738" s="237"/>
      <c r="AO738" s="237"/>
      <c r="AP738" s="237"/>
      <c r="AQ738" s="237"/>
      <c r="AR738" s="237"/>
      <c r="AS738" s="237"/>
      <c r="AT738" s="237"/>
      <c r="AU738" s="237"/>
      <c r="AV738" s="237"/>
      <c r="AW738" s="237"/>
      <c r="AX738" s="237"/>
    </row>
    <row r="739" spans="3:50" x14ac:dyDescent="0.2">
      <c r="C739" s="228"/>
      <c r="D739" s="228"/>
      <c r="E739" s="228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  <c r="AA739" s="237"/>
      <c r="AB739" s="237"/>
      <c r="AC739" s="237"/>
      <c r="AD739" s="237"/>
      <c r="AE739" s="237"/>
      <c r="AF739" s="237"/>
      <c r="AG739" s="237"/>
      <c r="AH739" s="237"/>
      <c r="AI739" s="237"/>
      <c r="AJ739" s="237"/>
      <c r="AK739" s="237"/>
      <c r="AL739" s="237"/>
      <c r="AM739" s="237"/>
      <c r="AN739" s="237"/>
      <c r="AO739" s="237"/>
      <c r="AP739" s="237"/>
      <c r="AQ739" s="237"/>
      <c r="AR739" s="237"/>
      <c r="AS739" s="237"/>
      <c r="AT739" s="237"/>
      <c r="AU739" s="237"/>
      <c r="AV739" s="237"/>
      <c r="AW739" s="237"/>
      <c r="AX739" s="237"/>
    </row>
    <row r="740" spans="3:50" x14ac:dyDescent="0.2">
      <c r="C740" s="228"/>
      <c r="D740" s="228"/>
      <c r="E740" s="228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  <c r="AA740" s="237"/>
      <c r="AB740" s="237"/>
      <c r="AC740" s="237"/>
      <c r="AD740" s="237"/>
      <c r="AE740" s="237"/>
      <c r="AF740" s="237"/>
      <c r="AG740" s="237"/>
      <c r="AH740" s="237"/>
      <c r="AI740" s="237"/>
      <c r="AJ740" s="237"/>
      <c r="AK740" s="237"/>
      <c r="AL740" s="237"/>
      <c r="AM740" s="237"/>
      <c r="AN740" s="237"/>
      <c r="AO740" s="237"/>
      <c r="AP740" s="237"/>
      <c r="AQ740" s="237"/>
      <c r="AR740" s="237"/>
      <c r="AS740" s="237"/>
      <c r="AT740" s="237"/>
      <c r="AU740" s="237"/>
      <c r="AV740" s="237"/>
      <c r="AW740" s="237"/>
      <c r="AX740" s="237"/>
    </row>
    <row r="741" spans="3:50" x14ac:dyDescent="0.2">
      <c r="C741" s="228"/>
      <c r="D741" s="228"/>
      <c r="E741" s="228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  <c r="AA741" s="237"/>
      <c r="AB741" s="237"/>
      <c r="AC741" s="237"/>
      <c r="AD741" s="237"/>
      <c r="AE741" s="237"/>
      <c r="AF741" s="237"/>
      <c r="AG741" s="237"/>
      <c r="AH741" s="237"/>
      <c r="AI741" s="237"/>
      <c r="AJ741" s="237"/>
      <c r="AK741" s="237"/>
      <c r="AL741" s="237"/>
      <c r="AM741" s="237"/>
      <c r="AN741" s="237"/>
      <c r="AO741" s="237"/>
      <c r="AP741" s="237"/>
      <c r="AQ741" s="237"/>
      <c r="AR741" s="237"/>
      <c r="AS741" s="237"/>
      <c r="AT741" s="237"/>
      <c r="AU741" s="237"/>
      <c r="AV741" s="237"/>
      <c r="AW741" s="237"/>
      <c r="AX741" s="237"/>
    </row>
    <row r="742" spans="3:50" x14ac:dyDescent="0.2">
      <c r="C742" s="228"/>
      <c r="D742" s="228"/>
      <c r="E742" s="228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  <c r="AA742" s="237"/>
      <c r="AB742" s="237"/>
      <c r="AC742" s="237"/>
      <c r="AD742" s="237"/>
      <c r="AE742" s="237"/>
      <c r="AF742" s="237"/>
      <c r="AG742" s="237"/>
      <c r="AH742" s="237"/>
      <c r="AI742" s="237"/>
      <c r="AJ742" s="237"/>
      <c r="AK742" s="237"/>
      <c r="AL742" s="237"/>
      <c r="AM742" s="237"/>
      <c r="AN742" s="237"/>
      <c r="AO742" s="237"/>
      <c r="AP742" s="237"/>
      <c r="AQ742" s="237"/>
      <c r="AR742" s="237"/>
      <c r="AS742" s="237"/>
      <c r="AT742" s="237"/>
      <c r="AU742" s="237"/>
      <c r="AV742" s="237"/>
      <c r="AW742" s="237"/>
      <c r="AX742" s="237"/>
    </row>
    <row r="743" spans="3:50" x14ac:dyDescent="0.2">
      <c r="C743" s="228"/>
      <c r="D743" s="228"/>
      <c r="E743" s="228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  <c r="AA743" s="237"/>
      <c r="AB743" s="237"/>
      <c r="AC743" s="237"/>
      <c r="AD743" s="237"/>
      <c r="AE743" s="237"/>
      <c r="AF743" s="237"/>
      <c r="AG743" s="237"/>
      <c r="AH743" s="237"/>
      <c r="AI743" s="237"/>
      <c r="AJ743" s="237"/>
      <c r="AK743" s="237"/>
      <c r="AL743" s="237"/>
      <c r="AM743" s="237"/>
      <c r="AN743" s="237"/>
      <c r="AO743" s="237"/>
      <c r="AP743" s="237"/>
      <c r="AQ743" s="237"/>
      <c r="AR743" s="237"/>
      <c r="AS743" s="237"/>
      <c r="AT743" s="237"/>
      <c r="AU743" s="237"/>
      <c r="AV743" s="237"/>
      <c r="AW743" s="237"/>
      <c r="AX743" s="237"/>
    </row>
    <row r="744" spans="3:50" x14ac:dyDescent="0.2">
      <c r="C744" s="228"/>
      <c r="D744" s="228"/>
      <c r="E744" s="228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  <c r="AA744" s="237"/>
      <c r="AB744" s="237"/>
      <c r="AC744" s="237"/>
      <c r="AD744" s="237"/>
      <c r="AE744" s="237"/>
      <c r="AF744" s="237"/>
      <c r="AG744" s="237"/>
      <c r="AH744" s="237"/>
      <c r="AI744" s="237"/>
      <c r="AJ744" s="237"/>
      <c r="AK744" s="237"/>
      <c r="AL744" s="237"/>
      <c r="AM744" s="237"/>
      <c r="AN744" s="237"/>
      <c r="AO744" s="237"/>
      <c r="AP744" s="237"/>
      <c r="AQ744" s="237"/>
      <c r="AR744" s="237"/>
      <c r="AS744" s="237"/>
      <c r="AT744" s="237"/>
      <c r="AU744" s="237"/>
      <c r="AV744" s="237"/>
      <c r="AW744" s="237"/>
      <c r="AX744" s="237"/>
    </row>
    <row r="745" spans="3:50" x14ac:dyDescent="0.2">
      <c r="C745" s="228"/>
      <c r="D745" s="228"/>
      <c r="E745" s="228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  <c r="AA745" s="237"/>
      <c r="AB745" s="237"/>
      <c r="AC745" s="237"/>
      <c r="AD745" s="237"/>
      <c r="AE745" s="237"/>
      <c r="AF745" s="237"/>
      <c r="AG745" s="237"/>
      <c r="AH745" s="237"/>
      <c r="AI745" s="237"/>
      <c r="AJ745" s="237"/>
      <c r="AK745" s="237"/>
      <c r="AL745" s="237"/>
      <c r="AM745" s="237"/>
      <c r="AN745" s="237"/>
      <c r="AO745" s="237"/>
      <c r="AP745" s="237"/>
      <c r="AQ745" s="237"/>
      <c r="AR745" s="237"/>
      <c r="AS745" s="237"/>
      <c r="AT745" s="237"/>
      <c r="AU745" s="237"/>
      <c r="AV745" s="237"/>
      <c r="AW745" s="237"/>
      <c r="AX745" s="237"/>
    </row>
    <row r="746" spans="3:50" x14ac:dyDescent="0.2">
      <c r="C746" s="228"/>
      <c r="D746" s="228"/>
      <c r="E746" s="228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  <c r="AC746" s="237"/>
      <c r="AD746" s="237"/>
      <c r="AE746" s="237"/>
      <c r="AF746" s="237"/>
      <c r="AG746" s="237"/>
      <c r="AH746" s="237"/>
      <c r="AI746" s="237"/>
      <c r="AJ746" s="237"/>
      <c r="AK746" s="237"/>
      <c r="AL746" s="237"/>
      <c r="AM746" s="237"/>
      <c r="AN746" s="237"/>
      <c r="AO746" s="237"/>
      <c r="AP746" s="237"/>
      <c r="AQ746" s="237"/>
      <c r="AR746" s="237"/>
      <c r="AS746" s="237"/>
      <c r="AT746" s="237"/>
      <c r="AU746" s="237"/>
      <c r="AV746" s="237"/>
      <c r="AW746" s="237"/>
      <c r="AX746" s="237"/>
    </row>
    <row r="747" spans="3:50" x14ac:dyDescent="0.2">
      <c r="C747" s="228"/>
      <c r="D747" s="228"/>
      <c r="E747" s="228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  <c r="AA747" s="237"/>
      <c r="AB747" s="237"/>
      <c r="AC747" s="237"/>
      <c r="AD747" s="237"/>
      <c r="AE747" s="237"/>
      <c r="AF747" s="237"/>
      <c r="AG747" s="237"/>
      <c r="AH747" s="237"/>
      <c r="AI747" s="237"/>
      <c r="AJ747" s="237"/>
      <c r="AK747" s="237"/>
      <c r="AL747" s="237"/>
      <c r="AM747" s="237"/>
      <c r="AN747" s="237"/>
      <c r="AO747" s="237"/>
      <c r="AP747" s="237"/>
      <c r="AQ747" s="237"/>
      <c r="AR747" s="237"/>
      <c r="AS747" s="237"/>
      <c r="AT747" s="237"/>
      <c r="AU747" s="237"/>
      <c r="AV747" s="237"/>
      <c r="AW747" s="237"/>
      <c r="AX747" s="237"/>
    </row>
    <row r="748" spans="3:50" x14ac:dyDescent="0.2">
      <c r="C748" s="228"/>
      <c r="D748" s="228"/>
      <c r="E748" s="228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  <c r="AC748" s="237"/>
      <c r="AD748" s="237"/>
      <c r="AE748" s="237"/>
      <c r="AF748" s="237"/>
      <c r="AG748" s="237"/>
      <c r="AH748" s="237"/>
      <c r="AI748" s="237"/>
      <c r="AJ748" s="237"/>
      <c r="AK748" s="237"/>
      <c r="AL748" s="237"/>
      <c r="AM748" s="237"/>
      <c r="AN748" s="237"/>
      <c r="AO748" s="237"/>
      <c r="AP748" s="237"/>
      <c r="AQ748" s="237"/>
      <c r="AR748" s="237"/>
      <c r="AS748" s="237"/>
      <c r="AT748" s="237"/>
      <c r="AU748" s="237"/>
      <c r="AV748" s="237"/>
      <c r="AW748" s="237"/>
      <c r="AX748" s="237"/>
    </row>
    <row r="749" spans="3:50" x14ac:dyDescent="0.2">
      <c r="C749" s="228"/>
      <c r="D749" s="228"/>
      <c r="E749" s="228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  <c r="AA749" s="237"/>
      <c r="AB749" s="237"/>
      <c r="AC749" s="237"/>
      <c r="AD749" s="237"/>
      <c r="AE749" s="237"/>
      <c r="AF749" s="237"/>
      <c r="AG749" s="237"/>
      <c r="AH749" s="237"/>
      <c r="AI749" s="237"/>
      <c r="AJ749" s="237"/>
      <c r="AK749" s="237"/>
      <c r="AL749" s="237"/>
      <c r="AM749" s="237"/>
      <c r="AN749" s="237"/>
      <c r="AO749" s="237"/>
      <c r="AP749" s="237"/>
      <c r="AQ749" s="237"/>
      <c r="AR749" s="237"/>
      <c r="AS749" s="237"/>
      <c r="AT749" s="237"/>
      <c r="AU749" s="237"/>
      <c r="AV749" s="237"/>
      <c r="AW749" s="237"/>
      <c r="AX749" s="237"/>
    </row>
    <row r="750" spans="3:50" x14ac:dyDescent="0.2">
      <c r="C750" s="228"/>
      <c r="D750" s="228"/>
      <c r="E750" s="228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  <c r="AA750" s="237"/>
      <c r="AB750" s="237"/>
      <c r="AC750" s="237"/>
      <c r="AD750" s="237"/>
      <c r="AE750" s="237"/>
      <c r="AF750" s="237"/>
      <c r="AG750" s="237"/>
      <c r="AH750" s="237"/>
      <c r="AI750" s="237"/>
      <c r="AJ750" s="237"/>
      <c r="AK750" s="237"/>
      <c r="AL750" s="237"/>
      <c r="AM750" s="237"/>
      <c r="AN750" s="237"/>
      <c r="AO750" s="237"/>
      <c r="AP750" s="237"/>
      <c r="AQ750" s="237"/>
      <c r="AR750" s="237"/>
      <c r="AS750" s="237"/>
      <c r="AT750" s="237"/>
      <c r="AU750" s="237"/>
      <c r="AV750" s="237"/>
      <c r="AW750" s="237"/>
      <c r="AX750" s="237"/>
    </row>
    <row r="751" spans="3:50" x14ac:dyDescent="0.2">
      <c r="C751" s="228"/>
      <c r="D751" s="228"/>
      <c r="E751" s="228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  <c r="AA751" s="237"/>
      <c r="AB751" s="237"/>
      <c r="AC751" s="237"/>
      <c r="AD751" s="237"/>
      <c r="AE751" s="237"/>
      <c r="AF751" s="237"/>
      <c r="AG751" s="237"/>
      <c r="AH751" s="237"/>
      <c r="AI751" s="237"/>
      <c r="AJ751" s="237"/>
      <c r="AK751" s="237"/>
      <c r="AL751" s="237"/>
      <c r="AM751" s="237"/>
      <c r="AN751" s="237"/>
      <c r="AO751" s="237"/>
      <c r="AP751" s="237"/>
      <c r="AQ751" s="237"/>
      <c r="AR751" s="237"/>
      <c r="AS751" s="237"/>
      <c r="AT751" s="237"/>
      <c r="AU751" s="237"/>
      <c r="AV751" s="237"/>
      <c r="AW751" s="237"/>
      <c r="AX751" s="237"/>
    </row>
    <row r="752" spans="3:50" x14ac:dyDescent="0.2">
      <c r="C752" s="228"/>
      <c r="D752" s="228"/>
      <c r="E752" s="228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  <c r="AA752" s="237"/>
      <c r="AB752" s="237"/>
      <c r="AC752" s="237"/>
      <c r="AD752" s="237"/>
      <c r="AE752" s="237"/>
      <c r="AF752" s="237"/>
      <c r="AG752" s="237"/>
      <c r="AH752" s="237"/>
      <c r="AI752" s="237"/>
      <c r="AJ752" s="237"/>
      <c r="AK752" s="237"/>
      <c r="AL752" s="237"/>
      <c r="AM752" s="237"/>
      <c r="AN752" s="237"/>
      <c r="AO752" s="237"/>
      <c r="AP752" s="237"/>
      <c r="AQ752" s="237"/>
      <c r="AR752" s="237"/>
      <c r="AS752" s="237"/>
      <c r="AT752" s="237"/>
      <c r="AU752" s="237"/>
      <c r="AV752" s="237"/>
      <c r="AW752" s="237"/>
      <c r="AX752" s="237"/>
    </row>
    <row r="753" spans="3:50" x14ac:dyDescent="0.2">
      <c r="C753" s="228"/>
      <c r="D753" s="228"/>
      <c r="E753" s="228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  <c r="AA753" s="237"/>
      <c r="AB753" s="237"/>
      <c r="AC753" s="237"/>
      <c r="AD753" s="237"/>
      <c r="AE753" s="237"/>
      <c r="AF753" s="237"/>
      <c r="AG753" s="237"/>
      <c r="AH753" s="237"/>
      <c r="AI753" s="237"/>
      <c r="AJ753" s="237"/>
      <c r="AK753" s="237"/>
      <c r="AL753" s="237"/>
      <c r="AM753" s="237"/>
      <c r="AN753" s="237"/>
      <c r="AO753" s="237"/>
      <c r="AP753" s="237"/>
      <c r="AQ753" s="237"/>
      <c r="AR753" s="237"/>
      <c r="AS753" s="237"/>
      <c r="AT753" s="237"/>
      <c r="AU753" s="237"/>
      <c r="AV753" s="237"/>
      <c r="AW753" s="237"/>
      <c r="AX753" s="237"/>
    </row>
    <row r="754" spans="3:50" x14ac:dyDescent="0.2">
      <c r="C754" s="228"/>
      <c r="D754" s="228"/>
      <c r="E754" s="228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  <c r="AA754" s="237"/>
      <c r="AB754" s="237"/>
      <c r="AC754" s="237"/>
      <c r="AD754" s="237"/>
      <c r="AE754" s="237"/>
      <c r="AF754" s="237"/>
      <c r="AG754" s="237"/>
      <c r="AH754" s="237"/>
      <c r="AI754" s="237"/>
      <c r="AJ754" s="237"/>
      <c r="AK754" s="237"/>
      <c r="AL754" s="237"/>
      <c r="AM754" s="237"/>
      <c r="AN754" s="237"/>
      <c r="AO754" s="237"/>
      <c r="AP754" s="237"/>
      <c r="AQ754" s="237"/>
      <c r="AR754" s="237"/>
      <c r="AS754" s="237"/>
      <c r="AT754" s="237"/>
      <c r="AU754" s="237"/>
      <c r="AV754" s="237"/>
      <c r="AW754" s="237"/>
      <c r="AX754" s="237"/>
    </row>
    <row r="755" spans="3:50" x14ac:dyDescent="0.2">
      <c r="C755" s="228"/>
      <c r="D755" s="228"/>
      <c r="E755" s="228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  <c r="AA755" s="237"/>
      <c r="AB755" s="237"/>
      <c r="AC755" s="237"/>
      <c r="AD755" s="237"/>
      <c r="AE755" s="237"/>
      <c r="AF755" s="237"/>
      <c r="AG755" s="237"/>
      <c r="AH755" s="237"/>
      <c r="AI755" s="237"/>
      <c r="AJ755" s="237"/>
      <c r="AK755" s="237"/>
      <c r="AL755" s="237"/>
      <c r="AM755" s="237"/>
      <c r="AN755" s="237"/>
      <c r="AO755" s="237"/>
      <c r="AP755" s="237"/>
      <c r="AQ755" s="237"/>
      <c r="AR755" s="237"/>
      <c r="AS755" s="237"/>
      <c r="AT755" s="237"/>
      <c r="AU755" s="237"/>
      <c r="AV755" s="237"/>
      <c r="AW755" s="237"/>
      <c r="AX755" s="237"/>
    </row>
    <row r="756" spans="3:50" x14ac:dyDescent="0.2">
      <c r="C756" s="228"/>
      <c r="D756" s="228"/>
      <c r="E756" s="228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  <c r="AC756" s="237"/>
      <c r="AD756" s="237"/>
      <c r="AE756" s="237"/>
      <c r="AF756" s="237"/>
      <c r="AG756" s="237"/>
      <c r="AH756" s="237"/>
      <c r="AI756" s="237"/>
      <c r="AJ756" s="237"/>
      <c r="AK756" s="237"/>
      <c r="AL756" s="237"/>
      <c r="AM756" s="237"/>
      <c r="AN756" s="237"/>
      <c r="AO756" s="237"/>
      <c r="AP756" s="237"/>
      <c r="AQ756" s="237"/>
      <c r="AR756" s="237"/>
      <c r="AS756" s="237"/>
      <c r="AT756" s="237"/>
      <c r="AU756" s="237"/>
      <c r="AV756" s="237"/>
      <c r="AW756" s="237"/>
      <c r="AX756" s="237"/>
    </row>
    <row r="757" spans="3:50" x14ac:dyDescent="0.2">
      <c r="C757" s="228"/>
      <c r="D757" s="228"/>
      <c r="E757" s="228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  <c r="AC757" s="237"/>
      <c r="AD757" s="237"/>
      <c r="AE757" s="237"/>
      <c r="AF757" s="237"/>
      <c r="AG757" s="237"/>
      <c r="AH757" s="237"/>
      <c r="AI757" s="237"/>
      <c r="AJ757" s="237"/>
      <c r="AK757" s="237"/>
      <c r="AL757" s="237"/>
      <c r="AM757" s="237"/>
      <c r="AN757" s="237"/>
      <c r="AO757" s="237"/>
      <c r="AP757" s="237"/>
      <c r="AQ757" s="237"/>
      <c r="AR757" s="237"/>
      <c r="AS757" s="237"/>
      <c r="AT757" s="237"/>
      <c r="AU757" s="237"/>
      <c r="AV757" s="237"/>
      <c r="AW757" s="237"/>
      <c r="AX757" s="237"/>
    </row>
    <row r="758" spans="3:50" x14ac:dyDescent="0.2">
      <c r="C758" s="228"/>
      <c r="D758" s="228"/>
      <c r="E758" s="228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  <c r="AC758" s="237"/>
      <c r="AD758" s="237"/>
      <c r="AE758" s="237"/>
      <c r="AF758" s="237"/>
      <c r="AG758" s="237"/>
      <c r="AH758" s="237"/>
      <c r="AI758" s="237"/>
      <c r="AJ758" s="237"/>
      <c r="AK758" s="237"/>
      <c r="AL758" s="237"/>
      <c r="AM758" s="237"/>
      <c r="AN758" s="237"/>
      <c r="AO758" s="237"/>
      <c r="AP758" s="237"/>
      <c r="AQ758" s="237"/>
      <c r="AR758" s="237"/>
      <c r="AS758" s="237"/>
      <c r="AT758" s="237"/>
      <c r="AU758" s="237"/>
      <c r="AV758" s="237"/>
      <c r="AW758" s="237"/>
      <c r="AX758" s="237"/>
    </row>
    <row r="759" spans="3:50" x14ac:dyDescent="0.2">
      <c r="C759" s="228"/>
      <c r="D759" s="228"/>
      <c r="E759" s="228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  <c r="AC759" s="237"/>
      <c r="AD759" s="237"/>
      <c r="AE759" s="237"/>
      <c r="AF759" s="237"/>
      <c r="AG759" s="237"/>
      <c r="AH759" s="237"/>
      <c r="AI759" s="237"/>
      <c r="AJ759" s="237"/>
      <c r="AK759" s="237"/>
      <c r="AL759" s="237"/>
      <c r="AM759" s="237"/>
      <c r="AN759" s="237"/>
      <c r="AO759" s="237"/>
      <c r="AP759" s="237"/>
      <c r="AQ759" s="237"/>
      <c r="AR759" s="237"/>
      <c r="AS759" s="237"/>
      <c r="AT759" s="237"/>
      <c r="AU759" s="237"/>
      <c r="AV759" s="237"/>
      <c r="AW759" s="237"/>
      <c r="AX759" s="237"/>
    </row>
    <row r="760" spans="3:50" x14ac:dyDescent="0.2">
      <c r="C760" s="228"/>
      <c r="D760" s="228"/>
      <c r="E760" s="228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  <c r="AC760" s="237"/>
      <c r="AD760" s="237"/>
      <c r="AE760" s="237"/>
      <c r="AF760" s="237"/>
      <c r="AG760" s="237"/>
      <c r="AH760" s="237"/>
      <c r="AI760" s="237"/>
      <c r="AJ760" s="237"/>
      <c r="AK760" s="237"/>
      <c r="AL760" s="237"/>
      <c r="AM760" s="237"/>
      <c r="AN760" s="237"/>
      <c r="AO760" s="237"/>
      <c r="AP760" s="237"/>
      <c r="AQ760" s="237"/>
      <c r="AR760" s="237"/>
      <c r="AS760" s="237"/>
      <c r="AT760" s="237"/>
      <c r="AU760" s="237"/>
      <c r="AV760" s="237"/>
      <c r="AW760" s="237"/>
      <c r="AX760" s="237"/>
    </row>
    <row r="761" spans="3:50" x14ac:dyDescent="0.2">
      <c r="C761" s="228"/>
      <c r="D761" s="228"/>
      <c r="E761" s="228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  <c r="AC761" s="237"/>
      <c r="AD761" s="237"/>
      <c r="AE761" s="237"/>
      <c r="AF761" s="237"/>
      <c r="AG761" s="237"/>
      <c r="AH761" s="237"/>
      <c r="AI761" s="237"/>
      <c r="AJ761" s="237"/>
      <c r="AK761" s="237"/>
      <c r="AL761" s="237"/>
      <c r="AM761" s="237"/>
      <c r="AN761" s="237"/>
      <c r="AO761" s="237"/>
      <c r="AP761" s="237"/>
      <c r="AQ761" s="237"/>
      <c r="AR761" s="237"/>
      <c r="AS761" s="237"/>
      <c r="AT761" s="237"/>
      <c r="AU761" s="237"/>
      <c r="AV761" s="237"/>
      <c r="AW761" s="237"/>
      <c r="AX761" s="237"/>
    </row>
    <row r="762" spans="3:50" x14ac:dyDescent="0.2">
      <c r="C762" s="228"/>
      <c r="D762" s="228"/>
      <c r="E762" s="228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  <c r="AC762" s="237"/>
      <c r="AD762" s="237"/>
      <c r="AE762" s="237"/>
      <c r="AF762" s="237"/>
      <c r="AG762" s="237"/>
      <c r="AH762" s="237"/>
      <c r="AI762" s="237"/>
      <c r="AJ762" s="237"/>
      <c r="AK762" s="237"/>
      <c r="AL762" s="237"/>
      <c r="AM762" s="237"/>
      <c r="AN762" s="237"/>
      <c r="AO762" s="237"/>
      <c r="AP762" s="237"/>
      <c r="AQ762" s="237"/>
      <c r="AR762" s="237"/>
      <c r="AS762" s="237"/>
      <c r="AT762" s="237"/>
      <c r="AU762" s="237"/>
      <c r="AV762" s="237"/>
      <c r="AW762" s="237"/>
      <c r="AX762" s="237"/>
    </row>
    <row r="763" spans="3:50" x14ac:dyDescent="0.2">
      <c r="C763" s="228"/>
      <c r="D763" s="228"/>
      <c r="E763" s="228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  <c r="AC763" s="237"/>
      <c r="AD763" s="237"/>
      <c r="AE763" s="237"/>
      <c r="AF763" s="237"/>
      <c r="AG763" s="237"/>
      <c r="AH763" s="237"/>
      <c r="AI763" s="237"/>
      <c r="AJ763" s="237"/>
      <c r="AK763" s="237"/>
      <c r="AL763" s="237"/>
      <c r="AM763" s="237"/>
      <c r="AN763" s="237"/>
      <c r="AO763" s="237"/>
      <c r="AP763" s="237"/>
      <c r="AQ763" s="237"/>
      <c r="AR763" s="237"/>
      <c r="AS763" s="237"/>
      <c r="AT763" s="237"/>
      <c r="AU763" s="237"/>
      <c r="AV763" s="237"/>
      <c r="AW763" s="237"/>
      <c r="AX763" s="237"/>
    </row>
    <row r="764" spans="3:50" x14ac:dyDescent="0.2">
      <c r="C764" s="228"/>
      <c r="D764" s="228"/>
      <c r="E764" s="228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  <c r="AC764" s="237"/>
      <c r="AD764" s="237"/>
      <c r="AE764" s="237"/>
      <c r="AF764" s="237"/>
      <c r="AG764" s="237"/>
      <c r="AH764" s="237"/>
      <c r="AI764" s="237"/>
      <c r="AJ764" s="237"/>
      <c r="AK764" s="237"/>
      <c r="AL764" s="237"/>
      <c r="AM764" s="237"/>
      <c r="AN764" s="237"/>
      <c r="AO764" s="237"/>
      <c r="AP764" s="237"/>
      <c r="AQ764" s="237"/>
      <c r="AR764" s="237"/>
      <c r="AS764" s="237"/>
      <c r="AT764" s="237"/>
      <c r="AU764" s="237"/>
      <c r="AV764" s="237"/>
      <c r="AW764" s="237"/>
      <c r="AX764" s="237"/>
    </row>
    <row r="765" spans="3:50" x14ac:dyDescent="0.2">
      <c r="C765" s="228"/>
      <c r="D765" s="228"/>
      <c r="E765" s="228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  <c r="AC765" s="237"/>
      <c r="AD765" s="237"/>
      <c r="AE765" s="237"/>
      <c r="AF765" s="237"/>
      <c r="AG765" s="237"/>
      <c r="AH765" s="237"/>
      <c r="AI765" s="237"/>
      <c r="AJ765" s="237"/>
      <c r="AK765" s="237"/>
      <c r="AL765" s="237"/>
      <c r="AM765" s="237"/>
      <c r="AN765" s="237"/>
      <c r="AO765" s="237"/>
      <c r="AP765" s="237"/>
      <c r="AQ765" s="237"/>
      <c r="AR765" s="237"/>
      <c r="AS765" s="237"/>
      <c r="AT765" s="237"/>
      <c r="AU765" s="237"/>
      <c r="AV765" s="237"/>
      <c r="AW765" s="237"/>
      <c r="AX765" s="237"/>
    </row>
    <row r="766" spans="3:50" x14ac:dyDescent="0.2">
      <c r="C766" s="228"/>
      <c r="D766" s="228"/>
      <c r="E766" s="228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  <c r="AC766" s="237"/>
      <c r="AD766" s="237"/>
      <c r="AE766" s="237"/>
      <c r="AF766" s="237"/>
      <c r="AG766" s="237"/>
      <c r="AH766" s="237"/>
      <c r="AI766" s="237"/>
      <c r="AJ766" s="237"/>
      <c r="AK766" s="237"/>
      <c r="AL766" s="237"/>
      <c r="AM766" s="237"/>
      <c r="AN766" s="237"/>
      <c r="AO766" s="237"/>
      <c r="AP766" s="237"/>
      <c r="AQ766" s="237"/>
      <c r="AR766" s="237"/>
      <c r="AS766" s="237"/>
      <c r="AT766" s="237"/>
      <c r="AU766" s="237"/>
      <c r="AV766" s="237"/>
      <c r="AW766" s="237"/>
      <c r="AX766" s="237"/>
    </row>
    <row r="767" spans="3:50" x14ac:dyDescent="0.2">
      <c r="C767" s="228"/>
      <c r="D767" s="228"/>
      <c r="E767" s="228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  <c r="AA767" s="237"/>
      <c r="AB767" s="237"/>
      <c r="AC767" s="237"/>
      <c r="AD767" s="237"/>
      <c r="AE767" s="237"/>
      <c r="AF767" s="237"/>
      <c r="AG767" s="237"/>
      <c r="AH767" s="237"/>
      <c r="AI767" s="237"/>
      <c r="AJ767" s="237"/>
      <c r="AK767" s="237"/>
      <c r="AL767" s="237"/>
      <c r="AM767" s="237"/>
      <c r="AN767" s="237"/>
      <c r="AO767" s="237"/>
      <c r="AP767" s="237"/>
      <c r="AQ767" s="237"/>
      <c r="AR767" s="237"/>
      <c r="AS767" s="237"/>
      <c r="AT767" s="237"/>
      <c r="AU767" s="237"/>
      <c r="AV767" s="237"/>
      <c r="AW767" s="237"/>
      <c r="AX767" s="237"/>
    </row>
    <row r="768" spans="3:50" x14ac:dyDescent="0.2">
      <c r="C768" s="228"/>
      <c r="D768" s="228"/>
      <c r="E768" s="228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  <c r="AA768" s="237"/>
      <c r="AB768" s="237"/>
      <c r="AC768" s="237"/>
      <c r="AD768" s="237"/>
      <c r="AE768" s="237"/>
      <c r="AF768" s="237"/>
      <c r="AG768" s="237"/>
      <c r="AH768" s="237"/>
      <c r="AI768" s="237"/>
      <c r="AJ768" s="237"/>
      <c r="AK768" s="237"/>
      <c r="AL768" s="237"/>
      <c r="AM768" s="237"/>
      <c r="AN768" s="237"/>
      <c r="AO768" s="237"/>
      <c r="AP768" s="237"/>
      <c r="AQ768" s="237"/>
      <c r="AR768" s="237"/>
      <c r="AS768" s="237"/>
      <c r="AT768" s="237"/>
      <c r="AU768" s="237"/>
      <c r="AV768" s="237"/>
      <c r="AW768" s="237"/>
      <c r="AX768" s="237"/>
    </row>
    <row r="769" spans="3:50" x14ac:dyDescent="0.2">
      <c r="C769" s="228"/>
      <c r="D769" s="228"/>
      <c r="E769" s="228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  <c r="AA769" s="237"/>
      <c r="AB769" s="237"/>
      <c r="AC769" s="237"/>
      <c r="AD769" s="237"/>
      <c r="AE769" s="237"/>
      <c r="AF769" s="237"/>
      <c r="AG769" s="237"/>
      <c r="AH769" s="237"/>
      <c r="AI769" s="237"/>
      <c r="AJ769" s="237"/>
      <c r="AK769" s="237"/>
      <c r="AL769" s="237"/>
      <c r="AM769" s="237"/>
      <c r="AN769" s="237"/>
      <c r="AO769" s="237"/>
      <c r="AP769" s="237"/>
      <c r="AQ769" s="237"/>
      <c r="AR769" s="237"/>
      <c r="AS769" s="237"/>
      <c r="AT769" s="237"/>
      <c r="AU769" s="237"/>
      <c r="AV769" s="237"/>
      <c r="AW769" s="237"/>
      <c r="AX769" s="237"/>
    </row>
    <row r="770" spans="3:50" x14ac:dyDescent="0.2">
      <c r="C770" s="228"/>
      <c r="D770" s="228"/>
      <c r="E770" s="228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  <c r="AA770" s="237"/>
      <c r="AB770" s="237"/>
      <c r="AC770" s="237"/>
      <c r="AD770" s="237"/>
      <c r="AE770" s="237"/>
      <c r="AF770" s="237"/>
      <c r="AG770" s="237"/>
      <c r="AH770" s="237"/>
      <c r="AI770" s="237"/>
      <c r="AJ770" s="237"/>
      <c r="AK770" s="237"/>
      <c r="AL770" s="237"/>
      <c r="AM770" s="237"/>
      <c r="AN770" s="237"/>
      <c r="AO770" s="237"/>
      <c r="AP770" s="237"/>
      <c r="AQ770" s="237"/>
      <c r="AR770" s="237"/>
      <c r="AS770" s="237"/>
      <c r="AT770" s="237"/>
      <c r="AU770" s="237"/>
      <c r="AV770" s="237"/>
      <c r="AW770" s="237"/>
      <c r="AX770" s="237"/>
    </row>
    <row r="771" spans="3:50" x14ac:dyDescent="0.2">
      <c r="C771" s="228"/>
      <c r="D771" s="228"/>
      <c r="E771" s="228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  <c r="AA771" s="237"/>
      <c r="AB771" s="237"/>
      <c r="AC771" s="237"/>
      <c r="AD771" s="237"/>
      <c r="AE771" s="237"/>
      <c r="AF771" s="237"/>
      <c r="AG771" s="237"/>
      <c r="AH771" s="237"/>
      <c r="AI771" s="237"/>
      <c r="AJ771" s="237"/>
      <c r="AK771" s="237"/>
      <c r="AL771" s="237"/>
      <c r="AM771" s="237"/>
      <c r="AN771" s="237"/>
      <c r="AO771" s="237"/>
      <c r="AP771" s="237"/>
      <c r="AQ771" s="237"/>
      <c r="AR771" s="237"/>
      <c r="AS771" s="237"/>
      <c r="AT771" s="237"/>
      <c r="AU771" s="237"/>
      <c r="AV771" s="237"/>
      <c r="AW771" s="237"/>
      <c r="AX771" s="237"/>
    </row>
    <row r="772" spans="3:50" x14ac:dyDescent="0.2">
      <c r="C772" s="228"/>
      <c r="D772" s="228"/>
      <c r="E772" s="228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  <c r="AA772" s="237"/>
      <c r="AB772" s="237"/>
      <c r="AC772" s="237"/>
      <c r="AD772" s="237"/>
      <c r="AE772" s="237"/>
      <c r="AF772" s="237"/>
      <c r="AG772" s="237"/>
      <c r="AH772" s="237"/>
      <c r="AI772" s="237"/>
      <c r="AJ772" s="237"/>
      <c r="AK772" s="237"/>
      <c r="AL772" s="237"/>
      <c r="AM772" s="237"/>
      <c r="AN772" s="237"/>
      <c r="AO772" s="237"/>
      <c r="AP772" s="237"/>
      <c r="AQ772" s="237"/>
      <c r="AR772" s="237"/>
      <c r="AS772" s="237"/>
      <c r="AT772" s="237"/>
      <c r="AU772" s="237"/>
      <c r="AV772" s="237"/>
      <c r="AW772" s="237"/>
      <c r="AX772" s="237"/>
    </row>
    <row r="773" spans="3:50" x14ac:dyDescent="0.2">
      <c r="C773" s="228"/>
      <c r="D773" s="228"/>
      <c r="E773" s="228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  <c r="AA773" s="237"/>
      <c r="AB773" s="237"/>
      <c r="AC773" s="237"/>
      <c r="AD773" s="237"/>
      <c r="AE773" s="237"/>
      <c r="AF773" s="237"/>
      <c r="AG773" s="237"/>
      <c r="AH773" s="237"/>
      <c r="AI773" s="237"/>
      <c r="AJ773" s="237"/>
      <c r="AK773" s="237"/>
      <c r="AL773" s="237"/>
      <c r="AM773" s="237"/>
      <c r="AN773" s="237"/>
      <c r="AO773" s="237"/>
      <c r="AP773" s="237"/>
      <c r="AQ773" s="237"/>
      <c r="AR773" s="237"/>
      <c r="AS773" s="237"/>
      <c r="AT773" s="237"/>
      <c r="AU773" s="237"/>
      <c r="AV773" s="237"/>
      <c r="AW773" s="237"/>
      <c r="AX773" s="237"/>
    </row>
    <row r="774" spans="3:50" x14ac:dyDescent="0.2">
      <c r="C774" s="228"/>
      <c r="D774" s="228"/>
      <c r="E774" s="228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  <c r="AA774" s="237"/>
      <c r="AB774" s="237"/>
      <c r="AC774" s="237"/>
      <c r="AD774" s="237"/>
      <c r="AE774" s="237"/>
      <c r="AF774" s="237"/>
      <c r="AG774" s="237"/>
      <c r="AH774" s="237"/>
      <c r="AI774" s="237"/>
      <c r="AJ774" s="237"/>
      <c r="AK774" s="237"/>
      <c r="AL774" s="237"/>
      <c r="AM774" s="237"/>
      <c r="AN774" s="237"/>
      <c r="AO774" s="237"/>
      <c r="AP774" s="237"/>
      <c r="AQ774" s="237"/>
      <c r="AR774" s="237"/>
      <c r="AS774" s="237"/>
      <c r="AT774" s="237"/>
      <c r="AU774" s="237"/>
      <c r="AV774" s="237"/>
      <c r="AW774" s="237"/>
      <c r="AX774" s="237"/>
    </row>
    <row r="775" spans="3:50" x14ac:dyDescent="0.2">
      <c r="C775" s="228"/>
      <c r="D775" s="228"/>
      <c r="E775" s="228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  <c r="AA775" s="237"/>
      <c r="AB775" s="237"/>
      <c r="AC775" s="237"/>
      <c r="AD775" s="237"/>
      <c r="AE775" s="237"/>
      <c r="AF775" s="237"/>
      <c r="AG775" s="237"/>
      <c r="AH775" s="237"/>
      <c r="AI775" s="237"/>
      <c r="AJ775" s="237"/>
      <c r="AK775" s="237"/>
      <c r="AL775" s="237"/>
      <c r="AM775" s="237"/>
      <c r="AN775" s="237"/>
      <c r="AO775" s="237"/>
      <c r="AP775" s="237"/>
      <c r="AQ775" s="237"/>
      <c r="AR775" s="237"/>
      <c r="AS775" s="237"/>
      <c r="AT775" s="237"/>
      <c r="AU775" s="237"/>
      <c r="AV775" s="237"/>
      <c r="AW775" s="237"/>
      <c r="AX775" s="237"/>
    </row>
    <row r="776" spans="3:50" x14ac:dyDescent="0.2">
      <c r="C776" s="228"/>
      <c r="D776" s="228"/>
      <c r="E776" s="228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  <c r="AA776" s="237"/>
      <c r="AB776" s="237"/>
      <c r="AC776" s="237"/>
      <c r="AD776" s="237"/>
      <c r="AE776" s="237"/>
      <c r="AF776" s="237"/>
      <c r="AG776" s="237"/>
      <c r="AH776" s="237"/>
      <c r="AI776" s="237"/>
      <c r="AJ776" s="237"/>
      <c r="AK776" s="237"/>
      <c r="AL776" s="237"/>
      <c r="AM776" s="237"/>
      <c r="AN776" s="237"/>
      <c r="AO776" s="237"/>
      <c r="AP776" s="237"/>
      <c r="AQ776" s="237"/>
      <c r="AR776" s="237"/>
      <c r="AS776" s="237"/>
      <c r="AT776" s="237"/>
      <c r="AU776" s="237"/>
      <c r="AV776" s="237"/>
      <c r="AW776" s="237"/>
      <c r="AX776" s="237"/>
    </row>
    <row r="777" spans="3:50" x14ac:dyDescent="0.2">
      <c r="C777" s="228"/>
      <c r="D777" s="228"/>
      <c r="E777" s="228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  <c r="AA777" s="237"/>
      <c r="AB777" s="237"/>
      <c r="AC777" s="237"/>
      <c r="AD777" s="237"/>
      <c r="AE777" s="237"/>
      <c r="AF777" s="237"/>
      <c r="AG777" s="237"/>
      <c r="AH777" s="237"/>
      <c r="AI777" s="237"/>
      <c r="AJ777" s="237"/>
      <c r="AK777" s="237"/>
      <c r="AL777" s="237"/>
      <c r="AM777" s="237"/>
      <c r="AN777" s="237"/>
      <c r="AO777" s="237"/>
      <c r="AP777" s="237"/>
      <c r="AQ777" s="237"/>
      <c r="AR777" s="237"/>
      <c r="AS777" s="237"/>
      <c r="AT777" s="237"/>
      <c r="AU777" s="237"/>
      <c r="AV777" s="237"/>
      <c r="AW777" s="237"/>
      <c r="AX777" s="237"/>
    </row>
    <row r="778" spans="3:50" x14ac:dyDescent="0.2">
      <c r="C778" s="228"/>
      <c r="D778" s="228"/>
      <c r="E778" s="228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  <c r="AA778" s="237"/>
      <c r="AB778" s="237"/>
      <c r="AC778" s="237"/>
      <c r="AD778" s="237"/>
      <c r="AE778" s="237"/>
      <c r="AF778" s="237"/>
      <c r="AG778" s="237"/>
      <c r="AH778" s="237"/>
      <c r="AI778" s="237"/>
      <c r="AJ778" s="237"/>
      <c r="AK778" s="237"/>
      <c r="AL778" s="237"/>
      <c r="AM778" s="237"/>
      <c r="AN778" s="237"/>
      <c r="AO778" s="237"/>
      <c r="AP778" s="237"/>
      <c r="AQ778" s="237"/>
      <c r="AR778" s="237"/>
      <c r="AS778" s="237"/>
      <c r="AT778" s="237"/>
      <c r="AU778" s="237"/>
      <c r="AV778" s="237"/>
      <c r="AW778" s="237"/>
      <c r="AX778" s="237"/>
    </row>
    <row r="779" spans="3:50" x14ac:dyDescent="0.2">
      <c r="C779" s="228"/>
      <c r="D779" s="228"/>
      <c r="E779" s="228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  <c r="AA779" s="237"/>
      <c r="AB779" s="237"/>
      <c r="AC779" s="237"/>
      <c r="AD779" s="237"/>
      <c r="AE779" s="237"/>
      <c r="AF779" s="237"/>
      <c r="AG779" s="237"/>
      <c r="AH779" s="237"/>
      <c r="AI779" s="237"/>
      <c r="AJ779" s="237"/>
      <c r="AK779" s="237"/>
      <c r="AL779" s="237"/>
      <c r="AM779" s="237"/>
      <c r="AN779" s="237"/>
      <c r="AO779" s="237"/>
      <c r="AP779" s="237"/>
      <c r="AQ779" s="237"/>
      <c r="AR779" s="237"/>
      <c r="AS779" s="237"/>
      <c r="AT779" s="237"/>
      <c r="AU779" s="237"/>
      <c r="AV779" s="237"/>
      <c r="AW779" s="237"/>
      <c r="AX779" s="237"/>
    </row>
    <row r="780" spans="3:50" x14ac:dyDescent="0.2">
      <c r="C780" s="228"/>
      <c r="D780" s="228"/>
      <c r="E780" s="228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  <c r="AA780" s="237"/>
      <c r="AB780" s="237"/>
      <c r="AC780" s="237"/>
      <c r="AD780" s="237"/>
      <c r="AE780" s="237"/>
      <c r="AF780" s="237"/>
      <c r="AG780" s="237"/>
      <c r="AH780" s="237"/>
      <c r="AI780" s="237"/>
      <c r="AJ780" s="237"/>
      <c r="AK780" s="237"/>
      <c r="AL780" s="237"/>
      <c r="AM780" s="237"/>
      <c r="AN780" s="237"/>
      <c r="AO780" s="237"/>
      <c r="AP780" s="237"/>
      <c r="AQ780" s="237"/>
      <c r="AR780" s="237"/>
      <c r="AS780" s="237"/>
      <c r="AT780" s="237"/>
      <c r="AU780" s="237"/>
      <c r="AV780" s="237"/>
      <c r="AW780" s="237"/>
      <c r="AX780" s="237"/>
    </row>
    <row r="781" spans="3:50" x14ac:dyDescent="0.2">
      <c r="C781" s="228"/>
      <c r="D781" s="228"/>
      <c r="E781" s="228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  <c r="AA781" s="237"/>
      <c r="AB781" s="237"/>
      <c r="AC781" s="237"/>
      <c r="AD781" s="237"/>
      <c r="AE781" s="237"/>
      <c r="AF781" s="237"/>
      <c r="AG781" s="237"/>
      <c r="AH781" s="237"/>
      <c r="AI781" s="237"/>
      <c r="AJ781" s="237"/>
      <c r="AK781" s="237"/>
      <c r="AL781" s="237"/>
      <c r="AM781" s="237"/>
      <c r="AN781" s="237"/>
      <c r="AO781" s="237"/>
      <c r="AP781" s="237"/>
      <c r="AQ781" s="237"/>
      <c r="AR781" s="237"/>
      <c r="AS781" s="237"/>
      <c r="AT781" s="237"/>
      <c r="AU781" s="237"/>
      <c r="AV781" s="237"/>
      <c r="AW781" s="237"/>
      <c r="AX781" s="237"/>
    </row>
    <row r="782" spans="3:50" x14ac:dyDescent="0.2">
      <c r="C782" s="228"/>
      <c r="D782" s="228"/>
      <c r="E782" s="228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  <c r="AA782" s="237"/>
      <c r="AB782" s="237"/>
      <c r="AC782" s="237"/>
      <c r="AD782" s="237"/>
      <c r="AE782" s="237"/>
      <c r="AF782" s="237"/>
      <c r="AG782" s="237"/>
      <c r="AH782" s="237"/>
      <c r="AI782" s="237"/>
      <c r="AJ782" s="237"/>
      <c r="AK782" s="237"/>
      <c r="AL782" s="237"/>
      <c r="AM782" s="237"/>
      <c r="AN782" s="237"/>
      <c r="AO782" s="237"/>
      <c r="AP782" s="237"/>
      <c r="AQ782" s="237"/>
      <c r="AR782" s="237"/>
      <c r="AS782" s="237"/>
      <c r="AT782" s="237"/>
      <c r="AU782" s="237"/>
      <c r="AV782" s="237"/>
      <c r="AW782" s="237"/>
      <c r="AX782" s="237"/>
    </row>
    <row r="783" spans="3:50" x14ac:dyDescent="0.2">
      <c r="C783" s="228"/>
      <c r="D783" s="228"/>
      <c r="E783" s="228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  <c r="AA783" s="237"/>
      <c r="AB783" s="237"/>
      <c r="AC783" s="237"/>
      <c r="AD783" s="237"/>
      <c r="AE783" s="237"/>
      <c r="AF783" s="237"/>
      <c r="AG783" s="237"/>
      <c r="AH783" s="237"/>
      <c r="AI783" s="237"/>
      <c r="AJ783" s="237"/>
      <c r="AK783" s="237"/>
      <c r="AL783" s="237"/>
      <c r="AM783" s="237"/>
      <c r="AN783" s="237"/>
      <c r="AO783" s="237"/>
      <c r="AP783" s="237"/>
      <c r="AQ783" s="237"/>
      <c r="AR783" s="237"/>
      <c r="AS783" s="237"/>
      <c r="AT783" s="237"/>
      <c r="AU783" s="237"/>
      <c r="AV783" s="237"/>
      <c r="AW783" s="237"/>
      <c r="AX783" s="237"/>
    </row>
    <row r="784" spans="3:50" x14ac:dyDescent="0.2">
      <c r="C784" s="228"/>
      <c r="D784" s="228"/>
      <c r="E784" s="228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  <c r="AA784" s="237"/>
      <c r="AB784" s="237"/>
      <c r="AC784" s="237"/>
      <c r="AD784" s="237"/>
      <c r="AE784" s="237"/>
      <c r="AF784" s="237"/>
      <c r="AG784" s="237"/>
      <c r="AH784" s="237"/>
      <c r="AI784" s="237"/>
      <c r="AJ784" s="237"/>
      <c r="AK784" s="237"/>
      <c r="AL784" s="237"/>
      <c r="AM784" s="237"/>
      <c r="AN784" s="237"/>
      <c r="AO784" s="237"/>
      <c r="AP784" s="237"/>
      <c r="AQ784" s="237"/>
      <c r="AR784" s="237"/>
      <c r="AS784" s="237"/>
      <c r="AT784" s="237"/>
      <c r="AU784" s="237"/>
      <c r="AV784" s="237"/>
      <c r="AW784" s="237"/>
      <c r="AX784" s="237"/>
    </row>
    <row r="785" spans="3:50" x14ac:dyDescent="0.2">
      <c r="C785" s="228"/>
      <c r="D785" s="228"/>
      <c r="E785" s="228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  <c r="AA785" s="237"/>
      <c r="AB785" s="237"/>
      <c r="AC785" s="237"/>
      <c r="AD785" s="237"/>
      <c r="AE785" s="237"/>
      <c r="AF785" s="237"/>
      <c r="AG785" s="237"/>
      <c r="AH785" s="237"/>
      <c r="AI785" s="237"/>
      <c r="AJ785" s="237"/>
      <c r="AK785" s="237"/>
      <c r="AL785" s="237"/>
      <c r="AM785" s="237"/>
      <c r="AN785" s="237"/>
      <c r="AO785" s="237"/>
      <c r="AP785" s="237"/>
      <c r="AQ785" s="237"/>
      <c r="AR785" s="237"/>
      <c r="AS785" s="237"/>
      <c r="AT785" s="237"/>
      <c r="AU785" s="237"/>
      <c r="AV785" s="237"/>
      <c r="AW785" s="237"/>
      <c r="AX785" s="237"/>
    </row>
    <row r="786" spans="3:50" x14ac:dyDescent="0.2">
      <c r="C786" s="228"/>
      <c r="D786" s="228"/>
      <c r="E786" s="228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  <c r="AA786" s="237"/>
      <c r="AB786" s="237"/>
      <c r="AC786" s="237"/>
      <c r="AD786" s="237"/>
      <c r="AE786" s="237"/>
      <c r="AF786" s="237"/>
      <c r="AG786" s="237"/>
      <c r="AH786" s="237"/>
      <c r="AI786" s="237"/>
      <c r="AJ786" s="237"/>
      <c r="AK786" s="237"/>
      <c r="AL786" s="237"/>
      <c r="AM786" s="237"/>
      <c r="AN786" s="237"/>
      <c r="AO786" s="237"/>
      <c r="AP786" s="237"/>
      <c r="AQ786" s="237"/>
      <c r="AR786" s="237"/>
      <c r="AS786" s="237"/>
      <c r="AT786" s="237"/>
      <c r="AU786" s="237"/>
      <c r="AV786" s="237"/>
      <c r="AW786" s="237"/>
      <c r="AX786" s="237"/>
    </row>
    <row r="787" spans="3:50" x14ac:dyDescent="0.2">
      <c r="C787" s="228"/>
      <c r="D787" s="228"/>
      <c r="E787" s="228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  <c r="AA787" s="237"/>
      <c r="AB787" s="237"/>
      <c r="AC787" s="237"/>
      <c r="AD787" s="237"/>
      <c r="AE787" s="237"/>
      <c r="AF787" s="237"/>
      <c r="AG787" s="237"/>
      <c r="AH787" s="237"/>
      <c r="AI787" s="237"/>
      <c r="AJ787" s="237"/>
      <c r="AK787" s="237"/>
      <c r="AL787" s="237"/>
      <c r="AM787" s="237"/>
      <c r="AN787" s="237"/>
      <c r="AO787" s="237"/>
      <c r="AP787" s="237"/>
      <c r="AQ787" s="237"/>
      <c r="AR787" s="237"/>
      <c r="AS787" s="237"/>
      <c r="AT787" s="237"/>
      <c r="AU787" s="237"/>
      <c r="AV787" s="237"/>
      <c r="AW787" s="237"/>
      <c r="AX787" s="237"/>
    </row>
    <row r="788" spans="3:50" x14ac:dyDescent="0.2">
      <c r="C788" s="228"/>
      <c r="D788" s="228"/>
      <c r="E788" s="228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  <c r="AA788" s="237"/>
      <c r="AB788" s="237"/>
      <c r="AC788" s="237"/>
      <c r="AD788" s="237"/>
      <c r="AE788" s="237"/>
      <c r="AF788" s="237"/>
      <c r="AG788" s="237"/>
      <c r="AH788" s="237"/>
      <c r="AI788" s="237"/>
      <c r="AJ788" s="237"/>
      <c r="AK788" s="237"/>
      <c r="AL788" s="237"/>
      <c r="AM788" s="237"/>
      <c r="AN788" s="237"/>
      <c r="AO788" s="237"/>
      <c r="AP788" s="237"/>
      <c r="AQ788" s="237"/>
      <c r="AR788" s="237"/>
      <c r="AS788" s="237"/>
      <c r="AT788" s="237"/>
      <c r="AU788" s="237"/>
      <c r="AV788" s="237"/>
      <c r="AW788" s="237"/>
      <c r="AX788" s="237"/>
    </row>
    <row r="789" spans="3:50" x14ac:dyDescent="0.2">
      <c r="C789" s="228"/>
      <c r="D789" s="228"/>
      <c r="E789" s="228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  <c r="AA789" s="237"/>
      <c r="AB789" s="237"/>
      <c r="AC789" s="237"/>
      <c r="AD789" s="237"/>
      <c r="AE789" s="237"/>
      <c r="AF789" s="237"/>
      <c r="AG789" s="237"/>
      <c r="AH789" s="237"/>
      <c r="AI789" s="237"/>
      <c r="AJ789" s="237"/>
      <c r="AK789" s="237"/>
      <c r="AL789" s="237"/>
      <c r="AM789" s="237"/>
      <c r="AN789" s="237"/>
      <c r="AO789" s="237"/>
      <c r="AP789" s="237"/>
      <c r="AQ789" s="237"/>
      <c r="AR789" s="237"/>
      <c r="AS789" s="237"/>
      <c r="AT789" s="237"/>
      <c r="AU789" s="237"/>
      <c r="AV789" s="237"/>
      <c r="AW789" s="237"/>
      <c r="AX789" s="237"/>
    </row>
    <row r="790" spans="3:50" x14ac:dyDescent="0.2">
      <c r="C790" s="228"/>
      <c r="D790" s="228"/>
      <c r="E790" s="228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  <c r="AA790" s="237"/>
      <c r="AB790" s="237"/>
      <c r="AC790" s="237"/>
      <c r="AD790" s="237"/>
      <c r="AE790" s="237"/>
      <c r="AF790" s="237"/>
      <c r="AG790" s="237"/>
      <c r="AH790" s="237"/>
      <c r="AI790" s="237"/>
      <c r="AJ790" s="237"/>
      <c r="AK790" s="237"/>
      <c r="AL790" s="237"/>
      <c r="AM790" s="237"/>
      <c r="AN790" s="237"/>
      <c r="AO790" s="237"/>
      <c r="AP790" s="237"/>
      <c r="AQ790" s="237"/>
      <c r="AR790" s="237"/>
      <c r="AS790" s="237"/>
      <c r="AT790" s="237"/>
      <c r="AU790" s="237"/>
      <c r="AV790" s="237"/>
      <c r="AW790" s="237"/>
      <c r="AX790" s="237"/>
    </row>
    <row r="791" spans="3:50" x14ac:dyDescent="0.2">
      <c r="C791" s="228"/>
      <c r="D791" s="228"/>
      <c r="E791" s="228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  <c r="AA791" s="237"/>
      <c r="AB791" s="237"/>
      <c r="AC791" s="237"/>
      <c r="AD791" s="237"/>
      <c r="AE791" s="237"/>
      <c r="AF791" s="237"/>
      <c r="AG791" s="237"/>
      <c r="AH791" s="237"/>
      <c r="AI791" s="237"/>
      <c r="AJ791" s="237"/>
      <c r="AK791" s="237"/>
      <c r="AL791" s="237"/>
      <c r="AM791" s="237"/>
      <c r="AN791" s="237"/>
      <c r="AO791" s="237"/>
      <c r="AP791" s="237"/>
      <c r="AQ791" s="237"/>
      <c r="AR791" s="237"/>
      <c r="AS791" s="237"/>
      <c r="AT791" s="237"/>
      <c r="AU791" s="237"/>
      <c r="AV791" s="237"/>
      <c r="AW791" s="237"/>
      <c r="AX791" s="237"/>
    </row>
    <row r="792" spans="3:50" x14ac:dyDescent="0.2">
      <c r="C792" s="228"/>
      <c r="D792" s="228"/>
      <c r="E792" s="228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  <c r="AA792" s="237"/>
      <c r="AB792" s="237"/>
      <c r="AC792" s="237"/>
      <c r="AD792" s="237"/>
      <c r="AE792" s="237"/>
      <c r="AF792" s="237"/>
      <c r="AG792" s="237"/>
      <c r="AH792" s="237"/>
      <c r="AI792" s="237"/>
      <c r="AJ792" s="237"/>
      <c r="AK792" s="237"/>
      <c r="AL792" s="237"/>
      <c r="AM792" s="237"/>
      <c r="AN792" s="237"/>
      <c r="AO792" s="237"/>
      <c r="AP792" s="237"/>
      <c r="AQ792" s="237"/>
      <c r="AR792" s="237"/>
      <c r="AS792" s="237"/>
      <c r="AT792" s="237"/>
      <c r="AU792" s="237"/>
      <c r="AV792" s="237"/>
      <c r="AW792" s="237"/>
      <c r="AX792" s="237"/>
    </row>
    <row r="793" spans="3:50" x14ac:dyDescent="0.2">
      <c r="C793" s="228"/>
      <c r="D793" s="228"/>
      <c r="E793" s="228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  <c r="AA793" s="237"/>
      <c r="AB793" s="237"/>
      <c r="AC793" s="237"/>
      <c r="AD793" s="237"/>
      <c r="AE793" s="237"/>
      <c r="AF793" s="237"/>
      <c r="AG793" s="237"/>
      <c r="AH793" s="237"/>
      <c r="AI793" s="237"/>
      <c r="AJ793" s="237"/>
      <c r="AK793" s="237"/>
      <c r="AL793" s="237"/>
      <c r="AM793" s="237"/>
      <c r="AN793" s="237"/>
      <c r="AO793" s="237"/>
      <c r="AP793" s="237"/>
      <c r="AQ793" s="237"/>
      <c r="AR793" s="237"/>
      <c r="AS793" s="237"/>
      <c r="AT793" s="237"/>
      <c r="AU793" s="237"/>
      <c r="AV793" s="237"/>
      <c r="AW793" s="237"/>
      <c r="AX793" s="237"/>
    </row>
    <row r="794" spans="3:50" x14ac:dyDescent="0.2">
      <c r="C794" s="228"/>
      <c r="D794" s="228"/>
      <c r="E794" s="228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  <c r="AA794" s="237"/>
      <c r="AB794" s="237"/>
      <c r="AC794" s="237"/>
      <c r="AD794" s="237"/>
      <c r="AE794" s="237"/>
      <c r="AF794" s="237"/>
      <c r="AG794" s="237"/>
      <c r="AH794" s="237"/>
      <c r="AI794" s="237"/>
      <c r="AJ794" s="237"/>
      <c r="AK794" s="237"/>
      <c r="AL794" s="237"/>
      <c r="AM794" s="237"/>
      <c r="AN794" s="237"/>
      <c r="AO794" s="237"/>
      <c r="AP794" s="237"/>
      <c r="AQ794" s="237"/>
      <c r="AR794" s="237"/>
      <c r="AS794" s="237"/>
      <c r="AT794" s="237"/>
      <c r="AU794" s="237"/>
      <c r="AV794" s="237"/>
      <c r="AW794" s="237"/>
      <c r="AX794" s="237"/>
    </row>
    <row r="795" spans="3:50" x14ac:dyDescent="0.2">
      <c r="C795" s="228"/>
      <c r="D795" s="228"/>
      <c r="E795" s="228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  <c r="AA795" s="237"/>
      <c r="AB795" s="237"/>
      <c r="AC795" s="237"/>
      <c r="AD795" s="237"/>
      <c r="AE795" s="237"/>
      <c r="AF795" s="237"/>
      <c r="AG795" s="237"/>
      <c r="AH795" s="237"/>
      <c r="AI795" s="237"/>
      <c r="AJ795" s="237"/>
      <c r="AK795" s="237"/>
      <c r="AL795" s="237"/>
      <c r="AM795" s="237"/>
      <c r="AN795" s="237"/>
      <c r="AO795" s="237"/>
      <c r="AP795" s="237"/>
      <c r="AQ795" s="237"/>
      <c r="AR795" s="237"/>
      <c r="AS795" s="237"/>
      <c r="AT795" s="237"/>
      <c r="AU795" s="237"/>
      <c r="AV795" s="237"/>
      <c r="AW795" s="237"/>
      <c r="AX795" s="237"/>
    </row>
    <row r="796" spans="3:50" x14ac:dyDescent="0.2">
      <c r="C796" s="228"/>
      <c r="D796" s="228"/>
      <c r="E796" s="228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  <c r="AA796" s="237"/>
      <c r="AB796" s="237"/>
      <c r="AC796" s="237"/>
      <c r="AD796" s="237"/>
      <c r="AE796" s="237"/>
      <c r="AF796" s="237"/>
      <c r="AG796" s="237"/>
      <c r="AH796" s="237"/>
      <c r="AI796" s="237"/>
      <c r="AJ796" s="237"/>
      <c r="AK796" s="237"/>
      <c r="AL796" s="237"/>
      <c r="AM796" s="237"/>
      <c r="AN796" s="237"/>
      <c r="AO796" s="237"/>
      <c r="AP796" s="237"/>
      <c r="AQ796" s="237"/>
      <c r="AR796" s="237"/>
      <c r="AS796" s="237"/>
      <c r="AT796" s="237"/>
      <c r="AU796" s="237"/>
      <c r="AV796" s="237"/>
      <c r="AW796" s="237"/>
      <c r="AX796" s="237"/>
    </row>
    <row r="797" spans="3:50" x14ac:dyDescent="0.2">
      <c r="C797" s="228"/>
      <c r="D797" s="228"/>
      <c r="E797" s="228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  <c r="AA797" s="237"/>
      <c r="AB797" s="237"/>
      <c r="AC797" s="237"/>
      <c r="AD797" s="237"/>
      <c r="AE797" s="237"/>
      <c r="AF797" s="237"/>
      <c r="AG797" s="237"/>
      <c r="AH797" s="237"/>
      <c r="AI797" s="237"/>
      <c r="AJ797" s="237"/>
      <c r="AK797" s="237"/>
      <c r="AL797" s="237"/>
      <c r="AM797" s="237"/>
      <c r="AN797" s="237"/>
      <c r="AO797" s="237"/>
      <c r="AP797" s="237"/>
      <c r="AQ797" s="237"/>
      <c r="AR797" s="237"/>
      <c r="AS797" s="237"/>
      <c r="AT797" s="237"/>
      <c r="AU797" s="237"/>
      <c r="AV797" s="237"/>
      <c r="AW797" s="237"/>
      <c r="AX797" s="237"/>
    </row>
    <row r="798" spans="3:50" x14ac:dyDescent="0.2">
      <c r="C798" s="228"/>
      <c r="D798" s="228"/>
      <c r="E798" s="228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  <c r="AA798" s="237"/>
      <c r="AB798" s="237"/>
      <c r="AC798" s="237"/>
      <c r="AD798" s="237"/>
      <c r="AE798" s="237"/>
      <c r="AF798" s="237"/>
      <c r="AG798" s="237"/>
      <c r="AH798" s="237"/>
      <c r="AI798" s="237"/>
      <c r="AJ798" s="237"/>
      <c r="AK798" s="237"/>
      <c r="AL798" s="237"/>
      <c r="AM798" s="237"/>
      <c r="AN798" s="237"/>
      <c r="AO798" s="237"/>
      <c r="AP798" s="237"/>
      <c r="AQ798" s="237"/>
      <c r="AR798" s="237"/>
      <c r="AS798" s="237"/>
      <c r="AT798" s="237"/>
      <c r="AU798" s="237"/>
      <c r="AV798" s="237"/>
      <c r="AW798" s="237"/>
      <c r="AX798" s="237"/>
    </row>
    <row r="799" spans="3:50" x14ac:dyDescent="0.2">
      <c r="C799" s="228"/>
      <c r="D799" s="228"/>
      <c r="E799" s="228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  <c r="AA799" s="237"/>
      <c r="AB799" s="237"/>
      <c r="AC799" s="237"/>
      <c r="AD799" s="237"/>
      <c r="AE799" s="237"/>
      <c r="AF799" s="237"/>
      <c r="AG799" s="237"/>
      <c r="AH799" s="237"/>
      <c r="AI799" s="237"/>
      <c r="AJ799" s="237"/>
      <c r="AK799" s="237"/>
      <c r="AL799" s="237"/>
      <c r="AM799" s="237"/>
      <c r="AN799" s="237"/>
      <c r="AO799" s="237"/>
      <c r="AP799" s="237"/>
      <c r="AQ799" s="237"/>
      <c r="AR799" s="237"/>
      <c r="AS799" s="237"/>
      <c r="AT799" s="237"/>
      <c r="AU799" s="237"/>
      <c r="AV799" s="237"/>
      <c r="AW799" s="237"/>
      <c r="AX799" s="237"/>
    </row>
    <row r="800" spans="3:50" x14ac:dyDescent="0.2">
      <c r="C800" s="228"/>
      <c r="D800" s="228"/>
      <c r="E800" s="228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  <c r="AA800" s="237"/>
      <c r="AB800" s="237"/>
      <c r="AC800" s="237"/>
      <c r="AD800" s="237"/>
      <c r="AE800" s="237"/>
      <c r="AF800" s="237"/>
      <c r="AG800" s="237"/>
      <c r="AH800" s="237"/>
      <c r="AI800" s="237"/>
      <c r="AJ800" s="237"/>
      <c r="AK800" s="237"/>
      <c r="AL800" s="237"/>
      <c r="AM800" s="237"/>
      <c r="AN800" s="237"/>
      <c r="AO800" s="237"/>
      <c r="AP800" s="237"/>
      <c r="AQ800" s="237"/>
      <c r="AR800" s="237"/>
      <c r="AS800" s="237"/>
      <c r="AT800" s="237"/>
      <c r="AU800" s="237"/>
      <c r="AV800" s="237"/>
      <c r="AW800" s="237"/>
      <c r="AX800" s="237"/>
    </row>
    <row r="801" spans="3:50" x14ac:dyDescent="0.2">
      <c r="C801" s="228"/>
      <c r="D801" s="228"/>
      <c r="E801" s="228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  <c r="AA801" s="237"/>
      <c r="AB801" s="237"/>
      <c r="AC801" s="237"/>
      <c r="AD801" s="237"/>
      <c r="AE801" s="237"/>
      <c r="AF801" s="237"/>
      <c r="AG801" s="237"/>
      <c r="AH801" s="237"/>
      <c r="AI801" s="237"/>
      <c r="AJ801" s="237"/>
      <c r="AK801" s="237"/>
      <c r="AL801" s="237"/>
      <c r="AM801" s="237"/>
      <c r="AN801" s="237"/>
      <c r="AO801" s="237"/>
      <c r="AP801" s="237"/>
      <c r="AQ801" s="237"/>
      <c r="AR801" s="237"/>
      <c r="AS801" s="237"/>
      <c r="AT801" s="237"/>
      <c r="AU801" s="237"/>
      <c r="AV801" s="237"/>
      <c r="AW801" s="237"/>
      <c r="AX801" s="237"/>
    </row>
    <row r="802" spans="3:50" x14ac:dyDescent="0.2">
      <c r="C802" s="228"/>
      <c r="D802" s="228"/>
      <c r="E802" s="228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  <c r="AA802" s="237"/>
      <c r="AB802" s="237"/>
      <c r="AC802" s="237"/>
      <c r="AD802" s="237"/>
      <c r="AE802" s="237"/>
      <c r="AF802" s="237"/>
      <c r="AG802" s="237"/>
      <c r="AH802" s="237"/>
      <c r="AI802" s="237"/>
      <c r="AJ802" s="237"/>
      <c r="AK802" s="237"/>
      <c r="AL802" s="237"/>
      <c r="AM802" s="237"/>
      <c r="AN802" s="237"/>
      <c r="AO802" s="237"/>
      <c r="AP802" s="237"/>
      <c r="AQ802" s="237"/>
      <c r="AR802" s="237"/>
      <c r="AS802" s="237"/>
      <c r="AT802" s="237"/>
      <c r="AU802" s="237"/>
      <c r="AV802" s="237"/>
      <c r="AW802" s="237"/>
      <c r="AX802" s="237"/>
    </row>
    <row r="803" spans="3:50" x14ac:dyDescent="0.2">
      <c r="C803" s="228"/>
      <c r="D803" s="228"/>
      <c r="E803" s="228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  <c r="AA803" s="237"/>
      <c r="AB803" s="237"/>
      <c r="AC803" s="237"/>
      <c r="AD803" s="237"/>
      <c r="AE803" s="237"/>
      <c r="AF803" s="237"/>
      <c r="AG803" s="237"/>
      <c r="AH803" s="237"/>
      <c r="AI803" s="237"/>
      <c r="AJ803" s="237"/>
      <c r="AK803" s="237"/>
      <c r="AL803" s="237"/>
      <c r="AM803" s="237"/>
      <c r="AN803" s="237"/>
      <c r="AO803" s="237"/>
      <c r="AP803" s="237"/>
      <c r="AQ803" s="237"/>
      <c r="AR803" s="237"/>
      <c r="AS803" s="237"/>
      <c r="AT803" s="237"/>
      <c r="AU803" s="237"/>
      <c r="AV803" s="237"/>
      <c r="AW803" s="237"/>
      <c r="AX803" s="237"/>
    </row>
    <row r="804" spans="3:50" x14ac:dyDescent="0.2">
      <c r="C804" s="228"/>
      <c r="D804" s="228"/>
      <c r="E804" s="228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  <c r="AA804" s="237"/>
      <c r="AB804" s="237"/>
      <c r="AC804" s="237"/>
      <c r="AD804" s="237"/>
      <c r="AE804" s="237"/>
      <c r="AF804" s="237"/>
      <c r="AG804" s="237"/>
      <c r="AH804" s="237"/>
      <c r="AI804" s="237"/>
      <c r="AJ804" s="237"/>
      <c r="AK804" s="237"/>
      <c r="AL804" s="237"/>
      <c r="AM804" s="237"/>
      <c r="AN804" s="237"/>
      <c r="AO804" s="237"/>
      <c r="AP804" s="237"/>
      <c r="AQ804" s="237"/>
      <c r="AR804" s="237"/>
      <c r="AS804" s="237"/>
      <c r="AT804" s="237"/>
      <c r="AU804" s="237"/>
      <c r="AV804" s="237"/>
      <c r="AW804" s="237"/>
      <c r="AX804" s="237"/>
    </row>
    <row r="805" spans="3:50" x14ac:dyDescent="0.2">
      <c r="C805" s="228"/>
      <c r="D805" s="228"/>
      <c r="E805" s="228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  <c r="AA805" s="237"/>
      <c r="AB805" s="237"/>
      <c r="AC805" s="237"/>
      <c r="AD805" s="237"/>
      <c r="AE805" s="237"/>
      <c r="AF805" s="237"/>
      <c r="AG805" s="237"/>
      <c r="AH805" s="237"/>
      <c r="AI805" s="237"/>
      <c r="AJ805" s="237"/>
      <c r="AK805" s="237"/>
      <c r="AL805" s="237"/>
      <c r="AM805" s="237"/>
      <c r="AN805" s="237"/>
      <c r="AO805" s="237"/>
      <c r="AP805" s="237"/>
      <c r="AQ805" s="237"/>
      <c r="AR805" s="237"/>
      <c r="AS805" s="237"/>
      <c r="AT805" s="237"/>
      <c r="AU805" s="237"/>
      <c r="AV805" s="237"/>
      <c r="AW805" s="237"/>
      <c r="AX805" s="237"/>
    </row>
    <row r="806" spans="3:50" x14ac:dyDescent="0.2">
      <c r="C806" s="228"/>
      <c r="D806" s="228"/>
      <c r="E806" s="228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  <c r="AA806" s="237"/>
      <c r="AB806" s="237"/>
      <c r="AC806" s="237"/>
      <c r="AD806" s="237"/>
      <c r="AE806" s="237"/>
      <c r="AF806" s="237"/>
      <c r="AG806" s="237"/>
      <c r="AH806" s="237"/>
      <c r="AI806" s="237"/>
      <c r="AJ806" s="237"/>
      <c r="AK806" s="237"/>
      <c r="AL806" s="237"/>
      <c r="AM806" s="237"/>
      <c r="AN806" s="237"/>
      <c r="AO806" s="237"/>
      <c r="AP806" s="237"/>
      <c r="AQ806" s="237"/>
      <c r="AR806" s="237"/>
      <c r="AS806" s="237"/>
      <c r="AT806" s="237"/>
      <c r="AU806" s="237"/>
      <c r="AV806" s="237"/>
      <c r="AW806" s="237"/>
      <c r="AX806" s="237"/>
    </row>
    <row r="807" spans="3:50" x14ac:dyDescent="0.2">
      <c r="C807" s="228"/>
      <c r="D807" s="228"/>
      <c r="E807" s="228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  <c r="AA807" s="237"/>
      <c r="AB807" s="237"/>
      <c r="AC807" s="237"/>
      <c r="AD807" s="237"/>
      <c r="AE807" s="237"/>
      <c r="AF807" s="237"/>
      <c r="AG807" s="237"/>
      <c r="AH807" s="237"/>
      <c r="AI807" s="237"/>
      <c r="AJ807" s="237"/>
      <c r="AK807" s="237"/>
      <c r="AL807" s="237"/>
      <c r="AM807" s="237"/>
      <c r="AN807" s="237"/>
      <c r="AO807" s="237"/>
      <c r="AP807" s="237"/>
      <c r="AQ807" s="237"/>
      <c r="AR807" s="237"/>
      <c r="AS807" s="237"/>
      <c r="AT807" s="237"/>
      <c r="AU807" s="237"/>
      <c r="AV807" s="237"/>
      <c r="AW807" s="237"/>
      <c r="AX807" s="237"/>
    </row>
    <row r="808" spans="3:50" x14ac:dyDescent="0.2">
      <c r="C808" s="228"/>
      <c r="D808" s="228"/>
      <c r="E808" s="228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  <c r="AA808" s="237"/>
      <c r="AB808" s="237"/>
      <c r="AC808" s="237"/>
      <c r="AD808" s="237"/>
      <c r="AE808" s="237"/>
      <c r="AF808" s="237"/>
      <c r="AG808" s="237"/>
      <c r="AH808" s="237"/>
      <c r="AI808" s="237"/>
      <c r="AJ808" s="237"/>
      <c r="AK808" s="237"/>
      <c r="AL808" s="237"/>
      <c r="AM808" s="237"/>
      <c r="AN808" s="237"/>
      <c r="AO808" s="237"/>
      <c r="AP808" s="237"/>
      <c r="AQ808" s="237"/>
      <c r="AR808" s="237"/>
      <c r="AS808" s="237"/>
      <c r="AT808" s="237"/>
      <c r="AU808" s="237"/>
      <c r="AV808" s="237"/>
      <c r="AW808" s="237"/>
      <c r="AX808" s="237"/>
    </row>
    <row r="809" spans="3:50" x14ac:dyDescent="0.2">
      <c r="C809" s="228"/>
      <c r="D809" s="228"/>
      <c r="E809" s="228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  <c r="AA809" s="237"/>
      <c r="AB809" s="237"/>
      <c r="AC809" s="237"/>
      <c r="AD809" s="237"/>
      <c r="AE809" s="237"/>
      <c r="AF809" s="237"/>
      <c r="AG809" s="237"/>
      <c r="AH809" s="237"/>
      <c r="AI809" s="237"/>
      <c r="AJ809" s="237"/>
      <c r="AK809" s="237"/>
      <c r="AL809" s="237"/>
      <c r="AM809" s="237"/>
      <c r="AN809" s="237"/>
      <c r="AO809" s="237"/>
      <c r="AP809" s="237"/>
      <c r="AQ809" s="237"/>
      <c r="AR809" s="237"/>
      <c r="AS809" s="237"/>
      <c r="AT809" s="237"/>
      <c r="AU809" s="237"/>
      <c r="AV809" s="237"/>
      <c r="AW809" s="237"/>
      <c r="AX809" s="237"/>
    </row>
    <row r="810" spans="3:50" x14ac:dyDescent="0.2">
      <c r="C810" s="228"/>
      <c r="D810" s="228"/>
      <c r="E810" s="228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  <c r="AA810" s="237"/>
      <c r="AB810" s="237"/>
      <c r="AC810" s="237"/>
      <c r="AD810" s="237"/>
      <c r="AE810" s="237"/>
      <c r="AF810" s="237"/>
      <c r="AG810" s="237"/>
      <c r="AH810" s="237"/>
      <c r="AI810" s="237"/>
      <c r="AJ810" s="237"/>
      <c r="AK810" s="237"/>
      <c r="AL810" s="237"/>
      <c r="AM810" s="237"/>
      <c r="AN810" s="237"/>
      <c r="AO810" s="237"/>
      <c r="AP810" s="237"/>
      <c r="AQ810" s="237"/>
      <c r="AR810" s="237"/>
      <c r="AS810" s="237"/>
      <c r="AT810" s="237"/>
      <c r="AU810" s="237"/>
      <c r="AV810" s="237"/>
      <c r="AW810" s="237"/>
      <c r="AX810" s="237"/>
    </row>
    <row r="811" spans="3:50" x14ac:dyDescent="0.2">
      <c r="C811" s="228"/>
      <c r="D811" s="228"/>
      <c r="E811" s="228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  <c r="AA811" s="237"/>
      <c r="AB811" s="237"/>
      <c r="AC811" s="237"/>
      <c r="AD811" s="237"/>
      <c r="AE811" s="237"/>
      <c r="AF811" s="237"/>
      <c r="AG811" s="237"/>
      <c r="AH811" s="237"/>
      <c r="AI811" s="237"/>
      <c r="AJ811" s="237"/>
      <c r="AK811" s="237"/>
      <c r="AL811" s="237"/>
      <c r="AM811" s="237"/>
      <c r="AN811" s="237"/>
      <c r="AO811" s="237"/>
      <c r="AP811" s="237"/>
      <c r="AQ811" s="237"/>
      <c r="AR811" s="237"/>
      <c r="AS811" s="237"/>
      <c r="AT811" s="237"/>
      <c r="AU811" s="237"/>
      <c r="AV811" s="237"/>
      <c r="AW811" s="237"/>
      <c r="AX811" s="237"/>
    </row>
    <row r="812" spans="3:50" x14ac:dyDescent="0.2">
      <c r="C812" s="228"/>
      <c r="D812" s="228"/>
      <c r="E812" s="228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  <c r="AA812" s="237"/>
      <c r="AB812" s="237"/>
      <c r="AC812" s="237"/>
      <c r="AD812" s="237"/>
      <c r="AE812" s="237"/>
      <c r="AF812" s="237"/>
      <c r="AG812" s="237"/>
      <c r="AH812" s="237"/>
      <c r="AI812" s="237"/>
      <c r="AJ812" s="237"/>
      <c r="AK812" s="237"/>
      <c r="AL812" s="237"/>
      <c r="AM812" s="237"/>
      <c r="AN812" s="237"/>
      <c r="AO812" s="237"/>
      <c r="AP812" s="237"/>
      <c r="AQ812" s="237"/>
      <c r="AR812" s="237"/>
      <c r="AS812" s="237"/>
      <c r="AT812" s="237"/>
      <c r="AU812" s="237"/>
      <c r="AV812" s="237"/>
      <c r="AW812" s="237"/>
      <c r="AX812" s="237"/>
    </row>
    <row r="813" spans="3:50" x14ac:dyDescent="0.2">
      <c r="C813" s="228"/>
      <c r="D813" s="228"/>
      <c r="E813" s="228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  <c r="AA813" s="237"/>
      <c r="AB813" s="237"/>
      <c r="AC813" s="237"/>
      <c r="AD813" s="237"/>
      <c r="AE813" s="237"/>
      <c r="AF813" s="237"/>
      <c r="AG813" s="237"/>
      <c r="AH813" s="237"/>
      <c r="AI813" s="237"/>
      <c r="AJ813" s="237"/>
      <c r="AK813" s="237"/>
      <c r="AL813" s="237"/>
      <c r="AM813" s="237"/>
      <c r="AN813" s="237"/>
      <c r="AO813" s="237"/>
      <c r="AP813" s="237"/>
      <c r="AQ813" s="237"/>
      <c r="AR813" s="237"/>
      <c r="AS813" s="237"/>
      <c r="AT813" s="237"/>
      <c r="AU813" s="237"/>
      <c r="AV813" s="237"/>
      <c r="AW813" s="237"/>
      <c r="AX813" s="237"/>
    </row>
    <row r="814" spans="3:50" x14ac:dyDescent="0.2">
      <c r="C814" s="228"/>
      <c r="D814" s="228"/>
      <c r="E814" s="228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  <c r="AA814" s="237"/>
      <c r="AB814" s="237"/>
      <c r="AC814" s="237"/>
      <c r="AD814" s="237"/>
      <c r="AE814" s="237"/>
      <c r="AF814" s="237"/>
      <c r="AG814" s="237"/>
      <c r="AH814" s="237"/>
      <c r="AI814" s="237"/>
      <c r="AJ814" s="237"/>
      <c r="AK814" s="237"/>
      <c r="AL814" s="237"/>
      <c r="AM814" s="237"/>
      <c r="AN814" s="237"/>
      <c r="AO814" s="237"/>
      <c r="AP814" s="237"/>
      <c r="AQ814" s="237"/>
      <c r="AR814" s="237"/>
      <c r="AS814" s="237"/>
      <c r="AT814" s="237"/>
      <c r="AU814" s="237"/>
      <c r="AV814" s="237"/>
      <c r="AW814" s="237"/>
      <c r="AX814" s="237"/>
    </row>
    <row r="815" spans="3:50" x14ac:dyDescent="0.2">
      <c r="C815" s="228"/>
      <c r="D815" s="228"/>
      <c r="E815" s="228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  <c r="AA815" s="237"/>
      <c r="AB815" s="237"/>
      <c r="AC815" s="237"/>
      <c r="AD815" s="237"/>
      <c r="AE815" s="237"/>
      <c r="AF815" s="237"/>
      <c r="AG815" s="237"/>
      <c r="AH815" s="237"/>
      <c r="AI815" s="237"/>
      <c r="AJ815" s="237"/>
      <c r="AK815" s="237"/>
      <c r="AL815" s="237"/>
      <c r="AM815" s="237"/>
      <c r="AN815" s="237"/>
      <c r="AO815" s="237"/>
      <c r="AP815" s="237"/>
      <c r="AQ815" s="237"/>
      <c r="AR815" s="237"/>
      <c r="AS815" s="237"/>
      <c r="AT815" s="237"/>
      <c r="AU815" s="237"/>
      <c r="AV815" s="237"/>
      <c r="AW815" s="237"/>
      <c r="AX815" s="237"/>
    </row>
    <row r="816" spans="3:50" x14ac:dyDescent="0.2">
      <c r="C816" s="228"/>
      <c r="D816" s="228"/>
      <c r="E816" s="228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  <c r="AA816" s="237"/>
      <c r="AB816" s="237"/>
      <c r="AC816" s="237"/>
      <c r="AD816" s="237"/>
      <c r="AE816" s="237"/>
      <c r="AF816" s="237"/>
      <c r="AG816" s="237"/>
      <c r="AH816" s="237"/>
      <c r="AI816" s="237"/>
      <c r="AJ816" s="237"/>
      <c r="AK816" s="237"/>
      <c r="AL816" s="237"/>
      <c r="AM816" s="237"/>
      <c r="AN816" s="237"/>
      <c r="AO816" s="237"/>
      <c r="AP816" s="237"/>
      <c r="AQ816" s="237"/>
      <c r="AR816" s="237"/>
      <c r="AS816" s="237"/>
      <c r="AT816" s="237"/>
      <c r="AU816" s="237"/>
      <c r="AV816" s="237"/>
      <c r="AW816" s="237"/>
      <c r="AX816" s="237"/>
    </row>
    <row r="817" spans="3:50" x14ac:dyDescent="0.2">
      <c r="C817" s="228"/>
      <c r="D817" s="228"/>
      <c r="E817" s="228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  <c r="AA817" s="237"/>
      <c r="AB817" s="237"/>
      <c r="AC817" s="237"/>
      <c r="AD817" s="237"/>
      <c r="AE817" s="237"/>
      <c r="AF817" s="237"/>
      <c r="AG817" s="237"/>
      <c r="AH817" s="237"/>
      <c r="AI817" s="237"/>
      <c r="AJ817" s="237"/>
      <c r="AK817" s="237"/>
      <c r="AL817" s="237"/>
      <c r="AM817" s="237"/>
      <c r="AN817" s="237"/>
      <c r="AO817" s="237"/>
      <c r="AP817" s="237"/>
      <c r="AQ817" s="237"/>
      <c r="AR817" s="237"/>
      <c r="AS817" s="237"/>
      <c r="AT817" s="237"/>
      <c r="AU817" s="237"/>
      <c r="AV817" s="237"/>
      <c r="AW817" s="237"/>
      <c r="AX817" s="237"/>
    </row>
    <row r="818" spans="3:50" x14ac:dyDescent="0.2"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  <c r="AA818" s="237"/>
      <c r="AB818" s="237"/>
      <c r="AC818" s="237"/>
      <c r="AD818" s="237"/>
      <c r="AE818" s="237"/>
      <c r="AF818" s="237"/>
      <c r="AG818" s="237"/>
      <c r="AH818" s="237"/>
      <c r="AI818" s="237"/>
      <c r="AJ818" s="237"/>
      <c r="AK818" s="237"/>
      <c r="AL818" s="237"/>
      <c r="AM818" s="237"/>
      <c r="AN818" s="237"/>
      <c r="AO818" s="237"/>
      <c r="AP818" s="237"/>
      <c r="AQ818" s="237"/>
      <c r="AR818" s="237"/>
      <c r="AS818" s="237"/>
      <c r="AT818" s="237"/>
      <c r="AU818" s="237"/>
      <c r="AV818" s="237"/>
      <c r="AW818" s="237"/>
    </row>
    <row r="819" spans="3:50" x14ac:dyDescent="0.2"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  <c r="AA819" s="237"/>
      <c r="AB819" s="237"/>
      <c r="AC819" s="237"/>
      <c r="AD819" s="237"/>
      <c r="AE819" s="237"/>
      <c r="AF819" s="237"/>
      <c r="AG819" s="237"/>
      <c r="AH819" s="237"/>
      <c r="AI819" s="237"/>
      <c r="AJ819" s="237"/>
      <c r="AK819" s="237"/>
      <c r="AL819" s="237"/>
      <c r="AM819" s="237"/>
      <c r="AN819" s="237"/>
      <c r="AO819" s="237"/>
      <c r="AP819" s="237"/>
      <c r="AQ819" s="237"/>
      <c r="AR819" s="237"/>
      <c r="AS819" s="237"/>
      <c r="AT819" s="237"/>
      <c r="AU819" s="237"/>
      <c r="AV819" s="237"/>
      <c r="AW819" s="237"/>
    </row>
    <row r="820" spans="3:50" x14ac:dyDescent="0.2"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  <c r="AA820" s="237"/>
      <c r="AB820" s="237"/>
      <c r="AC820" s="237"/>
      <c r="AD820" s="237"/>
      <c r="AE820" s="237"/>
      <c r="AF820" s="237"/>
      <c r="AG820" s="237"/>
      <c r="AH820" s="237"/>
      <c r="AI820" s="237"/>
      <c r="AJ820" s="237"/>
      <c r="AK820" s="237"/>
      <c r="AL820" s="237"/>
      <c r="AM820" s="237"/>
      <c r="AN820" s="237"/>
      <c r="AO820" s="237"/>
      <c r="AP820" s="237"/>
      <c r="AQ820" s="237"/>
      <c r="AR820" s="237"/>
      <c r="AS820" s="237"/>
      <c r="AT820" s="237"/>
      <c r="AU820" s="237"/>
      <c r="AV820" s="237"/>
      <c r="AW820" s="237"/>
    </row>
  </sheetData>
  <mergeCells count="149">
    <mergeCell ref="D255:E255"/>
    <mergeCell ref="D256:E256"/>
    <mergeCell ref="D257:E257"/>
    <mergeCell ref="D258:E258"/>
    <mergeCell ref="D259:E259"/>
    <mergeCell ref="D246:E246"/>
    <mergeCell ref="D247:E247"/>
    <mergeCell ref="D248:E248"/>
    <mergeCell ref="D249:E249"/>
    <mergeCell ref="D250:E250"/>
    <mergeCell ref="D254:E254"/>
    <mergeCell ref="D237:E237"/>
    <mergeCell ref="D238:E238"/>
    <mergeCell ref="D239:E239"/>
    <mergeCell ref="D240:E240"/>
    <mergeCell ref="D241:E241"/>
    <mergeCell ref="D245:E245"/>
    <mergeCell ref="D228:E228"/>
    <mergeCell ref="D229:E229"/>
    <mergeCell ref="D230:E230"/>
    <mergeCell ref="D231:E231"/>
    <mergeCell ref="D235:E235"/>
    <mergeCell ref="D236:E236"/>
    <mergeCell ref="D219:E219"/>
    <mergeCell ref="D220:E220"/>
    <mergeCell ref="D221:E221"/>
    <mergeCell ref="D222:E222"/>
    <mergeCell ref="D226:E226"/>
    <mergeCell ref="D227:E227"/>
    <mergeCell ref="D210:E210"/>
    <mergeCell ref="D211:E211"/>
    <mergeCell ref="D212:E212"/>
    <mergeCell ref="D213:E213"/>
    <mergeCell ref="D217:E217"/>
    <mergeCell ref="D218:E218"/>
    <mergeCell ref="D201:E201"/>
    <mergeCell ref="D202:E202"/>
    <mergeCell ref="D203:E203"/>
    <mergeCell ref="D207:E207"/>
    <mergeCell ref="D208:E208"/>
    <mergeCell ref="D209:E209"/>
    <mergeCell ref="Q179:T179"/>
    <mergeCell ref="Q180:R180"/>
    <mergeCell ref="D197:E197"/>
    <mergeCell ref="D198:E198"/>
    <mergeCell ref="D199:E199"/>
    <mergeCell ref="D200:E200"/>
    <mergeCell ref="B168:B173"/>
    <mergeCell ref="D168:E168"/>
    <mergeCell ref="D169:E169"/>
    <mergeCell ref="D170:E170"/>
    <mergeCell ref="D171:E171"/>
    <mergeCell ref="D172:E172"/>
    <mergeCell ref="D173:E173"/>
    <mergeCell ref="B159:B164"/>
    <mergeCell ref="D159:E159"/>
    <mergeCell ref="D160:E160"/>
    <mergeCell ref="D161:E161"/>
    <mergeCell ref="D162:E162"/>
    <mergeCell ref="D163:E163"/>
    <mergeCell ref="D164:E164"/>
    <mergeCell ref="B149:B155"/>
    <mergeCell ref="D149:E149"/>
    <mergeCell ref="D150:E150"/>
    <mergeCell ref="D151:E151"/>
    <mergeCell ref="D152:E152"/>
    <mergeCell ref="D153:E153"/>
    <mergeCell ref="D154:E154"/>
    <mergeCell ref="D155:E155"/>
    <mergeCell ref="B140:B145"/>
    <mergeCell ref="D140:E140"/>
    <mergeCell ref="D141:E141"/>
    <mergeCell ref="D142:E142"/>
    <mergeCell ref="D143:E143"/>
    <mergeCell ref="D144:E144"/>
    <mergeCell ref="D145:E145"/>
    <mergeCell ref="B131:B136"/>
    <mergeCell ref="D131:E131"/>
    <mergeCell ref="D132:E132"/>
    <mergeCell ref="D133:E133"/>
    <mergeCell ref="D134:E134"/>
    <mergeCell ref="D135:E135"/>
    <mergeCell ref="D136:E136"/>
    <mergeCell ref="D121:E121"/>
    <mergeCell ref="D122:E122"/>
    <mergeCell ref="D123:E123"/>
    <mergeCell ref="D124:E124"/>
    <mergeCell ref="D125:E125"/>
    <mergeCell ref="D126:E126"/>
    <mergeCell ref="B111:B117"/>
    <mergeCell ref="D111:E111"/>
    <mergeCell ref="D112:E112"/>
    <mergeCell ref="D113:E113"/>
    <mergeCell ref="D114:E114"/>
    <mergeCell ref="D115:E115"/>
    <mergeCell ref="D116:E116"/>
    <mergeCell ref="D117:E117"/>
    <mergeCell ref="D127:E127"/>
    <mergeCell ref="D106:F106"/>
    <mergeCell ref="A83:A85"/>
    <mergeCell ref="C83:C85"/>
    <mergeCell ref="D83:E85"/>
    <mergeCell ref="C108:C110"/>
    <mergeCell ref="D91:F91"/>
    <mergeCell ref="B92:B94"/>
    <mergeCell ref="D92:E92"/>
    <mergeCell ref="D93:E93"/>
    <mergeCell ref="D94:E94"/>
    <mergeCell ref="D99:F99"/>
    <mergeCell ref="M79:M80"/>
    <mergeCell ref="C81:C82"/>
    <mergeCell ref="D81:E82"/>
    <mergeCell ref="G81:G82"/>
    <mergeCell ref="B64:B85"/>
    <mergeCell ref="C64:C70"/>
    <mergeCell ref="D64:E70"/>
    <mergeCell ref="B100:B103"/>
    <mergeCell ref="D100:E100"/>
    <mergeCell ref="D101:E101"/>
    <mergeCell ref="D102:E102"/>
    <mergeCell ref="A76:A78"/>
    <mergeCell ref="C76:C78"/>
    <mergeCell ref="D76:E78"/>
    <mergeCell ref="A79:A82"/>
    <mergeCell ref="G83:G85"/>
    <mergeCell ref="D56:E57"/>
    <mergeCell ref="D58:E60"/>
    <mergeCell ref="D63:E63"/>
    <mergeCell ref="C79:C80"/>
    <mergeCell ref="D79:E80"/>
    <mergeCell ref="G79:G80"/>
    <mergeCell ref="D3:F3"/>
    <mergeCell ref="B8:B15"/>
    <mergeCell ref="B17:B24"/>
    <mergeCell ref="D28:F28"/>
    <mergeCell ref="B33:B36"/>
    <mergeCell ref="D39:F39"/>
    <mergeCell ref="A71:A74"/>
    <mergeCell ref="C71:C75"/>
    <mergeCell ref="D71:E75"/>
    <mergeCell ref="Q46:Q50"/>
    <mergeCell ref="D51:E53"/>
    <mergeCell ref="D54:E55"/>
    <mergeCell ref="C41:C43"/>
    <mergeCell ref="B44:B60"/>
    <mergeCell ref="D44:E45"/>
    <mergeCell ref="C46:C50"/>
    <mergeCell ref="D46:E50"/>
    <mergeCell ref="O46:O50"/>
  </mergeCells>
  <pageMargins left="0.7" right="0.7" top="0.75" bottom="0.75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54E8-9EFC-4DA7-9701-AE8C758105C7}">
  <dimension ref="A1:BJ49"/>
  <sheetViews>
    <sheetView zoomScale="50" zoomScaleNormal="50" workbookViewId="0">
      <selection activeCell="G1" sqref="A1:G1"/>
    </sheetView>
  </sheetViews>
  <sheetFormatPr defaultColWidth="8.85546875" defaultRowHeight="15" x14ac:dyDescent="0.25"/>
  <cols>
    <col min="1" max="1" width="32.5703125" style="161" customWidth="1"/>
    <col min="2" max="3" width="8.85546875" style="161" customWidth="1"/>
    <col min="4" max="4" width="9.7109375" style="161" customWidth="1"/>
    <col min="5" max="5" width="11.140625" style="161" customWidth="1"/>
    <col min="6" max="7" width="8.85546875" style="161" customWidth="1"/>
    <col min="8" max="8" width="9.42578125" style="161" customWidth="1"/>
    <col min="9" max="9" width="11.42578125" style="161" customWidth="1"/>
    <col min="10" max="10" width="11.140625" style="161" customWidth="1"/>
    <col min="11" max="27" width="23.42578125" style="161" customWidth="1"/>
    <col min="28" max="62" width="1.85546875" style="161" bestFit="1" customWidth="1"/>
    <col min="63" max="16384" width="8.85546875" style="161"/>
  </cols>
  <sheetData>
    <row r="1" spans="1:62" ht="30" x14ac:dyDescent="0.25">
      <c r="A1" s="170" t="s">
        <v>44</v>
      </c>
      <c r="B1" s="170">
        <v>2010</v>
      </c>
      <c r="C1" s="170">
        <v>2011</v>
      </c>
      <c r="D1" s="170">
        <v>2012</v>
      </c>
      <c r="E1" s="170">
        <v>2013</v>
      </c>
      <c r="F1" s="170">
        <v>2014</v>
      </c>
      <c r="G1" s="170">
        <v>2015</v>
      </c>
      <c r="H1" s="170">
        <v>2016</v>
      </c>
      <c r="I1" s="170">
        <v>2017</v>
      </c>
      <c r="J1" s="170">
        <v>2018</v>
      </c>
      <c r="K1" s="170">
        <v>2019</v>
      </c>
      <c r="L1" s="170">
        <v>2020</v>
      </c>
      <c r="M1" s="170">
        <v>2021</v>
      </c>
      <c r="N1" s="170">
        <v>2022</v>
      </c>
      <c r="O1" s="170">
        <v>2023</v>
      </c>
      <c r="P1" s="170">
        <v>2024</v>
      </c>
      <c r="Q1" s="170">
        <v>2025</v>
      </c>
      <c r="R1" s="170">
        <v>2026</v>
      </c>
      <c r="S1" s="170">
        <v>2027</v>
      </c>
      <c r="T1" s="170">
        <v>2028</v>
      </c>
      <c r="U1" s="170">
        <v>2029</v>
      </c>
      <c r="V1" s="170">
        <v>2030</v>
      </c>
      <c r="W1" s="170">
        <v>2031</v>
      </c>
      <c r="X1" s="170">
        <v>2032</v>
      </c>
      <c r="Y1" s="170">
        <v>2033</v>
      </c>
      <c r="Z1" s="170">
        <v>2034</v>
      </c>
      <c r="AA1" s="170">
        <v>2035</v>
      </c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</row>
    <row r="2" spans="1:62" x14ac:dyDescent="0.25">
      <c r="A2" s="171" t="s">
        <v>35</v>
      </c>
      <c r="B2" s="163">
        <v>12.348319999999999</v>
      </c>
      <c r="C2" s="163">
        <v>13.402625</v>
      </c>
      <c r="D2" s="163">
        <v>14.45693</v>
      </c>
      <c r="E2" s="163">
        <v>14.584459999999998</v>
      </c>
      <c r="F2" s="163">
        <v>14.71199</v>
      </c>
      <c r="G2" s="163">
        <v>14.755529999999998</v>
      </c>
      <c r="H2" s="163">
        <v>14.799069999999999</v>
      </c>
      <c r="I2" s="163">
        <v>14.779864999999999</v>
      </c>
      <c r="J2" s="163">
        <v>14.76066</v>
      </c>
      <c r="K2" s="163">
        <v>14.76066</v>
      </c>
      <c r="L2" s="163">
        <v>14.76066</v>
      </c>
      <c r="M2" s="163">
        <v>13.635</v>
      </c>
      <c r="N2" s="163">
        <v>13.635</v>
      </c>
      <c r="O2" s="172">
        <f>+'5ta'!$R87*'Coberturas (PRIME)'!O$11</f>
        <v>14.310128964267692</v>
      </c>
      <c r="P2" s="172">
        <f>+'5ta'!$R87*'Coberturas (PRIME)'!P$11</f>
        <v>14.303117001075201</v>
      </c>
      <c r="Q2" s="172">
        <f>+'5ta'!$R87*'Coberturas (PRIME)'!Q$11</f>
        <v>14.296108473744676</v>
      </c>
      <c r="R2" s="172">
        <f>+'5ta'!$R87*'Coberturas (PRIME)'!R$11</f>
        <v>14.289103380592541</v>
      </c>
      <c r="S2" s="172">
        <f>+'5ta'!$R87*'Coberturas (PRIME)'!S$11</f>
        <v>14.282101719936051</v>
      </c>
      <c r="T2" s="172">
        <f>+'5ta'!$R87*'Coberturas (PRIME)'!T$11</f>
        <v>14.275103490093283</v>
      </c>
      <c r="U2" s="172">
        <f>+'5ta'!$R87*'Coberturas (PRIME)'!U$11</f>
        <v>14.268108689383137</v>
      </c>
      <c r="V2" s="172">
        <f>+'5ta'!$R87*'Coberturas (PRIME)'!V$11</f>
        <v>14.26111731612534</v>
      </c>
      <c r="W2" s="172">
        <f>+'5ta'!$R87*'Coberturas (PRIME)'!W$11</f>
        <v>14.254129368640438</v>
      </c>
      <c r="X2" s="172">
        <f>+'5ta'!$R87*'Coberturas (PRIME)'!X$11</f>
        <v>14.247144845249805</v>
      </c>
      <c r="Y2" s="172">
        <f>+'5ta'!$R87*'Coberturas (PRIME)'!Y$11</f>
        <v>14.24016374427563</v>
      </c>
      <c r="Z2" s="172">
        <f>+'5ta'!$R87*'Coberturas (PRIME)'!Z$11</f>
        <v>14.233186064040936</v>
      </c>
      <c r="AA2" s="172">
        <f>+'5ta'!$R87*'Coberturas (PRIME)'!AA$11</f>
        <v>14.226211802869555</v>
      </c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</row>
    <row r="3" spans="1:62" ht="30" x14ac:dyDescent="0.25">
      <c r="A3" s="171" t="s">
        <v>36</v>
      </c>
      <c r="B3" s="163">
        <v>120.58364</v>
      </c>
      <c r="C3" s="163">
        <v>126.21503000000001</v>
      </c>
      <c r="D3" s="163">
        <v>131.84642000000002</v>
      </c>
      <c r="E3" s="163">
        <v>136.01050000000001</v>
      </c>
      <c r="F3" s="163">
        <v>140.17457999999999</v>
      </c>
      <c r="G3" s="163">
        <v>140.004625</v>
      </c>
      <c r="H3" s="163">
        <v>139.83467000000002</v>
      </c>
      <c r="I3" s="163">
        <v>139.85384000000005</v>
      </c>
      <c r="J3" s="163">
        <v>139.87301000000002</v>
      </c>
      <c r="K3" s="163">
        <v>139.87301000000002</v>
      </c>
      <c r="L3" s="163">
        <v>139.87301000000002</v>
      </c>
      <c r="M3" s="163">
        <v>139.38600000000002</v>
      </c>
      <c r="N3" s="163">
        <v>139.38600000000002</v>
      </c>
      <c r="O3" s="172">
        <f>+'5ta'!$R88*'Coberturas (PRIME)'!O$11</f>
        <v>139.74106918032805</v>
      </c>
      <c r="P3" s="172">
        <f>+'5ta'!$R88*'Coberturas (PRIME)'!P$11</f>
        <v>139.67259605642968</v>
      </c>
      <c r="Q3" s="172">
        <f>+'5ta'!$R88*'Coberturas (PRIME)'!Q$11</f>
        <v>139.60415648436205</v>
      </c>
      <c r="R3" s="172">
        <f>+'5ta'!$R88*'Coberturas (PRIME)'!R$11</f>
        <v>139.53575044768471</v>
      </c>
      <c r="S3" s="172">
        <f>+'5ta'!$R88*'Coberturas (PRIME)'!S$11</f>
        <v>139.46737792996535</v>
      </c>
      <c r="T3" s="172">
        <f>+'5ta'!$R88*'Coberturas (PRIME)'!T$11</f>
        <v>139.39903891477968</v>
      </c>
      <c r="U3" s="172">
        <f>+'5ta'!$R88*'Coberturas (PRIME)'!U$11</f>
        <v>139.33073338571143</v>
      </c>
      <c r="V3" s="172">
        <f>+'5ta'!$R88*'Coberturas (PRIME)'!V$11</f>
        <v>139.26246132635245</v>
      </c>
      <c r="W3" s="172">
        <f>+'5ta'!$R88*'Coberturas (PRIME)'!W$11</f>
        <v>139.19422272030252</v>
      </c>
      <c r="X3" s="172">
        <f>+'5ta'!$R88*'Coberturas (PRIME)'!X$11</f>
        <v>139.12601755116958</v>
      </c>
      <c r="Y3" s="172">
        <f>+'5ta'!$R88*'Coberturas (PRIME)'!Y$11</f>
        <v>139.05784580256949</v>
      </c>
      <c r="Z3" s="172">
        <f>+'5ta'!$R88*'Coberturas (PRIME)'!Z$11</f>
        <v>138.98970745812622</v>
      </c>
      <c r="AA3" s="172">
        <f>+'5ta'!$R88*'Coberturas (PRIME)'!AA$11</f>
        <v>138.92160250147174</v>
      </c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</row>
    <row r="4" spans="1:62" ht="30" x14ac:dyDescent="0.25">
      <c r="A4" s="171" t="s">
        <v>37</v>
      </c>
      <c r="B4" s="163">
        <v>1153.0325599999999</v>
      </c>
      <c r="C4" s="163">
        <v>1158.7425649999998</v>
      </c>
      <c r="D4" s="163">
        <v>1164.4525700000002</v>
      </c>
      <c r="E4" s="163">
        <v>1198.650245</v>
      </c>
      <c r="F4" s="163">
        <v>1232.8479199999999</v>
      </c>
      <c r="G4" s="163">
        <v>1233.796515</v>
      </c>
      <c r="H4" s="163">
        <v>1234.7451100000003</v>
      </c>
      <c r="I4" s="163">
        <v>1245.5305000000001</v>
      </c>
      <c r="J4" s="163">
        <v>1256.3158900000001</v>
      </c>
      <c r="K4" s="163">
        <v>1256.3158900000001</v>
      </c>
      <c r="L4" s="163">
        <v>1256.3158900000001</v>
      </c>
      <c r="M4" s="163">
        <v>1257.5179999999998</v>
      </c>
      <c r="N4" s="163">
        <v>1257.5179999999998</v>
      </c>
      <c r="O4" s="172">
        <f>+'5ta'!$R89*'Coberturas (PRIME)'!O$11</f>
        <v>1336.217771615874</v>
      </c>
      <c r="P4" s="172">
        <f>+'5ta'!$R89*'Coberturas (PRIME)'!P$11</f>
        <v>1335.5630249077822</v>
      </c>
      <c r="Q4" s="172">
        <f>+'5ta'!$R89*'Coberturas (PRIME)'!Q$11</f>
        <v>1334.9085990255774</v>
      </c>
      <c r="R4" s="172">
        <f>+'5ta'!$R89*'Coberturas (PRIME)'!R$11</f>
        <v>1334.254493812055</v>
      </c>
      <c r="S4" s="172">
        <f>+'5ta'!$R89*'Coberturas (PRIME)'!S$11</f>
        <v>1333.6007091100871</v>
      </c>
      <c r="T4" s="172">
        <f>+'5ta'!$R89*'Coberturas (PRIME)'!T$11</f>
        <v>1332.9472447626231</v>
      </c>
      <c r="U4" s="172">
        <f>+'5ta'!$R89*'Coberturas (PRIME)'!U$11</f>
        <v>1332.2941006126894</v>
      </c>
      <c r="V4" s="172">
        <f>+'5ta'!$R89*'Coberturas (PRIME)'!V$11</f>
        <v>1331.6412765033892</v>
      </c>
      <c r="W4" s="172">
        <f>+'5ta'!$R89*'Coberturas (PRIME)'!W$11</f>
        <v>1330.9887722779026</v>
      </c>
      <c r="X4" s="172">
        <f>+'5ta'!$R89*'Coberturas (PRIME)'!X$11</f>
        <v>1330.3365877794865</v>
      </c>
      <c r="Y4" s="172">
        <f>+'5ta'!$R89*'Coberturas (PRIME)'!Y$11</f>
        <v>1329.6847228514744</v>
      </c>
      <c r="Z4" s="172">
        <f>+'5ta'!$R89*'Coberturas (PRIME)'!Z$11</f>
        <v>1329.0331773372773</v>
      </c>
      <c r="AA4" s="172">
        <f>+'5ta'!$R89*'Coberturas (PRIME)'!AA$11</f>
        <v>1328.3819510803819</v>
      </c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</row>
    <row r="5" spans="1:62" ht="30" x14ac:dyDescent="0.25">
      <c r="A5" s="171" t="s">
        <v>38</v>
      </c>
      <c r="B5" s="163">
        <v>468.70030000000003</v>
      </c>
      <c r="C5" s="163">
        <v>469.70792499999999</v>
      </c>
      <c r="D5" s="163">
        <v>470.71555000000001</v>
      </c>
      <c r="E5" s="163">
        <v>488.97562999999997</v>
      </c>
      <c r="F5" s="163">
        <v>507.23570999999998</v>
      </c>
      <c r="G5" s="163">
        <v>506.69036499999999</v>
      </c>
      <c r="H5" s="163">
        <v>506.14502000000005</v>
      </c>
      <c r="I5" s="163">
        <v>514.642335</v>
      </c>
      <c r="J5" s="163">
        <v>523.13965000000007</v>
      </c>
      <c r="K5" s="163">
        <v>523.13965000000007</v>
      </c>
      <c r="L5" s="163">
        <v>523.13965000000007</v>
      </c>
      <c r="M5" s="163">
        <v>515.14400000000001</v>
      </c>
      <c r="N5" s="163">
        <v>515.14400000000001</v>
      </c>
      <c r="O5" s="172">
        <f>+'5ta'!$R90*'Coberturas (PRIME)'!O$11</f>
        <v>543.16390720283869</v>
      </c>
      <c r="P5" s="172">
        <f>+'5ta'!$R90*'Coberturas (PRIME)'!P$11</f>
        <v>542.89775688830935</v>
      </c>
      <c r="Q5" s="172">
        <f>+'5ta'!$R90*'Coberturas (PRIME)'!Q$11</f>
        <v>542.63173698743412</v>
      </c>
      <c r="R5" s="172">
        <f>+'5ta'!$R90*'Coberturas (PRIME)'!R$11</f>
        <v>542.36584743631033</v>
      </c>
      <c r="S5" s="172">
        <f>+'5ta'!$R90*'Coberturas (PRIME)'!S$11</f>
        <v>542.10008817106655</v>
      </c>
      <c r="T5" s="172">
        <f>+'5ta'!$R90*'Coberturas (PRIME)'!T$11</f>
        <v>541.83445912786271</v>
      </c>
      <c r="U5" s="172">
        <f>+'5ta'!$R90*'Coberturas (PRIME)'!U$11</f>
        <v>541.56896024289006</v>
      </c>
      <c r="V5" s="172">
        <f>+'5ta'!$R90*'Coberturas (PRIME)'!V$11</f>
        <v>541.30359145237105</v>
      </c>
      <c r="W5" s="172">
        <f>+'5ta'!$R90*'Coberturas (PRIME)'!W$11</f>
        <v>541.03835269255944</v>
      </c>
      <c r="X5" s="172">
        <f>+'5ta'!$R90*'Coberturas (PRIME)'!X$11</f>
        <v>540.77324389974001</v>
      </c>
      <c r="Y5" s="172">
        <f>+'5ta'!$R90*'Coberturas (PRIME)'!Y$11</f>
        <v>540.50826501022914</v>
      </c>
      <c r="Z5" s="172">
        <f>+'5ta'!$R90*'Coberturas (PRIME)'!Z$11</f>
        <v>540.24341596037414</v>
      </c>
      <c r="AA5" s="172">
        <f>+'5ta'!$R90*'Coberturas (PRIME)'!AA$11</f>
        <v>539.97869668655346</v>
      </c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</row>
    <row r="6" spans="1:62" ht="45" x14ac:dyDescent="0.25">
      <c r="A6" s="171" t="s">
        <v>39</v>
      </c>
      <c r="B6" s="163">
        <v>322.78176000000002</v>
      </c>
      <c r="C6" s="163">
        <v>325.37089000000003</v>
      </c>
      <c r="D6" s="163">
        <v>327.96002000000004</v>
      </c>
      <c r="E6" s="163">
        <v>333.55776000000003</v>
      </c>
      <c r="F6" s="163">
        <v>339.15550000000002</v>
      </c>
      <c r="G6" s="163">
        <v>340.20731000000001</v>
      </c>
      <c r="H6" s="163">
        <v>341.25912</v>
      </c>
      <c r="I6" s="163">
        <v>357.94489000000004</v>
      </c>
      <c r="J6" s="163">
        <v>374.63065999999992</v>
      </c>
      <c r="K6" s="163">
        <v>374.63065999999992</v>
      </c>
      <c r="L6" s="163">
        <v>374.63065999999992</v>
      </c>
      <c r="M6" s="163">
        <v>375.10900000000004</v>
      </c>
      <c r="N6" s="163">
        <v>375.10900000000004</v>
      </c>
      <c r="O6" s="172">
        <f>+'5ta'!$R91*'Coberturas (PRIME)'!O$11</f>
        <v>374.06291810653624</v>
      </c>
      <c r="P6" s="172">
        <f>+'5ta'!$R91*'Coberturas (PRIME)'!P$11</f>
        <v>373.87962727666405</v>
      </c>
      <c r="Q6" s="172">
        <f>+'5ta'!$R91*'Coberturas (PRIME)'!Q$11</f>
        <v>373.69642625929851</v>
      </c>
      <c r="R6" s="172">
        <f>+'5ta'!$R91*'Coberturas (PRIME)'!R$11</f>
        <v>373.51331501043148</v>
      </c>
      <c r="S6" s="172">
        <f>+'5ta'!$R91*'Coberturas (PRIME)'!S$11</f>
        <v>373.33029348607641</v>
      </c>
      <c r="T6" s="172">
        <f>+'5ta'!$R91*'Coberturas (PRIME)'!T$11</f>
        <v>373.14736164226821</v>
      </c>
      <c r="U6" s="172">
        <f>+'5ta'!$R91*'Coberturas (PRIME)'!U$11</f>
        <v>372.96451943506349</v>
      </c>
      <c r="V6" s="172">
        <f>+'5ta'!$R91*'Coberturas (PRIME)'!V$11</f>
        <v>372.78176682054033</v>
      </c>
      <c r="W6" s="172">
        <f>+'5ta'!$R91*'Coberturas (PRIME)'!W$11</f>
        <v>372.59910375479831</v>
      </c>
      <c r="X6" s="172">
        <f>+'5ta'!$R91*'Coberturas (PRIME)'!X$11</f>
        <v>372.41653019395841</v>
      </c>
      <c r="Y6" s="172">
        <f>+'5ta'!$R91*'Coberturas (PRIME)'!Y$11</f>
        <v>372.23404609416332</v>
      </c>
      <c r="Z6" s="172">
        <f>+'5ta'!$R91*'Coberturas (PRIME)'!Z$11</f>
        <v>372.05165141157721</v>
      </c>
      <c r="AA6" s="172">
        <f>+'5ta'!$R91*'Coberturas (PRIME)'!AA$11</f>
        <v>371.86934610238552</v>
      </c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</row>
    <row r="7" spans="1:62" ht="45" x14ac:dyDescent="0.25">
      <c r="A7" s="171" t="s">
        <v>40</v>
      </c>
      <c r="B7" s="163">
        <v>2361.9546099999998</v>
      </c>
      <c r="C7" s="163">
        <v>2536.3037899999999</v>
      </c>
      <c r="D7" s="163">
        <v>2710.6529700000006</v>
      </c>
      <c r="E7" s="163">
        <v>2768.5833699999998</v>
      </c>
      <c r="F7" s="163">
        <v>2826.51377</v>
      </c>
      <c r="G7" s="163">
        <v>2858.75821</v>
      </c>
      <c r="H7" s="163">
        <v>2891.0026499999999</v>
      </c>
      <c r="I7" s="163">
        <v>2955.7263049999997</v>
      </c>
      <c r="J7" s="163">
        <v>3020.4499599999999</v>
      </c>
      <c r="K7" s="163">
        <v>3020.4499599999999</v>
      </c>
      <c r="L7" s="163">
        <v>3020.4499599999999</v>
      </c>
      <c r="M7" s="163">
        <v>2928.8820000000001</v>
      </c>
      <c r="N7" s="163">
        <v>2928.8820000000001</v>
      </c>
      <c r="O7" s="172">
        <f>+'5ta'!$R92*'Coberturas (PRIME)'!O$11</f>
        <v>2737.2043384724884</v>
      </c>
      <c r="P7" s="172">
        <f>+'5ta'!$R92*'Coberturas (PRIME)'!P$11</f>
        <v>2735.8631083466371</v>
      </c>
      <c r="Q7" s="172">
        <f>+'5ta'!$R92*'Coberturas (PRIME)'!Q$11</f>
        <v>2734.5225354235472</v>
      </c>
      <c r="R7" s="172">
        <f>+'5ta'!$R92*'Coberturas (PRIME)'!R$11</f>
        <v>2733.1826193811899</v>
      </c>
      <c r="S7" s="172">
        <f>+'5ta'!$R92*'Coberturas (PRIME)'!S$11</f>
        <v>2731.8433598976931</v>
      </c>
      <c r="T7" s="172">
        <f>+'5ta'!$R92*'Coberturas (PRIME)'!T$11</f>
        <v>2730.5047566513435</v>
      </c>
      <c r="U7" s="172">
        <f>+'5ta'!$R92*'Coberturas (PRIME)'!U$11</f>
        <v>2729.1668093205844</v>
      </c>
      <c r="V7" s="172">
        <f>+'5ta'!$R92*'Coberturas (PRIME)'!V$11</f>
        <v>2727.8295175840171</v>
      </c>
      <c r="W7" s="172">
        <f>+'5ta'!$R92*'Coberturas (PRIME)'!W$11</f>
        <v>2726.4928811204013</v>
      </c>
      <c r="X7" s="172">
        <f>+'5ta'!$R92*'Coberturas (PRIME)'!X$11</f>
        <v>2725.1568996086521</v>
      </c>
      <c r="Y7" s="172">
        <f>+'5ta'!$R92*'Coberturas (PRIME)'!Y$11</f>
        <v>2723.8215727278434</v>
      </c>
      <c r="Z7" s="172">
        <f>+'5ta'!$R92*'Coberturas (PRIME)'!Z$11</f>
        <v>2722.4869001572069</v>
      </c>
      <c r="AA7" s="172">
        <f>+'5ta'!$R92*'Coberturas (PRIME)'!AA$11</f>
        <v>2721.1528815761299</v>
      </c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</row>
    <row r="8" spans="1:62" ht="45" x14ac:dyDescent="0.25">
      <c r="A8" s="171" t="s">
        <v>41</v>
      </c>
      <c r="B8" s="163">
        <v>261.68610000000001</v>
      </c>
      <c r="C8" s="163">
        <v>263.62240000000003</v>
      </c>
      <c r="D8" s="163">
        <v>265.55870000000004</v>
      </c>
      <c r="E8" s="163">
        <v>269.70002000000005</v>
      </c>
      <c r="F8" s="163">
        <v>273.84134000000006</v>
      </c>
      <c r="G8" s="163">
        <v>268.73807500000004</v>
      </c>
      <c r="H8" s="163">
        <v>263.63481000000002</v>
      </c>
      <c r="I8" s="163">
        <v>262.90870499999994</v>
      </c>
      <c r="J8" s="163">
        <v>262.18259999999998</v>
      </c>
      <c r="K8" s="163">
        <v>262.18259999999998</v>
      </c>
      <c r="L8" s="163">
        <v>262.18259999999998</v>
      </c>
      <c r="M8" s="163">
        <v>240.48699999999999</v>
      </c>
      <c r="N8" s="163">
        <v>240.48699999999999</v>
      </c>
      <c r="O8" s="172">
        <f>+'5ta'!$R93*'Coberturas (PRIME)'!O$11</f>
        <v>303.2608354137447</v>
      </c>
      <c r="P8" s="172">
        <f>+'5ta'!$R93*'Coberturas (PRIME)'!P$11</f>
        <v>303.11223760439202</v>
      </c>
      <c r="Q8" s="172">
        <f>+'5ta'!$R93*'Coberturas (PRIME)'!Q$11</f>
        <v>302.96371260796587</v>
      </c>
      <c r="R8" s="172">
        <f>+'5ta'!$R93*'Coberturas (PRIME)'!R$11</f>
        <v>302.81526038878798</v>
      </c>
      <c r="S8" s="172">
        <f>+'5ta'!$R93*'Coberturas (PRIME)'!S$11</f>
        <v>302.6668809111975</v>
      </c>
      <c r="T8" s="172">
        <f>+'5ta'!$R93*'Coberturas (PRIME)'!T$11</f>
        <v>302.51857413955099</v>
      </c>
      <c r="U8" s="172">
        <f>+'5ta'!$R93*'Coberturas (PRIME)'!U$11</f>
        <v>302.37034003822265</v>
      </c>
      <c r="V8" s="172">
        <f>+'5ta'!$R93*'Coberturas (PRIME)'!V$11</f>
        <v>302.22217857160393</v>
      </c>
      <c r="W8" s="172">
        <f>+'5ta'!$R93*'Coberturas (PRIME)'!W$11</f>
        <v>302.07408970410381</v>
      </c>
      <c r="X8" s="172">
        <f>+'5ta'!$R93*'Coberturas (PRIME)'!X$11</f>
        <v>301.92607340014882</v>
      </c>
      <c r="Y8" s="172">
        <f>+'5ta'!$R93*'Coberturas (PRIME)'!Y$11</f>
        <v>301.77812962418272</v>
      </c>
      <c r="Z8" s="172">
        <f>+'5ta'!$R93*'Coberturas (PRIME)'!Z$11</f>
        <v>301.63025834066684</v>
      </c>
      <c r="AA8" s="172">
        <f>+'5ta'!$R93*'Coberturas (PRIME)'!AA$11</f>
        <v>301.48245951407989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</row>
    <row r="9" spans="1:62" x14ac:dyDescent="0.25">
      <c r="A9" s="171" t="s">
        <v>42</v>
      </c>
      <c r="B9" s="163">
        <v>64.990300000000005</v>
      </c>
      <c r="C9" s="163">
        <v>65.33518500000001</v>
      </c>
      <c r="D9" s="163">
        <v>65.680070000000001</v>
      </c>
      <c r="E9" s="163">
        <v>64.106674999999996</v>
      </c>
      <c r="F9" s="163">
        <v>62.533279999999998</v>
      </c>
      <c r="G9" s="163">
        <v>65.738849999999999</v>
      </c>
      <c r="H9" s="163">
        <v>68.944419999999994</v>
      </c>
      <c r="I9" s="163">
        <v>68.62894</v>
      </c>
      <c r="J9" s="163">
        <v>68.313460000000006</v>
      </c>
      <c r="K9" s="163">
        <v>68.313460000000006</v>
      </c>
      <c r="L9" s="163">
        <v>68.313460000000006</v>
      </c>
      <c r="M9" s="163">
        <v>98.086999999999989</v>
      </c>
      <c r="N9" s="163">
        <v>98.086999999999989</v>
      </c>
      <c r="O9" s="172">
        <f>+'5ta'!$R94*'Coberturas (PRIME)'!O$11</f>
        <v>75.31547404233504</v>
      </c>
      <c r="P9" s="172">
        <f>+'5ta'!$R94*'Coberturas (PRIME)'!P$11</f>
        <v>75.278569460054314</v>
      </c>
      <c r="Q9" s="172">
        <f>+'5ta'!$R94*'Coberturas (PRIME)'!Q$11</f>
        <v>75.241682961018881</v>
      </c>
      <c r="R9" s="172">
        <f>+'5ta'!$R94*'Coberturas (PRIME)'!R$11</f>
        <v>75.204814536367991</v>
      </c>
      <c r="S9" s="172">
        <f>+'5ta'!$R94*'Coberturas (PRIME)'!S$11</f>
        <v>75.167964177245167</v>
      </c>
      <c r="T9" s="172">
        <f>+'5ta'!$R94*'Coberturas (PRIME)'!T$11</f>
        <v>75.131131874798328</v>
      </c>
      <c r="U9" s="172">
        <f>+'5ta'!$R94*'Coberturas (PRIME)'!U$11</f>
        <v>75.094317620179666</v>
      </c>
      <c r="V9" s="172">
        <f>+'5ta'!$R94*'Coberturas (PRIME)'!V$11</f>
        <v>75.057521404545781</v>
      </c>
      <c r="W9" s="172">
        <f>+'5ta'!$R94*'Coberturas (PRIME)'!W$11</f>
        <v>75.020743219057564</v>
      </c>
      <c r="X9" s="172">
        <f>+'5ta'!$R94*'Coberturas (PRIME)'!X$11</f>
        <v>74.983983054880213</v>
      </c>
      <c r="Y9" s="172">
        <f>+'5ta'!$R94*'Coberturas (PRIME)'!Y$11</f>
        <v>74.947240903183314</v>
      </c>
      <c r="Z9" s="172">
        <f>+'5ta'!$R94*'Coberturas (PRIME)'!Z$11</f>
        <v>74.910516755140762</v>
      </c>
      <c r="AA9" s="172">
        <f>+'5ta'!$R94*'Coberturas (PRIME)'!AA$11</f>
        <v>74.873810601930742</v>
      </c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</row>
    <row r="10" spans="1:62" x14ac:dyDescent="0.25">
      <c r="A10" s="171" t="s">
        <v>43</v>
      </c>
      <c r="B10" s="163">
        <v>271.77831000000003</v>
      </c>
      <c r="C10" s="163">
        <v>272.68513999999999</v>
      </c>
      <c r="D10" s="163">
        <v>273.59196999999995</v>
      </c>
      <c r="E10" s="163">
        <v>278.16317499999997</v>
      </c>
      <c r="F10" s="163">
        <v>282.73437999999999</v>
      </c>
      <c r="G10" s="163">
        <v>289.39154000000008</v>
      </c>
      <c r="H10" s="163">
        <v>296.0487</v>
      </c>
      <c r="I10" s="163">
        <v>298.13771499999996</v>
      </c>
      <c r="J10" s="163">
        <v>300.22672999999998</v>
      </c>
      <c r="K10" s="163">
        <v>300.22672999999998</v>
      </c>
      <c r="L10" s="163">
        <v>300.22672999999998</v>
      </c>
      <c r="M10" s="163">
        <v>272.84699999999998</v>
      </c>
      <c r="N10" s="163">
        <v>272.84699999999998</v>
      </c>
      <c r="O10" s="172">
        <f>+'5ta'!$R95*'Coberturas (PRIME)'!O$11</f>
        <v>314.9564204515857</v>
      </c>
      <c r="P10" s="172">
        <f>+'5ta'!$R95*'Coberturas (PRIME)'!P$11</f>
        <v>314.80209180556443</v>
      </c>
      <c r="Q10" s="172">
        <f>+'5ta'!$R95*'Coberturas (PRIME)'!Q$11</f>
        <v>314.64783878057972</v>
      </c>
      <c r="R10" s="172">
        <f>+'5ta'!$R95*'Coberturas (PRIME)'!R$11</f>
        <v>314.49366133957722</v>
      </c>
      <c r="S10" s="172">
        <f>+'5ta'!$R95*'Coberturas (PRIME)'!S$11</f>
        <v>314.33955944552088</v>
      </c>
      <c r="T10" s="172">
        <f>+'5ta'!$R95*'Coberturas (PRIME)'!T$11</f>
        <v>314.18553306139256</v>
      </c>
      <c r="U10" s="172">
        <f>+'5ta'!$R95*'Coberturas (PRIME)'!U$11</f>
        <v>314.03158215019249</v>
      </c>
      <c r="V10" s="172">
        <f>+'5ta'!$R95*'Coberturas (PRIME)'!V$11</f>
        <v>313.87770667493891</v>
      </c>
      <c r="W10" s="172">
        <f>+'5ta'!$R95*'Coberturas (PRIME)'!W$11</f>
        <v>313.72390659866818</v>
      </c>
      <c r="X10" s="172">
        <f>+'5ta'!$R95*'Coberturas (PRIME)'!X$11</f>
        <v>313.57018188443482</v>
      </c>
      <c r="Y10" s="172">
        <f>+'5ta'!$R95*'Coberturas (PRIME)'!Y$11</f>
        <v>313.4165324953114</v>
      </c>
      <c r="Z10" s="172">
        <f>+'5ta'!$R95*'Coberturas (PRIME)'!Z$11</f>
        <v>313.2629583943887</v>
      </c>
      <c r="AA10" s="172">
        <f>+'5ta'!$R95*'Coberturas (PRIME)'!AA$11</f>
        <v>313.10945954477546</v>
      </c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</row>
    <row r="11" spans="1:62" x14ac:dyDescent="0.25">
      <c r="A11" s="164" t="s">
        <v>224</v>
      </c>
      <c r="B11" s="165">
        <f>+SUM(B2:B10)</f>
        <v>5037.8558999999996</v>
      </c>
      <c r="C11" s="165">
        <f t="shared" ref="C11" si="0">+SUM(C2:C10)</f>
        <v>5231.3855499999991</v>
      </c>
      <c r="D11" s="165">
        <f t="shared" ref="D11:L11" si="1">+SUM(D2:D10)</f>
        <v>5424.9151999999995</v>
      </c>
      <c r="E11" s="165">
        <f t="shared" si="1"/>
        <v>5552.331835</v>
      </c>
      <c r="F11" s="165">
        <f t="shared" si="1"/>
        <v>5679.7484699999995</v>
      </c>
      <c r="G11" s="165">
        <f t="shared" si="1"/>
        <v>5718.0810199999996</v>
      </c>
      <c r="H11" s="165">
        <f t="shared" si="1"/>
        <v>5756.4135699999997</v>
      </c>
      <c r="I11" s="165">
        <f t="shared" si="1"/>
        <v>5858.1530949999997</v>
      </c>
      <c r="J11" s="165">
        <f t="shared" si="1"/>
        <v>5959.8926200000005</v>
      </c>
      <c r="K11" s="165">
        <f t="shared" si="1"/>
        <v>5959.8926200000005</v>
      </c>
      <c r="L11" s="165">
        <f t="shared" si="1"/>
        <v>5959.8926200000005</v>
      </c>
      <c r="M11" s="165">
        <f>+SUM(M2:M10)</f>
        <v>5841.0949999999993</v>
      </c>
      <c r="N11" s="165">
        <f>+SUM(N2:N10)</f>
        <v>5841.0949999999993</v>
      </c>
      <c r="O11" s="166">
        <f>+N11-N11*(0.049/100)</f>
        <v>5838.2328634499991</v>
      </c>
      <c r="P11" s="166">
        <f t="shared" ref="P11:AA11" si="2">+O11-O11*(0.049/100)</f>
        <v>5835.3721293469089</v>
      </c>
      <c r="Q11" s="166">
        <f t="shared" si="2"/>
        <v>5832.5127970035292</v>
      </c>
      <c r="R11" s="166">
        <f t="shared" si="2"/>
        <v>5829.6548657329977</v>
      </c>
      <c r="S11" s="166">
        <f t="shared" si="2"/>
        <v>5826.7983348487887</v>
      </c>
      <c r="T11" s="166">
        <f t="shared" si="2"/>
        <v>5823.9432036647131</v>
      </c>
      <c r="U11" s="166">
        <f t="shared" si="2"/>
        <v>5821.0894714949172</v>
      </c>
      <c r="V11" s="166">
        <f t="shared" si="2"/>
        <v>5818.2371376538849</v>
      </c>
      <c r="W11" s="166">
        <f t="shared" si="2"/>
        <v>5815.3862014564347</v>
      </c>
      <c r="X11" s="166">
        <f t="shared" si="2"/>
        <v>5812.5366622177207</v>
      </c>
      <c r="Y11" s="166">
        <f t="shared" si="2"/>
        <v>5809.6885192532336</v>
      </c>
      <c r="Z11" s="166">
        <f t="shared" si="2"/>
        <v>5806.8417718787996</v>
      </c>
      <c r="AA11" s="166">
        <f t="shared" si="2"/>
        <v>5803.9964194105787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</row>
    <row r="12" spans="1:62" x14ac:dyDescent="0.25">
      <c r="A12" s="164" t="s">
        <v>225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7">
        <v>6.4022100000000002</v>
      </c>
      <c r="M12" s="168">
        <v>6.3082599999999998</v>
      </c>
      <c r="N12" s="168">
        <v>6.21502</v>
      </c>
      <c r="O12" s="466">
        <f>+O13-O11</f>
        <v>6126.2556625500001</v>
      </c>
      <c r="P12" s="466">
        <f t="shared" ref="P12:AA12" si="3">+P13-P11</f>
        <v>6038.1862838554889</v>
      </c>
      <c r="Q12" s="466">
        <f t="shared" si="3"/>
        <v>5950.8065722585297</v>
      </c>
      <c r="R12" s="466">
        <f t="shared" si="3"/>
        <v>5864.1112763226693</v>
      </c>
      <c r="S12" s="466">
        <f t="shared" si="3"/>
        <v>5778.0951845272539</v>
      </c>
      <c r="T12" s="466">
        <f t="shared" si="3"/>
        <v>5692.7531249640715</v>
      </c>
      <c r="U12" s="466">
        <f t="shared" si="3"/>
        <v>5608.0799650362878</v>
      </c>
      <c r="V12" s="466">
        <f t="shared" si="3"/>
        <v>5524.0706111596828</v>
      </c>
      <c r="W12" s="466">
        <f t="shared" si="3"/>
        <v>5440.720008466149</v>
      </c>
      <c r="X12" s="466">
        <f t="shared" si="3"/>
        <v>5358.023140509451</v>
      </c>
      <c r="Y12" s="466">
        <f t="shared" si="3"/>
        <v>5275.975028973211</v>
      </c>
      <c r="Z12" s="466">
        <f t="shared" si="3"/>
        <v>5194.5707333811233</v>
      </c>
      <c r="AA12" s="466">
        <f t="shared" si="3"/>
        <v>5113.8053508093681</v>
      </c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</row>
    <row r="13" spans="1:62" x14ac:dyDescent="0.25">
      <c r="A13" s="193" t="s">
        <v>14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>
        <f>+L11+(L12*1000)</f>
        <v>12362.102620000001</v>
      </c>
      <c r="M13" s="194">
        <f t="shared" ref="M13:N13" si="4">+M11+(M12*1000)</f>
        <v>12149.355</v>
      </c>
      <c r="N13" s="194">
        <f t="shared" si="4"/>
        <v>12056.115</v>
      </c>
      <c r="O13" s="194">
        <f>+N14*(1+O15)</f>
        <v>11964.488525999999</v>
      </c>
      <c r="P13" s="194">
        <f>+O13*(1+P15)</f>
        <v>11873.558413202398</v>
      </c>
      <c r="Q13" s="194">
        <f t="shared" ref="Q13:AA13" si="5">+P13*(1+Q15)</f>
        <v>11783.319369262059</v>
      </c>
      <c r="R13" s="194">
        <f t="shared" si="5"/>
        <v>11693.766142055667</v>
      </c>
      <c r="S13" s="194">
        <f t="shared" si="5"/>
        <v>11604.893519376043</v>
      </c>
      <c r="T13" s="194">
        <f t="shared" si="5"/>
        <v>11516.696328628785</v>
      </c>
      <c r="U13" s="194">
        <f t="shared" si="5"/>
        <v>11429.169436531205</v>
      </c>
      <c r="V13" s="194">
        <f t="shared" si="5"/>
        <v>11342.307748813568</v>
      </c>
      <c r="W13" s="194">
        <f t="shared" si="5"/>
        <v>11256.106209922584</v>
      </c>
      <c r="X13" s="194">
        <f t="shared" si="5"/>
        <v>11170.559802727172</v>
      </c>
      <c r="Y13" s="194">
        <f t="shared" si="5"/>
        <v>11085.663548226445</v>
      </c>
      <c r="Z13" s="194">
        <f t="shared" si="5"/>
        <v>11001.412505259923</v>
      </c>
      <c r="AA13" s="194">
        <f t="shared" si="5"/>
        <v>10917.801770219947</v>
      </c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</row>
    <row r="14" spans="1:62" x14ac:dyDescent="0.25">
      <c r="A14" s="196" t="s">
        <v>226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69"/>
      <c r="N14" s="169">
        <f>+N13</f>
        <v>12056.115</v>
      </c>
      <c r="O14" s="501">
        <f>+(O13-N13)/1000</f>
        <v>-9.1626474000000596E-2</v>
      </c>
      <c r="P14" s="501">
        <f t="shared" ref="P14:AA14" si="6">+(P13-O13)/1000 +((O11-P11)/1000)</f>
        <v>-8.8069378694511216E-2</v>
      </c>
      <c r="Q14" s="501">
        <f t="shared" si="6"/>
        <v>-8.7379711596959175E-2</v>
      </c>
      <c r="R14" s="501">
        <f t="shared" si="6"/>
        <v>-8.6695295935860492E-2</v>
      </c>
      <c r="S14" s="501">
        <f t="shared" si="6"/>
        <v>-8.6016091795415375E-2</v>
      </c>
      <c r="T14" s="501">
        <f t="shared" si="6"/>
        <v>-8.5342059563182374E-2</v>
      </c>
      <c r="U14" s="501">
        <f t="shared" si="6"/>
        <v>-8.4673159927783681E-2</v>
      </c>
      <c r="V14" s="501">
        <f t="shared" si="6"/>
        <v>-8.400935387660502E-2</v>
      </c>
      <c r="W14" s="501">
        <f t="shared" si="6"/>
        <v>-8.335060269353381E-2</v>
      </c>
      <c r="X14" s="501">
        <f t="shared" si="6"/>
        <v>-8.2696867956698034E-2</v>
      </c>
      <c r="Y14" s="501">
        <f t="shared" si="6"/>
        <v>-8.2048111536239948E-2</v>
      </c>
      <c r="Z14" s="501">
        <f t="shared" si="6"/>
        <v>-8.1404295592087686E-2</v>
      </c>
      <c r="AA14" s="501">
        <f t="shared" si="6"/>
        <v>-8.0765382571755265E-2</v>
      </c>
    </row>
    <row r="15" spans="1:62" x14ac:dyDescent="0.25">
      <c r="N15" s="455"/>
      <c r="O15" s="455">
        <v>-7.6E-3</v>
      </c>
      <c r="P15" s="455">
        <v>-7.6E-3</v>
      </c>
      <c r="Q15" s="455">
        <v>-7.6E-3</v>
      </c>
      <c r="R15" s="455">
        <v>-7.6E-3</v>
      </c>
      <c r="S15" s="455">
        <v>-7.6E-3</v>
      </c>
      <c r="T15" s="455">
        <v>-7.6E-3</v>
      </c>
      <c r="U15" s="455">
        <v>-7.6E-3</v>
      </c>
      <c r="V15" s="455">
        <v>-7.6E-3</v>
      </c>
      <c r="W15" s="455">
        <v>-7.6E-3</v>
      </c>
      <c r="X15" s="455">
        <v>-7.6E-3</v>
      </c>
      <c r="Y15" s="455">
        <v>-7.6E-3</v>
      </c>
      <c r="Z15" s="455">
        <v>-7.6E-3</v>
      </c>
      <c r="AA15" s="455">
        <v>-7.6E-3</v>
      </c>
    </row>
    <row r="16" spans="1:62" x14ac:dyDescent="0.25">
      <c r="O16" s="456"/>
      <c r="P16" s="454"/>
      <c r="Q16" s="454"/>
      <c r="R16" s="454"/>
      <c r="S16" s="454"/>
      <c r="T16" s="454"/>
      <c r="U16" s="454"/>
      <c r="V16" s="454"/>
      <c r="W16" s="454"/>
      <c r="X16" s="66"/>
      <c r="Y16" s="66"/>
      <c r="Z16" s="66"/>
      <c r="AA16" s="66"/>
    </row>
    <row r="17" spans="1:27" ht="15.75" thickBot="1" x14ac:dyDescent="0.3"/>
    <row r="18" spans="1:27" ht="30.75" thickBot="1" x14ac:dyDescent="0.3">
      <c r="A18" s="159" t="s">
        <v>46</v>
      </c>
      <c r="B18" s="160">
        <v>2010</v>
      </c>
      <c r="C18" s="160">
        <v>2011</v>
      </c>
      <c r="D18" s="160">
        <v>2012</v>
      </c>
      <c r="E18" s="160">
        <v>2013</v>
      </c>
      <c r="F18" s="160">
        <v>2014</v>
      </c>
      <c r="G18" s="160">
        <v>2015</v>
      </c>
      <c r="H18" s="160">
        <v>2016</v>
      </c>
      <c r="I18" s="160">
        <v>2017</v>
      </c>
      <c r="J18" s="160">
        <v>2018</v>
      </c>
      <c r="K18" s="160">
        <v>2019</v>
      </c>
      <c r="L18" s="160">
        <v>2020</v>
      </c>
      <c r="M18" s="160">
        <v>2021</v>
      </c>
      <c r="N18" s="160">
        <v>2022</v>
      </c>
      <c r="O18" s="160">
        <v>2023</v>
      </c>
      <c r="P18" s="160">
        <v>2024</v>
      </c>
      <c r="Q18" s="160">
        <v>2025</v>
      </c>
      <c r="R18" s="160">
        <v>2026</v>
      </c>
      <c r="S18" s="160">
        <v>2027</v>
      </c>
      <c r="T18" s="160">
        <v>2028</v>
      </c>
      <c r="U18" s="160">
        <v>2029</v>
      </c>
      <c r="V18" s="160">
        <v>2030</v>
      </c>
      <c r="W18" s="160">
        <v>2031</v>
      </c>
      <c r="X18" s="160">
        <v>2032</v>
      </c>
      <c r="Y18" s="160">
        <v>2033</v>
      </c>
      <c r="Z18" s="160">
        <v>2034</v>
      </c>
      <c r="AA18" s="160">
        <v>2035</v>
      </c>
    </row>
    <row r="19" spans="1:27" x14ac:dyDescent="0.25">
      <c r="A19" s="162" t="s">
        <v>35</v>
      </c>
      <c r="B19" s="163">
        <f t="shared" ref="B19:AA19" si="7">+B2</f>
        <v>12.348319999999999</v>
      </c>
      <c r="C19" s="163">
        <f t="shared" si="7"/>
        <v>13.402625</v>
      </c>
      <c r="D19" s="163">
        <f t="shared" si="7"/>
        <v>14.45693</v>
      </c>
      <c r="E19" s="163">
        <f t="shared" si="7"/>
        <v>14.584459999999998</v>
      </c>
      <c r="F19" s="163">
        <f t="shared" si="7"/>
        <v>14.71199</v>
      </c>
      <c r="G19" s="163">
        <f t="shared" si="7"/>
        <v>14.755529999999998</v>
      </c>
      <c r="H19" s="163">
        <f t="shared" si="7"/>
        <v>14.799069999999999</v>
      </c>
      <c r="I19" s="163">
        <f t="shared" si="7"/>
        <v>14.779864999999999</v>
      </c>
      <c r="J19" s="163">
        <f t="shared" si="7"/>
        <v>14.76066</v>
      </c>
      <c r="K19" s="163">
        <f t="shared" si="7"/>
        <v>14.76066</v>
      </c>
      <c r="L19" s="163">
        <f t="shared" si="7"/>
        <v>14.76066</v>
      </c>
      <c r="M19" s="163">
        <f t="shared" si="7"/>
        <v>13.635</v>
      </c>
      <c r="N19" s="163">
        <f t="shared" si="7"/>
        <v>13.635</v>
      </c>
      <c r="O19" s="163">
        <f t="shared" si="7"/>
        <v>14.310128964267692</v>
      </c>
      <c r="P19" s="163">
        <f t="shared" si="7"/>
        <v>14.303117001075201</v>
      </c>
      <c r="Q19" s="163">
        <f t="shared" si="7"/>
        <v>14.296108473744676</v>
      </c>
      <c r="R19" s="163">
        <f t="shared" si="7"/>
        <v>14.289103380592541</v>
      </c>
      <c r="S19" s="163">
        <f t="shared" si="7"/>
        <v>14.282101719936051</v>
      </c>
      <c r="T19" s="163">
        <f t="shared" si="7"/>
        <v>14.275103490093283</v>
      </c>
      <c r="U19" s="163">
        <f t="shared" si="7"/>
        <v>14.268108689383137</v>
      </c>
      <c r="V19" s="163">
        <f t="shared" si="7"/>
        <v>14.26111731612534</v>
      </c>
      <c r="W19" s="163">
        <f t="shared" si="7"/>
        <v>14.254129368640438</v>
      </c>
      <c r="X19" s="163">
        <f t="shared" si="7"/>
        <v>14.247144845249805</v>
      </c>
      <c r="Y19" s="163">
        <f t="shared" si="7"/>
        <v>14.24016374427563</v>
      </c>
      <c r="Z19" s="163">
        <f t="shared" si="7"/>
        <v>14.233186064040936</v>
      </c>
      <c r="AA19" s="163">
        <f t="shared" si="7"/>
        <v>14.226211802869555</v>
      </c>
    </row>
    <row r="20" spans="1:27" ht="30" x14ac:dyDescent="0.25">
      <c r="A20" s="162" t="s">
        <v>36</v>
      </c>
      <c r="B20" s="163">
        <f t="shared" ref="B20:AA20" si="8">+B3</f>
        <v>120.58364</v>
      </c>
      <c r="C20" s="163">
        <f t="shared" si="8"/>
        <v>126.21503000000001</v>
      </c>
      <c r="D20" s="163">
        <f t="shared" si="8"/>
        <v>131.84642000000002</v>
      </c>
      <c r="E20" s="163">
        <f t="shared" si="8"/>
        <v>136.01050000000001</v>
      </c>
      <c r="F20" s="163">
        <f t="shared" si="8"/>
        <v>140.17457999999999</v>
      </c>
      <c r="G20" s="163">
        <f t="shared" si="8"/>
        <v>140.004625</v>
      </c>
      <c r="H20" s="163">
        <f t="shared" si="8"/>
        <v>139.83467000000002</v>
      </c>
      <c r="I20" s="163">
        <f t="shared" si="8"/>
        <v>139.85384000000005</v>
      </c>
      <c r="J20" s="163">
        <f t="shared" si="8"/>
        <v>139.87301000000002</v>
      </c>
      <c r="K20" s="163">
        <f t="shared" si="8"/>
        <v>139.87301000000002</v>
      </c>
      <c r="L20" s="163">
        <f t="shared" si="8"/>
        <v>139.87301000000002</v>
      </c>
      <c r="M20" s="163">
        <f t="shared" si="8"/>
        <v>139.38600000000002</v>
      </c>
      <c r="N20" s="163">
        <f t="shared" si="8"/>
        <v>139.38600000000002</v>
      </c>
      <c r="O20" s="163">
        <f t="shared" si="8"/>
        <v>139.74106918032805</v>
      </c>
      <c r="P20" s="163">
        <f t="shared" si="8"/>
        <v>139.67259605642968</v>
      </c>
      <c r="Q20" s="163">
        <f t="shared" si="8"/>
        <v>139.60415648436205</v>
      </c>
      <c r="R20" s="163">
        <f t="shared" si="8"/>
        <v>139.53575044768471</v>
      </c>
      <c r="S20" s="163">
        <f t="shared" si="8"/>
        <v>139.46737792996535</v>
      </c>
      <c r="T20" s="163">
        <f t="shared" si="8"/>
        <v>139.39903891477968</v>
      </c>
      <c r="U20" s="163">
        <f t="shared" si="8"/>
        <v>139.33073338571143</v>
      </c>
      <c r="V20" s="163">
        <f t="shared" si="8"/>
        <v>139.26246132635245</v>
      </c>
      <c r="W20" s="163">
        <f t="shared" si="8"/>
        <v>139.19422272030252</v>
      </c>
      <c r="X20" s="163">
        <f t="shared" si="8"/>
        <v>139.12601755116958</v>
      </c>
      <c r="Y20" s="163">
        <f t="shared" si="8"/>
        <v>139.05784580256949</v>
      </c>
      <c r="Z20" s="163">
        <f t="shared" si="8"/>
        <v>138.98970745812622</v>
      </c>
      <c r="AA20" s="163">
        <f t="shared" si="8"/>
        <v>138.92160250147174</v>
      </c>
    </row>
    <row r="21" spans="1:27" ht="30" x14ac:dyDescent="0.25">
      <c r="A21" s="162" t="s">
        <v>37</v>
      </c>
      <c r="B21" s="163">
        <f t="shared" ref="B21:Q21" si="9">+B4</f>
        <v>1153.0325599999999</v>
      </c>
      <c r="C21" s="163">
        <f t="shared" si="9"/>
        <v>1158.7425649999998</v>
      </c>
      <c r="D21" s="163">
        <f t="shared" si="9"/>
        <v>1164.4525700000002</v>
      </c>
      <c r="E21" s="163">
        <f t="shared" si="9"/>
        <v>1198.650245</v>
      </c>
      <c r="F21" s="163">
        <f t="shared" si="9"/>
        <v>1232.8479199999999</v>
      </c>
      <c r="G21" s="163">
        <f t="shared" si="9"/>
        <v>1233.796515</v>
      </c>
      <c r="H21" s="163">
        <f t="shared" si="9"/>
        <v>1234.7451100000003</v>
      </c>
      <c r="I21" s="163">
        <f t="shared" si="9"/>
        <v>1245.5305000000001</v>
      </c>
      <c r="J21" s="163">
        <f t="shared" si="9"/>
        <v>1256.3158900000001</v>
      </c>
      <c r="K21" s="163">
        <f t="shared" si="9"/>
        <v>1256.3158900000001</v>
      </c>
      <c r="L21" s="163">
        <f t="shared" si="9"/>
        <v>1256.3158900000001</v>
      </c>
      <c r="M21" s="163">
        <f t="shared" si="9"/>
        <v>1257.5179999999998</v>
      </c>
      <c r="N21" s="163">
        <f t="shared" si="9"/>
        <v>1257.5179999999998</v>
      </c>
      <c r="O21" s="163">
        <f t="shared" si="9"/>
        <v>1336.217771615874</v>
      </c>
      <c r="P21" s="163">
        <f t="shared" si="9"/>
        <v>1335.5630249077822</v>
      </c>
      <c r="Q21" s="163">
        <f t="shared" si="9"/>
        <v>1334.9085990255774</v>
      </c>
      <c r="R21" s="163">
        <f>+R4+Medidas!C5/1000</f>
        <v>1334.3344938120549</v>
      </c>
      <c r="S21" s="163">
        <f t="shared" ref="S21:AA21" si="10">+R21</f>
        <v>1334.3344938120549</v>
      </c>
      <c r="T21" s="163">
        <f t="shared" si="10"/>
        <v>1334.3344938120549</v>
      </c>
      <c r="U21" s="163">
        <f t="shared" si="10"/>
        <v>1334.3344938120549</v>
      </c>
      <c r="V21" s="163">
        <f t="shared" si="10"/>
        <v>1334.3344938120549</v>
      </c>
      <c r="W21" s="163">
        <f t="shared" si="10"/>
        <v>1334.3344938120549</v>
      </c>
      <c r="X21" s="163">
        <f t="shared" si="10"/>
        <v>1334.3344938120549</v>
      </c>
      <c r="Y21" s="163">
        <f t="shared" si="10"/>
        <v>1334.3344938120549</v>
      </c>
      <c r="Z21" s="163">
        <f t="shared" si="10"/>
        <v>1334.3344938120549</v>
      </c>
      <c r="AA21" s="163">
        <f t="shared" si="10"/>
        <v>1334.3344938120549</v>
      </c>
    </row>
    <row r="22" spans="1:27" ht="30" x14ac:dyDescent="0.25">
      <c r="A22" s="162" t="s">
        <v>38</v>
      </c>
      <c r="B22" s="163">
        <f t="shared" ref="B22:Q22" si="11">+B5</f>
        <v>468.70030000000003</v>
      </c>
      <c r="C22" s="163">
        <f t="shared" si="11"/>
        <v>469.70792499999999</v>
      </c>
      <c r="D22" s="163">
        <f t="shared" si="11"/>
        <v>470.71555000000001</v>
      </c>
      <c r="E22" s="163">
        <f t="shared" si="11"/>
        <v>488.97562999999997</v>
      </c>
      <c r="F22" s="163">
        <f t="shared" si="11"/>
        <v>507.23570999999998</v>
      </c>
      <c r="G22" s="163">
        <f t="shared" si="11"/>
        <v>506.69036499999999</v>
      </c>
      <c r="H22" s="163">
        <f t="shared" si="11"/>
        <v>506.14502000000005</v>
      </c>
      <c r="I22" s="163">
        <f t="shared" si="11"/>
        <v>514.642335</v>
      </c>
      <c r="J22" s="163">
        <f t="shared" si="11"/>
        <v>523.13965000000007</v>
      </c>
      <c r="K22" s="163">
        <f t="shared" si="11"/>
        <v>523.13965000000007</v>
      </c>
      <c r="L22" s="163">
        <f t="shared" si="11"/>
        <v>523.13965000000007</v>
      </c>
      <c r="M22" s="163">
        <f t="shared" si="11"/>
        <v>515.14400000000001</v>
      </c>
      <c r="N22" s="163">
        <f t="shared" si="11"/>
        <v>515.14400000000001</v>
      </c>
      <c r="O22" s="163">
        <f t="shared" si="11"/>
        <v>543.16390720283869</v>
      </c>
      <c r="P22" s="163">
        <f t="shared" si="11"/>
        <v>542.89775688830935</v>
      </c>
      <c r="Q22" s="163">
        <f t="shared" si="11"/>
        <v>542.63173698743412</v>
      </c>
      <c r="R22" s="163">
        <f t="shared" ref="R22:AA22" si="12">+R5</f>
        <v>542.36584743631033</v>
      </c>
      <c r="S22" s="163">
        <f t="shared" si="12"/>
        <v>542.10008817106655</v>
      </c>
      <c r="T22" s="163">
        <f t="shared" si="12"/>
        <v>541.83445912786271</v>
      </c>
      <c r="U22" s="163">
        <f t="shared" si="12"/>
        <v>541.56896024289006</v>
      </c>
      <c r="V22" s="163">
        <f t="shared" si="12"/>
        <v>541.30359145237105</v>
      </c>
      <c r="W22" s="163">
        <f t="shared" si="12"/>
        <v>541.03835269255944</v>
      </c>
      <c r="X22" s="163">
        <f t="shared" si="12"/>
        <v>540.77324389974001</v>
      </c>
      <c r="Y22" s="163">
        <f t="shared" si="12"/>
        <v>540.50826501022914</v>
      </c>
      <c r="Z22" s="163">
        <f t="shared" si="12"/>
        <v>540.24341596037414</v>
      </c>
      <c r="AA22" s="163">
        <f t="shared" si="12"/>
        <v>539.97869668655346</v>
      </c>
    </row>
    <row r="23" spans="1:27" ht="45" x14ac:dyDescent="0.25">
      <c r="A23" s="162" t="s">
        <v>39</v>
      </c>
      <c r="B23" s="163">
        <f t="shared" ref="B23:Q23" si="13">+B6</f>
        <v>322.78176000000002</v>
      </c>
      <c r="C23" s="163">
        <f t="shared" si="13"/>
        <v>325.37089000000003</v>
      </c>
      <c r="D23" s="163">
        <f t="shared" si="13"/>
        <v>327.96002000000004</v>
      </c>
      <c r="E23" s="163">
        <f t="shared" si="13"/>
        <v>333.55776000000003</v>
      </c>
      <c r="F23" s="163">
        <f t="shared" si="13"/>
        <v>339.15550000000002</v>
      </c>
      <c r="G23" s="163">
        <f t="shared" si="13"/>
        <v>340.20731000000001</v>
      </c>
      <c r="H23" s="163">
        <f t="shared" si="13"/>
        <v>341.25912</v>
      </c>
      <c r="I23" s="163">
        <f t="shared" si="13"/>
        <v>357.94489000000004</v>
      </c>
      <c r="J23" s="163">
        <f t="shared" si="13"/>
        <v>374.63065999999992</v>
      </c>
      <c r="K23" s="163">
        <f t="shared" si="13"/>
        <v>374.63065999999992</v>
      </c>
      <c r="L23" s="163">
        <f t="shared" si="13"/>
        <v>374.63065999999992</v>
      </c>
      <c r="M23" s="163">
        <f t="shared" si="13"/>
        <v>375.10900000000004</v>
      </c>
      <c r="N23" s="163">
        <f t="shared" si="13"/>
        <v>375.10900000000004</v>
      </c>
      <c r="O23" s="163">
        <f t="shared" si="13"/>
        <v>374.06291810653624</v>
      </c>
      <c r="P23" s="163">
        <f t="shared" si="13"/>
        <v>373.87962727666405</v>
      </c>
      <c r="Q23" s="163">
        <f t="shared" si="13"/>
        <v>373.69642625929851</v>
      </c>
      <c r="R23" s="163">
        <f>+R6+(Medidas!C4+Medidas!C6)/1000</f>
        <v>373.78831501043146</v>
      </c>
      <c r="S23" s="163">
        <f t="shared" ref="S23:AA24" si="14">+R23</f>
        <v>373.78831501043146</v>
      </c>
      <c r="T23" s="163">
        <f t="shared" si="14"/>
        <v>373.78831501043146</v>
      </c>
      <c r="U23" s="163">
        <f t="shared" si="14"/>
        <v>373.78831501043146</v>
      </c>
      <c r="V23" s="163">
        <f t="shared" si="14"/>
        <v>373.78831501043146</v>
      </c>
      <c r="W23" s="163">
        <f t="shared" si="14"/>
        <v>373.78831501043146</v>
      </c>
      <c r="X23" s="163">
        <f t="shared" si="14"/>
        <v>373.78831501043146</v>
      </c>
      <c r="Y23" s="163">
        <f t="shared" si="14"/>
        <v>373.78831501043146</v>
      </c>
      <c r="Z23" s="163">
        <f t="shared" si="14"/>
        <v>373.78831501043146</v>
      </c>
      <c r="AA23" s="163">
        <f t="shared" si="14"/>
        <v>373.78831501043146</v>
      </c>
    </row>
    <row r="24" spans="1:27" ht="45" x14ac:dyDescent="0.25">
      <c r="A24" s="162" t="s">
        <v>40</v>
      </c>
      <c r="B24" s="163">
        <f t="shared" ref="B24:Q24" si="15">+B7</f>
        <v>2361.9546099999998</v>
      </c>
      <c r="C24" s="163">
        <f t="shared" si="15"/>
        <v>2536.3037899999999</v>
      </c>
      <c r="D24" s="163">
        <f t="shared" si="15"/>
        <v>2710.6529700000006</v>
      </c>
      <c r="E24" s="163">
        <f t="shared" si="15"/>
        <v>2768.5833699999998</v>
      </c>
      <c r="F24" s="163">
        <f t="shared" si="15"/>
        <v>2826.51377</v>
      </c>
      <c r="G24" s="163">
        <f t="shared" si="15"/>
        <v>2858.75821</v>
      </c>
      <c r="H24" s="163">
        <f t="shared" si="15"/>
        <v>2891.0026499999999</v>
      </c>
      <c r="I24" s="163">
        <f t="shared" si="15"/>
        <v>2955.7263049999997</v>
      </c>
      <c r="J24" s="163">
        <f t="shared" si="15"/>
        <v>3020.4499599999999</v>
      </c>
      <c r="K24" s="163">
        <f t="shared" si="15"/>
        <v>3020.4499599999999</v>
      </c>
      <c r="L24" s="163">
        <f t="shared" si="15"/>
        <v>3020.4499599999999</v>
      </c>
      <c r="M24" s="163">
        <f t="shared" si="15"/>
        <v>2928.8820000000001</v>
      </c>
      <c r="N24" s="163">
        <f t="shared" si="15"/>
        <v>2928.8820000000001</v>
      </c>
      <c r="O24" s="163">
        <f t="shared" si="15"/>
        <v>2737.2043384724884</v>
      </c>
      <c r="P24" s="163">
        <f t="shared" si="15"/>
        <v>2735.8631083466371</v>
      </c>
      <c r="Q24" s="163">
        <f t="shared" si="15"/>
        <v>2734.5225354235472</v>
      </c>
      <c r="R24" s="163">
        <f>+R7+17</f>
        <v>2750.1826193811899</v>
      </c>
      <c r="S24" s="163">
        <f>+R24</f>
        <v>2750.1826193811899</v>
      </c>
      <c r="T24" s="163">
        <f>+S24</f>
        <v>2750.1826193811899</v>
      </c>
      <c r="U24" s="163">
        <f>+T24-17</f>
        <v>2733.1826193811899</v>
      </c>
      <c r="V24" s="163">
        <f>+U24</f>
        <v>2733.1826193811899</v>
      </c>
      <c r="W24" s="163">
        <f t="shared" si="14"/>
        <v>2733.1826193811899</v>
      </c>
      <c r="X24" s="163">
        <f t="shared" si="14"/>
        <v>2733.1826193811899</v>
      </c>
      <c r="Y24" s="163">
        <f t="shared" si="14"/>
        <v>2733.1826193811899</v>
      </c>
      <c r="Z24" s="163">
        <f t="shared" si="14"/>
        <v>2733.1826193811899</v>
      </c>
      <c r="AA24" s="163">
        <f t="shared" si="14"/>
        <v>2733.1826193811899</v>
      </c>
    </row>
    <row r="25" spans="1:27" ht="45" x14ac:dyDescent="0.25">
      <c r="A25" s="162" t="s">
        <v>41</v>
      </c>
      <c r="B25" s="163">
        <f t="shared" ref="B25:Q25" si="16">+B8</f>
        <v>261.68610000000001</v>
      </c>
      <c r="C25" s="163">
        <f t="shared" si="16"/>
        <v>263.62240000000003</v>
      </c>
      <c r="D25" s="163">
        <f t="shared" si="16"/>
        <v>265.55870000000004</v>
      </c>
      <c r="E25" s="163">
        <f t="shared" si="16"/>
        <v>269.70002000000005</v>
      </c>
      <c r="F25" s="163">
        <f t="shared" si="16"/>
        <v>273.84134000000006</v>
      </c>
      <c r="G25" s="163">
        <f t="shared" si="16"/>
        <v>268.73807500000004</v>
      </c>
      <c r="H25" s="163">
        <f t="shared" si="16"/>
        <v>263.63481000000002</v>
      </c>
      <c r="I25" s="163">
        <f t="shared" si="16"/>
        <v>262.90870499999994</v>
      </c>
      <c r="J25" s="163">
        <f t="shared" si="16"/>
        <v>262.18259999999998</v>
      </c>
      <c r="K25" s="163">
        <f t="shared" si="16"/>
        <v>262.18259999999998</v>
      </c>
      <c r="L25" s="163">
        <f t="shared" si="16"/>
        <v>262.18259999999998</v>
      </c>
      <c r="M25" s="163">
        <f t="shared" si="16"/>
        <v>240.48699999999999</v>
      </c>
      <c r="N25" s="163">
        <f t="shared" si="16"/>
        <v>240.48699999999999</v>
      </c>
      <c r="O25" s="163">
        <f t="shared" si="16"/>
        <v>303.2608354137447</v>
      </c>
      <c r="P25" s="163">
        <f t="shared" si="16"/>
        <v>303.11223760439202</v>
      </c>
      <c r="Q25" s="163">
        <f t="shared" si="16"/>
        <v>302.96371260796587</v>
      </c>
      <c r="R25" s="163">
        <f t="shared" ref="R25:AA25" si="17">+R8</f>
        <v>302.81526038878798</v>
      </c>
      <c r="S25" s="163">
        <f t="shared" si="17"/>
        <v>302.6668809111975</v>
      </c>
      <c r="T25" s="163">
        <f t="shared" si="17"/>
        <v>302.51857413955099</v>
      </c>
      <c r="U25" s="163">
        <f t="shared" si="17"/>
        <v>302.37034003822265</v>
      </c>
      <c r="V25" s="163">
        <f t="shared" si="17"/>
        <v>302.22217857160393</v>
      </c>
      <c r="W25" s="163">
        <f t="shared" si="17"/>
        <v>302.07408970410381</v>
      </c>
      <c r="X25" s="163">
        <f t="shared" si="17"/>
        <v>301.92607340014882</v>
      </c>
      <c r="Y25" s="163">
        <f t="shared" si="17"/>
        <v>301.77812962418272</v>
      </c>
      <c r="Z25" s="163">
        <f t="shared" si="17"/>
        <v>301.63025834066684</v>
      </c>
      <c r="AA25" s="163">
        <f t="shared" si="17"/>
        <v>301.48245951407989</v>
      </c>
    </row>
    <row r="26" spans="1:27" x14ac:dyDescent="0.25">
      <c r="A26" s="162" t="s">
        <v>42</v>
      </c>
      <c r="B26" s="163">
        <f t="shared" ref="B26:Q26" si="18">+B9</f>
        <v>64.990300000000005</v>
      </c>
      <c r="C26" s="163">
        <f t="shared" si="18"/>
        <v>65.33518500000001</v>
      </c>
      <c r="D26" s="163">
        <f t="shared" si="18"/>
        <v>65.680070000000001</v>
      </c>
      <c r="E26" s="163">
        <f t="shared" si="18"/>
        <v>64.106674999999996</v>
      </c>
      <c r="F26" s="163">
        <f t="shared" si="18"/>
        <v>62.533279999999998</v>
      </c>
      <c r="G26" s="163">
        <f t="shared" si="18"/>
        <v>65.738849999999999</v>
      </c>
      <c r="H26" s="163">
        <f t="shared" si="18"/>
        <v>68.944419999999994</v>
      </c>
      <c r="I26" s="163">
        <f t="shared" si="18"/>
        <v>68.62894</v>
      </c>
      <c r="J26" s="163">
        <f t="shared" si="18"/>
        <v>68.313460000000006</v>
      </c>
      <c r="K26" s="163">
        <f t="shared" si="18"/>
        <v>68.313460000000006</v>
      </c>
      <c r="L26" s="163">
        <f t="shared" si="18"/>
        <v>68.313460000000006</v>
      </c>
      <c r="M26" s="163">
        <f t="shared" si="18"/>
        <v>98.086999999999989</v>
      </c>
      <c r="N26" s="163">
        <f t="shared" si="18"/>
        <v>98.086999999999989</v>
      </c>
      <c r="O26" s="163">
        <f t="shared" si="18"/>
        <v>75.31547404233504</v>
      </c>
      <c r="P26" s="163">
        <f t="shared" si="18"/>
        <v>75.278569460054314</v>
      </c>
      <c r="Q26" s="163">
        <f t="shared" si="18"/>
        <v>75.241682961018881</v>
      </c>
      <c r="R26" s="163">
        <f t="shared" ref="R26:AA26" si="19">+R9</f>
        <v>75.204814536367991</v>
      </c>
      <c r="S26" s="163">
        <f t="shared" si="19"/>
        <v>75.167964177245167</v>
      </c>
      <c r="T26" s="163">
        <f t="shared" si="19"/>
        <v>75.131131874798328</v>
      </c>
      <c r="U26" s="163">
        <f t="shared" si="19"/>
        <v>75.094317620179666</v>
      </c>
      <c r="V26" s="163">
        <f t="shared" si="19"/>
        <v>75.057521404545781</v>
      </c>
      <c r="W26" s="163">
        <f t="shared" si="19"/>
        <v>75.020743219057564</v>
      </c>
      <c r="X26" s="163">
        <f t="shared" si="19"/>
        <v>74.983983054880213</v>
      </c>
      <c r="Y26" s="163">
        <f t="shared" si="19"/>
        <v>74.947240903183314</v>
      </c>
      <c r="Z26" s="163">
        <f t="shared" si="19"/>
        <v>74.910516755140762</v>
      </c>
      <c r="AA26" s="163">
        <f t="shared" si="19"/>
        <v>74.873810601930742</v>
      </c>
    </row>
    <row r="27" spans="1:27" x14ac:dyDescent="0.25">
      <c r="A27" s="162" t="s">
        <v>43</v>
      </c>
      <c r="B27" s="198">
        <f t="shared" ref="B27:Q27" si="20">+B10</f>
        <v>271.77831000000003</v>
      </c>
      <c r="C27" s="198">
        <f t="shared" si="20"/>
        <v>272.68513999999999</v>
      </c>
      <c r="D27" s="198">
        <f t="shared" si="20"/>
        <v>273.59196999999995</v>
      </c>
      <c r="E27" s="198">
        <f t="shared" si="20"/>
        <v>278.16317499999997</v>
      </c>
      <c r="F27" s="198">
        <f t="shared" si="20"/>
        <v>282.73437999999999</v>
      </c>
      <c r="G27" s="198">
        <f t="shared" si="20"/>
        <v>289.39154000000008</v>
      </c>
      <c r="H27" s="198">
        <f t="shared" si="20"/>
        <v>296.0487</v>
      </c>
      <c r="I27" s="198">
        <f t="shared" si="20"/>
        <v>298.13771499999996</v>
      </c>
      <c r="J27" s="198">
        <f t="shared" si="20"/>
        <v>300.22672999999998</v>
      </c>
      <c r="K27" s="198">
        <f t="shared" si="20"/>
        <v>300.22672999999998</v>
      </c>
      <c r="L27" s="198">
        <f t="shared" si="20"/>
        <v>300.22672999999998</v>
      </c>
      <c r="M27" s="198">
        <f t="shared" si="20"/>
        <v>272.84699999999998</v>
      </c>
      <c r="N27" s="198">
        <f t="shared" si="20"/>
        <v>272.84699999999998</v>
      </c>
      <c r="O27" s="198">
        <f t="shared" si="20"/>
        <v>314.9564204515857</v>
      </c>
      <c r="P27" s="198">
        <f t="shared" si="20"/>
        <v>314.80209180556443</v>
      </c>
      <c r="Q27" s="198">
        <f t="shared" si="20"/>
        <v>314.64783878057972</v>
      </c>
      <c r="R27" s="198">
        <f t="shared" ref="R27:AA27" si="21">+R10</f>
        <v>314.49366133957722</v>
      </c>
      <c r="S27" s="198">
        <f t="shared" si="21"/>
        <v>314.33955944552088</v>
      </c>
      <c r="T27" s="198">
        <f t="shared" si="21"/>
        <v>314.18553306139256</v>
      </c>
      <c r="U27" s="198">
        <f t="shared" si="21"/>
        <v>314.03158215019249</v>
      </c>
      <c r="V27" s="198">
        <f t="shared" si="21"/>
        <v>313.87770667493891</v>
      </c>
      <c r="W27" s="198">
        <f t="shared" si="21"/>
        <v>313.72390659866818</v>
      </c>
      <c r="X27" s="198">
        <f t="shared" si="21"/>
        <v>313.57018188443482</v>
      </c>
      <c r="Y27" s="198">
        <f t="shared" si="21"/>
        <v>313.4165324953114</v>
      </c>
      <c r="Z27" s="198">
        <f t="shared" si="21"/>
        <v>313.2629583943887</v>
      </c>
      <c r="AA27" s="198">
        <f t="shared" si="21"/>
        <v>313.10945954477546</v>
      </c>
    </row>
    <row r="28" spans="1:27" x14ac:dyDescent="0.25">
      <c r="A28" s="197" t="s">
        <v>224</v>
      </c>
      <c r="B28" s="165">
        <f>+SUM(B19:B27)</f>
        <v>5037.8558999999996</v>
      </c>
      <c r="C28" s="165">
        <f t="shared" ref="C28:AA28" si="22">+SUM(C19:C27)</f>
        <v>5231.3855499999991</v>
      </c>
      <c r="D28" s="165">
        <f t="shared" si="22"/>
        <v>5424.9151999999995</v>
      </c>
      <c r="E28" s="165">
        <f t="shared" si="22"/>
        <v>5552.331835</v>
      </c>
      <c r="F28" s="165">
        <f t="shared" si="22"/>
        <v>5679.7484699999995</v>
      </c>
      <c r="G28" s="165">
        <f t="shared" si="22"/>
        <v>5718.0810199999996</v>
      </c>
      <c r="H28" s="165">
        <f t="shared" si="22"/>
        <v>5756.4135699999997</v>
      </c>
      <c r="I28" s="165">
        <f t="shared" si="22"/>
        <v>5858.1530949999997</v>
      </c>
      <c r="J28" s="165">
        <f t="shared" si="22"/>
        <v>5959.8926200000005</v>
      </c>
      <c r="K28" s="165">
        <f t="shared" si="22"/>
        <v>5959.8926200000005</v>
      </c>
      <c r="L28" s="165">
        <f t="shared" si="22"/>
        <v>5959.8926200000005</v>
      </c>
      <c r="M28" s="165">
        <f t="shared" si="22"/>
        <v>5841.0949999999993</v>
      </c>
      <c r="N28" s="165">
        <f>+SUM(N19:N27)</f>
        <v>5841.0949999999993</v>
      </c>
      <c r="O28" s="165">
        <f>+SUM(O19:O27)</f>
        <v>5838.2328634499981</v>
      </c>
      <c r="P28" s="165">
        <f t="shared" si="22"/>
        <v>5835.372129346908</v>
      </c>
      <c r="Q28" s="165">
        <f t="shared" si="22"/>
        <v>5832.5127970035292</v>
      </c>
      <c r="R28" s="165">
        <f>+SUM(R19:R27)</f>
        <v>5847.0098657329972</v>
      </c>
      <c r="S28" s="165">
        <f t="shared" si="22"/>
        <v>5846.3294005586085</v>
      </c>
      <c r="T28" s="165">
        <f t="shared" si="22"/>
        <v>5845.6492688121534</v>
      </c>
      <c r="U28" s="165">
        <f t="shared" si="22"/>
        <v>5827.9694703302557</v>
      </c>
      <c r="V28" s="165">
        <f t="shared" si="22"/>
        <v>5827.2900049496138</v>
      </c>
      <c r="W28" s="165">
        <f t="shared" si="22"/>
        <v>5826.6108725070071</v>
      </c>
      <c r="X28" s="165">
        <f t="shared" si="22"/>
        <v>5825.9320728392995</v>
      </c>
      <c r="Y28" s="165">
        <f t="shared" si="22"/>
        <v>5825.2536057834277</v>
      </c>
      <c r="Z28" s="165">
        <f t="shared" si="22"/>
        <v>5824.5754711764148</v>
      </c>
      <c r="AA28" s="165">
        <f t="shared" si="22"/>
        <v>5823.8976688553585</v>
      </c>
    </row>
    <row r="29" spans="1:27" x14ac:dyDescent="0.25">
      <c r="A29" s="164" t="s">
        <v>225</v>
      </c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200">
        <v>6.4022100000000002</v>
      </c>
      <c r="M29" s="201">
        <v>6.3082599999999998</v>
      </c>
      <c r="N29" s="201">
        <v>6.21502</v>
      </c>
      <c r="O29" s="201">
        <v>6.12249</v>
      </c>
      <c r="P29" s="201">
        <v>6.0306600000000001</v>
      </c>
      <c r="Q29" s="201">
        <v>5.93954</v>
      </c>
      <c r="R29" s="202">
        <v>5.8491</v>
      </c>
      <c r="S29" s="202">
        <v>5.7593500000000004</v>
      </c>
      <c r="T29" s="202">
        <v>5.6702899999999996</v>
      </c>
      <c r="U29" s="202">
        <v>5.5819000000000001</v>
      </c>
      <c r="V29" s="202">
        <v>5.4941800000000001</v>
      </c>
      <c r="W29" s="202">
        <v>5.4071300000000004</v>
      </c>
      <c r="X29" s="202">
        <v>5.3207399999999998</v>
      </c>
      <c r="Y29" s="202">
        <v>5.2350099999999999</v>
      </c>
      <c r="Z29" s="202">
        <v>5.1499199999999998</v>
      </c>
      <c r="AA29" s="202">
        <v>5.0654899999999996</v>
      </c>
    </row>
    <row r="30" spans="1:27" x14ac:dyDescent="0.25">
      <c r="A30" s="164" t="s">
        <v>14</v>
      </c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>
        <f t="shared" ref="L30:AA30" si="23">+L13+L28-L11</f>
        <v>12362.102620000003</v>
      </c>
      <c r="M30" s="166">
        <f t="shared" si="23"/>
        <v>12149.354999999998</v>
      </c>
      <c r="N30" s="166">
        <f t="shared" si="23"/>
        <v>12056.115</v>
      </c>
      <c r="O30" s="166">
        <f t="shared" si="23"/>
        <v>11964.488525999999</v>
      </c>
      <c r="P30" s="166">
        <f t="shared" si="23"/>
        <v>11873.558413202398</v>
      </c>
      <c r="Q30" s="166">
        <f t="shared" si="23"/>
        <v>11783.319369262059</v>
      </c>
      <c r="R30" s="166">
        <f t="shared" si="23"/>
        <v>11711.121142055665</v>
      </c>
      <c r="S30" s="166">
        <f t="shared" si="23"/>
        <v>11624.424585085862</v>
      </c>
      <c r="T30" s="166">
        <f t="shared" si="23"/>
        <v>11538.402393776225</v>
      </c>
      <c r="U30" s="166">
        <f t="shared" si="23"/>
        <v>11436.049435366542</v>
      </c>
      <c r="V30" s="166">
        <f t="shared" si="23"/>
        <v>11351.360616109296</v>
      </c>
      <c r="W30" s="166">
        <f t="shared" si="23"/>
        <v>11267.330880973155</v>
      </c>
      <c r="X30" s="166">
        <f t="shared" si="23"/>
        <v>11183.955213348749</v>
      </c>
      <c r="Y30" s="166">
        <f t="shared" si="23"/>
        <v>11101.228634756639</v>
      </c>
      <c r="Z30" s="166">
        <f t="shared" si="23"/>
        <v>11019.146204557535</v>
      </c>
      <c r="AA30" s="166">
        <f t="shared" si="23"/>
        <v>10937.703019664728</v>
      </c>
    </row>
    <row r="31" spans="1:27" x14ac:dyDescent="0.25">
      <c r="A31" s="196" t="s">
        <v>226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72">
        <f t="shared" ref="M31:N31" si="24">+M30-L30</f>
        <v>-212.74762000000555</v>
      </c>
      <c r="N31" s="169">
        <f t="shared" si="24"/>
        <v>-93.239999999997963</v>
      </c>
      <c r="O31" s="169">
        <f>+(O30-N30)/1000</f>
        <v>-9.1626474000000596E-2</v>
      </c>
      <c r="P31" s="169">
        <f t="shared" ref="P31:AA31" si="25">+(P30-O30)/1000</f>
        <v>-9.0930112797601395E-2</v>
      </c>
      <c r="Q31" s="169">
        <f t="shared" si="25"/>
        <v>-9.0239043940338895E-2</v>
      </c>
      <c r="R31" s="169">
        <f t="shared" si="25"/>
        <v>-7.2198227206394225E-2</v>
      </c>
      <c r="S31" s="169">
        <f t="shared" si="25"/>
        <v>-8.669655696980226E-2</v>
      </c>
      <c r="T31" s="169">
        <f t="shared" si="25"/>
        <v>-8.6022191309637494E-2</v>
      </c>
      <c r="U31" s="169">
        <f t="shared" si="25"/>
        <v>-0.1023529584096832</v>
      </c>
      <c r="V31" s="169">
        <f t="shared" si="25"/>
        <v>-8.4688819257246001E-2</v>
      </c>
      <c r="W31" s="169">
        <f t="shared" si="25"/>
        <v>-8.402973513614051E-2</v>
      </c>
      <c r="X31" s="169">
        <f t="shared" si="25"/>
        <v>-8.3375667624406555E-2</v>
      </c>
      <c r="Y31" s="169">
        <f t="shared" si="25"/>
        <v>-8.2726578592109939E-2</v>
      </c>
      <c r="Z31" s="169">
        <f t="shared" si="25"/>
        <v>-8.2082430199103329E-2</v>
      </c>
      <c r="AA31" s="169">
        <f t="shared" si="25"/>
        <v>-8.1443184892807038E-2</v>
      </c>
    </row>
    <row r="32" spans="1:27" x14ac:dyDescent="0.25"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</row>
    <row r="34" spans="1:27" ht="15.75" thickBot="1" x14ac:dyDescent="0.3"/>
    <row r="35" spans="1:27" ht="30.75" thickBot="1" x14ac:dyDescent="0.3">
      <c r="A35" s="159" t="s">
        <v>45</v>
      </c>
      <c r="B35" s="160">
        <v>2010</v>
      </c>
      <c r="C35" s="160">
        <v>2011</v>
      </c>
      <c r="D35" s="160">
        <v>2012</v>
      </c>
      <c r="E35" s="160">
        <v>2013</v>
      </c>
      <c r="F35" s="160">
        <v>2014</v>
      </c>
      <c r="G35" s="160">
        <v>2015</v>
      </c>
      <c r="H35" s="160">
        <v>2016</v>
      </c>
      <c r="I35" s="160">
        <v>2017</v>
      </c>
      <c r="J35" s="160">
        <v>2018</v>
      </c>
      <c r="K35" s="160">
        <v>2019</v>
      </c>
      <c r="L35" s="160">
        <v>2020</v>
      </c>
      <c r="M35" s="160">
        <v>2021</v>
      </c>
      <c r="N35" s="160">
        <v>2022</v>
      </c>
      <c r="O35" s="160">
        <v>2023</v>
      </c>
      <c r="P35" s="160">
        <v>2024</v>
      </c>
      <c r="Q35" s="160">
        <v>2025</v>
      </c>
      <c r="R35" s="160">
        <v>2026</v>
      </c>
      <c r="S35" s="160">
        <v>2027</v>
      </c>
      <c r="T35" s="160">
        <v>2028</v>
      </c>
      <c r="U35" s="160">
        <v>2029</v>
      </c>
      <c r="V35" s="160">
        <v>2030</v>
      </c>
      <c r="W35" s="160">
        <v>2031</v>
      </c>
      <c r="X35" s="160">
        <v>2032</v>
      </c>
      <c r="Y35" s="160">
        <v>2033</v>
      </c>
      <c r="Z35" s="160">
        <v>2034</v>
      </c>
      <c r="AA35" s="160">
        <v>2035</v>
      </c>
    </row>
    <row r="36" spans="1:27" x14ac:dyDescent="0.25">
      <c r="A36" s="162" t="s">
        <v>35</v>
      </c>
      <c r="B36" s="163">
        <f t="shared" ref="B36:Q36" si="26">+B2</f>
        <v>12.348319999999999</v>
      </c>
      <c r="C36" s="163">
        <f t="shared" si="26"/>
        <v>13.402625</v>
      </c>
      <c r="D36" s="163">
        <f t="shared" si="26"/>
        <v>14.45693</v>
      </c>
      <c r="E36" s="163">
        <f t="shared" si="26"/>
        <v>14.584459999999998</v>
      </c>
      <c r="F36" s="163">
        <f t="shared" si="26"/>
        <v>14.71199</v>
      </c>
      <c r="G36" s="163">
        <f t="shared" si="26"/>
        <v>14.755529999999998</v>
      </c>
      <c r="H36" s="163">
        <f t="shared" si="26"/>
        <v>14.799069999999999</v>
      </c>
      <c r="I36" s="163">
        <f t="shared" si="26"/>
        <v>14.779864999999999</v>
      </c>
      <c r="J36" s="163">
        <f t="shared" si="26"/>
        <v>14.76066</v>
      </c>
      <c r="K36" s="163">
        <f t="shared" si="26"/>
        <v>14.76066</v>
      </c>
      <c r="L36" s="163">
        <f t="shared" si="26"/>
        <v>14.76066</v>
      </c>
      <c r="M36" s="163">
        <f t="shared" si="26"/>
        <v>13.635</v>
      </c>
      <c r="N36" s="163">
        <f t="shared" si="26"/>
        <v>13.635</v>
      </c>
      <c r="O36" s="163">
        <f t="shared" si="26"/>
        <v>14.310128964267692</v>
      </c>
      <c r="P36" s="163">
        <f t="shared" si="26"/>
        <v>14.303117001075201</v>
      </c>
      <c r="Q36" s="163">
        <f t="shared" si="26"/>
        <v>14.296108473744676</v>
      </c>
      <c r="R36" s="419">
        <f>+R2+(Medidas!B105/1000)</f>
        <v>14.400063380592542</v>
      </c>
      <c r="S36" s="419">
        <f>+S2+(Medidas!C105/1000)</f>
        <v>14.504011719936051</v>
      </c>
      <c r="T36" s="419">
        <f>+T2+(Medidas!D105/1000)</f>
        <v>14.607973490093283</v>
      </c>
      <c r="U36" s="419">
        <f>+U2+(Medidas!E105/1000)</f>
        <v>14.711938689383137</v>
      </c>
      <c r="V36" s="419">
        <f>+V2+(Medidas!F105/1000)</f>
        <v>14.81590731612534</v>
      </c>
      <c r="W36" s="419">
        <f>+W2+(Medidas!G105/1000)</f>
        <v>14.919869368640438</v>
      </c>
      <c r="X36" s="419">
        <f>+X2+(Medidas!H105/1000)</f>
        <v>15.023844845249805</v>
      </c>
      <c r="Y36" s="419">
        <f>+Y2+(Medidas!I105/1000)</f>
        <v>15.127823744275631</v>
      </c>
      <c r="Z36" s="419">
        <f>+Z2+(Medidas!J105/1000)</f>
        <v>15.231806064040937</v>
      </c>
      <c r="AA36" s="419">
        <f>+AA2+(Medidas!K105/1000)</f>
        <v>15.335781802869555</v>
      </c>
    </row>
    <row r="37" spans="1:27" ht="30" x14ac:dyDescent="0.25">
      <c r="A37" s="162" t="s">
        <v>36</v>
      </c>
      <c r="B37" s="163">
        <f t="shared" ref="B37:Q37" si="27">+B3</f>
        <v>120.58364</v>
      </c>
      <c r="C37" s="163">
        <f t="shared" si="27"/>
        <v>126.21503000000001</v>
      </c>
      <c r="D37" s="163">
        <f t="shared" si="27"/>
        <v>131.84642000000002</v>
      </c>
      <c r="E37" s="163">
        <f t="shared" si="27"/>
        <v>136.01050000000001</v>
      </c>
      <c r="F37" s="163">
        <f t="shared" si="27"/>
        <v>140.17457999999999</v>
      </c>
      <c r="G37" s="163">
        <f t="shared" si="27"/>
        <v>140.004625</v>
      </c>
      <c r="H37" s="163">
        <f t="shared" si="27"/>
        <v>139.83467000000002</v>
      </c>
      <c r="I37" s="163">
        <f t="shared" si="27"/>
        <v>139.85384000000005</v>
      </c>
      <c r="J37" s="163">
        <f t="shared" si="27"/>
        <v>139.87301000000002</v>
      </c>
      <c r="K37" s="163">
        <f t="shared" si="27"/>
        <v>139.87301000000002</v>
      </c>
      <c r="L37" s="163">
        <f t="shared" si="27"/>
        <v>139.87301000000002</v>
      </c>
      <c r="M37" s="163">
        <f t="shared" si="27"/>
        <v>139.38600000000002</v>
      </c>
      <c r="N37" s="163">
        <f t="shared" si="27"/>
        <v>139.38600000000002</v>
      </c>
      <c r="O37" s="163">
        <f t="shared" si="27"/>
        <v>139.74106918032805</v>
      </c>
      <c r="P37" s="163">
        <f t="shared" si="27"/>
        <v>139.67259605642968</v>
      </c>
      <c r="Q37" s="163">
        <f t="shared" si="27"/>
        <v>139.60415648436205</v>
      </c>
      <c r="R37" s="419">
        <f>+R3+(Medidas!B106/1000)</f>
        <v>141.22454044768472</v>
      </c>
      <c r="S37" s="419">
        <f>+S3+(Medidas!C106/1000)</f>
        <v>142.84494792996534</v>
      </c>
      <c r="T37" s="419">
        <f>+T3+(Medidas!D106/1000)</f>
        <v>144.46539891477968</v>
      </c>
      <c r="U37" s="419">
        <f>+U3+(Medidas!E106/1000)</f>
        <v>146.08588338571141</v>
      </c>
      <c r="V37" s="419">
        <f>+V3+(Medidas!F106/1000)</f>
        <v>147.70639132635245</v>
      </c>
      <c r="W37" s="419">
        <f>+W3+(Medidas!G106/1000)</f>
        <v>149.32694272030253</v>
      </c>
      <c r="X37" s="419">
        <f>+X3+(Medidas!H106/1000)</f>
        <v>150.9475175511696</v>
      </c>
      <c r="Y37" s="419">
        <f>+Y3+(Medidas!I106/1000)</f>
        <v>152.56813580256949</v>
      </c>
      <c r="Z37" s="419">
        <f>+Z3+(Medidas!J106/1000)</f>
        <v>154.18878745812623</v>
      </c>
      <c r="AA37" s="419">
        <f>+AA3+(Medidas!K106/1000)</f>
        <v>155.80946250147173</v>
      </c>
    </row>
    <row r="38" spans="1:27" ht="30" x14ac:dyDescent="0.25">
      <c r="A38" s="162" t="s">
        <v>37</v>
      </c>
      <c r="B38" s="163">
        <f t="shared" ref="B38:Q38" si="28">+B4</f>
        <v>1153.0325599999999</v>
      </c>
      <c r="C38" s="163">
        <f t="shared" si="28"/>
        <v>1158.7425649999998</v>
      </c>
      <c r="D38" s="163">
        <f t="shared" si="28"/>
        <v>1164.4525700000002</v>
      </c>
      <c r="E38" s="163">
        <f t="shared" si="28"/>
        <v>1198.650245</v>
      </c>
      <c r="F38" s="163">
        <f t="shared" si="28"/>
        <v>1232.8479199999999</v>
      </c>
      <c r="G38" s="163">
        <f t="shared" si="28"/>
        <v>1233.796515</v>
      </c>
      <c r="H38" s="163">
        <f t="shared" si="28"/>
        <v>1234.7451100000003</v>
      </c>
      <c r="I38" s="163">
        <f t="shared" si="28"/>
        <v>1245.5305000000001</v>
      </c>
      <c r="J38" s="163">
        <f t="shared" si="28"/>
        <v>1256.3158900000001</v>
      </c>
      <c r="K38" s="163">
        <f t="shared" si="28"/>
        <v>1256.3158900000001</v>
      </c>
      <c r="L38" s="163">
        <f t="shared" si="28"/>
        <v>1256.3158900000001</v>
      </c>
      <c r="M38" s="163">
        <f t="shared" si="28"/>
        <v>1257.5179999999998</v>
      </c>
      <c r="N38" s="163">
        <f t="shared" si="28"/>
        <v>1257.5179999999998</v>
      </c>
      <c r="O38" s="163">
        <f t="shared" si="28"/>
        <v>1336.217771615874</v>
      </c>
      <c r="P38" s="163">
        <f t="shared" si="28"/>
        <v>1335.5630249077822</v>
      </c>
      <c r="Q38" s="163">
        <f t="shared" si="28"/>
        <v>1334.9085990255774</v>
      </c>
      <c r="R38" s="419">
        <f>+R4+(Medidas!B107/1000)</f>
        <v>1336.972803812055</v>
      </c>
      <c r="S38" s="419">
        <f>+S4+(Medidas!C107/1000)</f>
        <v>1339.0373291100871</v>
      </c>
      <c r="T38" s="419">
        <f>+T4+(Medidas!D107/1000)</f>
        <v>1341.102174762623</v>
      </c>
      <c r="U38" s="419">
        <f>+U4+(Medidas!E107/1000)</f>
        <v>1343.1673406126893</v>
      </c>
      <c r="V38" s="419">
        <f>+V4+(Medidas!F107/1000)</f>
        <v>1345.2328365033893</v>
      </c>
      <c r="W38" s="419">
        <f>+W4+(Medidas!G107/1000)</f>
        <v>1347.2986422779027</v>
      </c>
      <c r="X38" s="419">
        <f>+X4+(Medidas!H107/1000)</f>
        <v>1349.3647677794866</v>
      </c>
      <c r="Y38" s="419">
        <f>+Y4+(Medidas!I107/1000)</f>
        <v>1351.4312128514744</v>
      </c>
      <c r="Z38" s="419">
        <f>+Z4+(Medidas!J107/1000)</f>
        <v>1353.4979773372772</v>
      </c>
      <c r="AA38" s="419">
        <f>+AA4+(Medidas!K107/1000)</f>
        <v>1355.5650610803818</v>
      </c>
    </row>
    <row r="39" spans="1:27" ht="30" x14ac:dyDescent="0.25">
      <c r="A39" s="162" t="s">
        <v>38</v>
      </c>
      <c r="B39" s="163">
        <f t="shared" ref="B39:Q39" si="29">+B5</f>
        <v>468.70030000000003</v>
      </c>
      <c r="C39" s="163">
        <f t="shared" si="29"/>
        <v>469.70792499999999</v>
      </c>
      <c r="D39" s="163">
        <f t="shared" si="29"/>
        <v>470.71555000000001</v>
      </c>
      <c r="E39" s="163">
        <f t="shared" si="29"/>
        <v>488.97562999999997</v>
      </c>
      <c r="F39" s="163">
        <f t="shared" si="29"/>
        <v>507.23570999999998</v>
      </c>
      <c r="G39" s="163">
        <f t="shared" si="29"/>
        <v>506.69036499999999</v>
      </c>
      <c r="H39" s="163">
        <f t="shared" si="29"/>
        <v>506.14502000000005</v>
      </c>
      <c r="I39" s="163">
        <f t="shared" si="29"/>
        <v>514.642335</v>
      </c>
      <c r="J39" s="163">
        <f t="shared" si="29"/>
        <v>523.13965000000007</v>
      </c>
      <c r="K39" s="163">
        <f t="shared" si="29"/>
        <v>523.13965000000007</v>
      </c>
      <c r="L39" s="163">
        <f t="shared" si="29"/>
        <v>523.13965000000007</v>
      </c>
      <c r="M39" s="163">
        <f t="shared" si="29"/>
        <v>515.14400000000001</v>
      </c>
      <c r="N39" s="163">
        <f t="shared" si="29"/>
        <v>515.14400000000001</v>
      </c>
      <c r="O39" s="163">
        <f t="shared" si="29"/>
        <v>543.16390720283869</v>
      </c>
      <c r="P39" s="163">
        <f t="shared" si="29"/>
        <v>542.89775688830935</v>
      </c>
      <c r="Q39" s="163">
        <f t="shared" si="29"/>
        <v>542.63173698743412</v>
      </c>
      <c r="R39" s="163">
        <f>+R5+(Medidas!$C9+Medidas!B108)/1000</f>
        <v>546.6164126082233</v>
      </c>
      <c r="S39" s="163">
        <f>+S5+(Medidas!$C9+Medidas!C108)/1000</f>
        <v>550.0331133429795</v>
      </c>
      <c r="T39" s="163">
        <f>+T5+(Medidas!$C9+Medidas!D108)/1000</f>
        <v>553.44993429977569</v>
      </c>
      <c r="U39" s="163">
        <f>+U5+(Medidas!$C9+Medidas!E108)/1000</f>
        <v>556.86688541480305</v>
      </c>
      <c r="V39" s="163">
        <f>+V5+(Medidas!$C9+Medidas!F108)/1000</f>
        <v>560.28397662428404</v>
      </c>
      <c r="W39" s="163">
        <f>+W5+(Medidas!$C9+Medidas!G108)/1000</f>
        <v>563.70118786447244</v>
      </c>
      <c r="X39" s="163">
        <f>+X5+(Medidas!$C9+Medidas!H108)/1000</f>
        <v>567.11852907165303</v>
      </c>
      <c r="Y39" s="163">
        <f>+Y5+(Medidas!$C9+Medidas!I108)/1000</f>
        <v>570.53600018214217</v>
      </c>
      <c r="Z39" s="163">
        <f>+Z5+(Medidas!$C9+Medidas!J108)/1000</f>
        <v>573.95361113228716</v>
      </c>
      <c r="AA39" s="163">
        <f>+AA5+(Medidas!$C9+Medidas!K108)/1000</f>
        <v>577.37134185846651</v>
      </c>
    </row>
    <row r="40" spans="1:27" ht="45" x14ac:dyDescent="0.25">
      <c r="A40" s="162" t="s">
        <v>39</v>
      </c>
      <c r="B40" s="163">
        <f t="shared" ref="B40:Q40" si="30">+B6</f>
        <v>322.78176000000002</v>
      </c>
      <c r="C40" s="163">
        <f t="shared" si="30"/>
        <v>325.37089000000003</v>
      </c>
      <c r="D40" s="163">
        <f t="shared" si="30"/>
        <v>327.96002000000004</v>
      </c>
      <c r="E40" s="163">
        <f t="shared" si="30"/>
        <v>333.55776000000003</v>
      </c>
      <c r="F40" s="163">
        <f t="shared" si="30"/>
        <v>339.15550000000002</v>
      </c>
      <c r="G40" s="163">
        <f t="shared" si="30"/>
        <v>340.20731000000001</v>
      </c>
      <c r="H40" s="163">
        <f t="shared" si="30"/>
        <v>341.25912</v>
      </c>
      <c r="I40" s="163">
        <f t="shared" si="30"/>
        <v>357.94489000000004</v>
      </c>
      <c r="J40" s="163">
        <f t="shared" si="30"/>
        <v>374.63065999999992</v>
      </c>
      <c r="K40" s="163">
        <f t="shared" si="30"/>
        <v>374.63065999999992</v>
      </c>
      <c r="L40" s="163">
        <f t="shared" si="30"/>
        <v>374.63065999999992</v>
      </c>
      <c r="M40" s="163">
        <f t="shared" si="30"/>
        <v>375.10900000000004</v>
      </c>
      <c r="N40" s="163">
        <f t="shared" si="30"/>
        <v>375.10900000000004</v>
      </c>
      <c r="O40" s="163">
        <f t="shared" si="30"/>
        <v>374.06291810653624</v>
      </c>
      <c r="P40" s="163">
        <f t="shared" si="30"/>
        <v>373.87962727666405</v>
      </c>
      <c r="Q40" s="163">
        <f t="shared" si="30"/>
        <v>373.69642625929851</v>
      </c>
      <c r="R40" s="419">
        <f>+R6+(Medidas!B109/1000)</f>
        <v>373.87949501043147</v>
      </c>
      <c r="S40" s="419">
        <f>+S6+(Medidas!C109/1000)</f>
        <v>374.06265348607644</v>
      </c>
      <c r="T40" s="419">
        <f>+T6+(Medidas!D109/1000)</f>
        <v>374.24590164226822</v>
      </c>
      <c r="U40" s="419">
        <f>+U6+(Medidas!E109/1000)</f>
        <v>374.42923943506349</v>
      </c>
      <c r="V40" s="419">
        <f>+V6+(Medidas!F109/1000)</f>
        <v>374.61266682054031</v>
      </c>
      <c r="W40" s="419">
        <f>+W6+(Medidas!G109/1000)</f>
        <v>374.7961737547983</v>
      </c>
      <c r="X40" s="419">
        <f>+X6+(Medidas!H109/1000)</f>
        <v>374.97978019395839</v>
      </c>
      <c r="Y40" s="419">
        <f>+Y6+(Medidas!I109/1000)</f>
        <v>375.16347609416334</v>
      </c>
      <c r="Z40" s="419">
        <f>+Z6+(Medidas!J109/1000)</f>
        <v>375.34726141157722</v>
      </c>
      <c r="AA40" s="419">
        <f>+AA6+(Medidas!K109/1000)</f>
        <v>375.53113610238552</v>
      </c>
    </row>
    <row r="41" spans="1:27" ht="45" x14ac:dyDescent="0.25">
      <c r="A41" s="162" t="s">
        <v>40</v>
      </c>
      <c r="B41" s="163">
        <f t="shared" ref="B41:Q41" si="31">+B7</f>
        <v>2361.9546099999998</v>
      </c>
      <c r="C41" s="163">
        <f t="shared" si="31"/>
        <v>2536.3037899999999</v>
      </c>
      <c r="D41" s="163">
        <f t="shared" si="31"/>
        <v>2710.6529700000006</v>
      </c>
      <c r="E41" s="163">
        <f t="shared" si="31"/>
        <v>2768.5833699999998</v>
      </c>
      <c r="F41" s="163">
        <f t="shared" si="31"/>
        <v>2826.51377</v>
      </c>
      <c r="G41" s="163">
        <f t="shared" si="31"/>
        <v>2858.75821</v>
      </c>
      <c r="H41" s="163">
        <f t="shared" si="31"/>
        <v>2891.0026499999999</v>
      </c>
      <c r="I41" s="163">
        <f t="shared" si="31"/>
        <v>2955.7263049999997</v>
      </c>
      <c r="J41" s="163">
        <f t="shared" si="31"/>
        <v>3020.4499599999999</v>
      </c>
      <c r="K41" s="163">
        <f t="shared" si="31"/>
        <v>3020.4499599999999</v>
      </c>
      <c r="L41" s="163">
        <f t="shared" si="31"/>
        <v>3020.4499599999999</v>
      </c>
      <c r="M41" s="163">
        <f t="shared" si="31"/>
        <v>2928.8820000000001</v>
      </c>
      <c r="N41" s="163">
        <f t="shared" si="31"/>
        <v>2928.8820000000001</v>
      </c>
      <c r="O41" s="163">
        <f t="shared" si="31"/>
        <v>2737.2043384724884</v>
      </c>
      <c r="P41" s="163">
        <f t="shared" si="31"/>
        <v>2735.8631083466371</v>
      </c>
      <c r="Q41" s="163">
        <f t="shared" si="31"/>
        <v>2734.5225354235472</v>
      </c>
      <c r="R41" s="163">
        <f>+R7+(Medidas!$C7+Medidas!B110)/1000</f>
        <v>2824.55281832419</v>
      </c>
      <c r="S41" s="163">
        <f>+S7+(Medidas!$C7+Medidas!C110)/1000</f>
        <v>2859.954548840693</v>
      </c>
      <c r="T41" s="163">
        <f>+T7+(Medidas!$C7+Medidas!D110)/1000</f>
        <v>2895.3569355943437</v>
      </c>
      <c r="U41" s="163">
        <f>+U7+(Medidas!$C7+Medidas!E110)/1000</f>
        <v>2930.7599782635843</v>
      </c>
      <c r="V41" s="163">
        <f>+V7+(Medidas!$C7+Medidas!F110)/1000</f>
        <v>2966.163686527017</v>
      </c>
      <c r="W41" s="163">
        <f>+W7+(Medidas!$C7+Medidas!G110)/1000</f>
        <v>3001.5680400634014</v>
      </c>
      <c r="X41" s="163">
        <f>+X7+(Medidas!$C7+Medidas!H110)/1000</f>
        <v>3036.973048551652</v>
      </c>
      <c r="Y41" s="163">
        <f>+Y7+(Medidas!$C7+Medidas!I110)/1000</f>
        <v>3072.3787116708436</v>
      </c>
      <c r="Z41" s="163">
        <f>+Z7+(Medidas!$C7+Medidas!J110)/1000</f>
        <v>3107.7850291002069</v>
      </c>
      <c r="AA41" s="163">
        <f>+AA7+(Medidas!$C7+Medidas!K110)/1000</f>
        <v>3143.19200051913</v>
      </c>
    </row>
    <row r="42" spans="1:27" ht="45" x14ac:dyDescent="0.25">
      <c r="A42" s="162" t="s">
        <v>41</v>
      </c>
      <c r="B42" s="163">
        <f t="shared" ref="B42:Q42" si="32">+B8</f>
        <v>261.68610000000001</v>
      </c>
      <c r="C42" s="163">
        <f t="shared" si="32"/>
        <v>263.62240000000003</v>
      </c>
      <c r="D42" s="163">
        <f t="shared" si="32"/>
        <v>265.55870000000004</v>
      </c>
      <c r="E42" s="163">
        <f t="shared" si="32"/>
        <v>269.70002000000005</v>
      </c>
      <c r="F42" s="163">
        <f t="shared" si="32"/>
        <v>273.84134000000006</v>
      </c>
      <c r="G42" s="163">
        <f t="shared" si="32"/>
        <v>268.73807500000004</v>
      </c>
      <c r="H42" s="163">
        <f t="shared" si="32"/>
        <v>263.63481000000002</v>
      </c>
      <c r="I42" s="163">
        <f t="shared" si="32"/>
        <v>262.90870499999994</v>
      </c>
      <c r="J42" s="163">
        <f t="shared" si="32"/>
        <v>262.18259999999998</v>
      </c>
      <c r="K42" s="163">
        <f t="shared" si="32"/>
        <v>262.18259999999998</v>
      </c>
      <c r="L42" s="163">
        <f t="shared" si="32"/>
        <v>262.18259999999998</v>
      </c>
      <c r="M42" s="163">
        <f t="shared" si="32"/>
        <v>240.48699999999999</v>
      </c>
      <c r="N42" s="163">
        <f t="shared" si="32"/>
        <v>240.48699999999999</v>
      </c>
      <c r="O42" s="163">
        <f t="shared" si="32"/>
        <v>303.2608354137447</v>
      </c>
      <c r="P42" s="163">
        <f t="shared" si="32"/>
        <v>303.11223760439202</v>
      </c>
      <c r="Q42" s="163">
        <f t="shared" si="32"/>
        <v>302.96371260796587</v>
      </c>
      <c r="R42" s="163">
        <f>+R8+(Medidas!$C8+Medidas!B111)/1000</f>
        <v>343.19613136318799</v>
      </c>
      <c r="S42" s="163">
        <f>+S8+(Medidas!$C8+Medidas!C111)/1000</f>
        <v>343.7638918855975</v>
      </c>
      <c r="T42" s="163">
        <f>+T8+(Medidas!$C8+Medidas!D111)/1000</f>
        <v>344.33173511395097</v>
      </c>
      <c r="U42" s="163">
        <f>+U8+(Medidas!$C8+Medidas!E111)/1000</f>
        <v>344.89965101262266</v>
      </c>
      <c r="V42" s="163">
        <f>+V8+(Medidas!$C8+Medidas!F111)/1000</f>
        <v>345.46763954600391</v>
      </c>
      <c r="W42" s="163">
        <f>+W8+(Medidas!$C8+Medidas!G111)/1000</f>
        <v>346.03569067850378</v>
      </c>
      <c r="X42" s="163">
        <f>+X8+(Medidas!$C8+Medidas!H111)/1000</f>
        <v>346.60382437454882</v>
      </c>
      <c r="Y42" s="163">
        <f>+Y8+(Medidas!$C8+Medidas!I111)/1000</f>
        <v>347.17203059858275</v>
      </c>
      <c r="Z42" s="163">
        <f>+Z8+(Medidas!$C8+Medidas!J111)/1000</f>
        <v>347.74030931506684</v>
      </c>
      <c r="AA42" s="163">
        <f>+AA8+(Medidas!$C8+Medidas!K111)/1000</f>
        <v>348.30865048847988</v>
      </c>
    </row>
    <row r="43" spans="1:27" x14ac:dyDescent="0.25">
      <c r="A43" s="162" t="s">
        <v>42</v>
      </c>
      <c r="B43" s="198">
        <f t="shared" ref="B43:Q43" si="33">+B9</f>
        <v>64.990300000000005</v>
      </c>
      <c r="C43" s="198">
        <f t="shared" si="33"/>
        <v>65.33518500000001</v>
      </c>
      <c r="D43" s="198">
        <f t="shared" si="33"/>
        <v>65.680070000000001</v>
      </c>
      <c r="E43" s="198">
        <f t="shared" si="33"/>
        <v>64.106674999999996</v>
      </c>
      <c r="F43" s="198">
        <f t="shared" si="33"/>
        <v>62.533279999999998</v>
      </c>
      <c r="G43" s="198">
        <f t="shared" si="33"/>
        <v>65.738849999999999</v>
      </c>
      <c r="H43" s="198">
        <f t="shared" si="33"/>
        <v>68.944419999999994</v>
      </c>
      <c r="I43" s="198">
        <f t="shared" si="33"/>
        <v>68.62894</v>
      </c>
      <c r="J43" s="198">
        <f t="shared" si="33"/>
        <v>68.313460000000006</v>
      </c>
      <c r="K43" s="198">
        <f t="shared" si="33"/>
        <v>68.313460000000006</v>
      </c>
      <c r="L43" s="198">
        <f t="shared" si="33"/>
        <v>68.313460000000006</v>
      </c>
      <c r="M43" s="198">
        <f t="shared" si="33"/>
        <v>98.086999999999989</v>
      </c>
      <c r="N43" s="198">
        <f t="shared" si="33"/>
        <v>98.086999999999989</v>
      </c>
      <c r="O43" s="198">
        <f t="shared" si="33"/>
        <v>75.31547404233504</v>
      </c>
      <c r="P43" s="198">
        <f t="shared" si="33"/>
        <v>75.278569460054314</v>
      </c>
      <c r="Q43" s="198">
        <f t="shared" si="33"/>
        <v>75.241682961018881</v>
      </c>
      <c r="R43" s="198">
        <f>+R9+Medidas!B112/1000</f>
        <v>76.568314536367993</v>
      </c>
      <c r="S43" s="198">
        <f>+S9+Medidas!C112/1000</f>
        <v>77.894974177245174</v>
      </c>
      <c r="T43" s="198">
        <f>+T9+Medidas!D112/1000</f>
        <v>79.221641874798323</v>
      </c>
      <c r="U43" s="198">
        <f>+U9+Medidas!E112/1000</f>
        <v>80.548337620179666</v>
      </c>
      <c r="V43" s="198">
        <f>+V9+Medidas!F112/1000</f>
        <v>81.875041404545783</v>
      </c>
      <c r="W43" s="198">
        <f>+W9+Medidas!G112/1000</f>
        <v>83.201773219057571</v>
      </c>
      <c r="X43" s="198">
        <f>+X9+Medidas!H112/1000</f>
        <v>84.528513054880207</v>
      </c>
      <c r="Y43" s="198">
        <f>+Y9+Medidas!I112/1000</f>
        <v>85.855280903183314</v>
      </c>
      <c r="Z43" s="198">
        <f>+Z9+Medidas!J112/1000</f>
        <v>87.182056755140763</v>
      </c>
      <c r="AA43" s="198">
        <f>+AA9+Medidas!K112/1000</f>
        <v>88.508860601930735</v>
      </c>
    </row>
    <row r="44" spans="1:27" x14ac:dyDescent="0.25">
      <c r="A44" s="203" t="s">
        <v>43</v>
      </c>
      <c r="B44" s="163">
        <f t="shared" ref="B44:Q44" si="34">+B10</f>
        <v>271.77831000000003</v>
      </c>
      <c r="C44" s="163">
        <f t="shared" si="34"/>
        <v>272.68513999999999</v>
      </c>
      <c r="D44" s="163">
        <f t="shared" si="34"/>
        <v>273.59196999999995</v>
      </c>
      <c r="E44" s="163">
        <f t="shared" si="34"/>
        <v>278.16317499999997</v>
      </c>
      <c r="F44" s="163">
        <f t="shared" si="34"/>
        <v>282.73437999999999</v>
      </c>
      <c r="G44" s="163">
        <f t="shared" si="34"/>
        <v>289.39154000000008</v>
      </c>
      <c r="H44" s="163">
        <f t="shared" si="34"/>
        <v>296.0487</v>
      </c>
      <c r="I44" s="163">
        <f t="shared" si="34"/>
        <v>298.13771499999996</v>
      </c>
      <c r="J44" s="163">
        <f t="shared" si="34"/>
        <v>300.22672999999998</v>
      </c>
      <c r="K44" s="163">
        <f t="shared" si="34"/>
        <v>300.22672999999998</v>
      </c>
      <c r="L44" s="163">
        <f t="shared" si="34"/>
        <v>300.22672999999998</v>
      </c>
      <c r="M44" s="163">
        <f t="shared" si="34"/>
        <v>272.84699999999998</v>
      </c>
      <c r="N44" s="163">
        <f t="shared" si="34"/>
        <v>272.84699999999998</v>
      </c>
      <c r="O44" s="163">
        <f t="shared" si="34"/>
        <v>314.9564204515857</v>
      </c>
      <c r="P44" s="163">
        <f t="shared" si="34"/>
        <v>314.80209180556443</v>
      </c>
      <c r="Q44" s="163">
        <f t="shared" si="34"/>
        <v>314.64783878057972</v>
      </c>
      <c r="R44" s="163">
        <f>+R10+Medidas!C8/1000</f>
        <v>354.1583823139772</v>
      </c>
      <c r="S44" s="163">
        <f t="shared" ref="S44:AA44" si="35">+R44</f>
        <v>354.1583823139772</v>
      </c>
      <c r="T44" s="163">
        <f t="shared" si="35"/>
        <v>354.1583823139772</v>
      </c>
      <c r="U44" s="163">
        <f t="shared" si="35"/>
        <v>354.1583823139772</v>
      </c>
      <c r="V44" s="163">
        <f t="shared" si="35"/>
        <v>354.1583823139772</v>
      </c>
      <c r="W44" s="163">
        <f t="shared" si="35"/>
        <v>354.1583823139772</v>
      </c>
      <c r="X44" s="163">
        <f t="shared" si="35"/>
        <v>354.1583823139772</v>
      </c>
      <c r="Y44" s="163">
        <f t="shared" si="35"/>
        <v>354.1583823139772</v>
      </c>
      <c r="Z44" s="163">
        <f t="shared" si="35"/>
        <v>354.1583823139772</v>
      </c>
      <c r="AA44" s="163">
        <f t="shared" si="35"/>
        <v>354.1583823139772</v>
      </c>
    </row>
    <row r="45" spans="1:27" x14ac:dyDescent="0.25">
      <c r="A45" s="197" t="s">
        <v>224</v>
      </c>
      <c r="B45" s="165">
        <f>+SUM(B36:B44)</f>
        <v>5037.8558999999996</v>
      </c>
      <c r="C45" s="165">
        <f t="shared" ref="C45:Z45" si="36">+SUM(C36:C44)</f>
        <v>5231.3855499999991</v>
      </c>
      <c r="D45" s="165">
        <f t="shared" si="36"/>
        <v>5424.9151999999995</v>
      </c>
      <c r="E45" s="165">
        <f t="shared" si="36"/>
        <v>5552.331835</v>
      </c>
      <c r="F45" s="165">
        <f t="shared" si="36"/>
        <v>5679.7484699999995</v>
      </c>
      <c r="G45" s="165">
        <f t="shared" si="36"/>
        <v>5718.0810199999996</v>
      </c>
      <c r="H45" s="165">
        <f t="shared" si="36"/>
        <v>5756.4135699999997</v>
      </c>
      <c r="I45" s="165">
        <f t="shared" si="36"/>
        <v>5858.1530949999997</v>
      </c>
      <c r="J45" s="165">
        <f t="shared" si="36"/>
        <v>5959.8926200000005</v>
      </c>
      <c r="K45" s="165">
        <f t="shared" si="36"/>
        <v>5959.8926200000005</v>
      </c>
      <c r="L45" s="165">
        <f t="shared" si="36"/>
        <v>5959.8926200000005</v>
      </c>
      <c r="M45" s="165">
        <f t="shared" si="36"/>
        <v>5841.0949999999993</v>
      </c>
      <c r="N45" s="165">
        <f t="shared" si="36"/>
        <v>5841.0949999999993</v>
      </c>
      <c r="O45" s="165">
        <f t="shared" si="36"/>
        <v>5838.2328634499981</v>
      </c>
      <c r="P45" s="165">
        <f t="shared" si="36"/>
        <v>5835.372129346908</v>
      </c>
      <c r="Q45" s="165">
        <f t="shared" si="36"/>
        <v>5832.5127970035292</v>
      </c>
      <c r="R45" s="165">
        <f t="shared" si="36"/>
        <v>6011.5689617967109</v>
      </c>
      <c r="S45" s="165">
        <f t="shared" si="36"/>
        <v>6056.253852806557</v>
      </c>
      <c r="T45" s="165">
        <f t="shared" si="36"/>
        <v>6100.9400780066098</v>
      </c>
      <c r="U45" s="165">
        <f t="shared" si="36"/>
        <v>6145.627636748015</v>
      </c>
      <c r="V45" s="165">
        <f t="shared" si="36"/>
        <v>6190.3165283822354</v>
      </c>
      <c r="W45" s="165">
        <f t="shared" si="36"/>
        <v>6235.0067022610565</v>
      </c>
      <c r="X45" s="165">
        <f t="shared" si="36"/>
        <v>6279.6982077365756</v>
      </c>
      <c r="Y45" s="165">
        <f t="shared" si="36"/>
        <v>6324.3910541612122</v>
      </c>
      <c r="Z45" s="165">
        <f t="shared" si="36"/>
        <v>6369.0852208876995</v>
      </c>
      <c r="AA45" s="165">
        <f>+SUM(AA36:AA44)</f>
        <v>6413.7806772690928</v>
      </c>
    </row>
    <row r="46" spans="1:27" x14ac:dyDescent="0.25">
      <c r="A46" s="164" t="s">
        <v>225</v>
      </c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200">
        <v>6.4022100000000002</v>
      </c>
      <c r="M46" s="201">
        <v>6.3082599999999998</v>
      </c>
      <c r="N46" s="201">
        <v>6.21502</v>
      </c>
      <c r="O46" s="201">
        <v>6.12249</v>
      </c>
      <c r="P46" s="201">
        <v>6.0306600000000001</v>
      </c>
      <c r="Q46" s="201">
        <v>5.93954</v>
      </c>
      <c r="R46" s="202">
        <v>5.8491</v>
      </c>
      <c r="S46" s="202">
        <v>5.7593500000000004</v>
      </c>
      <c r="T46" s="202">
        <v>5.6702899999999996</v>
      </c>
      <c r="U46" s="202">
        <v>5.5819000000000001</v>
      </c>
      <c r="V46" s="202">
        <v>5.4941800000000001</v>
      </c>
      <c r="W46" s="202">
        <v>5.4071300000000004</v>
      </c>
      <c r="X46" s="202">
        <v>5.3207399999999998</v>
      </c>
      <c r="Y46" s="202">
        <v>5.2350099999999999</v>
      </c>
      <c r="Z46" s="202">
        <v>5.1499199999999998</v>
      </c>
      <c r="AA46" s="202">
        <v>5.0654899999999996</v>
      </c>
    </row>
    <row r="47" spans="1:27" x14ac:dyDescent="0.25">
      <c r="A47" s="164" t="s">
        <v>14</v>
      </c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>
        <f t="shared" ref="L47:AA47" si="37">+L13+L45-L11</f>
        <v>12362.102620000003</v>
      </c>
      <c r="M47" s="166">
        <f t="shared" si="37"/>
        <v>12149.354999999998</v>
      </c>
      <c r="N47" s="166">
        <f t="shared" si="37"/>
        <v>12056.115</v>
      </c>
      <c r="O47" s="166">
        <f t="shared" si="37"/>
        <v>11964.488525999999</v>
      </c>
      <c r="P47" s="166">
        <f t="shared" si="37"/>
        <v>11873.558413202398</v>
      </c>
      <c r="Q47" s="166">
        <f t="shared" si="37"/>
        <v>11783.319369262059</v>
      </c>
      <c r="R47" s="166">
        <f t="shared" si="37"/>
        <v>11875.680238119377</v>
      </c>
      <c r="S47" s="166">
        <f t="shared" si="37"/>
        <v>11834.349037333812</v>
      </c>
      <c r="T47" s="166">
        <f t="shared" si="37"/>
        <v>11793.69320297068</v>
      </c>
      <c r="U47" s="166">
        <f t="shared" si="37"/>
        <v>11753.707601784303</v>
      </c>
      <c r="V47" s="166">
        <f t="shared" si="37"/>
        <v>11714.387139541917</v>
      </c>
      <c r="W47" s="166">
        <f t="shared" si="37"/>
        <v>11675.726710727207</v>
      </c>
      <c r="X47" s="166">
        <f t="shared" si="37"/>
        <v>11637.721348246025</v>
      </c>
      <c r="Y47" s="166">
        <f t="shared" si="37"/>
        <v>11600.366083134422</v>
      </c>
      <c r="Z47" s="166">
        <f t="shared" si="37"/>
        <v>11563.655954268823</v>
      </c>
      <c r="AA47" s="166">
        <f t="shared" si="37"/>
        <v>11527.586028078462</v>
      </c>
    </row>
    <row r="48" spans="1:27" x14ac:dyDescent="0.25">
      <c r="A48" s="196" t="s">
        <v>226</v>
      </c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69">
        <f>(+M47-L47)/1000</f>
        <v>-0.21274762000000555</v>
      </c>
      <c r="N48" s="169">
        <f t="shared" ref="N48:AA48" si="38">(+N47-M47)/1000</f>
        <v>-9.3239999999997963E-2</v>
      </c>
      <c r="O48" s="169">
        <f t="shared" si="38"/>
        <v>-9.1626474000000596E-2</v>
      </c>
      <c r="P48" s="169">
        <f t="shared" si="38"/>
        <v>-9.0930112797601395E-2</v>
      </c>
      <c r="Q48" s="169">
        <f t="shared" si="38"/>
        <v>-9.0239043940338895E-2</v>
      </c>
      <c r="R48" s="169">
        <f t="shared" si="38"/>
        <v>9.2360868857318562E-2</v>
      </c>
      <c r="S48" s="169">
        <f t="shared" si="38"/>
        <v>-4.1331200785565674E-2</v>
      </c>
      <c r="T48" s="169">
        <f t="shared" si="38"/>
        <v>-4.065583436313136E-2</v>
      </c>
      <c r="U48" s="169">
        <f t="shared" si="38"/>
        <v>-3.998560118637761E-2</v>
      </c>
      <c r="V48" s="169">
        <f t="shared" si="38"/>
        <v>-3.9320462242385473E-2</v>
      </c>
      <c r="W48" s="169">
        <f t="shared" si="38"/>
        <v>-3.8660428814710032E-2</v>
      </c>
      <c r="X48" s="169">
        <f t="shared" si="38"/>
        <v>-3.8005362481182602E-2</v>
      </c>
      <c r="Y48" s="169">
        <f t="shared" si="38"/>
        <v>-3.735526511160242E-2</v>
      </c>
      <c r="Z48" s="169">
        <f t="shared" si="38"/>
        <v>-3.6710128865599476E-2</v>
      </c>
      <c r="AA48" s="169">
        <f t="shared" si="38"/>
        <v>-3.6069926190361E-2</v>
      </c>
    </row>
    <row r="49" spans="19:19" x14ac:dyDescent="0.25">
      <c r="S49" s="161">
        <f>+S48-1000</f>
        <v>-1000.0413312007855</v>
      </c>
    </row>
  </sheetData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69D1-F34C-41BA-BA5C-40F93E967968}">
  <dimension ref="B14:AB50"/>
  <sheetViews>
    <sheetView topLeftCell="A13" workbookViewId="0">
      <selection activeCell="C19" sqref="C19:AB19"/>
    </sheetView>
  </sheetViews>
  <sheetFormatPr defaultColWidth="8.85546875" defaultRowHeight="15" x14ac:dyDescent="0.25"/>
  <cols>
    <col min="2" max="2" width="19" bestFit="1" customWidth="1"/>
    <col min="3" max="28" width="7.42578125" bestFit="1" customWidth="1"/>
  </cols>
  <sheetData>
    <row r="14" spans="2:28" ht="24" x14ac:dyDescent="0.25">
      <c r="B14" s="493" t="s">
        <v>479</v>
      </c>
      <c r="C14" s="499">
        <v>2010</v>
      </c>
      <c r="D14" s="499">
        <v>2011</v>
      </c>
      <c r="E14" s="499">
        <v>2012</v>
      </c>
      <c r="F14" s="499">
        <v>2013</v>
      </c>
      <c r="G14" s="499">
        <v>2014</v>
      </c>
      <c r="H14" s="499">
        <v>2015</v>
      </c>
      <c r="I14" s="499">
        <v>2016</v>
      </c>
      <c r="J14" s="499">
        <v>2017</v>
      </c>
      <c r="K14" s="500">
        <v>2018</v>
      </c>
      <c r="L14" s="500">
        <v>2019</v>
      </c>
      <c r="M14" s="500">
        <v>2020</v>
      </c>
      <c r="N14" s="500">
        <v>2021</v>
      </c>
      <c r="O14" s="500">
        <v>2022</v>
      </c>
      <c r="P14" s="500">
        <v>2023</v>
      </c>
      <c r="Q14" s="500">
        <v>2024</v>
      </c>
      <c r="R14" s="500">
        <v>2025</v>
      </c>
      <c r="S14" s="500">
        <v>2026</v>
      </c>
      <c r="T14" s="500">
        <v>2027</v>
      </c>
      <c r="U14" s="500">
        <v>2028</v>
      </c>
      <c r="V14" s="499">
        <v>2029</v>
      </c>
      <c r="W14" s="499">
        <v>2030</v>
      </c>
      <c r="X14" s="499">
        <v>2031</v>
      </c>
      <c r="Y14" s="499">
        <v>2032</v>
      </c>
      <c r="Z14" s="499">
        <v>2033</v>
      </c>
      <c r="AA14" s="499">
        <v>2034</v>
      </c>
      <c r="AB14" s="499">
        <v>2035</v>
      </c>
    </row>
    <row r="15" spans="2:28" x14ac:dyDescent="0.25">
      <c r="B15" s="494" t="s">
        <v>473</v>
      </c>
      <c r="C15" s="497">
        <v>15005.2</v>
      </c>
      <c r="D15" s="497">
        <v>14908</v>
      </c>
      <c r="E15" s="497">
        <v>14810.9</v>
      </c>
      <c r="F15" s="497">
        <v>14223.4</v>
      </c>
      <c r="G15" s="497">
        <v>13635.9</v>
      </c>
      <c r="H15" s="497">
        <v>13103.1</v>
      </c>
      <c r="I15" s="497">
        <v>12570.3</v>
      </c>
      <c r="J15" s="497">
        <v>12474.1</v>
      </c>
      <c r="K15" s="498">
        <v>12393.4</v>
      </c>
      <c r="L15" s="498">
        <v>12893.4</v>
      </c>
      <c r="M15" s="498">
        <v>13398.4</v>
      </c>
      <c r="N15" s="498">
        <v>12947.4</v>
      </c>
      <c r="O15" s="498">
        <v>11747.3</v>
      </c>
      <c r="P15" s="498">
        <v>11773.8</v>
      </c>
      <c r="Q15" s="498">
        <v>12104.5</v>
      </c>
      <c r="R15" s="498">
        <v>12356</v>
      </c>
      <c r="S15" s="498">
        <v>12724.8</v>
      </c>
      <c r="T15" s="498">
        <v>13025.9</v>
      </c>
      <c r="U15" s="498">
        <v>13328.7</v>
      </c>
      <c r="V15" s="497">
        <v>13622.1</v>
      </c>
      <c r="W15" s="497">
        <v>13925.3</v>
      </c>
      <c r="X15" s="497">
        <v>14143.8</v>
      </c>
      <c r="Y15" s="497">
        <v>14431.5</v>
      </c>
      <c r="Z15" s="497">
        <v>14727.3</v>
      </c>
      <c r="AA15" s="497">
        <v>15008</v>
      </c>
      <c r="AB15" s="497">
        <v>15285.8</v>
      </c>
    </row>
    <row r="16" spans="2:28" x14ac:dyDescent="0.25">
      <c r="B16" s="494" t="s">
        <v>474</v>
      </c>
      <c r="C16" s="497">
        <f>+C50*1000</f>
        <v>15002.26</v>
      </c>
      <c r="D16" s="497">
        <f t="shared" ref="D16:AB16" si="0">+D50*1000</f>
        <v>14910.019999999999</v>
      </c>
      <c r="E16" s="497">
        <f t="shared" si="0"/>
        <v>14807.75</v>
      </c>
      <c r="F16" s="497">
        <f t="shared" si="0"/>
        <v>14222.44</v>
      </c>
      <c r="G16" s="497">
        <f t="shared" si="0"/>
        <v>13632.83</v>
      </c>
      <c r="H16" s="497">
        <f t="shared" si="0"/>
        <v>13105.16</v>
      </c>
      <c r="I16" s="497">
        <f t="shared" si="0"/>
        <v>12570.119999999999</v>
      </c>
      <c r="J16" s="497">
        <f t="shared" si="0"/>
        <v>12484.82</v>
      </c>
      <c r="K16" s="497">
        <f t="shared" si="0"/>
        <v>12387.320000000002</v>
      </c>
      <c r="L16" s="497">
        <f t="shared" si="0"/>
        <v>12890.67</v>
      </c>
      <c r="M16" s="497">
        <f t="shared" si="0"/>
        <v>13398.44</v>
      </c>
      <c r="N16" s="497">
        <f t="shared" si="0"/>
        <v>12945.77</v>
      </c>
      <c r="O16" s="497">
        <f t="shared" si="0"/>
        <v>11755.26</v>
      </c>
      <c r="P16" s="497">
        <f t="shared" si="0"/>
        <v>11783.46</v>
      </c>
      <c r="Q16" s="497">
        <f t="shared" si="0"/>
        <v>12114.689999999999</v>
      </c>
      <c r="R16" s="497">
        <f t="shared" si="0"/>
        <v>12360.26</v>
      </c>
      <c r="S16" s="497">
        <f t="shared" si="0"/>
        <v>12728.72</v>
      </c>
      <c r="T16" s="497">
        <f t="shared" si="0"/>
        <v>13029.91</v>
      </c>
      <c r="U16" s="497">
        <f t="shared" si="0"/>
        <v>13332.86</v>
      </c>
      <c r="V16" s="497">
        <f t="shared" si="0"/>
        <v>13651.490000000002</v>
      </c>
      <c r="W16" s="497">
        <f t="shared" si="0"/>
        <v>13955.12</v>
      </c>
      <c r="X16" s="497">
        <f t="shared" si="0"/>
        <v>14174.13</v>
      </c>
      <c r="Y16" s="497">
        <f t="shared" si="0"/>
        <v>14462.02</v>
      </c>
      <c r="Z16" s="497">
        <f t="shared" si="0"/>
        <v>14758</v>
      </c>
      <c r="AA16" s="497">
        <f t="shared" si="0"/>
        <v>15039.210000000001</v>
      </c>
      <c r="AB16" s="497">
        <f t="shared" si="0"/>
        <v>15317.52</v>
      </c>
    </row>
    <row r="17" spans="2:28" x14ac:dyDescent="0.25">
      <c r="B17" s="494" t="s">
        <v>467</v>
      </c>
      <c r="C17" s="497">
        <f>+C16+C18</f>
        <v>15002.26</v>
      </c>
      <c r="D17" s="497">
        <f t="shared" ref="D17:AB17" si="1">+D16+D18</f>
        <v>14910.019999999999</v>
      </c>
      <c r="E17" s="497">
        <f t="shared" si="1"/>
        <v>14807.75</v>
      </c>
      <c r="F17" s="497">
        <f t="shared" si="1"/>
        <v>14222.44</v>
      </c>
      <c r="G17" s="497">
        <f t="shared" si="1"/>
        <v>13632.83</v>
      </c>
      <c r="H17" s="497">
        <f t="shared" si="1"/>
        <v>13105.16</v>
      </c>
      <c r="I17" s="497">
        <f t="shared" si="1"/>
        <v>12570.119999999999</v>
      </c>
      <c r="J17" s="497">
        <f t="shared" si="1"/>
        <v>12484.82</v>
      </c>
      <c r="K17" s="498">
        <f t="shared" si="1"/>
        <v>12370.640000000001</v>
      </c>
      <c r="L17" s="498">
        <f t="shared" si="1"/>
        <v>12873.82</v>
      </c>
      <c r="M17" s="498">
        <f t="shared" si="1"/>
        <v>13375.970000000001</v>
      </c>
      <c r="N17" s="498">
        <f t="shared" si="1"/>
        <v>12927.85</v>
      </c>
      <c r="O17" s="498">
        <f t="shared" si="1"/>
        <v>11734.97</v>
      </c>
      <c r="P17" s="498">
        <f t="shared" si="1"/>
        <v>11765.539999999999</v>
      </c>
      <c r="Q17" s="498">
        <f t="shared" si="1"/>
        <v>12096.769999999999</v>
      </c>
      <c r="R17" s="498">
        <f t="shared" si="1"/>
        <v>12342.34</v>
      </c>
      <c r="S17" s="498">
        <f t="shared" si="1"/>
        <v>12723.49</v>
      </c>
      <c r="T17" s="498">
        <f t="shared" si="1"/>
        <v>13024.68</v>
      </c>
      <c r="U17" s="498">
        <f t="shared" si="1"/>
        <v>13327.630000000001</v>
      </c>
      <c r="V17" s="497">
        <f t="shared" si="1"/>
        <v>13651.490000000002</v>
      </c>
      <c r="W17" s="497">
        <f t="shared" si="1"/>
        <v>13955.12</v>
      </c>
      <c r="X17" s="497">
        <f t="shared" si="1"/>
        <v>14174.13</v>
      </c>
      <c r="Y17" s="497">
        <f t="shared" si="1"/>
        <v>14462.02</v>
      </c>
      <c r="Z17" s="497">
        <f t="shared" si="1"/>
        <v>14758</v>
      </c>
      <c r="AA17" s="497">
        <f t="shared" si="1"/>
        <v>15039.210000000001</v>
      </c>
      <c r="AB17" s="497">
        <f t="shared" si="1"/>
        <v>15317.52</v>
      </c>
    </row>
    <row r="18" spans="2:28" ht="36" x14ac:dyDescent="0.25">
      <c r="B18" s="494" t="s">
        <v>468</v>
      </c>
      <c r="C18" s="494">
        <v>0</v>
      </c>
      <c r="D18" s="494">
        <v>0</v>
      </c>
      <c r="E18" s="494">
        <v>0</v>
      </c>
      <c r="F18" s="494">
        <v>0</v>
      </c>
      <c r="G18" s="494">
        <v>0</v>
      </c>
      <c r="H18" s="494">
        <v>0</v>
      </c>
      <c r="I18" s="494">
        <v>0</v>
      </c>
      <c r="J18" s="494">
        <v>0</v>
      </c>
      <c r="K18" s="498">
        <v>-16.68</v>
      </c>
      <c r="L18" s="498">
        <v>-16.850000000000001</v>
      </c>
      <c r="M18" s="498">
        <v>-22.47</v>
      </c>
      <c r="N18" s="498">
        <v>-17.920000000000002</v>
      </c>
      <c r="O18" s="498">
        <v>-20.29</v>
      </c>
      <c r="P18" s="498">
        <v>-17.920000000000002</v>
      </c>
      <c r="Q18" s="498">
        <v>-17.920000000000002</v>
      </c>
      <c r="R18" s="498">
        <v>-17.920000000000002</v>
      </c>
      <c r="S18" s="498">
        <v>-5.23</v>
      </c>
      <c r="T18" s="498">
        <v>-5.23</v>
      </c>
      <c r="U18" s="498">
        <v>-5.23</v>
      </c>
      <c r="V18" s="494">
        <v>0</v>
      </c>
      <c r="W18" s="494">
        <v>0</v>
      </c>
      <c r="X18" s="494">
        <v>0</v>
      </c>
      <c r="Y18" s="494">
        <v>0</v>
      </c>
      <c r="Z18" s="494">
        <v>0</v>
      </c>
      <c r="AA18" s="494">
        <v>0</v>
      </c>
      <c r="AB18" s="494">
        <v>0</v>
      </c>
    </row>
    <row r="19" spans="2:28" ht="36" x14ac:dyDescent="0.25">
      <c r="B19" s="494" t="s">
        <v>469</v>
      </c>
      <c r="C19" s="495">
        <f>+C18/C16</f>
        <v>0</v>
      </c>
      <c r="D19" s="495">
        <f t="shared" ref="D19:AB19" si="2">+D18/D16</f>
        <v>0</v>
      </c>
      <c r="E19" s="495">
        <f t="shared" si="2"/>
        <v>0</v>
      </c>
      <c r="F19" s="495">
        <f t="shared" si="2"/>
        <v>0</v>
      </c>
      <c r="G19" s="495">
        <f t="shared" si="2"/>
        <v>0</v>
      </c>
      <c r="H19" s="495">
        <f t="shared" si="2"/>
        <v>0</v>
      </c>
      <c r="I19" s="495">
        <f t="shared" si="2"/>
        <v>0</v>
      </c>
      <c r="J19" s="495">
        <f t="shared" si="2"/>
        <v>0</v>
      </c>
      <c r="K19" s="496">
        <f t="shared" si="2"/>
        <v>-1.3465382342589033E-3</v>
      </c>
      <c r="L19" s="496">
        <f t="shared" si="2"/>
        <v>-1.3071469520203373E-3</v>
      </c>
      <c r="M19" s="496">
        <f t="shared" si="2"/>
        <v>-1.6770609115688093E-3</v>
      </c>
      <c r="N19" s="496">
        <f t="shared" si="2"/>
        <v>-1.3842359318912666E-3</v>
      </c>
      <c r="O19" s="496">
        <f t="shared" si="2"/>
        <v>-1.7260358341712561E-3</v>
      </c>
      <c r="P19" s="496">
        <f t="shared" si="2"/>
        <v>-1.5207757314065651E-3</v>
      </c>
      <c r="Q19" s="496">
        <f t="shared" si="2"/>
        <v>-1.4791959183437632E-3</v>
      </c>
      <c r="R19" s="496">
        <f t="shared" si="2"/>
        <v>-1.4498076901294959E-3</v>
      </c>
      <c r="S19" s="496">
        <f t="shared" si="2"/>
        <v>-4.108818482926799E-4</v>
      </c>
      <c r="T19" s="496">
        <f t="shared" si="2"/>
        <v>-4.0138419989086652E-4</v>
      </c>
      <c r="U19" s="496">
        <f t="shared" si="2"/>
        <v>-3.9226392536935065E-4</v>
      </c>
      <c r="V19" s="495">
        <f t="shared" si="2"/>
        <v>0</v>
      </c>
      <c r="W19" s="495">
        <f t="shared" si="2"/>
        <v>0</v>
      </c>
      <c r="X19" s="495">
        <f t="shared" si="2"/>
        <v>0</v>
      </c>
      <c r="Y19" s="495">
        <f t="shared" si="2"/>
        <v>0</v>
      </c>
      <c r="Z19" s="495">
        <f t="shared" si="2"/>
        <v>0</v>
      </c>
      <c r="AA19" s="495">
        <f t="shared" si="2"/>
        <v>0</v>
      </c>
      <c r="AB19" s="495">
        <f t="shared" si="2"/>
        <v>0</v>
      </c>
    </row>
    <row r="20" spans="2:28" ht="15.75" thickBot="1" x14ac:dyDescent="0.3"/>
    <row r="21" spans="2:28" x14ac:dyDescent="0.25">
      <c r="B21" t="s">
        <v>51</v>
      </c>
      <c r="C21" t="s">
        <v>470</v>
      </c>
      <c r="D21" t="s">
        <v>471</v>
      </c>
      <c r="L21" s="485" t="s">
        <v>478</v>
      </c>
      <c r="M21" s="486"/>
      <c r="N21" s="486"/>
      <c r="O21" s="486"/>
      <c r="P21" s="486"/>
      <c r="Q21" s="486"/>
      <c r="R21" s="487"/>
    </row>
    <row r="22" spans="2:28" x14ac:dyDescent="0.25">
      <c r="B22" t="s">
        <v>472</v>
      </c>
      <c r="C22">
        <v>2010</v>
      </c>
      <c r="D22">
        <v>15.00226</v>
      </c>
      <c r="L22" s="488" t="s">
        <v>475</v>
      </c>
      <c r="O22" t="s">
        <v>476</v>
      </c>
      <c r="R22" s="489" t="s">
        <v>477</v>
      </c>
    </row>
    <row r="23" spans="2:28" x14ac:dyDescent="0.25">
      <c r="B23" t="s">
        <v>472</v>
      </c>
      <c r="C23">
        <v>2011</v>
      </c>
      <c r="D23">
        <v>14.910019999999999</v>
      </c>
      <c r="L23" s="488">
        <v>16.68</v>
      </c>
      <c r="R23" s="489">
        <f>(L23+O23)*-1</f>
        <v>-16.68</v>
      </c>
    </row>
    <row r="24" spans="2:28" x14ac:dyDescent="0.25">
      <c r="B24" t="s">
        <v>472</v>
      </c>
      <c r="C24">
        <v>2012</v>
      </c>
      <c r="D24">
        <v>14.80775</v>
      </c>
      <c r="L24" s="488">
        <v>16.850000000000001</v>
      </c>
      <c r="R24" s="489">
        <f t="shared" ref="R24:R33" si="3">(L24+O24)*-1</f>
        <v>-16.850000000000001</v>
      </c>
    </row>
    <row r="25" spans="2:28" x14ac:dyDescent="0.25">
      <c r="B25" t="s">
        <v>472</v>
      </c>
      <c r="C25">
        <v>2013</v>
      </c>
      <c r="D25">
        <v>14.222440000000001</v>
      </c>
      <c r="L25" s="488">
        <v>22.47</v>
      </c>
      <c r="R25" s="489">
        <f t="shared" si="3"/>
        <v>-22.47</v>
      </c>
    </row>
    <row r="26" spans="2:28" x14ac:dyDescent="0.25">
      <c r="B26" t="s">
        <v>472</v>
      </c>
      <c r="C26">
        <v>2014</v>
      </c>
      <c r="D26">
        <v>13.63283</v>
      </c>
      <c r="L26" s="488">
        <v>17.920000000000002</v>
      </c>
      <c r="R26" s="489">
        <f t="shared" si="3"/>
        <v>-17.920000000000002</v>
      </c>
    </row>
    <row r="27" spans="2:28" x14ac:dyDescent="0.25">
      <c r="B27" t="s">
        <v>472</v>
      </c>
      <c r="C27">
        <v>2015</v>
      </c>
      <c r="D27">
        <v>13.10516</v>
      </c>
      <c r="L27" s="488">
        <v>20.29</v>
      </c>
      <c r="R27" s="489">
        <f t="shared" si="3"/>
        <v>-20.29</v>
      </c>
    </row>
    <row r="28" spans="2:28" x14ac:dyDescent="0.25">
      <c r="B28" t="s">
        <v>472</v>
      </c>
      <c r="C28">
        <v>2016</v>
      </c>
      <c r="D28">
        <v>12.570119999999999</v>
      </c>
      <c r="L28" s="488">
        <v>17.920000000000002</v>
      </c>
      <c r="R28" s="489">
        <f t="shared" si="3"/>
        <v>-17.920000000000002</v>
      </c>
    </row>
    <row r="29" spans="2:28" x14ac:dyDescent="0.25">
      <c r="B29" t="s">
        <v>472</v>
      </c>
      <c r="C29">
        <v>2017</v>
      </c>
      <c r="D29">
        <v>12.484819999999999</v>
      </c>
      <c r="L29" s="488">
        <v>17.920000000000002</v>
      </c>
      <c r="R29" s="489">
        <f t="shared" si="3"/>
        <v>-17.920000000000002</v>
      </c>
    </row>
    <row r="30" spans="2:28" x14ac:dyDescent="0.25">
      <c r="B30" t="s">
        <v>472</v>
      </c>
      <c r="C30">
        <v>2018</v>
      </c>
      <c r="D30">
        <v>12.387320000000001</v>
      </c>
      <c r="L30" s="488">
        <v>17.920000000000002</v>
      </c>
      <c r="R30" s="489">
        <f t="shared" si="3"/>
        <v>-17.920000000000002</v>
      </c>
    </row>
    <row r="31" spans="2:28" x14ac:dyDescent="0.25">
      <c r="B31" t="s">
        <v>472</v>
      </c>
      <c r="C31">
        <v>2019</v>
      </c>
      <c r="D31">
        <v>12.89067</v>
      </c>
      <c r="L31" s="488">
        <v>2.7</v>
      </c>
      <c r="O31">
        <v>2.5299999999999998</v>
      </c>
      <c r="R31" s="489">
        <f t="shared" si="3"/>
        <v>-5.23</v>
      </c>
    </row>
    <row r="32" spans="2:28" x14ac:dyDescent="0.25">
      <c r="B32" t="s">
        <v>472</v>
      </c>
      <c r="C32">
        <v>2020</v>
      </c>
      <c r="D32">
        <v>13.398440000000001</v>
      </c>
      <c r="L32" s="488">
        <v>2.7</v>
      </c>
      <c r="O32">
        <v>2.5299999999999998</v>
      </c>
      <c r="R32" s="489">
        <f t="shared" si="3"/>
        <v>-5.23</v>
      </c>
    </row>
    <row r="33" spans="2:18" ht="15.75" thickBot="1" x14ac:dyDescent="0.3">
      <c r="B33" t="s">
        <v>472</v>
      </c>
      <c r="C33">
        <v>2021</v>
      </c>
      <c r="D33">
        <v>12.94577</v>
      </c>
      <c r="L33" s="490">
        <v>2.7</v>
      </c>
      <c r="M33" s="491"/>
      <c r="N33" s="491"/>
      <c r="O33" s="491">
        <v>2.5299999999999998</v>
      </c>
      <c r="P33" s="491"/>
      <c r="Q33" s="491"/>
      <c r="R33" s="492">
        <f t="shared" si="3"/>
        <v>-5.23</v>
      </c>
    </row>
    <row r="34" spans="2:18" x14ac:dyDescent="0.25">
      <c r="B34" t="s">
        <v>472</v>
      </c>
      <c r="C34">
        <v>2022</v>
      </c>
      <c r="D34">
        <v>11.75526</v>
      </c>
    </row>
    <row r="35" spans="2:18" x14ac:dyDescent="0.25">
      <c r="B35" t="s">
        <v>472</v>
      </c>
      <c r="C35">
        <v>2023</v>
      </c>
      <c r="D35">
        <v>11.78346</v>
      </c>
    </row>
    <row r="36" spans="2:18" x14ac:dyDescent="0.25">
      <c r="B36" t="s">
        <v>472</v>
      </c>
      <c r="C36">
        <v>2024</v>
      </c>
      <c r="D36">
        <v>12.11469</v>
      </c>
    </row>
    <row r="37" spans="2:18" x14ac:dyDescent="0.25">
      <c r="B37" t="s">
        <v>472</v>
      </c>
      <c r="C37">
        <v>2025</v>
      </c>
      <c r="D37">
        <v>12.36026</v>
      </c>
    </row>
    <row r="38" spans="2:18" x14ac:dyDescent="0.25">
      <c r="B38" t="s">
        <v>472</v>
      </c>
      <c r="C38">
        <v>2026</v>
      </c>
      <c r="D38">
        <v>12.728719999999999</v>
      </c>
    </row>
    <row r="39" spans="2:18" x14ac:dyDescent="0.25">
      <c r="B39" t="s">
        <v>472</v>
      </c>
      <c r="C39">
        <v>2027</v>
      </c>
      <c r="D39">
        <v>13.029909999999999</v>
      </c>
    </row>
    <row r="40" spans="2:18" x14ac:dyDescent="0.25">
      <c r="B40" t="s">
        <v>472</v>
      </c>
      <c r="C40">
        <v>2028</v>
      </c>
      <c r="D40">
        <v>13.33286</v>
      </c>
    </row>
    <row r="41" spans="2:18" x14ac:dyDescent="0.25">
      <c r="B41" t="s">
        <v>472</v>
      </c>
      <c r="C41">
        <v>2029</v>
      </c>
      <c r="D41">
        <v>13.651490000000001</v>
      </c>
    </row>
    <row r="42" spans="2:18" x14ac:dyDescent="0.25">
      <c r="B42" t="s">
        <v>472</v>
      </c>
      <c r="C42">
        <v>2030</v>
      </c>
      <c r="D42">
        <v>13.955120000000001</v>
      </c>
    </row>
    <row r="43" spans="2:18" x14ac:dyDescent="0.25">
      <c r="B43" t="s">
        <v>472</v>
      </c>
      <c r="C43">
        <v>2031</v>
      </c>
      <c r="D43">
        <v>14.17413</v>
      </c>
    </row>
    <row r="44" spans="2:18" x14ac:dyDescent="0.25">
      <c r="B44" t="s">
        <v>472</v>
      </c>
      <c r="C44">
        <v>2032</v>
      </c>
      <c r="D44">
        <v>14.462020000000001</v>
      </c>
    </row>
    <row r="45" spans="2:18" x14ac:dyDescent="0.25">
      <c r="B45" t="s">
        <v>472</v>
      </c>
      <c r="C45">
        <v>2033</v>
      </c>
      <c r="D45">
        <v>14.757999999999999</v>
      </c>
    </row>
    <row r="46" spans="2:18" x14ac:dyDescent="0.25">
      <c r="B46" t="s">
        <v>472</v>
      </c>
      <c r="C46">
        <v>2034</v>
      </c>
      <c r="D46">
        <v>15.039210000000001</v>
      </c>
    </row>
    <row r="47" spans="2:18" x14ac:dyDescent="0.25">
      <c r="B47" t="s">
        <v>472</v>
      </c>
      <c r="C47">
        <v>2035</v>
      </c>
      <c r="D47">
        <v>15.31752</v>
      </c>
    </row>
    <row r="50" spans="2:28" x14ac:dyDescent="0.25">
      <c r="B50" s="494" t="s">
        <v>474</v>
      </c>
      <c r="C50" s="497">
        <v>15.00226</v>
      </c>
      <c r="D50" s="497">
        <v>14.910019999999999</v>
      </c>
      <c r="E50" s="497">
        <v>14.80775</v>
      </c>
      <c r="F50" s="497">
        <v>14.222440000000001</v>
      </c>
      <c r="G50" s="497">
        <v>13.63283</v>
      </c>
      <c r="H50" s="497">
        <v>13.10516</v>
      </c>
      <c r="I50" s="497">
        <v>12.570119999999999</v>
      </c>
      <c r="J50" s="497">
        <v>12.484819999999999</v>
      </c>
      <c r="K50" s="498">
        <v>12.387320000000001</v>
      </c>
      <c r="L50" s="498">
        <v>12.89067</v>
      </c>
      <c r="M50" s="498">
        <v>13.398440000000001</v>
      </c>
      <c r="N50" s="498">
        <v>12.94577</v>
      </c>
      <c r="O50" s="498">
        <v>11.75526</v>
      </c>
      <c r="P50" s="498">
        <v>11.78346</v>
      </c>
      <c r="Q50" s="498">
        <v>12.11469</v>
      </c>
      <c r="R50" s="498">
        <v>12.36026</v>
      </c>
      <c r="S50" s="498">
        <v>12.728719999999999</v>
      </c>
      <c r="T50" s="498">
        <v>13.029909999999999</v>
      </c>
      <c r="U50" s="498">
        <v>13.33286</v>
      </c>
      <c r="V50" s="497">
        <v>13.651490000000001</v>
      </c>
      <c r="W50" s="497">
        <v>13.955120000000001</v>
      </c>
      <c r="X50" s="497">
        <v>14.17413</v>
      </c>
      <c r="Y50" s="497">
        <v>14.462020000000001</v>
      </c>
      <c r="Z50" s="497">
        <v>14.757999999999999</v>
      </c>
      <c r="AA50" s="497">
        <v>15.039210000000001</v>
      </c>
      <c r="AB50" s="497">
        <v>15.31752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602D7-E12D-4ABA-AB69-7B7693C6222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DCD20E-DC66-44AB-9838-7E8738E06293}"/>
</file>

<file path=customXml/itemProps3.xml><?xml version="1.0" encoding="utf-8"?>
<ds:datastoreItem xmlns:ds="http://schemas.openxmlformats.org/officeDocument/2006/customXml" ds:itemID="{4F6D00EB-3B56-4A5A-9D53-B5E094A854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INGEI</vt:lpstr>
      <vt:lpstr>INGEI_diffs</vt:lpstr>
      <vt:lpstr>Pastizales</vt:lpstr>
      <vt:lpstr>Emisiones Tierras forestales</vt:lpstr>
      <vt:lpstr>Forestales</vt:lpstr>
      <vt:lpstr>Emisiones asentamientos</vt:lpstr>
      <vt:lpstr>Emisiones humedales</vt:lpstr>
      <vt:lpstr>5ta</vt:lpstr>
      <vt:lpstr>Emisiones otros cambios</vt:lpstr>
      <vt:lpstr>Hoja1</vt:lpstr>
      <vt:lpstr>Hoja6</vt:lpstr>
      <vt:lpstr>Medidas</vt:lpstr>
      <vt:lpstr>Cambio uso de suelo</vt:lpstr>
      <vt:lpstr>Coberturas</vt:lpstr>
      <vt:lpstr>Cambio uso de suelo (BAU)</vt:lpstr>
      <vt:lpstr>Cambio uso de suelo (INC)</vt:lpstr>
      <vt:lpstr>Cambio uso de suelo (CON)</vt:lpstr>
      <vt:lpstr>Emisiones forestales</vt:lpstr>
      <vt:lpstr>Comparación</vt:lpstr>
      <vt:lpstr>Medidas USCUSS</vt:lpstr>
      <vt:lpstr>Calibración_BAU_USCUSS</vt:lpstr>
      <vt:lpstr>Coberturas (PRIME)</vt:lpstr>
      <vt:lpstr>AGRICULTURA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yds3</dc:creator>
  <cp:lastModifiedBy>Luis Victor Gallardo</cp:lastModifiedBy>
  <dcterms:created xsi:type="dcterms:W3CDTF">2024-12-08T23:34:20Z</dcterms:created>
  <dcterms:modified xsi:type="dcterms:W3CDTF">2025-01-15T20:35:33Z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