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2_Data/PIUP/0_Hoja de calculo final/"/>
    </mc:Choice>
  </mc:AlternateContent>
  <xr:revisionPtr revIDLastSave="3499" documentId="11_F0D1C7B13F7141B3488BEC0E2235652F16B28D6E" xr6:coauthVersionLast="47" xr6:coauthVersionMax="47" xr10:uidLastSave="{FFA12643-EA32-4AAC-B23D-F0600CD702A4}"/>
  <bookViews>
    <workbookView xWindow="28680" yWindow="-45" windowWidth="29040" windowHeight="15720" tabRatio="693" activeTab="1" xr2:uid="{00000000-000D-0000-FFFF-FFFF00000000}"/>
  </bookViews>
  <sheets>
    <sheet name="Indice" sheetId="13" r:id="rId1"/>
    <sheet name="Metas" sheetId="10" r:id="rId2"/>
    <sheet name="Act_Cemento_Otros_PIUP_sinHFC" sheetId="4" r:id="rId3"/>
    <sheet name="Act_5CN_OtrosPIUP" sheetId="2" r:id="rId4"/>
    <sheet name="Act_HFC_General" sheetId="12" r:id="rId5"/>
    <sheet name="HFC_Desglose" sheetId="14" r:id="rId6"/>
    <sheet name="Otras_CementoMiscelanea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0" l="1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C45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C41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C37" i="10"/>
  <c r="K146" i="14" l="1"/>
  <c r="AH148" i="14"/>
  <c r="AH149" i="14"/>
  <c r="AH150" i="14"/>
  <c r="AH151" i="14"/>
  <c r="Y151" i="14"/>
  <c r="Y146" i="14"/>
  <c r="X146" i="14"/>
  <c r="Z125" i="14"/>
  <c r="AA125" i="14"/>
  <c r="AB125" i="14"/>
  <c r="AC125" i="14"/>
  <c r="AD125" i="14"/>
  <c r="AE125" i="14"/>
  <c r="AF125" i="14"/>
  <c r="AG125" i="14"/>
  <c r="AH125" i="14"/>
  <c r="Z126" i="14"/>
  <c r="AA126" i="14"/>
  <c r="AB126" i="14"/>
  <c r="AC126" i="14"/>
  <c r="AD126" i="14"/>
  <c r="AE126" i="14"/>
  <c r="AF126" i="14"/>
  <c r="AG126" i="14"/>
  <c r="AH126" i="14"/>
  <c r="Z127" i="14"/>
  <c r="AA127" i="14"/>
  <c r="AB127" i="14"/>
  <c r="AC127" i="14"/>
  <c r="AD127" i="14"/>
  <c r="AE127" i="14"/>
  <c r="AF127" i="14"/>
  <c r="AG127" i="14"/>
  <c r="AH127" i="14"/>
  <c r="Z128" i="14"/>
  <c r="AA128" i="14"/>
  <c r="AB128" i="14"/>
  <c r="AC128" i="14"/>
  <c r="AD128" i="14"/>
  <c r="AE128" i="14"/>
  <c r="AF128" i="14"/>
  <c r="AG128" i="14"/>
  <c r="AH128" i="14"/>
  <c r="Z129" i="14"/>
  <c r="AA129" i="14"/>
  <c r="AB129" i="14"/>
  <c r="AC129" i="14"/>
  <c r="AD129" i="14"/>
  <c r="AE129" i="14"/>
  <c r="AF129" i="14"/>
  <c r="AG129" i="14"/>
  <c r="AH129" i="14"/>
  <c r="Z130" i="14"/>
  <c r="AA130" i="14"/>
  <c r="AB130" i="14"/>
  <c r="AC130" i="14"/>
  <c r="AD130" i="14"/>
  <c r="AE130" i="14"/>
  <c r="AF130" i="14"/>
  <c r="AG130" i="14"/>
  <c r="AH130" i="14"/>
  <c r="Y130" i="14"/>
  <c r="Y129" i="14"/>
  <c r="Y128" i="14"/>
  <c r="Y127" i="14"/>
  <c r="Y126" i="14"/>
  <c r="Y125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V82" i="14"/>
  <c r="V81" i="14"/>
  <c r="V80" i="14"/>
  <c r="V79" i="14"/>
  <c r="V78" i="14"/>
  <c r="V77" i="14"/>
  <c r="J60" i="14"/>
  <c r="K60" i="14"/>
  <c r="L60" i="14"/>
  <c r="L66" i="14" s="1"/>
  <c r="M60" i="14"/>
  <c r="N60" i="14"/>
  <c r="O60" i="14"/>
  <c r="O66" i="14" s="1"/>
  <c r="P60" i="14"/>
  <c r="Q60" i="14"/>
  <c r="R60" i="14"/>
  <c r="S60" i="14"/>
  <c r="T60" i="14"/>
  <c r="U60" i="14"/>
  <c r="J61" i="14"/>
  <c r="K61" i="14"/>
  <c r="L61" i="14"/>
  <c r="M61" i="14"/>
  <c r="N61" i="14"/>
  <c r="O61" i="14"/>
  <c r="P61" i="14"/>
  <c r="P66" i="14" s="1"/>
  <c r="Q61" i="14"/>
  <c r="R61" i="14"/>
  <c r="S61" i="14"/>
  <c r="T61" i="14"/>
  <c r="U61" i="14"/>
  <c r="U66" i="14" s="1"/>
  <c r="J62" i="14"/>
  <c r="K62" i="14"/>
  <c r="L62" i="14"/>
  <c r="M62" i="14"/>
  <c r="N62" i="14"/>
  <c r="O62" i="14"/>
  <c r="P62" i="14"/>
  <c r="Q62" i="14"/>
  <c r="R62" i="14"/>
  <c r="S62" i="14"/>
  <c r="T62" i="14"/>
  <c r="U62" i="14"/>
  <c r="J63" i="14"/>
  <c r="K63" i="14"/>
  <c r="L63" i="14"/>
  <c r="M63" i="14"/>
  <c r="M66" i="14" s="1"/>
  <c r="N63" i="14"/>
  <c r="O63" i="14"/>
  <c r="P63" i="14"/>
  <c r="Q63" i="14"/>
  <c r="R63" i="14"/>
  <c r="S63" i="14"/>
  <c r="T63" i="14"/>
  <c r="U63" i="14"/>
  <c r="V63" i="14" s="1"/>
  <c r="W63" i="14" s="1"/>
  <c r="X63" i="14" s="1"/>
  <c r="Y63" i="14" s="1"/>
  <c r="Z63" i="14" s="1"/>
  <c r="AA63" i="14" s="1"/>
  <c r="AB63" i="14" s="1"/>
  <c r="AC63" i="14" s="1"/>
  <c r="AD63" i="14" s="1"/>
  <c r="AE63" i="14" s="1"/>
  <c r="AF63" i="14" s="1"/>
  <c r="AG63" i="14" s="1"/>
  <c r="AH63" i="14" s="1"/>
  <c r="J64" i="14"/>
  <c r="K64" i="14"/>
  <c r="L64" i="14"/>
  <c r="M64" i="14"/>
  <c r="N64" i="14"/>
  <c r="O64" i="14"/>
  <c r="P64" i="14"/>
  <c r="Q64" i="14"/>
  <c r="R64" i="14"/>
  <c r="S64" i="14"/>
  <c r="T64" i="14"/>
  <c r="U64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I65" i="14"/>
  <c r="I64" i="14"/>
  <c r="I63" i="14"/>
  <c r="I62" i="14"/>
  <c r="I61" i="14"/>
  <c r="I60" i="14"/>
  <c r="S66" i="14"/>
  <c r="K66" i="14"/>
  <c r="V65" i="14"/>
  <c r="W65" i="14" s="1"/>
  <c r="X65" i="14" s="1"/>
  <c r="Y65" i="14" s="1"/>
  <c r="Z65" i="14" s="1"/>
  <c r="AA65" i="14" s="1"/>
  <c r="AB65" i="14" s="1"/>
  <c r="AC65" i="14" s="1"/>
  <c r="AD65" i="14" s="1"/>
  <c r="AE65" i="14" s="1"/>
  <c r="AF65" i="14" s="1"/>
  <c r="AG65" i="14" s="1"/>
  <c r="AH65" i="14" s="1"/>
  <c r="V64" i="14"/>
  <c r="W64" i="14" s="1"/>
  <c r="X64" i="14" s="1"/>
  <c r="Y64" i="14" s="1"/>
  <c r="Z64" i="14" s="1"/>
  <c r="AA64" i="14" s="1"/>
  <c r="AB64" i="14" s="1"/>
  <c r="AC64" i="14" s="1"/>
  <c r="AD64" i="14" s="1"/>
  <c r="AE64" i="14" s="1"/>
  <c r="AF64" i="14" s="1"/>
  <c r="AG64" i="14" s="1"/>
  <c r="AH64" i="14" s="1"/>
  <c r="V62" i="14"/>
  <c r="W62" i="14" s="1"/>
  <c r="X62" i="14" s="1"/>
  <c r="Y62" i="14" s="1"/>
  <c r="Z62" i="14" s="1"/>
  <c r="AA62" i="14" s="1"/>
  <c r="AB62" i="14" s="1"/>
  <c r="AC62" i="14" s="1"/>
  <c r="AD62" i="14" s="1"/>
  <c r="AE62" i="14" s="1"/>
  <c r="AF62" i="14" s="1"/>
  <c r="AG62" i="14" s="1"/>
  <c r="AH62" i="14" s="1"/>
  <c r="V60" i="14"/>
  <c r="T66" i="14"/>
  <c r="R66" i="14"/>
  <c r="Q66" i="14"/>
  <c r="N66" i="14"/>
  <c r="J66" i="14"/>
  <c r="V61" i="14" l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I66" i="14"/>
  <c r="V66" i="14"/>
  <c r="W60" i="14"/>
  <c r="Z131" i="14"/>
  <c r="AA131" i="14"/>
  <c r="AB131" i="14"/>
  <c r="AC131" i="14"/>
  <c r="AD131" i="14"/>
  <c r="AE131" i="14"/>
  <c r="AF131" i="14"/>
  <c r="AG131" i="14"/>
  <c r="AH131" i="14"/>
  <c r="Y131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V83" i="14"/>
  <c r="G7" i="12"/>
  <c r="H7" i="12"/>
  <c r="I7" i="12"/>
  <c r="J7" i="12"/>
  <c r="K7" i="12"/>
  <c r="L7" i="12"/>
  <c r="M7" i="12"/>
  <c r="N7" i="12"/>
  <c r="O7" i="12"/>
  <c r="P7" i="12"/>
  <c r="Q7" i="12"/>
  <c r="R7" i="12"/>
  <c r="F7" i="12"/>
  <c r="J77" i="14"/>
  <c r="J125" i="14" s="1"/>
  <c r="J146" i="14" s="1"/>
  <c r="J156" i="14" s="1"/>
  <c r="K77" i="14"/>
  <c r="K125" i="14" s="1"/>
  <c r="L77" i="14"/>
  <c r="M77" i="14"/>
  <c r="M125" i="14" s="1"/>
  <c r="M146" i="14" s="1"/>
  <c r="M156" i="14" s="1"/>
  <c r="N77" i="14"/>
  <c r="N98" i="14" s="1"/>
  <c r="N108" i="14" s="1"/>
  <c r="O77" i="14"/>
  <c r="P77" i="14"/>
  <c r="Q77" i="14"/>
  <c r="Q125" i="14" s="1"/>
  <c r="Q146" i="14" s="1"/>
  <c r="Q156" i="14" s="1"/>
  <c r="R77" i="14"/>
  <c r="R125" i="14" s="1"/>
  <c r="R146" i="14" s="1"/>
  <c r="R156" i="14" s="1"/>
  <c r="S77" i="14"/>
  <c r="S125" i="14" s="1"/>
  <c r="T77" i="14"/>
  <c r="U77" i="14"/>
  <c r="U98" i="14" s="1"/>
  <c r="U108" i="14" s="1"/>
  <c r="J78" i="14"/>
  <c r="J99" i="14" s="1"/>
  <c r="J109" i="14" s="1"/>
  <c r="K78" i="14"/>
  <c r="K99" i="14" s="1"/>
  <c r="K109" i="14" s="1"/>
  <c r="L78" i="14"/>
  <c r="M78" i="14"/>
  <c r="M126" i="14" s="1"/>
  <c r="M147" i="14" s="1"/>
  <c r="M157" i="14" s="1"/>
  <c r="N78" i="14"/>
  <c r="N126" i="14" s="1"/>
  <c r="N147" i="14" s="1"/>
  <c r="N157" i="14" s="1"/>
  <c r="O78" i="14"/>
  <c r="O126" i="14" s="1"/>
  <c r="O147" i="14" s="1"/>
  <c r="O157" i="14" s="1"/>
  <c r="P78" i="14"/>
  <c r="Q78" i="14"/>
  <c r="Q126" i="14" s="1"/>
  <c r="Q147" i="14" s="1"/>
  <c r="Q157" i="14" s="1"/>
  <c r="R78" i="14"/>
  <c r="R99" i="14" s="1"/>
  <c r="R109" i="14" s="1"/>
  <c r="S78" i="14"/>
  <c r="S99" i="14" s="1"/>
  <c r="S109" i="14" s="1"/>
  <c r="T78" i="14"/>
  <c r="U78" i="14"/>
  <c r="U126" i="14" s="1"/>
  <c r="U147" i="14" s="1"/>
  <c r="U157" i="14" s="1"/>
  <c r="J79" i="14"/>
  <c r="J127" i="14" s="1"/>
  <c r="J148" i="14" s="1"/>
  <c r="J158" i="14" s="1"/>
  <c r="K79" i="14"/>
  <c r="K100" i="14" s="1"/>
  <c r="K110" i="14" s="1"/>
  <c r="L79" i="14"/>
  <c r="M79" i="14"/>
  <c r="M100" i="14" s="1"/>
  <c r="M110" i="14" s="1"/>
  <c r="N79" i="14"/>
  <c r="N100" i="14" s="1"/>
  <c r="N110" i="14" s="1"/>
  <c r="O79" i="14"/>
  <c r="O127" i="14" s="1"/>
  <c r="O148" i="14" s="1"/>
  <c r="O158" i="14" s="1"/>
  <c r="P79" i="14"/>
  <c r="P127" i="14" s="1"/>
  <c r="P148" i="14" s="1"/>
  <c r="P158" i="14" s="1"/>
  <c r="Q79" i="14"/>
  <c r="Q100" i="14" s="1"/>
  <c r="Q110" i="14" s="1"/>
  <c r="R79" i="14"/>
  <c r="R127" i="14" s="1"/>
  <c r="R148" i="14" s="1"/>
  <c r="R158" i="14" s="1"/>
  <c r="S79" i="14"/>
  <c r="S100" i="14" s="1"/>
  <c r="S110" i="14" s="1"/>
  <c r="T79" i="14"/>
  <c r="U79" i="14"/>
  <c r="U100" i="14" s="1"/>
  <c r="U110" i="14" s="1"/>
  <c r="J80" i="14"/>
  <c r="J101" i="14" s="1"/>
  <c r="J111" i="14" s="1"/>
  <c r="K80" i="14"/>
  <c r="K101" i="14" s="1"/>
  <c r="K111" i="14" s="1"/>
  <c r="L80" i="14"/>
  <c r="M80" i="14"/>
  <c r="M101" i="14" s="1"/>
  <c r="M111" i="14" s="1"/>
  <c r="N80" i="14"/>
  <c r="N128" i="14" s="1"/>
  <c r="N149" i="14" s="1"/>
  <c r="N159" i="14" s="1"/>
  <c r="O80" i="14"/>
  <c r="O128" i="14" s="1"/>
  <c r="O149" i="14" s="1"/>
  <c r="O159" i="14" s="1"/>
  <c r="P80" i="14"/>
  <c r="P128" i="14" s="1"/>
  <c r="P149" i="14" s="1"/>
  <c r="P159" i="14" s="1"/>
  <c r="Q80" i="14"/>
  <c r="Q101" i="14" s="1"/>
  <c r="Q111" i="14" s="1"/>
  <c r="R80" i="14"/>
  <c r="R128" i="14" s="1"/>
  <c r="R149" i="14" s="1"/>
  <c r="R159" i="14" s="1"/>
  <c r="S80" i="14"/>
  <c r="S101" i="14" s="1"/>
  <c r="S111" i="14" s="1"/>
  <c r="T80" i="14"/>
  <c r="U80" i="14"/>
  <c r="U101" i="14" s="1"/>
  <c r="U111" i="14" s="1"/>
  <c r="J81" i="14"/>
  <c r="J129" i="14" s="1"/>
  <c r="J150" i="14" s="1"/>
  <c r="J160" i="14" s="1"/>
  <c r="K81" i="14"/>
  <c r="K102" i="14" s="1"/>
  <c r="K112" i="14" s="1"/>
  <c r="L81" i="14"/>
  <c r="M81" i="14"/>
  <c r="M102" i="14" s="1"/>
  <c r="M112" i="14" s="1"/>
  <c r="N81" i="14"/>
  <c r="N129" i="14" s="1"/>
  <c r="N150" i="14" s="1"/>
  <c r="N160" i="14" s="1"/>
  <c r="O81" i="14"/>
  <c r="O129" i="14" s="1"/>
  <c r="O150" i="14" s="1"/>
  <c r="O160" i="14" s="1"/>
  <c r="P81" i="14"/>
  <c r="P129" i="14" s="1"/>
  <c r="P150" i="14" s="1"/>
  <c r="P160" i="14" s="1"/>
  <c r="Q81" i="14"/>
  <c r="Q102" i="14" s="1"/>
  <c r="Q112" i="14" s="1"/>
  <c r="R81" i="14"/>
  <c r="R129" i="14" s="1"/>
  <c r="R150" i="14" s="1"/>
  <c r="R160" i="14" s="1"/>
  <c r="S81" i="14"/>
  <c r="S102" i="14" s="1"/>
  <c r="S112" i="14" s="1"/>
  <c r="T81" i="14"/>
  <c r="U81" i="14"/>
  <c r="U102" i="14" s="1"/>
  <c r="U112" i="14" s="1"/>
  <c r="J82" i="14"/>
  <c r="J103" i="14" s="1"/>
  <c r="J113" i="14" s="1"/>
  <c r="K82" i="14"/>
  <c r="K103" i="14" s="1"/>
  <c r="K113" i="14" s="1"/>
  <c r="L82" i="14"/>
  <c r="M82" i="14"/>
  <c r="M130" i="14" s="1"/>
  <c r="M151" i="14" s="1"/>
  <c r="M161" i="14" s="1"/>
  <c r="N82" i="14"/>
  <c r="N130" i="14" s="1"/>
  <c r="N151" i="14" s="1"/>
  <c r="N161" i="14" s="1"/>
  <c r="O82" i="14"/>
  <c r="O130" i="14" s="1"/>
  <c r="O151" i="14" s="1"/>
  <c r="O161" i="14" s="1"/>
  <c r="P82" i="14"/>
  <c r="Q82" i="14"/>
  <c r="Q130" i="14" s="1"/>
  <c r="Q151" i="14" s="1"/>
  <c r="Q161" i="14" s="1"/>
  <c r="R82" i="14"/>
  <c r="R103" i="14" s="1"/>
  <c r="R113" i="14" s="1"/>
  <c r="S82" i="14"/>
  <c r="S103" i="14" s="1"/>
  <c r="S113" i="14" s="1"/>
  <c r="T82" i="14"/>
  <c r="U82" i="14"/>
  <c r="U103" i="14" s="1"/>
  <c r="U113" i="14" s="1"/>
  <c r="I77" i="14"/>
  <c r="I125" i="14" s="1"/>
  <c r="I146" i="14" s="1"/>
  <c r="I156" i="14" s="1"/>
  <c r="I78" i="14"/>
  <c r="I126" i="14" s="1"/>
  <c r="I147" i="14" s="1"/>
  <c r="I157" i="14" s="1"/>
  <c r="I79" i="14"/>
  <c r="I80" i="14"/>
  <c r="I128" i="14" s="1"/>
  <c r="I149" i="14" s="1"/>
  <c r="I159" i="14" s="1"/>
  <c r="I81" i="14"/>
  <c r="I102" i="14" s="1"/>
  <c r="I112" i="14" s="1"/>
  <c r="I82" i="14"/>
  <c r="I130" i="14" s="1"/>
  <c r="I151" i="14" s="1"/>
  <c r="I161" i="14" s="1"/>
  <c r="J46" i="14"/>
  <c r="K46" i="14"/>
  <c r="L46" i="14"/>
  <c r="M46" i="14"/>
  <c r="N46" i="14"/>
  <c r="O46" i="14"/>
  <c r="P46" i="14"/>
  <c r="Q46" i="14"/>
  <c r="R46" i="14"/>
  <c r="S46" i="14"/>
  <c r="T46" i="14"/>
  <c r="U46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I51" i="14"/>
  <c r="I50" i="14"/>
  <c r="I49" i="14"/>
  <c r="I48" i="14"/>
  <c r="I47" i="14"/>
  <c r="I46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I36" i="14"/>
  <c r="I37" i="14"/>
  <c r="I38" i="14"/>
  <c r="I39" i="14"/>
  <c r="I40" i="14"/>
  <c r="I35" i="14"/>
  <c r="W66" i="14" l="1"/>
  <c r="X60" i="14"/>
  <c r="S126" i="14"/>
  <c r="O103" i="14"/>
  <c r="O113" i="14" s="1"/>
  <c r="O101" i="14"/>
  <c r="O111" i="14" s="1"/>
  <c r="S128" i="14"/>
  <c r="S149" i="14" s="1"/>
  <c r="S159" i="14" s="1"/>
  <c r="S83" i="14"/>
  <c r="W130" i="14"/>
  <c r="W151" i="14" s="1"/>
  <c r="W161" i="14" s="1"/>
  <c r="Q52" i="14"/>
  <c r="Z113" i="14"/>
  <c r="N103" i="14"/>
  <c r="N113" i="14" s="1"/>
  <c r="U130" i="14"/>
  <c r="U151" i="14" s="1"/>
  <c r="U161" i="14" s="1"/>
  <c r="O52" i="14"/>
  <c r="Q128" i="14"/>
  <c r="Q149" i="14" s="1"/>
  <c r="Q159" i="14" s="1"/>
  <c r="V112" i="14"/>
  <c r="M52" i="14"/>
  <c r="N99" i="14"/>
  <c r="N109" i="14" s="1"/>
  <c r="N101" i="14"/>
  <c r="N111" i="14" s="1"/>
  <c r="M99" i="14"/>
  <c r="M109" i="14" s="1"/>
  <c r="O83" i="14"/>
  <c r="S130" i="14"/>
  <c r="S151" i="14" s="1"/>
  <c r="S161" i="14" s="1"/>
  <c r="N52" i="14"/>
  <c r="U52" i="14"/>
  <c r="J83" i="14"/>
  <c r="M103" i="14"/>
  <c r="M113" i="14" s="1"/>
  <c r="R100" i="14"/>
  <c r="R110" i="14" s="1"/>
  <c r="M128" i="14"/>
  <c r="M149" i="14" s="1"/>
  <c r="M159" i="14" s="1"/>
  <c r="K126" i="14"/>
  <c r="K83" i="14"/>
  <c r="V109" i="14"/>
  <c r="R102" i="14"/>
  <c r="R112" i="14" s="1"/>
  <c r="O100" i="14"/>
  <c r="O110" i="14" s="1"/>
  <c r="Q98" i="14"/>
  <c r="Q108" i="14" s="1"/>
  <c r="K130" i="14"/>
  <c r="K151" i="14" s="1"/>
  <c r="K161" i="14" s="1"/>
  <c r="K128" i="14"/>
  <c r="K149" i="14" s="1"/>
  <c r="K159" i="14" s="1"/>
  <c r="U125" i="14"/>
  <c r="U146" i="14" s="1"/>
  <c r="U156" i="14" s="1"/>
  <c r="O102" i="14"/>
  <c r="O112" i="14" s="1"/>
  <c r="J100" i="14"/>
  <c r="J110" i="14" s="1"/>
  <c r="O98" i="14"/>
  <c r="O108" i="14" s="1"/>
  <c r="U129" i="14"/>
  <c r="U150" i="14" s="1"/>
  <c r="U160" i="14" s="1"/>
  <c r="Q127" i="14"/>
  <c r="Q148" i="14" s="1"/>
  <c r="Q158" i="14" s="1"/>
  <c r="I103" i="14"/>
  <c r="I113" i="14" s="1"/>
  <c r="J102" i="14"/>
  <c r="J112" i="14" s="1"/>
  <c r="U99" i="14"/>
  <c r="U109" i="14" s="1"/>
  <c r="U114" i="14" s="1"/>
  <c r="Q129" i="14"/>
  <c r="Q150" i="14" s="1"/>
  <c r="Q160" i="14" s="1"/>
  <c r="O125" i="14"/>
  <c r="O146" i="14" s="1"/>
  <c r="O156" i="14" s="1"/>
  <c r="O162" i="14" s="1"/>
  <c r="I52" i="14"/>
  <c r="R101" i="14"/>
  <c r="R111" i="14" s="1"/>
  <c r="Q99" i="14"/>
  <c r="Q109" i="14" s="1"/>
  <c r="M127" i="14"/>
  <c r="M148" i="14" s="1"/>
  <c r="M158" i="14" s="1"/>
  <c r="S52" i="14"/>
  <c r="K52" i="14"/>
  <c r="U83" i="14"/>
  <c r="Q103" i="14"/>
  <c r="Q113" i="14" s="1"/>
  <c r="P101" i="14"/>
  <c r="P111" i="14" s="1"/>
  <c r="O99" i="14"/>
  <c r="O109" i="14" s="1"/>
  <c r="I129" i="14"/>
  <c r="I150" i="14" s="1"/>
  <c r="I160" i="14" s="1"/>
  <c r="U128" i="14"/>
  <c r="U149" i="14" s="1"/>
  <c r="U159" i="14" s="1"/>
  <c r="V52" i="14"/>
  <c r="R52" i="14"/>
  <c r="S146" i="14"/>
  <c r="S156" i="14" s="1"/>
  <c r="I83" i="14"/>
  <c r="J130" i="14"/>
  <c r="J151" i="14" s="1"/>
  <c r="J161" i="14" s="1"/>
  <c r="N127" i="14"/>
  <c r="N148" i="14" s="1"/>
  <c r="N158" i="14" s="1"/>
  <c r="J126" i="14"/>
  <c r="J147" i="14" s="1"/>
  <c r="J157" i="14" s="1"/>
  <c r="P52" i="14"/>
  <c r="T99" i="14"/>
  <c r="T109" i="14" s="1"/>
  <c r="T126" i="14"/>
  <c r="T147" i="14" s="1"/>
  <c r="T157" i="14" s="1"/>
  <c r="P102" i="14"/>
  <c r="P112" i="14" s="1"/>
  <c r="P100" i="14"/>
  <c r="P110" i="14" s="1"/>
  <c r="R83" i="14"/>
  <c r="J52" i="14"/>
  <c r="L103" i="14"/>
  <c r="L113" i="14" s="1"/>
  <c r="L130" i="14"/>
  <c r="L151" i="14" s="1"/>
  <c r="L161" i="14" s="1"/>
  <c r="L101" i="14"/>
  <c r="L111" i="14" s="1"/>
  <c r="L128" i="14"/>
  <c r="L149" i="14" s="1"/>
  <c r="L159" i="14" s="1"/>
  <c r="P83" i="14"/>
  <c r="P125" i="14"/>
  <c r="P98" i="14"/>
  <c r="P108" i="14" s="1"/>
  <c r="N83" i="14"/>
  <c r="Q83" i="14"/>
  <c r="I101" i="14"/>
  <c r="I111" i="14" s="1"/>
  <c r="N102" i="14"/>
  <c r="N112" i="14" s="1"/>
  <c r="M98" i="14"/>
  <c r="M108" i="14" s="1"/>
  <c r="R130" i="14"/>
  <c r="R151" i="14" s="1"/>
  <c r="R161" i="14" s="1"/>
  <c r="J128" i="14"/>
  <c r="J149" i="14" s="1"/>
  <c r="J159" i="14" s="1"/>
  <c r="R126" i="14"/>
  <c r="R147" i="14" s="1"/>
  <c r="R157" i="14" s="1"/>
  <c r="N125" i="14"/>
  <c r="N146" i="14" s="1"/>
  <c r="N156" i="14" s="1"/>
  <c r="T52" i="14"/>
  <c r="M83" i="14"/>
  <c r="M129" i="14"/>
  <c r="M150" i="14" s="1"/>
  <c r="M160" i="14" s="1"/>
  <c r="U127" i="14"/>
  <c r="U148" i="14" s="1"/>
  <c r="U158" i="14" s="1"/>
  <c r="T103" i="14"/>
  <c r="T113" i="14" s="1"/>
  <c r="T130" i="14"/>
  <c r="T151" i="14" s="1"/>
  <c r="T161" i="14" s="1"/>
  <c r="T101" i="14"/>
  <c r="T111" i="14" s="1"/>
  <c r="T128" i="14"/>
  <c r="T149" i="14" s="1"/>
  <c r="T159" i="14" s="1"/>
  <c r="L99" i="14"/>
  <c r="L109" i="14" s="1"/>
  <c r="L126" i="14"/>
  <c r="L147" i="14" s="1"/>
  <c r="L157" i="14" s="1"/>
  <c r="L52" i="14"/>
  <c r="I127" i="14"/>
  <c r="I100" i="14"/>
  <c r="I110" i="14" s="1"/>
  <c r="P130" i="14"/>
  <c r="P151" i="14" s="1"/>
  <c r="P161" i="14" s="1"/>
  <c r="P103" i="14"/>
  <c r="P113" i="14" s="1"/>
  <c r="T102" i="14"/>
  <c r="T112" i="14" s="1"/>
  <c r="T129" i="14"/>
  <c r="T150" i="14" s="1"/>
  <c r="T160" i="14" s="1"/>
  <c r="L102" i="14"/>
  <c r="L112" i="14" s="1"/>
  <c r="L129" i="14"/>
  <c r="L150" i="14" s="1"/>
  <c r="L160" i="14" s="1"/>
  <c r="T100" i="14"/>
  <c r="T110" i="14" s="1"/>
  <c r="T127" i="14"/>
  <c r="T148" i="14" s="1"/>
  <c r="T158" i="14" s="1"/>
  <c r="L100" i="14"/>
  <c r="L110" i="14" s="1"/>
  <c r="L127" i="14"/>
  <c r="L148" i="14" s="1"/>
  <c r="L158" i="14" s="1"/>
  <c r="P126" i="14"/>
  <c r="P147" i="14" s="1"/>
  <c r="P157" i="14" s="1"/>
  <c r="P99" i="14"/>
  <c r="P109" i="14" s="1"/>
  <c r="T125" i="14"/>
  <c r="T146" i="14" s="1"/>
  <c r="T156" i="14" s="1"/>
  <c r="T98" i="14"/>
  <c r="T108" i="14" s="1"/>
  <c r="T83" i="14"/>
  <c r="L125" i="14"/>
  <c r="L98" i="14"/>
  <c r="L108" i="14" s="1"/>
  <c r="L83" i="14"/>
  <c r="I98" i="14"/>
  <c r="I108" i="14" s="1"/>
  <c r="I99" i="14"/>
  <c r="I109" i="14" s="1"/>
  <c r="S98" i="14"/>
  <c r="S108" i="14" s="1"/>
  <c r="S114" i="14" s="1"/>
  <c r="K98" i="14"/>
  <c r="K108" i="14" s="1"/>
  <c r="K114" i="14" s="1"/>
  <c r="S129" i="14"/>
  <c r="S150" i="14" s="1"/>
  <c r="S160" i="14" s="1"/>
  <c r="K129" i="14"/>
  <c r="K150" i="14" s="1"/>
  <c r="K160" i="14" s="1"/>
  <c r="S127" i="14"/>
  <c r="S148" i="14" s="1"/>
  <c r="S158" i="14" s="1"/>
  <c r="K127" i="14"/>
  <c r="K148" i="14" s="1"/>
  <c r="K158" i="14" s="1"/>
  <c r="R98" i="14"/>
  <c r="R108" i="14" s="1"/>
  <c r="J98" i="14"/>
  <c r="J108" i="14" s="1"/>
  <c r="K156" i="14"/>
  <c r="K147" i="14"/>
  <c r="K157" i="14" s="1"/>
  <c r="S147" i="14"/>
  <c r="S157" i="14" s="1"/>
  <c r="S17" i="10"/>
  <c r="S61" i="10"/>
  <c r="S13" i="10"/>
  <c r="S10" i="10"/>
  <c r="S7" i="10"/>
  <c r="T17" i="10"/>
  <c r="U17" i="10"/>
  <c r="V17" i="10"/>
  <c r="W17" i="10"/>
  <c r="X17" i="10"/>
  <c r="Y17" i="10"/>
  <c r="Z17" i="10"/>
  <c r="AA17" i="10"/>
  <c r="AB17" i="10"/>
  <c r="T62" i="10"/>
  <c r="U62" i="10"/>
  <c r="V62" i="10"/>
  <c r="W62" i="10"/>
  <c r="X62" i="10"/>
  <c r="Y62" i="10"/>
  <c r="Z62" i="10"/>
  <c r="AA62" i="10"/>
  <c r="AB62" i="10"/>
  <c r="T61" i="10"/>
  <c r="U61" i="10"/>
  <c r="V61" i="10"/>
  <c r="W61" i="10"/>
  <c r="X61" i="10"/>
  <c r="Y61" i="10"/>
  <c r="Z61" i="10"/>
  <c r="AA61" i="10"/>
  <c r="AB61" i="10"/>
  <c r="S62" i="10"/>
  <c r="S21" i="10"/>
  <c r="S20" i="10"/>
  <c r="R21" i="10"/>
  <c r="R20" i="10"/>
  <c r="C7" i="10"/>
  <c r="C10" i="10"/>
  <c r="C8" i="10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H97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I85" i="4"/>
  <c r="J85" i="4"/>
  <c r="K85" i="4"/>
  <c r="L85" i="4"/>
  <c r="M85" i="4"/>
  <c r="N85" i="4"/>
  <c r="O85" i="4"/>
  <c r="P85" i="4"/>
  <c r="H85" i="4"/>
  <c r="R37" i="4"/>
  <c r="S37" i="4"/>
  <c r="T37" i="4"/>
  <c r="Q37" i="4"/>
  <c r="X66" i="14" l="1"/>
  <c r="Y60" i="14"/>
  <c r="M162" i="14"/>
  <c r="I131" i="14"/>
  <c r="X130" i="14"/>
  <c r="X151" i="14" s="1"/>
  <c r="X161" i="14" s="1"/>
  <c r="W113" i="14"/>
  <c r="V129" i="14"/>
  <c r="V150" i="14" s="1"/>
  <c r="V160" i="14" s="1"/>
  <c r="Z151" i="14"/>
  <c r="Z161" i="14" s="1"/>
  <c r="J131" i="14"/>
  <c r="Q114" i="14"/>
  <c r="AA151" i="14"/>
  <c r="AA161" i="14" s="1"/>
  <c r="N114" i="14"/>
  <c r="K131" i="14"/>
  <c r="N162" i="14"/>
  <c r="U162" i="14"/>
  <c r="J162" i="14"/>
  <c r="O131" i="14"/>
  <c r="Y113" i="14"/>
  <c r="R162" i="14"/>
  <c r="X113" i="14"/>
  <c r="Y161" i="14"/>
  <c r="O114" i="14"/>
  <c r="L114" i="14"/>
  <c r="S131" i="14"/>
  <c r="M131" i="14"/>
  <c r="T131" i="14"/>
  <c r="U131" i="14"/>
  <c r="V126" i="14"/>
  <c r="V147" i="14" s="1"/>
  <c r="V157" i="14" s="1"/>
  <c r="Q162" i="14"/>
  <c r="J114" i="14"/>
  <c r="M114" i="14"/>
  <c r="R114" i="14"/>
  <c r="Q131" i="14"/>
  <c r="I148" i="14"/>
  <c r="I158" i="14" s="1"/>
  <c r="I162" i="14" s="1"/>
  <c r="R131" i="14"/>
  <c r="I114" i="14"/>
  <c r="T114" i="14"/>
  <c r="W52" i="14"/>
  <c r="S162" i="14"/>
  <c r="T162" i="14"/>
  <c r="V113" i="14"/>
  <c r="V130" i="14"/>
  <c r="V151" i="14" s="1"/>
  <c r="V161" i="14" s="1"/>
  <c r="L131" i="14"/>
  <c r="K162" i="14"/>
  <c r="L146" i="14"/>
  <c r="L156" i="14" s="1"/>
  <c r="L162" i="14" s="1"/>
  <c r="P114" i="14"/>
  <c r="N131" i="14"/>
  <c r="V110" i="14"/>
  <c r="V127" i="14"/>
  <c r="V148" i="14" s="1"/>
  <c r="V158" i="14" s="1"/>
  <c r="P131" i="14"/>
  <c r="P146" i="14"/>
  <c r="P156" i="14" s="1"/>
  <c r="P162" i="14" s="1"/>
  <c r="W109" i="14"/>
  <c r="W126" i="14"/>
  <c r="W147" i="14" s="1"/>
  <c r="W157" i="14" s="1"/>
  <c r="V111" i="14"/>
  <c r="V128" i="14"/>
  <c r="V149" i="14" s="1"/>
  <c r="V159" i="14" s="1"/>
  <c r="J25" i="3"/>
  <c r="P94" i="4"/>
  <c r="P103" i="4" s="1"/>
  <c r="P108" i="4" s="1"/>
  <c r="Y66" i="14" l="1"/>
  <c r="Z60" i="14"/>
  <c r="AA113" i="14"/>
  <c r="W125" i="14"/>
  <c r="W108" i="14"/>
  <c r="W111" i="14"/>
  <c r="W128" i="14"/>
  <c r="W149" i="14" s="1"/>
  <c r="W159" i="14" s="1"/>
  <c r="W129" i="14"/>
  <c r="W150" i="14" s="1"/>
  <c r="W160" i="14" s="1"/>
  <c r="W112" i="14"/>
  <c r="Y147" i="14"/>
  <c r="Y157" i="14" s="1"/>
  <c r="Y109" i="14"/>
  <c r="X126" i="14"/>
  <c r="X147" i="14" s="1"/>
  <c r="X157" i="14" s="1"/>
  <c r="X109" i="14"/>
  <c r="W127" i="14"/>
  <c r="W148" i="14" s="1"/>
  <c r="W158" i="14" s="1"/>
  <c r="W110" i="14"/>
  <c r="X52" i="14"/>
  <c r="P93" i="4"/>
  <c r="P102" i="4" s="1"/>
  <c r="P107" i="4" s="1"/>
  <c r="Z66" i="14" l="1"/>
  <c r="AA60" i="14"/>
  <c r="AB151" i="14"/>
  <c r="AB161" i="14" s="1"/>
  <c r="AB113" i="14"/>
  <c r="X112" i="14"/>
  <c r="X129" i="14"/>
  <c r="X150" i="14" s="1"/>
  <c r="X160" i="14" s="1"/>
  <c r="X110" i="14"/>
  <c r="X127" i="14"/>
  <c r="X148" i="14" s="1"/>
  <c r="X158" i="14" s="1"/>
  <c r="X128" i="14"/>
  <c r="X149" i="14" s="1"/>
  <c r="X159" i="14" s="1"/>
  <c r="X111" i="14"/>
  <c r="AC113" i="14"/>
  <c r="AC151" i="14"/>
  <c r="AC161" i="14" s="1"/>
  <c r="Y110" i="14"/>
  <c r="Y148" i="14"/>
  <c r="Y158" i="14" s="1"/>
  <c r="Y149" i="14"/>
  <c r="Y159" i="14" s="1"/>
  <c r="Y111" i="14"/>
  <c r="W114" i="14"/>
  <c r="Y112" i="14"/>
  <c r="Y150" i="14"/>
  <c r="Y160" i="14" s="1"/>
  <c r="X108" i="14"/>
  <c r="X125" i="14"/>
  <c r="Y156" i="14"/>
  <c r="Y52" i="14"/>
  <c r="Y108" i="14"/>
  <c r="Z109" i="14"/>
  <c r="Z147" i="14"/>
  <c r="Z157" i="14" s="1"/>
  <c r="W146" i="14"/>
  <c r="W156" i="14" s="1"/>
  <c r="W162" i="14" s="1"/>
  <c r="W131" i="14"/>
  <c r="G12" i="3"/>
  <c r="H12" i="3"/>
  <c r="I12" i="3"/>
  <c r="J12" i="3"/>
  <c r="K12" i="3"/>
  <c r="L12" i="3"/>
  <c r="M12" i="3"/>
  <c r="N12" i="3"/>
  <c r="F12" i="3"/>
  <c r="AB60" i="14" l="1"/>
  <c r="AA66" i="14"/>
  <c r="Y162" i="14"/>
  <c r="AD113" i="14"/>
  <c r="AD151" i="14"/>
  <c r="AD161" i="14" s="1"/>
  <c r="X114" i="14"/>
  <c r="Z146" i="14"/>
  <c r="Z156" i="14" s="1"/>
  <c r="Z108" i="14"/>
  <c r="Z52" i="14"/>
  <c r="AA109" i="14"/>
  <c r="AA147" i="14"/>
  <c r="AA157" i="14" s="1"/>
  <c r="Z110" i="14"/>
  <c r="Z148" i="14"/>
  <c r="Z158" i="14" s="1"/>
  <c r="Z111" i="14"/>
  <c r="Z149" i="14"/>
  <c r="Z159" i="14" s="1"/>
  <c r="X156" i="14"/>
  <c r="X162" i="14" s="1"/>
  <c r="X131" i="14"/>
  <c r="Y114" i="14"/>
  <c r="Z112" i="14"/>
  <c r="Z150" i="14"/>
  <c r="Z160" i="14" s="1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H58" i="4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E48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F28" i="2"/>
  <c r="G28" i="2"/>
  <c r="H28" i="2"/>
  <c r="I28" i="2"/>
  <c r="J28" i="2"/>
  <c r="K28" i="2"/>
  <c r="L28" i="2"/>
  <c r="M28" i="2"/>
  <c r="N28" i="2"/>
  <c r="O28" i="2"/>
  <c r="P28" i="2"/>
  <c r="Q28" i="2"/>
  <c r="F29" i="2"/>
  <c r="G29" i="2"/>
  <c r="H29" i="2"/>
  <c r="I29" i="2"/>
  <c r="J29" i="2"/>
  <c r="K29" i="2"/>
  <c r="L29" i="2"/>
  <c r="M29" i="2"/>
  <c r="N29" i="2"/>
  <c r="O29" i="2"/>
  <c r="P29" i="2"/>
  <c r="Q29" i="2"/>
  <c r="E29" i="2"/>
  <c r="AC60" i="14" l="1"/>
  <c r="AB66" i="14"/>
  <c r="Z162" i="14"/>
  <c r="AA148" i="14"/>
  <c r="AA158" i="14" s="1"/>
  <c r="AA110" i="14"/>
  <c r="Z114" i="14"/>
  <c r="AA112" i="14"/>
  <c r="AA150" i="14"/>
  <c r="AA160" i="14" s="1"/>
  <c r="AA111" i="14"/>
  <c r="AA149" i="14"/>
  <c r="AA159" i="14" s="1"/>
  <c r="AA108" i="14"/>
  <c r="AA52" i="14"/>
  <c r="AA146" i="14"/>
  <c r="AA156" i="14" s="1"/>
  <c r="AB109" i="14"/>
  <c r="AB147" i="14"/>
  <c r="AB157" i="14" s="1"/>
  <c r="AE113" i="14"/>
  <c r="AE151" i="14"/>
  <c r="AE161" i="14" s="1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F20" i="12"/>
  <c r="AD60" i="14" l="1"/>
  <c r="AC66" i="14"/>
  <c r="AA114" i="14"/>
  <c r="AA162" i="14"/>
  <c r="AB52" i="14"/>
  <c r="AB146" i="14"/>
  <c r="AB156" i="14" s="1"/>
  <c r="AB108" i="14"/>
  <c r="AF113" i="14"/>
  <c r="AF151" i="14"/>
  <c r="AF161" i="14" s="1"/>
  <c r="AB150" i="14"/>
  <c r="AB160" i="14" s="1"/>
  <c r="AB112" i="14"/>
  <c r="AB111" i="14"/>
  <c r="AB149" i="14"/>
  <c r="AB159" i="14" s="1"/>
  <c r="AB148" i="14"/>
  <c r="AB158" i="14" s="1"/>
  <c r="AB110" i="14"/>
  <c r="AC109" i="14"/>
  <c r="AC147" i="14"/>
  <c r="AC157" i="14" s="1"/>
  <c r="G8" i="12"/>
  <c r="H8" i="12"/>
  <c r="I8" i="12"/>
  <c r="J8" i="12"/>
  <c r="K8" i="12"/>
  <c r="L8" i="12"/>
  <c r="M8" i="12"/>
  <c r="N8" i="12"/>
  <c r="O8" i="12"/>
  <c r="P8" i="12"/>
  <c r="Q8" i="12"/>
  <c r="F8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AE60" i="14" l="1"/>
  <c r="AD66" i="14"/>
  <c r="AC112" i="14"/>
  <c r="AC150" i="14"/>
  <c r="AC160" i="14" s="1"/>
  <c r="AG113" i="14"/>
  <c r="AG151" i="14"/>
  <c r="AG161" i="14" s="1"/>
  <c r="AB114" i="14"/>
  <c r="AC111" i="14"/>
  <c r="AC149" i="14"/>
  <c r="AC159" i="14" s="1"/>
  <c r="AB162" i="14"/>
  <c r="AC148" i="14"/>
  <c r="AC158" i="14" s="1"/>
  <c r="AC110" i="14"/>
  <c r="AD109" i="14"/>
  <c r="AD147" i="14"/>
  <c r="AD157" i="14" s="1"/>
  <c r="AC52" i="14"/>
  <c r="AC108" i="14"/>
  <c r="AC146" i="14"/>
  <c r="AC156" i="14" s="1"/>
  <c r="Q9" i="12"/>
  <c r="AE66" i="14" l="1"/>
  <c r="AF60" i="14"/>
  <c r="AC162" i="14"/>
  <c r="AD149" i="14"/>
  <c r="AD159" i="14" s="1"/>
  <c r="AD111" i="14"/>
  <c r="AE109" i="14"/>
  <c r="AE147" i="14"/>
  <c r="AE157" i="14" s="1"/>
  <c r="AH113" i="14"/>
  <c r="AH161" i="14"/>
  <c r="AD52" i="14"/>
  <c r="AD108" i="14"/>
  <c r="AD146" i="14"/>
  <c r="AD156" i="14" s="1"/>
  <c r="AC114" i="14"/>
  <c r="AD110" i="14"/>
  <c r="AD148" i="14"/>
  <c r="AD158" i="14" s="1"/>
  <c r="AD112" i="14"/>
  <c r="AD150" i="14"/>
  <c r="AD160" i="14" s="1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C44" i="10"/>
  <c r="C40" i="10"/>
  <c r="C36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C15" i="10"/>
  <c r="C12" i="10"/>
  <c r="C9" i="10"/>
  <c r="AF66" i="14" l="1"/>
  <c r="AG60" i="14"/>
  <c r="AD162" i="14"/>
  <c r="AF109" i="14"/>
  <c r="AF147" i="14"/>
  <c r="AF157" i="14" s="1"/>
  <c r="AD114" i="14"/>
  <c r="AE110" i="14"/>
  <c r="AE148" i="14"/>
  <c r="AE158" i="14" s="1"/>
  <c r="AE112" i="14"/>
  <c r="AE150" i="14"/>
  <c r="AE160" i="14" s="1"/>
  <c r="AE52" i="14"/>
  <c r="AE146" i="14"/>
  <c r="AE156" i="14" s="1"/>
  <c r="AE108" i="14"/>
  <c r="AE149" i="14"/>
  <c r="AE159" i="14" s="1"/>
  <c r="AE111" i="14"/>
  <c r="H37" i="4"/>
  <c r="F20" i="3"/>
  <c r="AG66" i="14" l="1"/>
  <c r="AH60" i="14"/>
  <c r="AH66" i="14" s="1"/>
  <c r="AE114" i="14"/>
  <c r="AE162" i="14"/>
  <c r="AF148" i="14"/>
  <c r="AF158" i="14" s="1"/>
  <c r="AF110" i="14"/>
  <c r="AF111" i="14"/>
  <c r="AF149" i="14"/>
  <c r="AF159" i="14" s="1"/>
  <c r="AF52" i="14"/>
  <c r="AF108" i="14"/>
  <c r="AF146" i="14"/>
  <c r="AF156" i="14" s="1"/>
  <c r="AG109" i="14"/>
  <c r="AG147" i="14"/>
  <c r="AG157" i="14" s="1"/>
  <c r="AF112" i="14"/>
  <c r="AF150" i="14"/>
  <c r="AF160" i="14" s="1"/>
  <c r="P37" i="4"/>
  <c r="O37" i="4"/>
  <c r="N37" i="4"/>
  <c r="M37" i="4"/>
  <c r="L37" i="4"/>
  <c r="K37" i="4"/>
  <c r="J37" i="4"/>
  <c r="I37" i="4"/>
  <c r="F25" i="3"/>
  <c r="T29" i="3"/>
  <c r="U29" i="3"/>
  <c r="V29" i="3"/>
  <c r="W29" i="3"/>
  <c r="X29" i="3"/>
  <c r="Y29" i="3"/>
  <c r="Z29" i="3"/>
  <c r="AA29" i="3"/>
  <c r="AB29" i="3"/>
  <c r="AC29" i="3"/>
  <c r="AD29" i="3"/>
  <c r="AE29" i="3"/>
  <c r="S29" i="3"/>
  <c r="R29" i="3"/>
  <c r="AG52" i="14" l="1"/>
  <c r="AG146" i="14"/>
  <c r="AG156" i="14" s="1"/>
  <c r="AG108" i="14"/>
  <c r="AG112" i="14"/>
  <c r="AG150" i="14"/>
  <c r="AG160" i="14" s="1"/>
  <c r="AF162" i="14"/>
  <c r="AG111" i="14"/>
  <c r="AG149" i="14"/>
  <c r="AG159" i="14" s="1"/>
  <c r="AH109" i="14"/>
  <c r="AH147" i="14"/>
  <c r="AH157" i="14" s="1"/>
  <c r="AF114" i="14"/>
  <c r="AG110" i="14"/>
  <c r="AG148" i="14"/>
  <c r="AG158" i="14" s="1"/>
  <c r="N76" i="4"/>
  <c r="R76" i="4"/>
  <c r="K76" i="4"/>
  <c r="S76" i="4"/>
  <c r="H76" i="4"/>
  <c r="I76" i="4"/>
  <c r="J76" i="4"/>
  <c r="O76" i="4"/>
  <c r="L76" i="4"/>
  <c r="AH110" i="14" l="1"/>
  <c r="AH158" i="14"/>
  <c r="AG162" i="14"/>
  <c r="AH112" i="14"/>
  <c r="AH160" i="14"/>
  <c r="AG114" i="14"/>
  <c r="AH111" i="14"/>
  <c r="AH159" i="14"/>
  <c r="AH146" i="14"/>
  <c r="AH156" i="14" s="1"/>
  <c r="AH108" i="14"/>
  <c r="AH52" i="14"/>
  <c r="R78" i="4"/>
  <c r="R77" i="4"/>
  <c r="R6" i="4"/>
  <c r="R79" i="4"/>
  <c r="L77" i="4"/>
  <c r="L7" i="4" s="1"/>
  <c r="L78" i="4"/>
  <c r="L79" i="4"/>
  <c r="L6" i="4"/>
  <c r="S6" i="4"/>
  <c r="S78" i="4"/>
  <c r="S77" i="4"/>
  <c r="S79" i="4"/>
  <c r="K77" i="4"/>
  <c r="K7" i="4" s="1"/>
  <c r="K6" i="4"/>
  <c r="K79" i="4"/>
  <c r="K78" i="4"/>
  <c r="O77" i="4"/>
  <c r="O7" i="4" s="1"/>
  <c r="O6" i="4"/>
  <c r="O79" i="4"/>
  <c r="O78" i="4"/>
  <c r="J79" i="4"/>
  <c r="J78" i="4"/>
  <c r="J6" i="4"/>
  <c r="J77" i="4"/>
  <c r="J7" i="4" s="1"/>
  <c r="I78" i="4"/>
  <c r="I79" i="4"/>
  <c r="I6" i="4"/>
  <c r="I77" i="4"/>
  <c r="I7" i="4" s="1"/>
  <c r="H6" i="4"/>
  <c r="H79" i="4"/>
  <c r="H68" i="4" s="1"/>
  <c r="H78" i="4"/>
  <c r="H67" i="4" s="1"/>
  <c r="H77" i="4"/>
  <c r="N77" i="4"/>
  <c r="N7" i="4" s="1"/>
  <c r="N6" i="4"/>
  <c r="N78" i="4"/>
  <c r="N79" i="4"/>
  <c r="M76" i="4"/>
  <c r="T76" i="4"/>
  <c r="T6" i="4" s="1"/>
  <c r="P76" i="4"/>
  <c r="AH114" i="14" l="1"/>
  <c r="AH162" i="14"/>
  <c r="S68" i="4"/>
  <c r="S9" i="4"/>
  <c r="S67" i="4"/>
  <c r="S8" i="4"/>
  <c r="S66" i="4"/>
  <c r="S38" i="4" s="1"/>
  <c r="S7" i="4"/>
  <c r="R68" i="4"/>
  <c r="R40" i="4" s="1"/>
  <c r="R29" i="4" s="1"/>
  <c r="R9" i="4"/>
  <c r="R66" i="4"/>
  <c r="R38" i="4" s="1"/>
  <c r="R7" i="4"/>
  <c r="R67" i="4"/>
  <c r="R8" i="4"/>
  <c r="H9" i="4"/>
  <c r="C43" i="10"/>
  <c r="C42" i="10" s="1"/>
  <c r="J67" i="4"/>
  <c r="J39" i="4" s="1"/>
  <c r="J50" i="4" s="1"/>
  <c r="J88" i="4" s="1"/>
  <c r="J93" i="4" s="1"/>
  <c r="J102" i="4" s="1"/>
  <c r="J107" i="4" s="1"/>
  <c r="J8" i="4"/>
  <c r="J13" i="4" s="1"/>
  <c r="L9" i="4"/>
  <c r="L68" i="4"/>
  <c r="L40" i="4" s="1"/>
  <c r="L51" i="4" s="1"/>
  <c r="L89" i="4" s="1"/>
  <c r="L94" i="4" s="1"/>
  <c r="L103" i="4" s="1"/>
  <c r="L108" i="4" s="1"/>
  <c r="J68" i="4"/>
  <c r="J40" i="4" s="1"/>
  <c r="J51" i="4" s="1"/>
  <c r="J89" i="4" s="1"/>
  <c r="J94" i="4" s="1"/>
  <c r="J103" i="4" s="1"/>
  <c r="J108" i="4" s="1"/>
  <c r="J9" i="4"/>
  <c r="L8" i="4"/>
  <c r="L67" i="4"/>
  <c r="N67" i="4"/>
  <c r="N39" i="4" s="1"/>
  <c r="N50" i="4" s="1"/>
  <c r="N88" i="4" s="1"/>
  <c r="N93" i="4" s="1"/>
  <c r="N102" i="4" s="1"/>
  <c r="N107" i="4" s="1"/>
  <c r="N8" i="4"/>
  <c r="N13" i="4" s="1"/>
  <c r="O68" i="4"/>
  <c r="O9" i="4"/>
  <c r="L66" i="4"/>
  <c r="L38" i="4" s="1"/>
  <c r="L49" i="4" s="1"/>
  <c r="L87" i="4" s="1"/>
  <c r="L92" i="4" s="1"/>
  <c r="L101" i="4" s="1"/>
  <c r="L106" i="4" s="1"/>
  <c r="I9" i="4"/>
  <c r="I14" i="4" s="1"/>
  <c r="I68" i="4"/>
  <c r="I40" i="4" s="1"/>
  <c r="I51" i="4" s="1"/>
  <c r="I89" i="4" s="1"/>
  <c r="I94" i="4" s="1"/>
  <c r="I103" i="4" s="1"/>
  <c r="I108" i="4" s="1"/>
  <c r="P6" i="4"/>
  <c r="P79" i="4"/>
  <c r="P77" i="4"/>
  <c r="P7" i="4" s="1"/>
  <c r="P78" i="4"/>
  <c r="T79" i="4"/>
  <c r="T78" i="4"/>
  <c r="T77" i="4"/>
  <c r="I8" i="4"/>
  <c r="I67" i="4"/>
  <c r="I39" i="4" s="1"/>
  <c r="I50" i="4" s="1"/>
  <c r="I88" i="4" s="1"/>
  <c r="I93" i="4" s="1"/>
  <c r="I102" i="4" s="1"/>
  <c r="I107" i="4" s="1"/>
  <c r="O67" i="4"/>
  <c r="O39" i="4" s="1"/>
  <c r="O50" i="4" s="1"/>
  <c r="O88" i="4" s="1"/>
  <c r="O93" i="4" s="1"/>
  <c r="O102" i="4" s="1"/>
  <c r="O107" i="4" s="1"/>
  <c r="O8" i="4"/>
  <c r="O13" i="4" s="1"/>
  <c r="M78" i="4"/>
  <c r="M79" i="4"/>
  <c r="M6" i="4"/>
  <c r="M77" i="4"/>
  <c r="M7" i="4" s="1"/>
  <c r="K67" i="4"/>
  <c r="K8" i="4"/>
  <c r="K13" i="4" s="1"/>
  <c r="N68" i="4"/>
  <c r="N40" i="4" s="1"/>
  <c r="N51" i="4" s="1"/>
  <c r="N89" i="4" s="1"/>
  <c r="N94" i="4" s="1"/>
  <c r="N103" i="4" s="1"/>
  <c r="N108" i="4" s="1"/>
  <c r="N9" i="4"/>
  <c r="H39" i="4"/>
  <c r="H50" i="4" s="1"/>
  <c r="H88" i="4" s="1"/>
  <c r="H93" i="4" s="1"/>
  <c r="H102" i="4" s="1"/>
  <c r="H107" i="4" s="1"/>
  <c r="H8" i="4"/>
  <c r="K9" i="4"/>
  <c r="K14" i="4" s="1"/>
  <c r="K68" i="4"/>
  <c r="K40" i="4" s="1"/>
  <c r="K51" i="4" s="1"/>
  <c r="K89" i="4" s="1"/>
  <c r="K94" i="4" s="1"/>
  <c r="K103" i="4" s="1"/>
  <c r="K108" i="4" s="1"/>
  <c r="M43" i="10"/>
  <c r="M42" i="10" s="1"/>
  <c r="M14" i="10"/>
  <c r="M13" i="10" s="1"/>
  <c r="G14" i="10"/>
  <c r="G13" i="10" s="1"/>
  <c r="N66" i="4"/>
  <c r="N38" i="4" s="1"/>
  <c r="N49" i="4" s="1"/>
  <c r="N87" i="4" s="1"/>
  <c r="N92" i="4" s="1"/>
  <c r="N101" i="4" s="1"/>
  <c r="N106" i="4" s="1"/>
  <c r="J66" i="4"/>
  <c r="J38" i="4" s="1"/>
  <c r="J49" i="4" s="1"/>
  <c r="J87" i="4" s="1"/>
  <c r="J92" i="4" s="1"/>
  <c r="J101" i="4" s="1"/>
  <c r="J106" i="4" s="1"/>
  <c r="K66" i="4"/>
  <c r="K38" i="4" s="1"/>
  <c r="K49" i="4" s="1"/>
  <c r="K87" i="4" s="1"/>
  <c r="K92" i="4" s="1"/>
  <c r="K101" i="4" s="1"/>
  <c r="K106" i="4" s="1"/>
  <c r="G43" i="10"/>
  <c r="G42" i="10" s="1"/>
  <c r="E14" i="10"/>
  <c r="E13" i="10" s="1"/>
  <c r="I66" i="4"/>
  <c r="I38" i="4" s="1"/>
  <c r="I49" i="4" s="1"/>
  <c r="I87" i="4" s="1"/>
  <c r="I92" i="4" s="1"/>
  <c r="I101" i="4" s="1"/>
  <c r="I106" i="4" s="1"/>
  <c r="O66" i="4"/>
  <c r="O38" i="4" s="1"/>
  <c r="O49" i="4" s="1"/>
  <c r="O87" i="4" s="1"/>
  <c r="O92" i="4" s="1"/>
  <c r="O101" i="4" s="1"/>
  <c r="O106" i="4" s="1"/>
  <c r="L14" i="4"/>
  <c r="S14" i="4"/>
  <c r="N8" i="10"/>
  <c r="N7" i="10" s="1"/>
  <c r="N35" i="10"/>
  <c r="N34" i="10" s="1"/>
  <c r="L13" i="4"/>
  <c r="O14" i="4"/>
  <c r="J14" i="4"/>
  <c r="N14" i="4"/>
  <c r="I13" i="4"/>
  <c r="S13" i="4"/>
  <c r="G20" i="3"/>
  <c r="H20" i="3"/>
  <c r="I20" i="3"/>
  <c r="J20" i="3"/>
  <c r="K20" i="3"/>
  <c r="L20" i="3"/>
  <c r="M20" i="3"/>
  <c r="N20" i="3"/>
  <c r="T68" i="4" l="1"/>
  <c r="T40" i="4" s="1"/>
  <c r="T29" i="4" s="1"/>
  <c r="T9" i="4"/>
  <c r="S39" i="4"/>
  <c r="S28" i="4" s="1"/>
  <c r="N11" i="10"/>
  <c r="N10" i="10" s="1"/>
  <c r="N39" i="10"/>
  <c r="N38" i="10" s="1"/>
  <c r="N50" i="10" s="1"/>
  <c r="E43" i="10"/>
  <c r="E42" i="10" s="1"/>
  <c r="D14" i="10"/>
  <c r="D13" i="10" s="1"/>
  <c r="R14" i="4"/>
  <c r="T67" i="4"/>
  <c r="T39" i="4" s="1"/>
  <c r="T28" i="4" s="1"/>
  <c r="T8" i="4"/>
  <c r="I14" i="10"/>
  <c r="I13" i="10" s="1"/>
  <c r="I43" i="10"/>
  <c r="I42" i="10" s="1"/>
  <c r="N14" i="10"/>
  <c r="N13" i="10" s="1"/>
  <c r="N21" i="10" s="1"/>
  <c r="S40" i="4"/>
  <c r="S29" i="4" s="1"/>
  <c r="N43" i="10"/>
  <c r="N42" i="10" s="1"/>
  <c r="N51" i="10" s="1"/>
  <c r="R13" i="4"/>
  <c r="I8" i="10"/>
  <c r="I7" i="10" s="1"/>
  <c r="I35" i="10"/>
  <c r="I34" i="10" s="1"/>
  <c r="M8" i="10"/>
  <c r="M7" i="10" s="1"/>
  <c r="M35" i="10"/>
  <c r="M34" i="10" s="1"/>
  <c r="M57" i="10" s="1"/>
  <c r="J35" i="10"/>
  <c r="J34" i="10" s="1"/>
  <c r="T66" i="4"/>
  <c r="O8" i="10" s="1"/>
  <c r="O7" i="10" s="1"/>
  <c r="T7" i="4"/>
  <c r="T14" i="4" s="1"/>
  <c r="G35" i="10"/>
  <c r="G34" i="10" s="1"/>
  <c r="G8" i="10"/>
  <c r="G7" i="10" s="1"/>
  <c r="F8" i="10"/>
  <c r="F7" i="10" s="1"/>
  <c r="R39" i="4"/>
  <c r="R28" i="4" s="1"/>
  <c r="M11" i="10"/>
  <c r="M10" i="10" s="1"/>
  <c r="M20" i="10" s="1"/>
  <c r="M39" i="10"/>
  <c r="M38" i="10" s="1"/>
  <c r="J8" i="10"/>
  <c r="J7" i="10" s="1"/>
  <c r="F35" i="10"/>
  <c r="F34" i="10" s="1"/>
  <c r="D11" i="10"/>
  <c r="D10" i="10" s="1"/>
  <c r="G27" i="10"/>
  <c r="K39" i="4"/>
  <c r="K50" i="4" s="1"/>
  <c r="K88" i="4" s="1"/>
  <c r="K93" i="4" s="1"/>
  <c r="K102" i="4" s="1"/>
  <c r="K107" i="4" s="1"/>
  <c r="F11" i="10"/>
  <c r="F10" i="10" s="1"/>
  <c r="F39" i="10"/>
  <c r="F38" i="10" s="1"/>
  <c r="P9" i="4"/>
  <c r="P68" i="4"/>
  <c r="P40" i="4" s="1"/>
  <c r="H40" i="4"/>
  <c r="H51" i="4" s="1"/>
  <c r="H89" i="4" s="1"/>
  <c r="H94" i="4" s="1"/>
  <c r="H103" i="4" s="1"/>
  <c r="H108" i="4" s="1"/>
  <c r="C14" i="10"/>
  <c r="C13" i="10" s="1"/>
  <c r="L39" i="4"/>
  <c r="L50" i="4" s="1"/>
  <c r="L88" i="4" s="1"/>
  <c r="L93" i="4" s="1"/>
  <c r="L102" i="4" s="1"/>
  <c r="L107" i="4" s="1"/>
  <c r="G39" i="10"/>
  <c r="G38" i="10" s="1"/>
  <c r="G11" i="10"/>
  <c r="G10" i="10" s="1"/>
  <c r="G26" i="10" s="1"/>
  <c r="F43" i="10"/>
  <c r="F42" i="10" s="1"/>
  <c r="D43" i="10"/>
  <c r="D42" i="10" s="1"/>
  <c r="M68" i="4"/>
  <c r="M40" i="4" s="1"/>
  <c r="M51" i="4" s="1"/>
  <c r="M89" i="4" s="1"/>
  <c r="M94" i="4" s="1"/>
  <c r="M103" i="4" s="1"/>
  <c r="M108" i="4" s="1"/>
  <c r="M9" i="4"/>
  <c r="M14" i="4" s="1"/>
  <c r="M67" i="4"/>
  <c r="M39" i="4" s="1"/>
  <c r="M50" i="4" s="1"/>
  <c r="M88" i="4" s="1"/>
  <c r="M93" i="4" s="1"/>
  <c r="M102" i="4" s="1"/>
  <c r="M107" i="4" s="1"/>
  <c r="M8" i="4"/>
  <c r="M13" i="4" s="1"/>
  <c r="F14" i="10"/>
  <c r="F13" i="10" s="1"/>
  <c r="D39" i="10"/>
  <c r="D38" i="10" s="1"/>
  <c r="P67" i="4"/>
  <c r="P39" i="4" s="1"/>
  <c r="P8" i="4"/>
  <c r="O40" i="4"/>
  <c r="O51" i="4" s="1"/>
  <c r="O89" i="4" s="1"/>
  <c r="O94" i="4" s="1"/>
  <c r="O103" i="4" s="1"/>
  <c r="O108" i="4" s="1"/>
  <c r="J14" i="10"/>
  <c r="J13" i="10" s="1"/>
  <c r="J43" i="10"/>
  <c r="J42" i="10" s="1"/>
  <c r="D8" i="10"/>
  <c r="D7" i="10" s="1"/>
  <c r="D35" i="10"/>
  <c r="D34" i="10" s="1"/>
  <c r="E8" i="10"/>
  <c r="E7" i="10" s="1"/>
  <c r="E27" i="10" s="1"/>
  <c r="E35" i="10"/>
  <c r="E34" i="10" s="1"/>
  <c r="I27" i="10"/>
  <c r="M66" i="4"/>
  <c r="M38" i="4" s="1"/>
  <c r="M49" i="4" s="1"/>
  <c r="M87" i="4" s="1"/>
  <c r="M92" i="4" s="1"/>
  <c r="M101" i="4" s="1"/>
  <c r="M106" i="4" s="1"/>
  <c r="O14" i="10"/>
  <c r="O13" i="10" s="1"/>
  <c r="O43" i="10"/>
  <c r="O42" i="10" s="1"/>
  <c r="I39" i="10"/>
  <c r="I38" i="10" s="1"/>
  <c r="I11" i="10"/>
  <c r="I10" i="10" s="1"/>
  <c r="I26" i="10" s="1"/>
  <c r="J11" i="10"/>
  <c r="J10" i="10" s="1"/>
  <c r="J39" i="10"/>
  <c r="J38" i="10" s="1"/>
  <c r="C39" i="10"/>
  <c r="C38" i="10" s="1"/>
  <c r="C11" i="10"/>
  <c r="E39" i="10"/>
  <c r="E38" i="10" s="1"/>
  <c r="E11" i="10"/>
  <c r="E10" i="10" s="1"/>
  <c r="O35" i="10"/>
  <c r="O34" i="10" s="1"/>
  <c r="G25" i="3"/>
  <c r="H25" i="3"/>
  <c r="N25" i="3"/>
  <c r="I25" i="3"/>
  <c r="M25" i="3"/>
  <c r="L25" i="3"/>
  <c r="K25" i="3"/>
  <c r="M27" i="10"/>
  <c r="M21" i="10"/>
  <c r="G21" i="10"/>
  <c r="D26" i="10"/>
  <c r="I21" i="10"/>
  <c r="N26" i="10"/>
  <c r="N20" i="10"/>
  <c r="F93" i="2"/>
  <c r="G93" i="2"/>
  <c r="H93" i="2"/>
  <c r="I93" i="2"/>
  <c r="J93" i="2"/>
  <c r="K93" i="2"/>
  <c r="L93" i="2"/>
  <c r="M93" i="2"/>
  <c r="E9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S79" i="2"/>
  <c r="T79" i="2"/>
  <c r="U79" i="2"/>
  <c r="V79" i="2"/>
  <c r="W79" i="2"/>
  <c r="X79" i="2"/>
  <c r="Y79" i="2"/>
  <c r="Z79" i="2"/>
  <c r="AA79" i="2"/>
  <c r="AB79" i="2"/>
  <c r="AC79" i="2"/>
  <c r="AD79" i="2"/>
  <c r="R79" i="2"/>
  <c r="S55" i="2"/>
  <c r="T55" i="2"/>
  <c r="U55" i="2"/>
  <c r="V55" i="2"/>
  <c r="W55" i="2"/>
  <c r="X55" i="2"/>
  <c r="Y55" i="2"/>
  <c r="Z55" i="2"/>
  <c r="AA55" i="2"/>
  <c r="AB55" i="2"/>
  <c r="AC55" i="2"/>
  <c r="AD55" i="2"/>
  <c r="R55" i="2"/>
  <c r="S69" i="2"/>
  <c r="T69" i="2"/>
  <c r="U69" i="2"/>
  <c r="V69" i="2"/>
  <c r="W69" i="2"/>
  <c r="X69" i="2"/>
  <c r="Y69" i="2"/>
  <c r="Z69" i="2"/>
  <c r="AA69" i="2"/>
  <c r="AB69" i="2"/>
  <c r="AC69" i="2"/>
  <c r="AD69" i="2"/>
  <c r="R69" i="2"/>
  <c r="F69" i="2"/>
  <c r="G69" i="2"/>
  <c r="H69" i="2"/>
  <c r="I69" i="2"/>
  <c r="J69" i="2"/>
  <c r="K69" i="2"/>
  <c r="L69" i="2"/>
  <c r="M69" i="2"/>
  <c r="E69" i="2"/>
  <c r="Q79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L45" i="2"/>
  <c r="J45" i="2"/>
  <c r="H45" i="2"/>
  <c r="F45" i="2"/>
  <c r="Q55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E52" i="2"/>
  <c r="G50" i="10" l="1"/>
  <c r="I51" i="10"/>
  <c r="M56" i="10"/>
  <c r="I50" i="10"/>
  <c r="M51" i="10"/>
  <c r="G57" i="10"/>
  <c r="E51" i="10"/>
  <c r="G51" i="10"/>
  <c r="D56" i="10"/>
  <c r="G56" i="10"/>
  <c r="E26" i="10"/>
  <c r="N57" i="10"/>
  <c r="N27" i="10"/>
  <c r="D27" i="10"/>
  <c r="M50" i="10"/>
  <c r="M26" i="10"/>
  <c r="S26" i="4"/>
  <c r="S48" i="4" s="1"/>
  <c r="S27" i="4"/>
  <c r="T26" i="4"/>
  <c r="T27" i="4"/>
  <c r="T85" i="4" s="1"/>
  <c r="F27" i="10"/>
  <c r="I57" i="10"/>
  <c r="N56" i="10"/>
  <c r="J27" i="10"/>
  <c r="F56" i="10"/>
  <c r="T13" i="4"/>
  <c r="J56" i="10"/>
  <c r="J20" i="10"/>
  <c r="T38" i="4"/>
  <c r="T49" i="4" s="1"/>
  <c r="T87" i="4" s="1"/>
  <c r="J57" i="10"/>
  <c r="F26" i="10"/>
  <c r="F21" i="10"/>
  <c r="R27" i="4"/>
  <c r="R26" i="4"/>
  <c r="D50" i="10"/>
  <c r="D20" i="10"/>
  <c r="F20" i="10"/>
  <c r="D21" i="10"/>
  <c r="G20" i="10"/>
  <c r="D51" i="10"/>
  <c r="F57" i="10"/>
  <c r="F50" i="10"/>
  <c r="F51" i="10"/>
  <c r="J51" i="10"/>
  <c r="D57" i="10"/>
  <c r="I56" i="10"/>
  <c r="E21" i="10"/>
  <c r="J21" i="10"/>
  <c r="H14" i="10"/>
  <c r="H13" i="10" s="1"/>
  <c r="E57" i="10"/>
  <c r="H43" i="10"/>
  <c r="H42" i="10" s="1"/>
  <c r="E56" i="10"/>
  <c r="O51" i="10"/>
  <c r="H35" i="10"/>
  <c r="H34" i="10" s="1"/>
  <c r="H8" i="10"/>
  <c r="H7" i="10" s="1"/>
  <c r="J50" i="10"/>
  <c r="I20" i="10"/>
  <c r="E20" i="10"/>
  <c r="J26" i="10"/>
  <c r="H11" i="10"/>
  <c r="H10" i="10" s="1"/>
  <c r="H39" i="10"/>
  <c r="H38" i="10" s="1"/>
  <c r="P66" i="4"/>
  <c r="P38" i="4" s="1"/>
  <c r="P49" i="4" s="1"/>
  <c r="P87" i="4" s="1"/>
  <c r="P92" i="4" s="1"/>
  <c r="P101" i="4" s="1"/>
  <c r="P106" i="4" s="1"/>
  <c r="P13" i="4"/>
  <c r="O39" i="10"/>
  <c r="O38" i="10" s="1"/>
  <c r="O50" i="10" s="1"/>
  <c r="O11" i="10"/>
  <c r="O10" i="10" s="1"/>
  <c r="O26" i="10" s="1"/>
  <c r="E50" i="10"/>
  <c r="P14" i="4"/>
  <c r="O21" i="10"/>
  <c r="O27" i="10"/>
  <c r="O57" i="10"/>
  <c r="I20" i="2"/>
  <c r="I36" i="2" s="1"/>
  <c r="K20" i="2"/>
  <c r="M20" i="2"/>
  <c r="G20" i="2"/>
  <c r="N20" i="2"/>
  <c r="O20" i="2"/>
  <c r="P20" i="2"/>
  <c r="Q20" i="2"/>
  <c r="F21" i="2"/>
  <c r="G21" i="2"/>
  <c r="H21" i="2"/>
  <c r="I21" i="2"/>
  <c r="J21" i="2"/>
  <c r="K21" i="2"/>
  <c r="L21" i="2"/>
  <c r="M21" i="2"/>
  <c r="N21" i="2"/>
  <c r="O21" i="2"/>
  <c r="P21" i="2"/>
  <c r="Q21" i="2"/>
  <c r="F22" i="2"/>
  <c r="G22" i="2"/>
  <c r="H22" i="2"/>
  <c r="I22" i="2"/>
  <c r="J22" i="2"/>
  <c r="K22" i="2"/>
  <c r="L22" i="2"/>
  <c r="M22" i="2"/>
  <c r="N22" i="2"/>
  <c r="O22" i="2"/>
  <c r="P22" i="2"/>
  <c r="Q22" i="2"/>
  <c r="F23" i="2"/>
  <c r="G23" i="2"/>
  <c r="H23" i="2"/>
  <c r="I23" i="2"/>
  <c r="J23" i="2"/>
  <c r="K23" i="2"/>
  <c r="L23" i="2"/>
  <c r="M23" i="2"/>
  <c r="N23" i="2"/>
  <c r="O23" i="2"/>
  <c r="P23" i="2"/>
  <c r="Q23" i="2"/>
  <c r="F24" i="2"/>
  <c r="G24" i="2"/>
  <c r="H24" i="2"/>
  <c r="I24" i="2"/>
  <c r="J24" i="2"/>
  <c r="K24" i="2"/>
  <c r="L24" i="2"/>
  <c r="M24" i="2"/>
  <c r="N24" i="2"/>
  <c r="O24" i="2"/>
  <c r="P24" i="2"/>
  <c r="Q24" i="2"/>
  <c r="F25" i="2"/>
  <c r="G25" i="2"/>
  <c r="H25" i="2"/>
  <c r="I25" i="2"/>
  <c r="J25" i="2"/>
  <c r="K25" i="2"/>
  <c r="L25" i="2"/>
  <c r="M25" i="2"/>
  <c r="N25" i="2"/>
  <c r="O25" i="2"/>
  <c r="P25" i="2"/>
  <c r="Q25" i="2"/>
  <c r="F26" i="2"/>
  <c r="G26" i="2"/>
  <c r="H26" i="2"/>
  <c r="I26" i="2"/>
  <c r="J26" i="2"/>
  <c r="K26" i="2"/>
  <c r="L26" i="2"/>
  <c r="M26" i="2"/>
  <c r="N26" i="2"/>
  <c r="O26" i="2"/>
  <c r="P26" i="2"/>
  <c r="Q26" i="2"/>
  <c r="F27" i="2"/>
  <c r="G27" i="2"/>
  <c r="H27" i="2"/>
  <c r="I27" i="2"/>
  <c r="J27" i="2"/>
  <c r="K27" i="2"/>
  <c r="L27" i="2"/>
  <c r="M27" i="2"/>
  <c r="N27" i="2"/>
  <c r="O27" i="2"/>
  <c r="P27" i="2"/>
  <c r="Q27" i="2"/>
  <c r="E21" i="2"/>
  <c r="E22" i="2"/>
  <c r="E23" i="2"/>
  <c r="E24" i="2"/>
  <c r="E25" i="2"/>
  <c r="E41" i="2" s="1"/>
  <c r="E26" i="2"/>
  <c r="E27" i="2"/>
  <c r="E28" i="2"/>
  <c r="E20" i="2"/>
  <c r="N15" i="2"/>
  <c r="O15" i="2"/>
  <c r="P15" i="2"/>
  <c r="Q15" i="2"/>
  <c r="F15" i="2"/>
  <c r="G15" i="2"/>
  <c r="H15" i="2"/>
  <c r="I15" i="2"/>
  <c r="J15" i="2"/>
  <c r="K15" i="2"/>
  <c r="L15" i="2"/>
  <c r="M15" i="2"/>
  <c r="E15" i="2"/>
  <c r="T94" i="4" l="1"/>
  <c r="T103" i="4" s="1"/>
  <c r="T108" i="4" s="1"/>
  <c r="T93" i="4"/>
  <c r="T102" i="4" s="1"/>
  <c r="T107" i="4" s="1"/>
  <c r="T92" i="4"/>
  <c r="T101" i="4" s="1"/>
  <c r="T106" i="4" s="1"/>
  <c r="V26" i="4"/>
  <c r="AD26" i="4"/>
  <c r="W26" i="4"/>
  <c r="AE26" i="4"/>
  <c r="Y26" i="4"/>
  <c r="X26" i="4"/>
  <c r="AF26" i="4"/>
  <c r="AG26" i="4"/>
  <c r="Z26" i="4"/>
  <c r="AA26" i="4"/>
  <c r="AC26" i="4"/>
  <c r="AB26" i="4"/>
  <c r="U26" i="4"/>
  <c r="T48" i="4"/>
  <c r="S85" i="4"/>
  <c r="S49" i="4"/>
  <c r="S87" i="4" s="1"/>
  <c r="R49" i="4"/>
  <c r="R87" i="4" s="1"/>
  <c r="R85" i="4"/>
  <c r="R48" i="4"/>
  <c r="H27" i="10"/>
  <c r="H21" i="10"/>
  <c r="H51" i="10"/>
  <c r="H50" i="10"/>
  <c r="H57" i="10"/>
  <c r="O56" i="10"/>
  <c r="K8" i="10"/>
  <c r="K7" i="10" s="1"/>
  <c r="K35" i="10"/>
  <c r="K34" i="10" s="1"/>
  <c r="H56" i="10"/>
  <c r="O20" i="10"/>
  <c r="H20" i="10"/>
  <c r="H26" i="10"/>
  <c r="K39" i="10"/>
  <c r="K38" i="10" s="1"/>
  <c r="K11" i="10"/>
  <c r="K10" i="10" s="1"/>
  <c r="K14" i="10"/>
  <c r="K13" i="10" s="1"/>
  <c r="K43" i="10"/>
  <c r="K42" i="10" s="1"/>
  <c r="N31" i="2"/>
  <c r="H43" i="2"/>
  <c r="H67" i="2"/>
  <c r="H91" i="2"/>
  <c r="L42" i="2"/>
  <c r="L66" i="2"/>
  <c r="L90" i="2"/>
  <c r="L40" i="2"/>
  <c r="L64" i="2"/>
  <c r="L88" i="2"/>
  <c r="P61" i="2"/>
  <c r="P85" i="2"/>
  <c r="H61" i="2"/>
  <c r="H85" i="2"/>
  <c r="E42" i="2"/>
  <c r="E90" i="2"/>
  <c r="E66" i="2"/>
  <c r="K44" i="2"/>
  <c r="K68" i="2"/>
  <c r="K92" i="2"/>
  <c r="O43" i="2"/>
  <c r="O67" i="2"/>
  <c r="O91" i="2"/>
  <c r="G43" i="2"/>
  <c r="G67" i="2"/>
  <c r="G91" i="2"/>
  <c r="K42" i="2"/>
  <c r="K66" i="2"/>
  <c r="K90" i="2"/>
  <c r="O41" i="2"/>
  <c r="O65" i="2"/>
  <c r="O89" i="2"/>
  <c r="G41" i="2"/>
  <c r="G65" i="2"/>
  <c r="G89" i="2"/>
  <c r="K40" i="2"/>
  <c r="K64" i="2"/>
  <c r="K88" i="2"/>
  <c r="O39" i="2"/>
  <c r="O63" i="2"/>
  <c r="O87" i="2"/>
  <c r="G39" i="2"/>
  <c r="G63" i="2"/>
  <c r="G87" i="2"/>
  <c r="K38" i="2"/>
  <c r="K62" i="2"/>
  <c r="K86" i="2"/>
  <c r="O61" i="2"/>
  <c r="O85" i="2"/>
  <c r="G61" i="2"/>
  <c r="G85" i="2"/>
  <c r="E43" i="2"/>
  <c r="E91" i="2"/>
  <c r="E67" i="2"/>
  <c r="H39" i="2"/>
  <c r="H63" i="2"/>
  <c r="H87" i="2"/>
  <c r="N41" i="2"/>
  <c r="N89" i="2"/>
  <c r="N65" i="2"/>
  <c r="J31" i="2"/>
  <c r="J86" i="2"/>
  <c r="J62" i="2"/>
  <c r="E64" i="2"/>
  <c r="E88" i="2"/>
  <c r="Q44" i="2"/>
  <c r="Q92" i="2"/>
  <c r="Q68" i="2"/>
  <c r="I44" i="2"/>
  <c r="I92" i="2"/>
  <c r="I68" i="2"/>
  <c r="M43" i="2"/>
  <c r="M67" i="2"/>
  <c r="M91" i="2"/>
  <c r="Q42" i="2"/>
  <c r="Q90" i="2"/>
  <c r="Q66" i="2"/>
  <c r="I42" i="2"/>
  <c r="I66" i="2"/>
  <c r="I90" i="2"/>
  <c r="M41" i="2"/>
  <c r="M89" i="2"/>
  <c r="M65" i="2"/>
  <c r="Q40" i="2"/>
  <c r="Q88" i="2"/>
  <c r="Q64" i="2"/>
  <c r="I40" i="2"/>
  <c r="I88" i="2"/>
  <c r="I64" i="2"/>
  <c r="M39" i="2"/>
  <c r="M63" i="2"/>
  <c r="M87" i="2"/>
  <c r="Q86" i="2"/>
  <c r="Q62" i="2"/>
  <c r="I62" i="2"/>
  <c r="I86" i="2"/>
  <c r="M31" i="2"/>
  <c r="M85" i="2"/>
  <c r="M61" i="2"/>
  <c r="P39" i="2"/>
  <c r="P63" i="2"/>
  <c r="P87" i="2"/>
  <c r="N43" i="2"/>
  <c r="N91" i="2"/>
  <c r="N67" i="2"/>
  <c r="N39" i="2"/>
  <c r="N87" i="2"/>
  <c r="N63" i="2"/>
  <c r="P44" i="2"/>
  <c r="P92" i="2"/>
  <c r="P68" i="2"/>
  <c r="P42" i="2"/>
  <c r="P90" i="2"/>
  <c r="P66" i="2"/>
  <c r="L41" i="2"/>
  <c r="L89" i="2"/>
  <c r="L65" i="2"/>
  <c r="P40" i="2"/>
  <c r="P88" i="2"/>
  <c r="P64" i="2"/>
  <c r="H40" i="2"/>
  <c r="H88" i="2"/>
  <c r="H64" i="2"/>
  <c r="H38" i="2"/>
  <c r="H86" i="2"/>
  <c r="H62" i="2"/>
  <c r="L37" i="2"/>
  <c r="L85" i="2"/>
  <c r="L61" i="2"/>
  <c r="E40" i="2"/>
  <c r="L44" i="2"/>
  <c r="L68" i="2"/>
  <c r="L92" i="2"/>
  <c r="P41" i="2"/>
  <c r="P65" i="2"/>
  <c r="P89" i="2"/>
  <c r="E65" i="2"/>
  <c r="E89" i="2"/>
  <c r="J40" i="2"/>
  <c r="J88" i="2"/>
  <c r="J64" i="2"/>
  <c r="F37" i="2"/>
  <c r="F85" i="2"/>
  <c r="F61" i="2"/>
  <c r="L43" i="2"/>
  <c r="L91" i="2"/>
  <c r="L67" i="2"/>
  <c r="P38" i="2"/>
  <c r="P86" i="2"/>
  <c r="P62" i="2"/>
  <c r="E38" i="2"/>
  <c r="E62" i="2"/>
  <c r="E86" i="2"/>
  <c r="O44" i="2"/>
  <c r="O92" i="2"/>
  <c r="O68" i="2"/>
  <c r="G44" i="2"/>
  <c r="G92" i="2"/>
  <c r="G68" i="2"/>
  <c r="K43" i="2"/>
  <c r="K91" i="2"/>
  <c r="K67" i="2"/>
  <c r="O42" i="2"/>
  <c r="O90" i="2"/>
  <c r="O66" i="2"/>
  <c r="G42" i="2"/>
  <c r="G90" i="2"/>
  <c r="G66" i="2"/>
  <c r="K41" i="2"/>
  <c r="K89" i="2"/>
  <c r="K65" i="2"/>
  <c r="O40" i="2"/>
  <c r="O88" i="2"/>
  <c r="O64" i="2"/>
  <c r="G40" i="2"/>
  <c r="G88" i="2"/>
  <c r="G64" i="2"/>
  <c r="K39" i="2"/>
  <c r="K87" i="2"/>
  <c r="K63" i="2"/>
  <c r="O38" i="2"/>
  <c r="O86" i="2"/>
  <c r="O62" i="2"/>
  <c r="G38" i="2"/>
  <c r="G86" i="2"/>
  <c r="G62" i="2"/>
  <c r="K85" i="2"/>
  <c r="K61" i="2"/>
  <c r="L62" i="2"/>
  <c r="L86" i="2"/>
  <c r="J44" i="2"/>
  <c r="J92" i="2"/>
  <c r="J68" i="2"/>
  <c r="J42" i="2"/>
  <c r="J90" i="2"/>
  <c r="J66" i="2"/>
  <c r="F41" i="2"/>
  <c r="F89" i="2"/>
  <c r="F65" i="2"/>
  <c r="F39" i="2"/>
  <c r="F87" i="2"/>
  <c r="F63" i="2"/>
  <c r="E39" i="2"/>
  <c r="E63" i="2"/>
  <c r="E87" i="2"/>
  <c r="H44" i="2"/>
  <c r="H92" i="2"/>
  <c r="H68" i="2"/>
  <c r="H42" i="2"/>
  <c r="H90" i="2"/>
  <c r="H66" i="2"/>
  <c r="L39" i="2"/>
  <c r="L87" i="2"/>
  <c r="L63" i="2"/>
  <c r="E85" i="2"/>
  <c r="E61" i="2"/>
  <c r="N44" i="2"/>
  <c r="N92" i="2"/>
  <c r="N68" i="2"/>
  <c r="F44" i="2"/>
  <c r="F92" i="2"/>
  <c r="F68" i="2"/>
  <c r="J43" i="2"/>
  <c r="J91" i="2"/>
  <c r="J67" i="2"/>
  <c r="N42" i="2"/>
  <c r="N66" i="2"/>
  <c r="N90" i="2"/>
  <c r="F42" i="2"/>
  <c r="F66" i="2"/>
  <c r="F90" i="2"/>
  <c r="J41" i="2"/>
  <c r="J65" i="2"/>
  <c r="J89" i="2"/>
  <c r="N40" i="2"/>
  <c r="N88" i="2"/>
  <c r="N64" i="2"/>
  <c r="F40" i="2"/>
  <c r="F88" i="2"/>
  <c r="F64" i="2"/>
  <c r="J39" i="2"/>
  <c r="J63" i="2"/>
  <c r="J87" i="2"/>
  <c r="N38" i="2"/>
  <c r="N62" i="2"/>
  <c r="N86" i="2"/>
  <c r="F38" i="2"/>
  <c r="F62" i="2"/>
  <c r="F86" i="2"/>
  <c r="J37" i="2"/>
  <c r="J85" i="2"/>
  <c r="J61" i="2"/>
  <c r="P43" i="2"/>
  <c r="P67" i="2"/>
  <c r="P91" i="2"/>
  <c r="H41" i="2"/>
  <c r="H65" i="2"/>
  <c r="H89" i="2"/>
  <c r="F43" i="2"/>
  <c r="F91" i="2"/>
  <c r="F67" i="2"/>
  <c r="N37" i="2"/>
  <c r="N85" i="2"/>
  <c r="N61" i="2"/>
  <c r="E44" i="2"/>
  <c r="E92" i="2"/>
  <c r="E68" i="2"/>
  <c r="M44" i="2"/>
  <c r="M92" i="2"/>
  <c r="M68" i="2"/>
  <c r="Q43" i="2"/>
  <c r="Q67" i="2"/>
  <c r="Q91" i="2"/>
  <c r="I43" i="2"/>
  <c r="I91" i="2"/>
  <c r="I67" i="2"/>
  <c r="M42" i="2"/>
  <c r="M66" i="2"/>
  <c r="M90" i="2"/>
  <c r="Q41" i="2"/>
  <c r="Q65" i="2"/>
  <c r="Q89" i="2"/>
  <c r="I41" i="2"/>
  <c r="I65" i="2"/>
  <c r="I89" i="2"/>
  <c r="M40" i="2"/>
  <c r="M88" i="2"/>
  <c r="M64" i="2"/>
  <c r="Q39" i="2"/>
  <c r="Q63" i="2"/>
  <c r="Q87" i="2"/>
  <c r="I39" i="2"/>
  <c r="I87" i="2"/>
  <c r="I63" i="2"/>
  <c r="M38" i="2"/>
  <c r="M62" i="2"/>
  <c r="M86" i="2"/>
  <c r="Q37" i="2"/>
  <c r="Q61" i="2"/>
  <c r="Q85" i="2"/>
  <c r="I37" i="2"/>
  <c r="I61" i="2"/>
  <c r="I85" i="2"/>
  <c r="P45" i="2"/>
  <c r="P93" i="2"/>
  <c r="P69" i="2"/>
  <c r="O45" i="2"/>
  <c r="O69" i="2"/>
  <c r="O93" i="2"/>
  <c r="N69" i="2"/>
  <c r="N93" i="2"/>
  <c r="N45" i="2"/>
  <c r="Q45" i="2"/>
  <c r="Q93" i="2"/>
  <c r="Q69" i="2"/>
  <c r="K36" i="2"/>
  <c r="K60" i="2"/>
  <c r="K84" i="2"/>
  <c r="P36" i="2"/>
  <c r="P60" i="2"/>
  <c r="P84" i="2"/>
  <c r="O36" i="2"/>
  <c r="O60" i="2"/>
  <c r="O84" i="2"/>
  <c r="Q36" i="2"/>
  <c r="Q84" i="2"/>
  <c r="Q60" i="2"/>
  <c r="E36" i="2"/>
  <c r="E60" i="2"/>
  <c r="E84" i="2"/>
  <c r="M36" i="2"/>
  <c r="M60" i="2"/>
  <c r="M84" i="2"/>
  <c r="N36" i="2"/>
  <c r="N60" i="2"/>
  <c r="N84" i="2"/>
  <c r="I60" i="2"/>
  <c r="I84" i="2"/>
  <c r="G36" i="2"/>
  <c r="G60" i="2"/>
  <c r="G84" i="2"/>
  <c r="J38" i="2"/>
  <c r="E31" i="2"/>
  <c r="K31" i="2"/>
  <c r="K37" i="2"/>
  <c r="Q31" i="2"/>
  <c r="E37" i="2"/>
  <c r="Q38" i="2"/>
  <c r="M37" i="2"/>
  <c r="F31" i="2"/>
  <c r="L31" i="2"/>
  <c r="P31" i="2"/>
  <c r="H31" i="2"/>
  <c r="L38" i="2"/>
  <c r="P37" i="2"/>
  <c r="H37" i="2"/>
  <c r="I31" i="2"/>
  <c r="I38" i="2"/>
  <c r="O31" i="2"/>
  <c r="G31" i="2"/>
  <c r="O37" i="2"/>
  <c r="G37" i="2"/>
  <c r="Y28" i="4" l="1"/>
  <c r="Y39" i="4" s="1"/>
  <c r="Y67" i="4" s="1"/>
  <c r="Y29" i="4"/>
  <c r="Y40" i="4" s="1"/>
  <c r="Y68" i="4" s="1"/>
  <c r="Y27" i="4"/>
  <c r="Y85" i="4" s="1"/>
  <c r="AB29" i="4"/>
  <c r="AB40" i="4" s="1"/>
  <c r="AB68" i="4" s="1"/>
  <c r="AB28" i="4"/>
  <c r="AB39" i="4" s="1"/>
  <c r="AB67" i="4" s="1"/>
  <c r="AB27" i="4"/>
  <c r="AB85" i="4" s="1"/>
  <c r="AE29" i="4"/>
  <c r="AE40" i="4" s="1"/>
  <c r="AE68" i="4" s="1"/>
  <c r="AE27" i="4"/>
  <c r="AE85" i="4" s="1"/>
  <c r="AE28" i="4"/>
  <c r="AE39" i="4" s="1"/>
  <c r="AE67" i="4" s="1"/>
  <c r="AC27" i="4"/>
  <c r="AC85" i="4" s="1"/>
  <c r="AC28" i="4"/>
  <c r="AC39" i="4" s="1"/>
  <c r="AC67" i="4" s="1"/>
  <c r="AC29" i="4"/>
  <c r="AC40" i="4" s="1"/>
  <c r="AC68" i="4" s="1"/>
  <c r="W29" i="4"/>
  <c r="W40" i="4" s="1"/>
  <c r="W68" i="4" s="1"/>
  <c r="W27" i="4"/>
  <c r="W85" i="4" s="1"/>
  <c r="W28" i="4"/>
  <c r="W39" i="4" s="1"/>
  <c r="W67" i="4" s="1"/>
  <c r="U28" i="4"/>
  <c r="U39" i="4" s="1"/>
  <c r="U67" i="4" s="1"/>
  <c r="U29" i="4"/>
  <c r="U40" i="4" s="1"/>
  <c r="U68" i="4" s="1"/>
  <c r="U27" i="4"/>
  <c r="U85" i="4" s="1"/>
  <c r="AA27" i="4"/>
  <c r="AA85" i="4" s="1"/>
  <c r="AA28" i="4"/>
  <c r="AA39" i="4" s="1"/>
  <c r="AA67" i="4" s="1"/>
  <c r="AA29" i="4"/>
  <c r="AA40" i="4" s="1"/>
  <c r="AA68" i="4" s="1"/>
  <c r="AD27" i="4"/>
  <c r="AD85" i="4" s="1"/>
  <c r="AD29" i="4"/>
  <c r="AD40" i="4" s="1"/>
  <c r="AD68" i="4" s="1"/>
  <c r="AD28" i="4"/>
  <c r="AD39" i="4" s="1"/>
  <c r="AD67" i="4" s="1"/>
  <c r="Z27" i="4"/>
  <c r="Z85" i="4" s="1"/>
  <c r="Z28" i="4"/>
  <c r="Z39" i="4" s="1"/>
  <c r="Z67" i="4" s="1"/>
  <c r="Z29" i="4"/>
  <c r="Z40" i="4" s="1"/>
  <c r="Z68" i="4" s="1"/>
  <c r="V29" i="4"/>
  <c r="V40" i="4" s="1"/>
  <c r="V68" i="4" s="1"/>
  <c r="V27" i="4"/>
  <c r="V85" i="4" s="1"/>
  <c r="V28" i="4"/>
  <c r="V39" i="4" s="1"/>
  <c r="V67" i="4" s="1"/>
  <c r="AG28" i="4"/>
  <c r="AG39" i="4" s="1"/>
  <c r="AG67" i="4" s="1"/>
  <c r="AG29" i="4"/>
  <c r="AG40" i="4" s="1"/>
  <c r="AG68" i="4" s="1"/>
  <c r="AG27" i="4"/>
  <c r="AG85" i="4" s="1"/>
  <c r="S93" i="4"/>
  <c r="S102" i="4" s="1"/>
  <c r="S107" i="4" s="1"/>
  <c r="S94" i="4"/>
  <c r="S103" i="4" s="1"/>
  <c r="S108" i="4" s="1"/>
  <c r="S92" i="4"/>
  <c r="S101" i="4" s="1"/>
  <c r="S106" i="4" s="1"/>
  <c r="AF29" i="4"/>
  <c r="AF40" i="4" s="1"/>
  <c r="AF68" i="4" s="1"/>
  <c r="AF27" i="4"/>
  <c r="AF85" i="4" s="1"/>
  <c r="AF28" i="4"/>
  <c r="AF39" i="4" s="1"/>
  <c r="AF67" i="4" s="1"/>
  <c r="X29" i="4"/>
  <c r="X40" i="4" s="1"/>
  <c r="X68" i="4" s="1"/>
  <c r="X27" i="4"/>
  <c r="X85" i="4" s="1"/>
  <c r="X28" i="4"/>
  <c r="X39" i="4" s="1"/>
  <c r="X67" i="4" s="1"/>
  <c r="R93" i="4"/>
  <c r="R102" i="4" s="1"/>
  <c r="R107" i="4" s="1"/>
  <c r="R94" i="4"/>
  <c r="R103" i="4" s="1"/>
  <c r="R108" i="4" s="1"/>
  <c r="R92" i="4"/>
  <c r="R101" i="4" s="1"/>
  <c r="R106" i="4" s="1"/>
  <c r="K20" i="10"/>
  <c r="K50" i="10"/>
  <c r="K51" i="10"/>
  <c r="K57" i="10"/>
  <c r="K27" i="10"/>
  <c r="K21" i="10"/>
  <c r="K56" i="10"/>
  <c r="K26" i="10"/>
  <c r="I47" i="2"/>
  <c r="K71" i="2"/>
  <c r="O47" i="2"/>
  <c r="K47" i="2"/>
  <c r="L71" i="2"/>
  <c r="O95" i="2"/>
  <c r="N71" i="2"/>
  <c r="F71" i="2"/>
  <c r="O71" i="2"/>
  <c r="I95" i="2"/>
  <c r="N95" i="2"/>
  <c r="F95" i="2"/>
  <c r="L47" i="2"/>
  <c r="I71" i="2"/>
  <c r="N47" i="2"/>
  <c r="F47" i="2"/>
  <c r="E71" i="2"/>
  <c r="H95" i="2"/>
  <c r="M47" i="2"/>
  <c r="E95" i="2"/>
  <c r="H71" i="2"/>
  <c r="H47" i="2"/>
  <c r="Q95" i="2"/>
  <c r="J71" i="2"/>
  <c r="P95" i="2"/>
  <c r="P47" i="2"/>
  <c r="E47" i="2"/>
  <c r="Q71" i="2"/>
  <c r="J95" i="2"/>
  <c r="K95" i="2"/>
  <c r="M71" i="2"/>
  <c r="G95" i="2"/>
  <c r="P71" i="2"/>
  <c r="G47" i="2"/>
  <c r="AA95" i="2"/>
  <c r="R95" i="2"/>
  <c r="X71" i="2"/>
  <c r="S47" i="2"/>
  <c r="AA47" i="2"/>
  <c r="AC95" i="2"/>
  <c r="Z95" i="2"/>
  <c r="Y71" i="2"/>
  <c r="T47" i="2"/>
  <c r="AB47" i="2"/>
  <c r="AB95" i="2"/>
  <c r="W71" i="2"/>
  <c r="Y95" i="2"/>
  <c r="Z71" i="2"/>
  <c r="U47" i="2"/>
  <c r="AC47" i="2"/>
  <c r="X95" i="2"/>
  <c r="S71" i="2"/>
  <c r="AA71" i="2"/>
  <c r="V47" i="2"/>
  <c r="AD47" i="2"/>
  <c r="V71" i="2"/>
  <c r="S95" i="2"/>
  <c r="R71" i="2"/>
  <c r="V95" i="2"/>
  <c r="T71" i="2"/>
  <c r="AB71" i="2"/>
  <c r="W47" i="2"/>
  <c r="R47" i="2"/>
  <c r="T95" i="2"/>
  <c r="Y47" i="2"/>
  <c r="AD95" i="2"/>
  <c r="U95" i="2"/>
  <c r="U71" i="2"/>
  <c r="AC71" i="2"/>
  <c r="X47" i="2"/>
  <c r="AD71" i="2"/>
  <c r="Z47" i="2"/>
  <c r="W95" i="2"/>
  <c r="Q47" i="2"/>
  <c r="J47" i="2"/>
  <c r="M95" i="2"/>
  <c r="G71" i="2"/>
  <c r="L95" i="2"/>
  <c r="AG65" i="4" l="1"/>
  <c r="AG78" i="4"/>
  <c r="AG8" i="4" s="1"/>
  <c r="AG66" i="4"/>
  <c r="AB11" i="10"/>
  <c r="AB10" i="10" s="1"/>
  <c r="AB39" i="10"/>
  <c r="AB38" i="10" s="1"/>
  <c r="AF94" i="4"/>
  <c r="AF103" i="4" s="1"/>
  <c r="AF108" i="4" s="1"/>
  <c r="AF93" i="4"/>
  <c r="AF102" i="4" s="1"/>
  <c r="AF107" i="4" s="1"/>
  <c r="V66" i="4"/>
  <c r="V65" i="4"/>
  <c r="V78" i="4"/>
  <c r="V8" i="4" s="1"/>
  <c r="Q39" i="10"/>
  <c r="Q38" i="10" s="1"/>
  <c r="Q11" i="10"/>
  <c r="Q10" i="10" s="1"/>
  <c r="AD94" i="4"/>
  <c r="AD103" i="4" s="1"/>
  <c r="AD108" i="4" s="1"/>
  <c r="AD93" i="4"/>
  <c r="AD102" i="4" s="1"/>
  <c r="AD107" i="4" s="1"/>
  <c r="W94" i="4"/>
  <c r="W103" i="4" s="1"/>
  <c r="W108" i="4" s="1"/>
  <c r="W93" i="4"/>
  <c r="W102" i="4" s="1"/>
  <c r="W107" i="4" s="1"/>
  <c r="AB94" i="4"/>
  <c r="AB103" i="4" s="1"/>
  <c r="AB108" i="4" s="1"/>
  <c r="AB93" i="4"/>
  <c r="AB102" i="4" s="1"/>
  <c r="AB107" i="4" s="1"/>
  <c r="AF78" i="4"/>
  <c r="AF8" i="4" s="1"/>
  <c r="AF66" i="4"/>
  <c r="AF65" i="4"/>
  <c r="AA11" i="10"/>
  <c r="AA10" i="10" s="1"/>
  <c r="AA39" i="10"/>
  <c r="AA38" i="10" s="1"/>
  <c r="AF79" i="4"/>
  <c r="AF9" i="4" s="1"/>
  <c r="AA14" i="10"/>
  <c r="AA13" i="10" s="1"/>
  <c r="AA43" i="10"/>
  <c r="AA42" i="10" s="1"/>
  <c r="V94" i="4"/>
  <c r="V103" i="4" s="1"/>
  <c r="V108" i="4" s="1"/>
  <c r="V93" i="4"/>
  <c r="V102" i="4" s="1"/>
  <c r="V107" i="4" s="1"/>
  <c r="AA79" i="4"/>
  <c r="AA9" i="4" s="1"/>
  <c r="V14" i="10"/>
  <c r="V13" i="10" s="1"/>
  <c r="V43" i="10"/>
  <c r="V42" i="10" s="1"/>
  <c r="W79" i="4"/>
  <c r="W9" i="4" s="1"/>
  <c r="R43" i="10"/>
  <c r="R42" i="10" s="1"/>
  <c r="R14" i="10"/>
  <c r="R13" i="10" s="1"/>
  <c r="AB66" i="4"/>
  <c r="AB65" i="4"/>
  <c r="AB78" i="4"/>
  <c r="AB8" i="4" s="1"/>
  <c r="W39" i="10"/>
  <c r="W38" i="10" s="1"/>
  <c r="W11" i="10"/>
  <c r="W10" i="10" s="1"/>
  <c r="AG79" i="4"/>
  <c r="AG9" i="4" s="1"/>
  <c r="AB14" i="10"/>
  <c r="AB13" i="10" s="1"/>
  <c r="AB43" i="10"/>
  <c r="AB42" i="10" s="1"/>
  <c r="AC79" i="4"/>
  <c r="AC9" i="4" s="1"/>
  <c r="X14" i="10"/>
  <c r="X13" i="10" s="1"/>
  <c r="X43" i="10"/>
  <c r="X42" i="10" s="1"/>
  <c r="AB79" i="4"/>
  <c r="AB9" i="4" s="1"/>
  <c r="W14" i="10"/>
  <c r="W13" i="10" s="1"/>
  <c r="W43" i="10"/>
  <c r="W42" i="10" s="1"/>
  <c r="U66" i="4"/>
  <c r="U38" i="4" s="1"/>
  <c r="U49" i="4" s="1"/>
  <c r="U87" i="4" s="1"/>
  <c r="U65" i="4"/>
  <c r="U78" i="4"/>
  <c r="U8" i="4" s="1"/>
  <c r="P11" i="10"/>
  <c r="P10" i="10" s="1"/>
  <c r="P39" i="10"/>
  <c r="P38" i="10" s="1"/>
  <c r="AD79" i="4"/>
  <c r="AD9" i="4" s="1"/>
  <c r="Y43" i="10"/>
  <c r="Y42" i="10" s="1"/>
  <c r="Y14" i="10"/>
  <c r="Y13" i="10" s="1"/>
  <c r="V79" i="4"/>
  <c r="V9" i="4" s="1"/>
  <c r="Q14" i="10"/>
  <c r="Q13" i="10" s="1"/>
  <c r="Q43" i="10"/>
  <c r="Q42" i="10" s="1"/>
  <c r="Z79" i="4"/>
  <c r="Z9" i="4" s="1"/>
  <c r="U14" i="10"/>
  <c r="U13" i="10" s="1"/>
  <c r="U43" i="10"/>
  <c r="U42" i="10" s="1"/>
  <c r="AA93" i="4"/>
  <c r="AA102" i="4" s="1"/>
  <c r="AA107" i="4" s="1"/>
  <c r="AA94" i="4"/>
  <c r="AA103" i="4" s="1"/>
  <c r="AA108" i="4" s="1"/>
  <c r="AC66" i="4"/>
  <c r="AC65" i="4"/>
  <c r="AC78" i="4"/>
  <c r="AC8" i="4" s="1"/>
  <c r="X39" i="10"/>
  <c r="X38" i="10" s="1"/>
  <c r="X11" i="10"/>
  <c r="X10" i="10" s="1"/>
  <c r="Y93" i="4"/>
  <c r="Y102" i="4" s="1"/>
  <c r="Y107" i="4" s="1"/>
  <c r="Y94" i="4"/>
  <c r="Y103" i="4" s="1"/>
  <c r="Y108" i="4" s="1"/>
  <c r="AD66" i="4"/>
  <c r="AD78" i="4"/>
  <c r="AD8" i="4" s="1"/>
  <c r="AD65" i="4"/>
  <c r="Y11" i="10"/>
  <c r="Y10" i="10" s="1"/>
  <c r="Y39" i="10"/>
  <c r="Y38" i="10" s="1"/>
  <c r="W78" i="4"/>
  <c r="W8" i="4" s="1"/>
  <c r="W66" i="4"/>
  <c r="W65" i="4"/>
  <c r="R11" i="10"/>
  <c r="R10" i="10" s="1"/>
  <c r="R39" i="10"/>
  <c r="R38" i="10" s="1"/>
  <c r="AA66" i="4"/>
  <c r="AA65" i="4"/>
  <c r="AA78" i="4"/>
  <c r="AA8" i="4" s="1"/>
  <c r="V11" i="10"/>
  <c r="V10" i="10" s="1"/>
  <c r="V39" i="10"/>
  <c r="V38" i="10" s="1"/>
  <c r="Z66" i="4"/>
  <c r="Z65" i="4"/>
  <c r="Z78" i="4"/>
  <c r="Z8" i="4" s="1"/>
  <c r="U39" i="10"/>
  <c r="U38" i="10" s="1"/>
  <c r="U11" i="10"/>
  <c r="U10" i="10" s="1"/>
  <c r="U94" i="4"/>
  <c r="U103" i="4" s="1"/>
  <c r="U108" i="4" s="1"/>
  <c r="U92" i="4"/>
  <c r="U101" i="4" s="1"/>
  <c r="U106" i="4" s="1"/>
  <c r="U93" i="4"/>
  <c r="U102" i="4" s="1"/>
  <c r="U107" i="4" s="1"/>
  <c r="AC93" i="4"/>
  <c r="AC102" i="4" s="1"/>
  <c r="AC107" i="4" s="1"/>
  <c r="AC94" i="4"/>
  <c r="AC103" i="4" s="1"/>
  <c r="AC108" i="4" s="1"/>
  <c r="Y79" i="4"/>
  <c r="Y9" i="4" s="1"/>
  <c r="T14" i="10"/>
  <c r="T13" i="10" s="1"/>
  <c r="T43" i="10"/>
  <c r="T42" i="10" s="1"/>
  <c r="X79" i="4"/>
  <c r="X9" i="4" s="1"/>
  <c r="S14" i="10"/>
  <c r="S43" i="10"/>
  <c r="S42" i="10" s="1"/>
  <c r="AE94" i="4"/>
  <c r="AE103" i="4" s="1"/>
  <c r="AE108" i="4" s="1"/>
  <c r="AE93" i="4"/>
  <c r="AE102" i="4" s="1"/>
  <c r="AE107" i="4" s="1"/>
  <c r="AE79" i="4"/>
  <c r="AE9" i="4" s="1"/>
  <c r="Z43" i="10"/>
  <c r="Z42" i="10" s="1"/>
  <c r="Z14" i="10"/>
  <c r="Z13" i="10" s="1"/>
  <c r="X78" i="4"/>
  <c r="X8" i="4" s="1"/>
  <c r="X66" i="4"/>
  <c r="X65" i="4"/>
  <c r="S11" i="10"/>
  <c r="S39" i="10"/>
  <c r="S38" i="10" s="1"/>
  <c r="X94" i="4"/>
  <c r="X103" i="4" s="1"/>
  <c r="X108" i="4" s="1"/>
  <c r="X93" i="4"/>
  <c r="X102" i="4" s="1"/>
  <c r="X107" i="4" s="1"/>
  <c r="AG94" i="4"/>
  <c r="AG103" i="4" s="1"/>
  <c r="AG108" i="4" s="1"/>
  <c r="AG93" i="4"/>
  <c r="AG102" i="4" s="1"/>
  <c r="AG107" i="4" s="1"/>
  <c r="Z93" i="4"/>
  <c r="Z102" i="4" s="1"/>
  <c r="Z107" i="4" s="1"/>
  <c r="Z94" i="4"/>
  <c r="Z103" i="4" s="1"/>
  <c r="Z108" i="4" s="1"/>
  <c r="U79" i="4"/>
  <c r="U9" i="4" s="1"/>
  <c r="P14" i="10"/>
  <c r="P13" i="10" s="1"/>
  <c r="P43" i="10"/>
  <c r="P42" i="10" s="1"/>
  <c r="AE78" i="4"/>
  <c r="AE8" i="4" s="1"/>
  <c r="AE66" i="4"/>
  <c r="AE65" i="4"/>
  <c r="Z39" i="10"/>
  <c r="Z38" i="10" s="1"/>
  <c r="Z11" i="10"/>
  <c r="Z10" i="10" s="1"/>
  <c r="Y65" i="4"/>
  <c r="Y78" i="4"/>
  <c r="Y8" i="4" s="1"/>
  <c r="Y66" i="4"/>
  <c r="T11" i="10"/>
  <c r="T10" i="10" s="1"/>
  <c r="T39" i="10"/>
  <c r="T38" i="10" s="1"/>
  <c r="S64" i="2"/>
  <c r="S66" i="2"/>
  <c r="S61" i="2"/>
  <c r="S63" i="2"/>
  <c r="S65" i="2"/>
  <c r="S67" i="2"/>
  <c r="S62" i="2"/>
  <c r="S68" i="2"/>
  <c r="R87" i="2"/>
  <c r="R88" i="2"/>
  <c r="R86" i="2"/>
  <c r="R85" i="2"/>
  <c r="R92" i="2"/>
  <c r="R91" i="2"/>
  <c r="R90" i="2"/>
  <c r="R89" i="2"/>
  <c r="Z90" i="2"/>
  <c r="Z88" i="2"/>
  <c r="Z85" i="2"/>
  <c r="Z87" i="2"/>
  <c r="Z89" i="2"/>
  <c r="Z91" i="2"/>
  <c r="Z86" i="2"/>
  <c r="Z92" i="2"/>
  <c r="AB86" i="2"/>
  <c r="AB88" i="2"/>
  <c r="AB90" i="2"/>
  <c r="AB92" i="2"/>
  <c r="AB85" i="2"/>
  <c r="AB87" i="2"/>
  <c r="AB89" i="2"/>
  <c r="AB91" i="2"/>
  <c r="T62" i="2"/>
  <c r="T64" i="2"/>
  <c r="T66" i="2"/>
  <c r="T68" i="2"/>
  <c r="T61" i="2"/>
  <c r="T63" i="2"/>
  <c r="T65" i="2"/>
  <c r="T67" i="2"/>
  <c r="V86" i="2"/>
  <c r="V88" i="2"/>
  <c r="V90" i="2"/>
  <c r="V92" i="2"/>
  <c r="V91" i="2"/>
  <c r="V85" i="2"/>
  <c r="V87" i="2"/>
  <c r="V89" i="2"/>
  <c r="AD86" i="2"/>
  <c r="AD88" i="2"/>
  <c r="AD90" i="2"/>
  <c r="AD92" i="2"/>
  <c r="AD89" i="2"/>
  <c r="AD85" i="2"/>
  <c r="AD87" i="2"/>
  <c r="AD91" i="2"/>
  <c r="W89" i="2"/>
  <c r="W85" i="2"/>
  <c r="W87" i="2"/>
  <c r="W91" i="2"/>
  <c r="W86" i="2"/>
  <c r="W88" i="2"/>
  <c r="W90" i="2"/>
  <c r="W92" i="2"/>
  <c r="S90" i="2"/>
  <c r="S85" i="2"/>
  <c r="S87" i="2"/>
  <c r="S89" i="2"/>
  <c r="S91" i="2"/>
  <c r="S86" i="2"/>
  <c r="S92" i="2"/>
  <c r="S88" i="2"/>
  <c r="V63" i="2"/>
  <c r="V61" i="2"/>
  <c r="V65" i="2"/>
  <c r="V62" i="2"/>
  <c r="V64" i="2"/>
  <c r="V66" i="2"/>
  <c r="V68" i="2"/>
  <c r="V67" i="2"/>
  <c r="Z68" i="2"/>
  <c r="Z61" i="2"/>
  <c r="Z63" i="2"/>
  <c r="Z65" i="2"/>
  <c r="Z67" i="2"/>
  <c r="Z62" i="2"/>
  <c r="Z64" i="2"/>
  <c r="Z66" i="2"/>
  <c r="AC86" i="2"/>
  <c r="AC88" i="2"/>
  <c r="AC90" i="2"/>
  <c r="AC92" i="2"/>
  <c r="AC85" i="2"/>
  <c r="AC87" i="2"/>
  <c r="AC89" i="2"/>
  <c r="AC91" i="2"/>
  <c r="AC62" i="2"/>
  <c r="AC64" i="2"/>
  <c r="AC66" i="2"/>
  <c r="AC68" i="2"/>
  <c r="AC61" i="2"/>
  <c r="AC63" i="2"/>
  <c r="AC65" i="2"/>
  <c r="AC67" i="2"/>
  <c r="AA61" i="2"/>
  <c r="AA63" i="2"/>
  <c r="AA65" i="2"/>
  <c r="AA67" i="2"/>
  <c r="AA64" i="2"/>
  <c r="AA68" i="2"/>
  <c r="AA62" i="2"/>
  <c r="AA66" i="2"/>
  <c r="U62" i="2"/>
  <c r="U64" i="2"/>
  <c r="U66" i="2"/>
  <c r="U68" i="2"/>
  <c r="U61" i="2"/>
  <c r="U63" i="2"/>
  <c r="U65" i="2"/>
  <c r="U67" i="2"/>
  <c r="U86" i="2"/>
  <c r="U88" i="2"/>
  <c r="U90" i="2"/>
  <c r="U92" i="2"/>
  <c r="U85" i="2"/>
  <c r="U87" i="2"/>
  <c r="U89" i="2"/>
  <c r="U91" i="2"/>
  <c r="T37" i="2"/>
  <c r="T44" i="2"/>
  <c r="T42" i="2"/>
  <c r="T40" i="2"/>
  <c r="T43" i="2"/>
  <c r="T38" i="2"/>
  <c r="T41" i="2"/>
  <c r="T39" i="2"/>
  <c r="AA85" i="2"/>
  <c r="AA87" i="2"/>
  <c r="AA89" i="2"/>
  <c r="AA91" i="2"/>
  <c r="AA88" i="2"/>
  <c r="AA86" i="2"/>
  <c r="AA90" i="2"/>
  <c r="AA92" i="2"/>
  <c r="R63" i="2"/>
  <c r="R62" i="2"/>
  <c r="R65" i="2"/>
  <c r="R64" i="2"/>
  <c r="R61" i="2"/>
  <c r="R68" i="2"/>
  <c r="R67" i="2"/>
  <c r="R66" i="2"/>
  <c r="Y61" i="2"/>
  <c r="Y63" i="2"/>
  <c r="Y65" i="2"/>
  <c r="Y67" i="2"/>
  <c r="Y62" i="2"/>
  <c r="Y64" i="2"/>
  <c r="Y66" i="2"/>
  <c r="Y68" i="2"/>
  <c r="Y40" i="2"/>
  <c r="Y43" i="2"/>
  <c r="Y41" i="2"/>
  <c r="Y42" i="2"/>
  <c r="Y39" i="2"/>
  <c r="Y37" i="2"/>
  <c r="Y38" i="2"/>
  <c r="Y44" i="2"/>
  <c r="T86" i="2"/>
  <c r="T88" i="2"/>
  <c r="T90" i="2"/>
  <c r="T92" i="2"/>
  <c r="T85" i="2"/>
  <c r="T87" i="2"/>
  <c r="T89" i="2"/>
  <c r="T91" i="2"/>
  <c r="R41" i="2"/>
  <c r="R39" i="2"/>
  <c r="R43" i="2"/>
  <c r="R40" i="2"/>
  <c r="R44" i="2"/>
  <c r="R38" i="2"/>
  <c r="R42" i="2"/>
  <c r="R37" i="2"/>
  <c r="AD38" i="2"/>
  <c r="AD43" i="2"/>
  <c r="AD44" i="2"/>
  <c r="AD41" i="2"/>
  <c r="AD39" i="2"/>
  <c r="AD37" i="2"/>
  <c r="AD42" i="2"/>
  <c r="AD40" i="2"/>
  <c r="Y85" i="2"/>
  <c r="Y87" i="2"/>
  <c r="Y89" i="2"/>
  <c r="Y91" i="2"/>
  <c r="Y86" i="2"/>
  <c r="Y88" i="2"/>
  <c r="Y90" i="2"/>
  <c r="Y92" i="2"/>
  <c r="AA38" i="2"/>
  <c r="AA44" i="2"/>
  <c r="AA42" i="2"/>
  <c r="AA41" i="2"/>
  <c r="AA40" i="2"/>
  <c r="AA37" i="2"/>
  <c r="AA43" i="2"/>
  <c r="AA39" i="2"/>
  <c r="AB62" i="2"/>
  <c r="AB64" i="2"/>
  <c r="AB66" i="2"/>
  <c r="AB68" i="2"/>
  <c r="AB61" i="2"/>
  <c r="AB63" i="2"/>
  <c r="AB65" i="2"/>
  <c r="AB67" i="2"/>
  <c r="X61" i="2"/>
  <c r="X63" i="2"/>
  <c r="X65" i="2"/>
  <c r="X67" i="2"/>
  <c r="X62" i="2"/>
  <c r="X64" i="2"/>
  <c r="X66" i="2"/>
  <c r="X68" i="2"/>
  <c r="AB37" i="2"/>
  <c r="AB44" i="2"/>
  <c r="AB43" i="2"/>
  <c r="AB42" i="2"/>
  <c r="AB40" i="2"/>
  <c r="AB38" i="2"/>
  <c r="AB41" i="2"/>
  <c r="AB39" i="2"/>
  <c r="X85" i="2"/>
  <c r="X87" i="2"/>
  <c r="X89" i="2"/>
  <c r="X91" i="2"/>
  <c r="X86" i="2"/>
  <c r="X88" i="2"/>
  <c r="X90" i="2"/>
  <c r="X92" i="2"/>
  <c r="AC40" i="2"/>
  <c r="AC37" i="2"/>
  <c r="AC44" i="2"/>
  <c r="AC42" i="2"/>
  <c r="AC39" i="2"/>
  <c r="AC43" i="2"/>
  <c r="AC41" i="2"/>
  <c r="AC38" i="2"/>
  <c r="U37" i="2"/>
  <c r="U39" i="2"/>
  <c r="U41" i="2"/>
  <c r="U42" i="2"/>
  <c r="U43" i="2"/>
  <c r="U38" i="2"/>
  <c r="U40" i="2"/>
  <c r="U44" i="2"/>
  <c r="Z37" i="2"/>
  <c r="Z43" i="2"/>
  <c r="Z44" i="2"/>
  <c r="Z42" i="2"/>
  <c r="Z40" i="2"/>
  <c r="Z38" i="2"/>
  <c r="Z41" i="2"/>
  <c r="Z39" i="2"/>
  <c r="AD62" i="2"/>
  <c r="AD64" i="2"/>
  <c r="AD66" i="2"/>
  <c r="AD68" i="2"/>
  <c r="AD67" i="2"/>
  <c r="AD61" i="2"/>
  <c r="AD65" i="2"/>
  <c r="AD63" i="2"/>
  <c r="X37" i="2"/>
  <c r="X38" i="2"/>
  <c r="X39" i="2"/>
  <c r="X42" i="2"/>
  <c r="X41" i="2"/>
  <c r="X40" i="2"/>
  <c r="X44" i="2"/>
  <c r="X43" i="2"/>
  <c r="W43" i="2"/>
  <c r="W40" i="2"/>
  <c r="W39" i="2"/>
  <c r="W42" i="2"/>
  <c r="W41" i="2"/>
  <c r="W38" i="2"/>
  <c r="W44" i="2"/>
  <c r="W37" i="2"/>
  <c r="V37" i="2"/>
  <c r="V43" i="2"/>
  <c r="V41" i="2"/>
  <c r="V42" i="2"/>
  <c r="V39" i="2"/>
  <c r="V44" i="2"/>
  <c r="V40" i="2"/>
  <c r="V38" i="2"/>
  <c r="W65" i="2"/>
  <c r="W61" i="2"/>
  <c r="W67" i="2"/>
  <c r="W62" i="2"/>
  <c r="W64" i="2"/>
  <c r="W66" i="2"/>
  <c r="W68" i="2"/>
  <c r="W63" i="2"/>
  <c r="S38" i="2"/>
  <c r="S37" i="2"/>
  <c r="S44" i="2"/>
  <c r="S42" i="2"/>
  <c r="S39" i="2"/>
  <c r="S41" i="2"/>
  <c r="S40" i="2"/>
  <c r="S43" i="2"/>
  <c r="AE77" i="4" l="1"/>
  <c r="AE7" i="4" s="1"/>
  <c r="AE38" i="4"/>
  <c r="AE49" i="4" s="1"/>
  <c r="AE87" i="4" s="1"/>
  <c r="AE92" i="4" s="1"/>
  <c r="AE101" i="4" s="1"/>
  <c r="AE106" i="4" s="1"/>
  <c r="Z35" i="10"/>
  <c r="Z34" i="10" s="1"/>
  <c r="Z8" i="10"/>
  <c r="Z7" i="10" s="1"/>
  <c r="Z27" i="10" s="1"/>
  <c r="X37" i="4"/>
  <c r="X48" i="4" s="1"/>
  <c r="X76" i="4"/>
  <c r="X6" i="4" s="1"/>
  <c r="AD38" i="4"/>
  <c r="AD49" i="4" s="1"/>
  <c r="AD87" i="4" s="1"/>
  <c r="AD92" i="4" s="1"/>
  <c r="AD101" i="4" s="1"/>
  <c r="AD106" i="4" s="1"/>
  <c r="AD77" i="4"/>
  <c r="AD7" i="4" s="1"/>
  <c r="Y8" i="10"/>
  <c r="Y7" i="10" s="1"/>
  <c r="Y35" i="10"/>
  <c r="Y34" i="10" s="1"/>
  <c r="AE13" i="4"/>
  <c r="X38" i="4"/>
  <c r="X49" i="4" s="1"/>
  <c r="X87" i="4" s="1"/>
  <c r="X92" i="4" s="1"/>
  <c r="X101" i="4" s="1"/>
  <c r="X106" i="4" s="1"/>
  <c r="X77" i="4"/>
  <c r="X7" i="4" s="1"/>
  <c r="S35" i="10"/>
  <c r="S34" i="10" s="1"/>
  <c r="S8" i="10"/>
  <c r="S26" i="10" s="1"/>
  <c r="Z38" i="4"/>
  <c r="Z49" i="4" s="1"/>
  <c r="Z87" i="4" s="1"/>
  <c r="Z92" i="4" s="1"/>
  <c r="Z101" i="4" s="1"/>
  <c r="Z106" i="4" s="1"/>
  <c r="Z77" i="4"/>
  <c r="Z7" i="4" s="1"/>
  <c r="U35" i="10"/>
  <c r="U34" i="10" s="1"/>
  <c r="U8" i="10"/>
  <c r="U7" i="10" s="1"/>
  <c r="U21" i="10" s="1"/>
  <c r="W76" i="4"/>
  <c r="W6" i="4" s="1"/>
  <c r="W37" i="4"/>
  <c r="W48" i="4" s="1"/>
  <c r="AE76" i="4"/>
  <c r="AE6" i="4" s="1"/>
  <c r="AE37" i="4"/>
  <c r="AE48" i="4" s="1"/>
  <c r="AD13" i="4"/>
  <c r="Y38" i="4"/>
  <c r="Y49" i="4" s="1"/>
  <c r="Y87" i="4" s="1"/>
  <c r="Y92" i="4" s="1"/>
  <c r="Y101" i="4" s="1"/>
  <c r="Y106" i="4" s="1"/>
  <c r="Y77" i="4"/>
  <c r="Y7" i="4" s="1"/>
  <c r="T8" i="10"/>
  <c r="T7" i="10" s="1"/>
  <c r="T26" i="10" s="1"/>
  <c r="T35" i="10"/>
  <c r="T34" i="10" s="1"/>
  <c r="X13" i="4"/>
  <c r="W77" i="4"/>
  <c r="W7" i="4" s="1"/>
  <c r="W14" i="4" s="1"/>
  <c r="W38" i="4"/>
  <c r="W49" i="4" s="1"/>
  <c r="W87" i="4" s="1"/>
  <c r="W92" i="4" s="1"/>
  <c r="W101" i="4" s="1"/>
  <c r="W106" i="4" s="1"/>
  <c r="R8" i="10"/>
  <c r="R7" i="10" s="1"/>
  <c r="R27" i="10" s="1"/>
  <c r="R35" i="10"/>
  <c r="R34" i="10" s="1"/>
  <c r="R50" i="10" s="1"/>
  <c r="Y21" i="10"/>
  <c r="Y27" i="10"/>
  <c r="AG14" i="4"/>
  <c r="Z13" i="4"/>
  <c r="AC76" i="4"/>
  <c r="AC6" i="4" s="1"/>
  <c r="AC37" i="4"/>
  <c r="AC48" i="4" s="1"/>
  <c r="AF38" i="4"/>
  <c r="AF49" i="4" s="1"/>
  <c r="AF87" i="4" s="1"/>
  <c r="AF92" i="4" s="1"/>
  <c r="AF101" i="4" s="1"/>
  <c r="AF106" i="4" s="1"/>
  <c r="AF77" i="4"/>
  <c r="AF7" i="4" s="1"/>
  <c r="AF14" i="4" s="1"/>
  <c r="AA35" i="10"/>
  <c r="AA34" i="10" s="1"/>
  <c r="AA8" i="10"/>
  <c r="AA7" i="10" s="1"/>
  <c r="AA20" i="10" s="1"/>
  <c r="Z37" i="4"/>
  <c r="Z48" i="4" s="1"/>
  <c r="Z76" i="4"/>
  <c r="Z6" i="4" s="1"/>
  <c r="U76" i="4"/>
  <c r="U6" i="4" s="1"/>
  <c r="U37" i="4"/>
  <c r="U48" i="4" s="1"/>
  <c r="Z21" i="10"/>
  <c r="X14" i="4"/>
  <c r="W21" i="10"/>
  <c r="Z57" i="10"/>
  <c r="Y50" i="10"/>
  <c r="AD14" i="4"/>
  <c r="AG38" i="4"/>
  <c r="AG49" i="4" s="1"/>
  <c r="AG87" i="4" s="1"/>
  <c r="AG92" i="4" s="1"/>
  <c r="AG101" i="4" s="1"/>
  <c r="AG106" i="4" s="1"/>
  <c r="AG77" i="4"/>
  <c r="AG7" i="4" s="1"/>
  <c r="AB35" i="10"/>
  <c r="AB34" i="10" s="1"/>
  <c r="AB8" i="10"/>
  <c r="AB7" i="10" s="1"/>
  <c r="AB27" i="10" s="1"/>
  <c r="AB77" i="4"/>
  <c r="AB7" i="4" s="1"/>
  <c r="AB14" i="4" s="1"/>
  <c r="AB38" i="4"/>
  <c r="AB49" i="4" s="1"/>
  <c r="AB87" i="4" s="1"/>
  <c r="AB92" i="4" s="1"/>
  <c r="AB101" i="4" s="1"/>
  <c r="AB106" i="4" s="1"/>
  <c r="W35" i="10"/>
  <c r="W34" i="10" s="1"/>
  <c r="W8" i="10"/>
  <c r="W7" i="10" s="1"/>
  <c r="W20" i="10" s="1"/>
  <c r="Y13" i="4"/>
  <c r="Y37" i="4"/>
  <c r="Y48" i="4" s="1"/>
  <c r="Y76" i="4"/>
  <c r="Y6" i="4" s="1"/>
  <c r="Z20" i="10"/>
  <c r="Z26" i="10"/>
  <c r="AE14" i="4"/>
  <c r="T27" i="10"/>
  <c r="T21" i="10"/>
  <c r="U20" i="10"/>
  <c r="AA37" i="4"/>
  <c r="AA48" i="4" s="1"/>
  <c r="AA76" i="4"/>
  <c r="AA6" i="4" s="1"/>
  <c r="Y20" i="10"/>
  <c r="Y26" i="10"/>
  <c r="AA14" i="4"/>
  <c r="V76" i="4"/>
  <c r="V6" i="4" s="1"/>
  <c r="V37" i="4"/>
  <c r="V48" i="4" s="1"/>
  <c r="AG13" i="4"/>
  <c r="AC38" i="4"/>
  <c r="AC49" i="4" s="1"/>
  <c r="AC87" i="4" s="1"/>
  <c r="AC92" i="4" s="1"/>
  <c r="AC101" i="4" s="1"/>
  <c r="AC106" i="4" s="1"/>
  <c r="AC77" i="4"/>
  <c r="AC7" i="4" s="1"/>
  <c r="AC13" i="4" s="1"/>
  <c r="X35" i="10"/>
  <c r="X34" i="10" s="1"/>
  <c r="X8" i="10"/>
  <c r="X7" i="10" s="1"/>
  <c r="X27" i="10" s="1"/>
  <c r="Z56" i="10"/>
  <c r="Z50" i="10"/>
  <c r="Y14" i="4"/>
  <c r="AA77" i="4"/>
  <c r="AA7" i="4" s="1"/>
  <c r="AA13" i="4" s="1"/>
  <c r="AA38" i="4"/>
  <c r="AA49" i="4" s="1"/>
  <c r="AA87" i="4" s="1"/>
  <c r="AA92" i="4" s="1"/>
  <c r="AA101" i="4" s="1"/>
  <c r="AA106" i="4" s="1"/>
  <c r="V8" i="10"/>
  <c r="V7" i="10" s="1"/>
  <c r="V27" i="10" s="1"/>
  <c r="V35" i="10"/>
  <c r="V34" i="10" s="1"/>
  <c r="AD76" i="4"/>
  <c r="AD6" i="4" s="1"/>
  <c r="AD37" i="4"/>
  <c r="AD48" i="4" s="1"/>
  <c r="Z14" i="4"/>
  <c r="AB37" i="4"/>
  <c r="AB48" i="4" s="1"/>
  <c r="AB76" i="4"/>
  <c r="AB6" i="4" s="1"/>
  <c r="AF37" i="4"/>
  <c r="AF48" i="4" s="1"/>
  <c r="AF76" i="4"/>
  <c r="AF6" i="4" s="1"/>
  <c r="V38" i="4"/>
  <c r="V49" i="4" s="1"/>
  <c r="V87" i="4" s="1"/>
  <c r="V92" i="4" s="1"/>
  <c r="V101" i="4" s="1"/>
  <c r="V106" i="4" s="1"/>
  <c r="V77" i="4"/>
  <c r="V7" i="4" s="1"/>
  <c r="V14" i="4" s="1"/>
  <c r="Q8" i="10"/>
  <c r="Q7" i="10" s="1"/>
  <c r="Q21" i="10" s="1"/>
  <c r="Q35" i="10"/>
  <c r="Q34" i="10" s="1"/>
  <c r="Q56" i="10" s="1"/>
  <c r="AG37" i="4"/>
  <c r="AG48" i="4" s="1"/>
  <c r="AG76" i="4"/>
  <c r="AG6" i="4" s="1"/>
  <c r="H66" i="4"/>
  <c r="C35" i="10" s="1"/>
  <c r="C34" i="10" s="1"/>
  <c r="H7" i="4"/>
  <c r="H14" i="4" s="1"/>
  <c r="S57" i="10" l="1"/>
  <c r="S47" i="10"/>
  <c r="W51" i="10"/>
  <c r="W47" i="10"/>
  <c r="AA57" i="10"/>
  <c r="AA47" i="10"/>
  <c r="Z51" i="10"/>
  <c r="Z47" i="10"/>
  <c r="U51" i="10"/>
  <c r="U47" i="10"/>
  <c r="Y57" i="10"/>
  <c r="Y47" i="10"/>
  <c r="T57" i="10"/>
  <c r="T47" i="10"/>
  <c r="V50" i="10"/>
  <c r="V47" i="10"/>
  <c r="X50" i="10"/>
  <c r="X47" i="10"/>
  <c r="AB51" i="10"/>
  <c r="AB47" i="10"/>
  <c r="AB57" i="10"/>
  <c r="R51" i="10"/>
  <c r="W13" i="4"/>
  <c r="AA50" i="10"/>
  <c r="T20" i="10"/>
  <c r="AA26" i="10"/>
  <c r="AA56" i="10"/>
  <c r="R56" i="10"/>
  <c r="U26" i="10"/>
  <c r="W26" i="10"/>
  <c r="AB56" i="10"/>
  <c r="V26" i="10"/>
  <c r="S27" i="10"/>
  <c r="S50" i="10"/>
  <c r="S56" i="10"/>
  <c r="X57" i="10"/>
  <c r="Q57" i="10"/>
  <c r="R26" i="10"/>
  <c r="AB20" i="10"/>
  <c r="S51" i="10"/>
  <c r="U27" i="10"/>
  <c r="V57" i="10"/>
  <c r="AB21" i="10"/>
  <c r="V13" i="4"/>
  <c r="U57" i="10"/>
  <c r="Q51" i="10"/>
  <c r="V51" i="10"/>
  <c r="AB50" i="10"/>
  <c r="W57" i="10"/>
  <c r="R57" i="10"/>
  <c r="AB13" i="4"/>
  <c r="AC14" i="4"/>
  <c r="X20" i="10"/>
  <c r="X21" i="10"/>
  <c r="AF13" i="4"/>
  <c r="X51" i="10"/>
  <c r="X26" i="10"/>
  <c r="AB26" i="10"/>
  <c r="W27" i="10"/>
  <c r="Q26" i="10"/>
  <c r="U50" i="10"/>
  <c r="V21" i="10"/>
  <c r="Q20" i="10"/>
  <c r="U56" i="10"/>
  <c r="W56" i="10"/>
  <c r="Y56" i="10"/>
  <c r="Q50" i="10"/>
  <c r="Y51" i="10"/>
  <c r="AA21" i="10"/>
  <c r="V56" i="10"/>
  <c r="X56" i="10"/>
  <c r="W50" i="10"/>
  <c r="Q27" i="10"/>
  <c r="AA27" i="10"/>
  <c r="AA51" i="10"/>
  <c r="T56" i="10"/>
  <c r="T51" i="10"/>
  <c r="V20" i="10"/>
  <c r="T50" i="10"/>
  <c r="H13" i="4"/>
  <c r="C20" i="10"/>
  <c r="C56" i="10"/>
  <c r="C57" i="10"/>
  <c r="C51" i="10"/>
  <c r="C50" i="10"/>
  <c r="H38" i="4"/>
  <c r="H49" i="4" s="1"/>
  <c r="H87" i="4" s="1"/>
  <c r="H92" i="4" s="1"/>
  <c r="H101" i="4" s="1"/>
  <c r="H106" i="4" s="1"/>
  <c r="C21" i="10" l="1"/>
  <c r="C26" i="10"/>
  <c r="C27" i="10"/>
  <c r="Q76" i="4"/>
  <c r="Q6" i="4" l="1"/>
  <c r="Q79" i="4"/>
  <c r="Q77" i="4"/>
  <c r="Q78" i="4"/>
  <c r="Q67" i="4" l="1"/>
  <c r="Q39" i="4" s="1"/>
  <c r="Q28" i="4" s="1"/>
  <c r="Q8" i="4"/>
  <c r="Q68" i="4"/>
  <c r="Q40" i="4" s="1"/>
  <c r="Q29" i="4" s="1"/>
  <c r="Q9" i="4"/>
  <c r="Q66" i="4"/>
  <c r="Q38" i="4" s="1"/>
  <c r="Q7" i="4"/>
  <c r="Q14" i="4" s="1"/>
  <c r="L11" i="10"/>
  <c r="L10" i="10" s="1"/>
  <c r="L39" i="10"/>
  <c r="L38" i="10" s="1"/>
  <c r="L43" i="10" l="1"/>
  <c r="L42" i="10" s="1"/>
  <c r="L14" i="10"/>
  <c r="L13" i="10" s="1"/>
  <c r="Q26" i="4"/>
  <c r="Q48" i="4" s="1"/>
  <c r="Q27" i="4"/>
  <c r="Q85" i="4" s="1"/>
  <c r="L8" i="10"/>
  <c r="L7" i="10" s="1"/>
  <c r="L20" i="10" s="1"/>
  <c r="L35" i="10"/>
  <c r="L34" i="10" s="1"/>
  <c r="Q13" i="4"/>
  <c r="P8" i="10"/>
  <c r="P7" i="10" s="1"/>
  <c r="P20" i="10" s="1"/>
  <c r="U77" i="4"/>
  <c r="U7" i="4" s="1"/>
  <c r="P35" i="10"/>
  <c r="P34" i="10" s="1"/>
  <c r="L51" i="10" l="1"/>
  <c r="Q94" i="4"/>
  <c r="Q103" i="4" s="1"/>
  <c r="Q108" i="4" s="1"/>
  <c r="Q93" i="4"/>
  <c r="Q102" i="4" s="1"/>
  <c r="Q107" i="4" s="1"/>
  <c r="Q49" i="4"/>
  <c r="Q87" i="4" s="1"/>
  <c r="Q92" i="4" s="1"/>
  <c r="Q101" i="4" s="1"/>
  <c r="Q106" i="4" s="1"/>
  <c r="L57" i="10"/>
  <c r="L27" i="10"/>
  <c r="L21" i="10"/>
  <c r="L26" i="10"/>
  <c r="L56" i="10"/>
  <c r="L50" i="10"/>
  <c r="P57" i="10"/>
  <c r="P56" i="10"/>
  <c r="P50" i="10"/>
  <c r="P26" i="10"/>
  <c r="U13" i="4"/>
  <c r="U14" i="4"/>
  <c r="P51" i="10"/>
  <c r="P27" i="10"/>
  <c r="P21" i="10"/>
  <c r="V108" i="14" l="1"/>
  <c r="V114" i="14" s="1"/>
  <c r="V125" i="14"/>
  <c r="V131" i="14" l="1"/>
  <c r="V146" i="14"/>
  <c r="V156" i="14" s="1"/>
  <c r="V162" i="14" s="1"/>
</calcChain>
</file>

<file path=xl/sharedStrings.xml><?xml version="1.0" encoding="utf-8"?>
<sst xmlns="http://schemas.openxmlformats.org/spreadsheetml/2006/main" count="338" uniqueCount="122">
  <si>
    <t>NOMENCLATURA</t>
  </si>
  <si>
    <t>INDICE</t>
  </si>
  <si>
    <t>Act</t>
  </si>
  <si>
    <t>Actividad</t>
  </si>
  <si>
    <t>Metas</t>
  </si>
  <si>
    <t>PIUP</t>
  </si>
  <si>
    <t>Procesos Industriales y Uso de Productos</t>
  </si>
  <si>
    <t>Act_Cemento_Otros_PIUP_sinHFC</t>
  </si>
  <si>
    <t>HFC</t>
  </si>
  <si>
    <t>Hidrofluorocarbonos</t>
  </si>
  <si>
    <t>5CN</t>
  </si>
  <si>
    <t>5ta Comunicación Nacional</t>
  </si>
  <si>
    <t>Act_5CN_OtrosPIUP</t>
  </si>
  <si>
    <t>4CN</t>
  </si>
  <si>
    <t>4ta Comunicación Nacional</t>
  </si>
  <si>
    <t>Otras_CementoMiscelanea</t>
  </si>
  <si>
    <t>Emisiones [GgCO2e] - Sin HFC</t>
  </si>
  <si>
    <t>Nuevo Tendencial 1era NDC = Tendencial 5ta Comunicación y PLANMICC - Iniciativas Condicionales 1era NDC</t>
  </si>
  <si>
    <t>Producción de Clinker</t>
  </si>
  <si>
    <t>Otros PI y UP</t>
  </si>
  <si>
    <t>NDC Incondicional de la 2da NDC (5ta Comunicación)</t>
  </si>
  <si>
    <t>NDC Incondicional + Condicional de la 2da NDC (5ta Comunicación)</t>
  </si>
  <si>
    <t>Meta 2da NDC [GgCO2e] - sin HFC</t>
  </si>
  <si>
    <t>Meta 2da NDC [%] - sin HFC</t>
  </si>
  <si>
    <t>Emisiones [GgCO2e] - con HFC</t>
  </si>
  <si>
    <t>Meta 2da NDC [GgCO2e] - con HFC</t>
  </si>
  <si>
    <t>Meta 2da NDC [%] - con HFC</t>
  </si>
  <si>
    <t>Clinker</t>
  </si>
  <si>
    <t>Fuente: Emisiones</t>
  </si>
  <si>
    <t>Sector PIUP Emisiones por escenario [GgCO2e] - SIN HFC</t>
  </si>
  <si>
    <t>4CN y 5CN para datos históricos 2010-2022 y PLANMICC para futuro 2023-2050</t>
  </si>
  <si>
    <t>Tendencial 5ta Comunicación y pocos supuestos del PLANMICC</t>
  </si>
  <si>
    <t>Iniciativas 1era NDC</t>
  </si>
  <si>
    <t>Nuevo Tendencial 1era NDC = Tendencial 5ta Comunicación y pocos supuestos del PLANMICC - Iniciativas Condicionales 1era NDC</t>
  </si>
  <si>
    <t>Escenario tendencial + Iniciativas 2da NDC</t>
  </si>
  <si>
    <t>Meta Incondicional</t>
  </si>
  <si>
    <t>Meta Incondicional + Condicional</t>
  </si>
  <si>
    <t>Potencial de reducción de Iniciativa Incondicional de factor de Clinker 1era NDC [GgCO2e]</t>
  </si>
  <si>
    <t>Instituto Ecuatoriano deñ Cemento y del Hormigón</t>
  </si>
  <si>
    <t>Potencial de reducción de Iniciativa 2da NDC convenida por cementeras [GgCO2e]</t>
  </si>
  <si>
    <t>Fuente: Supuestos</t>
  </si>
  <si>
    <t>Producción de cemento [Mt]</t>
  </si>
  <si>
    <t>Producción de Clinker [Mt]</t>
  </si>
  <si>
    <t>Factor de Clinker [%]</t>
  </si>
  <si>
    <t>4CN y 5CN para datos históricos 2010-2022 y PLANMICC para futuro 2023-2050 + 1era NDC y PI</t>
  </si>
  <si>
    <t>Iniciativas 2da NDC</t>
  </si>
  <si>
    <t>NIR histórico</t>
  </si>
  <si>
    <t>Factor de emisión [MtCO2e/Mt Clinker]</t>
  </si>
  <si>
    <t>4CN y 5CN para histórico 2010-2022 y PLANMICC para futuro 2023-2035</t>
  </si>
  <si>
    <t>Emisiones de otros PI y UP [GgCO2e]</t>
  </si>
  <si>
    <t>Comprobación de emisiones por Clinker [GgCO2e]</t>
  </si>
  <si>
    <t>Cálculo comprobación</t>
  </si>
  <si>
    <t>Comprobación de emisiones totales [GgCO2e] - SIN HFC</t>
  </si>
  <si>
    <t>Demanda</t>
  </si>
  <si>
    <t>FC 1</t>
  </si>
  <si>
    <t>FC 2</t>
  </si>
  <si>
    <t>FC 3</t>
  </si>
  <si>
    <t>Valores internos 1</t>
  </si>
  <si>
    <t>Valores internos 2</t>
  </si>
  <si>
    <t>Valores internos 3</t>
  </si>
  <si>
    <t>Restricción 1</t>
  </si>
  <si>
    <t>Restricción 2</t>
  </si>
  <si>
    <t>Restricción 3</t>
  </si>
  <si>
    <t>Calculado reconstruyendo figura 6 de la Hoja de ruta de HFC: no es el mejor enfoque pero es al menos numéricamente viable</t>
  </si>
  <si>
    <t>GgCO2e</t>
  </si>
  <si>
    <t xml:space="preserve">2F1  Refrigeración y Aire Acondicionado </t>
  </si>
  <si>
    <t>Reducción establecida por los proponentes de la iniciativa</t>
  </si>
  <si>
    <t>MtCO2e</t>
  </si>
  <si>
    <t>Redondeo Tendencial</t>
  </si>
  <si>
    <t>Redondeo Enmienda de Kigali</t>
  </si>
  <si>
    <t>5ta CN</t>
  </si>
  <si>
    <t>CATEGORÍA</t>
  </si>
  <si>
    <t>2A1 Producción de Cemento</t>
  </si>
  <si>
    <t>2A2 Producción de Cal</t>
  </si>
  <si>
    <t>2A3 Producción de Vidrio</t>
  </si>
  <si>
    <t>2A4a Cerámica</t>
  </si>
  <si>
    <t>2A4b Otros Usos de la Soda Ash</t>
  </si>
  <si>
    <t>2C1 Producción de Hierro y Acero</t>
  </si>
  <si>
    <t>2C5 Producción de Plomo</t>
  </si>
  <si>
    <t>2D1 Uso de Lubricantes</t>
  </si>
  <si>
    <t>2D2 Uso de Cera de Parafina</t>
  </si>
  <si>
    <t xml:space="preserve">2F1 Refrigeración y Aire Acondicionado </t>
  </si>
  <si>
    <t>Interpolado</t>
  </si>
  <si>
    <t>ROUND 4</t>
  </si>
  <si>
    <t>Original 4ta</t>
  </si>
  <si>
    <t>Comportamiento original PLANMICC normalizado con valor de 2022 de otros PIUP</t>
  </si>
  <si>
    <t>ROUNDUP 4</t>
  </si>
  <si>
    <t>ROUNDDOWN 4</t>
  </si>
  <si>
    <t>Calculados usando interpolación de alguna variable</t>
  </si>
  <si>
    <t>Emisiones cuarta</t>
  </si>
  <si>
    <t>Emisiones quinta</t>
  </si>
  <si>
    <t>Como las emisiones de cemento no varían entre 2010 y 2018, los factores de emisión y actividad son los mismos</t>
  </si>
  <si>
    <t>Además, se mantien el ultimo valor conocido del 2018 para el factor de emisión</t>
  </si>
  <si>
    <t>Se mantiene constante el valor del 2018</t>
  </si>
  <si>
    <t>Factor de emisión cuarta</t>
  </si>
  <si>
    <t>MtCO2e/Mt Clinker</t>
  </si>
  <si>
    <t>Factor de emisión quinta</t>
  </si>
  <si>
    <t>Clinker [Mt]</t>
  </si>
  <si>
    <t>Factor de Clinker [%] calculado 4CN</t>
  </si>
  <si>
    <t>Cemento [Mt]</t>
  </si>
  <si>
    <t>PlanMICC cemento [Mt]</t>
  </si>
  <si>
    <t>PlanMICC normalizado 2022</t>
  </si>
  <si>
    <t>HFC-125</t>
  </si>
  <si>
    <t>HFC-134a</t>
  </si>
  <si>
    <t>HFC-143a</t>
  </si>
  <si>
    <t>HFC-152a</t>
  </si>
  <si>
    <t>HFC-23</t>
  </si>
  <si>
    <t>HFC-32</t>
  </si>
  <si>
    <t>Total</t>
  </si>
  <si>
    <t>TM</t>
  </si>
  <si>
    <t>ktCO2e</t>
  </si>
  <si>
    <t>PCG</t>
  </si>
  <si>
    <t>% de gas</t>
  </si>
  <si>
    <t>TENDENCIAL</t>
  </si>
  <si>
    <t>Act_HFC_General</t>
  </si>
  <si>
    <t>HFC_Desglose</t>
  </si>
  <si>
    <t>INCONDICIONAL E INCONDICIONAL + CONDICIONAL</t>
  </si>
  <si>
    <t>Emisiones [MtCO2e]</t>
  </si>
  <si>
    <t>FE [MtCO2e/ktHFC]</t>
  </si>
  <si>
    <t>Emisiones calculadas [MtCO2e]</t>
  </si>
  <si>
    <t>Cantidad de HFC [kt de gas]</t>
  </si>
  <si>
    <t>% de emisiones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</si>
</sst>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00"/>
    <numFmt numFmtId="167" formatCode="0.0%"/>
    <numFmt numFmtId="168" formatCode="0.000"/>
    <numFmt numFmtId="169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0" fillId="0" borderId="2" xfId="0" applyBorder="1"/>
    <xf numFmtId="0" fontId="1" fillId="0" borderId="0" xfId="0" applyFont="1"/>
    <xf numFmtId="2" fontId="0" fillId="0" borderId="0" xfId="0" applyNumberFormat="1"/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/>
    <xf numFmtId="0" fontId="0" fillId="6" borderId="1" xfId="0" applyFill="1" applyBorder="1"/>
    <xf numFmtId="2" fontId="0" fillId="3" borderId="1" xfId="0" applyNumberFormat="1" applyFill="1" applyBorder="1"/>
    <xf numFmtId="2" fontId="0" fillId="7" borderId="1" xfId="0" applyNumberFormat="1" applyFill="1" applyBorder="1"/>
    <xf numFmtId="1" fontId="0" fillId="0" borderId="0" xfId="0" applyNumberFormat="1"/>
    <xf numFmtId="165" fontId="0" fillId="0" borderId="0" xfId="0" applyNumberFormat="1"/>
    <xf numFmtId="0" fontId="0" fillId="8" borderId="1" xfId="0" applyFill="1" applyBorder="1"/>
    <xf numFmtId="164" fontId="0" fillId="8" borderId="1" xfId="0" applyNumberFormat="1" applyFill="1" applyBorder="1"/>
    <xf numFmtId="165" fontId="0" fillId="0" borderId="1" xfId="0" applyNumberForma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6" borderId="1" xfId="0" applyNumberFormat="1" applyFill="1" applyBorder="1"/>
    <xf numFmtId="165" fontId="0" fillId="10" borderId="1" xfId="0" applyNumberFormat="1" applyFill="1" applyBorder="1"/>
    <xf numFmtId="0" fontId="0" fillId="3" borderId="0" xfId="0" applyFill="1"/>
    <xf numFmtId="165" fontId="0" fillId="7" borderId="1" xfId="0" applyNumberFormat="1" applyFill="1" applyBorder="1"/>
    <xf numFmtId="0" fontId="0" fillId="0" borderId="3" xfId="0" applyBorder="1"/>
    <xf numFmtId="165" fontId="0" fillId="9" borderId="0" xfId="0" applyNumberFormat="1" applyFill="1"/>
    <xf numFmtId="165" fontId="0" fillId="2" borderId="1" xfId="0" applyNumberFormat="1" applyFill="1" applyBorder="1"/>
    <xf numFmtId="0" fontId="0" fillId="11" borderId="4" xfId="0" applyFill="1" applyBorder="1"/>
    <xf numFmtId="0" fontId="0" fillId="11" borderId="5" xfId="0" applyFill="1" applyBorder="1"/>
    <xf numFmtId="0" fontId="1" fillId="11" borderId="5" xfId="0" applyFont="1" applyFill="1" applyBorder="1"/>
    <xf numFmtId="0" fontId="0" fillId="11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1" fillId="9" borderId="0" xfId="0" applyFont="1" applyFill="1"/>
    <xf numFmtId="0" fontId="0" fillId="9" borderId="11" xfId="0" applyFill="1" applyBorder="1"/>
    <xf numFmtId="0" fontId="0" fillId="9" borderId="0" xfId="0" applyFill="1"/>
    <xf numFmtId="0" fontId="0" fillId="12" borderId="1" xfId="0" applyFill="1" applyBorder="1" applyAlignment="1">
      <alignment horizontal="center" vertical="center" wrapText="1"/>
    </xf>
    <xf numFmtId="0" fontId="0" fillId="13" borderId="0" xfId="0" applyFill="1" applyAlignment="1">
      <alignment vertical="center"/>
    </xf>
    <xf numFmtId="0" fontId="0" fillId="9" borderId="14" xfId="0" applyFill="1" applyBorder="1"/>
    <xf numFmtId="0" fontId="0" fillId="9" borderId="3" xfId="0" applyFill="1" applyBorder="1"/>
    <xf numFmtId="0" fontId="0" fillId="9" borderId="15" xfId="0" applyFill="1" applyBorder="1"/>
    <xf numFmtId="9" fontId="1" fillId="12" borderId="0" xfId="1" applyFont="1" applyFill="1" applyBorder="1"/>
    <xf numFmtId="0" fontId="1" fillId="9" borderId="0" xfId="0" applyFont="1" applyFill="1" applyAlignment="1">
      <alignment wrapText="1"/>
    </xf>
    <xf numFmtId="0" fontId="0" fillId="12" borderId="1" xfId="0" applyFill="1" applyBorder="1" applyAlignment="1">
      <alignment horizontal="center"/>
    </xf>
    <xf numFmtId="165" fontId="0" fillId="0" borderId="0" xfId="0" applyNumberFormat="1" applyAlignment="1">
      <alignment vertical="center"/>
    </xf>
    <xf numFmtId="9" fontId="0" fillId="0" borderId="0" xfId="1" applyFont="1" applyFill="1" applyBorder="1" applyAlignment="1">
      <alignment vertical="center"/>
    </xf>
    <xf numFmtId="167" fontId="0" fillId="0" borderId="0" xfId="0" applyNumberFormat="1"/>
    <xf numFmtId="10" fontId="0" fillId="0" borderId="0" xfId="1" applyNumberFormat="1" applyFont="1" applyFill="1"/>
    <xf numFmtId="166" fontId="0" fillId="9" borderId="0" xfId="0" applyNumberFormat="1" applyFill="1"/>
    <xf numFmtId="0" fontId="1" fillId="7" borderId="0" xfId="0" applyFont="1" applyFill="1"/>
    <xf numFmtId="9" fontId="0" fillId="9" borderId="0" xfId="0" applyNumberFormat="1" applyFill="1"/>
    <xf numFmtId="1" fontId="0" fillId="7" borderId="0" xfId="0" applyNumberFormat="1" applyFill="1"/>
    <xf numFmtId="9" fontId="0" fillId="0" borderId="0" xfId="1" applyFont="1"/>
    <xf numFmtId="164" fontId="0" fillId="0" borderId="1" xfId="0" applyNumberFormat="1" applyBorder="1"/>
    <xf numFmtId="164" fontId="0" fillId="0" borderId="0" xfId="0" applyNumberFormat="1"/>
    <xf numFmtId="0" fontId="1" fillId="0" borderId="17" xfId="0" applyFont="1" applyBorder="1" applyAlignment="1">
      <alignment horizontal="left" vertical="center" wrapText="1"/>
    </xf>
    <xf numFmtId="0" fontId="0" fillId="0" borderId="20" xfId="0" applyBorder="1"/>
    <xf numFmtId="0" fontId="0" fillId="0" borderId="22" xfId="0" applyBorder="1"/>
    <xf numFmtId="0" fontId="1" fillId="0" borderId="25" xfId="0" applyFont="1" applyBorder="1" applyAlignment="1">
      <alignment horizontal="left" vertical="center" wrapText="1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9" fontId="0" fillId="0" borderId="26" xfId="1" applyFont="1" applyBorder="1"/>
    <xf numFmtId="9" fontId="0" fillId="0" borderId="27" xfId="1" applyFont="1" applyBorder="1"/>
    <xf numFmtId="164" fontId="0" fillId="5" borderId="1" xfId="0" applyNumberFormat="1" applyFill="1" applyBorder="1"/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164" fontId="0" fillId="7" borderId="1" xfId="0" applyNumberFormat="1" applyFill="1" applyBorder="1"/>
    <xf numFmtId="0" fontId="0" fillId="15" borderId="0" xfId="0" applyFill="1"/>
    <xf numFmtId="0" fontId="0" fillId="4" borderId="0" xfId="0" applyFill="1"/>
    <xf numFmtId="0" fontId="0" fillId="14" borderId="0" xfId="0" applyFill="1"/>
    <xf numFmtId="164" fontId="0" fillId="5" borderId="0" xfId="0" applyNumberFormat="1" applyFill="1"/>
    <xf numFmtId="164" fontId="0" fillId="3" borderId="0" xfId="0" applyNumberFormat="1" applyFill="1"/>
    <xf numFmtId="1" fontId="1" fillId="7" borderId="0" xfId="0" applyNumberFormat="1" applyFont="1" applyFill="1" applyAlignment="1">
      <alignment vertical="center"/>
    </xf>
    <xf numFmtId="1" fontId="0" fillId="7" borderId="0" xfId="0" applyNumberFormat="1" applyFill="1" applyAlignment="1">
      <alignment vertical="center"/>
    </xf>
    <xf numFmtId="0" fontId="0" fillId="16" borderId="0" xfId="0" applyFill="1"/>
    <xf numFmtId="0" fontId="0" fillId="7" borderId="0" xfId="0" applyFill="1"/>
    <xf numFmtId="0" fontId="1" fillId="7" borderId="0" xfId="0" applyFont="1" applyFill="1" applyAlignment="1">
      <alignment vertical="center"/>
    </xf>
    <xf numFmtId="9" fontId="0" fillId="7" borderId="0" xfId="1" applyFont="1" applyFill="1" applyBorder="1" applyAlignment="1">
      <alignment vertical="center"/>
    </xf>
    <xf numFmtId="2" fontId="0" fillId="7" borderId="0" xfId="0" applyNumberFormat="1" applyFill="1" applyAlignment="1">
      <alignment vertical="center"/>
    </xf>
    <xf numFmtId="2" fontId="0" fillId="7" borderId="0" xfId="0" applyNumberFormat="1" applyFill="1"/>
    <xf numFmtId="165" fontId="0" fillId="7" borderId="0" xfId="0" applyNumberFormat="1" applyFill="1"/>
    <xf numFmtId="1" fontId="0" fillId="9" borderId="0" xfId="0" applyNumberFormat="1" applyFill="1"/>
    <xf numFmtId="2" fontId="0" fillId="7" borderId="0" xfId="0" applyNumberFormat="1" applyFill="1" applyAlignment="1">
      <alignment horizontal="right"/>
    </xf>
    <xf numFmtId="9" fontId="0" fillId="7" borderId="0" xfId="1" applyFont="1" applyFill="1"/>
    <xf numFmtId="10" fontId="0" fillId="7" borderId="0" xfId="1" applyNumberFormat="1" applyFont="1" applyFill="1"/>
    <xf numFmtId="168" fontId="0" fillId="0" borderId="0" xfId="0" applyNumberFormat="1"/>
    <xf numFmtId="0" fontId="1" fillId="11" borderId="0" xfId="0" applyFont="1" applyFill="1"/>
    <xf numFmtId="0" fontId="0" fillId="11" borderId="0" xfId="0" applyFill="1"/>
    <xf numFmtId="9" fontId="0" fillId="0" borderId="0" xfId="0" applyNumberFormat="1"/>
    <xf numFmtId="9" fontId="0" fillId="5" borderId="0" xfId="0" applyNumberFormat="1" applyFill="1"/>
    <xf numFmtId="0" fontId="0" fillId="12" borderId="1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1" fillId="9" borderId="0" xfId="0" applyFont="1" applyFill="1" applyBorder="1"/>
    <xf numFmtId="0" fontId="0" fillId="9" borderId="0" xfId="0" applyFill="1" applyBorder="1"/>
    <xf numFmtId="165" fontId="0" fillId="9" borderId="0" xfId="0" applyNumberFormat="1" applyFill="1" applyBorder="1"/>
    <xf numFmtId="169" fontId="0" fillId="9" borderId="0" xfId="0" applyNumberFormat="1" applyFill="1" applyBorder="1"/>
    <xf numFmtId="0" fontId="1" fillId="14" borderId="0" xfId="0" applyFont="1" applyFill="1" applyBorder="1"/>
    <xf numFmtId="10" fontId="0" fillId="0" borderId="0" xfId="1" applyNumberFormat="1" applyFont="1"/>
    <xf numFmtId="10" fontId="0" fillId="5" borderId="0" xfId="0" applyNumberFormat="1" applyFill="1"/>
    <xf numFmtId="1" fontId="1" fillId="0" borderId="18" xfId="0" applyNumberFormat="1" applyFont="1" applyBorder="1"/>
    <xf numFmtId="1" fontId="1" fillId="0" borderId="19" xfId="0" applyNumberFormat="1" applyFont="1" applyBorder="1"/>
    <xf numFmtId="1" fontId="0" fillId="0" borderId="1" xfId="0" applyNumberFormat="1" applyBorder="1"/>
    <xf numFmtId="1" fontId="0" fillId="0" borderId="21" xfId="0" applyNumberFormat="1" applyBorder="1"/>
    <xf numFmtId="1" fontId="0" fillId="0" borderId="23" xfId="0" applyNumberFormat="1" applyBorder="1"/>
    <xf numFmtId="1" fontId="0" fillId="0" borderId="24" xfId="0" applyNumberFormat="1" applyBorder="1"/>
    <xf numFmtId="1" fontId="0" fillId="0" borderId="26" xfId="0" applyNumberFormat="1" applyBorder="1"/>
    <xf numFmtId="1" fontId="0" fillId="7" borderId="26" xfId="0" applyNumberFormat="1" applyFill="1" applyBorder="1"/>
    <xf numFmtId="1" fontId="0" fillId="7" borderId="27" xfId="0" applyNumberFormat="1" applyFill="1" applyBorder="1"/>
    <xf numFmtId="1" fontId="0" fillId="0" borderId="27" xfId="0" applyNumberFormat="1" applyBorder="1"/>
    <xf numFmtId="168" fontId="0" fillId="12" borderId="0" xfId="0" applyNumberFormat="1" applyFill="1" applyBorder="1"/>
    <xf numFmtId="168" fontId="1" fillId="12" borderId="0" xfId="0" applyNumberFormat="1" applyFont="1" applyFill="1" applyBorder="1"/>
  </cellXfs>
  <cellStyles count="3">
    <cellStyle name="Normal" xfId="0" builtinId="0"/>
    <cellStyle name="Normal 2" xfId="2" xr:uid="{8C60B3A8-ACFD-42B1-8960-5556B9C03F08}"/>
    <cellStyle name="Percent" xfId="1" builtinId="5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Act_HFC_General!$F$6:$AE$6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Act_HFC_General!$F$19:$AE$19</c:f>
              <c:numCache>
                <c:formatCode>0.0000</c:formatCode>
                <c:ptCount val="26"/>
                <c:pt idx="0">
                  <c:v>0.21490000000000001</c:v>
                </c:pt>
                <c:pt idx="1">
                  <c:v>0.23899999999999999</c:v>
                </c:pt>
                <c:pt idx="2">
                  <c:v>0.28910000000000002</c:v>
                </c:pt>
                <c:pt idx="3">
                  <c:v>0.32779999999999998</c:v>
                </c:pt>
                <c:pt idx="4">
                  <c:v>0.37430000000000002</c:v>
                </c:pt>
                <c:pt idx="5">
                  <c:v>0.44240000000000002</c:v>
                </c:pt>
                <c:pt idx="6">
                  <c:v>0.47270000000000001</c:v>
                </c:pt>
                <c:pt idx="7">
                  <c:v>0.4975</c:v>
                </c:pt>
                <c:pt idx="8">
                  <c:v>0.51900000000000002</c:v>
                </c:pt>
                <c:pt idx="9">
                  <c:v>0.94010000000000005</c:v>
                </c:pt>
                <c:pt idx="10">
                  <c:v>1.2029000000000001</c:v>
                </c:pt>
                <c:pt idx="11">
                  <c:v>1.3249</c:v>
                </c:pt>
                <c:pt idx="12">
                  <c:v>1.9573</c:v>
                </c:pt>
                <c:pt idx="13">
                  <c:v>2.3839999999999999</c:v>
                </c:pt>
                <c:pt idx="14">
                  <c:v>2.8102999999999998</c:v>
                </c:pt>
                <c:pt idx="15">
                  <c:v>3.2366999999999999</c:v>
                </c:pt>
                <c:pt idx="16">
                  <c:v>3.6631</c:v>
                </c:pt>
                <c:pt idx="17">
                  <c:v>4.0895000000000001</c:v>
                </c:pt>
                <c:pt idx="18">
                  <c:v>4.5159000000000002</c:v>
                </c:pt>
                <c:pt idx="19">
                  <c:v>4.9421999999999997</c:v>
                </c:pt>
                <c:pt idx="20">
                  <c:v>5.3685999999999998</c:v>
                </c:pt>
                <c:pt idx="21">
                  <c:v>5.38</c:v>
                </c:pt>
                <c:pt idx="22">
                  <c:v>5.3913000000000002</c:v>
                </c:pt>
                <c:pt idx="23">
                  <c:v>5.4025999999999996</c:v>
                </c:pt>
                <c:pt idx="24">
                  <c:v>5.4139999999999997</c:v>
                </c:pt>
                <c:pt idx="25">
                  <c:v>5.4253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C-47F3-A995-8109D9B26D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Act_HFC_General!$F$6:$AE$6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Act_HFC_General!$F$20:$AE$20</c:f>
              <c:numCache>
                <c:formatCode>0.0000</c:formatCode>
                <c:ptCount val="26"/>
                <c:pt idx="0">
                  <c:v>0.21490000000000001</c:v>
                </c:pt>
                <c:pt idx="1">
                  <c:v>0.23899999999999999</c:v>
                </c:pt>
                <c:pt idx="2">
                  <c:v>0.28910000000000002</c:v>
                </c:pt>
                <c:pt idx="3">
                  <c:v>0.32779999999999998</c:v>
                </c:pt>
                <c:pt idx="4">
                  <c:v>0.37430000000000002</c:v>
                </c:pt>
                <c:pt idx="5">
                  <c:v>0.44240000000000002</c:v>
                </c:pt>
                <c:pt idx="6">
                  <c:v>0.47270000000000001</c:v>
                </c:pt>
                <c:pt idx="7">
                  <c:v>0.4975</c:v>
                </c:pt>
                <c:pt idx="8">
                  <c:v>0.51900000000000002</c:v>
                </c:pt>
                <c:pt idx="9">
                  <c:v>0.94010000000000005</c:v>
                </c:pt>
                <c:pt idx="10">
                  <c:v>1.2029000000000001</c:v>
                </c:pt>
                <c:pt idx="11">
                  <c:v>1.3249</c:v>
                </c:pt>
                <c:pt idx="12">
                  <c:v>1.9573</c:v>
                </c:pt>
                <c:pt idx="13">
                  <c:v>2.3839999999999999</c:v>
                </c:pt>
                <c:pt idx="14">
                  <c:v>2.8102999999999998</c:v>
                </c:pt>
                <c:pt idx="15">
                  <c:v>3.2366999999999999</c:v>
                </c:pt>
                <c:pt idx="16">
                  <c:v>3.5838000000000001</c:v>
                </c:pt>
                <c:pt idx="17">
                  <c:v>3.931</c:v>
                </c:pt>
                <c:pt idx="18">
                  <c:v>4.2781000000000002</c:v>
                </c:pt>
                <c:pt idx="19">
                  <c:v>4.6252000000000004</c:v>
                </c:pt>
                <c:pt idx="20">
                  <c:v>4.9984999999999999</c:v>
                </c:pt>
                <c:pt idx="21">
                  <c:v>4.9566999999999997</c:v>
                </c:pt>
                <c:pt idx="22">
                  <c:v>4.9149000000000003</c:v>
                </c:pt>
                <c:pt idx="23">
                  <c:v>4.8731</c:v>
                </c:pt>
                <c:pt idx="24">
                  <c:v>4.8312999999999997</c:v>
                </c:pt>
                <c:pt idx="25">
                  <c:v>4.7895000000000003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C-47F3-A995-8109D9B26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778384"/>
        <c:axId val="1049776944"/>
      </c:lineChart>
      <c:catAx>
        <c:axId val="104977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76944"/>
        <c:crosses val="autoZero"/>
        <c:auto val="1"/>
        <c:lblAlgn val="ctr"/>
        <c:lblOffset val="100"/>
        <c:noMultiLvlLbl val="0"/>
      </c:catAx>
      <c:valAx>
        <c:axId val="10497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569595</xdr:colOff>
      <xdr:row>22</xdr:row>
      <xdr:rowOff>63816</xdr:rowOff>
    </xdr:from>
    <xdr:to>
      <xdr:col>22</xdr:col>
      <xdr:colOff>485775</xdr:colOff>
      <xdr:row>39</xdr:row>
      <xdr:rowOff>70484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40E3B-3F86-DCE5-604C-42D337E4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3F7D-7911-41EF-8B32-D42787588DD7}">
  <dimension ref="B2:E9"/>
  <sheetViews>
    <sheetView workbookViewId="0">
      <selection activeCell="E11" sqref="E11"/>
    </sheetView>
  </sheetViews>
  <sheetFormatPr defaultColWidth="8.88671875" defaultRowHeight="14.4" x14ac:dyDescent="0.3"/>
  <cols>
    <col min="2" max="2" width="15.6640625" bestFit="1" customWidth="1"/>
    <col min="3" max="3" width="62.6640625" bestFit="1" customWidth="1"/>
    <col min="5" max="5" width="32.44140625" bestFit="1" customWidth="1"/>
  </cols>
  <sheetData>
    <row r="2" spans="2:5" x14ac:dyDescent="0.3">
      <c r="B2" s="7" t="s">
        <v>0</v>
      </c>
      <c r="E2" s="7" t="s">
        <v>1</v>
      </c>
    </row>
    <row r="3" spans="2:5" x14ac:dyDescent="0.3">
      <c r="E3" s="7"/>
    </row>
    <row r="4" spans="2:5" x14ac:dyDescent="0.3">
      <c r="B4" t="s">
        <v>2</v>
      </c>
      <c r="C4" t="s">
        <v>3</v>
      </c>
      <c r="E4" s="71" t="s">
        <v>4</v>
      </c>
    </row>
    <row r="5" spans="2:5" x14ac:dyDescent="0.3">
      <c r="B5" t="s">
        <v>5</v>
      </c>
      <c r="C5" t="s">
        <v>6</v>
      </c>
      <c r="E5" s="73" t="s">
        <v>7</v>
      </c>
    </row>
    <row r="6" spans="2:5" x14ac:dyDescent="0.3">
      <c r="B6" t="s">
        <v>8</v>
      </c>
      <c r="C6" t="s">
        <v>9</v>
      </c>
      <c r="E6" s="73" t="s">
        <v>12</v>
      </c>
    </row>
    <row r="7" spans="2:5" x14ac:dyDescent="0.3">
      <c r="B7" t="s">
        <v>10</v>
      </c>
      <c r="C7" t="s">
        <v>11</v>
      </c>
      <c r="E7" s="73" t="s">
        <v>114</v>
      </c>
    </row>
    <row r="8" spans="2:5" x14ac:dyDescent="0.3">
      <c r="B8" t="s">
        <v>13</v>
      </c>
      <c r="C8" t="s">
        <v>14</v>
      </c>
      <c r="E8" s="73" t="s">
        <v>115</v>
      </c>
    </row>
    <row r="9" spans="2:5" x14ac:dyDescent="0.3">
      <c r="E9" s="7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0CF0-CA2B-4F01-AC31-733EFFC9C391}">
  <sheetPr>
    <tabColor rgb="FFCC99FF"/>
  </sheetPr>
  <dimension ref="B1:AB63"/>
  <sheetViews>
    <sheetView tabSelected="1" zoomScaleNormal="100" workbookViewId="0">
      <pane xSplit="2" ySplit="1" topLeftCell="M31" activePane="bottomRight" state="frozen"/>
      <selection pane="topRight" activeCell="C1" sqref="C1"/>
      <selection pane="bottomLeft" activeCell="A2" sqref="A2"/>
      <selection pane="bottomRight" activeCell="S61" sqref="S61:AB62"/>
    </sheetView>
  </sheetViews>
  <sheetFormatPr defaultColWidth="8.88671875" defaultRowHeight="14.4" x14ac:dyDescent="0.3"/>
  <cols>
    <col min="2" max="2" width="96.5546875" bestFit="1" customWidth="1"/>
    <col min="3" max="3" width="21.6640625" bestFit="1" customWidth="1"/>
    <col min="4" max="12" width="10.5546875" bestFit="1" customWidth="1"/>
    <col min="13" max="15" width="11.5546875" bestFit="1" customWidth="1"/>
    <col min="27" max="28" width="9.44140625" bestFit="1" customWidth="1"/>
  </cols>
  <sheetData>
    <row r="1" spans="2:28" ht="15" thickBot="1" x14ac:dyDescent="0.35">
      <c r="C1" s="62">
        <v>2010</v>
      </c>
      <c r="D1" s="63">
        <v>2011</v>
      </c>
      <c r="E1" s="63">
        <v>2012</v>
      </c>
      <c r="F1" s="63">
        <v>2013</v>
      </c>
      <c r="G1" s="63">
        <v>2014</v>
      </c>
      <c r="H1" s="63">
        <v>2015</v>
      </c>
      <c r="I1" s="63">
        <v>2016</v>
      </c>
      <c r="J1" s="63">
        <v>2017</v>
      </c>
      <c r="K1" s="63">
        <v>2018</v>
      </c>
      <c r="L1" s="63">
        <v>2019</v>
      </c>
      <c r="M1" s="63">
        <v>2020</v>
      </c>
      <c r="N1" s="63">
        <v>2021</v>
      </c>
      <c r="O1" s="63">
        <v>2022</v>
      </c>
      <c r="P1" s="63">
        <v>2023</v>
      </c>
      <c r="Q1" s="63">
        <v>2024</v>
      </c>
      <c r="R1" s="63">
        <v>2025</v>
      </c>
      <c r="S1" s="63">
        <v>2026</v>
      </c>
      <c r="T1" s="63">
        <v>2027</v>
      </c>
      <c r="U1" s="63">
        <v>2028</v>
      </c>
      <c r="V1" s="63">
        <v>2029</v>
      </c>
      <c r="W1" s="63">
        <v>2030</v>
      </c>
      <c r="X1" s="63">
        <v>2031</v>
      </c>
      <c r="Y1" s="63">
        <v>2032</v>
      </c>
      <c r="Z1" s="63">
        <v>2033</v>
      </c>
      <c r="AA1" s="63">
        <v>2034</v>
      </c>
      <c r="AB1" s="64">
        <v>2035</v>
      </c>
    </row>
    <row r="4" spans="2:28" x14ac:dyDescent="0.3">
      <c r="B4" s="7" t="s">
        <v>16</v>
      </c>
    </row>
    <row r="6" spans="2:28" ht="15" thickBot="1" x14ac:dyDescent="0.35"/>
    <row r="7" spans="2:28" x14ac:dyDescent="0.3">
      <c r="B7" s="58" t="s">
        <v>17</v>
      </c>
      <c r="C7" s="108">
        <f>SUM(C8:C9)</f>
        <v>2205.4687670000003</v>
      </c>
      <c r="D7" s="108">
        <f t="shared" ref="D7:AB7" si="0">SUM(D8:D9)</f>
        <v>2307.3022984999998</v>
      </c>
      <c r="E7" s="108">
        <f t="shared" si="0"/>
        <v>2409.1358299999997</v>
      </c>
      <c r="F7" s="108">
        <f t="shared" si="0"/>
        <v>2406.0279149999997</v>
      </c>
      <c r="G7" s="108">
        <f t="shared" si="0"/>
        <v>2402.8199999999997</v>
      </c>
      <c r="H7" s="108">
        <f t="shared" si="0"/>
        <v>2348.6800000000003</v>
      </c>
      <c r="I7" s="108">
        <f t="shared" si="0"/>
        <v>2294.44</v>
      </c>
      <c r="J7" s="108">
        <f t="shared" si="0"/>
        <v>2395.2738888888894</v>
      </c>
      <c r="K7" s="108">
        <f t="shared" si="0"/>
        <v>2496.2077777777777</v>
      </c>
      <c r="L7" s="108">
        <f t="shared" si="0"/>
        <v>2135.6968616666668</v>
      </c>
      <c r="M7" s="108">
        <f t="shared" si="0"/>
        <v>1775.0859455555558</v>
      </c>
      <c r="N7" s="108">
        <f t="shared" si="0"/>
        <v>2509.7324164444444</v>
      </c>
      <c r="O7" s="108">
        <f t="shared" si="0"/>
        <v>2503.6045053333332</v>
      </c>
      <c r="P7" s="108">
        <f t="shared" si="0"/>
        <v>2626.5815286361308</v>
      </c>
      <c r="Q7" s="108">
        <f t="shared" si="0"/>
        <v>2748.3328420319813</v>
      </c>
      <c r="R7" s="108">
        <f t="shared" si="0"/>
        <v>2868.8422340230231</v>
      </c>
      <c r="S7" s="108">
        <f>SUM(S8:S9)</f>
        <v>2973.1927503453617</v>
      </c>
      <c r="T7" s="108">
        <f t="shared" si="0"/>
        <v>3075.8185835043741</v>
      </c>
      <c r="U7" s="108">
        <f t="shared" si="0"/>
        <v>3177.6014685149576</v>
      </c>
      <c r="V7" s="108">
        <f t="shared" si="0"/>
        <v>3278.1003667457262</v>
      </c>
      <c r="W7" s="108">
        <f t="shared" si="0"/>
        <v>3377.07560855679</v>
      </c>
      <c r="X7" s="108">
        <f t="shared" si="0"/>
        <v>3496.2933878414947</v>
      </c>
      <c r="Y7" s="108">
        <f t="shared" si="0"/>
        <v>3615.7111671261982</v>
      </c>
      <c r="Z7" s="108">
        <f t="shared" si="0"/>
        <v>3735.1892767710124</v>
      </c>
      <c r="AA7" s="108">
        <f t="shared" si="0"/>
        <v>3855.2070560557167</v>
      </c>
      <c r="AB7" s="109">
        <f t="shared" si="0"/>
        <v>3975.4248353404209</v>
      </c>
    </row>
    <row r="8" spans="2:28" x14ac:dyDescent="0.3">
      <c r="B8" s="59" t="s">
        <v>18</v>
      </c>
      <c r="C8" s="110">
        <f>Act_Cemento_Otros_PIUP_sinHFC!H66</f>
        <v>1781.9687670000003</v>
      </c>
      <c r="D8" s="110">
        <f>Act_Cemento_Otros_PIUP_sinHFC!I66</f>
        <v>1784.8022984999998</v>
      </c>
      <c r="E8" s="110">
        <f>Act_Cemento_Otros_PIUP_sinHFC!J66</f>
        <v>1787.6358299999997</v>
      </c>
      <c r="F8" s="110">
        <f>Act_Cemento_Otros_PIUP_sinHFC!K66</f>
        <v>1836.2279149999997</v>
      </c>
      <c r="G8" s="110">
        <f>Act_Cemento_Otros_PIUP_sinHFC!L66</f>
        <v>1884.8199999999997</v>
      </c>
      <c r="H8" s="110">
        <f>Act_Cemento_Otros_PIUP_sinHFC!M66</f>
        <v>1817.7800000000002</v>
      </c>
      <c r="I8" s="110">
        <f>Act_Cemento_Otros_PIUP_sinHFC!N66</f>
        <v>1750.7400000000002</v>
      </c>
      <c r="J8" s="110">
        <f>Act_Cemento_Otros_PIUP_sinHFC!O66</f>
        <v>1925.7738888888894</v>
      </c>
      <c r="K8" s="110">
        <f>Act_Cemento_Otros_PIUP_sinHFC!P66</f>
        <v>2100.8077777777776</v>
      </c>
      <c r="L8" s="110">
        <f>Act_Cemento_Otros_PIUP_sinHFC!Q66</f>
        <v>1796.0968616666667</v>
      </c>
      <c r="M8" s="110">
        <f>Act_Cemento_Otros_PIUP_sinHFC!R66</f>
        <v>1491.3859455555557</v>
      </c>
      <c r="N8" s="110">
        <f>Act_Cemento_Otros_PIUP_sinHFC!S66</f>
        <v>2144.3324164444448</v>
      </c>
      <c r="O8" s="110">
        <f>Act_Cemento_Otros_PIUP_sinHFC!T66</f>
        <v>2013.2045053333331</v>
      </c>
      <c r="P8" s="110">
        <f>Act_Cemento_Otros_PIUP_sinHFC!U66</f>
        <v>2125.781528636131</v>
      </c>
      <c r="Q8" s="110">
        <f>Act_Cemento_Otros_PIUP_sinHFC!V66</f>
        <v>2236.8328420319813</v>
      </c>
      <c r="R8" s="110">
        <f>Act_Cemento_Otros_PIUP_sinHFC!W66</f>
        <v>2346.442234023023</v>
      </c>
      <c r="S8" s="110">
        <f>Act_Cemento_Otros_PIUP_sinHFC!X66</f>
        <v>2439.3927503453619</v>
      </c>
      <c r="T8" s="110">
        <f>Act_Cemento_Otros_PIUP_sinHFC!Y66</f>
        <v>2530.8185835043741</v>
      </c>
      <c r="U8" s="110">
        <f>Act_Cemento_Otros_PIUP_sinHFC!Z66</f>
        <v>2620.8014685149574</v>
      </c>
      <c r="V8" s="110">
        <f>Act_Cemento_Otros_PIUP_sinHFC!AA66</f>
        <v>2709.3003667457265</v>
      </c>
      <c r="W8" s="110">
        <f>Act_Cemento_Otros_PIUP_sinHFC!AB66</f>
        <v>2796.2756085567898</v>
      </c>
      <c r="X8" s="110">
        <f>Act_Cemento_Otros_PIUP_sinHFC!AC66</f>
        <v>2902.9933878414945</v>
      </c>
      <c r="Y8" s="110">
        <f>Act_Cemento_Otros_PIUP_sinHFC!AD66</f>
        <v>3009.7111671261982</v>
      </c>
      <c r="Z8" s="110">
        <f>Act_Cemento_Otros_PIUP_sinHFC!AE66</f>
        <v>3116.3892767710122</v>
      </c>
      <c r="AA8" s="110">
        <f>Act_Cemento_Otros_PIUP_sinHFC!AF66</f>
        <v>3223.1070560557168</v>
      </c>
      <c r="AB8" s="111">
        <f>Act_Cemento_Otros_PIUP_sinHFC!AG66</f>
        <v>3329.824835340421</v>
      </c>
    </row>
    <row r="9" spans="2:28" ht="15" thickBot="1" x14ac:dyDescent="0.35">
      <c r="B9" s="60" t="s">
        <v>19</v>
      </c>
      <c r="C9" s="112">
        <f>Act_Cemento_Otros_PIUP_sinHFC!H58</f>
        <v>423.50000000000006</v>
      </c>
      <c r="D9" s="112">
        <f>Act_Cemento_Otros_PIUP_sinHFC!I58</f>
        <v>522.5</v>
      </c>
      <c r="E9" s="112">
        <f>Act_Cemento_Otros_PIUP_sinHFC!J58</f>
        <v>621.49999999999989</v>
      </c>
      <c r="F9" s="112">
        <f>Act_Cemento_Otros_PIUP_sinHFC!K58</f>
        <v>569.79999999999995</v>
      </c>
      <c r="G9" s="112">
        <f>Act_Cemento_Otros_PIUP_sinHFC!L58</f>
        <v>518</v>
      </c>
      <c r="H9" s="112">
        <f>Act_Cemento_Otros_PIUP_sinHFC!M58</f>
        <v>530.90000000000009</v>
      </c>
      <c r="I9" s="112">
        <f>Act_Cemento_Otros_PIUP_sinHFC!N58</f>
        <v>543.69999999999993</v>
      </c>
      <c r="J9" s="112">
        <f>Act_Cemento_Otros_PIUP_sinHFC!O58</f>
        <v>469.5</v>
      </c>
      <c r="K9" s="112">
        <f>Act_Cemento_Otros_PIUP_sinHFC!P58</f>
        <v>395.40000000000003</v>
      </c>
      <c r="L9" s="112">
        <f>Act_Cemento_Otros_PIUP_sinHFC!Q58</f>
        <v>339.60000000000008</v>
      </c>
      <c r="M9" s="112">
        <f>Act_Cemento_Otros_PIUP_sinHFC!R58</f>
        <v>283.7</v>
      </c>
      <c r="N9" s="112">
        <f>Act_Cemento_Otros_PIUP_sinHFC!S58</f>
        <v>365.39999999999986</v>
      </c>
      <c r="O9" s="112">
        <f>Act_Cemento_Otros_PIUP_sinHFC!T58</f>
        <v>490.4</v>
      </c>
      <c r="P9" s="112">
        <f>Act_Cemento_Otros_PIUP_sinHFC!U58</f>
        <v>500.7999999999999</v>
      </c>
      <c r="Q9" s="112">
        <f>Act_Cemento_Otros_PIUP_sinHFC!V58</f>
        <v>511.49999999999994</v>
      </c>
      <c r="R9" s="112">
        <f>Act_Cemento_Otros_PIUP_sinHFC!W58</f>
        <v>522.4</v>
      </c>
      <c r="S9" s="112">
        <f>Act_Cemento_Otros_PIUP_sinHFC!X58</f>
        <v>533.79999999999995</v>
      </c>
      <c r="T9" s="112">
        <f>Act_Cemento_Otros_PIUP_sinHFC!Y58</f>
        <v>544.99999999999989</v>
      </c>
      <c r="U9" s="112">
        <f>Act_Cemento_Otros_PIUP_sinHFC!Z58</f>
        <v>556.79999999999995</v>
      </c>
      <c r="V9" s="112">
        <f>Act_Cemento_Otros_PIUP_sinHFC!AA58</f>
        <v>568.79999999999995</v>
      </c>
      <c r="W9" s="112">
        <f>Act_Cemento_Otros_PIUP_sinHFC!AB58</f>
        <v>580.80000000000007</v>
      </c>
      <c r="X9" s="112">
        <f>Act_Cemento_Otros_PIUP_sinHFC!AC58</f>
        <v>593.30000000000007</v>
      </c>
      <c r="Y9" s="112">
        <f>Act_Cemento_Otros_PIUP_sinHFC!AD58</f>
        <v>606</v>
      </c>
      <c r="Z9" s="112">
        <f>Act_Cemento_Otros_PIUP_sinHFC!AE58</f>
        <v>618.80000000000007</v>
      </c>
      <c r="AA9" s="112">
        <f>Act_Cemento_Otros_PIUP_sinHFC!AF58</f>
        <v>632.09999999999991</v>
      </c>
      <c r="AB9" s="113">
        <f>Act_Cemento_Otros_PIUP_sinHFC!AG58</f>
        <v>645.6</v>
      </c>
    </row>
    <row r="10" spans="2:28" x14ac:dyDescent="0.3">
      <c r="B10" s="58" t="s">
        <v>20</v>
      </c>
      <c r="C10" s="108">
        <f>SUM(C11:C12)</f>
        <v>2205.4687670000003</v>
      </c>
      <c r="D10" s="108">
        <f t="shared" ref="D10:AB10" si="1">SUM(D11:D12)</f>
        <v>2307.3022984999998</v>
      </c>
      <c r="E10" s="108">
        <f t="shared" si="1"/>
        <v>2409.1358299999997</v>
      </c>
      <c r="F10" s="108">
        <f t="shared" si="1"/>
        <v>2406.0279149999997</v>
      </c>
      <c r="G10" s="108">
        <f t="shared" si="1"/>
        <v>2402.8199999999997</v>
      </c>
      <c r="H10" s="108">
        <f t="shared" si="1"/>
        <v>2348.6800000000003</v>
      </c>
      <c r="I10" s="108">
        <f t="shared" si="1"/>
        <v>2294.44</v>
      </c>
      <c r="J10" s="108">
        <f t="shared" si="1"/>
        <v>2359.3850000000002</v>
      </c>
      <c r="K10" s="108">
        <f t="shared" si="1"/>
        <v>2424.4299999999998</v>
      </c>
      <c r="L10" s="108">
        <f t="shared" si="1"/>
        <v>2028.030195</v>
      </c>
      <c r="M10" s="108">
        <f t="shared" si="1"/>
        <v>1631.5303900000001</v>
      </c>
      <c r="N10" s="108">
        <f t="shared" si="1"/>
        <v>2330.2879720000001</v>
      </c>
      <c r="O10" s="108">
        <f t="shared" si="1"/>
        <v>2288.2711719999998</v>
      </c>
      <c r="P10" s="108">
        <f t="shared" si="1"/>
        <v>2375.3593064139086</v>
      </c>
      <c r="Q10" s="108">
        <f t="shared" si="1"/>
        <v>2461.22173092087</v>
      </c>
      <c r="R10" s="108">
        <f t="shared" si="1"/>
        <v>2545.8422340230231</v>
      </c>
      <c r="S10" s="108">
        <f>SUM(S11:S12)</f>
        <v>2629.4787503453617</v>
      </c>
      <c r="T10" s="108">
        <f t="shared" si="1"/>
        <v>2711.3905835043743</v>
      </c>
      <c r="U10" s="108">
        <f t="shared" si="1"/>
        <v>2792.4594685149577</v>
      </c>
      <c r="V10" s="108">
        <f t="shared" si="1"/>
        <v>2872.2443667457264</v>
      </c>
      <c r="W10" s="108">
        <f t="shared" si="1"/>
        <v>2950.5056085567899</v>
      </c>
      <c r="X10" s="108">
        <f t="shared" si="1"/>
        <v>3049.0093878414946</v>
      </c>
      <c r="Y10" s="108">
        <f t="shared" si="1"/>
        <v>3147.7131671261982</v>
      </c>
      <c r="Z10" s="108">
        <f t="shared" si="1"/>
        <v>3246.4772767710124</v>
      </c>
      <c r="AA10" s="108">
        <f t="shared" si="1"/>
        <v>3345.7810560557168</v>
      </c>
      <c r="AB10" s="109">
        <f t="shared" si="1"/>
        <v>3445.2848353404211</v>
      </c>
    </row>
    <row r="11" spans="2:28" x14ac:dyDescent="0.3">
      <c r="B11" s="59" t="s">
        <v>18</v>
      </c>
      <c r="C11" s="110">
        <f>Act_Cemento_Otros_PIUP_sinHFC!H67</f>
        <v>1781.9687670000003</v>
      </c>
      <c r="D11" s="110">
        <f>Act_Cemento_Otros_PIUP_sinHFC!I67</f>
        <v>1784.8022984999998</v>
      </c>
      <c r="E11" s="110">
        <f>Act_Cemento_Otros_PIUP_sinHFC!J67</f>
        <v>1787.6358299999997</v>
      </c>
      <c r="F11" s="110">
        <f>Act_Cemento_Otros_PIUP_sinHFC!K67</f>
        <v>1836.2279149999997</v>
      </c>
      <c r="G11" s="110">
        <f>Act_Cemento_Otros_PIUP_sinHFC!L67</f>
        <v>1884.8199999999997</v>
      </c>
      <c r="H11" s="110">
        <f>Act_Cemento_Otros_PIUP_sinHFC!M67</f>
        <v>1817.7800000000002</v>
      </c>
      <c r="I11" s="110">
        <f>Act_Cemento_Otros_PIUP_sinHFC!N67</f>
        <v>1750.7400000000002</v>
      </c>
      <c r="J11" s="110">
        <f>Act_Cemento_Otros_PIUP_sinHFC!O67</f>
        <v>1889.8850000000002</v>
      </c>
      <c r="K11" s="110">
        <f>Act_Cemento_Otros_PIUP_sinHFC!P67</f>
        <v>2029.0299999999997</v>
      </c>
      <c r="L11" s="110">
        <f>Act_Cemento_Otros_PIUP_sinHFC!Q67</f>
        <v>1688.4301949999999</v>
      </c>
      <c r="M11" s="110">
        <f>Act_Cemento_Otros_PIUP_sinHFC!R67</f>
        <v>1347.8303900000001</v>
      </c>
      <c r="N11" s="110">
        <f>Act_Cemento_Otros_PIUP_sinHFC!S67</f>
        <v>1964.8879720000002</v>
      </c>
      <c r="O11" s="110">
        <f>Act_Cemento_Otros_PIUP_sinHFC!T67</f>
        <v>1797.8711719999997</v>
      </c>
      <c r="P11" s="110">
        <f>Act_Cemento_Otros_PIUP_sinHFC!U67</f>
        <v>1874.5593064139089</v>
      </c>
      <c r="Q11" s="110">
        <f>Act_Cemento_Otros_PIUP_sinHFC!V67</f>
        <v>1949.7217309208702</v>
      </c>
      <c r="R11" s="110">
        <f>Act_Cemento_Otros_PIUP_sinHFC!W67</f>
        <v>2023.4422340230233</v>
      </c>
      <c r="S11" s="110">
        <f>Act_Cemento_Otros_PIUP_sinHFC!X67</f>
        <v>2095.678750345362</v>
      </c>
      <c r="T11" s="110">
        <f>Act_Cemento_Otros_PIUP_sinHFC!Y67</f>
        <v>2166.3905835043743</v>
      </c>
      <c r="U11" s="110">
        <f>Act_Cemento_Otros_PIUP_sinHFC!Z67</f>
        <v>2235.6594685149576</v>
      </c>
      <c r="V11" s="110">
        <f>Act_Cemento_Otros_PIUP_sinHFC!AA67</f>
        <v>2303.4443667457263</v>
      </c>
      <c r="W11" s="110">
        <f>Act_Cemento_Otros_PIUP_sinHFC!AB67</f>
        <v>2369.7056085567897</v>
      </c>
      <c r="X11" s="110">
        <f>Act_Cemento_Otros_PIUP_sinHFC!AC67</f>
        <v>2455.7093878414944</v>
      </c>
      <c r="Y11" s="110">
        <f>Act_Cemento_Otros_PIUP_sinHFC!AD67</f>
        <v>2541.7131671261982</v>
      </c>
      <c r="Z11" s="110">
        <f>Act_Cemento_Otros_PIUP_sinHFC!AE67</f>
        <v>2627.6772767710122</v>
      </c>
      <c r="AA11" s="110">
        <f>Act_Cemento_Otros_PIUP_sinHFC!AF67</f>
        <v>2713.6810560557169</v>
      </c>
      <c r="AB11" s="111">
        <f>Act_Cemento_Otros_PIUP_sinHFC!AG67</f>
        <v>2799.6848353404212</v>
      </c>
    </row>
    <row r="12" spans="2:28" ht="15" thickBot="1" x14ac:dyDescent="0.35">
      <c r="B12" s="60" t="s">
        <v>19</v>
      </c>
      <c r="C12" s="112">
        <f>Act_Cemento_Otros_PIUP_sinHFC!H58</f>
        <v>423.50000000000006</v>
      </c>
      <c r="D12" s="112">
        <f>Act_Cemento_Otros_PIUP_sinHFC!I58</f>
        <v>522.5</v>
      </c>
      <c r="E12" s="112">
        <f>Act_Cemento_Otros_PIUP_sinHFC!J58</f>
        <v>621.49999999999989</v>
      </c>
      <c r="F12" s="112">
        <f>Act_Cemento_Otros_PIUP_sinHFC!K58</f>
        <v>569.79999999999995</v>
      </c>
      <c r="G12" s="112">
        <f>Act_Cemento_Otros_PIUP_sinHFC!L58</f>
        <v>518</v>
      </c>
      <c r="H12" s="112">
        <f>Act_Cemento_Otros_PIUP_sinHFC!M58</f>
        <v>530.90000000000009</v>
      </c>
      <c r="I12" s="112">
        <f>Act_Cemento_Otros_PIUP_sinHFC!N58</f>
        <v>543.69999999999993</v>
      </c>
      <c r="J12" s="112">
        <f>Act_Cemento_Otros_PIUP_sinHFC!O58</f>
        <v>469.5</v>
      </c>
      <c r="K12" s="112">
        <f>Act_Cemento_Otros_PIUP_sinHFC!P58</f>
        <v>395.40000000000003</v>
      </c>
      <c r="L12" s="112">
        <f>Act_Cemento_Otros_PIUP_sinHFC!Q58</f>
        <v>339.60000000000008</v>
      </c>
      <c r="M12" s="112">
        <f>Act_Cemento_Otros_PIUP_sinHFC!R58</f>
        <v>283.7</v>
      </c>
      <c r="N12" s="112">
        <f>Act_Cemento_Otros_PIUP_sinHFC!S58</f>
        <v>365.39999999999986</v>
      </c>
      <c r="O12" s="112">
        <f>Act_Cemento_Otros_PIUP_sinHFC!T58</f>
        <v>490.4</v>
      </c>
      <c r="P12" s="112">
        <f>Act_Cemento_Otros_PIUP_sinHFC!U58</f>
        <v>500.7999999999999</v>
      </c>
      <c r="Q12" s="112">
        <f>Act_Cemento_Otros_PIUP_sinHFC!V58</f>
        <v>511.49999999999994</v>
      </c>
      <c r="R12" s="112">
        <f>Act_Cemento_Otros_PIUP_sinHFC!W58</f>
        <v>522.4</v>
      </c>
      <c r="S12" s="112">
        <f>Act_Cemento_Otros_PIUP_sinHFC!X58</f>
        <v>533.79999999999995</v>
      </c>
      <c r="T12" s="112">
        <f>Act_Cemento_Otros_PIUP_sinHFC!Y58</f>
        <v>544.99999999999989</v>
      </c>
      <c r="U12" s="112">
        <f>Act_Cemento_Otros_PIUP_sinHFC!Z58</f>
        <v>556.79999999999995</v>
      </c>
      <c r="V12" s="112">
        <f>Act_Cemento_Otros_PIUP_sinHFC!AA58</f>
        <v>568.79999999999995</v>
      </c>
      <c r="W12" s="112">
        <f>Act_Cemento_Otros_PIUP_sinHFC!AB58</f>
        <v>580.80000000000007</v>
      </c>
      <c r="X12" s="112">
        <f>Act_Cemento_Otros_PIUP_sinHFC!AC58</f>
        <v>593.30000000000007</v>
      </c>
      <c r="Y12" s="112">
        <f>Act_Cemento_Otros_PIUP_sinHFC!AD58</f>
        <v>606</v>
      </c>
      <c r="Z12" s="112">
        <f>Act_Cemento_Otros_PIUP_sinHFC!AE58</f>
        <v>618.80000000000007</v>
      </c>
      <c r="AA12" s="112">
        <f>Act_Cemento_Otros_PIUP_sinHFC!AF58</f>
        <v>632.09999999999991</v>
      </c>
      <c r="AB12" s="113">
        <f>Act_Cemento_Otros_PIUP_sinHFC!AG58</f>
        <v>645.6</v>
      </c>
    </row>
    <row r="13" spans="2:28" x14ac:dyDescent="0.3">
      <c r="B13" s="58" t="s">
        <v>21</v>
      </c>
      <c r="C13" s="108">
        <f>SUM(C14:C15)</f>
        <v>2205.4687670000003</v>
      </c>
      <c r="D13" s="108">
        <f t="shared" ref="D13:AB13" si="2">SUM(D14:D15)</f>
        <v>2307.3022984999998</v>
      </c>
      <c r="E13" s="108">
        <f t="shared" si="2"/>
        <v>2409.1358299999997</v>
      </c>
      <c r="F13" s="108">
        <f t="shared" si="2"/>
        <v>2406.0279149999997</v>
      </c>
      <c r="G13" s="108">
        <f t="shared" si="2"/>
        <v>2402.8199999999997</v>
      </c>
      <c r="H13" s="108">
        <f t="shared" si="2"/>
        <v>2348.6800000000003</v>
      </c>
      <c r="I13" s="108">
        <f t="shared" si="2"/>
        <v>2294.44</v>
      </c>
      <c r="J13" s="108">
        <f t="shared" si="2"/>
        <v>2359.3850000000002</v>
      </c>
      <c r="K13" s="108">
        <f t="shared" si="2"/>
        <v>2424.4299999999998</v>
      </c>
      <c r="L13" s="108">
        <f t="shared" si="2"/>
        <v>2028.030195</v>
      </c>
      <c r="M13" s="108">
        <f t="shared" si="2"/>
        <v>1631.5303900000001</v>
      </c>
      <c r="N13" s="108">
        <f t="shared" si="2"/>
        <v>2330.2879720000001</v>
      </c>
      <c r="O13" s="108">
        <f t="shared" si="2"/>
        <v>2288.2711719999998</v>
      </c>
      <c r="P13" s="108">
        <f t="shared" si="2"/>
        <v>2375.3593064139086</v>
      </c>
      <c r="Q13" s="108">
        <f t="shared" si="2"/>
        <v>2461.22173092087</v>
      </c>
      <c r="R13" s="108">
        <f t="shared" si="2"/>
        <v>2545.8422340230231</v>
      </c>
      <c r="S13" s="108">
        <f>SUM(S14:S15)</f>
        <v>2629.4787503453617</v>
      </c>
      <c r="T13" s="108">
        <f t="shared" si="2"/>
        <v>2711.3905835043743</v>
      </c>
      <c r="U13" s="108">
        <f t="shared" si="2"/>
        <v>2792.4594685149577</v>
      </c>
      <c r="V13" s="108">
        <f t="shared" si="2"/>
        <v>2872.2443667457264</v>
      </c>
      <c r="W13" s="108">
        <f t="shared" si="2"/>
        <v>2950.5056085567899</v>
      </c>
      <c r="X13" s="108">
        <f t="shared" si="2"/>
        <v>3049.0093878414946</v>
      </c>
      <c r="Y13" s="108">
        <f t="shared" si="2"/>
        <v>3147.7131671261982</v>
      </c>
      <c r="Z13" s="108">
        <f t="shared" si="2"/>
        <v>3246.4772767710124</v>
      </c>
      <c r="AA13" s="108">
        <f t="shared" si="2"/>
        <v>3345.7810560557168</v>
      </c>
      <c r="AB13" s="109">
        <f t="shared" si="2"/>
        <v>3445.2848353404211</v>
      </c>
    </row>
    <row r="14" spans="2:28" x14ac:dyDescent="0.3">
      <c r="B14" s="59" t="s">
        <v>18</v>
      </c>
      <c r="C14" s="110">
        <f>Act_Cemento_Otros_PIUP_sinHFC!H68</f>
        <v>1781.9687670000003</v>
      </c>
      <c r="D14" s="110">
        <f>Act_Cemento_Otros_PIUP_sinHFC!I68</f>
        <v>1784.8022984999998</v>
      </c>
      <c r="E14" s="110">
        <f>Act_Cemento_Otros_PIUP_sinHFC!J68</f>
        <v>1787.6358299999997</v>
      </c>
      <c r="F14" s="110">
        <f>Act_Cemento_Otros_PIUP_sinHFC!K68</f>
        <v>1836.2279149999997</v>
      </c>
      <c r="G14" s="110">
        <f>Act_Cemento_Otros_PIUP_sinHFC!L68</f>
        <v>1884.8199999999997</v>
      </c>
      <c r="H14" s="110">
        <f>Act_Cemento_Otros_PIUP_sinHFC!M68</f>
        <v>1817.7800000000002</v>
      </c>
      <c r="I14" s="110">
        <f>Act_Cemento_Otros_PIUP_sinHFC!N68</f>
        <v>1750.7400000000002</v>
      </c>
      <c r="J14" s="110">
        <f>Act_Cemento_Otros_PIUP_sinHFC!O68</f>
        <v>1889.8850000000002</v>
      </c>
      <c r="K14" s="110">
        <f>Act_Cemento_Otros_PIUP_sinHFC!P68</f>
        <v>2029.0299999999997</v>
      </c>
      <c r="L14" s="110">
        <f>Act_Cemento_Otros_PIUP_sinHFC!Q68</f>
        <v>1688.4301949999999</v>
      </c>
      <c r="M14" s="110">
        <f>Act_Cemento_Otros_PIUP_sinHFC!R68</f>
        <v>1347.8303900000001</v>
      </c>
      <c r="N14" s="110">
        <f>Act_Cemento_Otros_PIUP_sinHFC!S68</f>
        <v>1964.8879720000002</v>
      </c>
      <c r="O14" s="110">
        <f>Act_Cemento_Otros_PIUP_sinHFC!T68</f>
        <v>1797.8711719999997</v>
      </c>
      <c r="P14" s="110">
        <f>Act_Cemento_Otros_PIUP_sinHFC!U68</f>
        <v>1874.5593064139089</v>
      </c>
      <c r="Q14" s="110">
        <f>Act_Cemento_Otros_PIUP_sinHFC!V68</f>
        <v>1949.7217309208702</v>
      </c>
      <c r="R14" s="110">
        <f>Act_Cemento_Otros_PIUP_sinHFC!W68</f>
        <v>2023.4422340230233</v>
      </c>
      <c r="S14" s="110">
        <f>Act_Cemento_Otros_PIUP_sinHFC!X68</f>
        <v>2095.678750345362</v>
      </c>
      <c r="T14" s="110">
        <f>Act_Cemento_Otros_PIUP_sinHFC!Y68</f>
        <v>2166.3905835043743</v>
      </c>
      <c r="U14" s="110">
        <f>Act_Cemento_Otros_PIUP_sinHFC!Z68</f>
        <v>2235.6594685149576</v>
      </c>
      <c r="V14" s="110">
        <f>Act_Cemento_Otros_PIUP_sinHFC!AA68</f>
        <v>2303.4443667457263</v>
      </c>
      <c r="W14" s="110">
        <f>Act_Cemento_Otros_PIUP_sinHFC!AB68</f>
        <v>2369.7056085567897</v>
      </c>
      <c r="X14" s="110">
        <f>Act_Cemento_Otros_PIUP_sinHFC!AC68</f>
        <v>2455.7093878414944</v>
      </c>
      <c r="Y14" s="110">
        <f>Act_Cemento_Otros_PIUP_sinHFC!AD68</f>
        <v>2541.7131671261982</v>
      </c>
      <c r="Z14" s="110">
        <f>Act_Cemento_Otros_PIUP_sinHFC!AE68</f>
        <v>2627.6772767710122</v>
      </c>
      <c r="AA14" s="110">
        <f>Act_Cemento_Otros_PIUP_sinHFC!AF68</f>
        <v>2713.6810560557169</v>
      </c>
      <c r="AB14" s="111">
        <f>Act_Cemento_Otros_PIUP_sinHFC!AG68</f>
        <v>2799.6848353404212</v>
      </c>
    </row>
    <row r="15" spans="2:28" ht="15" thickBot="1" x14ac:dyDescent="0.35">
      <c r="B15" s="60" t="s">
        <v>19</v>
      </c>
      <c r="C15" s="112">
        <f>Act_Cemento_Otros_PIUP_sinHFC!H58</f>
        <v>423.50000000000006</v>
      </c>
      <c r="D15" s="112">
        <f>Act_Cemento_Otros_PIUP_sinHFC!I58</f>
        <v>522.5</v>
      </c>
      <c r="E15" s="112">
        <f>Act_Cemento_Otros_PIUP_sinHFC!J58</f>
        <v>621.49999999999989</v>
      </c>
      <c r="F15" s="112">
        <f>Act_Cemento_Otros_PIUP_sinHFC!K58</f>
        <v>569.79999999999995</v>
      </c>
      <c r="G15" s="112">
        <f>Act_Cemento_Otros_PIUP_sinHFC!L58</f>
        <v>518</v>
      </c>
      <c r="H15" s="112">
        <f>Act_Cemento_Otros_PIUP_sinHFC!M58</f>
        <v>530.90000000000009</v>
      </c>
      <c r="I15" s="112">
        <f>Act_Cemento_Otros_PIUP_sinHFC!N58</f>
        <v>543.69999999999993</v>
      </c>
      <c r="J15" s="112">
        <f>Act_Cemento_Otros_PIUP_sinHFC!O58</f>
        <v>469.5</v>
      </c>
      <c r="K15" s="112">
        <f>Act_Cemento_Otros_PIUP_sinHFC!P58</f>
        <v>395.40000000000003</v>
      </c>
      <c r="L15" s="112">
        <f>Act_Cemento_Otros_PIUP_sinHFC!Q58</f>
        <v>339.60000000000008</v>
      </c>
      <c r="M15" s="112">
        <f>Act_Cemento_Otros_PIUP_sinHFC!R58</f>
        <v>283.7</v>
      </c>
      <c r="N15" s="112">
        <f>Act_Cemento_Otros_PIUP_sinHFC!S58</f>
        <v>365.39999999999986</v>
      </c>
      <c r="O15" s="112">
        <f>Act_Cemento_Otros_PIUP_sinHFC!T58</f>
        <v>490.4</v>
      </c>
      <c r="P15" s="112">
        <f>Act_Cemento_Otros_PIUP_sinHFC!U58</f>
        <v>500.7999999999999</v>
      </c>
      <c r="Q15" s="112">
        <f>Act_Cemento_Otros_PIUP_sinHFC!V58</f>
        <v>511.49999999999994</v>
      </c>
      <c r="R15" s="112">
        <f>Act_Cemento_Otros_PIUP_sinHFC!W58</f>
        <v>522.4</v>
      </c>
      <c r="S15" s="112">
        <f>Act_Cemento_Otros_PIUP_sinHFC!X58</f>
        <v>533.79999999999995</v>
      </c>
      <c r="T15" s="112">
        <f>Act_Cemento_Otros_PIUP_sinHFC!Y58</f>
        <v>544.99999999999989</v>
      </c>
      <c r="U15" s="112">
        <f>Act_Cemento_Otros_PIUP_sinHFC!Z58</f>
        <v>556.79999999999995</v>
      </c>
      <c r="V15" s="112">
        <f>Act_Cemento_Otros_PIUP_sinHFC!AA58</f>
        <v>568.79999999999995</v>
      </c>
      <c r="W15" s="112">
        <f>Act_Cemento_Otros_PIUP_sinHFC!AB58</f>
        <v>580.80000000000007</v>
      </c>
      <c r="X15" s="112">
        <f>Act_Cemento_Otros_PIUP_sinHFC!AC58</f>
        <v>593.30000000000007</v>
      </c>
      <c r="Y15" s="112">
        <f>Act_Cemento_Otros_PIUP_sinHFC!AD58</f>
        <v>606</v>
      </c>
      <c r="Z15" s="112">
        <f>Act_Cemento_Otros_PIUP_sinHFC!AE58</f>
        <v>618.80000000000007</v>
      </c>
      <c r="AA15" s="112">
        <f>Act_Cemento_Otros_PIUP_sinHFC!AF58</f>
        <v>632.09999999999991</v>
      </c>
      <c r="AB15" s="113">
        <f>Act_Cemento_Otros_PIUP_sinHFC!AG58</f>
        <v>645.6</v>
      </c>
    </row>
    <row r="17" spans="2:28" x14ac:dyDescent="0.3">
      <c r="S17" s="14">
        <f>+S7-S10</f>
        <v>343.71399999999994</v>
      </c>
      <c r="T17" s="14">
        <f t="shared" ref="T17:AB17" si="3">+T7-T10</f>
        <v>364.42799999999988</v>
      </c>
      <c r="U17" s="14">
        <f t="shared" si="3"/>
        <v>385.14199999999983</v>
      </c>
      <c r="V17" s="14">
        <f t="shared" si="3"/>
        <v>405.85599999999977</v>
      </c>
      <c r="W17" s="14">
        <f t="shared" si="3"/>
        <v>426.57000000000016</v>
      </c>
      <c r="X17" s="14">
        <f t="shared" si="3"/>
        <v>447.28400000000011</v>
      </c>
      <c r="Y17" s="14">
        <f t="shared" si="3"/>
        <v>467.99800000000005</v>
      </c>
      <c r="Z17" s="14">
        <f t="shared" si="3"/>
        <v>488.71199999999999</v>
      </c>
      <c r="AA17" s="14">
        <f t="shared" si="3"/>
        <v>509.42599999999993</v>
      </c>
      <c r="AB17" s="14">
        <f t="shared" si="3"/>
        <v>530.13999999999987</v>
      </c>
    </row>
    <row r="18" spans="2:28" x14ac:dyDescent="0.3">
      <c r="B18" s="7" t="s">
        <v>22</v>
      </c>
    </row>
    <row r="19" spans="2:28" ht="15" thickBot="1" x14ac:dyDescent="0.35"/>
    <row r="20" spans="2:28" ht="15" thickBot="1" x14ac:dyDescent="0.35">
      <c r="B20" s="61" t="s">
        <v>20</v>
      </c>
      <c r="C20" s="114">
        <f>C10-C7</f>
        <v>0</v>
      </c>
      <c r="D20" s="114">
        <f t="shared" ref="D20:AB20" si="4">D10-D7</f>
        <v>0</v>
      </c>
      <c r="E20" s="114">
        <f t="shared" si="4"/>
        <v>0</v>
      </c>
      <c r="F20" s="114">
        <f t="shared" si="4"/>
        <v>0</v>
      </c>
      <c r="G20" s="114">
        <f t="shared" si="4"/>
        <v>0</v>
      </c>
      <c r="H20" s="114">
        <f t="shared" si="4"/>
        <v>0</v>
      </c>
      <c r="I20" s="114">
        <f t="shared" si="4"/>
        <v>0</v>
      </c>
      <c r="J20" s="114">
        <f t="shared" si="4"/>
        <v>-35.888888888889142</v>
      </c>
      <c r="K20" s="114">
        <f t="shared" si="4"/>
        <v>-71.777777777777828</v>
      </c>
      <c r="L20" s="114">
        <f t="shared" si="4"/>
        <v>-107.66666666666674</v>
      </c>
      <c r="M20" s="114">
        <f t="shared" si="4"/>
        <v>-143.55555555555566</v>
      </c>
      <c r="N20" s="114">
        <f t="shared" si="4"/>
        <v>-179.44444444444434</v>
      </c>
      <c r="O20" s="114">
        <f t="shared" si="4"/>
        <v>-215.33333333333348</v>
      </c>
      <c r="P20" s="114">
        <f t="shared" si="4"/>
        <v>-251.22222222222217</v>
      </c>
      <c r="Q20" s="114">
        <f t="shared" si="4"/>
        <v>-287.11111111111131</v>
      </c>
      <c r="R20" s="115">
        <f>R10-R7</f>
        <v>-323</v>
      </c>
      <c r="S20" s="114">
        <f>S10-S7</f>
        <v>-343.71399999999994</v>
      </c>
      <c r="T20" s="114">
        <f t="shared" si="4"/>
        <v>-364.42799999999988</v>
      </c>
      <c r="U20" s="114">
        <f t="shared" si="4"/>
        <v>-385.14199999999983</v>
      </c>
      <c r="V20" s="114">
        <f t="shared" si="4"/>
        <v>-405.85599999999977</v>
      </c>
      <c r="W20" s="114">
        <f t="shared" si="4"/>
        <v>-426.57000000000016</v>
      </c>
      <c r="X20" s="114">
        <f t="shared" si="4"/>
        <v>-447.28400000000011</v>
      </c>
      <c r="Y20" s="114">
        <f t="shared" si="4"/>
        <v>-467.99800000000005</v>
      </c>
      <c r="Z20" s="114">
        <f t="shared" si="4"/>
        <v>-488.71199999999999</v>
      </c>
      <c r="AA20" s="114">
        <f t="shared" si="4"/>
        <v>-509.42599999999993</v>
      </c>
      <c r="AB20" s="116">
        <f t="shared" si="4"/>
        <v>-530.13999999999987</v>
      </c>
    </row>
    <row r="21" spans="2:28" ht="15" thickBot="1" x14ac:dyDescent="0.35">
      <c r="B21" s="61" t="s">
        <v>21</v>
      </c>
      <c r="C21" s="114">
        <f>C13-C7</f>
        <v>0</v>
      </c>
      <c r="D21" s="114">
        <f t="shared" ref="D21:AB21" si="5">D13-D7</f>
        <v>0</v>
      </c>
      <c r="E21" s="114">
        <f t="shared" si="5"/>
        <v>0</v>
      </c>
      <c r="F21" s="114">
        <f t="shared" si="5"/>
        <v>0</v>
      </c>
      <c r="G21" s="114">
        <f t="shared" si="5"/>
        <v>0</v>
      </c>
      <c r="H21" s="114">
        <f t="shared" si="5"/>
        <v>0</v>
      </c>
      <c r="I21" s="114">
        <f t="shared" si="5"/>
        <v>0</v>
      </c>
      <c r="J21" s="114">
        <f t="shared" si="5"/>
        <v>-35.888888888889142</v>
      </c>
      <c r="K21" s="114">
        <f t="shared" si="5"/>
        <v>-71.777777777777828</v>
      </c>
      <c r="L21" s="114">
        <f t="shared" si="5"/>
        <v>-107.66666666666674</v>
      </c>
      <c r="M21" s="114">
        <f t="shared" si="5"/>
        <v>-143.55555555555566</v>
      </c>
      <c r="N21" s="114">
        <f t="shared" si="5"/>
        <v>-179.44444444444434</v>
      </c>
      <c r="O21" s="114">
        <f t="shared" si="5"/>
        <v>-215.33333333333348</v>
      </c>
      <c r="P21" s="114">
        <f t="shared" si="5"/>
        <v>-251.22222222222217</v>
      </c>
      <c r="Q21" s="114">
        <f t="shared" si="5"/>
        <v>-287.11111111111131</v>
      </c>
      <c r="R21" s="115">
        <f>R13-R7</f>
        <v>-323</v>
      </c>
      <c r="S21" s="114">
        <f>S13-S7</f>
        <v>-343.71399999999994</v>
      </c>
      <c r="T21" s="114">
        <f t="shared" si="5"/>
        <v>-364.42799999999988</v>
      </c>
      <c r="U21" s="114">
        <f t="shared" si="5"/>
        <v>-385.14199999999983</v>
      </c>
      <c r="V21" s="114">
        <f t="shared" si="5"/>
        <v>-405.85599999999977</v>
      </c>
      <c r="W21" s="114">
        <f t="shared" si="5"/>
        <v>-426.57000000000016</v>
      </c>
      <c r="X21" s="114">
        <f t="shared" si="5"/>
        <v>-447.28400000000011</v>
      </c>
      <c r="Y21" s="114">
        <f t="shared" si="5"/>
        <v>-467.99800000000005</v>
      </c>
      <c r="Z21" s="114">
        <f t="shared" si="5"/>
        <v>-488.71199999999999</v>
      </c>
      <c r="AA21" s="114">
        <f t="shared" si="5"/>
        <v>-509.42599999999993</v>
      </c>
      <c r="AB21" s="116">
        <f t="shared" si="5"/>
        <v>-530.13999999999987</v>
      </c>
    </row>
    <row r="24" spans="2:28" x14ac:dyDescent="0.3">
      <c r="B24" s="7" t="s">
        <v>23</v>
      </c>
    </row>
    <row r="25" spans="2:28" ht="15" thickBot="1" x14ac:dyDescent="0.35"/>
    <row r="26" spans="2:28" ht="15" thickBot="1" x14ac:dyDescent="0.35">
      <c r="B26" s="61" t="s">
        <v>20</v>
      </c>
      <c r="C26" s="65">
        <f>(C10-C7)/C7</f>
        <v>0</v>
      </c>
      <c r="D26" s="65">
        <f t="shared" ref="D26:AB26" si="6">(D10-D7)/D7</f>
        <v>0</v>
      </c>
      <c r="E26" s="65">
        <f t="shared" si="6"/>
        <v>0</v>
      </c>
      <c r="F26" s="65">
        <f t="shared" si="6"/>
        <v>0</v>
      </c>
      <c r="G26" s="65">
        <f t="shared" si="6"/>
        <v>0</v>
      </c>
      <c r="H26" s="65">
        <f t="shared" si="6"/>
        <v>0</v>
      </c>
      <c r="I26" s="65">
        <f t="shared" si="6"/>
        <v>0</v>
      </c>
      <c r="J26" s="65">
        <f t="shared" si="6"/>
        <v>-1.4983208832764066E-2</v>
      </c>
      <c r="K26" s="65">
        <f t="shared" si="6"/>
        <v>-2.8754728839791226E-2</v>
      </c>
      <c r="L26" s="65">
        <f t="shared" si="6"/>
        <v>-5.0412897354096049E-2</v>
      </c>
      <c r="M26" s="65">
        <f t="shared" si="6"/>
        <v>-8.0872453480344858E-2</v>
      </c>
      <c r="N26" s="65">
        <f t="shared" si="6"/>
        <v>-7.1499432875264265E-2</v>
      </c>
      <c r="O26" s="65">
        <f t="shared" si="6"/>
        <v>-8.6009324905198525E-2</v>
      </c>
      <c r="P26" s="65">
        <f t="shared" si="6"/>
        <v>-9.5646078175487245E-2</v>
      </c>
      <c r="Q26" s="65">
        <f t="shared" si="6"/>
        <v>-0.10446737262683059</v>
      </c>
      <c r="R26" s="65">
        <f t="shared" si="6"/>
        <v>-0.11258897271149412</v>
      </c>
      <c r="S26" s="65">
        <f t="shared" si="6"/>
        <v>-0.11560434484446884</v>
      </c>
      <c r="T26" s="65">
        <f t="shared" si="6"/>
        <v>-0.11848163020876086</v>
      </c>
      <c r="U26" s="65">
        <f t="shared" si="6"/>
        <v>-0.12120525617077926</v>
      </c>
      <c r="V26" s="65">
        <f t="shared" si="6"/>
        <v>-0.12380828973912895</v>
      </c>
      <c r="W26" s="65">
        <f t="shared" si="6"/>
        <v>-0.1263134289677029</v>
      </c>
      <c r="X26" s="65">
        <f t="shared" si="6"/>
        <v>-0.12793091150629657</v>
      </c>
      <c r="Y26" s="65">
        <f t="shared" si="6"/>
        <v>-0.12943456442400772</v>
      </c>
      <c r="Z26" s="65">
        <f t="shared" si="6"/>
        <v>-0.13083995583283548</v>
      </c>
      <c r="AA26" s="65">
        <f t="shared" si="6"/>
        <v>-0.13213972494675719</v>
      </c>
      <c r="AB26" s="66">
        <f t="shared" si="6"/>
        <v>-0.13335430097613787</v>
      </c>
    </row>
    <row r="27" spans="2:28" ht="15" thickBot="1" x14ac:dyDescent="0.35">
      <c r="B27" s="61" t="s">
        <v>21</v>
      </c>
      <c r="C27" s="65">
        <f>(C13-C7)/C7</f>
        <v>0</v>
      </c>
      <c r="D27" s="65">
        <f t="shared" ref="D27:AB27" si="7">(D13-D7)/D7</f>
        <v>0</v>
      </c>
      <c r="E27" s="65">
        <f t="shared" si="7"/>
        <v>0</v>
      </c>
      <c r="F27" s="65">
        <f t="shared" si="7"/>
        <v>0</v>
      </c>
      <c r="G27" s="65">
        <f t="shared" si="7"/>
        <v>0</v>
      </c>
      <c r="H27" s="65">
        <f t="shared" si="7"/>
        <v>0</v>
      </c>
      <c r="I27" s="65">
        <f t="shared" si="7"/>
        <v>0</v>
      </c>
      <c r="J27" s="65">
        <f t="shared" si="7"/>
        <v>-1.4983208832764066E-2</v>
      </c>
      <c r="K27" s="65">
        <f t="shared" si="7"/>
        <v>-2.8754728839791226E-2</v>
      </c>
      <c r="L27" s="65">
        <f t="shared" si="7"/>
        <v>-5.0412897354096049E-2</v>
      </c>
      <c r="M27" s="65">
        <f t="shared" si="7"/>
        <v>-8.0872453480344858E-2</v>
      </c>
      <c r="N27" s="65">
        <f t="shared" si="7"/>
        <v>-7.1499432875264265E-2</v>
      </c>
      <c r="O27" s="65">
        <f t="shared" si="7"/>
        <v>-8.6009324905198525E-2</v>
      </c>
      <c r="P27" s="65">
        <f t="shared" si="7"/>
        <v>-9.5646078175487245E-2</v>
      </c>
      <c r="Q27" s="65">
        <f t="shared" si="7"/>
        <v>-0.10446737262683059</v>
      </c>
      <c r="R27" s="65">
        <f t="shared" si="7"/>
        <v>-0.11258897271149412</v>
      </c>
      <c r="S27" s="65">
        <f t="shared" si="7"/>
        <v>-0.11560434484446884</v>
      </c>
      <c r="T27" s="65">
        <f t="shared" si="7"/>
        <v>-0.11848163020876086</v>
      </c>
      <c r="U27" s="65">
        <f t="shared" si="7"/>
        <v>-0.12120525617077926</v>
      </c>
      <c r="V27" s="65">
        <f t="shared" si="7"/>
        <v>-0.12380828973912895</v>
      </c>
      <c r="W27" s="65">
        <f t="shared" si="7"/>
        <v>-0.1263134289677029</v>
      </c>
      <c r="X27" s="65">
        <f t="shared" si="7"/>
        <v>-0.12793091150629657</v>
      </c>
      <c r="Y27" s="65">
        <f t="shared" si="7"/>
        <v>-0.12943456442400772</v>
      </c>
      <c r="Z27" s="65">
        <f t="shared" si="7"/>
        <v>-0.13083995583283548</v>
      </c>
      <c r="AA27" s="65">
        <f t="shared" si="7"/>
        <v>-0.13213972494675719</v>
      </c>
      <c r="AB27" s="66">
        <f t="shared" si="7"/>
        <v>-0.13335430097613787</v>
      </c>
    </row>
    <row r="31" spans="2:28" x14ac:dyDescent="0.3">
      <c r="B31" s="7" t="s">
        <v>24</v>
      </c>
    </row>
    <row r="33" spans="2:28" ht="15" thickBot="1" x14ac:dyDescent="0.35"/>
    <row r="34" spans="2:28" x14ac:dyDescent="0.3">
      <c r="B34" s="58" t="s">
        <v>17</v>
      </c>
      <c r="C34" s="108">
        <f>SUM(C35:C37)</f>
        <v>2420.0468670000005</v>
      </c>
      <c r="D34" s="108">
        <f t="shared" ref="D34:AB34" si="8">SUM(D35:D37)</f>
        <v>2546.4508984999998</v>
      </c>
      <c r="E34" s="108">
        <f t="shared" si="8"/>
        <v>2697.9482299999995</v>
      </c>
      <c r="F34" s="108">
        <f t="shared" si="8"/>
        <v>2733.4848149999998</v>
      </c>
      <c r="G34" s="108">
        <f t="shared" si="8"/>
        <v>2776.2575999999999</v>
      </c>
      <c r="H34" s="108">
        <f t="shared" si="8"/>
        <v>2791.3351000000002</v>
      </c>
      <c r="I34" s="108">
        <f t="shared" si="8"/>
        <v>2766.8571999999999</v>
      </c>
      <c r="J34" s="108">
        <f t="shared" si="8"/>
        <v>2893.0768888888892</v>
      </c>
      <c r="K34" s="108">
        <f t="shared" si="8"/>
        <v>3015.8883777777778</v>
      </c>
      <c r="L34" s="108">
        <f t="shared" si="8"/>
        <v>3075.3638616666667</v>
      </c>
      <c r="M34" s="108">
        <f t="shared" si="8"/>
        <v>2978.4848455555557</v>
      </c>
      <c r="N34" s="108">
        <f t="shared" si="8"/>
        <v>3834.7779164444446</v>
      </c>
      <c r="O34" s="108">
        <f t="shared" si="8"/>
        <v>4461.5110053333337</v>
      </c>
      <c r="P34" s="108">
        <f t="shared" si="8"/>
        <v>5010.7033286361311</v>
      </c>
      <c r="Q34" s="108">
        <f t="shared" si="8"/>
        <v>5558.2313420319815</v>
      </c>
      <c r="R34" s="108">
        <f t="shared" si="8"/>
        <v>6106.2236340230229</v>
      </c>
      <c r="S34" s="108">
        <f t="shared" si="8"/>
        <v>6636.3838503453626</v>
      </c>
      <c r="T34" s="108">
        <f t="shared" si="8"/>
        <v>7165.1848835043747</v>
      </c>
      <c r="U34" s="108">
        <f t="shared" si="8"/>
        <v>7693.2106685149574</v>
      </c>
      <c r="V34" s="108">
        <f t="shared" si="8"/>
        <v>8221.2062667457267</v>
      </c>
      <c r="W34" s="108">
        <f t="shared" si="8"/>
        <v>8745.7467085567914</v>
      </c>
      <c r="X34" s="108">
        <f t="shared" si="8"/>
        <v>8876.7499878414947</v>
      </c>
      <c r="Y34" s="108">
        <f t="shared" si="8"/>
        <v>9006.9585671261993</v>
      </c>
      <c r="Z34" s="108">
        <f t="shared" si="8"/>
        <v>9138.0244767710137</v>
      </c>
      <c r="AA34" s="108">
        <f t="shared" si="8"/>
        <v>9269.1638560557167</v>
      </c>
      <c r="AB34" s="109">
        <f t="shared" si="8"/>
        <v>9401.0371353404207</v>
      </c>
    </row>
    <row r="35" spans="2:28" x14ac:dyDescent="0.3">
      <c r="B35" s="59" t="s">
        <v>18</v>
      </c>
      <c r="C35" s="110">
        <f>Act_Cemento_Otros_PIUP_sinHFC!H66</f>
        <v>1781.9687670000003</v>
      </c>
      <c r="D35" s="110">
        <f>Act_Cemento_Otros_PIUP_sinHFC!I66</f>
        <v>1784.8022984999998</v>
      </c>
      <c r="E35" s="110">
        <f>Act_Cemento_Otros_PIUP_sinHFC!J66</f>
        <v>1787.6358299999997</v>
      </c>
      <c r="F35" s="110">
        <f>Act_Cemento_Otros_PIUP_sinHFC!K66</f>
        <v>1836.2279149999997</v>
      </c>
      <c r="G35" s="110">
        <f>Act_Cemento_Otros_PIUP_sinHFC!L66</f>
        <v>1884.8199999999997</v>
      </c>
      <c r="H35" s="110">
        <f>Act_Cemento_Otros_PIUP_sinHFC!M66</f>
        <v>1817.7800000000002</v>
      </c>
      <c r="I35" s="110">
        <f>Act_Cemento_Otros_PIUP_sinHFC!N66</f>
        <v>1750.7400000000002</v>
      </c>
      <c r="J35" s="110">
        <f>Act_Cemento_Otros_PIUP_sinHFC!O66</f>
        <v>1925.7738888888894</v>
      </c>
      <c r="K35" s="110">
        <f>Act_Cemento_Otros_PIUP_sinHFC!P66</f>
        <v>2100.8077777777776</v>
      </c>
      <c r="L35" s="110">
        <f>Act_Cemento_Otros_PIUP_sinHFC!Q66</f>
        <v>1796.0968616666667</v>
      </c>
      <c r="M35" s="110">
        <f>Act_Cemento_Otros_PIUP_sinHFC!R66</f>
        <v>1491.3859455555557</v>
      </c>
      <c r="N35" s="110">
        <f>Act_Cemento_Otros_PIUP_sinHFC!S66</f>
        <v>2144.3324164444448</v>
      </c>
      <c r="O35" s="110">
        <f>Act_Cemento_Otros_PIUP_sinHFC!T66</f>
        <v>2013.2045053333331</v>
      </c>
      <c r="P35" s="110">
        <f>Act_Cemento_Otros_PIUP_sinHFC!U66</f>
        <v>2125.781528636131</v>
      </c>
      <c r="Q35" s="110">
        <f>Act_Cemento_Otros_PIUP_sinHFC!V66</f>
        <v>2236.8328420319813</v>
      </c>
      <c r="R35" s="110">
        <f>Act_Cemento_Otros_PIUP_sinHFC!W66</f>
        <v>2346.442234023023</v>
      </c>
      <c r="S35" s="110">
        <f>Act_Cemento_Otros_PIUP_sinHFC!X66</f>
        <v>2439.3927503453619</v>
      </c>
      <c r="T35" s="110">
        <f>Act_Cemento_Otros_PIUP_sinHFC!Y66</f>
        <v>2530.8185835043741</v>
      </c>
      <c r="U35" s="110">
        <f>Act_Cemento_Otros_PIUP_sinHFC!Z66</f>
        <v>2620.8014685149574</v>
      </c>
      <c r="V35" s="110">
        <f>Act_Cemento_Otros_PIUP_sinHFC!AA66</f>
        <v>2709.3003667457265</v>
      </c>
      <c r="W35" s="110">
        <f>Act_Cemento_Otros_PIUP_sinHFC!AB66</f>
        <v>2796.2756085567898</v>
      </c>
      <c r="X35" s="110">
        <f>Act_Cemento_Otros_PIUP_sinHFC!AC66</f>
        <v>2902.9933878414945</v>
      </c>
      <c r="Y35" s="110">
        <f>Act_Cemento_Otros_PIUP_sinHFC!AD66</f>
        <v>3009.7111671261982</v>
      </c>
      <c r="Z35" s="110">
        <f>Act_Cemento_Otros_PIUP_sinHFC!AE66</f>
        <v>3116.3892767710122</v>
      </c>
      <c r="AA35" s="110">
        <f>Act_Cemento_Otros_PIUP_sinHFC!AF66</f>
        <v>3223.1070560557168</v>
      </c>
      <c r="AB35" s="111">
        <f>Act_Cemento_Otros_PIUP_sinHFC!AG66</f>
        <v>3329.824835340421</v>
      </c>
    </row>
    <row r="36" spans="2:28" x14ac:dyDescent="0.3">
      <c r="B36" s="59" t="s">
        <v>19</v>
      </c>
      <c r="C36" s="110">
        <f>Act_Cemento_Otros_PIUP_sinHFC!H58</f>
        <v>423.50000000000006</v>
      </c>
      <c r="D36" s="110">
        <f>Act_Cemento_Otros_PIUP_sinHFC!I58</f>
        <v>522.5</v>
      </c>
      <c r="E36" s="110">
        <f>Act_Cemento_Otros_PIUP_sinHFC!J58</f>
        <v>621.49999999999989</v>
      </c>
      <c r="F36" s="110">
        <f>Act_Cemento_Otros_PIUP_sinHFC!K58</f>
        <v>569.79999999999995</v>
      </c>
      <c r="G36" s="110">
        <f>Act_Cemento_Otros_PIUP_sinHFC!L58</f>
        <v>518</v>
      </c>
      <c r="H36" s="110">
        <f>Act_Cemento_Otros_PIUP_sinHFC!M58</f>
        <v>530.90000000000009</v>
      </c>
      <c r="I36" s="110">
        <f>Act_Cemento_Otros_PIUP_sinHFC!N58</f>
        <v>543.69999999999993</v>
      </c>
      <c r="J36" s="110">
        <f>Act_Cemento_Otros_PIUP_sinHFC!O58</f>
        <v>469.5</v>
      </c>
      <c r="K36" s="110">
        <f>Act_Cemento_Otros_PIUP_sinHFC!P58</f>
        <v>395.40000000000003</v>
      </c>
      <c r="L36" s="110">
        <f>Act_Cemento_Otros_PIUP_sinHFC!Q58</f>
        <v>339.60000000000008</v>
      </c>
      <c r="M36" s="110">
        <f>Act_Cemento_Otros_PIUP_sinHFC!R58</f>
        <v>283.7</v>
      </c>
      <c r="N36" s="110">
        <f>Act_Cemento_Otros_PIUP_sinHFC!S58</f>
        <v>365.39999999999986</v>
      </c>
      <c r="O36" s="110">
        <f>Act_Cemento_Otros_PIUP_sinHFC!T58</f>
        <v>490.4</v>
      </c>
      <c r="P36" s="110">
        <f>Act_Cemento_Otros_PIUP_sinHFC!U58</f>
        <v>500.7999999999999</v>
      </c>
      <c r="Q36" s="110">
        <f>Act_Cemento_Otros_PIUP_sinHFC!V58</f>
        <v>511.49999999999994</v>
      </c>
      <c r="R36" s="110">
        <f>Act_Cemento_Otros_PIUP_sinHFC!W58</f>
        <v>522.4</v>
      </c>
      <c r="S36" s="110">
        <f>Act_Cemento_Otros_PIUP_sinHFC!X58</f>
        <v>533.79999999999995</v>
      </c>
      <c r="T36" s="110">
        <f>Act_Cemento_Otros_PIUP_sinHFC!Y58</f>
        <v>544.99999999999989</v>
      </c>
      <c r="U36" s="110">
        <f>Act_Cemento_Otros_PIUP_sinHFC!Z58</f>
        <v>556.79999999999995</v>
      </c>
      <c r="V36" s="110">
        <f>Act_Cemento_Otros_PIUP_sinHFC!AA58</f>
        <v>568.79999999999995</v>
      </c>
      <c r="W36" s="110">
        <f>Act_Cemento_Otros_PIUP_sinHFC!AB58</f>
        <v>580.80000000000007</v>
      </c>
      <c r="X36" s="110">
        <f>Act_Cemento_Otros_PIUP_sinHFC!AC58</f>
        <v>593.30000000000007</v>
      </c>
      <c r="Y36" s="110">
        <f>Act_Cemento_Otros_PIUP_sinHFC!AD58</f>
        <v>606</v>
      </c>
      <c r="Z36" s="110">
        <f>Act_Cemento_Otros_PIUP_sinHFC!AE58</f>
        <v>618.80000000000007</v>
      </c>
      <c r="AA36" s="110">
        <f>Act_Cemento_Otros_PIUP_sinHFC!AF58</f>
        <v>632.09999999999991</v>
      </c>
      <c r="AB36" s="111">
        <f>Act_Cemento_Otros_PIUP_sinHFC!AG58</f>
        <v>645.6</v>
      </c>
    </row>
    <row r="37" spans="2:28" ht="15" thickBot="1" x14ac:dyDescent="0.35">
      <c r="B37" s="60" t="s">
        <v>8</v>
      </c>
      <c r="C37" s="112">
        <f>HFC_Desglose!I114*1000</f>
        <v>214.57810000000003</v>
      </c>
      <c r="D37" s="112">
        <f>HFC_Desglose!J114*1000</f>
        <v>239.14860000000002</v>
      </c>
      <c r="E37" s="112">
        <f>HFC_Desglose!K114*1000</f>
        <v>288.81239999999997</v>
      </c>
      <c r="F37" s="112">
        <f>HFC_Desglose!L114*1000</f>
        <v>327.45690000000002</v>
      </c>
      <c r="G37" s="112">
        <f>HFC_Desglose!M114*1000</f>
        <v>373.43760000000003</v>
      </c>
      <c r="H37" s="112">
        <f>HFC_Desglose!N114*1000</f>
        <v>442.6551</v>
      </c>
      <c r="I37" s="112">
        <f>HFC_Desglose!O114*1000</f>
        <v>472.41720000000004</v>
      </c>
      <c r="J37" s="112">
        <f>HFC_Desglose!P114*1000</f>
        <v>497.803</v>
      </c>
      <c r="K37" s="112">
        <f>HFC_Desglose!Q114*1000</f>
        <v>519.68060000000003</v>
      </c>
      <c r="L37" s="112">
        <f>HFC_Desglose!R114*1000</f>
        <v>939.66700000000003</v>
      </c>
      <c r="M37" s="112">
        <f>HFC_Desglose!S114*1000</f>
        <v>1203.3989000000001</v>
      </c>
      <c r="N37" s="112">
        <f>HFC_Desglose!T114*1000</f>
        <v>1325.0455000000002</v>
      </c>
      <c r="O37" s="112">
        <f>HFC_Desglose!U114*1000</f>
        <v>1957.9065000000001</v>
      </c>
      <c r="P37" s="112">
        <f>HFC_Desglose!V114*1000</f>
        <v>2384.1217999999999</v>
      </c>
      <c r="Q37" s="112">
        <f>HFC_Desglose!W114*1000</f>
        <v>2809.8985000000002</v>
      </c>
      <c r="R37" s="112">
        <f>HFC_Desglose!X114*1000</f>
        <v>3237.3813999999993</v>
      </c>
      <c r="S37" s="112">
        <f>HFC_Desglose!Y114*1000</f>
        <v>3663.1911000000005</v>
      </c>
      <c r="T37" s="112">
        <f>HFC_Desglose!Z114*1000</f>
        <v>4089.3663000000001</v>
      </c>
      <c r="U37" s="112">
        <f>HFC_Desglose!AA114*1000</f>
        <v>4515.6091999999999</v>
      </c>
      <c r="V37" s="112">
        <f>HFC_Desglose!AB114*1000</f>
        <v>4943.1059000000005</v>
      </c>
      <c r="W37" s="112">
        <f>HFC_Desglose!AC114*1000</f>
        <v>5368.6711000000005</v>
      </c>
      <c r="X37" s="112">
        <f>HFC_Desglose!AD114*1000</f>
        <v>5380.4566000000004</v>
      </c>
      <c r="Y37" s="112">
        <f>HFC_Desglose!AE114*1000</f>
        <v>5391.2474000000011</v>
      </c>
      <c r="Z37" s="112">
        <f>HFC_Desglose!AF114*1000</f>
        <v>5402.8352000000004</v>
      </c>
      <c r="AA37" s="112">
        <f>HFC_Desglose!AG114*1000</f>
        <v>5413.9567999999999</v>
      </c>
      <c r="AB37" s="113">
        <f>HFC_Desglose!AH114*1000</f>
        <v>5425.6122999999998</v>
      </c>
    </row>
    <row r="38" spans="2:28" x14ac:dyDescent="0.3">
      <c r="B38" s="58" t="s">
        <v>20</v>
      </c>
      <c r="C38" s="108">
        <f>SUM(C39:C41)</f>
        <v>2420.0468670000005</v>
      </c>
      <c r="D38" s="108">
        <f t="shared" ref="D38:AB38" si="9">SUM(D39:D41)</f>
        <v>2546.4508984999998</v>
      </c>
      <c r="E38" s="108">
        <f t="shared" si="9"/>
        <v>2697.9482299999995</v>
      </c>
      <c r="F38" s="108">
        <f t="shared" si="9"/>
        <v>2733.4848149999998</v>
      </c>
      <c r="G38" s="108">
        <f t="shared" si="9"/>
        <v>2776.2575999999999</v>
      </c>
      <c r="H38" s="108">
        <f t="shared" si="9"/>
        <v>2791.3351000000002</v>
      </c>
      <c r="I38" s="108">
        <f t="shared" si="9"/>
        <v>2766.8571999999999</v>
      </c>
      <c r="J38" s="108">
        <f t="shared" si="9"/>
        <v>2857.1880000000001</v>
      </c>
      <c r="K38" s="108">
        <f t="shared" si="9"/>
        <v>2944.1106</v>
      </c>
      <c r="L38" s="108">
        <f t="shared" si="9"/>
        <v>2967.6971950000002</v>
      </c>
      <c r="M38" s="108">
        <f t="shared" si="9"/>
        <v>2834.92929</v>
      </c>
      <c r="N38" s="108">
        <f t="shared" si="9"/>
        <v>3655.3334720000003</v>
      </c>
      <c r="O38" s="108">
        <f t="shared" si="9"/>
        <v>4246.1776719999998</v>
      </c>
      <c r="P38" s="108">
        <f t="shared" si="9"/>
        <v>4759.4811064139085</v>
      </c>
      <c r="Q38" s="108">
        <f t="shared" si="9"/>
        <v>5271.1202309208702</v>
      </c>
      <c r="R38" s="108">
        <f t="shared" si="9"/>
        <v>5783.2236340230229</v>
      </c>
      <c r="S38" s="108">
        <f t="shared" si="9"/>
        <v>6213.8300503453629</v>
      </c>
      <c r="T38" s="108">
        <f t="shared" si="9"/>
        <v>6642.597283504374</v>
      </c>
      <c r="U38" s="108">
        <f t="shared" si="9"/>
        <v>7071.0830685149576</v>
      </c>
      <c r="V38" s="108">
        <f t="shared" si="9"/>
        <v>7498.2710667457259</v>
      </c>
      <c r="W38" s="108">
        <f t="shared" si="9"/>
        <v>7949.5442085567902</v>
      </c>
      <c r="X38" s="108">
        <f t="shared" si="9"/>
        <v>8006.1117878414943</v>
      </c>
      <c r="Y38" s="108">
        <f t="shared" si="9"/>
        <v>8061.9185671261985</v>
      </c>
      <c r="Z38" s="108">
        <f t="shared" si="9"/>
        <v>8119.4241767710118</v>
      </c>
      <c r="AA38" s="108">
        <f t="shared" si="9"/>
        <v>8177.0847560557158</v>
      </c>
      <c r="AB38" s="109">
        <f t="shared" si="9"/>
        <v>8234.4515353404204</v>
      </c>
    </row>
    <row r="39" spans="2:28" x14ac:dyDescent="0.3">
      <c r="B39" s="59" t="s">
        <v>18</v>
      </c>
      <c r="C39" s="110">
        <f>Act_Cemento_Otros_PIUP_sinHFC!H67</f>
        <v>1781.9687670000003</v>
      </c>
      <c r="D39" s="110">
        <f>Act_Cemento_Otros_PIUP_sinHFC!I67</f>
        <v>1784.8022984999998</v>
      </c>
      <c r="E39" s="110">
        <f>Act_Cemento_Otros_PIUP_sinHFC!J67</f>
        <v>1787.6358299999997</v>
      </c>
      <c r="F39" s="110">
        <f>Act_Cemento_Otros_PIUP_sinHFC!K67</f>
        <v>1836.2279149999997</v>
      </c>
      <c r="G39" s="110">
        <f>Act_Cemento_Otros_PIUP_sinHFC!L67</f>
        <v>1884.8199999999997</v>
      </c>
      <c r="H39" s="110">
        <f>Act_Cemento_Otros_PIUP_sinHFC!M67</f>
        <v>1817.7800000000002</v>
      </c>
      <c r="I39" s="110">
        <f>Act_Cemento_Otros_PIUP_sinHFC!N67</f>
        <v>1750.7400000000002</v>
      </c>
      <c r="J39" s="110">
        <f>Act_Cemento_Otros_PIUP_sinHFC!O67</f>
        <v>1889.8850000000002</v>
      </c>
      <c r="K39" s="110">
        <f>Act_Cemento_Otros_PIUP_sinHFC!P67</f>
        <v>2029.0299999999997</v>
      </c>
      <c r="L39" s="110">
        <f>Act_Cemento_Otros_PIUP_sinHFC!Q67</f>
        <v>1688.4301949999999</v>
      </c>
      <c r="M39" s="110">
        <f>Act_Cemento_Otros_PIUP_sinHFC!R67</f>
        <v>1347.8303900000001</v>
      </c>
      <c r="N39" s="110">
        <f>Act_Cemento_Otros_PIUP_sinHFC!S67</f>
        <v>1964.8879720000002</v>
      </c>
      <c r="O39" s="110">
        <f>Act_Cemento_Otros_PIUP_sinHFC!T67</f>
        <v>1797.8711719999997</v>
      </c>
      <c r="P39" s="110">
        <f>Act_Cemento_Otros_PIUP_sinHFC!U67</f>
        <v>1874.5593064139089</v>
      </c>
      <c r="Q39" s="110">
        <f>Act_Cemento_Otros_PIUP_sinHFC!V67</f>
        <v>1949.7217309208702</v>
      </c>
      <c r="R39" s="110">
        <f>Act_Cemento_Otros_PIUP_sinHFC!W67</f>
        <v>2023.4422340230233</v>
      </c>
      <c r="S39" s="110">
        <f>Act_Cemento_Otros_PIUP_sinHFC!X67</f>
        <v>2095.678750345362</v>
      </c>
      <c r="T39" s="110">
        <f>Act_Cemento_Otros_PIUP_sinHFC!Y67</f>
        <v>2166.3905835043743</v>
      </c>
      <c r="U39" s="110">
        <f>Act_Cemento_Otros_PIUP_sinHFC!Z67</f>
        <v>2235.6594685149576</v>
      </c>
      <c r="V39" s="110">
        <f>Act_Cemento_Otros_PIUP_sinHFC!AA67</f>
        <v>2303.4443667457263</v>
      </c>
      <c r="W39" s="110">
        <f>Act_Cemento_Otros_PIUP_sinHFC!AB67</f>
        <v>2369.7056085567897</v>
      </c>
      <c r="X39" s="110">
        <f>Act_Cemento_Otros_PIUP_sinHFC!AC67</f>
        <v>2455.7093878414944</v>
      </c>
      <c r="Y39" s="110">
        <f>Act_Cemento_Otros_PIUP_sinHFC!AD67</f>
        <v>2541.7131671261982</v>
      </c>
      <c r="Z39" s="110">
        <f>Act_Cemento_Otros_PIUP_sinHFC!AE67</f>
        <v>2627.6772767710122</v>
      </c>
      <c r="AA39" s="110">
        <f>Act_Cemento_Otros_PIUP_sinHFC!AF67</f>
        <v>2713.6810560557169</v>
      </c>
      <c r="AB39" s="111">
        <f>Act_Cemento_Otros_PIUP_sinHFC!AG67</f>
        <v>2799.6848353404212</v>
      </c>
    </row>
    <row r="40" spans="2:28" x14ac:dyDescent="0.3">
      <c r="B40" s="59" t="s">
        <v>19</v>
      </c>
      <c r="C40" s="110">
        <f>Act_Cemento_Otros_PIUP_sinHFC!H58</f>
        <v>423.50000000000006</v>
      </c>
      <c r="D40" s="110">
        <f>Act_Cemento_Otros_PIUP_sinHFC!I58</f>
        <v>522.5</v>
      </c>
      <c r="E40" s="110">
        <f>Act_Cemento_Otros_PIUP_sinHFC!J58</f>
        <v>621.49999999999989</v>
      </c>
      <c r="F40" s="110">
        <f>Act_Cemento_Otros_PIUP_sinHFC!K58</f>
        <v>569.79999999999995</v>
      </c>
      <c r="G40" s="110">
        <f>Act_Cemento_Otros_PIUP_sinHFC!L58</f>
        <v>518</v>
      </c>
      <c r="H40" s="110">
        <f>Act_Cemento_Otros_PIUP_sinHFC!M58</f>
        <v>530.90000000000009</v>
      </c>
      <c r="I40" s="110">
        <f>Act_Cemento_Otros_PIUP_sinHFC!N58</f>
        <v>543.69999999999993</v>
      </c>
      <c r="J40" s="110">
        <f>Act_Cemento_Otros_PIUP_sinHFC!O58</f>
        <v>469.5</v>
      </c>
      <c r="K40" s="110">
        <f>Act_Cemento_Otros_PIUP_sinHFC!P58</f>
        <v>395.40000000000003</v>
      </c>
      <c r="L40" s="110">
        <f>Act_Cemento_Otros_PIUP_sinHFC!Q58</f>
        <v>339.60000000000008</v>
      </c>
      <c r="M40" s="110">
        <f>Act_Cemento_Otros_PIUP_sinHFC!R58</f>
        <v>283.7</v>
      </c>
      <c r="N40" s="110">
        <f>Act_Cemento_Otros_PIUP_sinHFC!S58</f>
        <v>365.39999999999986</v>
      </c>
      <c r="O40" s="110">
        <f>Act_Cemento_Otros_PIUP_sinHFC!T58</f>
        <v>490.4</v>
      </c>
      <c r="P40" s="110">
        <f>Act_Cemento_Otros_PIUP_sinHFC!U58</f>
        <v>500.7999999999999</v>
      </c>
      <c r="Q40" s="110">
        <f>Act_Cemento_Otros_PIUP_sinHFC!V58</f>
        <v>511.49999999999994</v>
      </c>
      <c r="R40" s="110">
        <f>Act_Cemento_Otros_PIUP_sinHFC!W58</f>
        <v>522.4</v>
      </c>
      <c r="S40" s="110">
        <f>Act_Cemento_Otros_PIUP_sinHFC!X58</f>
        <v>533.79999999999995</v>
      </c>
      <c r="T40" s="110">
        <f>Act_Cemento_Otros_PIUP_sinHFC!Y58</f>
        <v>544.99999999999989</v>
      </c>
      <c r="U40" s="110">
        <f>Act_Cemento_Otros_PIUP_sinHFC!Z58</f>
        <v>556.79999999999995</v>
      </c>
      <c r="V40" s="110">
        <f>Act_Cemento_Otros_PIUP_sinHFC!AA58</f>
        <v>568.79999999999995</v>
      </c>
      <c r="W40" s="110">
        <f>Act_Cemento_Otros_PIUP_sinHFC!AB58</f>
        <v>580.80000000000007</v>
      </c>
      <c r="X40" s="110">
        <f>Act_Cemento_Otros_PIUP_sinHFC!AC58</f>
        <v>593.30000000000007</v>
      </c>
      <c r="Y40" s="110">
        <f>Act_Cemento_Otros_PIUP_sinHFC!AD58</f>
        <v>606</v>
      </c>
      <c r="Z40" s="110">
        <f>Act_Cemento_Otros_PIUP_sinHFC!AE58</f>
        <v>618.80000000000007</v>
      </c>
      <c r="AA40" s="110">
        <f>Act_Cemento_Otros_PIUP_sinHFC!AF58</f>
        <v>632.09999999999991</v>
      </c>
      <c r="AB40" s="111">
        <f>Act_Cemento_Otros_PIUP_sinHFC!AG58</f>
        <v>645.6</v>
      </c>
    </row>
    <row r="41" spans="2:28" ht="15" thickBot="1" x14ac:dyDescent="0.35">
      <c r="B41" s="60" t="s">
        <v>8</v>
      </c>
      <c r="C41" s="112">
        <f>HFC_Desglose!I162*1000</f>
        <v>214.57810000000003</v>
      </c>
      <c r="D41" s="112">
        <f>HFC_Desglose!J162*1000</f>
        <v>239.14860000000002</v>
      </c>
      <c r="E41" s="112">
        <f>HFC_Desglose!K162*1000</f>
        <v>288.81239999999997</v>
      </c>
      <c r="F41" s="112">
        <f>HFC_Desglose!L162*1000</f>
        <v>327.45690000000002</v>
      </c>
      <c r="G41" s="112">
        <f>HFC_Desglose!M162*1000</f>
        <v>373.43760000000003</v>
      </c>
      <c r="H41" s="112">
        <f>HFC_Desglose!N162*1000</f>
        <v>442.6551</v>
      </c>
      <c r="I41" s="112">
        <f>HFC_Desglose!O162*1000</f>
        <v>472.41720000000004</v>
      </c>
      <c r="J41" s="112">
        <f>HFC_Desglose!P162*1000</f>
        <v>497.803</v>
      </c>
      <c r="K41" s="112">
        <f>HFC_Desglose!Q162*1000</f>
        <v>519.68060000000003</v>
      </c>
      <c r="L41" s="112">
        <f>HFC_Desglose!R162*1000</f>
        <v>939.66700000000003</v>
      </c>
      <c r="M41" s="112">
        <f>HFC_Desglose!S162*1000</f>
        <v>1203.3989000000001</v>
      </c>
      <c r="N41" s="112">
        <f>HFC_Desglose!T162*1000</f>
        <v>1325.0455000000002</v>
      </c>
      <c r="O41" s="112">
        <f>HFC_Desglose!U162*1000</f>
        <v>1957.9065000000001</v>
      </c>
      <c r="P41" s="112">
        <f>HFC_Desglose!V162*1000</f>
        <v>2384.1217999999999</v>
      </c>
      <c r="Q41" s="112">
        <f>HFC_Desglose!W162*1000</f>
        <v>2809.8985000000002</v>
      </c>
      <c r="R41" s="112">
        <f>HFC_Desglose!X162*1000</f>
        <v>3237.3813999999993</v>
      </c>
      <c r="S41" s="112">
        <f>HFC_Desglose!Y162*1000</f>
        <v>3584.3513000000007</v>
      </c>
      <c r="T41" s="112">
        <f>HFC_Desglose!Z162*1000</f>
        <v>3931.2066999999997</v>
      </c>
      <c r="U41" s="112">
        <f>HFC_Desglose!AA162*1000</f>
        <v>4278.6235999999999</v>
      </c>
      <c r="V41" s="112">
        <f>HFC_Desglose!AB162*1000</f>
        <v>4626.0266999999994</v>
      </c>
      <c r="W41" s="112">
        <f>HFC_Desglose!AC162*1000</f>
        <v>4999.0386000000008</v>
      </c>
      <c r="X41" s="112">
        <f>HFC_Desglose!AD162*1000</f>
        <v>4957.1023999999998</v>
      </c>
      <c r="Y41" s="112">
        <f>HFC_Desglose!AE162*1000</f>
        <v>4914.2053999999998</v>
      </c>
      <c r="Z41" s="112">
        <f>HFC_Desglose!AF162*1000</f>
        <v>4872.9468999999999</v>
      </c>
      <c r="AA41" s="112">
        <f>HFC_Desglose!AG162*1000</f>
        <v>4831.3036999999995</v>
      </c>
      <c r="AB41" s="113">
        <f>HFC_Desglose!AH162*1000</f>
        <v>4789.1666999999989</v>
      </c>
    </row>
    <row r="42" spans="2:28" x14ac:dyDescent="0.3">
      <c r="B42" s="58" t="s">
        <v>21</v>
      </c>
      <c r="C42" s="108">
        <f>SUM(C43:C45)</f>
        <v>2420.0468670000005</v>
      </c>
      <c r="D42" s="108">
        <f t="shared" ref="D42:AB42" si="10">SUM(D43:D45)</f>
        <v>2546.4508984999998</v>
      </c>
      <c r="E42" s="108">
        <f t="shared" si="10"/>
        <v>2697.9482299999995</v>
      </c>
      <c r="F42" s="108">
        <f t="shared" si="10"/>
        <v>2733.4848149999998</v>
      </c>
      <c r="G42" s="108">
        <f t="shared" si="10"/>
        <v>2776.2575999999999</v>
      </c>
      <c r="H42" s="108">
        <f t="shared" si="10"/>
        <v>2791.3351000000002</v>
      </c>
      <c r="I42" s="108">
        <f t="shared" si="10"/>
        <v>2766.8571999999999</v>
      </c>
      <c r="J42" s="108">
        <f t="shared" si="10"/>
        <v>2857.1880000000001</v>
      </c>
      <c r="K42" s="108">
        <f t="shared" si="10"/>
        <v>2944.1106</v>
      </c>
      <c r="L42" s="108">
        <f t="shared" si="10"/>
        <v>2967.6971950000002</v>
      </c>
      <c r="M42" s="108">
        <f t="shared" si="10"/>
        <v>2834.92929</v>
      </c>
      <c r="N42" s="108">
        <f t="shared" si="10"/>
        <v>3655.3334720000003</v>
      </c>
      <c r="O42" s="108">
        <f t="shared" si="10"/>
        <v>4246.1776719999998</v>
      </c>
      <c r="P42" s="108">
        <f t="shared" si="10"/>
        <v>4759.4811064139085</v>
      </c>
      <c r="Q42" s="108">
        <f t="shared" si="10"/>
        <v>5271.1202309208702</v>
      </c>
      <c r="R42" s="108">
        <f t="shared" si="10"/>
        <v>5783.2236340230229</v>
      </c>
      <c r="S42" s="108">
        <f t="shared" si="10"/>
        <v>6213.8300503453629</v>
      </c>
      <c r="T42" s="108">
        <f t="shared" si="10"/>
        <v>6642.597283504374</v>
      </c>
      <c r="U42" s="108">
        <f t="shared" si="10"/>
        <v>7071.0830685149576</v>
      </c>
      <c r="V42" s="108">
        <f t="shared" si="10"/>
        <v>7498.2710667457259</v>
      </c>
      <c r="W42" s="108">
        <f t="shared" si="10"/>
        <v>7949.5442085567902</v>
      </c>
      <c r="X42" s="108">
        <f t="shared" si="10"/>
        <v>8006.1117878414943</v>
      </c>
      <c r="Y42" s="108">
        <f t="shared" si="10"/>
        <v>8061.9185671261985</v>
      </c>
      <c r="Z42" s="108">
        <f t="shared" si="10"/>
        <v>8119.4241767710118</v>
      </c>
      <c r="AA42" s="108">
        <f t="shared" si="10"/>
        <v>8177.0847560557158</v>
      </c>
      <c r="AB42" s="109">
        <f t="shared" si="10"/>
        <v>8234.4515353404204</v>
      </c>
    </row>
    <row r="43" spans="2:28" x14ac:dyDescent="0.3">
      <c r="B43" s="59" t="s">
        <v>18</v>
      </c>
      <c r="C43" s="110">
        <f>Act_Cemento_Otros_PIUP_sinHFC!H68</f>
        <v>1781.9687670000003</v>
      </c>
      <c r="D43" s="110">
        <f>Act_Cemento_Otros_PIUP_sinHFC!I68</f>
        <v>1784.8022984999998</v>
      </c>
      <c r="E43" s="110">
        <f>Act_Cemento_Otros_PIUP_sinHFC!J68</f>
        <v>1787.6358299999997</v>
      </c>
      <c r="F43" s="110">
        <f>Act_Cemento_Otros_PIUP_sinHFC!K68</f>
        <v>1836.2279149999997</v>
      </c>
      <c r="G43" s="110">
        <f>Act_Cemento_Otros_PIUP_sinHFC!L68</f>
        <v>1884.8199999999997</v>
      </c>
      <c r="H43" s="110">
        <f>Act_Cemento_Otros_PIUP_sinHFC!M68</f>
        <v>1817.7800000000002</v>
      </c>
      <c r="I43" s="110">
        <f>Act_Cemento_Otros_PIUP_sinHFC!N68</f>
        <v>1750.7400000000002</v>
      </c>
      <c r="J43" s="110">
        <f>Act_Cemento_Otros_PIUP_sinHFC!O68</f>
        <v>1889.8850000000002</v>
      </c>
      <c r="K43" s="110">
        <f>Act_Cemento_Otros_PIUP_sinHFC!P68</f>
        <v>2029.0299999999997</v>
      </c>
      <c r="L43" s="110">
        <f>Act_Cemento_Otros_PIUP_sinHFC!Q68</f>
        <v>1688.4301949999999</v>
      </c>
      <c r="M43" s="110">
        <f>Act_Cemento_Otros_PIUP_sinHFC!R68</f>
        <v>1347.8303900000001</v>
      </c>
      <c r="N43" s="110">
        <f>Act_Cemento_Otros_PIUP_sinHFC!S68</f>
        <v>1964.8879720000002</v>
      </c>
      <c r="O43" s="110">
        <f>Act_Cemento_Otros_PIUP_sinHFC!T68</f>
        <v>1797.8711719999997</v>
      </c>
      <c r="P43" s="110">
        <f>Act_Cemento_Otros_PIUP_sinHFC!U68</f>
        <v>1874.5593064139089</v>
      </c>
      <c r="Q43" s="110">
        <f>Act_Cemento_Otros_PIUP_sinHFC!V68</f>
        <v>1949.7217309208702</v>
      </c>
      <c r="R43" s="110">
        <f>Act_Cemento_Otros_PIUP_sinHFC!W68</f>
        <v>2023.4422340230233</v>
      </c>
      <c r="S43" s="110">
        <f>Act_Cemento_Otros_PIUP_sinHFC!X68</f>
        <v>2095.678750345362</v>
      </c>
      <c r="T43" s="110">
        <f>Act_Cemento_Otros_PIUP_sinHFC!Y68</f>
        <v>2166.3905835043743</v>
      </c>
      <c r="U43" s="110">
        <f>Act_Cemento_Otros_PIUP_sinHFC!Z68</f>
        <v>2235.6594685149576</v>
      </c>
      <c r="V43" s="110">
        <f>Act_Cemento_Otros_PIUP_sinHFC!AA68</f>
        <v>2303.4443667457263</v>
      </c>
      <c r="W43" s="110">
        <f>Act_Cemento_Otros_PIUP_sinHFC!AB68</f>
        <v>2369.7056085567897</v>
      </c>
      <c r="X43" s="110">
        <f>Act_Cemento_Otros_PIUP_sinHFC!AC68</f>
        <v>2455.7093878414944</v>
      </c>
      <c r="Y43" s="110">
        <f>Act_Cemento_Otros_PIUP_sinHFC!AD68</f>
        <v>2541.7131671261982</v>
      </c>
      <c r="Z43" s="110">
        <f>Act_Cemento_Otros_PIUP_sinHFC!AE68</f>
        <v>2627.6772767710122</v>
      </c>
      <c r="AA43" s="110">
        <f>Act_Cemento_Otros_PIUP_sinHFC!AF68</f>
        <v>2713.6810560557169</v>
      </c>
      <c r="AB43" s="111">
        <f>Act_Cemento_Otros_PIUP_sinHFC!AG68</f>
        <v>2799.6848353404212</v>
      </c>
    </row>
    <row r="44" spans="2:28" x14ac:dyDescent="0.3">
      <c r="B44" s="59" t="s">
        <v>19</v>
      </c>
      <c r="C44" s="110">
        <f>Act_Cemento_Otros_PIUP_sinHFC!H58</f>
        <v>423.50000000000006</v>
      </c>
      <c r="D44" s="110">
        <f>Act_Cemento_Otros_PIUP_sinHFC!I58</f>
        <v>522.5</v>
      </c>
      <c r="E44" s="110">
        <f>Act_Cemento_Otros_PIUP_sinHFC!J58</f>
        <v>621.49999999999989</v>
      </c>
      <c r="F44" s="110">
        <f>Act_Cemento_Otros_PIUP_sinHFC!K58</f>
        <v>569.79999999999995</v>
      </c>
      <c r="G44" s="110">
        <f>Act_Cemento_Otros_PIUP_sinHFC!L58</f>
        <v>518</v>
      </c>
      <c r="H44" s="110">
        <f>Act_Cemento_Otros_PIUP_sinHFC!M58</f>
        <v>530.90000000000009</v>
      </c>
      <c r="I44" s="110">
        <f>Act_Cemento_Otros_PIUP_sinHFC!N58</f>
        <v>543.69999999999993</v>
      </c>
      <c r="J44" s="110">
        <f>Act_Cemento_Otros_PIUP_sinHFC!O58</f>
        <v>469.5</v>
      </c>
      <c r="K44" s="110">
        <f>Act_Cemento_Otros_PIUP_sinHFC!P58</f>
        <v>395.40000000000003</v>
      </c>
      <c r="L44" s="110">
        <f>Act_Cemento_Otros_PIUP_sinHFC!Q58</f>
        <v>339.60000000000008</v>
      </c>
      <c r="M44" s="110">
        <f>Act_Cemento_Otros_PIUP_sinHFC!R58</f>
        <v>283.7</v>
      </c>
      <c r="N44" s="110">
        <f>Act_Cemento_Otros_PIUP_sinHFC!S58</f>
        <v>365.39999999999986</v>
      </c>
      <c r="O44" s="110">
        <f>Act_Cemento_Otros_PIUP_sinHFC!T58</f>
        <v>490.4</v>
      </c>
      <c r="P44" s="110">
        <f>Act_Cemento_Otros_PIUP_sinHFC!U58</f>
        <v>500.7999999999999</v>
      </c>
      <c r="Q44" s="110">
        <f>Act_Cemento_Otros_PIUP_sinHFC!V58</f>
        <v>511.49999999999994</v>
      </c>
      <c r="R44" s="110">
        <f>Act_Cemento_Otros_PIUP_sinHFC!W58</f>
        <v>522.4</v>
      </c>
      <c r="S44" s="110">
        <f>Act_Cemento_Otros_PIUP_sinHFC!X58</f>
        <v>533.79999999999995</v>
      </c>
      <c r="T44" s="110">
        <f>Act_Cemento_Otros_PIUP_sinHFC!Y58</f>
        <v>544.99999999999989</v>
      </c>
      <c r="U44" s="110">
        <f>Act_Cemento_Otros_PIUP_sinHFC!Z58</f>
        <v>556.79999999999995</v>
      </c>
      <c r="V44" s="110">
        <f>Act_Cemento_Otros_PIUP_sinHFC!AA58</f>
        <v>568.79999999999995</v>
      </c>
      <c r="W44" s="110">
        <f>Act_Cemento_Otros_PIUP_sinHFC!AB58</f>
        <v>580.80000000000007</v>
      </c>
      <c r="X44" s="110">
        <f>Act_Cemento_Otros_PIUP_sinHFC!AC58</f>
        <v>593.30000000000007</v>
      </c>
      <c r="Y44" s="110">
        <f>Act_Cemento_Otros_PIUP_sinHFC!AD58</f>
        <v>606</v>
      </c>
      <c r="Z44" s="110">
        <f>Act_Cemento_Otros_PIUP_sinHFC!AE58</f>
        <v>618.80000000000007</v>
      </c>
      <c r="AA44" s="110">
        <f>Act_Cemento_Otros_PIUP_sinHFC!AF58</f>
        <v>632.09999999999991</v>
      </c>
      <c r="AB44" s="111">
        <f>Act_Cemento_Otros_PIUP_sinHFC!AG58</f>
        <v>645.6</v>
      </c>
    </row>
    <row r="45" spans="2:28" ht="15" thickBot="1" x14ac:dyDescent="0.35">
      <c r="B45" s="60" t="s">
        <v>8</v>
      </c>
      <c r="C45" s="112">
        <f>HFC_Desglose!I162*1000</f>
        <v>214.57810000000003</v>
      </c>
      <c r="D45" s="112">
        <f>HFC_Desglose!J162*1000</f>
        <v>239.14860000000002</v>
      </c>
      <c r="E45" s="112">
        <f>HFC_Desglose!K162*1000</f>
        <v>288.81239999999997</v>
      </c>
      <c r="F45" s="112">
        <f>HFC_Desglose!L162*1000</f>
        <v>327.45690000000002</v>
      </c>
      <c r="G45" s="112">
        <f>HFC_Desglose!M162*1000</f>
        <v>373.43760000000003</v>
      </c>
      <c r="H45" s="112">
        <f>HFC_Desglose!N162*1000</f>
        <v>442.6551</v>
      </c>
      <c r="I45" s="112">
        <f>HFC_Desglose!O162*1000</f>
        <v>472.41720000000004</v>
      </c>
      <c r="J45" s="112">
        <f>HFC_Desglose!P162*1000</f>
        <v>497.803</v>
      </c>
      <c r="K45" s="112">
        <f>HFC_Desglose!Q162*1000</f>
        <v>519.68060000000003</v>
      </c>
      <c r="L45" s="112">
        <f>HFC_Desglose!R162*1000</f>
        <v>939.66700000000003</v>
      </c>
      <c r="M45" s="112">
        <f>HFC_Desglose!S162*1000</f>
        <v>1203.3989000000001</v>
      </c>
      <c r="N45" s="112">
        <f>HFC_Desglose!T162*1000</f>
        <v>1325.0455000000002</v>
      </c>
      <c r="O45" s="112">
        <f>HFC_Desglose!U162*1000</f>
        <v>1957.9065000000001</v>
      </c>
      <c r="P45" s="112">
        <f>HFC_Desglose!V162*1000</f>
        <v>2384.1217999999999</v>
      </c>
      <c r="Q45" s="112">
        <f>HFC_Desglose!W162*1000</f>
        <v>2809.8985000000002</v>
      </c>
      <c r="R45" s="112">
        <f>HFC_Desglose!X162*1000</f>
        <v>3237.3813999999993</v>
      </c>
      <c r="S45" s="112">
        <f>HFC_Desglose!Y162*1000</f>
        <v>3584.3513000000007</v>
      </c>
      <c r="T45" s="112">
        <f>HFC_Desglose!Z162*1000</f>
        <v>3931.2066999999997</v>
      </c>
      <c r="U45" s="112">
        <f>HFC_Desglose!AA162*1000</f>
        <v>4278.6235999999999</v>
      </c>
      <c r="V45" s="112">
        <f>HFC_Desglose!AB162*1000</f>
        <v>4626.0266999999994</v>
      </c>
      <c r="W45" s="112">
        <f>HFC_Desglose!AC162*1000</f>
        <v>4999.0386000000008</v>
      </c>
      <c r="X45" s="112">
        <f>HFC_Desglose!AD162*1000</f>
        <v>4957.1023999999998</v>
      </c>
      <c r="Y45" s="112">
        <f>HFC_Desglose!AE162*1000</f>
        <v>4914.2053999999998</v>
      </c>
      <c r="Z45" s="112">
        <f>HFC_Desglose!AF162*1000</f>
        <v>4872.9468999999999</v>
      </c>
      <c r="AA45" s="112">
        <f>HFC_Desglose!AG162*1000</f>
        <v>4831.3036999999995</v>
      </c>
      <c r="AB45" s="113">
        <f>HFC_Desglose!AH162*1000</f>
        <v>4789.1666999999989</v>
      </c>
    </row>
    <row r="47" spans="2:28" x14ac:dyDescent="0.3"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S47" s="14">
        <f>+S34-S38</f>
        <v>422.55379999999968</v>
      </c>
      <c r="T47" s="14">
        <f t="shared" ref="T47:AB47" si="11">+T34-T38</f>
        <v>522.58760000000075</v>
      </c>
      <c r="U47" s="14">
        <f t="shared" si="11"/>
        <v>622.1275999999998</v>
      </c>
      <c r="V47" s="14">
        <f t="shared" si="11"/>
        <v>722.9352000000008</v>
      </c>
      <c r="W47" s="14">
        <f t="shared" si="11"/>
        <v>796.20250000000124</v>
      </c>
      <c r="X47" s="14">
        <f t="shared" si="11"/>
        <v>870.63820000000032</v>
      </c>
      <c r="Y47" s="14">
        <f t="shared" si="11"/>
        <v>945.04000000000087</v>
      </c>
      <c r="Z47" s="14">
        <f t="shared" si="11"/>
        <v>1018.6003000000019</v>
      </c>
      <c r="AA47" s="14">
        <f t="shared" si="11"/>
        <v>1092.0791000000008</v>
      </c>
      <c r="AB47" s="14">
        <f t="shared" si="11"/>
        <v>1166.5856000000003</v>
      </c>
    </row>
    <row r="48" spans="2:28" x14ac:dyDescent="0.3">
      <c r="B48" s="7" t="s">
        <v>25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</row>
    <row r="49" spans="2:28" ht="15" thickBot="1" x14ac:dyDescent="0.35"/>
    <row r="50" spans="2:28" ht="15" thickBot="1" x14ac:dyDescent="0.35">
      <c r="B50" s="61" t="s">
        <v>20</v>
      </c>
      <c r="C50" s="114">
        <f>C38-C34</f>
        <v>0</v>
      </c>
      <c r="D50" s="114">
        <f t="shared" ref="D50:AB50" si="12">D38-D34</f>
        <v>0</v>
      </c>
      <c r="E50" s="114">
        <f t="shared" si="12"/>
        <v>0</v>
      </c>
      <c r="F50" s="114">
        <f t="shared" si="12"/>
        <v>0</v>
      </c>
      <c r="G50" s="114">
        <f t="shared" si="12"/>
        <v>0</v>
      </c>
      <c r="H50" s="114">
        <f t="shared" si="12"/>
        <v>0</v>
      </c>
      <c r="I50" s="114">
        <f t="shared" si="12"/>
        <v>0</v>
      </c>
      <c r="J50" s="114">
        <f t="shared" si="12"/>
        <v>-35.888888888889142</v>
      </c>
      <c r="K50" s="114">
        <f t="shared" si="12"/>
        <v>-71.777777777777828</v>
      </c>
      <c r="L50" s="114">
        <f t="shared" si="12"/>
        <v>-107.66666666666652</v>
      </c>
      <c r="M50" s="114">
        <f t="shared" si="12"/>
        <v>-143.55555555555566</v>
      </c>
      <c r="N50" s="114">
        <f t="shared" si="12"/>
        <v>-179.44444444444434</v>
      </c>
      <c r="O50" s="114">
        <f t="shared" si="12"/>
        <v>-215.33333333333394</v>
      </c>
      <c r="P50" s="114">
        <f t="shared" si="12"/>
        <v>-251.22222222222263</v>
      </c>
      <c r="Q50" s="114">
        <f t="shared" si="12"/>
        <v>-287.11111111111131</v>
      </c>
      <c r="R50" s="115">
        <f t="shared" si="12"/>
        <v>-323</v>
      </c>
      <c r="S50" s="114">
        <f t="shared" si="12"/>
        <v>-422.55379999999968</v>
      </c>
      <c r="T50" s="114">
        <f t="shared" si="12"/>
        <v>-522.58760000000075</v>
      </c>
      <c r="U50" s="114">
        <f t="shared" si="12"/>
        <v>-622.1275999999998</v>
      </c>
      <c r="V50" s="114">
        <f t="shared" si="12"/>
        <v>-722.9352000000008</v>
      </c>
      <c r="W50" s="114">
        <f t="shared" si="12"/>
        <v>-796.20250000000124</v>
      </c>
      <c r="X50" s="114">
        <f t="shared" si="12"/>
        <v>-870.63820000000032</v>
      </c>
      <c r="Y50" s="114">
        <f t="shared" si="12"/>
        <v>-945.04000000000087</v>
      </c>
      <c r="Z50" s="114">
        <f t="shared" si="12"/>
        <v>-1018.6003000000019</v>
      </c>
      <c r="AA50" s="114">
        <f t="shared" si="12"/>
        <v>-1092.0791000000008</v>
      </c>
      <c r="AB50" s="117">
        <f t="shared" si="12"/>
        <v>-1166.5856000000003</v>
      </c>
    </row>
    <row r="51" spans="2:28" ht="15" thickBot="1" x14ac:dyDescent="0.35">
      <c r="B51" s="61" t="s">
        <v>21</v>
      </c>
      <c r="C51" s="114">
        <f>C42-C34</f>
        <v>0</v>
      </c>
      <c r="D51" s="114">
        <f t="shared" ref="D51:AB51" si="13">D42-D34</f>
        <v>0</v>
      </c>
      <c r="E51" s="114">
        <f t="shared" si="13"/>
        <v>0</v>
      </c>
      <c r="F51" s="114">
        <f t="shared" si="13"/>
        <v>0</v>
      </c>
      <c r="G51" s="114">
        <f t="shared" si="13"/>
        <v>0</v>
      </c>
      <c r="H51" s="114">
        <f t="shared" si="13"/>
        <v>0</v>
      </c>
      <c r="I51" s="114">
        <f t="shared" si="13"/>
        <v>0</v>
      </c>
      <c r="J51" s="114">
        <f t="shared" si="13"/>
        <v>-35.888888888889142</v>
      </c>
      <c r="K51" s="114">
        <f t="shared" si="13"/>
        <v>-71.777777777777828</v>
      </c>
      <c r="L51" s="114">
        <f t="shared" si="13"/>
        <v>-107.66666666666652</v>
      </c>
      <c r="M51" s="114">
        <f t="shared" si="13"/>
        <v>-143.55555555555566</v>
      </c>
      <c r="N51" s="114">
        <f t="shared" si="13"/>
        <v>-179.44444444444434</v>
      </c>
      <c r="O51" s="114">
        <f t="shared" si="13"/>
        <v>-215.33333333333394</v>
      </c>
      <c r="P51" s="114">
        <f t="shared" si="13"/>
        <v>-251.22222222222263</v>
      </c>
      <c r="Q51" s="114">
        <f t="shared" si="13"/>
        <v>-287.11111111111131</v>
      </c>
      <c r="R51" s="115">
        <f t="shared" si="13"/>
        <v>-323</v>
      </c>
      <c r="S51" s="114">
        <f t="shared" si="13"/>
        <v>-422.55379999999968</v>
      </c>
      <c r="T51" s="114">
        <f t="shared" si="13"/>
        <v>-522.58760000000075</v>
      </c>
      <c r="U51" s="114">
        <f t="shared" si="13"/>
        <v>-622.1275999999998</v>
      </c>
      <c r="V51" s="114">
        <f t="shared" si="13"/>
        <v>-722.9352000000008</v>
      </c>
      <c r="W51" s="114">
        <f t="shared" si="13"/>
        <v>-796.20250000000124</v>
      </c>
      <c r="X51" s="114">
        <f t="shared" si="13"/>
        <v>-870.63820000000032</v>
      </c>
      <c r="Y51" s="114">
        <f t="shared" si="13"/>
        <v>-945.04000000000087</v>
      </c>
      <c r="Z51" s="114">
        <f t="shared" si="13"/>
        <v>-1018.6003000000019</v>
      </c>
      <c r="AA51" s="114">
        <f t="shared" si="13"/>
        <v>-1092.0791000000008</v>
      </c>
      <c r="AB51" s="117">
        <f t="shared" si="13"/>
        <v>-1166.5856000000003</v>
      </c>
    </row>
    <row r="54" spans="2:28" x14ac:dyDescent="0.3">
      <c r="B54" s="7" t="s">
        <v>26</v>
      </c>
    </row>
    <row r="55" spans="2:28" ht="15" thickBot="1" x14ac:dyDescent="0.35"/>
    <row r="56" spans="2:28" ht="15" thickBot="1" x14ac:dyDescent="0.35">
      <c r="B56" s="61" t="s">
        <v>20</v>
      </c>
      <c r="C56" s="65">
        <f>(C38-C34)/C34</f>
        <v>0</v>
      </c>
      <c r="D56" s="65">
        <f t="shared" ref="D56:AA56" si="14">(D38-D34)/D34</f>
        <v>0</v>
      </c>
      <c r="E56" s="65">
        <f t="shared" si="14"/>
        <v>0</v>
      </c>
      <c r="F56" s="65">
        <f t="shared" si="14"/>
        <v>0</v>
      </c>
      <c r="G56" s="65">
        <f t="shared" si="14"/>
        <v>0</v>
      </c>
      <c r="H56" s="65">
        <f t="shared" si="14"/>
        <v>0</v>
      </c>
      <c r="I56" s="65">
        <f t="shared" si="14"/>
        <v>0</v>
      </c>
      <c r="J56" s="65">
        <f t="shared" si="14"/>
        <v>-1.2405093354664547E-2</v>
      </c>
      <c r="K56" s="65">
        <f t="shared" si="14"/>
        <v>-2.379987877093331E-2</v>
      </c>
      <c r="L56" s="65">
        <f t="shared" si="14"/>
        <v>-3.5009407507415234E-2</v>
      </c>
      <c r="M56" s="65">
        <f t="shared" si="14"/>
        <v>-4.8197510814858367E-2</v>
      </c>
      <c r="N56" s="65">
        <f t="shared" si="14"/>
        <v>-4.6793960003509896E-2</v>
      </c>
      <c r="O56" s="65">
        <f t="shared" si="14"/>
        <v>-4.8264664835729949E-2</v>
      </c>
      <c r="P56" s="65">
        <f t="shared" si="14"/>
        <v>-5.0137117635061242E-2</v>
      </c>
      <c r="Q56" s="65">
        <f t="shared" si="14"/>
        <v>-5.1655120746764212E-2</v>
      </c>
      <c r="R56" s="65">
        <f t="shared" si="14"/>
        <v>-5.2896850714783721E-2</v>
      </c>
      <c r="S56" s="65">
        <f t="shared" si="14"/>
        <v>-6.3672296468808037E-2</v>
      </c>
      <c r="T56" s="65">
        <f t="shared" si="14"/>
        <v>-7.293427992389942E-2</v>
      </c>
      <c r="U56" s="65">
        <f t="shared" si="14"/>
        <v>-8.0867095261813612E-2</v>
      </c>
      <c r="V56" s="65">
        <f t="shared" si="14"/>
        <v>-8.7935416840741382E-2</v>
      </c>
      <c r="W56" s="65">
        <f t="shared" si="14"/>
        <v>-9.103882453181511E-2</v>
      </c>
      <c r="X56" s="65">
        <f t="shared" si="14"/>
        <v>-9.8080739143550907E-2</v>
      </c>
      <c r="Y56" s="65">
        <f t="shared" si="14"/>
        <v>-0.10492332044795112</v>
      </c>
      <c r="Z56" s="65">
        <f t="shared" si="14"/>
        <v>-0.11146832694411118</v>
      </c>
      <c r="AA56" s="65">
        <f t="shared" si="14"/>
        <v>-0.1178185127546888</v>
      </c>
      <c r="AB56" s="66">
        <f>(AB38-AB34)/AB34</f>
        <v>-0.12409115964605294</v>
      </c>
    </row>
    <row r="57" spans="2:28" ht="15" thickBot="1" x14ac:dyDescent="0.35">
      <c r="B57" s="61" t="s">
        <v>21</v>
      </c>
      <c r="C57" s="65">
        <f>(C42-C34)/C34</f>
        <v>0</v>
      </c>
      <c r="D57" s="65">
        <f t="shared" ref="D57:AB57" si="15">(D42-D34)/D34</f>
        <v>0</v>
      </c>
      <c r="E57" s="65">
        <f t="shared" si="15"/>
        <v>0</v>
      </c>
      <c r="F57" s="65">
        <f t="shared" si="15"/>
        <v>0</v>
      </c>
      <c r="G57" s="65">
        <f t="shared" si="15"/>
        <v>0</v>
      </c>
      <c r="H57" s="65">
        <f t="shared" si="15"/>
        <v>0</v>
      </c>
      <c r="I57" s="65">
        <f t="shared" si="15"/>
        <v>0</v>
      </c>
      <c r="J57" s="65">
        <f t="shared" si="15"/>
        <v>-1.2405093354664547E-2</v>
      </c>
      <c r="K57" s="65">
        <f t="shared" si="15"/>
        <v>-2.379987877093331E-2</v>
      </c>
      <c r="L57" s="65">
        <f t="shared" si="15"/>
        <v>-3.5009407507415234E-2</v>
      </c>
      <c r="M57" s="65">
        <f t="shared" si="15"/>
        <v>-4.8197510814858367E-2</v>
      </c>
      <c r="N57" s="65">
        <f t="shared" si="15"/>
        <v>-4.6793960003509896E-2</v>
      </c>
      <c r="O57" s="65">
        <f t="shared" si="15"/>
        <v>-4.8264664835729949E-2</v>
      </c>
      <c r="P57" s="65">
        <f t="shared" si="15"/>
        <v>-5.0137117635061242E-2</v>
      </c>
      <c r="Q57" s="65">
        <f t="shared" si="15"/>
        <v>-5.1655120746764212E-2</v>
      </c>
      <c r="R57" s="65">
        <f t="shared" si="15"/>
        <v>-5.2896850714783721E-2</v>
      </c>
      <c r="S57" s="65">
        <f t="shared" si="15"/>
        <v>-6.3672296468808037E-2</v>
      </c>
      <c r="T57" s="65">
        <f t="shared" si="15"/>
        <v>-7.293427992389942E-2</v>
      </c>
      <c r="U57" s="65">
        <f t="shared" si="15"/>
        <v>-8.0867095261813612E-2</v>
      </c>
      <c r="V57" s="65">
        <f t="shared" si="15"/>
        <v>-8.7935416840741382E-2</v>
      </c>
      <c r="W57" s="65">
        <f t="shared" si="15"/>
        <v>-9.103882453181511E-2</v>
      </c>
      <c r="X57" s="65">
        <f t="shared" si="15"/>
        <v>-9.8080739143550907E-2</v>
      </c>
      <c r="Y57" s="65">
        <f t="shared" si="15"/>
        <v>-0.10492332044795112</v>
      </c>
      <c r="Z57" s="65">
        <f t="shared" si="15"/>
        <v>-0.11146832694411118</v>
      </c>
      <c r="AA57" s="65">
        <f t="shared" si="15"/>
        <v>-0.1178185127546888</v>
      </c>
      <c r="AB57" s="66">
        <f t="shared" si="15"/>
        <v>-0.12409115964605294</v>
      </c>
    </row>
    <row r="61" spans="2:28" x14ac:dyDescent="0.3"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 t="s">
        <v>27</v>
      </c>
      <c r="S61" s="14">
        <f t="shared" ref="S61:AB61" si="16">S35-S39</f>
        <v>343.71399999999994</v>
      </c>
      <c r="T61" s="14">
        <f t="shared" si="16"/>
        <v>364.42799999999988</v>
      </c>
      <c r="U61" s="14">
        <f t="shared" si="16"/>
        <v>385.14199999999983</v>
      </c>
      <c r="V61" s="14">
        <f t="shared" si="16"/>
        <v>405.85600000000022</v>
      </c>
      <c r="W61" s="14">
        <f t="shared" si="16"/>
        <v>426.57000000000016</v>
      </c>
      <c r="X61" s="14">
        <f t="shared" si="16"/>
        <v>447.28400000000011</v>
      </c>
      <c r="Y61" s="14">
        <f t="shared" si="16"/>
        <v>467.99800000000005</v>
      </c>
      <c r="Z61" s="14">
        <f t="shared" si="16"/>
        <v>488.71199999999999</v>
      </c>
      <c r="AA61" s="14">
        <f t="shared" si="16"/>
        <v>509.42599999999993</v>
      </c>
      <c r="AB61" s="14">
        <f t="shared" si="16"/>
        <v>530.13999999999987</v>
      </c>
    </row>
    <row r="62" spans="2:28" x14ac:dyDescent="0.3"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 t="s">
        <v>8</v>
      </c>
      <c r="S62" s="14">
        <f t="shared" ref="S62:AB62" si="17">S37-S41</f>
        <v>78.839799999999741</v>
      </c>
      <c r="T62" s="14">
        <f t="shared" si="17"/>
        <v>158.15960000000041</v>
      </c>
      <c r="U62" s="14">
        <f t="shared" si="17"/>
        <v>236.98559999999998</v>
      </c>
      <c r="V62" s="14">
        <f t="shared" si="17"/>
        <v>317.07920000000104</v>
      </c>
      <c r="W62" s="14">
        <f t="shared" si="17"/>
        <v>369.63249999999971</v>
      </c>
      <c r="X62" s="14">
        <f t="shared" si="17"/>
        <v>423.35420000000067</v>
      </c>
      <c r="Y62" s="14">
        <f t="shared" si="17"/>
        <v>477.04200000000128</v>
      </c>
      <c r="Z62" s="14">
        <f t="shared" si="17"/>
        <v>529.88830000000053</v>
      </c>
      <c r="AA62" s="14">
        <f t="shared" si="17"/>
        <v>582.65310000000045</v>
      </c>
      <c r="AB62" s="14">
        <f t="shared" si="17"/>
        <v>636.44560000000092</v>
      </c>
    </row>
    <row r="63" spans="2:28" x14ac:dyDescent="0.3"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9302-D913-4E5D-8CFF-6BCABCC3A323}">
  <sheetPr>
    <tabColor theme="5" tint="0.59999389629810485"/>
  </sheetPr>
  <dimension ref="B1:AH108"/>
  <sheetViews>
    <sheetView topLeftCell="E1" zoomScale="70" zoomScaleNormal="70" workbookViewId="0">
      <pane ySplit="1" topLeftCell="A58" activePane="bottomLeft" state="frozen"/>
      <selection pane="bottomLeft" activeCell="L71" sqref="L71"/>
    </sheetView>
  </sheetViews>
  <sheetFormatPr defaultColWidth="8.88671875" defaultRowHeight="14.4" x14ac:dyDescent="0.3"/>
  <cols>
    <col min="3" max="3" width="15.109375" customWidth="1"/>
    <col min="7" max="7" width="101.33203125" customWidth="1"/>
    <col min="8" max="8" width="12.6640625" bestFit="1" customWidth="1"/>
    <col min="32" max="32" width="8.5546875" bestFit="1" customWidth="1"/>
  </cols>
  <sheetData>
    <row r="1" spans="2:34" ht="15" thickBot="1" x14ac:dyDescent="0.35">
      <c r="F1" s="28"/>
      <c r="G1" s="29"/>
      <c r="H1" s="30">
        <v>2010</v>
      </c>
      <c r="I1" s="29">
        <v>2011</v>
      </c>
      <c r="J1" s="29">
        <v>2012</v>
      </c>
      <c r="K1" s="29">
        <v>2013</v>
      </c>
      <c r="L1" s="29">
        <v>2014</v>
      </c>
      <c r="M1" s="30">
        <v>2015</v>
      </c>
      <c r="N1" s="29">
        <v>2016</v>
      </c>
      <c r="O1" s="29">
        <v>2017</v>
      </c>
      <c r="P1" s="29">
        <v>2018</v>
      </c>
      <c r="Q1" s="29">
        <v>2019</v>
      </c>
      <c r="R1" s="30">
        <v>2020</v>
      </c>
      <c r="S1" s="29">
        <v>2021</v>
      </c>
      <c r="T1" s="29">
        <v>2022</v>
      </c>
      <c r="U1" s="29">
        <v>2023</v>
      </c>
      <c r="V1" s="29">
        <v>2024</v>
      </c>
      <c r="W1" s="30">
        <v>2025</v>
      </c>
      <c r="X1" s="29">
        <v>2026</v>
      </c>
      <c r="Y1" s="29">
        <v>2027</v>
      </c>
      <c r="Z1" s="29">
        <v>2028</v>
      </c>
      <c r="AA1" s="29">
        <v>2029</v>
      </c>
      <c r="AB1" s="30">
        <v>2030</v>
      </c>
      <c r="AC1" s="29">
        <v>2031</v>
      </c>
      <c r="AD1" s="29">
        <v>2032</v>
      </c>
      <c r="AE1" s="29">
        <v>2033</v>
      </c>
      <c r="AF1" s="29">
        <v>2034</v>
      </c>
      <c r="AG1" s="30">
        <v>2035</v>
      </c>
      <c r="AH1" s="31"/>
    </row>
    <row r="2" spans="2:34" ht="15" thickBot="1" x14ac:dyDescent="0.35"/>
    <row r="3" spans="2:34" x14ac:dyDescent="0.3">
      <c r="B3" s="32"/>
      <c r="C3" s="33"/>
      <c r="D3" s="34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4"/>
    </row>
    <row r="4" spans="2:34" x14ac:dyDescent="0.3">
      <c r="B4" s="35"/>
      <c r="C4" s="36" t="s">
        <v>28</v>
      </c>
      <c r="D4" s="37"/>
      <c r="F4" s="35"/>
      <c r="G4" s="36" t="s">
        <v>29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7"/>
    </row>
    <row r="5" spans="2:34" x14ac:dyDescent="0.3">
      <c r="B5" s="35"/>
      <c r="C5" s="38"/>
      <c r="D5" s="37"/>
      <c r="F5" s="35"/>
      <c r="G5" s="3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7"/>
    </row>
    <row r="6" spans="2:34" ht="84.6" customHeight="1" x14ac:dyDescent="0.3">
      <c r="B6" s="35"/>
      <c r="C6" s="39" t="s">
        <v>30</v>
      </c>
      <c r="D6" s="37"/>
      <c r="F6" s="35"/>
      <c r="G6" s="40" t="s">
        <v>31</v>
      </c>
      <c r="H6" s="76">
        <f>H76</f>
        <v>2205.4687670000003</v>
      </c>
      <c r="I6" s="77">
        <f t="shared" ref="I6:S6" si="0">I76</f>
        <v>2307.3022984999998</v>
      </c>
      <c r="J6" s="77">
        <f t="shared" si="0"/>
        <v>2409.1358299999997</v>
      </c>
      <c r="K6" s="77">
        <f t="shared" si="0"/>
        <v>2406.0279149999997</v>
      </c>
      <c r="L6" s="77">
        <f t="shared" si="0"/>
        <v>2402.8199999999997</v>
      </c>
      <c r="M6" s="76">
        <f t="shared" si="0"/>
        <v>2348.6800000000003</v>
      </c>
      <c r="N6" s="77">
        <f t="shared" si="0"/>
        <v>2294.44</v>
      </c>
      <c r="O6" s="77">
        <f t="shared" si="0"/>
        <v>2359.3850000000002</v>
      </c>
      <c r="P6" s="77">
        <f t="shared" si="0"/>
        <v>2424.4299999999998</v>
      </c>
      <c r="Q6" s="77">
        <f>Q76</f>
        <v>2028.030195</v>
      </c>
      <c r="R6" s="76">
        <f t="shared" si="0"/>
        <v>1631.5303900000001</v>
      </c>
      <c r="S6" s="77">
        <f t="shared" si="0"/>
        <v>2330.2879720000001</v>
      </c>
      <c r="T6" s="77">
        <f>T76</f>
        <v>2288.2711719999998</v>
      </c>
      <c r="U6" s="77">
        <f t="shared" ref="U6:AG6" si="1">U76</f>
        <v>2375.3593064139086</v>
      </c>
      <c r="V6" s="77">
        <f t="shared" si="1"/>
        <v>2461.22173092087</v>
      </c>
      <c r="W6" s="76">
        <f t="shared" si="1"/>
        <v>2545.8422340230231</v>
      </c>
      <c r="X6" s="77">
        <f t="shared" si="1"/>
        <v>2973.1927503453617</v>
      </c>
      <c r="Y6" s="77">
        <f t="shared" si="1"/>
        <v>3075.8185835043741</v>
      </c>
      <c r="Z6" s="77">
        <f t="shared" si="1"/>
        <v>3177.6014685149576</v>
      </c>
      <c r="AA6" s="77">
        <f t="shared" si="1"/>
        <v>3278.1003667457262</v>
      </c>
      <c r="AB6" s="76">
        <f t="shared" si="1"/>
        <v>3377.07560855679</v>
      </c>
      <c r="AC6" s="77">
        <f t="shared" si="1"/>
        <v>3496.2933878414947</v>
      </c>
      <c r="AD6" s="77">
        <f t="shared" si="1"/>
        <v>3615.7111671261982</v>
      </c>
      <c r="AE6" s="77">
        <f t="shared" si="1"/>
        <v>3735.1892767710124</v>
      </c>
      <c r="AF6" s="77">
        <f t="shared" si="1"/>
        <v>3855.2070560557167</v>
      </c>
      <c r="AG6" s="76">
        <f t="shared" si="1"/>
        <v>3975.4248353404209</v>
      </c>
      <c r="AH6" s="37"/>
    </row>
    <row r="7" spans="2:34" ht="28.8" x14ac:dyDescent="0.3">
      <c r="B7" s="35"/>
      <c r="C7" s="39" t="s">
        <v>32</v>
      </c>
      <c r="D7" s="37"/>
      <c r="F7" s="35"/>
      <c r="G7" s="68" t="s">
        <v>33</v>
      </c>
      <c r="H7" s="76">
        <f>H77</f>
        <v>2205.4687670000003</v>
      </c>
      <c r="I7" s="77">
        <f t="shared" ref="I7:T7" si="2">I77</f>
        <v>2307.3022984999998</v>
      </c>
      <c r="J7" s="77">
        <f t="shared" si="2"/>
        <v>2409.1358299999997</v>
      </c>
      <c r="K7" s="77">
        <f t="shared" si="2"/>
        <v>2406.0279149999997</v>
      </c>
      <c r="L7" s="77">
        <f t="shared" si="2"/>
        <v>2402.8199999999997</v>
      </c>
      <c r="M7" s="76">
        <f t="shared" si="2"/>
        <v>2348.6800000000003</v>
      </c>
      <c r="N7" s="77">
        <f t="shared" si="2"/>
        <v>2294.44</v>
      </c>
      <c r="O7" s="77">
        <f t="shared" si="2"/>
        <v>2395.2738888888894</v>
      </c>
      <c r="P7" s="77">
        <f t="shared" si="2"/>
        <v>2496.2077777777777</v>
      </c>
      <c r="Q7" s="77">
        <f t="shared" si="2"/>
        <v>2135.6968616666668</v>
      </c>
      <c r="R7" s="76">
        <f t="shared" si="2"/>
        <v>1775.0859455555558</v>
      </c>
      <c r="S7" s="77">
        <f t="shared" si="2"/>
        <v>2509.7324164444444</v>
      </c>
      <c r="T7" s="77">
        <f t="shared" si="2"/>
        <v>2503.6045053333332</v>
      </c>
      <c r="U7" s="77">
        <f t="shared" ref="U7:AG7" si="3">U77</f>
        <v>2626.5815286361308</v>
      </c>
      <c r="V7" s="77">
        <f t="shared" si="3"/>
        <v>2748.3328420319813</v>
      </c>
      <c r="W7" s="76">
        <f t="shared" si="3"/>
        <v>2868.8422340230231</v>
      </c>
      <c r="X7" s="77">
        <f t="shared" si="3"/>
        <v>2973.1927503453617</v>
      </c>
      <c r="Y7" s="77">
        <f t="shared" si="3"/>
        <v>3075.8185835043741</v>
      </c>
      <c r="Z7" s="77">
        <f t="shared" si="3"/>
        <v>3177.6014685149576</v>
      </c>
      <c r="AA7" s="77">
        <f t="shared" si="3"/>
        <v>3278.1003667457262</v>
      </c>
      <c r="AB7" s="76">
        <f t="shared" si="3"/>
        <v>3377.07560855679</v>
      </c>
      <c r="AC7" s="77">
        <f t="shared" si="3"/>
        <v>3496.2933878414947</v>
      </c>
      <c r="AD7" s="77">
        <f t="shared" si="3"/>
        <v>3615.7111671261982</v>
      </c>
      <c r="AE7" s="77">
        <f t="shared" si="3"/>
        <v>3735.1892767710124</v>
      </c>
      <c r="AF7" s="77">
        <f t="shared" si="3"/>
        <v>3855.2070560557167</v>
      </c>
      <c r="AG7" s="76">
        <f t="shared" si="3"/>
        <v>3975.4248353404209</v>
      </c>
      <c r="AH7" s="37"/>
    </row>
    <row r="8" spans="2:34" ht="31.2" customHeight="1" x14ac:dyDescent="0.3">
      <c r="B8" s="35"/>
      <c r="C8" s="97" t="s">
        <v>34</v>
      </c>
      <c r="D8" s="37"/>
      <c r="F8" s="35"/>
      <c r="G8" s="69" t="s">
        <v>20</v>
      </c>
      <c r="H8" s="76">
        <f t="shared" ref="H8:T9" si="4">H78</f>
        <v>2205.4687670000003</v>
      </c>
      <c r="I8" s="77">
        <f t="shared" si="4"/>
        <v>2307.3022984999998</v>
      </c>
      <c r="J8" s="77">
        <f t="shared" si="4"/>
        <v>2409.1358299999997</v>
      </c>
      <c r="K8" s="77">
        <f t="shared" si="4"/>
        <v>2406.0279149999997</v>
      </c>
      <c r="L8" s="77">
        <f t="shared" si="4"/>
        <v>2402.8199999999997</v>
      </c>
      <c r="M8" s="76">
        <f t="shared" si="4"/>
        <v>2348.6800000000003</v>
      </c>
      <c r="N8" s="77">
        <f t="shared" si="4"/>
        <v>2294.44</v>
      </c>
      <c r="O8" s="77">
        <f t="shared" si="4"/>
        <v>2359.3850000000002</v>
      </c>
      <c r="P8" s="77">
        <f t="shared" si="4"/>
        <v>2424.4299999999998</v>
      </c>
      <c r="Q8" s="77">
        <f t="shared" si="4"/>
        <v>2028.030195</v>
      </c>
      <c r="R8" s="76">
        <f t="shared" si="4"/>
        <v>1631.5303900000001</v>
      </c>
      <c r="S8" s="77">
        <f t="shared" si="4"/>
        <v>2330.2879720000001</v>
      </c>
      <c r="T8" s="77">
        <f t="shared" si="4"/>
        <v>2288.2711719999998</v>
      </c>
      <c r="U8" s="77">
        <f t="shared" ref="U8:AG8" si="5">U78</f>
        <v>2375.3593064139086</v>
      </c>
      <c r="V8" s="77">
        <f t="shared" si="5"/>
        <v>2461.22173092087</v>
      </c>
      <c r="W8" s="76">
        <f t="shared" si="5"/>
        <v>2545.8422340230231</v>
      </c>
      <c r="X8" s="77">
        <f t="shared" si="5"/>
        <v>2629.4787503453617</v>
      </c>
      <c r="Y8" s="77">
        <f t="shared" si="5"/>
        <v>2711.3905835043743</v>
      </c>
      <c r="Z8" s="77">
        <f t="shared" si="5"/>
        <v>2792.4594685149577</v>
      </c>
      <c r="AA8" s="77">
        <f t="shared" si="5"/>
        <v>2872.2443667457264</v>
      </c>
      <c r="AB8" s="76">
        <f t="shared" si="5"/>
        <v>2950.5056085567899</v>
      </c>
      <c r="AC8" s="77">
        <f t="shared" si="5"/>
        <v>3049.0093878414946</v>
      </c>
      <c r="AD8" s="77">
        <f t="shared" si="5"/>
        <v>3147.7131671261982</v>
      </c>
      <c r="AE8" s="77">
        <f t="shared" si="5"/>
        <v>3246.4772767710124</v>
      </c>
      <c r="AF8" s="77">
        <f t="shared" si="5"/>
        <v>3345.7810560557168</v>
      </c>
      <c r="AG8" s="76">
        <f t="shared" si="5"/>
        <v>3445.2848353404211</v>
      </c>
      <c r="AH8" s="37"/>
    </row>
    <row r="9" spans="2:34" ht="28.2" customHeight="1" x14ac:dyDescent="0.3">
      <c r="B9" s="35"/>
      <c r="C9" s="98"/>
      <c r="D9" s="37"/>
      <c r="F9" s="35"/>
      <c r="G9" s="69" t="s">
        <v>21</v>
      </c>
      <c r="H9" s="76">
        <f t="shared" si="4"/>
        <v>2205.4687670000003</v>
      </c>
      <c r="I9" s="77">
        <f t="shared" si="4"/>
        <v>2307.3022984999998</v>
      </c>
      <c r="J9" s="77">
        <f t="shared" si="4"/>
        <v>2409.1358299999997</v>
      </c>
      <c r="K9" s="77">
        <f t="shared" si="4"/>
        <v>2406.0279149999997</v>
      </c>
      <c r="L9" s="77">
        <f t="shared" si="4"/>
        <v>2402.8199999999997</v>
      </c>
      <c r="M9" s="76">
        <f t="shared" si="4"/>
        <v>2348.6800000000003</v>
      </c>
      <c r="N9" s="77">
        <f t="shared" si="4"/>
        <v>2294.44</v>
      </c>
      <c r="O9" s="77">
        <f t="shared" si="4"/>
        <v>2359.3850000000002</v>
      </c>
      <c r="P9" s="77">
        <f t="shared" si="4"/>
        <v>2424.4299999999998</v>
      </c>
      <c r="Q9" s="77">
        <f t="shared" si="4"/>
        <v>2028.030195</v>
      </c>
      <c r="R9" s="76">
        <f t="shared" si="4"/>
        <v>1631.5303900000001</v>
      </c>
      <c r="S9" s="77">
        <f t="shared" si="4"/>
        <v>2330.2879720000001</v>
      </c>
      <c r="T9" s="77">
        <f t="shared" si="4"/>
        <v>2288.2711719999998</v>
      </c>
      <c r="U9" s="77">
        <f t="shared" ref="U9:AG9" si="6">U79</f>
        <v>2375.3593064139086</v>
      </c>
      <c r="V9" s="77">
        <f t="shared" si="6"/>
        <v>2461.22173092087</v>
      </c>
      <c r="W9" s="76">
        <f t="shared" si="6"/>
        <v>2545.8422340230231</v>
      </c>
      <c r="X9" s="77">
        <f t="shared" si="6"/>
        <v>2629.4787503453617</v>
      </c>
      <c r="Y9" s="77">
        <f t="shared" si="6"/>
        <v>2711.3905835043743</v>
      </c>
      <c r="Z9" s="77">
        <f t="shared" si="6"/>
        <v>2792.4594685149577</v>
      </c>
      <c r="AA9" s="77">
        <f t="shared" si="6"/>
        <v>2872.2443667457264</v>
      </c>
      <c r="AB9" s="76">
        <f t="shared" si="6"/>
        <v>2950.5056085567899</v>
      </c>
      <c r="AC9" s="77">
        <f t="shared" si="6"/>
        <v>3049.0093878414946</v>
      </c>
      <c r="AD9" s="77">
        <f t="shared" si="6"/>
        <v>3147.7131671261982</v>
      </c>
      <c r="AE9" s="77">
        <f t="shared" si="6"/>
        <v>3246.4772767710124</v>
      </c>
      <c r="AF9" s="77">
        <f t="shared" si="6"/>
        <v>3345.7810560557168</v>
      </c>
      <c r="AG9" s="76">
        <f t="shared" si="6"/>
        <v>3445.2848353404211</v>
      </c>
      <c r="AH9" s="37"/>
    </row>
    <row r="10" spans="2:34" ht="15" thickBot="1" x14ac:dyDescent="0.35">
      <c r="B10" s="35"/>
      <c r="C10" s="38"/>
      <c r="D10" s="37"/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3"/>
    </row>
    <row r="11" spans="2:34" ht="15" thickBot="1" x14ac:dyDescent="0.35">
      <c r="B11" s="35"/>
      <c r="C11" s="38"/>
      <c r="D11" s="37"/>
    </row>
    <row r="12" spans="2:34" x14ac:dyDescent="0.3">
      <c r="B12" s="35"/>
      <c r="C12" s="38"/>
      <c r="D12" s="37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4"/>
    </row>
    <row r="13" spans="2:34" x14ac:dyDescent="0.3">
      <c r="B13" s="35"/>
      <c r="C13" s="38"/>
      <c r="D13" s="37"/>
      <c r="F13" s="35"/>
      <c r="G13" s="36" t="s">
        <v>35</v>
      </c>
      <c r="H13" s="44">
        <f t="shared" ref="H13:AG13" si="7">(H8-H7)/H7</f>
        <v>0</v>
      </c>
      <c r="I13" s="44">
        <f t="shared" si="7"/>
        <v>0</v>
      </c>
      <c r="J13" s="44">
        <f t="shared" si="7"/>
        <v>0</v>
      </c>
      <c r="K13" s="44">
        <f t="shared" si="7"/>
        <v>0</v>
      </c>
      <c r="L13" s="44">
        <f t="shared" si="7"/>
        <v>0</v>
      </c>
      <c r="M13" s="44">
        <f t="shared" si="7"/>
        <v>0</v>
      </c>
      <c r="N13" s="44">
        <f t="shared" si="7"/>
        <v>0</v>
      </c>
      <c r="O13" s="44">
        <f t="shared" si="7"/>
        <v>-1.4983208832764066E-2</v>
      </c>
      <c r="P13" s="44">
        <f t="shared" si="7"/>
        <v>-2.8754728839791226E-2</v>
      </c>
      <c r="Q13" s="44">
        <f t="shared" si="7"/>
        <v>-5.0412897354096049E-2</v>
      </c>
      <c r="R13" s="44">
        <f t="shared" si="7"/>
        <v>-8.0872453480344858E-2</v>
      </c>
      <c r="S13" s="44">
        <f t="shared" si="7"/>
        <v>-7.1499432875264265E-2</v>
      </c>
      <c r="T13" s="44">
        <f t="shared" si="7"/>
        <v>-8.6009324905198525E-2</v>
      </c>
      <c r="U13" s="44">
        <f t="shared" si="7"/>
        <v>-9.5646078175487245E-2</v>
      </c>
      <c r="V13" s="44">
        <f t="shared" si="7"/>
        <v>-0.10446737262683059</v>
      </c>
      <c r="W13" s="44">
        <f t="shared" si="7"/>
        <v>-0.11258897271149412</v>
      </c>
      <c r="X13" s="44">
        <f t="shared" si="7"/>
        <v>-0.11560434484446884</v>
      </c>
      <c r="Y13" s="44">
        <f t="shared" si="7"/>
        <v>-0.11848163020876086</v>
      </c>
      <c r="Z13" s="44">
        <f t="shared" si="7"/>
        <v>-0.12120525617077926</v>
      </c>
      <c r="AA13" s="44">
        <f t="shared" si="7"/>
        <v>-0.12380828973912895</v>
      </c>
      <c r="AB13" s="44">
        <f t="shared" si="7"/>
        <v>-0.1263134289677029</v>
      </c>
      <c r="AC13" s="44">
        <f t="shared" si="7"/>
        <v>-0.12793091150629657</v>
      </c>
      <c r="AD13" s="44">
        <f t="shared" si="7"/>
        <v>-0.12943456442400772</v>
      </c>
      <c r="AE13" s="44">
        <f t="shared" si="7"/>
        <v>-0.13083995583283548</v>
      </c>
      <c r="AF13" s="44">
        <f t="shared" si="7"/>
        <v>-0.13213972494675719</v>
      </c>
      <c r="AG13" s="44">
        <f t="shared" si="7"/>
        <v>-0.13335430097613787</v>
      </c>
      <c r="AH13" s="37"/>
    </row>
    <row r="14" spans="2:34" x14ac:dyDescent="0.3">
      <c r="B14" s="35"/>
      <c r="C14" s="38"/>
      <c r="D14" s="37"/>
      <c r="F14" s="35"/>
      <c r="G14" s="45" t="s">
        <v>36</v>
      </c>
      <c r="H14" s="44">
        <f t="shared" ref="H14:AG14" si="8">(H9-H7)/H7</f>
        <v>0</v>
      </c>
      <c r="I14" s="44">
        <f t="shared" si="8"/>
        <v>0</v>
      </c>
      <c r="J14" s="44">
        <f t="shared" si="8"/>
        <v>0</v>
      </c>
      <c r="K14" s="44">
        <f t="shared" si="8"/>
        <v>0</v>
      </c>
      <c r="L14" s="44">
        <f t="shared" si="8"/>
        <v>0</v>
      </c>
      <c r="M14" s="44">
        <f t="shared" si="8"/>
        <v>0</v>
      </c>
      <c r="N14" s="44">
        <f t="shared" si="8"/>
        <v>0</v>
      </c>
      <c r="O14" s="44">
        <f t="shared" si="8"/>
        <v>-1.4983208832764066E-2</v>
      </c>
      <c r="P14" s="44">
        <f t="shared" si="8"/>
        <v>-2.8754728839791226E-2</v>
      </c>
      <c r="Q14" s="44">
        <f t="shared" si="8"/>
        <v>-5.0412897354096049E-2</v>
      </c>
      <c r="R14" s="44">
        <f t="shared" si="8"/>
        <v>-8.0872453480344858E-2</v>
      </c>
      <c r="S14" s="44">
        <f t="shared" si="8"/>
        <v>-7.1499432875264265E-2</v>
      </c>
      <c r="T14" s="44">
        <f t="shared" si="8"/>
        <v>-8.6009324905198525E-2</v>
      </c>
      <c r="U14" s="44">
        <f t="shared" si="8"/>
        <v>-9.5646078175487245E-2</v>
      </c>
      <c r="V14" s="44">
        <f t="shared" si="8"/>
        <v>-0.10446737262683059</v>
      </c>
      <c r="W14" s="44">
        <f t="shared" si="8"/>
        <v>-0.11258897271149412</v>
      </c>
      <c r="X14" s="44">
        <f t="shared" si="8"/>
        <v>-0.11560434484446884</v>
      </c>
      <c r="Y14" s="44">
        <f t="shared" si="8"/>
        <v>-0.11848163020876086</v>
      </c>
      <c r="Z14" s="44">
        <f t="shared" si="8"/>
        <v>-0.12120525617077926</v>
      </c>
      <c r="AA14" s="44">
        <f t="shared" si="8"/>
        <v>-0.12380828973912895</v>
      </c>
      <c r="AB14" s="44">
        <f t="shared" si="8"/>
        <v>-0.1263134289677029</v>
      </c>
      <c r="AC14" s="44">
        <f t="shared" si="8"/>
        <v>-0.12793091150629657</v>
      </c>
      <c r="AD14" s="44">
        <f t="shared" si="8"/>
        <v>-0.12943456442400772</v>
      </c>
      <c r="AE14" s="44">
        <f t="shared" si="8"/>
        <v>-0.13083995583283548</v>
      </c>
      <c r="AF14" s="44">
        <f t="shared" si="8"/>
        <v>-0.13213972494675719</v>
      </c>
      <c r="AG14" s="44">
        <f t="shared" si="8"/>
        <v>-0.13335430097613787</v>
      </c>
      <c r="AH14" s="37"/>
    </row>
    <row r="15" spans="2:34" ht="15" thickBot="1" x14ac:dyDescent="0.35">
      <c r="B15" s="35"/>
      <c r="C15" s="38"/>
      <c r="D15" s="37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3"/>
    </row>
    <row r="16" spans="2:34" x14ac:dyDescent="0.3">
      <c r="B16" s="35"/>
      <c r="C16" s="38"/>
      <c r="D16" s="37"/>
    </row>
    <row r="17" spans="2:34" x14ac:dyDescent="0.3">
      <c r="B17" s="35"/>
      <c r="C17" s="38"/>
      <c r="D17" s="3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34" x14ac:dyDescent="0.3">
      <c r="B18" s="35"/>
      <c r="C18" s="38"/>
      <c r="D18" s="37"/>
    </row>
    <row r="19" spans="2:34" ht="28.8" x14ac:dyDescent="0.3">
      <c r="B19" s="35"/>
      <c r="C19" s="39" t="s">
        <v>32</v>
      </c>
      <c r="D19" s="37"/>
      <c r="G19" s="52" t="s">
        <v>37</v>
      </c>
      <c r="H19" s="54">
        <v>2.8421709430404007E-14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35.888888888888928</v>
      </c>
      <c r="P19" s="54">
        <v>71.7777777777778</v>
      </c>
      <c r="Q19" s="54">
        <v>107.66666666666669</v>
      </c>
      <c r="R19" s="54">
        <v>143.55555555555557</v>
      </c>
      <c r="S19" s="54">
        <v>179.44444444444443</v>
      </c>
      <c r="T19" s="54">
        <v>215.33333333333331</v>
      </c>
      <c r="U19" s="54">
        <v>251.2222222222222</v>
      </c>
      <c r="V19" s="54">
        <v>287.11111111111109</v>
      </c>
      <c r="W19" s="54">
        <v>323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14"/>
    </row>
    <row r="20" spans="2:34" ht="57.6" x14ac:dyDescent="0.3">
      <c r="B20" s="35"/>
      <c r="C20" s="39" t="s">
        <v>38</v>
      </c>
      <c r="D20" s="37"/>
      <c r="G20" s="52" t="s">
        <v>39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343.71400000000006</v>
      </c>
      <c r="Y20" s="54">
        <v>364.42800000000005</v>
      </c>
      <c r="Z20" s="54">
        <v>385.14200000000005</v>
      </c>
      <c r="AA20" s="54">
        <v>405.85600000000005</v>
      </c>
      <c r="AB20" s="54">
        <v>426.57000000000005</v>
      </c>
      <c r="AC20" s="54">
        <v>447.28399999999999</v>
      </c>
      <c r="AD20" s="54">
        <v>467.99800000000005</v>
      </c>
      <c r="AE20" s="54">
        <v>488.71199999999999</v>
      </c>
      <c r="AF20" s="54">
        <v>509.42600000000004</v>
      </c>
      <c r="AG20" s="54">
        <v>530.14</v>
      </c>
    </row>
    <row r="21" spans="2:34" x14ac:dyDescent="0.3">
      <c r="B21" s="35"/>
      <c r="C21" s="38"/>
      <c r="D21" s="37"/>
    </row>
    <row r="22" spans="2:34" ht="15" thickBot="1" x14ac:dyDescent="0.35">
      <c r="B22" s="35"/>
      <c r="C22" s="38"/>
      <c r="D22" s="37"/>
    </row>
    <row r="23" spans="2:34" x14ac:dyDescent="0.3">
      <c r="B23" s="35"/>
      <c r="C23" s="38"/>
      <c r="D23" s="37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4"/>
    </row>
    <row r="24" spans="2:34" x14ac:dyDescent="0.3">
      <c r="B24" s="35"/>
      <c r="C24" s="36" t="s">
        <v>40</v>
      </c>
      <c r="D24" s="37"/>
      <c r="F24" s="35"/>
      <c r="G24" s="36" t="s">
        <v>41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7"/>
    </row>
    <row r="25" spans="2:34" x14ac:dyDescent="0.3">
      <c r="B25" s="35"/>
      <c r="C25" s="38"/>
      <c r="D25" s="37"/>
      <c r="F25" s="35"/>
      <c r="G25" s="36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37"/>
    </row>
    <row r="26" spans="2:34" ht="21" customHeight="1" x14ac:dyDescent="0.3">
      <c r="B26" s="35"/>
      <c r="C26" s="99" t="s">
        <v>30</v>
      </c>
      <c r="D26" s="37"/>
      <c r="F26" s="35"/>
      <c r="G26" s="40" t="s">
        <v>31</v>
      </c>
      <c r="H26" s="82">
        <v>5.2748999999999997</v>
      </c>
      <c r="I26" s="82">
        <v>5.6681999999999997</v>
      </c>
      <c r="J26" s="82">
        <v>6.0614999999999997</v>
      </c>
      <c r="K26" s="82">
        <v>6.3077999999999994</v>
      </c>
      <c r="L26" s="82">
        <v>6.5541</v>
      </c>
      <c r="M26" s="82">
        <v>5.7818999999999994</v>
      </c>
      <c r="N26" s="82">
        <v>5.0096999999999996</v>
      </c>
      <c r="O26" s="82">
        <v>5.0327999999999999</v>
      </c>
      <c r="P26" s="82">
        <v>5.0559000000000003</v>
      </c>
      <c r="Q26" s="82">
        <f>Q28</f>
        <v>4.2404072213282209</v>
      </c>
      <c r="R26" s="82">
        <f t="shared" ref="R26:T26" si="9">R28</f>
        <v>3.4118925408871084</v>
      </c>
      <c r="S26" s="82">
        <f t="shared" si="9"/>
        <v>5.013729911275651</v>
      </c>
      <c r="T26" s="82">
        <f t="shared" si="9"/>
        <v>4.624583085482274</v>
      </c>
      <c r="U26" s="82">
        <f>$T$26*Otras_CementoMiscelanea!S29</f>
        <v>4.8610755050913221</v>
      </c>
      <c r="V26" s="82">
        <f>$T$26*Otras_CementoMiscelanea!T29</f>
        <v>5.0974588414809929</v>
      </c>
      <c r="W26" s="82">
        <f>$T$26*Otras_CementoMiscelanea!U29</f>
        <v>5.333951261090041</v>
      </c>
      <c r="X26" s="82">
        <f>$T$26*Otras_CementoMiscelanea!V29</f>
        <v>5.5704436806990882</v>
      </c>
      <c r="Y26" s="82">
        <f>$T$26*Otras_CementoMiscelanea!W29</f>
        <v>5.806827017088759</v>
      </c>
      <c r="Z26" s="82">
        <f>$T$26*Otras_CementoMiscelanea!X29</f>
        <v>6.0433194366978054</v>
      </c>
      <c r="AA26" s="82">
        <f>$T$26*Otras_CementoMiscelanea!Y29</f>
        <v>6.2798118563068535</v>
      </c>
      <c r="AB26" s="82">
        <f>$T$26*Otras_CementoMiscelanea!Z29</f>
        <v>6.5161951926965243</v>
      </c>
      <c r="AC26" s="82">
        <f>$T$26*Otras_CementoMiscelanea!AA29</f>
        <v>6.7526876123055724</v>
      </c>
      <c r="AD26" s="82">
        <f>$T$26*Otras_CementoMiscelanea!AB29</f>
        <v>6.9891800319146187</v>
      </c>
      <c r="AE26" s="82">
        <f>$T$26*Otras_CementoMiscelanea!AC29</f>
        <v>7.2255633683042904</v>
      </c>
      <c r="AF26" s="82">
        <f>$T$26*Otras_CementoMiscelanea!AD29</f>
        <v>7.4620557879133376</v>
      </c>
      <c r="AG26" s="82">
        <f>$T$26*Otras_CementoMiscelanea!AE29</f>
        <v>7.6985482075223857</v>
      </c>
      <c r="AH26" s="37"/>
    </row>
    <row r="27" spans="2:34" ht="27.6" customHeight="1" x14ac:dyDescent="0.3">
      <c r="B27" s="35"/>
      <c r="C27" s="99"/>
      <c r="D27" s="37"/>
      <c r="F27" s="35"/>
      <c r="G27" s="68" t="s">
        <v>33</v>
      </c>
      <c r="H27" s="82">
        <v>5.2748999999999997</v>
      </c>
      <c r="I27" s="82">
        <v>5.6681999999999997</v>
      </c>
      <c r="J27" s="82">
        <v>6.0614999999999997</v>
      </c>
      <c r="K27" s="82">
        <v>6.3077999999999994</v>
      </c>
      <c r="L27" s="82">
        <v>6.5541</v>
      </c>
      <c r="M27" s="82">
        <v>5.7818999999999994</v>
      </c>
      <c r="N27" s="82">
        <v>5.0096999999999996</v>
      </c>
      <c r="O27" s="82">
        <v>5.0327999999999999</v>
      </c>
      <c r="P27" s="82">
        <v>5.0559000000000003</v>
      </c>
      <c r="Q27" s="82">
        <f>Q28</f>
        <v>4.2404072213282209</v>
      </c>
      <c r="R27" s="82">
        <f t="shared" ref="R27:T27" si="10">R28</f>
        <v>3.4118925408871084</v>
      </c>
      <c r="S27" s="82">
        <f t="shared" si="10"/>
        <v>5.013729911275651</v>
      </c>
      <c r="T27" s="82">
        <f t="shared" si="10"/>
        <v>4.624583085482274</v>
      </c>
      <c r="U27" s="82">
        <f>U26</f>
        <v>4.8610755050913221</v>
      </c>
      <c r="V27" s="82">
        <f t="shared" ref="V27:AG27" si="11">V26</f>
        <v>5.0974588414809929</v>
      </c>
      <c r="W27" s="82">
        <f t="shared" si="11"/>
        <v>5.333951261090041</v>
      </c>
      <c r="X27" s="82">
        <f t="shared" si="11"/>
        <v>5.5704436806990882</v>
      </c>
      <c r="Y27" s="82">
        <f t="shared" si="11"/>
        <v>5.806827017088759</v>
      </c>
      <c r="Z27" s="82">
        <f t="shared" si="11"/>
        <v>6.0433194366978054</v>
      </c>
      <c r="AA27" s="82">
        <f t="shared" si="11"/>
        <v>6.2798118563068535</v>
      </c>
      <c r="AB27" s="82">
        <f t="shared" si="11"/>
        <v>6.5161951926965243</v>
      </c>
      <c r="AC27" s="82">
        <f t="shared" si="11"/>
        <v>6.7526876123055724</v>
      </c>
      <c r="AD27" s="82">
        <f t="shared" si="11"/>
        <v>6.9891800319146187</v>
      </c>
      <c r="AE27" s="82">
        <f t="shared" si="11"/>
        <v>7.2255633683042904</v>
      </c>
      <c r="AF27" s="82">
        <f t="shared" si="11"/>
        <v>7.4620557879133376</v>
      </c>
      <c r="AG27" s="82">
        <f t="shared" si="11"/>
        <v>7.6985482075223857</v>
      </c>
      <c r="AH27" s="37"/>
    </row>
    <row r="28" spans="2:34" ht="20.399999999999999" customHeight="1" x14ac:dyDescent="0.3">
      <c r="B28" s="35"/>
      <c r="C28" s="99"/>
      <c r="D28" s="37"/>
      <c r="F28" s="35"/>
      <c r="G28" s="69" t="s">
        <v>20</v>
      </c>
      <c r="H28" s="82">
        <v>5.2748999999999997</v>
      </c>
      <c r="I28" s="82">
        <v>5.6681999999999997</v>
      </c>
      <c r="J28" s="82">
        <v>6.0614999999999997</v>
      </c>
      <c r="K28" s="82">
        <v>6.3077999999999994</v>
      </c>
      <c r="L28" s="82">
        <v>6.5541</v>
      </c>
      <c r="M28" s="82">
        <v>5.7818999999999994</v>
      </c>
      <c r="N28" s="82">
        <v>5.0096999999999996</v>
      </c>
      <c r="O28" s="82">
        <v>5.0327999999999999</v>
      </c>
      <c r="P28" s="82">
        <v>5.0559000000000003</v>
      </c>
      <c r="Q28" s="82">
        <f>Q39/Q50</f>
        <v>4.2404072213282209</v>
      </c>
      <c r="R28" s="82">
        <f t="shared" ref="R28:T28" si="12">R39/R50</f>
        <v>3.4118925408871084</v>
      </c>
      <c r="S28" s="82">
        <f t="shared" si="12"/>
        <v>5.013729911275651</v>
      </c>
      <c r="T28" s="82">
        <f t="shared" si="12"/>
        <v>4.624583085482274</v>
      </c>
      <c r="U28" s="82">
        <f>U26</f>
        <v>4.8610755050913221</v>
      </c>
      <c r="V28" s="82">
        <f t="shared" ref="V28:AG28" si="13">V26</f>
        <v>5.0974588414809929</v>
      </c>
      <c r="W28" s="82">
        <f t="shared" si="13"/>
        <v>5.333951261090041</v>
      </c>
      <c r="X28" s="82">
        <f t="shared" si="13"/>
        <v>5.5704436806990882</v>
      </c>
      <c r="Y28" s="82">
        <f t="shared" si="13"/>
        <v>5.806827017088759</v>
      </c>
      <c r="Z28" s="82">
        <f t="shared" si="13"/>
        <v>6.0433194366978054</v>
      </c>
      <c r="AA28" s="82">
        <f t="shared" si="13"/>
        <v>6.2798118563068535</v>
      </c>
      <c r="AB28" s="82">
        <f t="shared" si="13"/>
        <v>6.5161951926965243</v>
      </c>
      <c r="AC28" s="82">
        <f t="shared" si="13"/>
        <v>6.7526876123055724</v>
      </c>
      <c r="AD28" s="82">
        <f t="shared" si="13"/>
        <v>6.9891800319146187</v>
      </c>
      <c r="AE28" s="82">
        <f t="shared" si="13"/>
        <v>7.2255633683042904</v>
      </c>
      <c r="AF28" s="82">
        <f t="shared" si="13"/>
        <v>7.4620557879133376</v>
      </c>
      <c r="AG28" s="82">
        <f t="shared" si="13"/>
        <v>7.6985482075223857</v>
      </c>
      <c r="AH28" s="37"/>
    </row>
    <row r="29" spans="2:34" ht="17.399999999999999" customHeight="1" x14ac:dyDescent="0.3">
      <c r="B29" s="35"/>
      <c r="C29" s="99"/>
      <c r="D29" s="37"/>
      <c r="F29" s="35"/>
      <c r="G29" s="69" t="s">
        <v>21</v>
      </c>
      <c r="H29" s="82">
        <v>5.2748999999999997</v>
      </c>
      <c r="I29" s="82">
        <v>5.6681999999999997</v>
      </c>
      <c r="J29" s="82">
        <v>6.0614999999999997</v>
      </c>
      <c r="K29" s="82">
        <v>6.3077999999999994</v>
      </c>
      <c r="L29" s="82">
        <v>6.5541</v>
      </c>
      <c r="M29" s="82">
        <v>5.7818999999999994</v>
      </c>
      <c r="N29" s="82">
        <v>5.0096999999999996</v>
      </c>
      <c r="O29" s="82">
        <v>5.0327999999999999</v>
      </c>
      <c r="P29" s="82">
        <v>5.0559000000000003</v>
      </c>
      <c r="Q29" s="82">
        <f>Q40/Q51</f>
        <v>4.2404072213282209</v>
      </c>
      <c r="R29" s="82">
        <f t="shared" ref="R29:T29" si="14">R40/R51</f>
        <v>3.4118925408871084</v>
      </c>
      <c r="S29" s="82">
        <f t="shared" si="14"/>
        <v>5.013729911275651</v>
      </c>
      <c r="T29" s="82">
        <f t="shared" si="14"/>
        <v>4.624583085482274</v>
      </c>
      <c r="U29" s="82">
        <f>U26</f>
        <v>4.8610755050913221</v>
      </c>
      <c r="V29" s="82">
        <f t="shared" ref="V29:AG29" si="15">V26</f>
        <v>5.0974588414809929</v>
      </c>
      <c r="W29" s="82">
        <f t="shared" si="15"/>
        <v>5.333951261090041</v>
      </c>
      <c r="X29" s="82">
        <f t="shared" si="15"/>
        <v>5.5704436806990882</v>
      </c>
      <c r="Y29" s="82">
        <f t="shared" si="15"/>
        <v>5.806827017088759</v>
      </c>
      <c r="Z29" s="82">
        <f t="shared" si="15"/>
        <v>6.0433194366978054</v>
      </c>
      <c r="AA29" s="82">
        <f t="shared" si="15"/>
        <v>6.2798118563068535</v>
      </c>
      <c r="AB29" s="82">
        <f t="shared" si="15"/>
        <v>6.5161951926965243</v>
      </c>
      <c r="AC29" s="82">
        <f t="shared" si="15"/>
        <v>6.7526876123055724</v>
      </c>
      <c r="AD29" s="82">
        <f t="shared" si="15"/>
        <v>6.9891800319146187</v>
      </c>
      <c r="AE29" s="82">
        <f t="shared" si="15"/>
        <v>7.2255633683042904</v>
      </c>
      <c r="AF29" s="82">
        <f t="shared" si="15"/>
        <v>7.4620557879133376</v>
      </c>
      <c r="AG29" s="82">
        <f t="shared" si="15"/>
        <v>7.6985482075223857</v>
      </c>
      <c r="AH29" s="37"/>
    </row>
    <row r="30" spans="2:34" x14ac:dyDescent="0.3">
      <c r="B30" s="35"/>
      <c r="C30" s="38"/>
      <c r="D30" s="37"/>
      <c r="F30" s="35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7"/>
    </row>
    <row r="31" spans="2:34" ht="15" thickBot="1" x14ac:dyDescent="0.35">
      <c r="B31" s="35"/>
      <c r="C31" s="38"/>
      <c r="D31" s="37"/>
      <c r="F31" s="41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3"/>
    </row>
    <row r="32" spans="2:34" x14ac:dyDescent="0.3">
      <c r="B32" s="35"/>
      <c r="C32" s="38"/>
      <c r="D32" s="37"/>
    </row>
    <row r="33" spans="2:34" ht="15" thickBot="1" x14ac:dyDescent="0.35">
      <c r="B33" s="35"/>
      <c r="C33" s="38"/>
      <c r="D33" s="37"/>
    </row>
    <row r="34" spans="2:34" x14ac:dyDescent="0.3">
      <c r="B34" s="35"/>
      <c r="C34" s="38"/>
      <c r="D34" s="37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4"/>
    </row>
    <row r="35" spans="2:34" x14ac:dyDescent="0.3">
      <c r="B35" s="35"/>
      <c r="C35" s="38"/>
      <c r="D35" s="37"/>
      <c r="F35" s="35"/>
      <c r="G35" s="36" t="s">
        <v>42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7"/>
    </row>
    <row r="36" spans="2:34" x14ac:dyDescent="0.3">
      <c r="B36" s="35"/>
      <c r="C36" s="38"/>
      <c r="D36" s="37"/>
      <c r="F36" s="35"/>
      <c r="G36" s="36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7"/>
    </row>
    <row r="37" spans="2:34" x14ac:dyDescent="0.3">
      <c r="B37" s="35"/>
      <c r="C37" s="99" t="s">
        <v>30</v>
      </c>
      <c r="D37" s="37"/>
      <c r="F37" s="35"/>
      <c r="G37" s="40" t="s">
        <v>31</v>
      </c>
      <c r="H37" s="83">
        <f t="shared" ref="H37:P37" si="16">H26*H48</f>
        <v>3.3289893899999998</v>
      </c>
      <c r="I37" s="83">
        <f t="shared" si="16"/>
        <v>3.3283670399999994</v>
      </c>
      <c r="J37" s="83">
        <f t="shared" si="16"/>
        <v>3.3277635000000001</v>
      </c>
      <c r="K37" s="83">
        <f t="shared" si="16"/>
        <v>3.4339663199999997</v>
      </c>
      <c r="L37" s="83">
        <f t="shared" si="16"/>
        <v>3.5398694100000001</v>
      </c>
      <c r="M37" s="83">
        <f t="shared" si="16"/>
        <v>3.4107428099999995</v>
      </c>
      <c r="N37" s="83">
        <f t="shared" si="16"/>
        <v>3.2818544699999999</v>
      </c>
      <c r="O37" s="83">
        <f t="shared" si="16"/>
        <v>3.5380583999999997</v>
      </c>
      <c r="P37" s="83">
        <f t="shared" si="16"/>
        <v>3.7939473599999998</v>
      </c>
      <c r="Q37" s="86">
        <f>Q65/(Q57*1000)</f>
        <v>3.1571245231862375</v>
      </c>
      <c r="R37" s="86">
        <f t="shared" ref="R37:T37" si="17">R65/(R57*1000)</f>
        <v>2.5202512902019443</v>
      </c>
      <c r="S37" s="86">
        <f t="shared" si="17"/>
        <v>3.6740612789827969</v>
      </c>
      <c r="T37" s="86">
        <f t="shared" si="17"/>
        <v>3.3617635976065814</v>
      </c>
      <c r="U37" s="83">
        <f>U65/(U57*1000)</f>
        <v>3.505159510871183</v>
      </c>
      <c r="V37" s="83">
        <f t="shared" ref="V37:AG37" si="18">V65/(V57*1000)</f>
        <v>3.6457025634272062</v>
      </c>
      <c r="W37" s="83">
        <f t="shared" si="18"/>
        <v>3.7835494278665354</v>
      </c>
      <c r="X37" s="83">
        <f t="shared" si="18"/>
        <v>4.561317782994319</v>
      </c>
      <c r="Y37" s="83">
        <f t="shared" si="18"/>
        <v>4.7322710985496892</v>
      </c>
      <c r="Z37" s="83">
        <f t="shared" si="18"/>
        <v>4.9005263061237043</v>
      </c>
      <c r="AA37" s="83">
        <f t="shared" si="18"/>
        <v>5.0660066693076402</v>
      </c>
      <c r="AB37" s="83">
        <f t="shared" si="18"/>
        <v>5.228638011512321</v>
      </c>
      <c r="AC37" s="83">
        <f t="shared" si="18"/>
        <v>5.428185093196511</v>
      </c>
      <c r="AD37" s="83">
        <f t="shared" si="18"/>
        <v>5.6277321748806992</v>
      </c>
      <c r="AE37" s="83">
        <f t="shared" si="18"/>
        <v>5.8272050799757142</v>
      </c>
      <c r="AF37" s="83">
        <f t="shared" si="18"/>
        <v>6.0267521616599034</v>
      </c>
      <c r="AG37" s="83">
        <f t="shared" si="18"/>
        <v>6.2262992433440925</v>
      </c>
      <c r="AH37" s="37"/>
    </row>
    <row r="38" spans="2:34" ht="28.8" x14ac:dyDescent="0.3">
      <c r="B38" s="35"/>
      <c r="C38" s="99"/>
      <c r="D38" s="37"/>
      <c r="F38" s="35"/>
      <c r="G38" s="68" t="s">
        <v>33</v>
      </c>
      <c r="H38" s="83">
        <f>H66/(H57*1000)</f>
        <v>3.328916060153186</v>
      </c>
      <c r="I38" s="83">
        <f t="shared" ref="I38:P38" si="19">I66/(I57*1000)</f>
        <v>3.3286130147333077</v>
      </c>
      <c r="J38" s="83">
        <f t="shared" si="19"/>
        <v>3.3276914184661197</v>
      </c>
      <c r="K38" s="83">
        <f t="shared" si="19"/>
        <v>3.4341273891902002</v>
      </c>
      <c r="L38" s="83">
        <f t="shared" si="19"/>
        <v>3.5395680751173701</v>
      </c>
      <c r="M38" s="83">
        <f t="shared" si="19"/>
        <v>3.4111090260836927</v>
      </c>
      <c r="N38" s="83">
        <f t="shared" si="19"/>
        <v>3.2816119962511721</v>
      </c>
      <c r="O38" s="83">
        <f t="shared" si="19"/>
        <v>3.6053054177457446</v>
      </c>
      <c r="P38" s="83">
        <f t="shared" si="19"/>
        <v>3.9282120003324184</v>
      </c>
      <c r="Q38" s="86">
        <f>Q66/(Q57*1000)</f>
        <v>3.3584458894290696</v>
      </c>
      <c r="R38" s="86">
        <f t="shared" ref="R38:T38" si="20">R66/(R57*1000)</f>
        <v>2.7886797785257209</v>
      </c>
      <c r="S38" s="86">
        <f t="shared" si="20"/>
        <v>4.0095968893875176</v>
      </c>
      <c r="T38" s="86">
        <f t="shared" si="20"/>
        <v>3.7644063300922457</v>
      </c>
      <c r="U38" s="83">
        <f>U66/(U57*1000)</f>
        <v>3.9749093654377914</v>
      </c>
      <c r="V38" s="83">
        <f t="shared" ref="V38:AG38" si="21">V66/(V57*1000)</f>
        <v>4.1825595400747586</v>
      </c>
      <c r="W38" s="83">
        <f t="shared" si="21"/>
        <v>4.3875135265950309</v>
      </c>
      <c r="X38" s="83">
        <f t="shared" si="21"/>
        <v>4.561317782994319</v>
      </c>
      <c r="Y38" s="83">
        <f t="shared" si="21"/>
        <v>4.7322710985496892</v>
      </c>
      <c r="Z38" s="83">
        <f t="shared" si="21"/>
        <v>4.9005263061237043</v>
      </c>
      <c r="AA38" s="83">
        <f t="shared" si="21"/>
        <v>5.0660066693076402</v>
      </c>
      <c r="AB38" s="83">
        <f t="shared" si="21"/>
        <v>5.228638011512321</v>
      </c>
      <c r="AC38" s="83">
        <f t="shared" si="21"/>
        <v>5.428185093196511</v>
      </c>
      <c r="AD38" s="83">
        <f t="shared" si="21"/>
        <v>5.6277321748806992</v>
      </c>
      <c r="AE38" s="83">
        <f t="shared" si="21"/>
        <v>5.8272050799757142</v>
      </c>
      <c r="AF38" s="83">
        <f t="shared" si="21"/>
        <v>6.0267521616599034</v>
      </c>
      <c r="AG38" s="83">
        <f t="shared" si="21"/>
        <v>6.2262992433440925</v>
      </c>
      <c r="AH38" s="37"/>
    </row>
    <row r="39" spans="2:34" x14ac:dyDescent="0.3">
      <c r="B39" s="35"/>
      <c r="C39" s="99"/>
      <c r="D39" s="37"/>
      <c r="F39" s="35"/>
      <c r="G39" s="69" t="s">
        <v>20</v>
      </c>
      <c r="H39" s="83">
        <f>H67/(H57*1000)</f>
        <v>3.328916060153186</v>
      </c>
      <c r="I39" s="83">
        <f t="shared" ref="I39:P39" si="22">I67/(I57*1000)</f>
        <v>3.3286130147333077</v>
      </c>
      <c r="J39" s="83">
        <f t="shared" si="22"/>
        <v>3.3276914184661197</v>
      </c>
      <c r="K39" s="83">
        <f t="shared" si="22"/>
        <v>3.4341273891902002</v>
      </c>
      <c r="L39" s="83">
        <f t="shared" si="22"/>
        <v>3.5395680751173701</v>
      </c>
      <c r="M39" s="83">
        <f t="shared" si="22"/>
        <v>3.4111090260836927</v>
      </c>
      <c r="N39" s="83">
        <f t="shared" si="22"/>
        <v>3.2816119962511721</v>
      </c>
      <c r="O39" s="83">
        <f t="shared" si="22"/>
        <v>3.5381166339043344</v>
      </c>
      <c r="P39" s="83">
        <f t="shared" si="22"/>
        <v>3.7939977561705303</v>
      </c>
      <c r="Q39" s="86">
        <f>Q67/(Q57*1000)</f>
        <v>3.1571245231862375</v>
      </c>
      <c r="R39" s="86">
        <f t="shared" ref="R39:T39" si="23">R67/(R57*1000)</f>
        <v>2.5202512902019443</v>
      </c>
      <c r="S39" s="86">
        <f t="shared" si="23"/>
        <v>3.6740612789827973</v>
      </c>
      <c r="T39" s="86">
        <f t="shared" si="23"/>
        <v>3.3617635976065809</v>
      </c>
      <c r="U39" s="83">
        <f>U28*U50</f>
        <v>3.505159510871183</v>
      </c>
      <c r="V39" s="83">
        <f t="shared" ref="V39:AG39" si="24">V28*V50</f>
        <v>3.6457025634272062</v>
      </c>
      <c r="W39" s="83">
        <f t="shared" si="24"/>
        <v>3.7835494278665358</v>
      </c>
      <c r="X39" s="83">
        <f t="shared" si="24"/>
        <v>3.9186214479157853</v>
      </c>
      <c r="Y39" s="83">
        <f t="shared" si="24"/>
        <v>4.0508425271211186</v>
      </c>
      <c r="Z39" s="83">
        <f t="shared" si="24"/>
        <v>4.180365498345096</v>
      </c>
      <c r="AA39" s="83">
        <f t="shared" si="24"/>
        <v>4.3071136251789941</v>
      </c>
      <c r="AB39" s="83">
        <f t="shared" si="24"/>
        <v>4.4310127310336371</v>
      </c>
      <c r="AC39" s="83">
        <f t="shared" si="24"/>
        <v>4.5918275763677894</v>
      </c>
      <c r="AD39" s="83">
        <f t="shared" si="24"/>
        <v>4.7526424217019407</v>
      </c>
      <c r="AE39" s="83">
        <f t="shared" si="24"/>
        <v>4.913383090446918</v>
      </c>
      <c r="AF39" s="83">
        <f t="shared" si="24"/>
        <v>5.0741979357810703</v>
      </c>
      <c r="AG39" s="83">
        <f t="shared" si="24"/>
        <v>5.2350127811152225</v>
      </c>
      <c r="AH39" s="37"/>
    </row>
    <row r="40" spans="2:34" x14ac:dyDescent="0.3">
      <c r="B40" s="35"/>
      <c r="C40" s="99"/>
      <c r="D40" s="37"/>
      <c r="F40" s="35"/>
      <c r="G40" s="69" t="s">
        <v>21</v>
      </c>
      <c r="H40" s="83">
        <f>H68/(H57*1000)</f>
        <v>3.328916060153186</v>
      </c>
      <c r="I40" s="83">
        <f t="shared" ref="I40:P40" si="25">I68/(I57*1000)</f>
        <v>3.3286130147333077</v>
      </c>
      <c r="J40" s="83">
        <f t="shared" si="25"/>
        <v>3.3276914184661197</v>
      </c>
      <c r="K40" s="83">
        <f t="shared" si="25"/>
        <v>3.4341273891902002</v>
      </c>
      <c r="L40" s="83">
        <f t="shared" si="25"/>
        <v>3.5395680751173701</v>
      </c>
      <c r="M40" s="83">
        <f t="shared" si="25"/>
        <v>3.4111090260836927</v>
      </c>
      <c r="N40" s="83">
        <f t="shared" si="25"/>
        <v>3.2816119962511721</v>
      </c>
      <c r="O40" s="83">
        <f t="shared" si="25"/>
        <v>3.5381166339043344</v>
      </c>
      <c r="P40" s="83">
        <f t="shared" si="25"/>
        <v>3.7939977561705303</v>
      </c>
      <c r="Q40" s="86">
        <f>Q68/(Q57*1000)</f>
        <v>3.1571245231862375</v>
      </c>
      <c r="R40" s="86">
        <f t="shared" ref="R40:T40" si="26">R68/(R57*1000)</f>
        <v>2.5202512902019443</v>
      </c>
      <c r="S40" s="86">
        <f t="shared" si="26"/>
        <v>3.6740612789827973</v>
      </c>
      <c r="T40" s="86">
        <f t="shared" si="26"/>
        <v>3.3617635976065809</v>
      </c>
      <c r="U40" s="83">
        <f>U29*U51</f>
        <v>3.505159510871183</v>
      </c>
      <c r="V40" s="83">
        <f t="shared" ref="V40:AG40" si="27">V29*V51</f>
        <v>3.6457025634272062</v>
      </c>
      <c r="W40" s="83">
        <f t="shared" si="27"/>
        <v>3.7835494278665358</v>
      </c>
      <c r="X40" s="83">
        <f t="shared" si="27"/>
        <v>3.9186214479157853</v>
      </c>
      <c r="Y40" s="83">
        <f t="shared" si="27"/>
        <v>4.0508425271211186</v>
      </c>
      <c r="Z40" s="83">
        <f t="shared" si="27"/>
        <v>4.180365498345096</v>
      </c>
      <c r="AA40" s="83">
        <f t="shared" si="27"/>
        <v>4.3071136251789941</v>
      </c>
      <c r="AB40" s="83">
        <f t="shared" si="27"/>
        <v>4.4310127310336371</v>
      </c>
      <c r="AC40" s="83">
        <f t="shared" si="27"/>
        <v>4.5918275763677894</v>
      </c>
      <c r="AD40" s="83">
        <f t="shared" si="27"/>
        <v>4.7526424217019407</v>
      </c>
      <c r="AE40" s="83">
        <f t="shared" si="27"/>
        <v>4.913383090446918</v>
      </c>
      <c r="AF40" s="83">
        <f t="shared" si="27"/>
        <v>5.0741979357810703</v>
      </c>
      <c r="AG40" s="83">
        <f t="shared" si="27"/>
        <v>5.2350127811152225</v>
      </c>
      <c r="AH40" s="37"/>
    </row>
    <row r="41" spans="2:34" x14ac:dyDescent="0.3">
      <c r="B41" s="35"/>
      <c r="C41" s="38"/>
      <c r="D41" s="37"/>
      <c r="F41" s="35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7"/>
    </row>
    <row r="42" spans="2:34" ht="15" thickBot="1" x14ac:dyDescent="0.35">
      <c r="B42" s="35"/>
      <c r="C42" s="38"/>
      <c r="D42" s="37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3"/>
    </row>
    <row r="43" spans="2:34" x14ac:dyDescent="0.3">
      <c r="B43" s="35"/>
      <c r="C43" s="38"/>
      <c r="D43" s="37"/>
    </row>
    <row r="44" spans="2:34" ht="15" thickBot="1" x14ac:dyDescent="0.35">
      <c r="B44" s="35"/>
      <c r="C44" s="38"/>
      <c r="D44" s="37"/>
    </row>
    <row r="45" spans="2:34" x14ac:dyDescent="0.3">
      <c r="B45" s="35"/>
      <c r="C45" s="38"/>
      <c r="D45" s="37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4"/>
    </row>
    <row r="46" spans="2:34" x14ac:dyDescent="0.3">
      <c r="B46" s="35"/>
      <c r="C46" s="38"/>
      <c r="D46" s="37"/>
      <c r="F46" s="35"/>
      <c r="G46" s="36" t="s">
        <v>43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7"/>
    </row>
    <row r="47" spans="2:34" x14ac:dyDescent="0.3">
      <c r="B47" s="35"/>
      <c r="C47" s="38"/>
      <c r="D47" s="37"/>
      <c r="F47" s="35"/>
      <c r="G47" s="36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7"/>
    </row>
    <row r="48" spans="2:34" ht="86.4" x14ac:dyDescent="0.3">
      <c r="B48" s="35"/>
      <c r="C48" s="39" t="s">
        <v>30</v>
      </c>
      <c r="D48" s="37"/>
      <c r="F48" s="35"/>
      <c r="G48" s="40" t="s">
        <v>31</v>
      </c>
      <c r="H48" s="81">
        <v>0.63109999999999999</v>
      </c>
      <c r="I48" s="81">
        <v>0.58719999999999994</v>
      </c>
      <c r="J48" s="81">
        <v>0.54900000000000004</v>
      </c>
      <c r="K48" s="81">
        <v>0.5444</v>
      </c>
      <c r="L48" s="81">
        <v>0.54010000000000002</v>
      </c>
      <c r="M48" s="81">
        <v>0.58989999999999998</v>
      </c>
      <c r="N48" s="81">
        <v>0.65510000000000002</v>
      </c>
      <c r="O48" s="81">
        <v>0.70299999999999996</v>
      </c>
      <c r="P48" s="81">
        <v>0.75039999999999996</v>
      </c>
      <c r="Q48" s="81">
        <f>Q37/Q26</f>
        <v>0.74453333333333316</v>
      </c>
      <c r="R48" s="81">
        <f t="shared" ref="R48:T48" si="28">R37/R26</f>
        <v>0.73866666666666669</v>
      </c>
      <c r="S48" s="81">
        <f t="shared" si="28"/>
        <v>0.73280000000000001</v>
      </c>
      <c r="T48" s="81">
        <f t="shared" si="28"/>
        <v>0.72693333333333343</v>
      </c>
      <c r="U48" s="81">
        <f>U37/U26</f>
        <v>0.72106666666666674</v>
      </c>
      <c r="V48" s="81">
        <f t="shared" ref="V48:AG48" si="29">V37/V26</f>
        <v>0.71520000000000006</v>
      </c>
      <c r="W48" s="81">
        <f t="shared" si="29"/>
        <v>0.70933333333333326</v>
      </c>
      <c r="X48" s="81">
        <f t="shared" si="29"/>
        <v>0.81884281476513832</v>
      </c>
      <c r="Y48" s="81">
        <f t="shared" si="29"/>
        <v>0.81494955586298901</v>
      </c>
      <c r="Z48" s="81">
        <f t="shared" si="29"/>
        <v>0.81089976418679155</v>
      </c>
      <c r="AA48" s="81">
        <f t="shared" si="29"/>
        <v>0.80671312855015209</v>
      </c>
      <c r="AB48" s="81">
        <f t="shared" si="29"/>
        <v>0.80240659723832064</v>
      </c>
      <c r="AC48" s="81">
        <f t="shared" si="29"/>
        <v>0.80385550240834613</v>
      </c>
      <c r="AD48" s="81">
        <f t="shared" si="29"/>
        <v>0.80520635456274492</v>
      </c>
      <c r="AE48" s="81">
        <f t="shared" si="29"/>
        <v>0.80647069065055532</v>
      </c>
      <c r="AF48" s="81">
        <f t="shared" si="29"/>
        <v>0.80765305606823967</v>
      </c>
      <c r="AG48" s="81">
        <f t="shared" si="29"/>
        <v>0.80876277909908612</v>
      </c>
      <c r="AH48" s="37"/>
    </row>
    <row r="49" spans="2:34" ht="100.8" x14ac:dyDescent="0.3">
      <c r="B49" s="35"/>
      <c r="C49" s="39" t="s">
        <v>44</v>
      </c>
      <c r="D49" s="37"/>
      <c r="F49" s="35"/>
      <c r="G49" s="68" t="s">
        <v>33</v>
      </c>
      <c r="H49" s="81">
        <f>H38/H27</f>
        <v>0.63108609834370055</v>
      </c>
      <c r="I49" s="81">
        <f t="shared" ref="I49:P49" si="30">I38/I27</f>
        <v>0.58724339556354888</v>
      </c>
      <c r="J49" s="81">
        <f t="shared" si="30"/>
        <v>0.54898810830093536</v>
      </c>
      <c r="K49" s="81">
        <f t="shared" si="30"/>
        <v>0.54442553492345991</v>
      </c>
      <c r="L49" s="81">
        <f t="shared" si="30"/>
        <v>0.54005402345361986</v>
      </c>
      <c r="M49" s="81">
        <f t="shared" si="30"/>
        <v>0.5899633383634606</v>
      </c>
      <c r="N49" s="81">
        <f t="shared" si="30"/>
        <v>0.65505159914788758</v>
      </c>
      <c r="O49" s="81">
        <f t="shared" si="30"/>
        <v>0.71636175046609141</v>
      </c>
      <c r="P49" s="81">
        <f t="shared" si="30"/>
        <v>0.77695603163282856</v>
      </c>
      <c r="Q49" s="81">
        <f>Q38/Q27</f>
        <v>0.79201022782361574</v>
      </c>
      <c r="R49" s="81">
        <f t="shared" ref="R49:T49" si="31">R38/R27</f>
        <v>0.81734103436934469</v>
      </c>
      <c r="S49" s="81">
        <f t="shared" si="31"/>
        <v>0.79972335174459963</v>
      </c>
      <c r="T49" s="81">
        <f t="shared" si="31"/>
        <v>0.8139990698641919</v>
      </c>
      <c r="U49" s="81">
        <f>U38/U27</f>
        <v>0.81770163028214826</v>
      </c>
      <c r="V49" s="81">
        <f t="shared" ref="V49:AG49" si="32">V38/V27</f>
        <v>0.82051855054499601</v>
      </c>
      <c r="W49" s="81">
        <f t="shared" si="32"/>
        <v>0.82256348283512493</v>
      </c>
      <c r="X49" s="81">
        <f t="shared" si="32"/>
        <v>0.81884281476513832</v>
      </c>
      <c r="Y49" s="81">
        <f t="shared" si="32"/>
        <v>0.81494955586298901</v>
      </c>
      <c r="Z49" s="81">
        <f t="shared" si="32"/>
        <v>0.81089976418679155</v>
      </c>
      <c r="AA49" s="81">
        <f t="shared" si="32"/>
        <v>0.80671312855015209</v>
      </c>
      <c r="AB49" s="81">
        <f t="shared" si="32"/>
        <v>0.80240659723832064</v>
      </c>
      <c r="AC49" s="81">
        <f t="shared" si="32"/>
        <v>0.80385550240834613</v>
      </c>
      <c r="AD49" s="81">
        <f t="shared" si="32"/>
        <v>0.80520635456274492</v>
      </c>
      <c r="AE49" s="81">
        <f t="shared" si="32"/>
        <v>0.80647069065055532</v>
      </c>
      <c r="AF49" s="81">
        <f t="shared" si="32"/>
        <v>0.80765305606823967</v>
      </c>
      <c r="AG49" s="81">
        <f t="shared" si="32"/>
        <v>0.80876277909908612</v>
      </c>
      <c r="AH49" s="37"/>
    </row>
    <row r="50" spans="2:34" x14ac:dyDescent="0.3">
      <c r="B50" s="35"/>
      <c r="C50" s="94" t="s">
        <v>45</v>
      </c>
      <c r="D50" s="37"/>
      <c r="F50" s="35"/>
      <c r="G50" s="69" t="s">
        <v>20</v>
      </c>
      <c r="H50" s="81">
        <f>H39/H28</f>
        <v>0.63108609834370055</v>
      </c>
      <c r="I50" s="81">
        <f t="shared" ref="I50:O50" si="33">I39/I28</f>
        <v>0.58724339556354888</v>
      </c>
      <c r="J50" s="81">
        <f t="shared" si="33"/>
        <v>0.54898810830093536</v>
      </c>
      <c r="K50" s="81">
        <f t="shared" si="33"/>
        <v>0.54442553492345991</v>
      </c>
      <c r="L50" s="81">
        <f t="shared" si="33"/>
        <v>0.54005402345361986</v>
      </c>
      <c r="M50" s="81">
        <f t="shared" si="33"/>
        <v>0.5899633383634606</v>
      </c>
      <c r="N50" s="81">
        <f t="shared" si="33"/>
        <v>0.65505159914788758</v>
      </c>
      <c r="O50" s="81">
        <f t="shared" si="33"/>
        <v>0.70301157087592081</v>
      </c>
      <c r="P50" s="81">
        <v>0.75039999999999996</v>
      </c>
      <c r="Q50" s="81">
        <v>0.74453333333333327</v>
      </c>
      <c r="R50" s="81">
        <v>0.73866666666666669</v>
      </c>
      <c r="S50" s="81">
        <v>0.73280000000000001</v>
      </c>
      <c r="T50" s="81">
        <v>0.72693333333333332</v>
      </c>
      <c r="U50" s="81">
        <v>0.72106666666666674</v>
      </c>
      <c r="V50" s="81">
        <v>0.71520000000000006</v>
      </c>
      <c r="W50" s="81">
        <v>0.70933333333333337</v>
      </c>
      <c r="X50" s="81">
        <v>0.70346666666666668</v>
      </c>
      <c r="Y50" s="81">
        <v>0.6976</v>
      </c>
      <c r="Z50" s="81">
        <v>0.69173333333333342</v>
      </c>
      <c r="AA50" s="81">
        <v>0.68586666666666674</v>
      </c>
      <c r="AB50" s="81">
        <v>0.68</v>
      </c>
      <c r="AC50" s="81">
        <v>0.68</v>
      </c>
      <c r="AD50" s="81">
        <v>0.68</v>
      </c>
      <c r="AE50" s="81">
        <v>0.68</v>
      </c>
      <c r="AF50" s="81">
        <v>0.68</v>
      </c>
      <c r="AG50" s="81">
        <v>0.68</v>
      </c>
      <c r="AH50" s="37"/>
    </row>
    <row r="51" spans="2:34" x14ac:dyDescent="0.3">
      <c r="B51" s="35"/>
      <c r="C51" s="95"/>
      <c r="D51" s="37"/>
      <c r="F51" s="35"/>
      <c r="G51" s="69" t="s">
        <v>21</v>
      </c>
      <c r="H51" s="81">
        <f>H40/H29</f>
        <v>0.63108609834370055</v>
      </c>
      <c r="I51" s="81">
        <f t="shared" ref="I51:O51" si="34">I40/I29</f>
        <v>0.58724339556354888</v>
      </c>
      <c r="J51" s="81">
        <f t="shared" si="34"/>
        <v>0.54898810830093536</v>
      </c>
      <c r="K51" s="81">
        <f t="shared" si="34"/>
        <v>0.54442553492345991</v>
      </c>
      <c r="L51" s="81">
        <f t="shared" si="34"/>
        <v>0.54005402345361986</v>
      </c>
      <c r="M51" s="81">
        <f t="shared" si="34"/>
        <v>0.5899633383634606</v>
      </c>
      <c r="N51" s="81">
        <f t="shared" si="34"/>
        <v>0.65505159914788758</v>
      </c>
      <c r="O51" s="81">
        <f t="shared" si="34"/>
        <v>0.70301157087592081</v>
      </c>
      <c r="P51" s="81">
        <v>0.75039999999999996</v>
      </c>
      <c r="Q51" s="81">
        <v>0.74453333333333327</v>
      </c>
      <c r="R51" s="81">
        <v>0.73866666666666669</v>
      </c>
      <c r="S51" s="81">
        <v>0.73280000000000001</v>
      </c>
      <c r="T51" s="81">
        <v>0.72693333333333332</v>
      </c>
      <c r="U51" s="81">
        <v>0.72106666666666674</v>
      </c>
      <c r="V51" s="81">
        <v>0.71520000000000006</v>
      </c>
      <c r="W51" s="81">
        <v>0.70933333333333337</v>
      </c>
      <c r="X51" s="81">
        <v>0.70346666666666668</v>
      </c>
      <c r="Y51" s="81">
        <v>0.6976</v>
      </c>
      <c r="Z51" s="81">
        <v>0.69173333333333342</v>
      </c>
      <c r="AA51" s="81">
        <v>0.68586666666666674</v>
      </c>
      <c r="AB51" s="81">
        <v>0.68</v>
      </c>
      <c r="AC51" s="81">
        <v>0.68</v>
      </c>
      <c r="AD51" s="81">
        <v>0.68</v>
      </c>
      <c r="AE51" s="81">
        <v>0.68</v>
      </c>
      <c r="AF51" s="81">
        <v>0.68</v>
      </c>
      <c r="AG51" s="81">
        <v>0.68</v>
      </c>
      <c r="AH51" s="37"/>
    </row>
    <row r="52" spans="2:34" x14ac:dyDescent="0.3">
      <c r="B52" s="35"/>
      <c r="C52" s="38"/>
      <c r="D52" s="37"/>
      <c r="F52" s="35"/>
      <c r="G52" s="38"/>
      <c r="H52" s="53"/>
      <c r="I52" s="53"/>
      <c r="J52" s="53"/>
      <c r="K52" s="53"/>
      <c r="L52" s="53"/>
      <c r="M52" s="53"/>
      <c r="N52" s="53"/>
      <c r="O52" s="53"/>
      <c r="P52" s="53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7"/>
    </row>
    <row r="53" spans="2:34" ht="15" thickBot="1" x14ac:dyDescent="0.35">
      <c r="B53" s="35"/>
      <c r="C53" s="38"/>
      <c r="D53" s="37"/>
      <c r="F53" s="41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3"/>
    </row>
    <row r="54" spans="2:34" x14ac:dyDescent="0.3">
      <c r="B54" s="35"/>
      <c r="C54" s="38"/>
      <c r="D54" s="37"/>
    </row>
    <row r="55" spans="2:34" ht="15" thickBot="1" x14ac:dyDescent="0.35">
      <c r="B55" s="35"/>
      <c r="C55" s="38"/>
      <c r="D55" s="37"/>
    </row>
    <row r="56" spans="2:34" x14ac:dyDescent="0.3">
      <c r="B56" s="35"/>
      <c r="C56" s="38"/>
      <c r="D56" s="37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4"/>
    </row>
    <row r="57" spans="2:34" x14ac:dyDescent="0.3">
      <c r="B57" s="35"/>
      <c r="C57" s="46" t="s">
        <v>46</v>
      </c>
      <c r="D57" s="37"/>
      <c r="F57" s="35"/>
      <c r="G57" s="52" t="s">
        <v>47</v>
      </c>
      <c r="H57" s="79">
        <v>0.5353</v>
      </c>
      <c r="I57" s="79">
        <v>0.53620000000000001</v>
      </c>
      <c r="J57" s="79">
        <v>0.53720000000000001</v>
      </c>
      <c r="K57" s="79">
        <v>0.53469999999999995</v>
      </c>
      <c r="L57" s="79">
        <v>0.53249999999999997</v>
      </c>
      <c r="M57" s="79">
        <v>0.53290000000000004</v>
      </c>
      <c r="N57" s="79">
        <v>0.53349999999999997</v>
      </c>
      <c r="O57" s="79">
        <v>0.53415000000000001</v>
      </c>
      <c r="P57" s="79">
        <v>0.53480000000000005</v>
      </c>
      <c r="Q57" s="79">
        <v>0.53480000000000005</v>
      </c>
      <c r="R57" s="79">
        <v>0.53480000000000005</v>
      </c>
      <c r="S57" s="79">
        <v>0.53480000000000005</v>
      </c>
      <c r="T57" s="79">
        <v>0.53480000000000005</v>
      </c>
      <c r="U57" s="79">
        <v>0.53480000000000005</v>
      </c>
      <c r="V57" s="79">
        <v>0.53480000000000005</v>
      </c>
      <c r="W57" s="79">
        <v>0.53480000000000005</v>
      </c>
      <c r="X57" s="79">
        <v>0.53480000000000005</v>
      </c>
      <c r="Y57" s="79">
        <v>0.53480000000000005</v>
      </c>
      <c r="Z57" s="79">
        <v>0.53480000000000005</v>
      </c>
      <c r="AA57" s="79">
        <v>0.53480000000000005</v>
      </c>
      <c r="AB57" s="79">
        <v>0.53480000000000005</v>
      </c>
      <c r="AC57" s="79">
        <v>0.53480000000000005</v>
      </c>
      <c r="AD57" s="79">
        <v>0.53480000000000005</v>
      </c>
      <c r="AE57" s="79">
        <v>0.53480000000000005</v>
      </c>
      <c r="AF57" s="79">
        <v>0.53480000000000005</v>
      </c>
      <c r="AG57" s="79">
        <v>0.53480000000000005</v>
      </c>
      <c r="AH57" s="37"/>
    </row>
    <row r="58" spans="2:34" ht="86.4" x14ac:dyDescent="0.3">
      <c r="B58" s="35"/>
      <c r="C58" s="39" t="s">
        <v>48</v>
      </c>
      <c r="D58" s="37"/>
      <c r="F58" s="35"/>
      <c r="G58" s="80" t="s">
        <v>49</v>
      </c>
      <c r="H58" s="77">
        <f>Act_5CN_OtrosPIUP!E48</f>
        <v>423.50000000000006</v>
      </c>
      <c r="I58" s="77">
        <f>Act_5CN_OtrosPIUP!F48</f>
        <v>522.5</v>
      </c>
      <c r="J58" s="77">
        <f>Act_5CN_OtrosPIUP!G48</f>
        <v>621.49999999999989</v>
      </c>
      <c r="K58" s="77">
        <f>Act_5CN_OtrosPIUP!H48</f>
        <v>569.79999999999995</v>
      </c>
      <c r="L58" s="77">
        <f>Act_5CN_OtrosPIUP!I48</f>
        <v>518</v>
      </c>
      <c r="M58" s="77">
        <f>Act_5CN_OtrosPIUP!J48</f>
        <v>530.90000000000009</v>
      </c>
      <c r="N58" s="77">
        <f>Act_5CN_OtrosPIUP!K48</f>
        <v>543.69999999999993</v>
      </c>
      <c r="O58" s="77">
        <f>Act_5CN_OtrosPIUP!L48</f>
        <v>469.5</v>
      </c>
      <c r="P58" s="77">
        <f>Act_5CN_OtrosPIUP!M48</f>
        <v>395.40000000000003</v>
      </c>
      <c r="Q58" s="77">
        <f>Act_5CN_OtrosPIUP!N48</f>
        <v>339.60000000000008</v>
      </c>
      <c r="R58" s="77">
        <f>Act_5CN_OtrosPIUP!O48</f>
        <v>283.7</v>
      </c>
      <c r="S58" s="77">
        <f>Act_5CN_OtrosPIUP!P48</f>
        <v>365.39999999999986</v>
      </c>
      <c r="T58" s="77">
        <f>Act_5CN_OtrosPIUP!Q48</f>
        <v>490.4</v>
      </c>
      <c r="U58" s="77">
        <f>Act_5CN_OtrosPIUP!R48</f>
        <v>500.7999999999999</v>
      </c>
      <c r="V58" s="77">
        <f>Act_5CN_OtrosPIUP!S48</f>
        <v>511.49999999999994</v>
      </c>
      <c r="W58" s="77">
        <f>Act_5CN_OtrosPIUP!T48</f>
        <v>522.4</v>
      </c>
      <c r="X58" s="77">
        <f>Act_5CN_OtrosPIUP!U48</f>
        <v>533.79999999999995</v>
      </c>
      <c r="Y58" s="77">
        <f>Act_5CN_OtrosPIUP!V48</f>
        <v>544.99999999999989</v>
      </c>
      <c r="Z58" s="77">
        <f>Act_5CN_OtrosPIUP!W48</f>
        <v>556.79999999999995</v>
      </c>
      <c r="AA58" s="77">
        <f>Act_5CN_OtrosPIUP!X48</f>
        <v>568.79999999999995</v>
      </c>
      <c r="AB58" s="77">
        <f>Act_5CN_OtrosPIUP!Y48</f>
        <v>580.80000000000007</v>
      </c>
      <c r="AC58" s="77">
        <f>Act_5CN_OtrosPIUP!Z48</f>
        <v>593.30000000000007</v>
      </c>
      <c r="AD58" s="77">
        <f>Act_5CN_OtrosPIUP!AA48</f>
        <v>606</v>
      </c>
      <c r="AE58" s="77">
        <f>Act_5CN_OtrosPIUP!AB48</f>
        <v>618.80000000000007</v>
      </c>
      <c r="AF58" s="77">
        <f>Act_5CN_OtrosPIUP!AC48</f>
        <v>632.09999999999991</v>
      </c>
      <c r="AG58" s="77">
        <f>Act_5CN_OtrosPIUP!AD48</f>
        <v>645.6</v>
      </c>
      <c r="AH58" s="37"/>
    </row>
    <row r="59" spans="2:34" ht="15" thickBot="1" x14ac:dyDescent="0.35">
      <c r="B59" s="35"/>
      <c r="C59" s="38"/>
      <c r="D59" s="37"/>
      <c r="F59" s="41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3"/>
    </row>
    <row r="60" spans="2:34" x14ac:dyDescent="0.3">
      <c r="B60" s="35"/>
      <c r="C60" s="38"/>
      <c r="D60" s="37"/>
    </row>
    <row r="61" spans="2:34" ht="15" thickBot="1" x14ac:dyDescent="0.35">
      <c r="B61" s="35"/>
      <c r="C61" s="38"/>
      <c r="D61" s="37"/>
    </row>
    <row r="62" spans="2:34" x14ac:dyDescent="0.3">
      <c r="B62" s="35"/>
      <c r="C62" s="38"/>
      <c r="D62" s="37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4"/>
    </row>
    <row r="63" spans="2:34" x14ac:dyDescent="0.3">
      <c r="B63" s="35"/>
      <c r="C63" s="38"/>
      <c r="D63" s="37"/>
      <c r="F63" s="35"/>
      <c r="G63" s="36" t="s">
        <v>50</v>
      </c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7"/>
    </row>
    <row r="64" spans="2:34" x14ac:dyDescent="0.3">
      <c r="B64" s="35"/>
      <c r="C64" s="38"/>
      <c r="D64" s="37"/>
      <c r="F64" s="35"/>
      <c r="G64" s="36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7"/>
    </row>
    <row r="65" spans="2:34" x14ac:dyDescent="0.3">
      <c r="B65" s="35"/>
      <c r="C65" s="94" t="s">
        <v>51</v>
      </c>
      <c r="D65" s="37"/>
      <c r="F65" s="35"/>
      <c r="G65" s="40" t="s">
        <v>31</v>
      </c>
      <c r="H65" s="54">
        <v>1781.9687670000001</v>
      </c>
      <c r="I65" s="54">
        <v>1784.8022985</v>
      </c>
      <c r="J65" s="54">
        <v>1787.6358299999999</v>
      </c>
      <c r="K65" s="54">
        <v>1836.2279149999999</v>
      </c>
      <c r="L65" s="54">
        <v>1884.82</v>
      </c>
      <c r="M65" s="54">
        <v>1817.78</v>
      </c>
      <c r="N65" s="54">
        <v>1750.74</v>
      </c>
      <c r="O65" s="54">
        <v>1889.885</v>
      </c>
      <c r="P65" s="54">
        <v>2029.0299999999997</v>
      </c>
      <c r="Q65" s="54">
        <v>1688.4301949999999</v>
      </c>
      <c r="R65" s="54">
        <v>1347.8303900000001</v>
      </c>
      <c r="S65" s="54">
        <v>1964.887972</v>
      </c>
      <c r="T65" s="54">
        <v>1797.8711719999999</v>
      </c>
      <c r="U65" s="54">
        <f>U67+U20</f>
        <v>1874.5593064139089</v>
      </c>
      <c r="V65" s="54">
        <f t="shared" ref="V65:AG65" si="35">V67+V20</f>
        <v>1949.7217309208702</v>
      </c>
      <c r="W65" s="54">
        <f t="shared" si="35"/>
        <v>2023.4422340230233</v>
      </c>
      <c r="X65" s="54">
        <f t="shared" si="35"/>
        <v>2439.3927503453619</v>
      </c>
      <c r="Y65" s="54">
        <f t="shared" si="35"/>
        <v>2530.8185835043741</v>
      </c>
      <c r="Z65" s="54">
        <f t="shared" si="35"/>
        <v>2620.8014685149574</v>
      </c>
      <c r="AA65" s="54">
        <f t="shared" si="35"/>
        <v>2709.3003667457265</v>
      </c>
      <c r="AB65" s="54">
        <f t="shared" si="35"/>
        <v>2796.2756085567898</v>
      </c>
      <c r="AC65" s="54">
        <f t="shared" si="35"/>
        <v>2902.9933878414945</v>
      </c>
      <c r="AD65" s="54">
        <f t="shared" si="35"/>
        <v>3009.7111671261982</v>
      </c>
      <c r="AE65" s="54">
        <f t="shared" si="35"/>
        <v>3116.3892767710122</v>
      </c>
      <c r="AF65" s="54">
        <f t="shared" si="35"/>
        <v>3223.1070560557168</v>
      </c>
      <c r="AG65" s="54">
        <f t="shared" si="35"/>
        <v>3329.824835340421</v>
      </c>
      <c r="AH65" s="37"/>
    </row>
    <row r="66" spans="2:34" ht="28.8" x14ac:dyDescent="0.3">
      <c r="B66" s="35"/>
      <c r="C66" s="96"/>
      <c r="D66" s="37"/>
      <c r="F66" s="35"/>
      <c r="G66" s="68" t="s">
        <v>33</v>
      </c>
      <c r="H66" s="54">
        <f>H77-H58</f>
        <v>1781.9687670000003</v>
      </c>
      <c r="I66" s="54">
        <f t="shared" ref="I66:P66" si="36">I77-I58</f>
        <v>1784.8022984999998</v>
      </c>
      <c r="J66" s="54">
        <f t="shared" si="36"/>
        <v>1787.6358299999997</v>
      </c>
      <c r="K66" s="54">
        <f t="shared" si="36"/>
        <v>1836.2279149999997</v>
      </c>
      <c r="L66" s="54">
        <f t="shared" si="36"/>
        <v>1884.8199999999997</v>
      </c>
      <c r="M66" s="54">
        <f t="shared" si="36"/>
        <v>1817.7800000000002</v>
      </c>
      <c r="N66" s="54">
        <f t="shared" si="36"/>
        <v>1750.7400000000002</v>
      </c>
      <c r="O66" s="54">
        <f t="shared" si="36"/>
        <v>1925.7738888888894</v>
      </c>
      <c r="P66" s="54">
        <f t="shared" si="36"/>
        <v>2100.8077777777776</v>
      </c>
      <c r="Q66" s="54">
        <f t="shared" ref="Q66:T66" si="37">Q77-Q58</f>
        <v>1796.0968616666667</v>
      </c>
      <c r="R66" s="54">
        <f t="shared" si="37"/>
        <v>1491.3859455555557</v>
      </c>
      <c r="S66" s="54">
        <f t="shared" si="37"/>
        <v>2144.3324164444448</v>
      </c>
      <c r="T66" s="54">
        <f t="shared" si="37"/>
        <v>2013.2045053333331</v>
      </c>
      <c r="U66" s="54">
        <f>U67+U20+U19</f>
        <v>2125.781528636131</v>
      </c>
      <c r="V66" s="54">
        <f t="shared" ref="V66:AG66" si="38">V67+V20+V19</f>
        <v>2236.8328420319813</v>
      </c>
      <c r="W66" s="54">
        <f t="shared" si="38"/>
        <v>2346.442234023023</v>
      </c>
      <c r="X66" s="54">
        <f t="shared" si="38"/>
        <v>2439.3927503453619</v>
      </c>
      <c r="Y66" s="54">
        <f t="shared" si="38"/>
        <v>2530.8185835043741</v>
      </c>
      <c r="Z66" s="54">
        <f t="shared" si="38"/>
        <v>2620.8014685149574</v>
      </c>
      <c r="AA66" s="54">
        <f t="shared" si="38"/>
        <v>2709.3003667457265</v>
      </c>
      <c r="AB66" s="54">
        <f t="shared" si="38"/>
        <v>2796.2756085567898</v>
      </c>
      <c r="AC66" s="54">
        <f t="shared" si="38"/>
        <v>2902.9933878414945</v>
      </c>
      <c r="AD66" s="54">
        <f t="shared" si="38"/>
        <v>3009.7111671261982</v>
      </c>
      <c r="AE66" s="54">
        <f t="shared" si="38"/>
        <v>3116.3892767710122</v>
      </c>
      <c r="AF66" s="54">
        <f t="shared" si="38"/>
        <v>3223.1070560557168</v>
      </c>
      <c r="AG66" s="54">
        <f t="shared" si="38"/>
        <v>3329.824835340421</v>
      </c>
      <c r="AH66" s="37"/>
    </row>
    <row r="67" spans="2:34" x14ac:dyDescent="0.3">
      <c r="B67" s="35"/>
      <c r="C67" s="96"/>
      <c r="D67" s="37"/>
      <c r="F67" s="35"/>
      <c r="G67" s="69" t="s">
        <v>20</v>
      </c>
      <c r="H67" s="54">
        <f>H78-H58</f>
        <v>1781.9687670000003</v>
      </c>
      <c r="I67" s="54">
        <f t="shared" ref="I67:P67" si="39">I78-I58</f>
        <v>1784.8022984999998</v>
      </c>
      <c r="J67" s="54">
        <f t="shared" si="39"/>
        <v>1787.6358299999997</v>
      </c>
      <c r="K67" s="54">
        <f t="shared" si="39"/>
        <v>1836.2279149999997</v>
      </c>
      <c r="L67" s="54">
        <f t="shared" si="39"/>
        <v>1884.8199999999997</v>
      </c>
      <c r="M67" s="54">
        <f t="shared" si="39"/>
        <v>1817.7800000000002</v>
      </c>
      <c r="N67" s="54">
        <f t="shared" si="39"/>
        <v>1750.7400000000002</v>
      </c>
      <c r="O67" s="54">
        <f t="shared" si="39"/>
        <v>1889.8850000000002</v>
      </c>
      <c r="P67" s="54">
        <f t="shared" si="39"/>
        <v>2029.0299999999997</v>
      </c>
      <c r="Q67" s="54">
        <f t="shared" ref="Q67:T67" si="40">Q78-Q58</f>
        <v>1688.4301949999999</v>
      </c>
      <c r="R67" s="54">
        <f t="shared" si="40"/>
        <v>1347.8303900000001</v>
      </c>
      <c r="S67" s="54">
        <f t="shared" si="40"/>
        <v>1964.8879720000002</v>
      </c>
      <c r="T67" s="54">
        <f t="shared" si="40"/>
        <v>1797.8711719999997</v>
      </c>
      <c r="U67" s="54">
        <f>U39*U57*1000</f>
        <v>1874.5593064139089</v>
      </c>
      <c r="V67" s="54">
        <f t="shared" ref="V67:AG67" si="41">V39*V57*1000</f>
        <v>1949.7217309208702</v>
      </c>
      <c r="W67" s="54">
        <f t="shared" si="41"/>
        <v>2023.4422340230233</v>
      </c>
      <c r="X67" s="54">
        <f t="shared" si="41"/>
        <v>2095.678750345362</v>
      </c>
      <c r="Y67" s="54">
        <f t="shared" si="41"/>
        <v>2166.3905835043743</v>
      </c>
      <c r="Z67" s="54">
        <f t="shared" si="41"/>
        <v>2235.6594685149576</v>
      </c>
      <c r="AA67" s="54">
        <f t="shared" si="41"/>
        <v>2303.4443667457263</v>
      </c>
      <c r="AB67" s="54">
        <f t="shared" si="41"/>
        <v>2369.7056085567897</v>
      </c>
      <c r="AC67" s="54">
        <f t="shared" si="41"/>
        <v>2455.7093878414944</v>
      </c>
      <c r="AD67" s="54">
        <f t="shared" si="41"/>
        <v>2541.7131671261982</v>
      </c>
      <c r="AE67" s="54">
        <f t="shared" si="41"/>
        <v>2627.6772767710122</v>
      </c>
      <c r="AF67" s="54">
        <f t="shared" si="41"/>
        <v>2713.6810560557169</v>
      </c>
      <c r="AG67" s="54">
        <f t="shared" si="41"/>
        <v>2799.6848353404212</v>
      </c>
      <c r="AH67" s="37"/>
    </row>
    <row r="68" spans="2:34" x14ac:dyDescent="0.3">
      <c r="B68" s="35"/>
      <c r="C68" s="96"/>
      <c r="D68" s="37"/>
      <c r="F68" s="35"/>
      <c r="G68" s="69" t="s">
        <v>21</v>
      </c>
      <c r="H68" s="54">
        <f>H79-H58</f>
        <v>1781.9687670000003</v>
      </c>
      <c r="I68" s="54">
        <f t="shared" ref="I68:P68" si="42">I79-I58</f>
        <v>1784.8022984999998</v>
      </c>
      <c r="J68" s="54">
        <f t="shared" si="42"/>
        <v>1787.6358299999997</v>
      </c>
      <c r="K68" s="54">
        <f t="shared" si="42"/>
        <v>1836.2279149999997</v>
      </c>
      <c r="L68" s="54">
        <f t="shared" si="42"/>
        <v>1884.8199999999997</v>
      </c>
      <c r="M68" s="54">
        <f t="shared" si="42"/>
        <v>1817.7800000000002</v>
      </c>
      <c r="N68" s="54">
        <f t="shared" si="42"/>
        <v>1750.7400000000002</v>
      </c>
      <c r="O68" s="54">
        <f t="shared" si="42"/>
        <v>1889.8850000000002</v>
      </c>
      <c r="P68" s="54">
        <f t="shared" si="42"/>
        <v>2029.0299999999997</v>
      </c>
      <c r="Q68" s="54">
        <f t="shared" ref="Q68:T68" si="43">Q79-Q58</f>
        <v>1688.4301949999999</v>
      </c>
      <c r="R68" s="54">
        <f t="shared" si="43"/>
        <v>1347.8303900000001</v>
      </c>
      <c r="S68" s="54">
        <f t="shared" si="43"/>
        <v>1964.8879720000002</v>
      </c>
      <c r="T68" s="54">
        <f t="shared" si="43"/>
        <v>1797.8711719999997</v>
      </c>
      <c r="U68" s="54">
        <f>U40*U57*1000</f>
        <v>1874.5593064139089</v>
      </c>
      <c r="V68" s="54">
        <f t="shared" ref="V68:AG68" si="44">V40*V57*1000</f>
        <v>1949.7217309208702</v>
      </c>
      <c r="W68" s="54">
        <f t="shared" si="44"/>
        <v>2023.4422340230233</v>
      </c>
      <c r="X68" s="54">
        <f t="shared" si="44"/>
        <v>2095.678750345362</v>
      </c>
      <c r="Y68" s="54">
        <f t="shared" si="44"/>
        <v>2166.3905835043743</v>
      </c>
      <c r="Z68" s="54">
        <f t="shared" si="44"/>
        <v>2235.6594685149576</v>
      </c>
      <c r="AA68" s="54">
        <f t="shared" si="44"/>
        <v>2303.4443667457263</v>
      </c>
      <c r="AB68" s="54">
        <f t="shared" si="44"/>
        <v>2369.7056085567897</v>
      </c>
      <c r="AC68" s="54">
        <f t="shared" si="44"/>
        <v>2455.7093878414944</v>
      </c>
      <c r="AD68" s="54">
        <f t="shared" si="44"/>
        <v>2541.7131671261982</v>
      </c>
      <c r="AE68" s="54">
        <f t="shared" si="44"/>
        <v>2627.6772767710122</v>
      </c>
      <c r="AF68" s="54">
        <f t="shared" si="44"/>
        <v>2713.6810560557169</v>
      </c>
      <c r="AG68" s="54">
        <f t="shared" si="44"/>
        <v>2799.6848353404212</v>
      </c>
      <c r="AH68" s="37"/>
    </row>
    <row r="69" spans="2:34" x14ac:dyDescent="0.3">
      <c r="B69" s="35"/>
      <c r="C69" s="95"/>
      <c r="D69" s="37"/>
      <c r="F69" s="35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7"/>
    </row>
    <row r="70" spans="2:34" ht="15" thickBot="1" x14ac:dyDescent="0.35">
      <c r="B70" s="35"/>
      <c r="C70" s="38"/>
      <c r="D70" s="37"/>
      <c r="F70" s="41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3"/>
    </row>
    <row r="71" spans="2:34" x14ac:dyDescent="0.3">
      <c r="B71" s="35"/>
      <c r="C71" s="38"/>
      <c r="D71" s="37"/>
    </row>
    <row r="72" spans="2:34" ht="15" thickBot="1" x14ac:dyDescent="0.35">
      <c r="B72" s="35"/>
      <c r="C72" s="38"/>
      <c r="D72" s="37"/>
    </row>
    <row r="73" spans="2:34" x14ac:dyDescent="0.3">
      <c r="B73" s="35"/>
      <c r="C73" s="38"/>
      <c r="D73" s="37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4"/>
    </row>
    <row r="74" spans="2:34" x14ac:dyDescent="0.3">
      <c r="B74" s="35"/>
      <c r="C74" s="38"/>
      <c r="D74" s="37"/>
      <c r="F74" s="35"/>
      <c r="G74" s="36" t="s">
        <v>52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7"/>
    </row>
    <row r="75" spans="2:34" x14ac:dyDescent="0.3">
      <c r="B75" s="35"/>
      <c r="C75" s="38"/>
      <c r="D75" s="37"/>
      <c r="F75" s="35"/>
      <c r="G75" s="36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7"/>
    </row>
    <row r="76" spans="2:34" x14ac:dyDescent="0.3">
      <c r="B76" s="35"/>
      <c r="C76" s="94" t="s">
        <v>51</v>
      </c>
      <c r="D76" s="37"/>
      <c r="F76" s="35"/>
      <c r="G76" s="40" t="s">
        <v>31</v>
      </c>
      <c r="H76" s="54">
        <f t="shared" ref="H76:T76" si="45">H58+H65</f>
        <v>2205.4687670000003</v>
      </c>
      <c r="I76" s="54">
        <f t="shared" si="45"/>
        <v>2307.3022984999998</v>
      </c>
      <c r="J76" s="54">
        <f t="shared" si="45"/>
        <v>2409.1358299999997</v>
      </c>
      <c r="K76" s="54">
        <f t="shared" si="45"/>
        <v>2406.0279149999997</v>
      </c>
      <c r="L76" s="54">
        <f t="shared" si="45"/>
        <v>2402.8199999999997</v>
      </c>
      <c r="M76" s="54">
        <f t="shared" si="45"/>
        <v>2348.6800000000003</v>
      </c>
      <c r="N76" s="54">
        <f t="shared" si="45"/>
        <v>2294.44</v>
      </c>
      <c r="O76" s="54">
        <f t="shared" si="45"/>
        <v>2359.3850000000002</v>
      </c>
      <c r="P76" s="54">
        <f t="shared" si="45"/>
        <v>2424.4299999999998</v>
      </c>
      <c r="Q76" s="54">
        <f t="shared" si="45"/>
        <v>2028.030195</v>
      </c>
      <c r="R76" s="54">
        <f t="shared" si="45"/>
        <v>1631.5303900000001</v>
      </c>
      <c r="S76" s="54">
        <f t="shared" si="45"/>
        <v>2330.2879720000001</v>
      </c>
      <c r="T76" s="54">
        <f t="shared" si="45"/>
        <v>2288.2711719999998</v>
      </c>
      <c r="U76" s="54">
        <f>U65+U58</f>
        <v>2375.3593064139086</v>
      </c>
      <c r="V76" s="54">
        <f t="shared" ref="V76:AG76" si="46">V65+V58</f>
        <v>2461.22173092087</v>
      </c>
      <c r="W76" s="54">
        <f t="shared" si="46"/>
        <v>2545.8422340230231</v>
      </c>
      <c r="X76" s="54">
        <f t="shared" si="46"/>
        <v>2973.1927503453617</v>
      </c>
      <c r="Y76" s="54">
        <f t="shared" si="46"/>
        <v>3075.8185835043741</v>
      </c>
      <c r="Z76" s="54">
        <f t="shared" si="46"/>
        <v>3177.6014685149576</v>
      </c>
      <c r="AA76" s="54">
        <f t="shared" si="46"/>
        <v>3278.1003667457262</v>
      </c>
      <c r="AB76" s="54">
        <f t="shared" si="46"/>
        <v>3377.07560855679</v>
      </c>
      <c r="AC76" s="54">
        <f t="shared" si="46"/>
        <v>3496.2933878414947</v>
      </c>
      <c r="AD76" s="54">
        <f t="shared" si="46"/>
        <v>3615.7111671261982</v>
      </c>
      <c r="AE76" s="54">
        <f t="shared" si="46"/>
        <v>3735.1892767710124</v>
      </c>
      <c r="AF76" s="54">
        <f t="shared" si="46"/>
        <v>3855.2070560557167</v>
      </c>
      <c r="AG76" s="54">
        <f t="shared" si="46"/>
        <v>3975.4248353404209</v>
      </c>
      <c r="AH76" s="37"/>
    </row>
    <row r="77" spans="2:34" ht="28.8" x14ac:dyDescent="0.3">
      <c r="B77" s="35"/>
      <c r="C77" s="96"/>
      <c r="D77" s="37"/>
      <c r="F77" s="35"/>
      <c r="G77" s="68" t="s">
        <v>33</v>
      </c>
      <c r="H77" s="54">
        <f>H76+H19</f>
        <v>2205.4687670000003</v>
      </c>
      <c r="I77" s="54">
        <f t="shared" ref="I77:P77" si="47">I76+I19</f>
        <v>2307.3022984999998</v>
      </c>
      <c r="J77" s="54">
        <f t="shared" si="47"/>
        <v>2409.1358299999997</v>
      </c>
      <c r="K77" s="54">
        <f t="shared" si="47"/>
        <v>2406.0279149999997</v>
      </c>
      <c r="L77" s="54">
        <f t="shared" si="47"/>
        <v>2402.8199999999997</v>
      </c>
      <c r="M77" s="54">
        <f t="shared" si="47"/>
        <v>2348.6800000000003</v>
      </c>
      <c r="N77" s="54">
        <f t="shared" si="47"/>
        <v>2294.44</v>
      </c>
      <c r="O77" s="54">
        <f t="shared" si="47"/>
        <v>2395.2738888888894</v>
      </c>
      <c r="P77" s="54">
        <f t="shared" si="47"/>
        <v>2496.2077777777777</v>
      </c>
      <c r="Q77" s="54">
        <f t="shared" ref="Q77" si="48">Q76+Q19</f>
        <v>2135.6968616666668</v>
      </c>
      <c r="R77" s="54">
        <f t="shared" ref="R77" si="49">R76+R19</f>
        <v>1775.0859455555558</v>
      </c>
      <c r="S77" s="54">
        <f t="shared" ref="S77" si="50">S76+S19</f>
        <v>2509.7324164444444</v>
      </c>
      <c r="T77" s="54">
        <f t="shared" ref="T77" si="51">T76+T19</f>
        <v>2503.6045053333332</v>
      </c>
      <c r="U77" s="54">
        <f>U66+U58</f>
        <v>2626.5815286361308</v>
      </c>
      <c r="V77" s="54">
        <f t="shared" ref="V77:AG77" si="52">V66+V58</f>
        <v>2748.3328420319813</v>
      </c>
      <c r="W77" s="54">
        <f t="shared" si="52"/>
        <v>2868.8422340230231</v>
      </c>
      <c r="X77" s="54">
        <f t="shared" si="52"/>
        <v>2973.1927503453617</v>
      </c>
      <c r="Y77" s="54">
        <f t="shared" si="52"/>
        <v>3075.8185835043741</v>
      </c>
      <c r="Z77" s="54">
        <f t="shared" si="52"/>
        <v>3177.6014685149576</v>
      </c>
      <c r="AA77" s="54">
        <f t="shared" si="52"/>
        <v>3278.1003667457262</v>
      </c>
      <c r="AB77" s="54">
        <f t="shared" si="52"/>
        <v>3377.07560855679</v>
      </c>
      <c r="AC77" s="54">
        <f t="shared" si="52"/>
        <v>3496.2933878414947</v>
      </c>
      <c r="AD77" s="54">
        <f t="shared" si="52"/>
        <v>3615.7111671261982</v>
      </c>
      <c r="AE77" s="54">
        <f t="shared" si="52"/>
        <v>3735.1892767710124</v>
      </c>
      <c r="AF77" s="54">
        <f t="shared" si="52"/>
        <v>3855.2070560557167</v>
      </c>
      <c r="AG77" s="54">
        <f t="shared" si="52"/>
        <v>3975.4248353404209</v>
      </c>
      <c r="AH77" s="37"/>
    </row>
    <row r="78" spans="2:34" x14ac:dyDescent="0.3">
      <c r="B78" s="35"/>
      <c r="C78" s="96"/>
      <c r="D78" s="37"/>
      <c r="F78" s="35"/>
      <c r="G78" s="69" t="s">
        <v>20</v>
      </c>
      <c r="H78" s="54">
        <f>H76</f>
        <v>2205.4687670000003</v>
      </c>
      <c r="I78" s="54">
        <f t="shared" ref="I78:P78" si="53">I76</f>
        <v>2307.3022984999998</v>
      </c>
      <c r="J78" s="54">
        <f t="shared" si="53"/>
        <v>2409.1358299999997</v>
      </c>
      <c r="K78" s="54">
        <f t="shared" si="53"/>
        <v>2406.0279149999997</v>
      </c>
      <c r="L78" s="54">
        <f t="shared" si="53"/>
        <v>2402.8199999999997</v>
      </c>
      <c r="M78" s="54">
        <f t="shared" si="53"/>
        <v>2348.6800000000003</v>
      </c>
      <c r="N78" s="54">
        <f t="shared" si="53"/>
        <v>2294.44</v>
      </c>
      <c r="O78" s="54">
        <f t="shared" si="53"/>
        <v>2359.3850000000002</v>
      </c>
      <c r="P78" s="54">
        <f t="shared" si="53"/>
        <v>2424.4299999999998</v>
      </c>
      <c r="Q78" s="54">
        <f t="shared" ref="Q78:T78" si="54">Q76</f>
        <v>2028.030195</v>
      </c>
      <c r="R78" s="54">
        <f t="shared" si="54"/>
        <v>1631.5303900000001</v>
      </c>
      <c r="S78" s="54">
        <f t="shared" si="54"/>
        <v>2330.2879720000001</v>
      </c>
      <c r="T78" s="54">
        <f t="shared" si="54"/>
        <v>2288.2711719999998</v>
      </c>
      <c r="U78" s="54">
        <f>U67+U58</f>
        <v>2375.3593064139086</v>
      </c>
      <c r="V78" s="54">
        <f t="shared" ref="V78:AG78" si="55">V67+V58</f>
        <v>2461.22173092087</v>
      </c>
      <c r="W78" s="54">
        <f t="shared" si="55"/>
        <v>2545.8422340230231</v>
      </c>
      <c r="X78" s="54">
        <f t="shared" si="55"/>
        <v>2629.4787503453617</v>
      </c>
      <c r="Y78" s="54">
        <f t="shared" si="55"/>
        <v>2711.3905835043743</v>
      </c>
      <c r="Z78" s="54">
        <f t="shared" si="55"/>
        <v>2792.4594685149577</v>
      </c>
      <c r="AA78" s="54">
        <f t="shared" si="55"/>
        <v>2872.2443667457264</v>
      </c>
      <c r="AB78" s="54">
        <f t="shared" si="55"/>
        <v>2950.5056085567899</v>
      </c>
      <c r="AC78" s="54">
        <f t="shared" si="55"/>
        <v>3049.0093878414946</v>
      </c>
      <c r="AD78" s="54">
        <f t="shared" si="55"/>
        <v>3147.7131671261982</v>
      </c>
      <c r="AE78" s="54">
        <f t="shared" si="55"/>
        <v>3246.4772767710124</v>
      </c>
      <c r="AF78" s="54">
        <f t="shared" si="55"/>
        <v>3345.7810560557168</v>
      </c>
      <c r="AG78" s="54">
        <f t="shared" si="55"/>
        <v>3445.2848353404211</v>
      </c>
      <c r="AH78" s="37"/>
    </row>
    <row r="79" spans="2:34" x14ac:dyDescent="0.3">
      <c r="B79" s="35"/>
      <c r="C79" s="96"/>
      <c r="D79" s="37"/>
      <c r="F79" s="35"/>
      <c r="G79" s="69" t="s">
        <v>21</v>
      </c>
      <c r="H79" s="54">
        <f>H76</f>
        <v>2205.4687670000003</v>
      </c>
      <c r="I79" s="54">
        <f t="shared" ref="I79:P79" si="56">I76</f>
        <v>2307.3022984999998</v>
      </c>
      <c r="J79" s="54">
        <f t="shared" si="56"/>
        <v>2409.1358299999997</v>
      </c>
      <c r="K79" s="54">
        <f t="shared" si="56"/>
        <v>2406.0279149999997</v>
      </c>
      <c r="L79" s="54">
        <f t="shared" si="56"/>
        <v>2402.8199999999997</v>
      </c>
      <c r="M79" s="54">
        <f t="shared" si="56"/>
        <v>2348.6800000000003</v>
      </c>
      <c r="N79" s="54">
        <f t="shared" si="56"/>
        <v>2294.44</v>
      </c>
      <c r="O79" s="54">
        <f t="shared" si="56"/>
        <v>2359.3850000000002</v>
      </c>
      <c r="P79" s="54">
        <f t="shared" si="56"/>
        <v>2424.4299999999998</v>
      </c>
      <c r="Q79" s="54">
        <f t="shared" ref="Q79:T79" si="57">Q76</f>
        <v>2028.030195</v>
      </c>
      <c r="R79" s="54">
        <f t="shared" si="57"/>
        <v>1631.5303900000001</v>
      </c>
      <c r="S79" s="54">
        <f t="shared" si="57"/>
        <v>2330.2879720000001</v>
      </c>
      <c r="T79" s="54">
        <f t="shared" si="57"/>
        <v>2288.2711719999998</v>
      </c>
      <c r="U79" s="54">
        <f>U68+U58</f>
        <v>2375.3593064139086</v>
      </c>
      <c r="V79" s="54">
        <f t="shared" ref="V79:AG79" si="58">V68+V58</f>
        <v>2461.22173092087</v>
      </c>
      <c r="W79" s="54">
        <f t="shared" si="58"/>
        <v>2545.8422340230231</v>
      </c>
      <c r="X79" s="54">
        <f t="shared" si="58"/>
        <v>2629.4787503453617</v>
      </c>
      <c r="Y79" s="54">
        <f t="shared" si="58"/>
        <v>2711.3905835043743</v>
      </c>
      <c r="Z79" s="54">
        <f t="shared" si="58"/>
        <v>2792.4594685149577</v>
      </c>
      <c r="AA79" s="54">
        <f t="shared" si="58"/>
        <v>2872.2443667457264</v>
      </c>
      <c r="AB79" s="54">
        <f t="shared" si="58"/>
        <v>2950.5056085567899</v>
      </c>
      <c r="AC79" s="54">
        <f t="shared" si="58"/>
        <v>3049.0093878414946</v>
      </c>
      <c r="AD79" s="54">
        <f t="shared" si="58"/>
        <v>3147.7131671261982</v>
      </c>
      <c r="AE79" s="54">
        <f t="shared" si="58"/>
        <v>3246.4772767710124</v>
      </c>
      <c r="AF79" s="54">
        <f t="shared" si="58"/>
        <v>3345.7810560557168</v>
      </c>
      <c r="AG79" s="54">
        <f t="shared" si="58"/>
        <v>3445.2848353404211</v>
      </c>
      <c r="AH79" s="37"/>
    </row>
    <row r="80" spans="2:34" x14ac:dyDescent="0.3">
      <c r="B80" s="35"/>
      <c r="C80" s="95"/>
      <c r="D80" s="37"/>
      <c r="F80" s="35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7"/>
    </row>
    <row r="81" spans="2:34" ht="15" thickBot="1" x14ac:dyDescent="0.35">
      <c r="B81" s="41"/>
      <c r="C81" s="42"/>
      <c r="D81" s="43"/>
      <c r="F81" s="41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3"/>
    </row>
    <row r="84" spans="2:34" x14ac:dyDescent="0.3"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2:34" x14ac:dyDescent="0.3">
      <c r="G85" t="s">
        <v>53</v>
      </c>
      <c r="H85" s="84">
        <f>ROUND(H27,4)</f>
        <v>5.2748999999999997</v>
      </c>
      <c r="I85" s="84">
        <f t="shared" ref="I85:AG85" si="59">ROUND(I27,4)</f>
        <v>5.6681999999999997</v>
      </c>
      <c r="J85" s="84">
        <f t="shared" si="59"/>
        <v>6.0614999999999997</v>
      </c>
      <c r="K85" s="84">
        <f t="shared" si="59"/>
        <v>6.3078000000000003</v>
      </c>
      <c r="L85" s="84">
        <f t="shared" si="59"/>
        <v>6.5541</v>
      </c>
      <c r="M85" s="84">
        <f t="shared" si="59"/>
        <v>5.7819000000000003</v>
      </c>
      <c r="N85" s="84">
        <f t="shared" si="59"/>
        <v>5.0096999999999996</v>
      </c>
      <c r="O85" s="84">
        <f t="shared" si="59"/>
        <v>5.0327999999999999</v>
      </c>
      <c r="P85" s="84">
        <f t="shared" si="59"/>
        <v>5.0559000000000003</v>
      </c>
      <c r="Q85" s="84">
        <f t="shared" si="59"/>
        <v>4.2404000000000002</v>
      </c>
      <c r="R85" s="84">
        <f t="shared" si="59"/>
        <v>3.4119000000000002</v>
      </c>
      <c r="S85" s="84">
        <f t="shared" si="59"/>
        <v>5.0137</v>
      </c>
      <c r="T85" s="84">
        <f t="shared" si="59"/>
        <v>4.6246</v>
      </c>
      <c r="U85" s="84">
        <f t="shared" si="59"/>
        <v>4.8611000000000004</v>
      </c>
      <c r="V85" s="84">
        <f t="shared" si="59"/>
        <v>5.0975000000000001</v>
      </c>
      <c r="W85" s="84">
        <f t="shared" si="59"/>
        <v>5.3339999999999996</v>
      </c>
      <c r="X85" s="84">
        <f t="shared" si="59"/>
        <v>5.5704000000000002</v>
      </c>
      <c r="Y85" s="84">
        <f t="shared" si="59"/>
        <v>5.8068</v>
      </c>
      <c r="Z85" s="84">
        <f t="shared" si="59"/>
        <v>6.0433000000000003</v>
      </c>
      <c r="AA85" s="84">
        <f t="shared" si="59"/>
        <v>6.2797999999999998</v>
      </c>
      <c r="AB85" s="84">
        <f t="shared" si="59"/>
        <v>6.5162000000000004</v>
      </c>
      <c r="AC85" s="84">
        <f t="shared" si="59"/>
        <v>6.7526999999999999</v>
      </c>
      <c r="AD85" s="84">
        <f t="shared" si="59"/>
        <v>6.9892000000000003</v>
      </c>
      <c r="AE85" s="84">
        <f t="shared" si="59"/>
        <v>7.2256</v>
      </c>
      <c r="AF85" s="84">
        <f t="shared" si="59"/>
        <v>7.4621000000000004</v>
      </c>
      <c r="AG85" s="84">
        <f t="shared" si="59"/>
        <v>7.6985000000000001</v>
      </c>
    </row>
    <row r="86" spans="2:34" x14ac:dyDescent="0.3"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2:34" x14ac:dyDescent="0.3">
      <c r="G87" t="s">
        <v>54</v>
      </c>
      <c r="H87" s="84">
        <f>ROUND(H49,4)</f>
        <v>0.63109999999999999</v>
      </c>
      <c r="I87" s="84">
        <f t="shared" ref="I87:AG89" si="60">ROUND(I49,4)</f>
        <v>0.58720000000000006</v>
      </c>
      <c r="J87" s="84">
        <f t="shared" si="60"/>
        <v>0.54900000000000004</v>
      </c>
      <c r="K87" s="84">
        <f t="shared" si="60"/>
        <v>0.5444</v>
      </c>
      <c r="L87" s="84">
        <f t="shared" si="60"/>
        <v>0.54010000000000002</v>
      </c>
      <c r="M87" s="84">
        <f t="shared" si="60"/>
        <v>0.59</v>
      </c>
      <c r="N87" s="84">
        <f t="shared" si="60"/>
        <v>0.65510000000000002</v>
      </c>
      <c r="O87" s="84">
        <f t="shared" si="60"/>
        <v>0.71640000000000004</v>
      </c>
      <c r="P87" s="84">
        <f t="shared" si="60"/>
        <v>0.77700000000000002</v>
      </c>
      <c r="Q87" s="84">
        <f t="shared" si="60"/>
        <v>0.79200000000000004</v>
      </c>
      <c r="R87" s="84">
        <f t="shared" si="60"/>
        <v>0.81730000000000003</v>
      </c>
      <c r="S87" s="84">
        <f t="shared" si="60"/>
        <v>0.79969999999999997</v>
      </c>
      <c r="T87" s="84">
        <f t="shared" si="60"/>
        <v>0.81399999999999995</v>
      </c>
      <c r="U87" s="84">
        <f t="shared" si="60"/>
        <v>0.81769999999999998</v>
      </c>
      <c r="V87" s="84">
        <f t="shared" si="60"/>
        <v>0.82050000000000001</v>
      </c>
      <c r="W87" s="84">
        <f t="shared" si="60"/>
        <v>0.8226</v>
      </c>
      <c r="X87" s="84">
        <f t="shared" si="60"/>
        <v>0.81879999999999997</v>
      </c>
      <c r="Y87" s="84">
        <f t="shared" si="60"/>
        <v>0.81489999999999996</v>
      </c>
      <c r="Z87" s="84">
        <f t="shared" si="60"/>
        <v>0.81089999999999995</v>
      </c>
      <c r="AA87" s="84">
        <f t="shared" si="60"/>
        <v>0.80669999999999997</v>
      </c>
      <c r="AB87" s="84">
        <f t="shared" si="60"/>
        <v>0.8024</v>
      </c>
      <c r="AC87" s="84">
        <f t="shared" si="60"/>
        <v>0.80389999999999995</v>
      </c>
      <c r="AD87" s="84">
        <f t="shared" si="60"/>
        <v>0.80520000000000003</v>
      </c>
      <c r="AE87" s="84">
        <f t="shared" si="60"/>
        <v>0.80649999999999999</v>
      </c>
      <c r="AF87" s="84">
        <f t="shared" si="60"/>
        <v>0.80769999999999997</v>
      </c>
      <c r="AG87" s="84">
        <f t="shared" si="60"/>
        <v>0.80879999999999996</v>
      </c>
    </row>
    <row r="88" spans="2:34" x14ac:dyDescent="0.3">
      <c r="G88" t="s">
        <v>55</v>
      </c>
      <c r="H88" s="84">
        <f t="shared" ref="H88:W89" si="61">ROUND(H50,4)</f>
        <v>0.63109999999999999</v>
      </c>
      <c r="I88" s="84">
        <f t="shared" si="61"/>
        <v>0.58720000000000006</v>
      </c>
      <c r="J88" s="84">
        <f t="shared" si="61"/>
        <v>0.54900000000000004</v>
      </c>
      <c r="K88" s="84">
        <f t="shared" si="61"/>
        <v>0.5444</v>
      </c>
      <c r="L88" s="84">
        <f t="shared" si="61"/>
        <v>0.54010000000000002</v>
      </c>
      <c r="M88" s="84">
        <f t="shared" si="61"/>
        <v>0.59</v>
      </c>
      <c r="N88" s="84">
        <f t="shared" si="61"/>
        <v>0.65510000000000002</v>
      </c>
      <c r="O88" s="84">
        <f t="shared" si="61"/>
        <v>0.70299999999999996</v>
      </c>
      <c r="P88" s="84">
        <f t="shared" si="61"/>
        <v>0.75039999999999996</v>
      </c>
      <c r="Q88" s="84">
        <f t="shared" si="61"/>
        <v>0.74450000000000005</v>
      </c>
      <c r="R88" s="84">
        <f t="shared" si="61"/>
        <v>0.73870000000000002</v>
      </c>
      <c r="S88" s="84">
        <f t="shared" si="61"/>
        <v>0.73280000000000001</v>
      </c>
      <c r="T88" s="84">
        <f t="shared" si="61"/>
        <v>0.72689999999999999</v>
      </c>
      <c r="U88" s="84">
        <f t="shared" si="61"/>
        <v>0.72109999999999996</v>
      </c>
      <c r="V88" s="84">
        <f t="shared" si="61"/>
        <v>0.71519999999999995</v>
      </c>
      <c r="W88" s="84">
        <f t="shared" si="61"/>
        <v>0.70930000000000004</v>
      </c>
      <c r="X88" s="84">
        <f t="shared" si="60"/>
        <v>0.70350000000000001</v>
      </c>
      <c r="Y88" s="84">
        <f t="shared" si="60"/>
        <v>0.6976</v>
      </c>
      <c r="Z88" s="84">
        <f t="shared" si="60"/>
        <v>0.69169999999999998</v>
      </c>
      <c r="AA88" s="84">
        <f t="shared" si="60"/>
        <v>0.68589999999999995</v>
      </c>
      <c r="AB88" s="84">
        <f t="shared" si="60"/>
        <v>0.68</v>
      </c>
      <c r="AC88" s="84">
        <f t="shared" si="60"/>
        <v>0.68</v>
      </c>
      <c r="AD88" s="84">
        <f t="shared" si="60"/>
        <v>0.68</v>
      </c>
      <c r="AE88" s="84">
        <f t="shared" si="60"/>
        <v>0.68</v>
      </c>
      <c r="AF88" s="84">
        <f t="shared" si="60"/>
        <v>0.68</v>
      </c>
      <c r="AG88" s="84">
        <f t="shared" si="60"/>
        <v>0.68</v>
      </c>
    </row>
    <row r="89" spans="2:34" x14ac:dyDescent="0.3">
      <c r="G89" t="s">
        <v>56</v>
      </c>
      <c r="H89" s="84">
        <f t="shared" si="61"/>
        <v>0.63109999999999999</v>
      </c>
      <c r="I89" s="84">
        <f t="shared" si="60"/>
        <v>0.58720000000000006</v>
      </c>
      <c r="J89" s="84">
        <f t="shared" si="60"/>
        <v>0.54900000000000004</v>
      </c>
      <c r="K89" s="84">
        <f t="shared" si="60"/>
        <v>0.5444</v>
      </c>
      <c r="L89" s="84">
        <f t="shared" si="60"/>
        <v>0.54010000000000002</v>
      </c>
      <c r="M89" s="84">
        <f t="shared" si="60"/>
        <v>0.59</v>
      </c>
      <c r="N89" s="84">
        <f t="shared" si="60"/>
        <v>0.65510000000000002</v>
      </c>
      <c r="O89" s="84">
        <f t="shared" si="60"/>
        <v>0.70299999999999996</v>
      </c>
      <c r="P89" s="84">
        <f t="shared" si="60"/>
        <v>0.75039999999999996</v>
      </c>
      <c r="Q89" s="84">
        <f t="shared" si="60"/>
        <v>0.74450000000000005</v>
      </c>
      <c r="R89" s="84">
        <f t="shared" si="60"/>
        <v>0.73870000000000002</v>
      </c>
      <c r="S89" s="84">
        <f t="shared" si="60"/>
        <v>0.73280000000000001</v>
      </c>
      <c r="T89" s="84">
        <f t="shared" si="60"/>
        <v>0.72689999999999999</v>
      </c>
      <c r="U89" s="84">
        <f t="shared" si="60"/>
        <v>0.72109999999999996</v>
      </c>
      <c r="V89" s="84">
        <f t="shared" si="60"/>
        <v>0.71519999999999995</v>
      </c>
      <c r="W89" s="84">
        <f t="shared" si="60"/>
        <v>0.70930000000000004</v>
      </c>
      <c r="X89" s="84">
        <f t="shared" si="60"/>
        <v>0.70350000000000001</v>
      </c>
      <c r="Y89" s="84">
        <f t="shared" si="60"/>
        <v>0.6976</v>
      </c>
      <c r="Z89" s="84">
        <f t="shared" si="60"/>
        <v>0.69169999999999998</v>
      </c>
      <c r="AA89" s="84">
        <f t="shared" si="60"/>
        <v>0.68589999999999995</v>
      </c>
      <c r="AB89" s="84">
        <f t="shared" si="60"/>
        <v>0.68</v>
      </c>
      <c r="AC89" s="84">
        <f t="shared" si="60"/>
        <v>0.68</v>
      </c>
      <c r="AD89" s="84">
        <f t="shared" si="60"/>
        <v>0.68</v>
      </c>
      <c r="AE89" s="84">
        <f t="shared" si="60"/>
        <v>0.68</v>
      </c>
      <c r="AF89" s="84">
        <f t="shared" si="60"/>
        <v>0.68</v>
      </c>
      <c r="AG89" s="84">
        <f t="shared" si="60"/>
        <v>0.68</v>
      </c>
    </row>
    <row r="92" spans="2:34" x14ac:dyDescent="0.3">
      <c r="G92" t="s">
        <v>57</v>
      </c>
      <c r="H92" s="15">
        <f>H85*H87</f>
        <v>3.3289893899999998</v>
      </c>
      <c r="I92" s="15">
        <f t="shared" ref="I92:AG92" si="62">I85*I87</f>
        <v>3.3283670400000003</v>
      </c>
      <c r="J92" s="15">
        <f t="shared" si="62"/>
        <v>3.3277635000000001</v>
      </c>
      <c r="K92" s="15">
        <f t="shared" si="62"/>
        <v>3.4339663200000001</v>
      </c>
      <c r="L92" s="15">
        <f t="shared" si="62"/>
        <v>3.5398694100000001</v>
      </c>
      <c r="M92" s="15">
        <f t="shared" si="62"/>
        <v>3.411321</v>
      </c>
      <c r="N92" s="15">
        <f t="shared" si="62"/>
        <v>3.2818544699999999</v>
      </c>
      <c r="O92" s="15">
        <f t="shared" si="62"/>
        <v>3.6054979200000004</v>
      </c>
      <c r="P92" s="15">
        <f t="shared" si="62"/>
        <v>3.9284343000000002</v>
      </c>
      <c r="Q92" s="15">
        <f t="shared" si="62"/>
        <v>3.3583968000000004</v>
      </c>
      <c r="R92" s="15">
        <f t="shared" si="62"/>
        <v>2.7885458700000001</v>
      </c>
      <c r="S92" s="15">
        <f t="shared" si="62"/>
        <v>4.0094558899999999</v>
      </c>
      <c r="T92" s="15">
        <f t="shared" si="62"/>
        <v>3.7644243999999998</v>
      </c>
      <c r="U92" s="15">
        <f t="shared" si="62"/>
        <v>3.9749214700000004</v>
      </c>
      <c r="V92" s="15">
        <f t="shared" si="62"/>
        <v>4.1824987499999997</v>
      </c>
      <c r="W92" s="15">
        <f t="shared" si="62"/>
        <v>4.3877483999999995</v>
      </c>
      <c r="X92" s="15">
        <f t="shared" si="62"/>
        <v>4.5610435200000001</v>
      </c>
      <c r="Y92" s="15">
        <f t="shared" si="62"/>
        <v>4.7319613199999999</v>
      </c>
      <c r="Z92" s="15">
        <f t="shared" si="62"/>
        <v>4.9005119700000002</v>
      </c>
      <c r="AA92" s="15">
        <f t="shared" si="62"/>
        <v>5.0659146599999998</v>
      </c>
      <c r="AB92" s="15">
        <f t="shared" si="62"/>
        <v>5.2285988800000007</v>
      </c>
      <c r="AC92" s="15">
        <f t="shared" si="62"/>
        <v>5.4284955299999993</v>
      </c>
      <c r="AD92" s="15">
        <f t="shared" si="62"/>
        <v>5.6277038400000006</v>
      </c>
      <c r="AE92" s="15">
        <f t="shared" si="62"/>
        <v>5.8274464000000004</v>
      </c>
      <c r="AF92" s="15">
        <f t="shared" si="62"/>
        <v>6.0271381699999997</v>
      </c>
      <c r="AG92" s="15">
        <f t="shared" si="62"/>
        <v>6.2265467999999995</v>
      </c>
    </row>
    <row r="93" spans="2:34" x14ac:dyDescent="0.3">
      <c r="G93" t="s">
        <v>58</v>
      </c>
      <c r="H93" s="15">
        <f>H85*H88</f>
        <v>3.3289893899999998</v>
      </c>
      <c r="I93" s="15">
        <f t="shared" ref="I93:AG93" si="63">I85*I88</f>
        <v>3.3283670400000003</v>
      </c>
      <c r="J93" s="15">
        <f t="shared" si="63"/>
        <v>3.3277635000000001</v>
      </c>
      <c r="K93" s="15">
        <f t="shared" si="63"/>
        <v>3.4339663200000001</v>
      </c>
      <c r="L93" s="15">
        <f t="shared" si="63"/>
        <v>3.5398694100000001</v>
      </c>
      <c r="M93" s="15">
        <f t="shared" si="63"/>
        <v>3.411321</v>
      </c>
      <c r="N93" s="15">
        <f t="shared" si="63"/>
        <v>3.2818544699999999</v>
      </c>
      <c r="O93" s="15">
        <f t="shared" si="63"/>
        <v>3.5380583999999997</v>
      </c>
      <c r="P93" s="15">
        <f t="shared" si="63"/>
        <v>3.7939473599999998</v>
      </c>
      <c r="Q93" s="15">
        <f t="shared" si="63"/>
        <v>3.1569778000000004</v>
      </c>
      <c r="R93" s="15">
        <f t="shared" si="63"/>
        <v>2.5203705300000001</v>
      </c>
      <c r="S93" s="15">
        <f t="shared" si="63"/>
        <v>3.6740393600000001</v>
      </c>
      <c r="T93" s="15">
        <f t="shared" si="63"/>
        <v>3.3616217399999999</v>
      </c>
      <c r="U93" s="15">
        <f t="shared" si="63"/>
        <v>3.5053392100000003</v>
      </c>
      <c r="V93" s="15">
        <f t="shared" si="63"/>
        <v>3.6457319999999998</v>
      </c>
      <c r="W93" s="15">
        <f t="shared" si="63"/>
        <v>3.7834061999999999</v>
      </c>
      <c r="X93" s="15">
        <f t="shared" si="63"/>
        <v>3.9187764</v>
      </c>
      <c r="Y93" s="15">
        <f t="shared" si="63"/>
        <v>4.0508236799999997</v>
      </c>
      <c r="Z93" s="15">
        <f t="shared" si="63"/>
        <v>4.1801506100000001</v>
      </c>
      <c r="AA93" s="15">
        <f t="shared" si="63"/>
        <v>4.3073148199999993</v>
      </c>
      <c r="AB93" s="15">
        <f t="shared" si="63"/>
        <v>4.4310160000000005</v>
      </c>
      <c r="AC93" s="15">
        <f t="shared" si="63"/>
        <v>4.5918360000000007</v>
      </c>
      <c r="AD93" s="15">
        <f t="shared" si="63"/>
        <v>4.7526560000000009</v>
      </c>
      <c r="AE93" s="15">
        <f t="shared" si="63"/>
        <v>4.9134080000000004</v>
      </c>
      <c r="AF93" s="15">
        <f t="shared" si="63"/>
        <v>5.0742280000000006</v>
      </c>
      <c r="AG93" s="15">
        <f t="shared" si="63"/>
        <v>5.2349800000000002</v>
      </c>
    </row>
    <row r="94" spans="2:34" x14ac:dyDescent="0.3">
      <c r="G94" t="s">
        <v>59</v>
      </c>
      <c r="H94" s="15">
        <f>H85*H89</f>
        <v>3.3289893899999998</v>
      </c>
      <c r="I94" s="15">
        <f t="shared" ref="I94:AG94" si="64">I85*I89</f>
        <v>3.3283670400000003</v>
      </c>
      <c r="J94" s="15">
        <f t="shared" si="64"/>
        <v>3.3277635000000001</v>
      </c>
      <c r="K94" s="15">
        <f t="shared" si="64"/>
        <v>3.4339663200000001</v>
      </c>
      <c r="L94" s="15">
        <f t="shared" si="64"/>
        <v>3.5398694100000001</v>
      </c>
      <c r="M94" s="15">
        <f t="shared" si="64"/>
        <v>3.411321</v>
      </c>
      <c r="N94" s="15">
        <f t="shared" si="64"/>
        <v>3.2818544699999999</v>
      </c>
      <c r="O94" s="15">
        <f t="shared" si="64"/>
        <v>3.5380583999999997</v>
      </c>
      <c r="P94" s="15">
        <f t="shared" si="64"/>
        <v>3.7939473599999998</v>
      </c>
      <c r="Q94" s="15">
        <f t="shared" si="64"/>
        <v>3.1569778000000004</v>
      </c>
      <c r="R94" s="15">
        <f t="shared" si="64"/>
        <v>2.5203705300000001</v>
      </c>
      <c r="S94" s="15">
        <f t="shared" si="64"/>
        <v>3.6740393600000001</v>
      </c>
      <c r="T94" s="15">
        <f t="shared" si="64"/>
        <v>3.3616217399999999</v>
      </c>
      <c r="U94" s="15">
        <f t="shared" si="64"/>
        <v>3.5053392100000003</v>
      </c>
      <c r="V94" s="15">
        <f t="shared" si="64"/>
        <v>3.6457319999999998</v>
      </c>
      <c r="W94" s="15">
        <f t="shared" si="64"/>
        <v>3.7834061999999999</v>
      </c>
      <c r="X94" s="15">
        <f t="shared" si="64"/>
        <v>3.9187764</v>
      </c>
      <c r="Y94" s="15">
        <f t="shared" si="64"/>
        <v>4.0508236799999997</v>
      </c>
      <c r="Z94" s="15">
        <f t="shared" si="64"/>
        <v>4.1801506100000001</v>
      </c>
      <c r="AA94" s="15">
        <f t="shared" si="64"/>
        <v>4.3073148199999993</v>
      </c>
      <c r="AB94" s="15">
        <f t="shared" si="64"/>
        <v>4.4310160000000005</v>
      </c>
      <c r="AC94" s="15">
        <f t="shared" si="64"/>
        <v>4.5918360000000007</v>
      </c>
      <c r="AD94" s="15">
        <f t="shared" si="64"/>
        <v>4.7526560000000009</v>
      </c>
      <c r="AE94" s="15">
        <f t="shared" si="64"/>
        <v>4.9134080000000004</v>
      </c>
      <c r="AF94" s="15">
        <f t="shared" si="64"/>
        <v>5.0742280000000006</v>
      </c>
      <c r="AG94" s="15">
        <f t="shared" si="64"/>
        <v>5.2349800000000002</v>
      </c>
    </row>
    <row r="97" spans="7:33" x14ac:dyDescent="0.3">
      <c r="H97" s="15">
        <f>1-H88</f>
        <v>0.36890000000000001</v>
      </c>
      <c r="I97" s="15">
        <f t="shared" ref="I97:AG97" si="65">1-I88</f>
        <v>0.41279999999999994</v>
      </c>
      <c r="J97" s="15">
        <f t="shared" si="65"/>
        <v>0.45099999999999996</v>
      </c>
      <c r="K97" s="15">
        <f t="shared" si="65"/>
        <v>0.4556</v>
      </c>
      <c r="L97" s="15">
        <f t="shared" si="65"/>
        <v>0.45989999999999998</v>
      </c>
      <c r="M97" s="15">
        <f t="shared" si="65"/>
        <v>0.41000000000000003</v>
      </c>
      <c r="N97" s="15">
        <f t="shared" si="65"/>
        <v>0.34489999999999998</v>
      </c>
      <c r="O97" s="15">
        <f t="shared" si="65"/>
        <v>0.29700000000000004</v>
      </c>
      <c r="P97" s="15">
        <f t="shared" si="65"/>
        <v>0.24960000000000004</v>
      </c>
      <c r="Q97" s="15">
        <f t="shared" si="65"/>
        <v>0.25549999999999995</v>
      </c>
      <c r="R97" s="15">
        <f t="shared" si="65"/>
        <v>0.26129999999999998</v>
      </c>
      <c r="S97" s="15">
        <f t="shared" si="65"/>
        <v>0.26719999999999999</v>
      </c>
      <c r="T97" s="15">
        <f t="shared" si="65"/>
        <v>0.27310000000000001</v>
      </c>
      <c r="U97" s="15">
        <f t="shared" si="65"/>
        <v>0.27890000000000004</v>
      </c>
      <c r="V97" s="15">
        <f t="shared" si="65"/>
        <v>0.28480000000000005</v>
      </c>
      <c r="W97" s="15">
        <f t="shared" si="65"/>
        <v>0.29069999999999996</v>
      </c>
      <c r="X97" s="15">
        <f t="shared" si="65"/>
        <v>0.29649999999999999</v>
      </c>
      <c r="Y97" s="15">
        <f t="shared" si="65"/>
        <v>0.3024</v>
      </c>
      <c r="Z97" s="15">
        <f t="shared" si="65"/>
        <v>0.30830000000000002</v>
      </c>
      <c r="AA97" s="15">
        <f t="shared" si="65"/>
        <v>0.31410000000000005</v>
      </c>
      <c r="AB97" s="15">
        <f t="shared" si="65"/>
        <v>0.31999999999999995</v>
      </c>
      <c r="AC97" s="15">
        <f t="shared" si="65"/>
        <v>0.31999999999999995</v>
      </c>
      <c r="AD97" s="15">
        <f t="shared" si="65"/>
        <v>0.31999999999999995</v>
      </c>
      <c r="AE97" s="15">
        <f t="shared" si="65"/>
        <v>0.31999999999999995</v>
      </c>
      <c r="AF97" s="15">
        <f t="shared" si="65"/>
        <v>0.31999999999999995</v>
      </c>
      <c r="AG97" s="15">
        <f t="shared" si="65"/>
        <v>0.31999999999999995</v>
      </c>
    </row>
    <row r="98" spans="7:33" x14ac:dyDescent="0.3"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spans="7:33" x14ac:dyDescent="0.3"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1" spans="7:33" x14ac:dyDescent="0.3">
      <c r="G101" s="7" t="s">
        <v>60</v>
      </c>
      <c r="H101" s="84">
        <f>ROUNDUP(H92,4)</f>
        <v>3.3290000000000002</v>
      </c>
      <c r="I101" s="84">
        <f t="shared" ref="I101:AG103" si="66">ROUNDUP(I92,4)</f>
        <v>3.3284000000000002</v>
      </c>
      <c r="J101" s="84">
        <f t="shared" si="66"/>
        <v>3.3278000000000003</v>
      </c>
      <c r="K101" s="84">
        <f t="shared" si="66"/>
        <v>3.4340000000000002</v>
      </c>
      <c r="L101" s="84">
        <f t="shared" si="66"/>
        <v>3.5399000000000003</v>
      </c>
      <c r="M101" s="84">
        <f t="shared" si="66"/>
        <v>3.4114000000000004</v>
      </c>
      <c r="N101" s="84">
        <f t="shared" si="66"/>
        <v>3.2819000000000003</v>
      </c>
      <c r="O101" s="84">
        <f t="shared" si="66"/>
        <v>3.6055000000000001</v>
      </c>
      <c r="P101" s="84">
        <f t="shared" si="66"/>
        <v>3.9285000000000001</v>
      </c>
      <c r="Q101" s="84">
        <f t="shared" si="66"/>
        <v>3.3584000000000001</v>
      </c>
      <c r="R101" s="84">
        <f t="shared" si="66"/>
        <v>2.7886000000000002</v>
      </c>
      <c r="S101" s="84">
        <f t="shared" si="66"/>
        <v>4.0095000000000001</v>
      </c>
      <c r="T101" s="84">
        <f t="shared" si="66"/>
        <v>3.7645000000000004</v>
      </c>
      <c r="U101" s="84">
        <f t="shared" si="66"/>
        <v>3.9750000000000001</v>
      </c>
      <c r="V101" s="84">
        <f t="shared" si="66"/>
        <v>4.1825000000000001</v>
      </c>
      <c r="W101" s="84">
        <f t="shared" si="66"/>
        <v>4.3877999999999995</v>
      </c>
      <c r="X101" s="84">
        <f t="shared" si="66"/>
        <v>4.5610999999999997</v>
      </c>
      <c r="Y101" s="84">
        <f t="shared" si="66"/>
        <v>4.7320000000000002</v>
      </c>
      <c r="Z101" s="84">
        <f t="shared" si="66"/>
        <v>4.9005999999999998</v>
      </c>
      <c r="AA101" s="84">
        <f t="shared" si="66"/>
        <v>5.0659999999999998</v>
      </c>
      <c r="AB101" s="84">
        <f t="shared" si="66"/>
        <v>5.2286000000000001</v>
      </c>
      <c r="AC101" s="84">
        <f t="shared" si="66"/>
        <v>5.4284999999999997</v>
      </c>
      <c r="AD101" s="84">
        <f t="shared" si="66"/>
        <v>5.6277999999999997</v>
      </c>
      <c r="AE101" s="84">
        <f t="shared" si="66"/>
        <v>5.8274999999999997</v>
      </c>
      <c r="AF101" s="84">
        <f t="shared" si="66"/>
        <v>6.0271999999999997</v>
      </c>
      <c r="AG101" s="84">
        <f t="shared" si="66"/>
        <v>6.2265999999999995</v>
      </c>
    </row>
    <row r="102" spans="7:33" x14ac:dyDescent="0.3">
      <c r="G102" s="7" t="s">
        <v>61</v>
      </c>
      <c r="H102" s="84">
        <f t="shared" ref="H102:W103" si="67">ROUNDUP(H93,4)</f>
        <v>3.3290000000000002</v>
      </c>
      <c r="I102" s="84">
        <f t="shared" si="67"/>
        <v>3.3284000000000002</v>
      </c>
      <c r="J102" s="84">
        <f t="shared" si="67"/>
        <v>3.3278000000000003</v>
      </c>
      <c r="K102" s="84">
        <f t="shared" si="67"/>
        <v>3.4340000000000002</v>
      </c>
      <c r="L102" s="84">
        <f t="shared" si="67"/>
        <v>3.5399000000000003</v>
      </c>
      <c r="M102" s="84">
        <f t="shared" si="67"/>
        <v>3.4114000000000004</v>
      </c>
      <c r="N102" s="84">
        <f t="shared" si="67"/>
        <v>3.2819000000000003</v>
      </c>
      <c r="O102" s="84">
        <f t="shared" si="67"/>
        <v>3.5381</v>
      </c>
      <c r="P102" s="84">
        <f t="shared" si="67"/>
        <v>3.794</v>
      </c>
      <c r="Q102" s="84">
        <f t="shared" si="67"/>
        <v>3.157</v>
      </c>
      <c r="R102" s="84">
        <f t="shared" si="67"/>
        <v>2.5204000000000004</v>
      </c>
      <c r="S102" s="84">
        <f t="shared" si="67"/>
        <v>3.6741000000000001</v>
      </c>
      <c r="T102" s="84">
        <f t="shared" si="67"/>
        <v>3.3617000000000004</v>
      </c>
      <c r="U102" s="84">
        <f t="shared" si="67"/>
        <v>3.5054000000000003</v>
      </c>
      <c r="V102" s="84">
        <f t="shared" si="67"/>
        <v>3.6458000000000004</v>
      </c>
      <c r="W102" s="84">
        <f t="shared" si="67"/>
        <v>3.7835000000000001</v>
      </c>
      <c r="X102" s="84">
        <f t="shared" si="66"/>
        <v>3.9188000000000001</v>
      </c>
      <c r="Y102" s="84">
        <f t="shared" si="66"/>
        <v>4.0508999999999995</v>
      </c>
      <c r="Z102" s="84">
        <f t="shared" si="66"/>
        <v>4.1802000000000001</v>
      </c>
      <c r="AA102" s="84">
        <f t="shared" si="66"/>
        <v>4.3073999999999995</v>
      </c>
      <c r="AB102" s="84">
        <f t="shared" si="66"/>
        <v>4.4310999999999998</v>
      </c>
      <c r="AC102" s="84">
        <f t="shared" si="66"/>
        <v>4.5918999999999999</v>
      </c>
      <c r="AD102" s="84">
        <f t="shared" si="66"/>
        <v>4.7526999999999999</v>
      </c>
      <c r="AE102" s="84">
        <f t="shared" si="66"/>
        <v>4.9135</v>
      </c>
      <c r="AF102" s="84">
        <f t="shared" si="66"/>
        <v>5.0743</v>
      </c>
      <c r="AG102" s="84">
        <f t="shared" si="66"/>
        <v>5.2349999999999994</v>
      </c>
    </row>
    <row r="103" spans="7:33" x14ac:dyDescent="0.3">
      <c r="G103" s="7" t="s">
        <v>62</v>
      </c>
      <c r="H103" s="84">
        <f t="shared" si="67"/>
        <v>3.3290000000000002</v>
      </c>
      <c r="I103" s="84">
        <f t="shared" si="66"/>
        <v>3.3284000000000002</v>
      </c>
      <c r="J103" s="84">
        <f t="shared" si="66"/>
        <v>3.3278000000000003</v>
      </c>
      <c r="K103" s="84">
        <f t="shared" si="66"/>
        <v>3.4340000000000002</v>
      </c>
      <c r="L103" s="84">
        <f t="shared" si="66"/>
        <v>3.5399000000000003</v>
      </c>
      <c r="M103" s="84">
        <f t="shared" si="66"/>
        <v>3.4114000000000004</v>
      </c>
      <c r="N103" s="84">
        <f t="shared" si="66"/>
        <v>3.2819000000000003</v>
      </c>
      <c r="O103" s="84">
        <f t="shared" si="66"/>
        <v>3.5381</v>
      </c>
      <c r="P103" s="84">
        <f t="shared" si="66"/>
        <v>3.794</v>
      </c>
      <c r="Q103" s="84">
        <f t="shared" si="66"/>
        <v>3.157</v>
      </c>
      <c r="R103" s="84">
        <f t="shared" si="66"/>
        <v>2.5204000000000004</v>
      </c>
      <c r="S103" s="84">
        <f t="shared" si="66"/>
        <v>3.6741000000000001</v>
      </c>
      <c r="T103" s="84">
        <f t="shared" si="66"/>
        <v>3.3617000000000004</v>
      </c>
      <c r="U103" s="84">
        <f t="shared" si="66"/>
        <v>3.5054000000000003</v>
      </c>
      <c r="V103" s="84">
        <f t="shared" ref="V103" si="68">ROUNDUP(V94,4)</f>
        <v>3.6458000000000004</v>
      </c>
      <c r="W103" s="84">
        <f t="shared" si="66"/>
        <v>3.7835000000000001</v>
      </c>
      <c r="X103" s="84">
        <f t="shared" si="66"/>
        <v>3.9188000000000001</v>
      </c>
      <c r="Y103" s="84">
        <f t="shared" si="66"/>
        <v>4.0508999999999995</v>
      </c>
      <c r="Z103" s="84">
        <f t="shared" si="66"/>
        <v>4.1802000000000001</v>
      </c>
      <c r="AA103" s="84">
        <f t="shared" si="66"/>
        <v>4.3073999999999995</v>
      </c>
      <c r="AB103" s="84">
        <f t="shared" si="66"/>
        <v>4.4310999999999998</v>
      </c>
      <c r="AC103" s="84">
        <f t="shared" si="66"/>
        <v>4.5918999999999999</v>
      </c>
      <c r="AD103" s="84">
        <f t="shared" si="66"/>
        <v>4.7526999999999999</v>
      </c>
      <c r="AE103" s="84">
        <f t="shared" si="66"/>
        <v>4.9135</v>
      </c>
      <c r="AF103" s="84">
        <f t="shared" si="66"/>
        <v>5.0743</v>
      </c>
      <c r="AG103" s="84">
        <f t="shared" si="66"/>
        <v>5.2349999999999994</v>
      </c>
    </row>
    <row r="106" spans="7:33" x14ac:dyDescent="0.3">
      <c r="H106" s="15">
        <f>H101-H92</f>
        <v>1.0610000000355058E-5</v>
      </c>
      <c r="I106" s="15">
        <f t="shared" ref="I106:AG108" si="69">I101-I92</f>
        <v>3.295999999997079E-5</v>
      </c>
      <c r="J106" s="15">
        <f t="shared" si="69"/>
        <v>3.6500000000216914E-5</v>
      </c>
      <c r="K106" s="15">
        <f t="shared" si="69"/>
        <v>3.3680000000035903E-5</v>
      </c>
      <c r="L106" s="15">
        <f t="shared" si="69"/>
        <v>3.0590000000163542E-5</v>
      </c>
      <c r="M106" s="15">
        <f t="shared" si="69"/>
        <v>7.9000000000384318E-5</v>
      </c>
      <c r="N106" s="15">
        <f t="shared" si="69"/>
        <v>4.5530000000404414E-5</v>
      </c>
      <c r="O106" s="15">
        <f t="shared" si="69"/>
        <v>2.0799999997933583E-6</v>
      </c>
      <c r="P106" s="15">
        <f t="shared" si="69"/>
        <v>6.5699999999946357E-5</v>
      </c>
      <c r="Q106" s="15">
        <f t="shared" si="69"/>
        <v>3.1999999996479289E-6</v>
      </c>
      <c r="R106" s="15">
        <f t="shared" si="69"/>
        <v>5.4130000000096601E-5</v>
      </c>
      <c r="S106" s="15">
        <f t="shared" si="69"/>
        <v>4.4110000000152638E-5</v>
      </c>
      <c r="T106" s="15">
        <f t="shared" si="69"/>
        <v>7.5600000000619616E-5</v>
      </c>
      <c r="U106" s="15">
        <f t="shared" si="69"/>
        <v>7.8529999999688016E-5</v>
      </c>
      <c r="V106" s="15">
        <f t="shared" si="69"/>
        <v>1.2500000003967671E-6</v>
      </c>
      <c r="W106" s="15">
        <f t="shared" si="69"/>
        <v>5.159999999992948E-5</v>
      </c>
      <c r="X106" s="15">
        <f t="shared" si="69"/>
        <v>5.647999999958131E-5</v>
      </c>
      <c r="Y106" s="15">
        <f t="shared" si="69"/>
        <v>3.8680000000290704E-5</v>
      </c>
      <c r="Z106" s="15">
        <f t="shared" si="69"/>
        <v>8.8029999999683639E-5</v>
      </c>
      <c r="AA106" s="15">
        <f t="shared" si="69"/>
        <v>8.5340000000044824E-5</v>
      </c>
      <c r="AB106" s="15">
        <f t="shared" si="69"/>
        <v>1.1199999994104815E-6</v>
      </c>
      <c r="AC106" s="15">
        <f t="shared" si="69"/>
        <v>4.4700000003672358E-6</v>
      </c>
      <c r="AD106" s="15">
        <f t="shared" si="69"/>
        <v>9.6159999999123613E-5</v>
      </c>
      <c r="AE106" s="15">
        <f t="shared" si="69"/>
        <v>5.3599999999320858E-5</v>
      </c>
      <c r="AF106" s="15">
        <f t="shared" si="69"/>
        <v>6.1829999999929441E-5</v>
      </c>
      <c r="AG106" s="15">
        <f t="shared" si="69"/>
        <v>5.3199999999975489E-5</v>
      </c>
    </row>
    <row r="107" spans="7:33" x14ac:dyDescent="0.3">
      <c r="H107" s="15">
        <f t="shared" ref="H107:W108" si="70">H102-H93</f>
        <v>1.0610000000355058E-5</v>
      </c>
      <c r="I107" s="15">
        <f t="shared" si="70"/>
        <v>3.295999999997079E-5</v>
      </c>
      <c r="J107" s="15">
        <f t="shared" si="70"/>
        <v>3.6500000000216914E-5</v>
      </c>
      <c r="K107" s="15">
        <f t="shared" si="70"/>
        <v>3.3680000000035903E-5</v>
      </c>
      <c r="L107" s="15">
        <f t="shared" si="70"/>
        <v>3.0590000000163542E-5</v>
      </c>
      <c r="M107" s="15">
        <f t="shared" si="70"/>
        <v>7.9000000000384318E-5</v>
      </c>
      <c r="N107" s="15">
        <f t="shared" si="70"/>
        <v>4.5530000000404414E-5</v>
      </c>
      <c r="O107" s="15">
        <f t="shared" si="70"/>
        <v>4.1600000000308057E-5</v>
      </c>
      <c r="P107" s="15">
        <f t="shared" si="70"/>
        <v>5.2640000000270248E-5</v>
      </c>
      <c r="Q107" s="15">
        <f t="shared" si="70"/>
        <v>2.2199999999639175E-5</v>
      </c>
      <c r="R107" s="15">
        <f t="shared" si="70"/>
        <v>2.9470000000308971E-5</v>
      </c>
      <c r="S107" s="15">
        <f t="shared" si="70"/>
        <v>6.0640000000056204E-5</v>
      </c>
      <c r="T107" s="15">
        <f t="shared" si="70"/>
        <v>7.8260000000440755E-5</v>
      </c>
      <c r="U107" s="15">
        <f t="shared" si="70"/>
        <v>6.0790000000032762E-5</v>
      </c>
      <c r="V107" s="15">
        <f t="shared" si="70"/>
        <v>6.8000000000623118E-5</v>
      </c>
      <c r="W107" s="15">
        <f t="shared" si="70"/>
        <v>9.3800000000143768E-5</v>
      </c>
      <c r="X107" s="15">
        <f t="shared" si="69"/>
        <v>2.36000000000125E-5</v>
      </c>
      <c r="Y107" s="15">
        <f t="shared" si="69"/>
        <v>7.6319999999796551E-5</v>
      </c>
      <c r="Z107" s="15">
        <f t="shared" si="69"/>
        <v>4.9390000000038015E-5</v>
      </c>
      <c r="AA107" s="15">
        <f t="shared" si="69"/>
        <v>8.5180000000129041E-5</v>
      </c>
      <c r="AB107" s="15">
        <f t="shared" si="69"/>
        <v>8.3999999999306851E-5</v>
      </c>
      <c r="AC107" s="15">
        <f t="shared" si="69"/>
        <v>6.3999999999175827E-5</v>
      </c>
      <c r="AD107" s="15">
        <f t="shared" si="69"/>
        <v>4.3999999999044803E-5</v>
      </c>
      <c r="AE107" s="15">
        <f t="shared" si="69"/>
        <v>9.1999999999536897E-5</v>
      </c>
      <c r="AF107" s="15">
        <f t="shared" si="69"/>
        <v>7.1999999999405873E-5</v>
      </c>
      <c r="AG107" s="15">
        <f t="shared" si="69"/>
        <v>1.9999999999242846E-5</v>
      </c>
    </row>
    <row r="108" spans="7:33" x14ac:dyDescent="0.3">
      <c r="H108" s="15">
        <f t="shared" si="70"/>
        <v>1.0610000000355058E-5</v>
      </c>
      <c r="I108" s="15">
        <f t="shared" si="69"/>
        <v>3.295999999997079E-5</v>
      </c>
      <c r="J108" s="15">
        <f t="shared" si="69"/>
        <v>3.6500000000216914E-5</v>
      </c>
      <c r="K108" s="15">
        <f t="shared" si="69"/>
        <v>3.3680000000035903E-5</v>
      </c>
      <c r="L108" s="15">
        <f t="shared" si="69"/>
        <v>3.0590000000163542E-5</v>
      </c>
      <c r="M108" s="15">
        <f t="shared" si="69"/>
        <v>7.9000000000384318E-5</v>
      </c>
      <c r="N108" s="15">
        <f t="shared" si="69"/>
        <v>4.5530000000404414E-5</v>
      </c>
      <c r="O108" s="15">
        <f t="shared" si="69"/>
        <v>4.1600000000308057E-5</v>
      </c>
      <c r="P108" s="15">
        <f t="shared" si="69"/>
        <v>5.2640000000270248E-5</v>
      </c>
      <c r="Q108" s="15">
        <f t="shared" si="69"/>
        <v>2.2199999999639175E-5</v>
      </c>
      <c r="R108" s="15">
        <f t="shared" si="69"/>
        <v>2.9470000000308971E-5</v>
      </c>
      <c r="S108" s="15">
        <f t="shared" si="69"/>
        <v>6.0640000000056204E-5</v>
      </c>
      <c r="T108" s="15">
        <f t="shared" si="69"/>
        <v>7.8260000000440755E-5</v>
      </c>
      <c r="U108" s="15">
        <f t="shared" si="69"/>
        <v>6.0790000000032762E-5</v>
      </c>
      <c r="V108" s="15">
        <f t="shared" si="69"/>
        <v>6.8000000000623118E-5</v>
      </c>
      <c r="W108" s="15">
        <f t="shared" si="69"/>
        <v>9.3800000000143768E-5</v>
      </c>
      <c r="X108" s="15">
        <f t="shared" si="69"/>
        <v>2.36000000000125E-5</v>
      </c>
      <c r="Y108" s="15">
        <f t="shared" si="69"/>
        <v>7.6319999999796551E-5</v>
      </c>
      <c r="Z108" s="15">
        <f t="shared" si="69"/>
        <v>4.9390000000038015E-5</v>
      </c>
      <c r="AA108" s="15">
        <f t="shared" si="69"/>
        <v>8.5180000000129041E-5</v>
      </c>
      <c r="AB108" s="15">
        <f t="shared" si="69"/>
        <v>8.3999999999306851E-5</v>
      </c>
      <c r="AC108" s="15">
        <f t="shared" si="69"/>
        <v>6.3999999999175827E-5</v>
      </c>
      <c r="AD108" s="15">
        <f t="shared" si="69"/>
        <v>4.3999999999044803E-5</v>
      </c>
      <c r="AE108" s="15">
        <f t="shared" si="69"/>
        <v>9.1999999999536897E-5</v>
      </c>
      <c r="AF108" s="15">
        <f t="shared" si="69"/>
        <v>7.1999999999405873E-5</v>
      </c>
      <c r="AG108" s="15">
        <f t="shared" si="69"/>
        <v>1.9999999999242846E-5</v>
      </c>
    </row>
  </sheetData>
  <mergeCells count="6">
    <mergeCell ref="C50:C51"/>
    <mergeCell ref="C65:C69"/>
    <mergeCell ref="C76:C80"/>
    <mergeCell ref="C8:C9"/>
    <mergeCell ref="C26:C29"/>
    <mergeCell ref="C37:C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2559-4E67-405E-94AD-EBA74973EFDD}">
  <sheetPr>
    <tabColor theme="5" tint="0.59999389629810485"/>
  </sheetPr>
  <dimension ref="B1:AD105"/>
  <sheetViews>
    <sheetView workbookViewId="0">
      <selection activeCell="F20" sqref="F20"/>
    </sheetView>
  </sheetViews>
  <sheetFormatPr defaultColWidth="8.88671875" defaultRowHeight="14.4" x14ac:dyDescent="0.3"/>
  <cols>
    <col min="2" max="2" width="11.6640625" customWidth="1"/>
    <col min="4" max="4" width="44.33203125" bestFit="1" customWidth="1"/>
    <col min="11" max="11" width="13" bestFit="1" customWidth="1"/>
  </cols>
  <sheetData>
    <row r="1" spans="2:30" x14ac:dyDescent="0.3">
      <c r="B1" s="7" t="s">
        <v>70</v>
      </c>
    </row>
    <row r="3" spans="2:30" x14ac:dyDescent="0.3">
      <c r="B3" t="s">
        <v>64</v>
      </c>
      <c r="D3" s="1" t="s">
        <v>71</v>
      </c>
      <c r="E3" s="6">
        <v>2010</v>
      </c>
      <c r="F3" s="5">
        <v>2011</v>
      </c>
      <c r="G3" s="6">
        <v>2012</v>
      </c>
      <c r="H3" s="5">
        <v>2013</v>
      </c>
      <c r="I3" s="6">
        <v>2014</v>
      </c>
      <c r="J3" s="5">
        <v>2015</v>
      </c>
      <c r="K3" s="6">
        <v>2016</v>
      </c>
      <c r="L3" s="5">
        <v>2017</v>
      </c>
      <c r="M3" s="6">
        <v>2018</v>
      </c>
      <c r="N3" s="1">
        <v>2019</v>
      </c>
      <c r="O3" s="1">
        <v>2020</v>
      </c>
      <c r="P3" s="1">
        <v>2021</v>
      </c>
      <c r="Q3" s="1">
        <v>2022</v>
      </c>
      <c r="R3" s="1">
        <v>2023</v>
      </c>
      <c r="S3" s="1">
        <v>2024</v>
      </c>
      <c r="T3" s="1">
        <v>2025</v>
      </c>
      <c r="U3" s="1">
        <v>2026</v>
      </c>
      <c r="V3" s="1">
        <v>2027</v>
      </c>
      <c r="W3" s="1">
        <v>2028</v>
      </c>
      <c r="X3" s="1">
        <v>2029</v>
      </c>
      <c r="Y3" s="1">
        <v>2030</v>
      </c>
      <c r="Z3" s="1">
        <v>2031</v>
      </c>
      <c r="AA3" s="1">
        <v>2032</v>
      </c>
      <c r="AB3" s="1">
        <v>2033</v>
      </c>
      <c r="AC3" s="1">
        <v>2034</v>
      </c>
      <c r="AD3" s="1">
        <v>2035</v>
      </c>
    </row>
    <row r="4" spans="2:30" x14ac:dyDescent="0.3">
      <c r="D4" s="9" t="s">
        <v>72</v>
      </c>
      <c r="E4" s="10">
        <v>1781.9687670000001</v>
      </c>
      <c r="F4" s="10"/>
      <c r="G4" s="10">
        <v>1787.6358299999999</v>
      </c>
      <c r="H4" s="10"/>
      <c r="I4" s="10">
        <v>1884.82</v>
      </c>
      <c r="J4" s="10"/>
      <c r="K4" s="10">
        <v>1750.74</v>
      </c>
      <c r="L4" s="10"/>
      <c r="M4" s="10">
        <v>2029.03</v>
      </c>
      <c r="N4" s="10"/>
      <c r="O4" s="10">
        <v>1347.8303900000001</v>
      </c>
      <c r="P4" s="10">
        <v>1964.887972</v>
      </c>
      <c r="Q4" s="10">
        <v>1797.8711719999999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2:30" x14ac:dyDescent="0.3">
      <c r="D5" s="2" t="s">
        <v>73</v>
      </c>
      <c r="E5" s="3">
        <v>66.497979799999996</v>
      </c>
      <c r="F5" s="12">
        <v>69.184431899999993</v>
      </c>
      <c r="G5" s="3">
        <v>71.870884000000018</v>
      </c>
      <c r="H5" s="12">
        <v>74.235442000000006</v>
      </c>
      <c r="I5" s="3">
        <v>76.599999999999994</v>
      </c>
      <c r="J5" s="12">
        <v>85.19</v>
      </c>
      <c r="K5" s="3">
        <v>93.78000000000003</v>
      </c>
      <c r="L5" s="12">
        <v>100.45500000000001</v>
      </c>
      <c r="M5" s="3">
        <v>107.13</v>
      </c>
      <c r="N5" s="12">
        <v>114.35281995</v>
      </c>
      <c r="O5" s="3">
        <v>121.57563989999998</v>
      </c>
      <c r="P5" s="13">
        <v>219.89981399999999</v>
      </c>
      <c r="Q5" s="13">
        <v>179.0571486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2:30" x14ac:dyDescent="0.3">
      <c r="D6" s="2" t="s">
        <v>74</v>
      </c>
      <c r="E6" s="3">
        <v>7.5096794329999987</v>
      </c>
      <c r="F6" s="12">
        <v>9.1974451664999997</v>
      </c>
      <c r="G6" s="3">
        <v>10.885210900000001</v>
      </c>
      <c r="H6" s="12">
        <v>12.592605450000001</v>
      </c>
      <c r="I6" s="3">
        <v>14.300000000000002</v>
      </c>
      <c r="J6" s="12">
        <v>12.510000000000003</v>
      </c>
      <c r="K6" s="3">
        <v>10.720000000000002</v>
      </c>
      <c r="L6" s="12">
        <v>12.420000000000002</v>
      </c>
      <c r="M6" s="3">
        <v>14.120000000000001</v>
      </c>
      <c r="N6" s="12">
        <v>9.4119149499999999</v>
      </c>
      <c r="O6" s="3">
        <v>4.7038298999999988</v>
      </c>
      <c r="P6" s="13">
        <v>8.9208316720000003</v>
      </c>
      <c r="Q6" s="13">
        <v>8.1065265620000009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2:30" x14ac:dyDescent="0.3">
      <c r="D7" s="2" t="s">
        <v>75</v>
      </c>
      <c r="E7" s="3">
        <v>318.0637888</v>
      </c>
      <c r="F7" s="12">
        <v>409.63545190000002</v>
      </c>
      <c r="G7" s="3">
        <v>501.20711500000004</v>
      </c>
      <c r="H7" s="12">
        <v>440.0635575</v>
      </c>
      <c r="I7" s="3">
        <v>378.91999999999996</v>
      </c>
      <c r="J7" s="12">
        <v>383.03999999999996</v>
      </c>
      <c r="K7" s="3">
        <v>387.15999999999997</v>
      </c>
      <c r="L7" s="12">
        <v>296.02999999999997</v>
      </c>
      <c r="M7" s="3">
        <v>204.89999999999998</v>
      </c>
      <c r="N7" s="12">
        <v>152.17843961999998</v>
      </c>
      <c r="O7" s="3">
        <v>99.456879239999978</v>
      </c>
      <c r="P7" s="13">
        <v>44.588128480000002</v>
      </c>
      <c r="Q7" s="13">
        <v>211.67638959999999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 x14ac:dyDescent="0.3">
      <c r="D8" s="2" t="s">
        <v>76</v>
      </c>
      <c r="E8" s="3">
        <v>-1.1102230246251565E-16</v>
      </c>
      <c r="F8" s="12">
        <v>0.89995110499999997</v>
      </c>
      <c r="G8" s="3">
        <v>1.7999022100000002</v>
      </c>
      <c r="H8" s="12">
        <v>1.7999511050000001</v>
      </c>
      <c r="I8" s="3">
        <v>1.8</v>
      </c>
      <c r="J8" s="12">
        <v>0.89999999999999991</v>
      </c>
      <c r="K8" s="3">
        <v>0</v>
      </c>
      <c r="L8" s="12">
        <v>1.53</v>
      </c>
      <c r="M8" s="3">
        <v>3.06</v>
      </c>
      <c r="N8" s="12">
        <v>5.7675779600000006</v>
      </c>
      <c r="O8" s="3">
        <v>8.4751559200000024</v>
      </c>
      <c r="P8" s="13">
        <v>1.2234899560000001</v>
      </c>
      <c r="Q8" s="13">
        <v>1.67876632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0" x14ac:dyDescent="0.3">
      <c r="D9" s="2" t="s">
        <v>77</v>
      </c>
      <c r="E9" s="3">
        <v>29.76</v>
      </c>
      <c r="F9" s="12">
        <v>31.68</v>
      </c>
      <c r="G9" s="3">
        <v>33.6</v>
      </c>
      <c r="H9" s="12">
        <v>35.72</v>
      </c>
      <c r="I9" s="3">
        <v>37.839999999999996</v>
      </c>
      <c r="J9" s="12">
        <v>40.36</v>
      </c>
      <c r="K9" s="3">
        <v>42.88</v>
      </c>
      <c r="L9" s="12">
        <v>49.64</v>
      </c>
      <c r="M9" s="3">
        <v>56.400000000000013</v>
      </c>
      <c r="N9" s="12">
        <v>45.895758400000005</v>
      </c>
      <c r="O9" s="3">
        <v>35.391516800000005</v>
      </c>
      <c r="P9" s="13">
        <v>77.936107199999995</v>
      </c>
      <c r="Q9" s="13">
        <v>80.062921599999996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0" x14ac:dyDescent="0.3">
      <c r="D10" s="2" t="s">
        <v>78</v>
      </c>
      <c r="E10" s="3">
        <v>1.2835778</v>
      </c>
      <c r="F10" s="12">
        <v>1.5765538050000001</v>
      </c>
      <c r="G10" s="3">
        <v>1.8695298100000004</v>
      </c>
      <c r="H10" s="12">
        <v>2.3047649050000003</v>
      </c>
      <c r="I10" s="3">
        <v>2.74</v>
      </c>
      <c r="J10" s="12">
        <v>2.88</v>
      </c>
      <c r="K10" s="3">
        <v>3.0199999999999996</v>
      </c>
      <c r="L10" s="12">
        <v>3.51</v>
      </c>
      <c r="M10" s="3">
        <v>4</v>
      </c>
      <c r="N10" s="12">
        <v>6.9922839999999997</v>
      </c>
      <c r="O10" s="3">
        <v>9.9845679999999994</v>
      </c>
      <c r="P10" s="13">
        <v>8.7039159999999995</v>
      </c>
      <c r="Q10" s="13">
        <v>6.6041460000000001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2:30" x14ac:dyDescent="0.3">
      <c r="D11" s="4" t="s">
        <v>79</v>
      </c>
      <c r="E11" s="3">
        <v>-1.3877787807814457E-17</v>
      </c>
      <c r="F11" s="12">
        <v>0.119386665</v>
      </c>
      <c r="G11" s="3">
        <v>0.23877332999999901</v>
      </c>
      <c r="H11" s="12">
        <v>2.8343866649999998</v>
      </c>
      <c r="I11" s="3">
        <v>5.43</v>
      </c>
      <c r="J11" s="12">
        <v>5.5600000000000005</v>
      </c>
      <c r="K11" s="3">
        <v>5.6900000000000013</v>
      </c>
      <c r="L11" s="12">
        <v>5.3150000000000013</v>
      </c>
      <c r="M11" s="3">
        <v>4.9400000000000013</v>
      </c>
      <c r="N11" s="12">
        <v>4.2985666665000011</v>
      </c>
      <c r="O11" s="3">
        <v>3.657133333</v>
      </c>
      <c r="P11" s="13">
        <v>3.555053333</v>
      </c>
      <c r="Q11" s="13">
        <v>3.01708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2:30" x14ac:dyDescent="0.3">
      <c r="D12" s="4" t="s">
        <v>80</v>
      </c>
      <c r="E12" s="3">
        <v>0.28673333000000001</v>
      </c>
      <c r="F12" s="12">
        <v>0.16529333000000002</v>
      </c>
      <c r="G12" s="3">
        <v>4.3853329999999857E-2</v>
      </c>
      <c r="H12" s="12">
        <v>0.26192666499999995</v>
      </c>
      <c r="I12" s="3">
        <v>0.47999999999999993</v>
      </c>
      <c r="J12" s="12">
        <v>0.43499999999999994</v>
      </c>
      <c r="K12" s="3">
        <v>0.3899999999999999</v>
      </c>
      <c r="L12" s="12">
        <v>0.66</v>
      </c>
      <c r="M12" s="3">
        <v>0.93000000000000016</v>
      </c>
      <c r="N12" s="12">
        <v>0.60345333350000008</v>
      </c>
      <c r="O12" s="3">
        <v>0.276906667</v>
      </c>
      <c r="P12" s="13">
        <v>0.59326666699999997</v>
      </c>
      <c r="Q12" s="13">
        <v>0.127021943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2:30" x14ac:dyDescent="0.3">
      <c r="D13" s="11" t="s">
        <v>81</v>
      </c>
      <c r="E13" s="10">
        <v>214.93</v>
      </c>
      <c r="F13" s="10">
        <v>252.02</v>
      </c>
      <c r="G13" s="10">
        <v>289.11</v>
      </c>
      <c r="H13" s="10">
        <v>331.79500000000002</v>
      </c>
      <c r="I13" s="10">
        <v>374.48</v>
      </c>
      <c r="J13" s="10">
        <v>423.69</v>
      </c>
      <c r="K13" s="10">
        <v>472.9</v>
      </c>
      <c r="L13" s="10">
        <v>496</v>
      </c>
      <c r="M13" s="10">
        <v>519.09999999999991</v>
      </c>
      <c r="N13" s="10">
        <v>861.05</v>
      </c>
      <c r="O13" s="10">
        <v>1203</v>
      </c>
      <c r="P13" s="10">
        <v>1325.05</v>
      </c>
      <c r="Q13" s="10">
        <v>1957.579999999999</v>
      </c>
      <c r="R13" s="11">
        <v>2383.9598749999996</v>
      </c>
      <c r="S13" s="11">
        <v>2810.3397499999996</v>
      </c>
      <c r="T13" s="11">
        <v>3236.7196249999997</v>
      </c>
      <c r="U13" s="11">
        <v>3663.0994999999998</v>
      </c>
      <c r="V13" s="11">
        <v>4089.4793750000003</v>
      </c>
      <c r="W13" s="11">
        <v>4515.8592500000004</v>
      </c>
      <c r="X13" s="11">
        <v>4942.2391250000001</v>
      </c>
      <c r="Y13" s="11">
        <v>5368.6190000000006</v>
      </c>
      <c r="Z13" s="11">
        <v>5379.960156000001</v>
      </c>
      <c r="AA13" s="11">
        <v>5391.3013120000005</v>
      </c>
      <c r="AB13" s="11">
        <v>5402.6424680000009</v>
      </c>
      <c r="AC13" s="11">
        <v>5413.9836240000004</v>
      </c>
      <c r="AD13" s="11">
        <v>5425.3247799999999</v>
      </c>
    </row>
    <row r="14" spans="2:30" x14ac:dyDescent="0.3"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2:30" x14ac:dyDescent="0.3">
      <c r="D15" t="s">
        <v>19</v>
      </c>
      <c r="E15" s="14">
        <f>SUM(E5:E12)</f>
        <v>423.40175916300001</v>
      </c>
      <c r="F15" s="14">
        <f t="shared" ref="F15:Q15" si="0">SUM(F5:F12)</f>
        <v>522.45851387150003</v>
      </c>
      <c r="G15" s="14">
        <f t="shared" si="0"/>
        <v>621.51526858000011</v>
      </c>
      <c r="H15" s="14">
        <f t="shared" si="0"/>
        <v>569.81263429000001</v>
      </c>
      <c r="I15" s="14">
        <f t="shared" si="0"/>
        <v>518.1099999999999</v>
      </c>
      <c r="J15" s="14">
        <f t="shared" si="0"/>
        <v>530.87499999999977</v>
      </c>
      <c r="K15" s="14">
        <f t="shared" si="0"/>
        <v>543.64</v>
      </c>
      <c r="L15" s="14">
        <f t="shared" si="0"/>
        <v>469.55999999999995</v>
      </c>
      <c r="M15" s="14">
        <f t="shared" si="0"/>
        <v>395.48</v>
      </c>
      <c r="N15" s="14">
        <f>SUM(N5:N12)</f>
        <v>339.50081487999995</v>
      </c>
      <c r="O15" s="14">
        <f t="shared" si="0"/>
        <v>283.52162975999994</v>
      </c>
      <c r="P15" s="14">
        <f t="shared" si="0"/>
        <v>365.42060730799994</v>
      </c>
      <c r="Q15" s="14">
        <f t="shared" si="0"/>
        <v>490.33000062500003</v>
      </c>
    </row>
    <row r="18" spans="2:30" x14ac:dyDescent="0.3">
      <c r="F18" s="23" t="s">
        <v>82</v>
      </c>
      <c r="H18" s="23" t="s">
        <v>82</v>
      </c>
      <c r="J18" s="23" t="s">
        <v>82</v>
      </c>
      <c r="L18" s="23" t="s">
        <v>82</v>
      </c>
    </row>
    <row r="19" spans="2:30" x14ac:dyDescent="0.3">
      <c r="B19" t="s">
        <v>67</v>
      </c>
      <c r="D19" s="1" t="s">
        <v>71</v>
      </c>
      <c r="E19" s="6">
        <v>2010</v>
      </c>
      <c r="F19" s="5">
        <v>2011</v>
      </c>
      <c r="G19" s="6">
        <v>2012</v>
      </c>
      <c r="H19" s="5">
        <v>2013</v>
      </c>
      <c r="I19" s="6">
        <v>2014</v>
      </c>
      <c r="J19" s="5">
        <v>2015</v>
      </c>
      <c r="K19" s="6">
        <v>2016</v>
      </c>
      <c r="L19" s="5">
        <v>2017</v>
      </c>
      <c r="M19" s="6">
        <v>2018</v>
      </c>
      <c r="N19" s="1">
        <v>2019</v>
      </c>
      <c r="O19" s="1">
        <v>2020</v>
      </c>
      <c r="P19" s="1">
        <v>2021</v>
      </c>
      <c r="Q19" s="1">
        <v>2022</v>
      </c>
      <c r="R19" s="1">
        <v>2023</v>
      </c>
      <c r="S19" s="1">
        <v>2024</v>
      </c>
      <c r="T19" s="1">
        <v>2025</v>
      </c>
      <c r="U19" s="1">
        <v>2026</v>
      </c>
      <c r="V19" s="1">
        <v>2027</v>
      </c>
      <c r="W19" s="1">
        <v>2028</v>
      </c>
      <c r="X19" s="1">
        <v>2029</v>
      </c>
      <c r="Y19" s="1">
        <v>2030</v>
      </c>
      <c r="Z19" s="1">
        <v>2031</v>
      </c>
      <c r="AA19" s="1">
        <v>2032</v>
      </c>
      <c r="AB19" s="1">
        <v>2033</v>
      </c>
      <c r="AC19" s="1">
        <v>2034</v>
      </c>
      <c r="AD19" s="1">
        <v>2035</v>
      </c>
    </row>
    <row r="20" spans="2:30" x14ac:dyDescent="0.3">
      <c r="D20" s="9" t="s">
        <v>72</v>
      </c>
      <c r="E20" s="10">
        <f>E4/1000</f>
        <v>1.7819687670000002</v>
      </c>
      <c r="F20" s="10"/>
      <c r="G20" s="10">
        <f t="shared" ref="G20:Q20" si="1">G4/1000</f>
        <v>1.7876358299999999</v>
      </c>
      <c r="H20" s="10"/>
      <c r="I20" s="10">
        <f t="shared" si="1"/>
        <v>1.8848199999999999</v>
      </c>
      <c r="J20" s="10"/>
      <c r="K20" s="10">
        <f t="shared" si="1"/>
        <v>1.75074</v>
      </c>
      <c r="L20" s="10"/>
      <c r="M20" s="10">
        <f t="shared" si="1"/>
        <v>2.0290300000000001</v>
      </c>
      <c r="N20" s="10">
        <f t="shared" si="1"/>
        <v>0</v>
      </c>
      <c r="O20" s="10">
        <f t="shared" si="1"/>
        <v>1.3478303900000002</v>
      </c>
      <c r="P20" s="10">
        <f t="shared" si="1"/>
        <v>1.9648879720000001</v>
      </c>
      <c r="Q20" s="10">
        <f t="shared" si="1"/>
        <v>1.7978711719999998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x14ac:dyDescent="0.3">
      <c r="D21" s="2" t="s">
        <v>73</v>
      </c>
      <c r="E21" s="3">
        <f t="shared" ref="E21:Q29" si="2">E5/1000</f>
        <v>6.6497979799999996E-2</v>
      </c>
      <c r="F21" s="12">
        <f t="shared" si="2"/>
        <v>6.9184431899999996E-2</v>
      </c>
      <c r="G21" s="3">
        <f t="shared" si="2"/>
        <v>7.1870884000000024E-2</v>
      </c>
      <c r="H21" s="12">
        <f t="shared" si="2"/>
        <v>7.4235442000000013E-2</v>
      </c>
      <c r="I21" s="3">
        <f t="shared" si="2"/>
        <v>7.6599999999999988E-2</v>
      </c>
      <c r="J21" s="12">
        <f t="shared" si="2"/>
        <v>8.5190000000000002E-2</v>
      </c>
      <c r="K21" s="3">
        <f t="shared" si="2"/>
        <v>9.378000000000003E-2</v>
      </c>
      <c r="L21" s="12">
        <f t="shared" si="2"/>
        <v>0.10045500000000002</v>
      </c>
      <c r="M21" s="3">
        <f t="shared" si="2"/>
        <v>0.10712999999999999</v>
      </c>
      <c r="N21" s="13">
        <f t="shared" si="2"/>
        <v>0.11435281995</v>
      </c>
      <c r="O21" s="13">
        <f t="shared" si="2"/>
        <v>0.12157563989999999</v>
      </c>
      <c r="P21" s="13">
        <f t="shared" si="2"/>
        <v>0.219899814</v>
      </c>
      <c r="Q21" s="13">
        <f t="shared" si="2"/>
        <v>0.17905714859999999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3">
      <c r="D22" s="2" t="s">
        <v>74</v>
      </c>
      <c r="E22" s="3">
        <f t="shared" si="2"/>
        <v>7.5096794329999987E-3</v>
      </c>
      <c r="F22" s="12">
        <f t="shared" si="2"/>
        <v>9.1974451664999998E-3</v>
      </c>
      <c r="G22" s="3">
        <f t="shared" si="2"/>
        <v>1.0885210900000001E-2</v>
      </c>
      <c r="H22" s="12">
        <f t="shared" si="2"/>
        <v>1.2592605450000001E-2</v>
      </c>
      <c r="I22" s="3">
        <f t="shared" si="2"/>
        <v>1.4300000000000002E-2</v>
      </c>
      <c r="J22" s="12">
        <f t="shared" si="2"/>
        <v>1.2510000000000004E-2</v>
      </c>
      <c r="K22" s="3">
        <f t="shared" si="2"/>
        <v>1.0720000000000002E-2</v>
      </c>
      <c r="L22" s="12">
        <f t="shared" si="2"/>
        <v>1.2420000000000002E-2</v>
      </c>
      <c r="M22" s="3">
        <f t="shared" si="2"/>
        <v>1.4120000000000001E-2</v>
      </c>
      <c r="N22" s="13">
        <f t="shared" si="2"/>
        <v>9.4119149499999992E-3</v>
      </c>
      <c r="O22" s="13">
        <f t="shared" si="2"/>
        <v>4.7038298999999987E-3</v>
      </c>
      <c r="P22" s="13">
        <f t="shared" si="2"/>
        <v>8.9208316719999996E-3</v>
      </c>
      <c r="Q22" s="13">
        <f t="shared" si="2"/>
        <v>8.1065265620000014E-3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3">
      <c r="D23" s="2" t="s">
        <v>75</v>
      </c>
      <c r="E23" s="3">
        <f t="shared" si="2"/>
        <v>0.31806378880000002</v>
      </c>
      <c r="F23" s="12">
        <f t="shared" si="2"/>
        <v>0.4096354519</v>
      </c>
      <c r="G23" s="3">
        <f t="shared" si="2"/>
        <v>0.50120711500000004</v>
      </c>
      <c r="H23" s="12">
        <f t="shared" si="2"/>
        <v>0.44006355749999998</v>
      </c>
      <c r="I23" s="3">
        <f t="shared" si="2"/>
        <v>0.37891999999999998</v>
      </c>
      <c r="J23" s="12">
        <f t="shared" si="2"/>
        <v>0.38303999999999994</v>
      </c>
      <c r="K23" s="3">
        <f t="shared" si="2"/>
        <v>0.38715999999999995</v>
      </c>
      <c r="L23" s="12">
        <f t="shared" si="2"/>
        <v>0.29602999999999996</v>
      </c>
      <c r="M23" s="3">
        <f t="shared" si="2"/>
        <v>0.20489999999999997</v>
      </c>
      <c r="N23" s="13">
        <f t="shared" si="2"/>
        <v>0.15217843961999997</v>
      </c>
      <c r="O23" s="13">
        <f t="shared" si="2"/>
        <v>9.9456879239999976E-2</v>
      </c>
      <c r="P23" s="13">
        <f t="shared" si="2"/>
        <v>4.4588128480000003E-2</v>
      </c>
      <c r="Q23" s="13">
        <f t="shared" si="2"/>
        <v>0.21167638959999999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3">
      <c r="D24" s="2" t="s">
        <v>76</v>
      </c>
      <c r="E24" s="3">
        <f t="shared" si="2"/>
        <v>-1.1102230246251566E-19</v>
      </c>
      <c r="F24" s="12">
        <f t="shared" si="2"/>
        <v>8.9995110499999998E-4</v>
      </c>
      <c r="G24" s="3">
        <f t="shared" si="2"/>
        <v>1.7999022100000002E-3</v>
      </c>
      <c r="H24" s="12">
        <f t="shared" si="2"/>
        <v>1.7999511050000002E-3</v>
      </c>
      <c r="I24" s="3">
        <f t="shared" si="2"/>
        <v>1.8E-3</v>
      </c>
      <c r="J24" s="12">
        <f t="shared" si="2"/>
        <v>8.9999999999999987E-4</v>
      </c>
      <c r="K24" s="3">
        <f t="shared" si="2"/>
        <v>0</v>
      </c>
      <c r="L24" s="12">
        <f t="shared" si="2"/>
        <v>1.5300000000000001E-3</v>
      </c>
      <c r="M24" s="3">
        <f t="shared" si="2"/>
        <v>3.0600000000000002E-3</v>
      </c>
      <c r="N24" s="13">
        <f t="shared" si="2"/>
        <v>5.7675779600000008E-3</v>
      </c>
      <c r="O24" s="13">
        <f t="shared" si="2"/>
        <v>8.4751559200000031E-3</v>
      </c>
      <c r="P24" s="13">
        <f t="shared" si="2"/>
        <v>1.223489956E-3</v>
      </c>
      <c r="Q24" s="13">
        <f t="shared" si="2"/>
        <v>1.67876632E-3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3">
      <c r="D25" s="2" t="s">
        <v>77</v>
      </c>
      <c r="E25" s="3">
        <f t="shared" si="2"/>
        <v>2.9760000000000002E-2</v>
      </c>
      <c r="F25" s="12">
        <f t="shared" si="2"/>
        <v>3.168E-2</v>
      </c>
      <c r="G25" s="3">
        <f t="shared" si="2"/>
        <v>3.3600000000000005E-2</v>
      </c>
      <c r="H25" s="12">
        <f t="shared" si="2"/>
        <v>3.5720000000000002E-2</v>
      </c>
      <c r="I25" s="3">
        <f t="shared" si="2"/>
        <v>3.7839999999999999E-2</v>
      </c>
      <c r="J25" s="12">
        <f t="shared" si="2"/>
        <v>4.036E-2</v>
      </c>
      <c r="K25" s="3">
        <f t="shared" si="2"/>
        <v>4.2880000000000001E-2</v>
      </c>
      <c r="L25" s="12">
        <f t="shared" si="2"/>
        <v>4.9640000000000004E-2</v>
      </c>
      <c r="M25" s="3">
        <f t="shared" si="2"/>
        <v>5.6400000000000013E-2</v>
      </c>
      <c r="N25" s="13">
        <f t="shared" si="2"/>
        <v>4.5895758400000007E-2</v>
      </c>
      <c r="O25" s="13">
        <f t="shared" si="2"/>
        <v>3.5391516800000009E-2</v>
      </c>
      <c r="P25" s="13">
        <f t="shared" si="2"/>
        <v>7.7936107199999993E-2</v>
      </c>
      <c r="Q25" s="13">
        <f t="shared" si="2"/>
        <v>8.0062921599999989E-2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3">
      <c r="D26" s="2" t="s">
        <v>78</v>
      </c>
      <c r="E26" s="3">
        <f t="shared" si="2"/>
        <v>1.2835778E-3</v>
      </c>
      <c r="F26" s="12">
        <f t="shared" si="2"/>
        <v>1.5765538050000001E-3</v>
      </c>
      <c r="G26" s="3">
        <f t="shared" si="2"/>
        <v>1.8695298100000004E-3</v>
      </c>
      <c r="H26" s="12">
        <f t="shared" si="2"/>
        <v>2.3047649050000002E-3</v>
      </c>
      <c r="I26" s="3">
        <f t="shared" si="2"/>
        <v>2.7400000000000002E-3</v>
      </c>
      <c r="J26" s="12">
        <f t="shared" si="2"/>
        <v>2.8799999999999997E-3</v>
      </c>
      <c r="K26" s="3">
        <f t="shared" si="2"/>
        <v>3.0199999999999997E-3</v>
      </c>
      <c r="L26" s="12">
        <f t="shared" si="2"/>
        <v>3.5099999999999997E-3</v>
      </c>
      <c r="M26" s="3">
        <f t="shared" si="2"/>
        <v>4.0000000000000001E-3</v>
      </c>
      <c r="N26" s="13">
        <f t="shared" si="2"/>
        <v>6.9922839999999997E-3</v>
      </c>
      <c r="O26" s="13">
        <f t="shared" si="2"/>
        <v>9.9845679999999992E-3</v>
      </c>
      <c r="P26" s="13">
        <f t="shared" si="2"/>
        <v>8.703915999999999E-3</v>
      </c>
      <c r="Q26" s="13">
        <f t="shared" si="2"/>
        <v>6.604146E-3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3">
      <c r="D27" s="4" t="s">
        <v>79</v>
      </c>
      <c r="E27" s="3">
        <f t="shared" si="2"/>
        <v>-1.3877787807814457E-20</v>
      </c>
      <c r="F27" s="12">
        <f t="shared" si="2"/>
        <v>1.19386665E-4</v>
      </c>
      <c r="G27" s="3">
        <f t="shared" si="2"/>
        <v>2.3877332999999902E-4</v>
      </c>
      <c r="H27" s="12">
        <f t="shared" si="2"/>
        <v>2.8343866649999999E-3</v>
      </c>
      <c r="I27" s="3">
        <f t="shared" si="2"/>
        <v>5.4299999999999999E-3</v>
      </c>
      <c r="J27" s="12">
        <f t="shared" si="2"/>
        <v>5.5600000000000007E-3</v>
      </c>
      <c r="K27" s="3">
        <f t="shared" si="2"/>
        <v>5.6900000000000015E-3</v>
      </c>
      <c r="L27" s="12">
        <f t="shared" si="2"/>
        <v>5.3150000000000011E-3</v>
      </c>
      <c r="M27" s="3">
        <f t="shared" si="2"/>
        <v>4.9400000000000017E-3</v>
      </c>
      <c r="N27" s="13">
        <f t="shared" si="2"/>
        <v>4.2985666665000012E-3</v>
      </c>
      <c r="O27" s="13">
        <f t="shared" si="2"/>
        <v>3.6571333329999999E-3</v>
      </c>
      <c r="P27" s="13">
        <f t="shared" si="2"/>
        <v>3.5550533329999998E-3</v>
      </c>
      <c r="Q27" s="13">
        <f t="shared" si="2"/>
        <v>3.0170800000000001E-3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3">
      <c r="D28" s="4" t="s">
        <v>80</v>
      </c>
      <c r="E28" s="3">
        <f t="shared" si="2"/>
        <v>2.8673332999999999E-4</v>
      </c>
      <c r="F28" s="12">
        <f t="shared" ref="F28:Q28" si="3">F12/1000</f>
        <v>1.6529333000000001E-4</v>
      </c>
      <c r="G28" s="3">
        <f t="shared" si="3"/>
        <v>4.3853329999999855E-5</v>
      </c>
      <c r="H28" s="12">
        <f t="shared" si="3"/>
        <v>2.6192666499999994E-4</v>
      </c>
      <c r="I28" s="3">
        <f t="shared" si="3"/>
        <v>4.799999999999999E-4</v>
      </c>
      <c r="J28" s="12">
        <f t="shared" si="3"/>
        <v>4.3499999999999995E-4</v>
      </c>
      <c r="K28" s="3">
        <f t="shared" si="3"/>
        <v>3.8999999999999988E-4</v>
      </c>
      <c r="L28" s="12">
        <f t="shared" si="3"/>
        <v>6.6E-4</v>
      </c>
      <c r="M28" s="3">
        <f t="shared" si="3"/>
        <v>9.3000000000000016E-4</v>
      </c>
      <c r="N28" s="13">
        <f t="shared" si="3"/>
        <v>6.0345333350000007E-4</v>
      </c>
      <c r="O28" s="13">
        <f t="shared" si="3"/>
        <v>2.7690666699999999E-4</v>
      </c>
      <c r="P28" s="13">
        <f t="shared" si="3"/>
        <v>5.93266667E-4</v>
      </c>
      <c r="Q28" s="13">
        <f t="shared" si="3"/>
        <v>1.27021943E-4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3">
      <c r="D29" s="11" t="s">
        <v>81</v>
      </c>
      <c r="E29" s="10">
        <f t="shared" si="2"/>
        <v>0.21493000000000001</v>
      </c>
      <c r="F29" s="12">
        <f t="shared" ref="F29:AD29" si="4">F13/1000</f>
        <v>0.25202000000000002</v>
      </c>
      <c r="G29" s="10">
        <f t="shared" si="4"/>
        <v>0.28911000000000003</v>
      </c>
      <c r="H29" s="12">
        <f t="shared" si="4"/>
        <v>0.33179500000000001</v>
      </c>
      <c r="I29" s="10">
        <f t="shared" si="4"/>
        <v>0.37448000000000004</v>
      </c>
      <c r="J29" s="12">
        <f t="shared" si="4"/>
        <v>0.42369000000000001</v>
      </c>
      <c r="K29" s="10">
        <f t="shared" si="4"/>
        <v>0.47289999999999999</v>
      </c>
      <c r="L29" s="12">
        <f t="shared" si="4"/>
        <v>0.496</v>
      </c>
      <c r="M29" s="10">
        <f t="shared" si="4"/>
        <v>0.51909999999999989</v>
      </c>
      <c r="N29" s="10">
        <f t="shared" si="4"/>
        <v>0.86104999999999998</v>
      </c>
      <c r="O29" s="10">
        <f t="shared" si="4"/>
        <v>1.2030000000000001</v>
      </c>
      <c r="P29" s="10">
        <f t="shared" si="4"/>
        <v>1.3250500000000001</v>
      </c>
      <c r="Q29" s="10">
        <f t="shared" si="4"/>
        <v>1.957579999999999</v>
      </c>
      <c r="R29" s="10">
        <f t="shared" si="4"/>
        <v>2.3839598749999995</v>
      </c>
      <c r="S29" s="10">
        <f t="shared" si="4"/>
        <v>2.8103397499999998</v>
      </c>
      <c r="T29" s="10">
        <f t="shared" si="4"/>
        <v>3.2367196249999997</v>
      </c>
      <c r="U29" s="10">
        <f t="shared" si="4"/>
        <v>3.6630995</v>
      </c>
      <c r="V29" s="10">
        <f t="shared" si="4"/>
        <v>4.0894793750000007</v>
      </c>
      <c r="W29" s="10">
        <f t="shared" si="4"/>
        <v>4.5158592500000001</v>
      </c>
      <c r="X29" s="10">
        <f t="shared" si="4"/>
        <v>4.9422391250000004</v>
      </c>
      <c r="Y29" s="10">
        <f t="shared" si="4"/>
        <v>5.3686190000000007</v>
      </c>
      <c r="Z29" s="10">
        <f t="shared" si="4"/>
        <v>5.379960156000001</v>
      </c>
      <c r="AA29" s="10">
        <f t="shared" si="4"/>
        <v>5.3913013120000004</v>
      </c>
      <c r="AB29" s="10">
        <f t="shared" si="4"/>
        <v>5.4026424680000007</v>
      </c>
      <c r="AC29" s="10">
        <f t="shared" si="4"/>
        <v>5.4139836240000001</v>
      </c>
      <c r="AD29" s="10">
        <f t="shared" si="4"/>
        <v>5.4253247799999995</v>
      </c>
    </row>
    <row r="30" spans="2:30" x14ac:dyDescent="0.3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30" x14ac:dyDescent="0.3">
      <c r="D31" t="s">
        <v>19</v>
      </c>
      <c r="E31" s="15">
        <f>SUM(E21:E28)</f>
        <v>0.42340175916300005</v>
      </c>
      <c r="F31" s="15">
        <f t="shared" ref="F31:M31" si="5">SUM(F21:F28)</f>
        <v>0.5224585138715</v>
      </c>
      <c r="G31" s="15">
        <f t="shared" si="5"/>
        <v>0.62151526858000006</v>
      </c>
      <c r="H31" s="15">
        <f t="shared" si="5"/>
        <v>0.56981263428999995</v>
      </c>
      <c r="I31" s="15">
        <f t="shared" si="5"/>
        <v>0.51811000000000007</v>
      </c>
      <c r="J31" s="15">
        <f t="shared" si="5"/>
        <v>0.53087499999999987</v>
      </c>
      <c r="K31" s="15">
        <f t="shared" si="5"/>
        <v>0.54364000000000001</v>
      </c>
      <c r="L31" s="15">
        <f t="shared" si="5"/>
        <v>0.46955999999999998</v>
      </c>
      <c r="M31" s="15">
        <f t="shared" si="5"/>
        <v>0.39547999999999994</v>
      </c>
      <c r="N31" s="15">
        <f>SUM(N21:N28)</f>
        <v>0.33950081487999995</v>
      </c>
      <c r="O31" s="15">
        <f t="shared" ref="O31:Q31" si="6">SUM(O21:O28)</f>
        <v>0.28352162975999995</v>
      </c>
      <c r="P31" s="15">
        <f t="shared" si="6"/>
        <v>0.36542060730799997</v>
      </c>
      <c r="Q31" s="15">
        <f t="shared" si="6"/>
        <v>0.49033000062499998</v>
      </c>
    </row>
    <row r="34" spans="2:30" x14ac:dyDescent="0.3">
      <c r="F34" s="23" t="s">
        <v>82</v>
      </c>
      <c r="H34" s="23" t="s">
        <v>82</v>
      </c>
      <c r="J34" s="23" t="s">
        <v>82</v>
      </c>
      <c r="L34" s="23" t="s">
        <v>82</v>
      </c>
    </row>
    <row r="35" spans="2:30" x14ac:dyDescent="0.3">
      <c r="B35" t="s">
        <v>67</v>
      </c>
      <c r="D35" s="1" t="s">
        <v>71</v>
      </c>
      <c r="E35" s="6">
        <v>2010</v>
      </c>
      <c r="F35" s="5">
        <v>2011</v>
      </c>
      <c r="G35" s="6">
        <v>2012</v>
      </c>
      <c r="H35" s="5">
        <v>2013</v>
      </c>
      <c r="I35" s="6">
        <v>2014</v>
      </c>
      <c r="J35" s="5">
        <v>2015</v>
      </c>
      <c r="K35" s="6">
        <v>2016</v>
      </c>
      <c r="L35" s="5">
        <v>2017</v>
      </c>
      <c r="M35" s="6">
        <v>2018</v>
      </c>
      <c r="N35" s="1">
        <v>2019</v>
      </c>
      <c r="O35" s="1">
        <v>2020</v>
      </c>
      <c r="P35" s="1">
        <v>2021</v>
      </c>
      <c r="Q35" s="1">
        <v>2022</v>
      </c>
      <c r="R35" s="1">
        <v>2023</v>
      </c>
      <c r="S35" s="1">
        <v>2024</v>
      </c>
      <c r="T35" s="1">
        <v>2025</v>
      </c>
      <c r="U35" s="1">
        <v>2026</v>
      </c>
      <c r="V35" s="1">
        <v>2027</v>
      </c>
      <c r="W35" s="1">
        <v>2028</v>
      </c>
      <c r="X35" s="1">
        <v>2029</v>
      </c>
      <c r="Y35" s="1">
        <v>2030</v>
      </c>
      <c r="Z35" s="1">
        <v>2031</v>
      </c>
      <c r="AA35" s="1">
        <v>2032</v>
      </c>
      <c r="AB35" s="1">
        <v>2033</v>
      </c>
      <c r="AC35" s="1">
        <v>2034</v>
      </c>
      <c r="AD35" s="1">
        <v>2035</v>
      </c>
    </row>
    <row r="36" spans="2:30" x14ac:dyDescent="0.3">
      <c r="B36" t="s">
        <v>83</v>
      </c>
      <c r="D36" s="9" t="s">
        <v>72</v>
      </c>
      <c r="E36" s="21">
        <f>ROUND(E20,4)</f>
        <v>1.782</v>
      </c>
      <c r="F36" s="21"/>
      <c r="G36" s="21">
        <f t="shared" ref="G36:Q36" si="7">ROUND(G20,4)</f>
        <v>1.7876000000000001</v>
      </c>
      <c r="H36" s="21"/>
      <c r="I36" s="21">
        <f t="shared" si="7"/>
        <v>1.8848</v>
      </c>
      <c r="J36" s="21"/>
      <c r="K36" s="21">
        <f t="shared" si="7"/>
        <v>1.7506999999999999</v>
      </c>
      <c r="L36" s="21"/>
      <c r="M36" s="21">
        <f t="shared" si="7"/>
        <v>2.0289999999999999</v>
      </c>
      <c r="N36" s="21">
        <f t="shared" si="7"/>
        <v>0</v>
      </c>
      <c r="O36" s="21">
        <f t="shared" si="7"/>
        <v>1.3478000000000001</v>
      </c>
      <c r="P36" s="21">
        <f t="shared" si="7"/>
        <v>1.9649000000000001</v>
      </c>
      <c r="Q36" s="21">
        <f t="shared" si="7"/>
        <v>1.7979000000000001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2:30" x14ac:dyDescent="0.3">
      <c r="D37" s="2" t="s">
        <v>73</v>
      </c>
      <c r="E37" s="18">
        <f t="shared" ref="E37:Q45" si="8">ROUND(E21,4)</f>
        <v>6.6500000000000004E-2</v>
      </c>
      <c r="F37" s="20">
        <f t="shared" si="8"/>
        <v>6.9199999999999998E-2</v>
      </c>
      <c r="G37" s="18">
        <f t="shared" si="8"/>
        <v>7.1900000000000006E-2</v>
      </c>
      <c r="H37" s="20">
        <f t="shared" si="8"/>
        <v>7.4200000000000002E-2</v>
      </c>
      <c r="I37" s="18">
        <f t="shared" si="8"/>
        <v>7.6600000000000001E-2</v>
      </c>
      <c r="J37" s="20">
        <f t="shared" si="8"/>
        <v>8.5199999999999998E-2</v>
      </c>
      <c r="K37" s="18">
        <f t="shared" si="8"/>
        <v>9.3799999999999994E-2</v>
      </c>
      <c r="L37" s="20">
        <f t="shared" si="8"/>
        <v>0.10050000000000001</v>
      </c>
      <c r="M37" s="18">
        <f t="shared" si="8"/>
        <v>0.1071</v>
      </c>
      <c r="N37" s="24">
        <f t="shared" si="8"/>
        <v>0.1144</v>
      </c>
      <c r="O37" s="24">
        <f t="shared" si="8"/>
        <v>0.1216</v>
      </c>
      <c r="P37" s="24">
        <f t="shared" si="8"/>
        <v>0.21990000000000001</v>
      </c>
      <c r="Q37" s="24">
        <f t="shared" si="8"/>
        <v>0.17910000000000001</v>
      </c>
      <c r="R37" s="18">
        <f>ROUND(R47*$Q$37/SUM($Q$37:$Q$44),4)</f>
        <v>0.18290000000000001</v>
      </c>
      <c r="S37" s="18">
        <f t="shared" ref="S37:AD37" si="9">ROUND(S47*$Q$37/SUM($Q$37:$Q$44),4)</f>
        <v>0.18679999999999999</v>
      </c>
      <c r="T37" s="18">
        <f t="shared" si="9"/>
        <v>0.1908</v>
      </c>
      <c r="U37" s="18">
        <f t="shared" si="9"/>
        <v>0.19489999999999999</v>
      </c>
      <c r="V37" s="18">
        <f t="shared" si="9"/>
        <v>0.1991</v>
      </c>
      <c r="W37" s="18">
        <f t="shared" si="9"/>
        <v>0.2034</v>
      </c>
      <c r="X37" s="18">
        <f t="shared" si="9"/>
        <v>0.2077</v>
      </c>
      <c r="Y37" s="18">
        <f t="shared" si="9"/>
        <v>0.21210000000000001</v>
      </c>
      <c r="Z37" s="18">
        <f t="shared" si="9"/>
        <v>0.2167</v>
      </c>
      <c r="AA37" s="18">
        <f t="shared" si="9"/>
        <v>0.2213</v>
      </c>
      <c r="AB37" s="18">
        <f t="shared" si="9"/>
        <v>0.22600000000000001</v>
      </c>
      <c r="AC37" s="18">
        <f t="shared" si="9"/>
        <v>0.23089999999999999</v>
      </c>
      <c r="AD37" s="18">
        <f t="shared" si="9"/>
        <v>0.23580000000000001</v>
      </c>
    </row>
    <row r="38" spans="2:30" x14ac:dyDescent="0.3">
      <c r="D38" s="2" t="s">
        <v>74</v>
      </c>
      <c r="E38" s="18">
        <f t="shared" si="8"/>
        <v>7.4999999999999997E-3</v>
      </c>
      <c r="F38" s="20">
        <f t="shared" si="8"/>
        <v>9.1999999999999998E-3</v>
      </c>
      <c r="G38" s="18">
        <f t="shared" si="8"/>
        <v>1.09E-2</v>
      </c>
      <c r="H38" s="20">
        <f t="shared" si="8"/>
        <v>1.26E-2</v>
      </c>
      <c r="I38" s="18">
        <f t="shared" si="8"/>
        <v>1.43E-2</v>
      </c>
      <c r="J38" s="20">
        <f t="shared" si="8"/>
        <v>1.2500000000000001E-2</v>
      </c>
      <c r="K38" s="18">
        <f t="shared" si="8"/>
        <v>1.0699999999999999E-2</v>
      </c>
      <c r="L38" s="20">
        <f t="shared" si="8"/>
        <v>1.24E-2</v>
      </c>
      <c r="M38" s="18">
        <f t="shared" si="8"/>
        <v>1.41E-2</v>
      </c>
      <c r="N38" s="24">
        <f t="shared" si="8"/>
        <v>9.4000000000000004E-3</v>
      </c>
      <c r="O38" s="24">
        <f t="shared" si="8"/>
        <v>4.7000000000000002E-3</v>
      </c>
      <c r="P38" s="24">
        <f t="shared" si="8"/>
        <v>8.8999999999999999E-3</v>
      </c>
      <c r="Q38" s="24">
        <f t="shared" si="8"/>
        <v>8.0999999999999996E-3</v>
      </c>
      <c r="R38" s="18">
        <f>ROUND(R47*$Q$38/SUM($Q$37:$Q$44),4)</f>
        <v>8.3000000000000001E-3</v>
      </c>
      <c r="S38" s="18">
        <f t="shared" ref="S38:AD38" si="10">ROUND(S47*$Q$38/SUM($Q$37:$Q$44),4)</f>
        <v>8.3999999999999995E-3</v>
      </c>
      <c r="T38" s="18">
        <f t="shared" si="10"/>
        <v>8.6E-3</v>
      </c>
      <c r="U38" s="18">
        <f t="shared" si="10"/>
        <v>8.8000000000000005E-3</v>
      </c>
      <c r="V38" s="18">
        <f t="shared" si="10"/>
        <v>8.9999999999999993E-3</v>
      </c>
      <c r="W38" s="18">
        <f t="shared" si="10"/>
        <v>9.1999999999999998E-3</v>
      </c>
      <c r="X38" s="18">
        <f t="shared" si="10"/>
        <v>9.4000000000000004E-3</v>
      </c>
      <c r="Y38" s="18">
        <f t="shared" si="10"/>
        <v>9.5999999999999992E-3</v>
      </c>
      <c r="Z38" s="18">
        <f t="shared" si="10"/>
        <v>9.7999999999999997E-3</v>
      </c>
      <c r="AA38" s="18">
        <f t="shared" si="10"/>
        <v>0.01</v>
      </c>
      <c r="AB38" s="18">
        <f t="shared" si="10"/>
        <v>1.0200000000000001E-2</v>
      </c>
      <c r="AC38" s="18">
        <f t="shared" si="10"/>
        <v>1.04E-2</v>
      </c>
      <c r="AD38" s="18">
        <f t="shared" si="10"/>
        <v>1.0699999999999999E-2</v>
      </c>
    </row>
    <row r="39" spans="2:30" x14ac:dyDescent="0.3">
      <c r="D39" s="2" t="s">
        <v>75</v>
      </c>
      <c r="E39" s="18">
        <f t="shared" si="8"/>
        <v>0.31809999999999999</v>
      </c>
      <c r="F39" s="20">
        <f t="shared" si="8"/>
        <v>0.40960000000000002</v>
      </c>
      <c r="G39" s="18">
        <f t="shared" si="8"/>
        <v>0.50119999999999998</v>
      </c>
      <c r="H39" s="20">
        <f t="shared" si="8"/>
        <v>0.44009999999999999</v>
      </c>
      <c r="I39" s="18">
        <f t="shared" si="8"/>
        <v>0.37890000000000001</v>
      </c>
      <c r="J39" s="20">
        <f t="shared" si="8"/>
        <v>0.38300000000000001</v>
      </c>
      <c r="K39" s="18">
        <f t="shared" si="8"/>
        <v>0.38719999999999999</v>
      </c>
      <c r="L39" s="20">
        <f t="shared" si="8"/>
        <v>0.29599999999999999</v>
      </c>
      <c r="M39" s="18">
        <f t="shared" si="8"/>
        <v>0.2049</v>
      </c>
      <c r="N39" s="24">
        <f t="shared" si="8"/>
        <v>0.1522</v>
      </c>
      <c r="O39" s="24">
        <f t="shared" si="8"/>
        <v>9.9500000000000005E-2</v>
      </c>
      <c r="P39" s="24">
        <f t="shared" si="8"/>
        <v>4.4600000000000001E-2</v>
      </c>
      <c r="Q39" s="24">
        <f t="shared" si="8"/>
        <v>0.2117</v>
      </c>
      <c r="R39" s="18">
        <f>ROUND(R47*$Q$39/SUM($Q$37:$Q$44),4)</f>
        <v>0.2162</v>
      </c>
      <c r="S39" s="18">
        <f t="shared" ref="S39:AD39" si="11">ROUND(S47*$Q$39/SUM($Q$37:$Q$44),4)</f>
        <v>0.2208</v>
      </c>
      <c r="T39" s="18">
        <f t="shared" si="11"/>
        <v>0.22559999999999999</v>
      </c>
      <c r="U39" s="18">
        <f t="shared" si="11"/>
        <v>0.23039999999999999</v>
      </c>
      <c r="V39" s="18">
        <f t="shared" si="11"/>
        <v>0.23530000000000001</v>
      </c>
      <c r="W39" s="18">
        <f t="shared" si="11"/>
        <v>0.2404</v>
      </c>
      <c r="X39" s="18">
        <f t="shared" si="11"/>
        <v>0.2455</v>
      </c>
      <c r="Y39" s="18">
        <f t="shared" si="11"/>
        <v>0.25069999999999998</v>
      </c>
      <c r="Z39" s="18">
        <f t="shared" si="11"/>
        <v>0.25609999999999999</v>
      </c>
      <c r="AA39" s="18">
        <f t="shared" si="11"/>
        <v>0.2616</v>
      </c>
      <c r="AB39" s="18">
        <f t="shared" si="11"/>
        <v>0.26719999999999999</v>
      </c>
      <c r="AC39" s="18">
        <f t="shared" si="11"/>
        <v>0.27289999999999998</v>
      </c>
      <c r="AD39" s="18">
        <f t="shared" si="11"/>
        <v>0.2787</v>
      </c>
    </row>
    <row r="40" spans="2:30" x14ac:dyDescent="0.3">
      <c r="D40" s="2" t="s">
        <v>76</v>
      </c>
      <c r="E40" s="18">
        <f t="shared" si="8"/>
        <v>0</v>
      </c>
      <c r="F40" s="20">
        <f t="shared" si="8"/>
        <v>8.9999999999999998E-4</v>
      </c>
      <c r="G40" s="18">
        <f t="shared" si="8"/>
        <v>1.8E-3</v>
      </c>
      <c r="H40" s="20">
        <f t="shared" si="8"/>
        <v>1.8E-3</v>
      </c>
      <c r="I40" s="18">
        <f t="shared" si="8"/>
        <v>1.8E-3</v>
      </c>
      <c r="J40" s="20">
        <f t="shared" si="8"/>
        <v>8.9999999999999998E-4</v>
      </c>
      <c r="K40" s="18">
        <f t="shared" si="8"/>
        <v>0</v>
      </c>
      <c r="L40" s="20">
        <f t="shared" si="8"/>
        <v>1.5E-3</v>
      </c>
      <c r="M40" s="18">
        <f t="shared" si="8"/>
        <v>3.0999999999999999E-3</v>
      </c>
      <c r="N40" s="24">
        <f t="shared" si="8"/>
        <v>5.7999999999999996E-3</v>
      </c>
      <c r="O40" s="24">
        <f t="shared" si="8"/>
        <v>8.5000000000000006E-3</v>
      </c>
      <c r="P40" s="24">
        <f t="shared" si="8"/>
        <v>1.1999999999999999E-3</v>
      </c>
      <c r="Q40" s="24">
        <f t="shared" si="8"/>
        <v>1.6999999999999999E-3</v>
      </c>
      <c r="R40" s="18">
        <f>ROUND(R47*$Q$40/SUM($Q$37:$Q$44),4)</f>
        <v>1.6999999999999999E-3</v>
      </c>
      <c r="S40" s="18">
        <f t="shared" ref="S40:AD40" si="12">ROUND(S47*$Q$40/SUM($Q$37:$Q$44),4)</f>
        <v>1.8E-3</v>
      </c>
      <c r="T40" s="18">
        <f t="shared" si="12"/>
        <v>1.8E-3</v>
      </c>
      <c r="U40" s="18">
        <f t="shared" si="12"/>
        <v>1.9E-3</v>
      </c>
      <c r="V40" s="18">
        <f t="shared" si="12"/>
        <v>1.9E-3</v>
      </c>
      <c r="W40" s="18">
        <f t="shared" si="12"/>
        <v>1.9E-3</v>
      </c>
      <c r="X40" s="18">
        <f t="shared" si="12"/>
        <v>2E-3</v>
      </c>
      <c r="Y40" s="18">
        <f t="shared" si="12"/>
        <v>2E-3</v>
      </c>
      <c r="Z40" s="18">
        <f t="shared" si="12"/>
        <v>2.0999999999999999E-3</v>
      </c>
      <c r="AA40" s="18">
        <f t="shared" si="12"/>
        <v>2.0999999999999999E-3</v>
      </c>
      <c r="AB40" s="18">
        <f t="shared" si="12"/>
        <v>2.0999999999999999E-3</v>
      </c>
      <c r="AC40" s="18">
        <f t="shared" si="12"/>
        <v>2.2000000000000001E-3</v>
      </c>
      <c r="AD40" s="18">
        <f t="shared" si="12"/>
        <v>2.2000000000000001E-3</v>
      </c>
    </row>
    <row r="41" spans="2:30" x14ac:dyDescent="0.3">
      <c r="D41" s="2" t="s">
        <v>77</v>
      </c>
      <c r="E41" s="18">
        <f t="shared" si="8"/>
        <v>2.98E-2</v>
      </c>
      <c r="F41" s="20">
        <f t="shared" si="8"/>
        <v>3.1699999999999999E-2</v>
      </c>
      <c r="G41" s="18">
        <f t="shared" si="8"/>
        <v>3.3599999999999998E-2</v>
      </c>
      <c r="H41" s="20">
        <f t="shared" si="8"/>
        <v>3.5700000000000003E-2</v>
      </c>
      <c r="I41" s="18">
        <f t="shared" si="8"/>
        <v>3.78E-2</v>
      </c>
      <c r="J41" s="20">
        <f t="shared" si="8"/>
        <v>4.0399999999999998E-2</v>
      </c>
      <c r="K41" s="18">
        <f t="shared" si="8"/>
        <v>4.2900000000000001E-2</v>
      </c>
      <c r="L41" s="20">
        <f t="shared" si="8"/>
        <v>4.9599999999999998E-2</v>
      </c>
      <c r="M41" s="18">
        <f t="shared" si="8"/>
        <v>5.6399999999999999E-2</v>
      </c>
      <c r="N41" s="24">
        <f t="shared" si="8"/>
        <v>4.5900000000000003E-2</v>
      </c>
      <c r="O41" s="24">
        <f t="shared" si="8"/>
        <v>3.5400000000000001E-2</v>
      </c>
      <c r="P41" s="24">
        <f t="shared" si="8"/>
        <v>7.7899999999999997E-2</v>
      </c>
      <c r="Q41" s="24">
        <f t="shared" si="8"/>
        <v>8.0100000000000005E-2</v>
      </c>
      <c r="R41" s="18">
        <f>ROUND(R47*$Q$41/SUM($Q$37:$Q$44),4)</f>
        <v>8.1799999999999998E-2</v>
      </c>
      <c r="S41" s="18">
        <f t="shared" ref="S41:AD41" si="13">ROUND(S47*$Q$41/SUM($Q$37:$Q$44),4)</f>
        <v>8.3599999999999994E-2</v>
      </c>
      <c r="T41" s="18">
        <f t="shared" si="13"/>
        <v>8.5300000000000001E-2</v>
      </c>
      <c r="U41" s="18">
        <f t="shared" si="13"/>
        <v>8.72E-2</v>
      </c>
      <c r="V41" s="18">
        <f t="shared" si="13"/>
        <v>8.8999999999999996E-2</v>
      </c>
      <c r="W41" s="18">
        <f t="shared" si="13"/>
        <v>9.0899999999999995E-2</v>
      </c>
      <c r="X41" s="18">
        <f t="shared" si="13"/>
        <v>9.2899999999999996E-2</v>
      </c>
      <c r="Y41" s="18">
        <f t="shared" si="13"/>
        <v>9.4899999999999998E-2</v>
      </c>
      <c r="Z41" s="18">
        <f t="shared" si="13"/>
        <v>9.69E-2</v>
      </c>
      <c r="AA41" s="18">
        <f t="shared" si="13"/>
        <v>9.9000000000000005E-2</v>
      </c>
      <c r="AB41" s="18">
        <f t="shared" si="13"/>
        <v>0.1011</v>
      </c>
      <c r="AC41" s="18">
        <f t="shared" si="13"/>
        <v>0.1032</v>
      </c>
      <c r="AD41" s="18">
        <f t="shared" si="13"/>
        <v>0.1055</v>
      </c>
    </row>
    <row r="42" spans="2:30" x14ac:dyDescent="0.3">
      <c r="D42" s="2" t="s">
        <v>78</v>
      </c>
      <c r="E42" s="18">
        <f t="shared" si="8"/>
        <v>1.2999999999999999E-3</v>
      </c>
      <c r="F42" s="20">
        <f t="shared" si="8"/>
        <v>1.6000000000000001E-3</v>
      </c>
      <c r="G42" s="18">
        <f t="shared" si="8"/>
        <v>1.9E-3</v>
      </c>
      <c r="H42" s="20">
        <f t="shared" si="8"/>
        <v>2.3E-3</v>
      </c>
      <c r="I42" s="18">
        <f t="shared" si="8"/>
        <v>2.7000000000000001E-3</v>
      </c>
      <c r="J42" s="20">
        <f t="shared" si="8"/>
        <v>2.8999999999999998E-3</v>
      </c>
      <c r="K42" s="18">
        <f t="shared" si="8"/>
        <v>3.0000000000000001E-3</v>
      </c>
      <c r="L42" s="20">
        <f t="shared" si="8"/>
        <v>3.5000000000000001E-3</v>
      </c>
      <c r="M42" s="18">
        <f t="shared" si="8"/>
        <v>4.0000000000000001E-3</v>
      </c>
      <c r="N42" s="24">
        <f t="shared" si="8"/>
        <v>7.0000000000000001E-3</v>
      </c>
      <c r="O42" s="24">
        <f t="shared" si="8"/>
        <v>0.01</v>
      </c>
      <c r="P42" s="24">
        <f t="shared" si="8"/>
        <v>8.6999999999999994E-3</v>
      </c>
      <c r="Q42" s="24">
        <f t="shared" si="8"/>
        <v>6.6E-3</v>
      </c>
      <c r="R42" s="18">
        <f>ROUND(R47*$Q$42/SUM($Q$37:$Q$44),4)</f>
        <v>6.7000000000000002E-3</v>
      </c>
      <c r="S42" s="18">
        <f t="shared" ref="S42:AD42" si="14">ROUND(S47*$Q$42/SUM($Q$37:$Q$44),4)</f>
        <v>6.8999999999999999E-3</v>
      </c>
      <c r="T42" s="18">
        <f t="shared" si="14"/>
        <v>7.0000000000000001E-3</v>
      </c>
      <c r="U42" s="18">
        <f t="shared" si="14"/>
        <v>7.1999999999999998E-3</v>
      </c>
      <c r="V42" s="18">
        <f t="shared" si="14"/>
        <v>7.3000000000000001E-3</v>
      </c>
      <c r="W42" s="18">
        <f t="shared" si="14"/>
        <v>7.4999999999999997E-3</v>
      </c>
      <c r="X42" s="18">
        <f t="shared" si="14"/>
        <v>7.7000000000000002E-3</v>
      </c>
      <c r="Y42" s="18">
        <f t="shared" si="14"/>
        <v>7.7999999999999996E-3</v>
      </c>
      <c r="Z42" s="18">
        <f t="shared" si="14"/>
        <v>8.0000000000000002E-3</v>
      </c>
      <c r="AA42" s="18">
        <f t="shared" si="14"/>
        <v>8.2000000000000007E-3</v>
      </c>
      <c r="AB42" s="18">
        <f t="shared" si="14"/>
        <v>8.3000000000000001E-3</v>
      </c>
      <c r="AC42" s="18">
        <f t="shared" si="14"/>
        <v>8.5000000000000006E-3</v>
      </c>
      <c r="AD42" s="18">
        <f t="shared" si="14"/>
        <v>8.6999999999999994E-3</v>
      </c>
    </row>
    <row r="43" spans="2:30" x14ac:dyDescent="0.3">
      <c r="D43" s="4" t="s">
        <v>79</v>
      </c>
      <c r="E43" s="18">
        <f t="shared" si="8"/>
        <v>0</v>
      </c>
      <c r="F43" s="20">
        <f t="shared" si="8"/>
        <v>1E-4</v>
      </c>
      <c r="G43" s="18">
        <f t="shared" si="8"/>
        <v>2.0000000000000001E-4</v>
      </c>
      <c r="H43" s="20">
        <f t="shared" si="8"/>
        <v>2.8E-3</v>
      </c>
      <c r="I43" s="18">
        <f t="shared" si="8"/>
        <v>5.4000000000000003E-3</v>
      </c>
      <c r="J43" s="20">
        <f t="shared" si="8"/>
        <v>5.5999999999999999E-3</v>
      </c>
      <c r="K43" s="18">
        <f t="shared" si="8"/>
        <v>5.7000000000000002E-3</v>
      </c>
      <c r="L43" s="20">
        <f t="shared" si="8"/>
        <v>5.3E-3</v>
      </c>
      <c r="M43" s="18">
        <f t="shared" si="8"/>
        <v>4.8999999999999998E-3</v>
      </c>
      <c r="N43" s="24">
        <f t="shared" si="8"/>
        <v>4.3E-3</v>
      </c>
      <c r="O43" s="24">
        <f t="shared" si="8"/>
        <v>3.7000000000000002E-3</v>
      </c>
      <c r="P43" s="24">
        <f t="shared" si="8"/>
        <v>3.5999999999999999E-3</v>
      </c>
      <c r="Q43" s="24">
        <f t="shared" si="8"/>
        <v>3.0000000000000001E-3</v>
      </c>
      <c r="R43" s="18">
        <f>ROUND(R47*$Q$43/SUM($Q$37:$Q$44),4)</f>
        <v>3.0999999999999999E-3</v>
      </c>
      <c r="S43" s="18">
        <f t="shared" ref="S43:AD43" si="15">ROUND(S47*$Q$43/SUM($Q$37:$Q$44),4)</f>
        <v>3.0999999999999999E-3</v>
      </c>
      <c r="T43" s="18">
        <f t="shared" si="15"/>
        <v>3.2000000000000002E-3</v>
      </c>
      <c r="U43" s="18">
        <f t="shared" si="15"/>
        <v>3.3E-3</v>
      </c>
      <c r="V43" s="18">
        <f t="shared" si="15"/>
        <v>3.3E-3</v>
      </c>
      <c r="W43" s="18">
        <f t="shared" si="15"/>
        <v>3.3999999999999998E-3</v>
      </c>
      <c r="X43" s="18">
        <f t="shared" si="15"/>
        <v>3.5000000000000001E-3</v>
      </c>
      <c r="Y43" s="18">
        <f t="shared" si="15"/>
        <v>3.5999999999999999E-3</v>
      </c>
      <c r="Z43" s="18">
        <f t="shared" si="15"/>
        <v>3.5999999999999999E-3</v>
      </c>
      <c r="AA43" s="18">
        <f t="shared" si="15"/>
        <v>3.7000000000000002E-3</v>
      </c>
      <c r="AB43" s="18">
        <f t="shared" si="15"/>
        <v>3.8E-3</v>
      </c>
      <c r="AC43" s="18">
        <f t="shared" si="15"/>
        <v>3.8999999999999998E-3</v>
      </c>
      <c r="AD43" s="18">
        <f t="shared" si="15"/>
        <v>3.8999999999999998E-3</v>
      </c>
    </row>
    <row r="44" spans="2:30" x14ac:dyDescent="0.3">
      <c r="D44" s="4" t="s">
        <v>80</v>
      </c>
      <c r="E44" s="18">
        <f t="shared" si="8"/>
        <v>2.9999999999999997E-4</v>
      </c>
      <c r="F44" s="20">
        <f t="shared" si="8"/>
        <v>2.0000000000000001E-4</v>
      </c>
      <c r="G44" s="18">
        <f t="shared" si="8"/>
        <v>0</v>
      </c>
      <c r="H44" s="20">
        <f t="shared" si="8"/>
        <v>2.9999999999999997E-4</v>
      </c>
      <c r="I44" s="18">
        <f t="shared" si="8"/>
        <v>5.0000000000000001E-4</v>
      </c>
      <c r="J44" s="20">
        <f t="shared" si="8"/>
        <v>4.0000000000000002E-4</v>
      </c>
      <c r="K44" s="18">
        <f t="shared" si="8"/>
        <v>4.0000000000000002E-4</v>
      </c>
      <c r="L44" s="20">
        <f t="shared" si="8"/>
        <v>6.9999999999999999E-4</v>
      </c>
      <c r="M44" s="18">
        <f t="shared" si="8"/>
        <v>8.9999999999999998E-4</v>
      </c>
      <c r="N44" s="24">
        <f t="shared" si="8"/>
        <v>5.9999999999999995E-4</v>
      </c>
      <c r="O44" s="24">
        <f t="shared" si="8"/>
        <v>2.9999999999999997E-4</v>
      </c>
      <c r="P44" s="24">
        <f t="shared" si="8"/>
        <v>5.9999999999999995E-4</v>
      </c>
      <c r="Q44" s="24">
        <f t="shared" si="8"/>
        <v>1E-4</v>
      </c>
      <c r="R44" s="18">
        <f>ROUND(R47*$Q$44/SUM($Q$37:$Q$44),4)</f>
        <v>1E-4</v>
      </c>
      <c r="S44" s="18">
        <f t="shared" ref="S44:AD44" si="16">ROUND(S47*$Q$44/SUM($Q$37:$Q$44),4)</f>
        <v>1E-4</v>
      </c>
      <c r="T44" s="18">
        <f t="shared" si="16"/>
        <v>1E-4</v>
      </c>
      <c r="U44" s="18">
        <f t="shared" si="16"/>
        <v>1E-4</v>
      </c>
      <c r="V44" s="18">
        <f t="shared" si="16"/>
        <v>1E-4</v>
      </c>
      <c r="W44" s="18">
        <f t="shared" si="16"/>
        <v>1E-4</v>
      </c>
      <c r="X44" s="18">
        <f t="shared" si="16"/>
        <v>1E-4</v>
      </c>
      <c r="Y44" s="18">
        <f t="shared" si="16"/>
        <v>1E-4</v>
      </c>
      <c r="Z44" s="18">
        <f t="shared" si="16"/>
        <v>1E-4</v>
      </c>
      <c r="AA44" s="18">
        <f t="shared" si="16"/>
        <v>1E-4</v>
      </c>
      <c r="AB44" s="18">
        <f t="shared" si="16"/>
        <v>1E-4</v>
      </c>
      <c r="AC44" s="18">
        <f t="shared" si="16"/>
        <v>1E-4</v>
      </c>
      <c r="AD44" s="18">
        <f t="shared" si="16"/>
        <v>1E-4</v>
      </c>
    </row>
    <row r="45" spans="2:30" x14ac:dyDescent="0.3">
      <c r="D45" s="11" t="s">
        <v>81</v>
      </c>
      <c r="E45" s="21">
        <v>0.17099999999999999</v>
      </c>
      <c r="F45" s="20">
        <f t="shared" si="8"/>
        <v>0.252</v>
      </c>
      <c r="G45" s="21">
        <v>0.25069999999999992</v>
      </c>
      <c r="H45" s="20">
        <f t="shared" si="8"/>
        <v>0.33179999999999998</v>
      </c>
      <c r="I45" s="21">
        <v>0.36759999999999993</v>
      </c>
      <c r="J45" s="20">
        <f t="shared" si="8"/>
        <v>0.42370000000000002</v>
      </c>
      <c r="K45" s="21">
        <v>0.48030000000000012</v>
      </c>
      <c r="L45" s="20">
        <f t="shared" si="8"/>
        <v>0.496</v>
      </c>
      <c r="M45" s="21">
        <v>0.55889999999999995</v>
      </c>
      <c r="N45" s="21">
        <f t="shared" si="8"/>
        <v>0.86109999999999998</v>
      </c>
      <c r="O45" s="21">
        <f t="shared" si="8"/>
        <v>1.2030000000000001</v>
      </c>
      <c r="P45" s="21">
        <f t="shared" si="8"/>
        <v>1.3250999999999999</v>
      </c>
      <c r="Q45" s="21">
        <f t="shared" si="8"/>
        <v>1.9576</v>
      </c>
      <c r="R45" s="22">
        <v>1.5228999999999999</v>
      </c>
      <c r="S45" s="22">
        <v>1.5228999999999999</v>
      </c>
      <c r="T45" s="22">
        <v>1.5228999999999999</v>
      </c>
      <c r="U45" s="22">
        <v>1.5228999999999999</v>
      </c>
      <c r="V45" s="22">
        <v>1.5228999999999999</v>
      </c>
      <c r="W45" s="22">
        <v>1.5228999999999999</v>
      </c>
      <c r="X45" s="22">
        <v>1.5228999999999999</v>
      </c>
      <c r="Y45" s="22">
        <v>1.5228999999999999</v>
      </c>
      <c r="Z45" s="22">
        <v>1.5228999999999999</v>
      </c>
      <c r="AA45" s="22">
        <v>1.5228999999999999</v>
      </c>
      <c r="AB45" s="22">
        <v>1.5228999999999999</v>
      </c>
      <c r="AC45" s="22">
        <v>1.5228999999999999</v>
      </c>
      <c r="AD45" s="22">
        <v>1.5228999999999999</v>
      </c>
    </row>
    <row r="46" spans="2:30" x14ac:dyDescent="0.3"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2:30" x14ac:dyDescent="0.3">
      <c r="D47" t="s">
        <v>19</v>
      </c>
      <c r="E47" s="15">
        <f>SUM(E37:E44)</f>
        <v>0.42350000000000004</v>
      </c>
      <c r="F47" s="15">
        <f t="shared" ref="F47:Q47" si="17">SUM(F37:F44)</f>
        <v>0.52249999999999996</v>
      </c>
      <c r="G47" s="15">
        <f t="shared" si="17"/>
        <v>0.62149999999999994</v>
      </c>
      <c r="H47" s="15">
        <f t="shared" si="17"/>
        <v>0.56979999999999997</v>
      </c>
      <c r="I47" s="15">
        <f t="shared" si="17"/>
        <v>0.51800000000000002</v>
      </c>
      <c r="J47" s="15">
        <f t="shared" si="17"/>
        <v>0.53090000000000004</v>
      </c>
      <c r="K47" s="15">
        <f t="shared" si="17"/>
        <v>0.54369999999999996</v>
      </c>
      <c r="L47" s="15">
        <f t="shared" si="17"/>
        <v>0.46949999999999997</v>
      </c>
      <c r="M47" s="15">
        <f t="shared" si="17"/>
        <v>0.39540000000000003</v>
      </c>
      <c r="N47" s="15">
        <f t="shared" si="17"/>
        <v>0.33960000000000007</v>
      </c>
      <c r="O47" s="15">
        <f t="shared" si="17"/>
        <v>0.28370000000000001</v>
      </c>
      <c r="P47" s="15">
        <f t="shared" si="17"/>
        <v>0.36539999999999989</v>
      </c>
      <c r="Q47" s="15">
        <f t="shared" si="17"/>
        <v>0.4904</v>
      </c>
      <c r="R47" s="26">
        <f>$Q$31*R55</f>
        <v>0.50089210150009511</v>
      </c>
      <c r="S47" s="26">
        <f t="shared" ref="S47:AD47" si="18">$Q$31*S55</f>
        <v>0.51157846238548521</v>
      </c>
      <c r="T47" s="26">
        <f t="shared" si="18"/>
        <v>0.52251334329146604</v>
      </c>
      <c r="U47" s="26">
        <f t="shared" si="18"/>
        <v>0.53369674421803714</v>
      </c>
      <c r="V47" s="26">
        <f t="shared" si="18"/>
        <v>0.54512866516519887</v>
      </c>
      <c r="W47" s="26">
        <f t="shared" si="18"/>
        <v>0.55680910613295109</v>
      </c>
      <c r="X47" s="26">
        <f t="shared" si="18"/>
        <v>0.5686138071109984</v>
      </c>
      <c r="Y47" s="26">
        <f t="shared" si="18"/>
        <v>0.58079128811993153</v>
      </c>
      <c r="Z47" s="26">
        <f t="shared" si="18"/>
        <v>0.59321728914945504</v>
      </c>
      <c r="AA47" s="26">
        <f t="shared" si="18"/>
        <v>0.60589181019956917</v>
      </c>
      <c r="AB47" s="26">
        <f t="shared" si="18"/>
        <v>0.61893911128056889</v>
      </c>
      <c r="AC47" s="26">
        <f t="shared" si="18"/>
        <v>0.63211067237186391</v>
      </c>
      <c r="AD47" s="26">
        <f t="shared" si="18"/>
        <v>0.64565501349404453</v>
      </c>
    </row>
    <row r="48" spans="2:30" x14ac:dyDescent="0.3">
      <c r="E48" s="57">
        <f>(E37+E38+E39+E40+E41+E42+E43+E44)*1000</f>
        <v>423.50000000000006</v>
      </c>
      <c r="F48" s="57">
        <f t="shared" ref="F48:AD48" si="19">(F37+F38+F39+F40+F41+F42+F43+F44)*1000</f>
        <v>522.5</v>
      </c>
      <c r="G48" s="57">
        <f t="shared" si="19"/>
        <v>621.49999999999989</v>
      </c>
      <c r="H48" s="57">
        <f t="shared" si="19"/>
        <v>569.79999999999995</v>
      </c>
      <c r="I48" s="57">
        <f t="shared" si="19"/>
        <v>518</v>
      </c>
      <c r="J48" s="57">
        <f t="shared" si="19"/>
        <v>530.90000000000009</v>
      </c>
      <c r="K48" s="57">
        <f t="shared" si="19"/>
        <v>543.69999999999993</v>
      </c>
      <c r="L48" s="57">
        <f t="shared" si="19"/>
        <v>469.5</v>
      </c>
      <c r="M48" s="57">
        <f t="shared" si="19"/>
        <v>395.40000000000003</v>
      </c>
      <c r="N48" s="57">
        <f t="shared" si="19"/>
        <v>339.60000000000008</v>
      </c>
      <c r="O48" s="57">
        <f t="shared" si="19"/>
        <v>283.7</v>
      </c>
      <c r="P48" s="57">
        <f t="shared" si="19"/>
        <v>365.39999999999986</v>
      </c>
      <c r="Q48" s="57">
        <f t="shared" si="19"/>
        <v>490.4</v>
      </c>
      <c r="R48" s="57">
        <f t="shared" si="19"/>
        <v>500.7999999999999</v>
      </c>
      <c r="S48" s="57">
        <f t="shared" si="19"/>
        <v>511.49999999999994</v>
      </c>
      <c r="T48" s="57">
        <f t="shared" si="19"/>
        <v>522.4</v>
      </c>
      <c r="U48" s="57">
        <f t="shared" si="19"/>
        <v>533.79999999999995</v>
      </c>
      <c r="V48" s="57">
        <f t="shared" si="19"/>
        <v>544.99999999999989</v>
      </c>
      <c r="W48" s="57">
        <f t="shared" si="19"/>
        <v>556.79999999999995</v>
      </c>
      <c r="X48" s="57">
        <f t="shared" si="19"/>
        <v>568.79999999999995</v>
      </c>
      <c r="Y48" s="57">
        <f t="shared" si="19"/>
        <v>580.80000000000007</v>
      </c>
      <c r="Z48" s="57">
        <f t="shared" si="19"/>
        <v>593.30000000000007</v>
      </c>
      <c r="AA48" s="57">
        <f t="shared" si="19"/>
        <v>606</v>
      </c>
      <c r="AB48" s="57">
        <f t="shared" si="19"/>
        <v>618.80000000000007</v>
      </c>
      <c r="AC48" s="57">
        <f t="shared" si="19"/>
        <v>632.09999999999991</v>
      </c>
      <c r="AD48" s="57">
        <f t="shared" si="19"/>
        <v>645.6</v>
      </c>
    </row>
    <row r="49" spans="2:30" x14ac:dyDescent="0.3"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2:30" x14ac:dyDescent="0.3">
      <c r="E50">
        <v>2010</v>
      </c>
      <c r="F50">
        <v>2011</v>
      </c>
      <c r="G50">
        <v>2012</v>
      </c>
      <c r="H50">
        <v>2013</v>
      </c>
      <c r="I50">
        <v>2014</v>
      </c>
      <c r="J50">
        <v>2015</v>
      </c>
      <c r="K50">
        <v>2016</v>
      </c>
      <c r="L50">
        <v>2017</v>
      </c>
      <c r="M50">
        <v>2018</v>
      </c>
      <c r="N50">
        <v>2019</v>
      </c>
      <c r="O50">
        <v>2020</v>
      </c>
      <c r="P50">
        <v>2021</v>
      </c>
      <c r="Q50">
        <v>2022</v>
      </c>
      <c r="R50">
        <v>2023</v>
      </c>
      <c r="S50">
        <v>2024</v>
      </c>
      <c r="T50">
        <v>2025</v>
      </c>
      <c r="U50">
        <v>2026</v>
      </c>
      <c r="V50">
        <v>2027</v>
      </c>
      <c r="W50">
        <v>2028</v>
      </c>
      <c r="X50">
        <v>2029</v>
      </c>
      <c r="Y50">
        <v>2030</v>
      </c>
      <c r="Z50">
        <v>2031</v>
      </c>
      <c r="AA50">
        <v>2032</v>
      </c>
      <c r="AB50">
        <v>2033</v>
      </c>
      <c r="AC50">
        <v>2034</v>
      </c>
      <c r="AD50">
        <v>2035</v>
      </c>
    </row>
    <row r="51" spans="2:30" x14ac:dyDescent="0.3">
      <c r="B51" t="s">
        <v>84</v>
      </c>
      <c r="C51" t="s">
        <v>64</v>
      </c>
      <c r="D51" s="16" t="s">
        <v>19</v>
      </c>
      <c r="E51" s="19">
        <v>423.4</v>
      </c>
      <c r="F51" s="19">
        <v>522.5</v>
      </c>
      <c r="G51" s="19">
        <v>621.6</v>
      </c>
      <c r="H51" s="19">
        <v>569.9</v>
      </c>
      <c r="I51" s="19">
        <v>518.20000000000005</v>
      </c>
      <c r="J51" s="19">
        <v>530.9</v>
      </c>
      <c r="K51" s="19">
        <v>543.70000000000005</v>
      </c>
      <c r="L51" s="19">
        <v>469.4</v>
      </c>
      <c r="M51" s="19">
        <v>395.1</v>
      </c>
      <c r="N51" s="19">
        <v>397.5</v>
      </c>
      <c r="O51" s="19">
        <v>374.8</v>
      </c>
      <c r="P51" s="19">
        <v>386.4</v>
      </c>
      <c r="Q51" s="19">
        <v>394.6</v>
      </c>
      <c r="R51" s="17">
        <v>403.1</v>
      </c>
      <c r="S51" s="17">
        <v>411.7</v>
      </c>
      <c r="T51" s="17">
        <v>420.5</v>
      </c>
      <c r="U51" s="17">
        <v>429.5</v>
      </c>
      <c r="V51" s="17">
        <v>438.7</v>
      </c>
      <c r="W51" s="17">
        <v>448.1</v>
      </c>
      <c r="X51" s="17">
        <v>457.6</v>
      </c>
      <c r="Y51" s="17">
        <v>467.4</v>
      </c>
      <c r="Z51" s="17">
        <v>477.4</v>
      </c>
      <c r="AA51" s="17">
        <v>487.6</v>
      </c>
      <c r="AB51" s="17">
        <v>498.1</v>
      </c>
      <c r="AC51" s="17">
        <v>508.7</v>
      </c>
      <c r="AD51" s="17">
        <v>519.6</v>
      </c>
    </row>
    <row r="52" spans="2:30" x14ac:dyDescent="0.3">
      <c r="C52" t="s">
        <v>67</v>
      </c>
      <c r="D52" s="16" t="s">
        <v>19</v>
      </c>
      <c r="E52" s="20">
        <f>E51/1000</f>
        <v>0.4234</v>
      </c>
      <c r="F52" s="20">
        <f t="shared" ref="F52:AD52" si="20">F51/1000</f>
        <v>0.52249999999999996</v>
      </c>
      <c r="G52" s="20">
        <f t="shared" si="20"/>
        <v>0.62160000000000004</v>
      </c>
      <c r="H52" s="20">
        <f t="shared" si="20"/>
        <v>0.56989999999999996</v>
      </c>
      <c r="I52" s="20">
        <f t="shared" si="20"/>
        <v>0.51819999999999999</v>
      </c>
      <c r="J52" s="20">
        <f t="shared" si="20"/>
        <v>0.53089999999999993</v>
      </c>
      <c r="K52" s="20">
        <f t="shared" si="20"/>
        <v>0.54370000000000007</v>
      </c>
      <c r="L52" s="20">
        <f t="shared" si="20"/>
        <v>0.46939999999999998</v>
      </c>
      <c r="M52" s="20">
        <f t="shared" si="20"/>
        <v>0.39510000000000001</v>
      </c>
      <c r="N52" s="20">
        <f t="shared" si="20"/>
        <v>0.39750000000000002</v>
      </c>
      <c r="O52" s="20">
        <f t="shared" si="20"/>
        <v>0.37480000000000002</v>
      </c>
      <c r="P52" s="20">
        <f t="shared" si="20"/>
        <v>0.38639999999999997</v>
      </c>
      <c r="Q52" s="20">
        <f t="shared" si="20"/>
        <v>0.39460000000000001</v>
      </c>
      <c r="R52" s="18">
        <f t="shared" si="20"/>
        <v>0.40310000000000001</v>
      </c>
      <c r="S52" s="18">
        <f t="shared" si="20"/>
        <v>0.41170000000000001</v>
      </c>
      <c r="T52" s="18">
        <f t="shared" si="20"/>
        <v>0.42049999999999998</v>
      </c>
      <c r="U52" s="18">
        <f t="shared" si="20"/>
        <v>0.42949999999999999</v>
      </c>
      <c r="V52" s="18">
        <f t="shared" si="20"/>
        <v>0.43869999999999998</v>
      </c>
      <c r="W52" s="18">
        <f t="shared" si="20"/>
        <v>0.4481</v>
      </c>
      <c r="X52" s="18">
        <f t="shared" si="20"/>
        <v>0.45760000000000001</v>
      </c>
      <c r="Y52" s="18">
        <f t="shared" si="20"/>
        <v>0.46739999999999998</v>
      </c>
      <c r="Z52" s="18">
        <f t="shared" si="20"/>
        <v>0.47739999999999999</v>
      </c>
      <c r="AA52" s="18">
        <f t="shared" si="20"/>
        <v>0.48760000000000003</v>
      </c>
      <c r="AB52" s="18">
        <f t="shared" si="20"/>
        <v>0.49810000000000004</v>
      </c>
      <c r="AC52" s="18">
        <f t="shared" si="20"/>
        <v>0.50870000000000004</v>
      </c>
      <c r="AD52" s="18">
        <f t="shared" si="20"/>
        <v>0.51960000000000006</v>
      </c>
    </row>
    <row r="55" spans="2:30" x14ac:dyDescent="0.3">
      <c r="B55" t="s">
        <v>85</v>
      </c>
      <c r="Q55">
        <f>Q51/$Q$51</f>
        <v>1</v>
      </c>
      <c r="R55" s="26">
        <f>R51/$Q$51</f>
        <v>1.0215408008109479</v>
      </c>
      <c r="S55" s="26">
        <f t="shared" ref="S55:AD55" si="21">S51/$Q$51</f>
        <v>1.0433350228079066</v>
      </c>
      <c r="T55" s="26">
        <f t="shared" si="21"/>
        <v>1.065636087176888</v>
      </c>
      <c r="U55" s="26">
        <f t="shared" si="21"/>
        <v>1.0884439939178914</v>
      </c>
      <c r="V55" s="26">
        <f t="shared" si="21"/>
        <v>1.1117587430309173</v>
      </c>
      <c r="W55" s="26">
        <f t="shared" si="21"/>
        <v>1.1355803345159656</v>
      </c>
      <c r="X55" s="26">
        <f t="shared" si="21"/>
        <v>1.1596553471870248</v>
      </c>
      <c r="Y55" s="26">
        <f t="shared" si="21"/>
        <v>1.1844906234161174</v>
      </c>
      <c r="Z55" s="26">
        <f t="shared" si="21"/>
        <v>1.2098327420172326</v>
      </c>
      <c r="AA55" s="26">
        <f t="shared" si="21"/>
        <v>1.2356817029903699</v>
      </c>
      <c r="AB55" s="26">
        <f t="shared" si="21"/>
        <v>1.2622909275215408</v>
      </c>
      <c r="AC55" s="26">
        <f t="shared" si="21"/>
        <v>1.2891535732387227</v>
      </c>
      <c r="AD55" s="26">
        <f t="shared" si="21"/>
        <v>1.3167764825139381</v>
      </c>
    </row>
    <row r="57" spans="2:30" s="25" customFormat="1" ht="15" thickBot="1" x14ac:dyDescent="0.35"/>
    <row r="58" spans="2:30" hidden="1" x14ac:dyDescent="0.3"/>
    <row r="59" spans="2:30" hidden="1" x14ac:dyDescent="0.3">
      <c r="B59" t="s">
        <v>67</v>
      </c>
      <c r="D59" s="1" t="s">
        <v>71</v>
      </c>
      <c r="E59" s="6">
        <v>2010</v>
      </c>
      <c r="F59" s="5">
        <v>2011</v>
      </c>
      <c r="G59" s="6">
        <v>2012</v>
      </c>
      <c r="H59" s="5">
        <v>2013</v>
      </c>
      <c r="I59" s="6">
        <v>2014</v>
      </c>
      <c r="J59" s="5">
        <v>2015</v>
      </c>
      <c r="K59" s="6">
        <v>2016</v>
      </c>
      <c r="L59" s="5">
        <v>2017</v>
      </c>
      <c r="M59" s="6">
        <v>2018</v>
      </c>
      <c r="N59" s="1">
        <v>2019</v>
      </c>
      <c r="O59" s="1">
        <v>2020</v>
      </c>
      <c r="P59" s="1">
        <v>2021</v>
      </c>
      <c r="Q59" s="1">
        <v>2022</v>
      </c>
      <c r="R59" s="1">
        <v>2023</v>
      </c>
      <c r="S59" s="1">
        <v>2024</v>
      </c>
      <c r="T59" s="1">
        <v>2025</v>
      </c>
      <c r="U59" s="1">
        <v>2026</v>
      </c>
      <c r="V59" s="1">
        <v>2027</v>
      </c>
      <c r="W59" s="1">
        <v>2028</v>
      </c>
      <c r="X59" s="1">
        <v>2029</v>
      </c>
      <c r="Y59" s="1">
        <v>2030</v>
      </c>
      <c r="Z59" s="1">
        <v>2031</v>
      </c>
      <c r="AA59" s="1">
        <v>2032</v>
      </c>
      <c r="AB59" s="1">
        <v>2033</v>
      </c>
      <c r="AC59" s="1">
        <v>2034</v>
      </c>
      <c r="AD59" s="1">
        <v>2035</v>
      </c>
    </row>
    <row r="60" spans="2:30" hidden="1" x14ac:dyDescent="0.3">
      <c r="B60" s="78" t="s">
        <v>86</v>
      </c>
      <c r="D60" s="9" t="s">
        <v>72</v>
      </c>
      <c r="E60" s="21">
        <f>ROUNDUP(E20,4)</f>
        <v>1.782</v>
      </c>
      <c r="F60" s="21"/>
      <c r="G60" s="21">
        <f t="shared" ref="F60:Q69" si="22">ROUNDUP(G20,4)</f>
        <v>1.7877000000000001</v>
      </c>
      <c r="H60" s="21"/>
      <c r="I60" s="21">
        <f t="shared" si="22"/>
        <v>1.8849</v>
      </c>
      <c r="J60" s="21"/>
      <c r="K60" s="21">
        <f t="shared" si="22"/>
        <v>1.7507999999999999</v>
      </c>
      <c r="L60" s="21"/>
      <c r="M60" s="21">
        <f t="shared" si="22"/>
        <v>2.0291000000000001</v>
      </c>
      <c r="N60" s="21">
        <f t="shared" si="22"/>
        <v>0</v>
      </c>
      <c r="O60" s="21">
        <f t="shared" si="22"/>
        <v>1.3479000000000001</v>
      </c>
      <c r="P60" s="21">
        <f t="shared" si="22"/>
        <v>1.9649000000000001</v>
      </c>
      <c r="Q60" s="21">
        <f t="shared" si="22"/>
        <v>1.7979000000000001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2:30" hidden="1" x14ac:dyDescent="0.3">
      <c r="D61" s="2" t="s">
        <v>73</v>
      </c>
      <c r="E61" s="18">
        <f t="shared" ref="E61:Q69" si="23">ROUNDUP(E21,4)</f>
        <v>6.6500000000000004E-2</v>
      </c>
      <c r="F61" s="20">
        <f t="shared" si="23"/>
        <v>6.9199999999999998E-2</v>
      </c>
      <c r="G61" s="18">
        <f t="shared" si="23"/>
        <v>7.1900000000000006E-2</v>
      </c>
      <c r="H61" s="20">
        <f t="shared" si="23"/>
        <v>7.4300000000000005E-2</v>
      </c>
      <c r="I61" s="18">
        <f t="shared" si="23"/>
        <v>7.6600000000000001E-2</v>
      </c>
      <c r="J61" s="20">
        <f t="shared" si="23"/>
        <v>8.5199999999999998E-2</v>
      </c>
      <c r="K61" s="18">
        <f t="shared" si="23"/>
        <v>9.3800000000000008E-2</v>
      </c>
      <c r="L61" s="20">
        <f t="shared" si="23"/>
        <v>0.10050000000000001</v>
      </c>
      <c r="M61" s="18">
        <f t="shared" si="23"/>
        <v>0.1072</v>
      </c>
      <c r="N61" s="24">
        <f t="shared" si="23"/>
        <v>0.1144</v>
      </c>
      <c r="O61" s="24">
        <f t="shared" si="23"/>
        <v>0.1216</v>
      </c>
      <c r="P61" s="24">
        <f t="shared" si="23"/>
        <v>0.21989999999999998</v>
      </c>
      <c r="Q61" s="24">
        <f t="shared" si="23"/>
        <v>0.17909999999999998</v>
      </c>
      <c r="R61" s="18">
        <f>ROUNDUP(R71*$Q$37/SUM($Q$37:$Q$44),4)</f>
        <v>0.183</v>
      </c>
      <c r="S61" s="18">
        <f t="shared" ref="S61:AD61" si="24">ROUNDUP(S71*$Q$37/SUM($Q$37:$Q$44),4)</f>
        <v>0.18689999999999998</v>
      </c>
      <c r="T61" s="18">
        <f t="shared" si="24"/>
        <v>0.19089999999999999</v>
      </c>
      <c r="U61" s="18">
        <f t="shared" si="24"/>
        <v>0.19499999999999998</v>
      </c>
      <c r="V61" s="18">
        <f t="shared" si="24"/>
        <v>0.1991</v>
      </c>
      <c r="W61" s="18">
        <f t="shared" si="24"/>
        <v>0.2034</v>
      </c>
      <c r="X61" s="18">
        <f t="shared" si="24"/>
        <v>0.2077</v>
      </c>
      <c r="Y61" s="18">
        <f t="shared" si="24"/>
        <v>0.2122</v>
      </c>
      <c r="Z61" s="18">
        <f t="shared" si="24"/>
        <v>0.21669999999999998</v>
      </c>
      <c r="AA61" s="18">
        <f t="shared" si="24"/>
        <v>0.2213</v>
      </c>
      <c r="AB61" s="18">
        <f t="shared" si="24"/>
        <v>0.2261</v>
      </c>
      <c r="AC61" s="18">
        <f t="shared" si="24"/>
        <v>0.23089999999999999</v>
      </c>
      <c r="AD61" s="18">
        <f t="shared" si="24"/>
        <v>0.2359</v>
      </c>
    </row>
    <row r="62" spans="2:30" hidden="1" x14ac:dyDescent="0.3">
      <c r="D62" s="2" t="s">
        <v>74</v>
      </c>
      <c r="E62" s="18">
        <f t="shared" si="23"/>
        <v>7.6E-3</v>
      </c>
      <c r="F62" s="20">
        <f t="shared" si="22"/>
        <v>9.1999999999999998E-3</v>
      </c>
      <c r="G62" s="18">
        <f t="shared" si="22"/>
        <v>1.09E-2</v>
      </c>
      <c r="H62" s="20">
        <f t="shared" si="22"/>
        <v>1.26E-2</v>
      </c>
      <c r="I62" s="18">
        <f t="shared" si="22"/>
        <v>1.43E-2</v>
      </c>
      <c r="J62" s="20">
        <f t="shared" si="22"/>
        <v>1.26E-2</v>
      </c>
      <c r="K62" s="18">
        <f t="shared" si="22"/>
        <v>1.0799999999999999E-2</v>
      </c>
      <c r="L62" s="20">
        <f t="shared" si="22"/>
        <v>1.2499999999999999E-2</v>
      </c>
      <c r="M62" s="18">
        <f t="shared" si="22"/>
        <v>1.4199999999999999E-2</v>
      </c>
      <c r="N62" s="24">
        <f t="shared" si="22"/>
        <v>9.4999999999999998E-3</v>
      </c>
      <c r="O62" s="24">
        <f t="shared" si="22"/>
        <v>4.8000000000000004E-3</v>
      </c>
      <c r="P62" s="24">
        <f t="shared" si="22"/>
        <v>8.9999999999999993E-3</v>
      </c>
      <c r="Q62" s="24">
        <f t="shared" si="22"/>
        <v>8.199999999999999E-3</v>
      </c>
      <c r="R62" s="18">
        <f>ROUNDUP(R71*$Q$38/SUM($Q$37:$Q$44),4)</f>
        <v>8.3000000000000001E-3</v>
      </c>
      <c r="S62" s="18">
        <f t="shared" ref="S62:AD62" si="25">ROUNDUP(S71*$Q$38/SUM($Q$37:$Q$44),4)</f>
        <v>8.4999999999999989E-3</v>
      </c>
      <c r="T62" s="18">
        <f t="shared" si="25"/>
        <v>8.6999999999999994E-3</v>
      </c>
      <c r="U62" s="18">
        <f t="shared" si="25"/>
        <v>8.8999999999999999E-3</v>
      </c>
      <c r="V62" s="18">
        <f t="shared" si="25"/>
        <v>9.0999999999999987E-3</v>
      </c>
      <c r="W62" s="18">
        <f t="shared" si="25"/>
        <v>9.1999999999999998E-3</v>
      </c>
      <c r="X62" s="18">
        <f t="shared" si="25"/>
        <v>9.3999999999999986E-3</v>
      </c>
      <c r="Y62" s="18">
        <f t="shared" si="25"/>
        <v>9.5999999999999992E-3</v>
      </c>
      <c r="Z62" s="18">
        <f t="shared" si="25"/>
        <v>9.7999999999999997E-3</v>
      </c>
      <c r="AA62" s="18">
        <f t="shared" si="25"/>
        <v>1.01E-2</v>
      </c>
      <c r="AB62" s="18">
        <f t="shared" si="25"/>
        <v>1.03E-2</v>
      </c>
      <c r="AC62" s="18">
        <f t="shared" si="25"/>
        <v>1.0499999999999999E-2</v>
      </c>
      <c r="AD62" s="18">
        <f t="shared" si="25"/>
        <v>1.0699999999999999E-2</v>
      </c>
    </row>
    <row r="63" spans="2:30" hidden="1" x14ac:dyDescent="0.3">
      <c r="D63" s="2" t="s">
        <v>75</v>
      </c>
      <c r="E63" s="18">
        <f t="shared" si="23"/>
        <v>0.31809999999999999</v>
      </c>
      <c r="F63" s="20">
        <f t="shared" si="22"/>
        <v>0.40970000000000001</v>
      </c>
      <c r="G63" s="18">
        <f t="shared" si="22"/>
        <v>0.50129999999999997</v>
      </c>
      <c r="H63" s="20">
        <f t="shared" si="22"/>
        <v>0.44009999999999999</v>
      </c>
      <c r="I63" s="18">
        <f t="shared" si="22"/>
        <v>0.379</v>
      </c>
      <c r="J63" s="20">
        <f t="shared" si="22"/>
        <v>0.3831</v>
      </c>
      <c r="K63" s="18">
        <f t="shared" si="22"/>
        <v>0.38719999999999999</v>
      </c>
      <c r="L63" s="20">
        <f t="shared" si="22"/>
        <v>0.29609999999999997</v>
      </c>
      <c r="M63" s="18">
        <f t="shared" si="22"/>
        <v>0.2049</v>
      </c>
      <c r="N63" s="24">
        <f t="shared" si="22"/>
        <v>0.1522</v>
      </c>
      <c r="O63" s="24">
        <f t="shared" si="22"/>
        <v>9.9500000000000005E-2</v>
      </c>
      <c r="P63" s="24">
        <f t="shared" si="22"/>
        <v>4.4600000000000001E-2</v>
      </c>
      <c r="Q63" s="24">
        <f t="shared" si="22"/>
        <v>0.2117</v>
      </c>
      <c r="R63" s="18">
        <f>ROUNDUP(R71*$Q$39/SUM($Q$37:$Q$44),4)</f>
        <v>0.21629999999999999</v>
      </c>
      <c r="S63" s="18">
        <f t="shared" ref="S63:AD63" si="26">ROUNDUP(S71*$Q$39/SUM($Q$37:$Q$44),4)</f>
        <v>0.22089999999999999</v>
      </c>
      <c r="T63" s="18">
        <f t="shared" si="26"/>
        <v>0.22559999999999999</v>
      </c>
      <c r="U63" s="18">
        <f t="shared" si="26"/>
        <v>0.23039999999999999</v>
      </c>
      <c r="V63" s="18">
        <f t="shared" si="26"/>
        <v>0.2354</v>
      </c>
      <c r="W63" s="18">
        <f t="shared" si="26"/>
        <v>0.2404</v>
      </c>
      <c r="X63" s="18">
        <f t="shared" si="26"/>
        <v>0.2455</v>
      </c>
      <c r="Y63" s="18">
        <f t="shared" si="26"/>
        <v>0.25079999999999997</v>
      </c>
      <c r="Z63" s="18">
        <f t="shared" si="26"/>
        <v>0.25609999999999999</v>
      </c>
      <c r="AA63" s="18">
        <f t="shared" si="26"/>
        <v>0.2616</v>
      </c>
      <c r="AB63" s="18">
        <f t="shared" si="26"/>
        <v>0.26719999999999999</v>
      </c>
      <c r="AC63" s="18">
        <f t="shared" si="26"/>
        <v>0.27289999999999998</v>
      </c>
      <c r="AD63" s="18">
        <f t="shared" si="26"/>
        <v>0.27879999999999999</v>
      </c>
    </row>
    <row r="64" spans="2:30" hidden="1" x14ac:dyDescent="0.3">
      <c r="D64" s="2" t="s">
        <v>76</v>
      </c>
      <c r="E64" s="18">
        <f t="shared" si="23"/>
        <v>-1E-4</v>
      </c>
      <c r="F64" s="20">
        <f t="shared" si="22"/>
        <v>9.0000000000000008E-4</v>
      </c>
      <c r="G64" s="18">
        <f t="shared" si="22"/>
        <v>1.8E-3</v>
      </c>
      <c r="H64" s="20">
        <f t="shared" si="22"/>
        <v>1.8E-3</v>
      </c>
      <c r="I64" s="18">
        <f t="shared" si="22"/>
        <v>1.8E-3</v>
      </c>
      <c r="J64" s="20">
        <f t="shared" si="22"/>
        <v>8.9999999999999998E-4</v>
      </c>
      <c r="K64" s="18">
        <f t="shared" si="22"/>
        <v>0</v>
      </c>
      <c r="L64" s="20">
        <f t="shared" si="22"/>
        <v>1.6000000000000001E-3</v>
      </c>
      <c r="M64" s="18">
        <f t="shared" si="22"/>
        <v>3.0999999999999999E-3</v>
      </c>
      <c r="N64" s="24">
        <f t="shared" si="22"/>
        <v>5.8000000000000005E-3</v>
      </c>
      <c r="O64" s="24">
        <f t="shared" si="22"/>
        <v>8.4999999999999989E-3</v>
      </c>
      <c r="P64" s="24">
        <f t="shared" si="22"/>
        <v>1.2999999999999999E-3</v>
      </c>
      <c r="Q64" s="24">
        <f t="shared" si="22"/>
        <v>1.7000000000000001E-3</v>
      </c>
      <c r="R64" s="18">
        <f>ROUNDUP(R71*$Q$40/SUM($Q$37:$Q$44),4)</f>
        <v>1.8E-3</v>
      </c>
      <c r="S64" s="18">
        <f t="shared" ref="S64:AD64" si="27">ROUNDUP(S71*$Q$40/SUM($Q$37:$Q$44),4)</f>
        <v>1.8E-3</v>
      </c>
      <c r="T64" s="18">
        <f t="shared" si="27"/>
        <v>1.9E-3</v>
      </c>
      <c r="U64" s="18">
        <f t="shared" si="27"/>
        <v>1.9E-3</v>
      </c>
      <c r="V64" s="18">
        <f t="shared" si="27"/>
        <v>1.9E-3</v>
      </c>
      <c r="W64" s="18">
        <f t="shared" si="27"/>
        <v>2E-3</v>
      </c>
      <c r="X64" s="18">
        <f t="shared" si="27"/>
        <v>2E-3</v>
      </c>
      <c r="Y64" s="18">
        <f t="shared" si="27"/>
        <v>2.0999999999999999E-3</v>
      </c>
      <c r="Z64" s="18">
        <f t="shared" si="27"/>
        <v>2.0999999999999999E-3</v>
      </c>
      <c r="AA64" s="18">
        <f t="shared" si="27"/>
        <v>2.1999999999999997E-3</v>
      </c>
      <c r="AB64" s="18">
        <f t="shared" si="27"/>
        <v>2.1999999999999997E-3</v>
      </c>
      <c r="AC64" s="18">
        <f t="shared" si="27"/>
        <v>2.1999999999999997E-3</v>
      </c>
      <c r="AD64" s="18">
        <f t="shared" si="27"/>
        <v>2.3E-3</v>
      </c>
    </row>
    <row r="65" spans="2:30" hidden="1" x14ac:dyDescent="0.3">
      <c r="D65" s="2" t="s">
        <v>77</v>
      </c>
      <c r="E65" s="18">
        <f t="shared" si="23"/>
        <v>2.98E-2</v>
      </c>
      <c r="F65" s="20">
        <f t="shared" si="22"/>
        <v>3.1700000000000006E-2</v>
      </c>
      <c r="G65" s="18">
        <f t="shared" si="22"/>
        <v>3.3599999999999998E-2</v>
      </c>
      <c r="H65" s="20">
        <f t="shared" si="22"/>
        <v>3.5800000000000005E-2</v>
      </c>
      <c r="I65" s="18">
        <f t="shared" si="22"/>
        <v>3.7900000000000003E-2</v>
      </c>
      <c r="J65" s="20">
        <f t="shared" si="22"/>
        <v>4.0400000000000005E-2</v>
      </c>
      <c r="K65" s="18">
        <f t="shared" si="22"/>
        <v>4.2900000000000001E-2</v>
      </c>
      <c r="L65" s="20">
        <f t="shared" si="22"/>
        <v>4.9700000000000001E-2</v>
      </c>
      <c r="M65" s="18">
        <f t="shared" si="22"/>
        <v>5.6399999999999999E-2</v>
      </c>
      <c r="N65" s="24">
        <f t="shared" si="22"/>
        <v>4.5900000000000003E-2</v>
      </c>
      <c r="O65" s="24">
        <f t="shared" si="22"/>
        <v>3.5400000000000001E-2</v>
      </c>
      <c r="P65" s="24">
        <f t="shared" si="22"/>
        <v>7.8E-2</v>
      </c>
      <c r="Q65" s="24">
        <f t="shared" si="22"/>
        <v>8.0100000000000005E-2</v>
      </c>
      <c r="R65" s="18">
        <f>ROUNDUP(R71*$Q$41/SUM($Q$37:$Q$44),4)</f>
        <v>8.1900000000000001E-2</v>
      </c>
      <c r="S65" s="18">
        <f t="shared" ref="S65:AD65" si="28">ROUNDUP(S71*$Q$41/SUM($Q$37:$Q$44),4)</f>
        <v>8.3600000000000008E-2</v>
      </c>
      <c r="T65" s="18">
        <f t="shared" si="28"/>
        <v>8.5400000000000004E-2</v>
      </c>
      <c r="U65" s="18">
        <f t="shared" si="28"/>
        <v>8.72E-2</v>
      </c>
      <c r="V65" s="18">
        <f t="shared" si="28"/>
        <v>8.9099999999999999E-2</v>
      </c>
      <c r="W65" s="18">
        <f t="shared" si="28"/>
        <v>9.0999999999999998E-2</v>
      </c>
      <c r="X65" s="18">
        <f t="shared" si="28"/>
        <v>9.2899999999999996E-2</v>
      </c>
      <c r="Y65" s="18">
        <f t="shared" si="28"/>
        <v>9.4899999999999998E-2</v>
      </c>
      <c r="Z65" s="18">
        <f t="shared" si="28"/>
        <v>9.69E-2</v>
      </c>
      <c r="AA65" s="18">
        <f t="shared" si="28"/>
        <v>9.9000000000000005E-2</v>
      </c>
      <c r="AB65" s="18">
        <f t="shared" si="28"/>
        <v>0.10110000000000001</v>
      </c>
      <c r="AC65" s="18">
        <f t="shared" si="28"/>
        <v>0.1033</v>
      </c>
      <c r="AD65" s="18">
        <f t="shared" si="28"/>
        <v>0.1055</v>
      </c>
    </row>
    <row r="66" spans="2:30" hidden="1" x14ac:dyDescent="0.3">
      <c r="D66" s="2" t="s">
        <v>78</v>
      </c>
      <c r="E66" s="18">
        <f t="shared" si="23"/>
        <v>1.2999999999999999E-3</v>
      </c>
      <c r="F66" s="20">
        <f t="shared" si="22"/>
        <v>1.6000000000000001E-3</v>
      </c>
      <c r="G66" s="18">
        <f t="shared" si="22"/>
        <v>1.9E-3</v>
      </c>
      <c r="H66" s="20">
        <f t="shared" si="22"/>
        <v>2.3999999999999998E-3</v>
      </c>
      <c r="I66" s="18">
        <f t="shared" si="22"/>
        <v>2.8E-3</v>
      </c>
      <c r="J66" s="20">
        <f t="shared" si="22"/>
        <v>2.8999999999999998E-3</v>
      </c>
      <c r="K66" s="18">
        <f t="shared" si="22"/>
        <v>3.0999999999999999E-3</v>
      </c>
      <c r="L66" s="20">
        <f t="shared" si="22"/>
        <v>3.5999999999999999E-3</v>
      </c>
      <c r="M66" s="18">
        <f t="shared" si="22"/>
        <v>4.0000000000000001E-3</v>
      </c>
      <c r="N66" s="24">
        <f t="shared" si="22"/>
        <v>7.0000000000000001E-3</v>
      </c>
      <c r="O66" s="24">
        <f t="shared" si="22"/>
        <v>0.01</v>
      </c>
      <c r="P66" s="24">
        <f t="shared" si="22"/>
        <v>8.7999999999999988E-3</v>
      </c>
      <c r="Q66" s="24">
        <f t="shared" si="22"/>
        <v>6.7000000000000002E-3</v>
      </c>
      <c r="R66" s="18">
        <f>ROUNDUP(R71*$Q$42/SUM($Q$37:$Q$44),4)</f>
        <v>6.8000000000000005E-3</v>
      </c>
      <c r="S66" s="18">
        <f t="shared" ref="S66:AD66" si="29">ROUNDUP(S71*$Q$42/SUM($Q$37:$Q$44),4)</f>
        <v>6.8999999999999999E-3</v>
      </c>
      <c r="T66" s="18">
        <f t="shared" si="29"/>
        <v>7.1000000000000004E-3</v>
      </c>
      <c r="U66" s="18">
        <f t="shared" si="29"/>
        <v>7.2000000000000007E-3</v>
      </c>
      <c r="V66" s="18">
        <f t="shared" si="29"/>
        <v>7.4000000000000003E-3</v>
      </c>
      <c r="W66" s="18">
        <f t="shared" si="29"/>
        <v>7.5000000000000006E-3</v>
      </c>
      <c r="X66" s="18">
        <f t="shared" si="29"/>
        <v>7.7000000000000002E-3</v>
      </c>
      <c r="Y66" s="18">
        <f t="shared" si="29"/>
        <v>7.899999999999999E-3</v>
      </c>
      <c r="Z66" s="18">
        <f t="shared" si="29"/>
        <v>8.0000000000000002E-3</v>
      </c>
      <c r="AA66" s="18">
        <f t="shared" si="29"/>
        <v>8.199999999999999E-3</v>
      </c>
      <c r="AB66" s="18">
        <f t="shared" si="29"/>
        <v>8.3999999999999995E-3</v>
      </c>
      <c r="AC66" s="18">
        <f t="shared" si="29"/>
        <v>8.6E-3</v>
      </c>
      <c r="AD66" s="18">
        <f t="shared" si="29"/>
        <v>8.6999999999999994E-3</v>
      </c>
    </row>
    <row r="67" spans="2:30" hidden="1" x14ac:dyDescent="0.3">
      <c r="D67" s="4" t="s">
        <v>79</v>
      </c>
      <c r="E67" s="27">
        <f t="shared" si="23"/>
        <v>-1E-4</v>
      </c>
      <c r="F67" s="20">
        <f t="shared" si="22"/>
        <v>2.0000000000000001E-4</v>
      </c>
      <c r="G67" s="18">
        <f t="shared" si="22"/>
        <v>3.0000000000000003E-4</v>
      </c>
      <c r="H67" s="20">
        <f t="shared" si="22"/>
        <v>2.8999999999999998E-3</v>
      </c>
      <c r="I67" s="18">
        <f t="shared" si="22"/>
        <v>5.5000000000000005E-3</v>
      </c>
      <c r="J67" s="20">
        <f t="shared" si="22"/>
        <v>5.5999999999999999E-3</v>
      </c>
      <c r="K67" s="18">
        <f t="shared" si="22"/>
        <v>5.7000000000000002E-3</v>
      </c>
      <c r="L67" s="20">
        <f t="shared" si="22"/>
        <v>5.4000000000000003E-3</v>
      </c>
      <c r="M67" s="18">
        <f t="shared" si="22"/>
        <v>5.0000000000000001E-3</v>
      </c>
      <c r="N67" s="24">
        <f t="shared" si="22"/>
        <v>4.3E-3</v>
      </c>
      <c r="O67" s="24">
        <f t="shared" si="22"/>
        <v>3.6999999999999997E-3</v>
      </c>
      <c r="P67" s="24">
        <f t="shared" si="22"/>
        <v>3.5999999999999999E-3</v>
      </c>
      <c r="Q67" s="24">
        <f t="shared" si="22"/>
        <v>3.0999999999999999E-3</v>
      </c>
      <c r="R67" s="18">
        <f>ROUNDUP(R71*$Q$43/SUM($Q$37:$Q$44),4)</f>
        <v>3.0999999999999999E-3</v>
      </c>
      <c r="S67" s="18">
        <f t="shared" ref="S67:AD67" si="30">ROUNDUP(S71*$Q$43/SUM($Q$37:$Q$44),4)</f>
        <v>3.1999999999999997E-3</v>
      </c>
      <c r="T67" s="18">
        <f t="shared" si="30"/>
        <v>3.1999999999999997E-3</v>
      </c>
      <c r="U67" s="18">
        <f t="shared" si="30"/>
        <v>3.3E-3</v>
      </c>
      <c r="V67" s="18">
        <f t="shared" si="30"/>
        <v>3.3999999999999998E-3</v>
      </c>
      <c r="W67" s="18">
        <f t="shared" si="30"/>
        <v>3.4999999999999996E-3</v>
      </c>
      <c r="X67" s="18">
        <f t="shared" si="30"/>
        <v>3.4999999999999996E-3</v>
      </c>
      <c r="Y67" s="18">
        <f t="shared" si="30"/>
        <v>3.5999999999999999E-3</v>
      </c>
      <c r="Z67" s="18">
        <f t="shared" si="30"/>
        <v>3.6999999999999997E-3</v>
      </c>
      <c r="AA67" s="18">
        <f t="shared" si="30"/>
        <v>3.8E-3</v>
      </c>
      <c r="AB67" s="18">
        <f t="shared" si="30"/>
        <v>3.8E-3</v>
      </c>
      <c r="AC67" s="18">
        <f t="shared" si="30"/>
        <v>3.8999999999999998E-3</v>
      </c>
      <c r="AD67" s="18">
        <f t="shared" si="30"/>
        <v>4.0000000000000001E-3</v>
      </c>
    </row>
    <row r="68" spans="2:30" hidden="1" x14ac:dyDescent="0.3">
      <c r="D68" s="4" t="s">
        <v>80</v>
      </c>
      <c r="E68" s="18">
        <f t="shared" si="23"/>
        <v>3.0000000000000003E-4</v>
      </c>
      <c r="F68" s="20">
        <f t="shared" si="22"/>
        <v>2.0000000000000001E-4</v>
      </c>
      <c r="G68" s="18">
        <f t="shared" si="22"/>
        <v>1E-4</v>
      </c>
      <c r="H68" s="20">
        <f t="shared" si="22"/>
        <v>3.0000000000000003E-4</v>
      </c>
      <c r="I68" s="18">
        <f t="shared" si="22"/>
        <v>5.0000000000000001E-4</v>
      </c>
      <c r="J68" s="20">
        <f t="shared" si="22"/>
        <v>5.0000000000000001E-4</v>
      </c>
      <c r="K68" s="18">
        <f t="shared" si="22"/>
        <v>3.9999999999999996E-4</v>
      </c>
      <c r="L68" s="20">
        <f t="shared" si="22"/>
        <v>6.9999999999999999E-4</v>
      </c>
      <c r="M68" s="18">
        <f t="shared" si="22"/>
        <v>1E-3</v>
      </c>
      <c r="N68" s="24">
        <f t="shared" si="22"/>
        <v>6.9999999999999999E-4</v>
      </c>
      <c r="O68" s="24">
        <f t="shared" si="22"/>
        <v>3.0000000000000003E-4</v>
      </c>
      <c r="P68" s="24">
        <f t="shared" si="22"/>
        <v>6.0000000000000006E-4</v>
      </c>
      <c r="Q68" s="24">
        <f t="shared" si="22"/>
        <v>2.0000000000000001E-4</v>
      </c>
      <c r="R68" s="18">
        <f>ROUNDUP(R71*$Q$44/SUM($Q$37:$Q$44),4)</f>
        <v>2.0000000000000001E-4</v>
      </c>
      <c r="S68" s="18">
        <f t="shared" ref="S68:AD68" si="31">ROUNDUP(S71*$Q$44/SUM($Q$37:$Q$44),4)</f>
        <v>2.0000000000000001E-4</v>
      </c>
      <c r="T68" s="18">
        <f t="shared" si="31"/>
        <v>2.0000000000000001E-4</v>
      </c>
      <c r="U68" s="18">
        <f t="shared" si="31"/>
        <v>2.0000000000000001E-4</v>
      </c>
      <c r="V68" s="18">
        <f t="shared" si="31"/>
        <v>2.0000000000000001E-4</v>
      </c>
      <c r="W68" s="18">
        <f t="shared" si="31"/>
        <v>2.0000000000000001E-4</v>
      </c>
      <c r="X68" s="18">
        <f t="shared" si="31"/>
        <v>2.0000000000000001E-4</v>
      </c>
      <c r="Y68" s="18">
        <f t="shared" si="31"/>
        <v>2.0000000000000001E-4</v>
      </c>
      <c r="Z68" s="18">
        <f t="shared" si="31"/>
        <v>2.0000000000000001E-4</v>
      </c>
      <c r="AA68" s="18">
        <f t="shared" si="31"/>
        <v>2.0000000000000001E-4</v>
      </c>
      <c r="AB68" s="18">
        <f t="shared" si="31"/>
        <v>2.0000000000000001E-4</v>
      </c>
      <c r="AC68" s="18">
        <f t="shared" si="31"/>
        <v>2.0000000000000001E-4</v>
      </c>
      <c r="AD68" s="18">
        <f t="shared" si="31"/>
        <v>2.0000000000000001E-4</v>
      </c>
    </row>
    <row r="69" spans="2:30" hidden="1" x14ac:dyDescent="0.3">
      <c r="D69" s="11" t="s">
        <v>81</v>
      </c>
      <c r="E69" s="21">
        <f t="shared" si="23"/>
        <v>0.215</v>
      </c>
      <c r="F69" s="21">
        <f t="shared" si="22"/>
        <v>0.25209999999999999</v>
      </c>
      <c r="G69" s="21">
        <f t="shared" si="22"/>
        <v>0.28920000000000001</v>
      </c>
      <c r="H69" s="21">
        <f t="shared" si="22"/>
        <v>0.33179999999999998</v>
      </c>
      <c r="I69" s="21">
        <f t="shared" si="22"/>
        <v>0.3745</v>
      </c>
      <c r="J69" s="21">
        <f t="shared" si="22"/>
        <v>0.42369999999999997</v>
      </c>
      <c r="K69" s="21">
        <f t="shared" si="22"/>
        <v>0.47289999999999999</v>
      </c>
      <c r="L69" s="21">
        <f t="shared" si="22"/>
        <v>0.496</v>
      </c>
      <c r="M69" s="21">
        <f t="shared" si="22"/>
        <v>0.51910000000000001</v>
      </c>
      <c r="N69" s="21">
        <f t="shared" si="22"/>
        <v>0.86109999999999998</v>
      </c>
      <c r="O69" s="21">
        <f t="shared" si="22"/>
        <v>1.2030000000000001</v>
      </c>
      <c r="P69" s="21">
        <f t="shared" si="22"/>
        <v>1.3250999999999999</v>
      </c>
      <c r="Q69" s="21">
        <f t="shared" si="22"/>
        <v>1.9576</v>
      </c>
      <c r="R69" s="22">
        <f>ROUNDUP(R45,4)</f>
        <v>1.5228999999999999</v>
      </c>
      <c r="S69" s="22">
        <f t="shared" ref="S69:AD69" si="32">ROUNDUP(S45,4)</f>
        <v>1.5228999999999999</v>
      </c>
      <c r="T69" s="22">
        <f t="shared" si="32"/>
        <v>1.5228999999999999</v>
      </c>
      <c r="U69" s="22">
        <f t="shared" si="32"/>
        <v>1.5228999999999999</v>
      </c>
      <c r="V69" s="22">
        <f t="shared" si="32"/>
        <v>1.5228999999999999</v>
      </c>
      <c r="W69" s="22">
        <f t="shared" si="32"/>
        <v>1.5228999999999999</v>
      </c>
      <c r="X69" s="22">
        <f t="shared" si="32"/>
        <v>1.5228999999999999</v>
      </c>
      <c r="Y69" s="22">
        <f t="shared" si="32"/>
        <v>1.5228999999999999</v>
      </c>
      <c r="Z69" s="22">
        <f t="shared" si="32"/>
        <v>1.5228999999999999</v>
      </c>
      <c r="AA69" s="22">
        <f t="shared" si="32"/>
        <v>1.5228999999999999</v>
      </c>
      <c r="AB69" s="22">
        <f t="shared" si="32"/>
        <v>1.5228999999999999</v>
      </c>
      <c r="AC69" s="22">
        <f t="shared" si="32"/>
        <v>1.5228999999999999</v>
      </c>
      <c r="AD69" s="22">
        <f t="shared" si="32"/>
        <v>1.5228999999999999</v>
      </c>
    </row>
    <row r="70" spans="2:30" hidden="1" x14ac:dyDescent="0.3"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2:30" hidden="1" x14ac:dyDescent="0.3">
      <c r="D71" t="s">
        <v>19</v>
      </c>
      <c r="E71" s="15">
        <f>SUM(E61:E68)</f>
        <v>0.42340000000000005</v>
      </c>
      <c r="F71" s="15">
        <f t="shared" ref="F71:Q71" si="33">SUM(F61:F68)</f>
        <v>0.52269999999999994</v>
      </c>
      <c r="G71" s="15">
        <f t="shared" si="33"/>
        <v>0.62179999999999991</v>
      </c>
      <c r="H71" s="15">
        <f t="shared" si="33"/>
        <v>0.57020000000000004</v>
      </c>
      <c r="I71" s="15">
        <f t="shared" si="33"/>
        <v>0.51839999999999997</v>
      </c>
      <c r="J71" s="15">
        <f t="shared" si="33"/>
        <v>0.53120000000000001</v>
      </c>
      <c r="K71" s="15">
        <f t="shared" si="33"/>
        <v>0.54390000000000005</v>
      </c>
      <c r="L71" s="15">
        <f t="shared" si="33"/>
        <v>0.47009999999999996</v>
      </c>
      <c r="M71" s="15">
        <f t="shared" si="33"/>
        <v>0.39580000000000004</v>
      </c>
      <c r="N71" s="15">
        <f t="shared" si="33"/>
        <v>0.33980000000000005</v>
      </c>
      <c r="O71" s="15">
        <f t="shared" si="33"/>
        <v>0.28380000000000005</v>
      </c>
      <c r="P71" s="15">
        <f t="shared" si="33"/>
        <v>0.36579999999999996</v>
      </c>
      <c r="Q71" s="15">
        <f t="shared" si="33"/>
        <v>0.4907999999999999</v>
      </c>
      <c r="R71" s="26">
        <f>$Q$31*R79</f>
        <v>0.50089210150009511</v>
      </c>
      <c r="S71" s="26">
        <f t="shared" ref="S71:AD71" si="34">$Q$31*S79</f>
        <v>0.51157846238548521</v>
      </c>
      <c r="T71" s="26">
        <f t="shared" si="34"/>
        <v>0.52251334329146604</v>
      </c>
      <c r="U71" s="26">
        <f t="shared" si="34"/>
        <v>0.53369674421803714</v>
      </c>
      <c r="V71" s="26">
        <f t="shared" si="34"/>
        <v>0.54512866516519887</v>
      </c>
      <c r="W71" s="26">
        <f t="shared" si="34"/>
        <v>0.55680910613295109</v>
      </c>
      <c r="X71" s="26">
        <f t="shared" si="34"/>
        <v>0.5686138071109984</v>
      </c>
      <c r="Y71" s="26">
        <f t="shared" si="34"/>
        <v>0.58079128811993153</v>
      </c>
      <c r="Z71" s="26">
        <f t="shared" si="34"/>
        <v>0.59321728914945504</v>
      </c>
      <c r="AA71" s="26">
        <f t="shared" si="34"/>
        <v>0.60589181019956917</v>
      </c>
      <c r="AB71" s="26">
        <f t="shared" si="34"/>
        <v>0.61893911128056889</v>
      </c>
      <c r="AC71" s="26">
        <f t="shared" si="34"/>
        <v>0.63211067237186391</v>
      </c>
      <c r="AD71" s="26">
        <f t="shared" si="34"/>
        <v>0.64565501349404453</v>
      </c>
    </row>
    <row r="72" spans="2:30" hidden="1" x14ac:dyDescent="0.3"/>
    <row r="73" spans="2:30" hidden="1" x14ac:dyDescent="0.3"/>
    <row r="74" spans="2:30" hidden="1" x14ac:dyDescent="0.3">
      <c r="E74">
        <v>2010</v>
      </c>
      <c r="F74">
        <v>2011</v>
      </c>
      <c r="G74">
        <v>2012</v>
      </c>
      <c r="H74">
        <v>2013</v>
      </c>
      <c r="I74">
        <v>2014</v>
      </c>
      <c r="J74">
        <v>2015</v>
      </c>
      <c r="K74">
        <v>2016</v>
      </c>
      <c r="L74">
        <v>2017</v>
      </c>
      <c r="M74">
        <v>2018</v>
      </c>
      <c r="N74">
        <v>2019</v>
      </c>
      <c r="O74">
        <v>2020</v>
      </c>
      <c r="P74">
        <v>2021</v>
      </c>
      <c r="Q74">
        <v>2022</v>
      </c>
      <c r="R74">
        <v>2023</v>
      </c>
      <c r="S74">
        <v>2024</v>
      </c>
      <c r="T74">
        <v>2025</v>
      </c>
      <c r="U74">
        <v>2026</v>
      </c>
      <c r="V74">
        <v>2027</v>
      </c>
      <c r="W74">
        <v>2028</v>
      </c>
      <c r="X74">
        <v>2029</v>
      </c>
      <c r="Y74">
        <v>2030</v>
      </c>
      <c r="Z74">
        <v>2031</v>
      </c>
      <c r="AA74">
        <v>2032</v>
      </c>
      <c r="AB74">
        <v>2033</v>
      </c>
      <c r="AC74">
        <v>2034</v>
      </c>
      <c r="AD74">
        <v>2035</v>
      </c>
    </row>
    <row r="75" spans="2:30" hidden="1" x14ac:dyDescent="0.3">
      <c r="B75" t="s">
        <v>84</v>
      </c>
      <c r="C75" t="s">
        <v>64</v>
      </c>
      <c r="D75" s="16" t="s">
        <v>19</v>
      </c>
      <c r="E75" s="19">
        <v>423.4</v>
      </c>
      <c r="F75" s="19">
        <v>522.5</v>
      </c>
      <c r="G75" s="19">
        <v>621.6</v>
      </c>
      <c r="H75" s="19">
        <v>569.9</v>
      </c>
      <c r="I75" s="19">
        <v>518.20000000000005</v>
      </c>
      <c r="J75" s="19">
        <v>530.9</v>
      </c>
      <c r="K75" s="19">
        <v>543.70000000000005</v>
      </c>
      <c r="L75" s="19">
        <v>469.4</v>
      </c>
      <c r="M75" s="19">
        <v>395.1</v>
      </c>
      <c r="N75" s="19">
        <v>397.5</v>
      </c>
      <c r="O75" s="19">
        <v>374.8</v>
      </c>
      <c r="P75" s="19">
        <v>386.4</v>
      </c>
      <c r="Q75" s="19">
        <v>394.6</v>
      </c>
      <c r="R75" s="17">
        <v>403.1</v>
      </c>
      <c r="S75" s="17">
        <v>411.7</v>
      </c>
      <c r="T75" s="17">
        <v>420.5</v>
      </c>
      <c r="U75" s="17">
        <v>429.5</v>
      </c>
      <c r="V75" s="17">
        <v>438.7</v>
      </c>
      <c r="W75" s="17">
        <v>448.1</v>
      </c>
      <c r="X75" s="17">
        <v>457.6</v>
      </c>
      <c r="Y75" s="17">
        <v>467.4</v>
      </c>
      <c r="Z75" s="17">
        <v>477.4</v>
      </c>
      <c r="AA75" s="17">
        <v>487.6</v>
      </c>
      <c r="AB75" s="17">
        <v>498.1</v>
      </c>
      <c r="AC75" s="17">
        <v>508.7</v>
      </c>
      <c r="AD75" s="17">
        <v>519.6</v>
      </c>
    </row>
    <row r="76" spans="2:30" hidden="1" x14ac:dyDescent="0.3">
      <c r="C76" t="s">
        <v>67</v>
      </c>
      <c r="D76" s="16" t="s">
        <v>19</v>
      </c>
      <c r="E76" s="20">
        <f>E75/1000</f>
        <v>0.4234</v>
      </c>
      <c r="F76" s="20">
        <f t="shared" ref="F76" si="35">F75/1000</f>
        <v>0.52249999999999996</v>
      </c>
      <c r="G76" s="20">
        <f t="shared" ref="G76" si="36">G75/1000</f>
        <v>0.62160000000000004</v>
      </c>
      <c r="H76" s="20">
        <f t="shared" ref="H76" si="37">H75/1000</f>
        <v>0.56989999999999996</v>
      </c>
      <c r="I76" s="20">
        <f t="shared" ref="I76" si="38">I75/1000</f>
        <v>0.51819999999999999</v>
      </c>
      <c r="J76" s="20">
        <f t="shared" ref="J76" si="39">J75/1000</f>
        <v>0.53089999999999993</v>
      </c>
      <c r="K76" s="20">
        <f t="shared" ref="K76" si="40">K75/1000</f>
        <v>0.54370000000000007</v>
      </c>
      <c r="L76" s="20">
        <f t="shared" ref="L76" si="41">L75/1000</f>
        <v>0.46939999999999998</v>
      </c>
      <c r="M76" s="20">
        <f t="shared" ref="M76" si="42">M75/1000</f>
        <v>0.39510000000000001</v>
      </c>
      <c r="N76" s="20">
        <f t="shared" ref="N76" si="43">N75/1000</f>
        <v>0.39750000000000002</v>
      </c>
      <c r="O76" s="20">
        <f t="shared" ref="O76" si="44">O75/1000</f>
        <v>0.37480000000000002</v>
      </c>
      <c r="P76" s="20">
        <f t="shared" ref="P76" si="45">P75/1000</f>
        <v>0.38639999999999997</v>
      </c>
      <c r="Q76" s="20">
        <f t="shared" ref="Q76" si="46">Q75/1000</f>
        <v>0.39460000000000001</v>
      </c>
      <c r="R76" s="18">
        <f t="shared" ref="R76" si="47">R75/1000</f>
        <v>0.40310000000000001</v>
      </c>
      <c r="S76" s="18">
        <f t="shared" ref="S76" si="48">S75/1000</f>
        <v>0.41170000000000001</v>
      </c>
      <c r="T76" s="18">
        <f t="shared" ref="T76" si="49">T75/1000</f>
        <v>0.42049999999999998</v>
      </c>
      <c r="U76" s="18">
        <f t="shared" ref="U76" si="50">U75/1000</f>
        <v>0.42949999999999999</v>
      </c>
      <c r="V76" s="18">
        <f t="shared" ref="V76" si="51">V75/1000</f>
        <v>0.43869999999999998</v>
      </c>
      <c r="W76" s="18">
        <f t="shared" ref="W76" si="52">W75/1000</f>
        <v>0.4481</v>
      </c>
      <c r="X76" s="18">
        <f t="shared" ref="X76" si="53">X75/1000</f>
        <v>0.45760000000000001</v>
      </c>
      <c r="Y76" s="18">
        <f t="shared" ref="Y76" si="54">Y75/1000</f>
        <v>0.46739999999999998</v>
      </c>
      <c r="Z76" s="18">
        <f t="shared" ref="Z76" si="55">Z75/1000</f>
        <v>0.47739999999999999</v>
      </c>
      <c r="AA76" s="18">
        <f t="shared" ref="AA76" si="56">AA75/1000</f>
        <v>0.48760000000000003</v>
      </c>
      <c r="AB76" s="18">
        <f t="shared" ref="AB76" si="57">AB75/1000</f>
        <v>0.49810000000000004</v>
      </c>
      <c r="AC76" s="18">
        <f t="shared" ref="AC76" si="58">AC75/1000</f>
        <v>0.50870000000000004</v>
      </c>
      <c r="AD76" s="18">
        <f t="shared" ref="AD76" si="59">AD75/1000</f>
        <v>0.51960000000000006</v>
      </c>
    </row>
    <row r="77" spans="2:30" hidden="1" x14ac:dyDescent="0.3"/>
    <row r="78" spans="2:30" hidden="1" x14ac:dyDescent="0.3"/>
    <row r="79" spans="2:30" hidden="1" x14ac:dyDescent="0.3">
      <c r="B79" t="s">
        <v>85</v>
      </c>
      <c r="Q79">
        <f>Q75/$Q$51</f>
        <v>1</v>
      </c>
      <c r="R79" s="26">
        <f>R75/$Q$51</f>
        <v>1.0215408008109479</v>
      </c>
      <c r="S79" s="26">
        <f t="shared" ref="S79:AD79" si="60">S75/$Q$51</f>
        <v>1.0433350228079066</v>
      </c>
      <c r="T79" s="26">
        <f t="shared" si="60"/>
        <v>1.065636087176888</v>
      </c>
      <c r="U79" s="26">
        <f t="shared" si="60"/>
        <v>1.0884439939178914</v>
      </c>
      <c r="V79" s="26">
        <f t="shared" si="60"/>
        <v>1.1117587430309173</v>
      </c>
      <c r="W79" s="26">
        <f t="shared" si="60"/>
        <v>1.1355803345159656</v>
      </c>
      <c r="X79" s="26">
        <f t="shared" si="60"/>
        <v>1.1596553471870248</v>
      </c>
      <c r="Y79" s="26">
        <f t="shared" si="60"/>
        <v>1.1844906234161174</v>
      </c>
      <c r="Z79" s="26">
        <f t="shared" si="60"/>
        <v>1.2098327420172326</v>
      </c>
      <c r="AA79" s="26">
        <f t="shared" si="60"/>
        <v>1.2356817029903699</v>
      </c>
      <c r="AB79" s="26">
        <f t="shared" si="60"/>
        <v>1.2622909275215408</v>
      </c>
      <c r="AC79" s="26">
        <f t="shared" si="60"/>
        <v>1.2891535732387227</v>
      </c>
      <c r="AD79" s="26">
        <f t="shared" si="60"/>
        <v>1.3167764825139381</v>
      </c>
    </row>
    <row r="80" spans="2:30" hidden="1" x14ac:dyDescent="0.3"/>
    <row r="81" spans="2:30" s="25" customFormat="1" ht="15" hidden="1" thickBot="1" x14ac:dyDescent="0.35"/>
    <row r="82" spans="2:30" hidden="1" x14ac:dyDescent="0.3"/>
    <row r="83" spans="2:30" hidden="1" x14ac:dyDescent="0.3">
      <c r="B83" t="s">
        <v>67</v>
      </c>
      <c r="D83" s="1" t="s">
        <v>71</v>
      </c>
      <c r="E83" s="6">
        <v>2010</v>
      </c>
      <c r="F83" s="5">
        <v>2011</v>
      </c>
      <c r="G83" s="6">
        <v>2012</v>
      </c>
      <c r="H83" s="5">
        <v>2013</v>
      </c>
      <c r="I83" s="6">
        <v>2014</v>
      </c>
      <c r="J83" s="5">
        <v>2015</v>
      </c>
      <c r="K83" s="6">
        <v>2016</v>
      </c>
      <c r="L83" s="5">
        <v>2017</v>
      </c>
      <c r="M83" s="6">
        <v>2018</v>
      </c>
      <c r="N83" s="1">
        <v>2019</v>
      </c>
      <c r="O83" s="1">
        <v>2020</v>
      </c>
      <c r="P83" s="1">
        <v>2021</v>
      </c>
      <c r="Q83" s="1">
        <v>2022</v>
      </c>
      <c r="R83" s="1">
        <v>2023</v>
      </c>
      <c r="S83" s="1">
        <v>2024</v>
      </c>
      <c r="T83" s="1">
        <v>2025</v>
      </c>
      <c r="U83" s="1">
        <v>2026</v>
      </c>
      <c r="V83" s="1">
        <v>2027</v>
      </c>
      <c r="W83" s="1">
        <v>2028</v>
      </c>
      <c r="X83" s="1">
        <v>2029</v>
      </c>
      <c r="Y83" s="1">
        <v>2030</v>
      </c>
      <c r="Z83" s="1">
        <v>2031</v>
      </c>
      <c r="AA83" s="1">
        <v>2032</v>
      </c>
      <c r="AB83" s="1">
        <v>2033</v>
      </c>
      <c r="AC83" s="1">
        <v>2034</v>
      </c>
      <c r="AD83" s="1">
        <v>2035</v>
      </c>
    </row>
    <row r="84" spans="2:30" hidden="1" x14ac:dyDescent="0.3">
      <c r="B84" s="78" t="s">
        <v>87</v>
      </c>
      <c r="D84" s="9" t="s">
        <v>72</v>
      </c>
      <c r="E84" s="21">
        <f>ROUNDDOWN(E20,4)</f>
        <v>1.7819</v>
      </c>
      <c r="F84" s="21"/>
      <c r="G84" s="21">
        <f t="shared" ref="G84:Q84" si="61">ROUNDDOWN(G20,4)</f>
        <v>1.7876000000000001</v>
      </c>
      <c r="H84" s="21"/>
      <c r="I84" s="21">
        <f t="shared" si="61"/>
        <v>1.8848</v>
      </c>
      <c r="J84" s="21"/>
      <c r="K84" s="21">
        <f t="shared" si="61"/>
        <v>1.7506999999999999</v>
      </c>
      <c r="L84" s="21"/>
      <c r="M84" s="21">
        <f t="shared" si="61"/>
        <v>2.0289999999999999</v>
      </c>
      <c r="N84" s="21">
        <f t="shared" si="61"/>
        <v>0</v>
      </c>
      <c r="O84" s="21">
        <f t="shared" si="61"/>
        <v>1.3478000000000001</v>
      </c>
      <c r="P84" s="21">
        <f t="shared" si="61"/>
        <v>1.9648000000000001</v>
      </c>
      <c r="Q84" s="21">
        <f t="shared" si="61"/>
        <v>1.7978000000000001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2:30" hidden="1" x14ac:dyDescent="0.3">
      <c r="D85" s="2" t="s">
        <v>73</v>
      </c>
      <c r="E85" s="18">
        <f t="shared" ref="E85:Q93" si="62">ROUNDDOWN(E21,4)</f>
        <v>6.6400000000000001E-2</v>
      </c>
      <c r="F85" s="20">
        <f t="shared" si="62"/>
        <v>6.9099999999999995E-2</v>
      </c>
      <c r="G85" s="18">
        <f t="shared" si="62"/>
        <v>7.1800000000000003E-2</v>
      </c>
      <c r="H85" s="20">
        <f t="shared" si="62"/>
        <v>7.4200000000000002E-2</v>
      </c>
      <c r="I85" s="18">
        <f t="shared" si="62"/>
        <v>7.6600000000000001E-2</v>
      </c>
      <c r="J85" s="20">
        <f t="shared" si="62"/>
        <v>8.5099999999999995E-2</v>
      </c>
      <c r="K85" s="18">
        <f t="shared" si="62"/>
        <v>9.3700000000000006E-2</v>
      </c>
      <c r="L85" s="20">
        <f t="shared" si="62"/>
        <v>0.1004</v>
      </c>
      <c r="M85" s="18">
        <f t="shared" si="62"/>
        <v>0.1071</v>
      </c>
      <c r="N85" s="24">
        <f t="shared" si="62"/>
        <v>0.1143</v>
      </c>
      <c r="O85" s="24">
        <f t="shared" si="62"/>
        <v>0.1215</v>
      </c>
      <c r="P85" s="24">
        <f t="shared" si="62"/>
        <v>0.2198</v>
      </c>
      <c r="Q85" s="24">
        <f t="shared" si="62"/>
        <v>0.17899999999999999</v>
      </c>
      <c r="R85" s="18">
        <f>ROUNDDOWN(R95*$Q$37/SUM($Q$37:$Q$44),4)</f>
        <v>0.18290000000000001</v>
      </c>
      <c r="S85" s="18">
        <f t="shared" ref="S85:AD85" si="63">ROUNDDOWN(S95*$Q$37/SUM($Q$37:$Q$44),4)</f>
        <v>0.18679999999999999</v>
      </c>
      <c r="T85" s="18">
        <f t="shared" si="63"/>
        <v>0.1908</v>
      </c>
      <c r="U85" s="18">
        <f t="shared" si="63"/>
        <v>0.19489999999999999</v>
      </c>
      <c r="V85" s="18">
        <f t="shared" si="63"/>
        <v>0.19900000000000001</v>
      </c>
      <c r="W85" s="18">
        <f t="shared" si="63"/>
        <v>0.20330000000000001</v>
      </c>
      <c r="X85" s="18">
        <f t="shared" si="63"/>
        <v>0.20760000000000001</v>
      </c>
      <c r="Y85" s="18">
        <f t="shared" si="63"/>
        <v>0.21210000000000001</v>
      </c>
      <c r="Z85" s="18">
        <f t="shared" si="63"/>
        <v>0.21659999999999999</v>
      </c>
      <c r="AA85" s="18">
        <f t="shared" si="63"/>
        <v>0.22120000000000001</v>
      </c>
      <c r="AB85" s="18">
        <f t="shared" si="63"/>
        <v>0.22600000000000001</v>
      </c>
      <c r="AC85" s="18">
        <f t="shared" si="63"/>
        <v>0.23080000000000001</v>
      </c>
      <c r="AD85" s="18">
        <f t="shared" si="63"/>
        <v>0.23580000000000001</v>
      </c>
    </row>
    <row r="86" spans="2:30" hidden="1" x14ac:dyDescent="0.3">
      <c r="D86" s="2" t="s">
        <v>74</v>
      </c>
      <c r="E86" s="18">
        <f t="shared" si="62"/>
        <v>7.4999999999999997E-3</v>
      </c>
      <c r="F86" s="20">
        <f t="shared" si="62"/>
        <v>9.1000000000000004E-3</v>
      </c>
      <c r="G86" s="18">
        <f t="shared" si="62"/>
        <v>1.0800000000000001E-2</v>
      </c>
      <c r="H86" s="20">
        <f t="shared" si="62"/>
        <v>1.2500000000000001E-2</v>
      </c>
      <c r="I86" s="18">
        <f t="shared" si="62"/>
        <v>1.43E-2</v>
      </c>
      <c r="J86" s="20">
        <f t="shared" si="62"/>
        <v>1.2500000000000001E-2</v>
      </c>
      <c r="K86" s="18">
        <f t="shared" si="62"/>
        <v>1.0699999999999999E-2</v>
      </c>
      <c r="L86" s="20">
        <f t="shared" si="62"/>
        <v>1.24E-2</v>
      </c>
      <c r="M86" s="18">
        <f t="shared" si="62"/>
        <v>1.41E-2</v>
      </c>
      <c r="N86" s="24">
        <f t="shared" si="62"/>
        <v>9.4000000000000004E-3</v>
      </c>
      <c r="O86" s="24">
        <f t="shared" si="62"/>
        <v>4.7000000000000002E-3</v>
      </c>
      <c r="P86" s="24">
        <f t="shared" si="62"/>
        <v>8.8999999999999999E-3</v>
      </c>
      <c r="Q86" s="24">
        <f t="shared" si="62"/>
        <v>8.0999999999999996E-3</v>
      </c>
      <c r="R86" s="18">
        <f>ROUNDDOWN(R95*$Q$38/SUM($Q$37:$Q$44),4)</f>
        <v>8.2000000000000007E-3</v>
      </c>
      <c r="S86" s="18">
        <f t="shared" ref="S86:AD86" si="64">ROUNDDOWN(S95*$Q$38/SUM($Q$37:$Q$44),4)</f>
        <v>8.3999999999999995E-3</v>
      </c>
      <c r="T86" s="18">
        <f t="shared" si="64"/>
        <v>8.6E-3</v>
      </c>
      <c r="U86" s="18">
        <f t="shared" si="64"/>
        <v>8.8000000000000005E-3</v>
      </c>
      <c r="V86" s="18">
        <f t="shared" si="64"/>
        <v>8.9999999999999993E-3</v>
      </c>
      <c r="W86" s="18">
        <f t="shared" si="64"/>
        <v>9.1000000000000004E-3</v>
      </c>
      <c r="X86" s="18">
        <f t="shared" si="64"/>
        <v>9.2999999999999992E-3</v>
      </c>
      <c r="Y86" s="18">
        <f t="shared" si="64"/>
        <v>9.4999999999999998E-3</v>
      </c>
      <c r="Z86" s="18">
        <f t="shared" si="64"/>
        <v>9.7000000000000003E-3</v>
      </c>
      <c r="AA86" s="18">
        <f t="shared" si="64"/>
        <v>0.01</v>
      </c>
      <c r="AB86" s="18">
        <f t="shared" si="64"/>
        <v>1.0200000000000001E-2</v>
      </c>
      <c r="AC86" s="18">
        <f t="shared" si="64"/>
        <v>1.04E-2</v>
      </c>
      <c r="AD86" s="18">
        <f t="shared" si="64"/>
        <v>1.06E-2</v>
      </c>
    </row>
    <row r="87" spans="2:30" hidden="1" x14ac:dyDescent="0.3">
      <c r="D87" s="2" t="s">
        <v>75</v>
      </c>
      <c r="E87" s="18">
        <f t="shared" si="62"/>
        <v>0.318</v>
      </c>
      <c r="F87" s="20">
        <f t="shared" si="62"/>
        <v>0.40960000000000002</v>
      </c>
      <c r="G87" s="18">
        <f t="shared" si="62"/>
        <v>0.50119999999999998</v>
      </c>
      <c r="H87" s="20">
        <f t="shared" si="62"/>
        <v>0.44</v>
      </c>
      <c r="I87" s="18">
        <f t="shared" si="62"/>
        <v>0.37890000000000001</v>
      </c>
      <c r="J87" s="20">
        <f t="shared" si="62"/>
        <v>0.38300000000000001</v>
      </c>
      <c r="K87" s="18">
        <f t="shared" si="62"/>
        <v>0.3871</v>
      </c>
      <c r="L87" s="20">
        <f t="shared" si="62"/>
        <v>0.29599999999999999</v>
      </c>
      <c r="M87" s="18">
        <f t="shared" si="62"/>
        <v>0.2049</v>
      </c>
      <c r="N87" s="24">
        <f t="shared" si="62"/>
        <v>0.15210000000000001</v>
      </c>
      <c r="O87" s="24">
        <f t="shared" si="62"/>
        <v>9.9400000000000002E-2</v>
      </c>
      <c r="P87" s="24">
        <f t="shared" si="62"/>
        <v>4.4499999999999998E-2</v>
      </c>
      <c r="Q87" s="24">
        <f t="shared" si="62"/>
        <v>0.21160000000000001</v>
      </c>
      <c r="R87" s="18">
        <f>ROUNDDOWN(R95*$Q$39/SUM($Q$37:$Q$44),4)</f>
        <v>0.2162</v>
      </c>
      <c r="S87" s="18">
        <f t="shared" ref="S87:AD87" si="65">ROUNDDOWN(S95*$Q$39/SUM($Q$37:$Q$44),4)</f>
        <v>0.2208</v>
      </c>
      <c r="T87" s="18">
        <f t="shared" si="65"/>
        <v>0.22550000000000001</v>
      </c>
      <c r="U87" s="18">
        <f t="shared" si="65"/>
        <v>0.2303</v>
      </c>
      <c r="V87" s="18">
        <f t="shared" si="65"/>
        <v>0.23530000000000001</v>
      </c>
      <c r="W87" s="18">
        <f t="shared" si="65"/>
        <v>0.24030000000000001</v>
      </c>
      <c r="X87" s="18">
        <f t="shared" si="65"/>
        <v>0.24540000000000001</v>
      </c>
      <c r="Y87" s="18">
        <f t="shared" si="65"/>
        <v>0.25069999999999998</v>
      </c>
      <c r="Z87" s="18">
        <f t="shared" si="65"/>
        <v>0.25600000000000001</v>
      </c>
      <c r="AA87" s="18">
        <f t="shared" si="65"/>
        <v>0.26150000000000001</v>
      </c>
      <c r="AB87" s="18">
        <f t="shared" si="65"/>
        <v>0.2671</v>
      </c>
      <c r="AC87" s="18">
        <f t="shared" si="65"/>
        <v>0.27279999999999999</v>
      </c>
      <c r="AD87" s="18">
        <f t="shared" si="65"/>
        <v>0.2787</v>
      </c>
    </row>
    <row r="88" spans="2:30" hidden="1" x14ac:dyDescent="0.3">
      <c r="D88" s="2" t="s">
        <v>76</v>
      </c>
      <c r="E88" s="18">
        <f t="shared" si="62"/>
        <v>0</v>
      </c>
      <c r="F88" s="20">
        <f t="shared" si="62"/>
        <v>8.0000000000000004E-4</v>
      </c>
      <c r="G88" s="18">
        <f t="shared" si="62"/>
        <v>1.6999999999999999E-3</v>
      </c>
      <c r="H88" s="20">
        <f t="shared" si="62"/>
        <v>1.6999999999999999E-3</v>
      </c>
      <c r="I88" s="18">
        <f t="shared" si="62"/>
        <v>1.8E-3</v>
      </c>
      <c r="J88" s="20">
        <f t="shared" si="62"/>
        <v>8.9999999999999998E-4</v>
      </c>
      <c r="K88" s="18">
        <f t="shared" si="62"/>
        <v>0</v>
      </c>
      <c r="L88" s="20">
        <f t="shared" si="62"/>
        <v>1.5E-3</v>
      </c>
      <c r="M88" s="18">
        <f t="shared" si="62"/>
        <v>3.0000000000000001E-3</v>
      </c>
      <c r="N88" s="24">
        <f t="shared" si="62"/>
        <v>5.7000000000000002E-3</v>
      </c>
      <c r="O88" s="24">
        <f t="shared" si="62"/>
        <v>8.3999999999999995E-3</v>
      </c>
      <c r="P88" s="24">
        <f t="shared" si="62"/>
        <v>1.1999999999999999E-3</v>
      </c>
      <c r="Q88" s="24">
        <f t="shared" si="62"/>
        <v>1.6000000000000001E-3</v>
      </c>
      <c r="R88" s="18">
        <f>ROUNDDOWN(R95*$Q$40/SUM($Q$37:$Q$44),4)</f>
        <v>1.6999999999999999E-3</v>
      </c>
      <c r="S88" s="18">
        <f t="shared" ref="S88:AD88" si="66">ROUNDDOWN(S95*$Q$40/SUM($Q$37:$Q$44),4)</f>
        <v>1.6999999999999999E-3</v>
      </c>
      <c r="T88" s="18">
        <f t="shared" si="66"/>
        <v>1.8E-3</v>
      </c>
      <c r="U88" s="18">
        <f t="shared" si="66"/>
        <v>1.8E-3</v>
      </c>
      <c r="V88" s="18">
        <f t="shared" si="66"/>
        <v>1.8E-3</v>
      </c>
      <c r="W88" s="18">
        <f t="shared" si="66"/>
        <v>1.9E-3</v>
      </c>
      <c r="X88" s="18">
        <f t="shared" si="66"/>
        <v>1.9E-3</v>
      </c>
      <c r="Y88" s="18">
        <f t="shared" si="66"/>
        <v>2E-3</v>
      </c>
      <c r="Z88" s="18">
        <f t="shared" si="66"/>
        <v>2E-3</v>
      </c>
      <c r="AA88" s="18">
        <f t="shared" si="66"/>
        <v>2.0999999999999999E-3</v>
      </c>
      <c r="AB88" s="18">
        <f t="shared" si="66"/>
        <v>2.0999999999999999E-3</v>
      </c>
      <c r="AC88" s="18">
        <f t="shared" si="66"/>
        <v>2.0999999999999999E-3</v>
      </c>
      <c r="AD88" s="18">
        <f t="shared" si="66"/>
        <v>2.2000000000000001E-3</v>
      </c>
    </row>
    <row r="89" spans="2:30" hidden="1" x14ac:dyDescent="0.3">
      <c r="D89" s="2" t="s">
        <v>77</v>
      </c>
      <c r="E89" s="18">
        <f t="shared" si="62"/>
        <v>2.9700000000000001E-2</v>
      </c>
      <c r="F89" s="20">
        <f t="shared" si="62"/>
        <v>3.1600000000000003E-2</v>
      </c>
      <c r="G89" s="18">
        <f t="shared" si="62"/>
        <v>3.3599999999999998E-2</v>
      </c>
      <c r="H89" s="20">
        <f t="shared" si="62"/>
        <v>3.5700000000000003E-2</v>
      </c>
      <c r="I89" s="18">
        <f t="shared" si="62"/>
        <v>3.78E-2</v>
      </c>
      <c r="J89" s="20">
        <f t="shared" si="62"/>
        <v>4.0300000000000002E-2</v>
      </c>
      <c r="K89" s="18">
        <f t="shared" si="62"/>
        <v>4.2799999999999998E-2</v>
      </c>
      <c r="L89" s="20">
        <f t="shared" si="62"/>
        <v>4.9599999999999998E-2</v>
      </c>
      <c r="M89" s="18">
        <f t="shared" si="62"/>
        <v>5.6399999999999999E-2</v>
      </c>
      <c r="N89" s="24">
        <f t="shared" si="62"/>
        <v>4.58E-2</v>
      </c>
      <c r="O89" s="24">
        <f t="shared" si="62"/>
        <v>3.5299999999999998E-2</v>
      </c>
      <c r="P89" s="24">
        <f t="shared" si="62"/>
        <v>7.7899999999999997E-2</v>
      </c>
      <c r="Q89" s="24">
        <f t="shared" si="62"/>
        <v>0.08</v>
      </c>
      <c r="R89" s="18">
        <f>ROUNDDOWN(R95*$Q$41/SUM($Q$37:$Q$44),4)</f>
        <v>8.1799999999999998E-2</v>
      </c>
      <c r="S89" s="18">
        <f t="shared" ref="S89:AD89" si="67">ROUNDDOWN(S95*$Q$41/SUM($Q$37:$Q$44),4)</f>
        <v>8.3500000000000005E-2</v>
      </c>
      <c r="T89" s="18">
        <f t="shared" si="67"/>
        <v>8.5300000000000001E-2</v>
      </c>
      <c r="U89" s="18">
        <f t="shared" si="67"/>
        <v>8.7099999999999997E-2</v>
      </c>
      <c r="V89" s="18">
        <f t="shared" si="67"/>
        <v>8.8999999999999996E-2</v>
      </c>
      <c r="W89" s="18">
        <f t="shared" si="67"/>
        <v>9.0899999999999995E-2</v>
      </c>
      <c r="X89" s="18">
        <f t="shared" si="67"/>
        <v>9.2799999999999994E-2</v>
      </c>
      <c r="Y89" s="18">
        <f t="shared" si="67"/>
        <v>9.4799999999999995E-2</v>
      </c>
      <c r="Z89" s="18">
        <f t="shared" si="67"/>
        <v>9.6799999999999997E-2</v>
      </c>
      <c r="AA89" s="18">
        <f t="shared" si="67"/>
        <v>9.8900000000000002E-2</v>
      </c>
      <c r="AB89" s="18">
        <f t="shared" si="67"/>
        <v>0.10100000000000001</v>
      </c>
      <c r="AC89" s="18">
        <f t="shared" si="67"/>
        <v>0.1032</v>
      </c>
      <c r="AD89" s="18">
        <f t="shared" si="67"/>
        <v>0.10539999999999999</v>
      </c>
    </row>
    <row r="90" spans="2:30" hidden="1" x14ac:dyDescent="0.3">
      <c r="D90" s="2" t="s">
        <v>78</v>
      </c>
      <c r="E90" s="18">
        <f t="shared" si="62"/>
        <v>1.1999999999999999E-3</v>
      </c>
      <c r="F90" s="20">
        <f t="shared" si="62"/>
        <v>1.5E-3</v>
      </c>
      <c r="G90" s="18">
        <f t="shared" si="62"/>
        <v>1.8E-3</v>
      </c>
      <c r="H90" s="20">
        <f t="shared" si="62"/>
        <v>2.3E-3</v>
      </c>
      <c r="I90" s="18">
        <f t="shared" si="62"/>
        <v>2.7000000000000001E-3</v>
      </c>
      <c r="J90" s="20">
        <f t="shared" si="62"/>
        <v>2.8E-3</v>
      </c>
      <c r="K90" s="18">
        <f t="shared" si="62"/>
        <v>3.0000000000000001E-3</v>
      </c>
      <c r="L90" s="20">
        <f t="shared" si="62"/>
        <v>3.5000000000000001E-3</v>
      </c>
      <c r="M90" s="18">
        <f t="shared" si="62"/>
        <v>4.0000000000000001E-3</v>
      </c>
      <c r="N90" s="24">
        <f t="shared" si="62"/>
        <v>6.8999999999999999E-3</v>
      </c>
      <c r="O90" s="24">
        <f t="shared" si="62"/>
        <v>9.9000000000000008E-3</v>
      </c>
      <c r="P90" s="24">
        <f t="shared" si="62"/>
        <v>8.6999999999999994E-3</v>
      </c>
      <c r="Q90" s="24">
        <f t="shared" si="62"/>
        <v>6.6E-3</v>
      </c>
      <c r="R90" s="18">
        <f>ROUNDDOWN(R95*$Q$42/SUM($Q$37:$Q$44),4)</f>
        <v>6.7000000000000002E-3</v>
      </c>
      <c r="S90" s="18">
        <f t="shared" ref="S90:AD90" si="68">ROUNDDOWN(S95*$Q$42/SUM($Q$37:$Q$44),4)</f>
        <v>6.7999999999999996E-3</v>
      </c>
      <c r="T90" s="18">
        <f t="shared" si="68"/>
        <v>7.0000000000000001E-3</v>
      </c>
      <c r="U90" s="18">
        <f t="shared" si="68"/>
        <v>7.1000000000000004E-3</v>
      </c>
      <c r="V90" s="18">
        <f t="shared" si="68"/>
        <v>7.3000000000000001E-3</v>
      </c>
      <c r="W90" s="18">
        <f t="shared" si="68"/>
        <v>7.4000000000000003E-3</v>
      </c>
      <c r="X90" s="18">
        <f t="shared" si="68"/>
        <v>7.6E-3</v>
      </c>
      <c r="Y90" s="18">
        <f t="shared" si="68"/>
        <v>7.7999999999999996E-3</v>
      </c>
      <c r="Z90" s="18">
        <f t="shared" si="68"/>
        <v>7.9000000000000008E-3</v>
      </c>
      <c r="AA90" s="18">
        <f t="shared" si="68"/>
        <v>8.0999999999999996E-3</v>
      </c>
      <c r="AB90" s="18">
        <f t="shared" si="68"/>
        <v>8.3000000000000001E-3</v>
      </c>
      <c r="AC90" s="18">
        <f t="shared" si="68"/>
        <v>8.5000000000000006E-3</v>
      </c>
      <c r="AD90" s="18">
        <f t="shared" si="68"/>
        <v>8.6E-3</v>
      </c>
    </row>
    <row r="91" spans="2:30" hidden="1" x14ac:dyDescent="0.3">
      <c r="D91" s="4" t="s">
        <v>79</v>
      </c>
      <c r="E91" s="27">
        <f t="shared" si="62"/>
        <v>0</v>
      </c>
      <c r="F91" s="20">
        <f t="shared" si="62"/>
        <v>1E-4</v>
      </c>
      <c r="G91" s="18">
        <f t="shared" si="62"/>
        <v>2.0000000000000001E-4</v>
      </c>
      <c r="H91" s="20">
        <f t="shared" si="62"/>
        <v>2.8E-3</v>
      </c>
      <c r="I91" s="18">
        <f t="shared" si="62"/>
        <v>5.4000000000000003E-3</v>
      </c>
      <c r="J91" s="20">
        <f t="shared" si="62"/>
        <v>5.4999999999999997E-3</v>
      </c>
      <c r="K91" s="18">
        <f t="shared" si="62"/>
        <v>5.5999999999999999E-3</v>
      </c>
      <c r="L91" s="20">
        <f t="shared" si="62"/>
        <v>5.3E-3</v>
      </c>
      <c r="M91" s="18">
        <f t="shared" si="62"/>
        <v>4.8999999999999998E-3</v>
      </c>
      <c r="N91" s="24">
        <f t="shared" si="62"/>
        <v>4.1999999999999997E-3</v>
      </c>
      <c r="O91" s="24">
        <f t="shared" si="62"/>
        <v>3.5999999999999999E-3</v>
      </c>
      <c r="P91" s="24">
        <f t="shared" si="62"/>
        <v>3.5000000000000001E-3</v>
      </c>
      <c r="Q91" s="24">
        <f t="shared" si="62"/>
        <v>3.0000000000000001E-3</v>
      </c>
      <c r="R91" s="18">
        <f>ROUNDDOWN(R95*$Q$43/SUM($Q$37:$Q$44),4)</f>
        <v>3.0000000000000001E-3</v>
      </c>
      <c r="S91" s="18">
        <f t="shared" ref="S91:AD91" si="69">ROUNDDOWN(S95*$Q$43/SUM($Q$37:$Q$44),4)</f>
        <v>3.0999999999999999E-3</v>
      </c>
      <c r="T91" s="18">
        <f t="shared" si="69"/>
        <v>3.0999999999999999E-3</v>
      </c>
      <c r="U91" s="18">
        <f t="shared" si="69"/>
        <v>3.2000000000000002E-3</v>
      </c>
      <c r="V91" s="18">
        <f t="shared" si="69"/>
        <v>3.3E-3</v>
      </c>
      <c r="W91" s="18">
        <f t="shared" si="69"/>
        <v>3.3999999999999998E-3</v>
      </c>
      <c r="X91" s="18">
        <f t="shared" si="69"/>
        <v>3.3999999999999998E-3</v>
      </c>
      <c r="Y91" s="18">
        <f t="shared" si="69"/>
        <v>3.5000000000000001E-3</v>
      </c>
      <c r="Z91" s="18">
        <f t="shared" si="69"/>
        <v>3.5999999999999999E-3</v>
      </c>
      <c r="AA91" s="18">
        <f t="shared" si="69"/>
        <v>3.7000000000000002E-3</v>
      </c>
      <c r="AB91" s="18">
        <f t="shared" si="69"/>
        <v>3.7000000000000002E-3</v>
      </c>
      <c r="AC91" s="18">
        <f t="shared" si="69"/>
        <v>3.8E-3</v>
      </c>
      <c r="AD91" s="18">
        <f t="shared" si="69"/>
        <v>3.8999999999999998E-3</v>
      </c>
    </row>
    <row r="92" spans="2:30" hidden="1" x14ac:dyDescent="0.3">
      <c r="D92" s="4" t="s">
        <v>80</v>
      </c>
      <c r="E92" s="18">
        <f t="shared" si="62"/>
        <v>2.0000000000000001E-4</v>
      </c>
      <c r="F92" s="20">
        <f t="shared" si="62"/>
        <v>1E-4</v>
      </c>
      <c r="G92" s="18">
        <f t="shared" si="62"/>
        <v>0</v>
      </c>
      <c r="H92" s="20">
        <f t="shared" si="62"/>
        <v>2.0000000000000001E-4</v>
      </c>
      <c r="I92" s="18">
        <f t="shared" si="62"/>
        <v>4.0000000000000002E-4</v>
      </c>
      <c r="J92" s="20">
        <f t="shared" si="62"/>
        <v>4.0000000000000002E-4</v>
      </c>
      <c r="K92" s="18">
        <f t="shared" si="62"/>
        <v>2.9999999999999997E-4</v>
      </c>
      <c r="L92" s="20">
        <f t="shared" si="62"/>
        <v>5.9999999999999995E-4</v>
      </c>
      <c r="M92" s="18">
        <f t="shared" si="62"/>
        <v>8.9999999999999998E-4</v>
      </c>
      <c r="N92" s="24">
        <f t="shared" si="62"/>
        <v>5.9999999999999995E-4</v>
      </c>
      <c r="O92" s="24">
        <f t="shared" si="62"/>
        <v>2.0000000000000001E-4</v>
      </c>
      <c r="P92" s="24">
        <f t="shared" si="62"/>
        <v>5.0000000000000001E-4</v>
      </c>
      <c r="Q92" s="24">
        <f t="shared" si="62"/>
        <v>1E-4</v>
      </c>
      <c r="R92" s="18">
        <f>ROUNDDOWN(R95*$Q$44/SUM($Q$37:$Q$44),4)</f>
        <v>1E-4</v>
      </c>
      <c r="S92" s="18">
        <f t="shared" ref="S92:AD92" si="70">ROUNDDOWN(S95*$Q$44/SUM($Q$37:$Q$44),4)</f>
        <v>1E-4</v>
      </c>
      <c r="T92" s="18">
        <f t="shared" si="70"/>
        <v>1E-4</v>
      </c>
      <c r="U92" s="18">
        <f t="shared" si="70"/>
        <v>1E-4</v>
      </c>
      <c r="V92" s="18">
        <f t="shared" si="70"/>
        <v>1E-4</v>
      </c>
      <c r="W92" s="18">
        <f t="shared" si="70"/>
        <v>1E-4</v>
      </c>
      <c r="X92" s="18">
        <f t="shared" si="70"/>
        <v>1E-4</v>
      </c>
      <c r="Y92" s="18">
        <f t="shared" si="70"/>
        <v>1E-4</v>
      </c>
      <c r="Z92" s="18">
        <f t="shared" si="70"/>
        <v>1E-4</v>
      </c>
      <c r="AA92" s="18">
        <f t="shared" si="70"/>
        <v>1E-4</v>
      </c>
      <c r="AB92" s="18">
        <f t="shared" si="70"/>
        <v>1E-4</v>
      </c>
      <c r="AC92" s="18">
        <f t="shared" si="70"/>
        <v>1E-4</v>
      </c>
      <c r="AD92" s="18">
        <f t="shared" si="70"/>
        <v>1E-4</v>
      </c>
    </row>
    <row r="93" spans="2:30" hidden="1" x14ac:dyDescent="0.3">
      <c r="D93" s="11" t="s">
        <v>81</v>
      </c>
      <c r="E93" s="21">
        <f t="shared" si="62"/>
        <v>0.21490000000000001</v>
      </c>
      <c r="F93" s="21">
        <f t="shared" si="62"/>
        <v>0.252</v>
      </c>
      <c r="G93" s="21">
        <f t="shared" si="62"/>
        <v>0.28910000000000002</v>
      </c>
      <c r="H93" s="21">
        <f t="shared" si="62"/>
        <v>0.33169999999999999</v>
      </c>
      <c r="I93" s="21">
        <f t="shared" si="62"/>
        <v>0.37440000000000001</v>
      </c>
      <c r="J93" s="21">
        <f t="shared" si="62"/>
        <v>0.42359999999999998</v>
      </c>
      <c r="K93" s="21">
        <f t="shared" si="62"/>
        <v>0.47289999999999999</v>
      </c>
      <c r="L93" s="21">
        <f t="shared" si="62"/>
        <v>0.496</v>
      </c>
      <c r="M93" s="21">
        <f t="shared" si="62"/>
        <v>0.51910000000000001</v>
      </c>
      <c r="N93" s="21">
        <f t="shared" si="62"/>
        <v>0.86099999999999999</v>
      </c>
      <c r="O93" s="21">
        <f t="shared" si="62"/>
        <v>1.2030000000000001</v>
      </c>
      <c r="P93" s="21">
        <f t="shared" si="62"/>
        <v>1.325</v>
      </c>
      <c r="Q93" s="21">
        <f t="shared" si="62"/>
        <v>1.9575</v>
      </c>
      <c r="R93" s="22">
        <f>ROUNDUP(R69,4)</f>
        <v>1.5228999999999999</v>
      </c>
      <c r="S93" s="22">
        <f t="shared" ref="S93:AD93" si="71">ROUNDUP(S69,4)</f>
        <v>1.5228999999999999</v>
      </c>
      <c r="T93" s="22">
        <f t="shared" si="71"/>
        <v>1.5228999999999999</v>
      </c>
      <c r="U93" s="22">
        <f t="shared" si="71"/>
        <v>1.5228999999999999</v>
      </c>
      <c r="V93" s="22">
        <f t="shared" si="71"/>
        <v>1.5228999999999999</v>
      </c>
      <c r="W93" s="22">
        <f t="shared" si="71"/>
        <v>1.5228999999999999</v>
      </c>
      <c r="X93" s="22">
        <f t="shared" si="71"/>
        <v>1.5228999999999999</v>
      </c>
      <c r="Y93" s="22">
        <f t="shared" si="71"/>
        <v>1.5228999999999999</v>
      </c>
      <c r="Z93" s="22">
        <f t="shared" si="71"/>
        <v>1.5228999999999999</v>
      </c>
      <c r="AA93" s="22">
        <f t="shared" si="71"/>
        <v>1.5228999999999999</v>
      </c>
      <c r="AB93" s="22">
        <f t="shared" si="71"/>
        <v>1.5228999999999999</v>
      </c>
      <c r="AC93" s="22">
        <f t="shared" si="71"/>
        <v>1.5228999999999999</v>
      </c>
      <c r="AD93" s="22">
        <f t="shared" si="71"/>
        <v>1.5228999999999999</v>
      </c>
    </row>
    <row r="94" spans="2:30" hidden="1" x14ac:dyDescent="0.3"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2:30" hidden="1" x14ac:dyDescent="0.3">
      <c r="D95" t="s">
        <v>19</v>
      </c>
      <c r="E95" s="15">
        <f>SUM(E85:E92)</f>
        <v>0.42299999999999999</v>
      </c>
      <c r="F95" s="15">
        <f t="shared" ref="F95:Q95" si="72">SUM(F85:F92)</f>
        <v>0.52189999999999992</v>
      </c>
      <c r="G95" s="15">
        <f t="shared" si="72"/>
        <v>0.62109999999999999</v>
      </c>
      <c r="H95" s="15">
        <f t="shared" si="72"/>
        <v>0.56939999999999991</v>
      </c>
      <c r="I95" s="15">
        <f t="shared" si="72"/>
        <v>0.51790000000000003</v>
      </c>
      <c r="J95" s="15">
        <f t="shared" si="72"/>
        <v>0.53049999999999997</v>
      </c>
      <c r="K95" s="15">
        <f t="shared" si="72"/>
        <v>0.54320000000000002</v>
      </c>
      <c r="L95" s="15">
        <f t="shared" si="72"/>
        <v>0.46929999999999999</v>
      </c>
      <c r="M95" s="15">
        <f t="shared" si="72"/>
        <v>0.39530000000000004</v>
      </c>
      <c r="N95" s="15">
        <f t="shared" si="72"/>
        <v>0.33900000000000002</v>
      </c>
      <c r="O95" s="15">
        <f t="shared" si="72"/>
        <v>0.28299999999999997</v>
      </c>
      <c r="P95" s="15">
        <f t="shared" si="72"/>
        <v>0.36499999999999994</v>
      </c>
      <c r="Q95" s="15">
        <f t="shared" si="72"/>
        <v>0.49</v>
      </c>
      <c r="R95" s="26">
        <f>$Q$31*R103</f>
        <v>0.50089210150009511</v>
      </c>
      <c r="S95" s="26">
        <f t="shared" ref="S95:AD95" si="73">$Q$31*S103</f>
        <v>0.51157846238548521</v>
      </c>
      <c r="T95" s="26">
        <f t="shared" si="73"/>
        <v>0.52251334329146604</v>
      </c>
      <c r="U95" s="26">
        <f t="shared" si="73"/>
        <v>0.53369674421803714</v>
      </c>
      <c r="V95" s="26">
        <f t="shared" si="73"/>
        <v>0.54512866516519887</v>
      </c>
      <c r="W95" s="26">
        <f t="shared" si="73"/>
        <v>0.55680910613295109</v>
      </c>
      <c r="X95" s="26">
        <f t="shared" si="73"/>
        <v>0.5686138071109984</v>
      </c>
      <c r="Y95" s="26">
        <f t="shared" si="73"/>
        <v>0.58079128811993153</v>
      </c>
      <c r="Z95" s="26">
        <f t="shared" si="73"/>
        <v>0.59321728914945504</v>
      </c>
      <c r="AA95" s="26">
        <f t="shared" si="73"/>
        <v>0.60589181019956917</v>
      </c>
      <c r="AB95" s="26">
        <f t="shared" si="73"/>
        <v>0.61893911128056889</v>
      </c>
      <c r="AC95" s="26">
        <f t="shared" si="73"/>
        <v>0.63211067237186391</v>
      </c>
      <c r="AD95" s="26">
        <f t="shared" si="73"/>
        <v>0.64565501349404453</v>
      </c>
    </row>
    <row r="96" spans="2:30" hidden="1" x14ac:dyDescent="0.3"/>
    <row r="97" spans="2:30" hidden="1" x14ac:dyDescent="0.3"/>
    <row r="98" spans="2:30" hidden="1" x14ac:dyDescent="0.3">
      <c r="E98">
        <v>2010</v>
      </c>
      <c r="F98">
        <v>2011</v>
      </c>
      <c r="G98">
        <v>2012</v>
      </c>
      <c r="H98">
        <v>2013</v>
      </c>
      <c r="I98">
        <v>2014</v>
      </c>
      <c r="J98">
        <v>2015</v>
      </c>
      <c r="K98">
        <v>2016</v>
      </c>
      <c r="L98">
        <v>2017</v>
      </c>
      <c r="M98">
        <v>2018</v>
      </c>
      <c r="N98">
        <v>2019</v>
      </c>
      <c r="O98">
        <v>2020</v>
      </c>
      <c r="P98">
        <v>2021</v>
      </c>
      <c r="Q98">
        <v>2022</v>
      </c>
      <c r="R98">
        <v>2023</v>
      </c>
      <c r="S98">
        <v>2024</v>
      </c>
      <c r="T98">
        <v>2025</v>
      </c>
      <c r="U98">
        <v>2026</v>
      </c>
      <c r="V98">
        <v>2027</v>
      </c>
      <c r="W98">
        <v>2028</v>
      </c>
      <c r="X98">
        <v>2029</v>
      </c>
      <c r="Y98">
        <v>2030</v>
      </c>
      <c r="Z98">
        <v>2031</v>
      </c>
      <c r="AA98">
        <v>2032</v>
      </c>
      <c r="AB98">
        <v>2033</v>
      </c>
      <c r="AC98">
        <v>2034</v>
      </c>
      <c r="AD98">
        <v>2035</v>
      </c>
    </row>
    <row r="99" spans="2:30" hidden="1" x14ac:dyDescent="0.3">
      <c r="B99" t="s">
        <v>84</v>
      </c>
      <c r="C99" t="s">
        <v>64</v>
      </c>
      <c r="D99" s="16" t="s">
        <v>19</v>
      </c>
      <c r="E99" s="19">
        <v>423.4</v>
      </c>
      <c r="F99" s="19">
        <v>522.5</v>
      </c>
      <c r="G99" s="19">
        <v>621.6</v>
      </c>
      <c r="H99" s="19">
        <v>569.9</v>
      </c>
      <c r="I99" s="19">
        <v>518.20000000000005</v>
      </c>
      <c r="J99" s="19">
        <v>530.9</v>
      </c>
      <c r="K99" s="19">
        <v>543.70000000000005</v>
      </c>
      <c r="L99" s="19">
        <v>469.4</v>
      </c>
      <c r="M99" s="19">
        <v>395.1</v>
      </c>
      <c r="N99" s="19">
        <v>397.5</v>
      </c>
      <c r="O99" s="19">
        <v>374.8</v>
      </c>
      <c r="P99" s="19">
        <v>386.4</v>
      </c>
      <c r="Q99" s="19">
        <v>394.6</v>
      </c>
      <c r="R99" s="17">
        <v>403.1</v>
      </c>
      <c r="S99" s="17">
        <v>411.7</v>
      </c>
      <c r="T99" s="17">
        <v>420.5</v>
      </c>
      <c r="U99" s="17">
        <v>429.5</v>
      </c>
      <c r="V99" s="17">
        <v>438.7</v>
      </c>
      <c r="W99" s="17">
        <v>448.1</v>
      </c>
      <c r="X99" s="17">
        <v>457.6</v>
      </c>
      <c r="Y99" s="17">
        <v>467.4</v>
      </c>
      <c r="Z99" s="17">
        <v>477.4</v>
      </c>
      <c r="AA99" s="17">
        <v>487.6</v>
      </c>
      <c r="AB99" s="17">
        <v>498.1</v>
      </c>
      <c r="AC99" s="17">
        <v>508.7</v>
      </c>
      <c r="AD99" s="17">
        <v>519.6</v>
      </c>
    </row>
    <row r="100" spans="2:30" hidden="1" x14ac:dyDescent="0.3">
      <c r="C100" t="s">
        <v>67</v>
      </c>
      <c r="D100" s="16" t="s">
        <v>19</v>
      </c>
      <c r="E100" s="20">
        <f>E99/1000</f>
        <v>0.4234</v>
      </c>
      <c r="F100" s="20">
        <f t="shared" ref="F100" si="74">F99/1000</f>
        <v>0.52249999999999996</v>
      </c>
      <c r="G100" s="20">
        <f t="shared" ref="G100" si="75">G99/1000</f>
        <v>0.62160000000000004</v>
      </c>
      <c r="H100" s="20">
        <f t="shared" ref="H100" si="76">H99/1000</f>
        <v>0.56989999999999996</v>
      </c>
      <c r="I100" s="20">
        <f t="shared" ref="I100" si="77">I99/1000</f>
        <v>0.51819999999999999</v>
      </c>
      <c r="J100" s="20">
        <f t="shared" ref="J100" si="78">J99/1000</f>
        <v>0.53089999999999993</v>
      </c>
      <c r="K100" s="20">
        <f t="shared" ref="K100" si="79">K99/1000</f>
        <v>0.54370000000000007</v>
      </c>
      <c r="L100" s="20">
        <f t="shared" ref="L100" si="80">L99/1000</f>
        <v>0.46939999999999998</v>
      </c>
      <c r="M100" s="20">
        <f t="shared" ref="M100" si="81">M99/1000</f>
        <v>0.39510000000000001</v>
      </c>
      <c r="N100" s="20">
        <f t="shared" ref="N100" si="82">N99/1000</f>
        <v>0.39750000000000002</v>
      </c>
      <c r="O100" s="20">
        <f t="shared" ref="O100" si="83">O99/1000</f>
        <v>0.37480000000000002</v>
      </c>
      <c r="P100" s="20">
        <f t="shared" ref="P100" si="84">P99/1000</f>
        <v>0.38639999999999997</v>
      </c>
      <c r="Q100" s="20">
        <f t="shared" ref="Q100" si="85">Q99/1000</f>
        <v>0.39460000000000001</v>
      </c>
      <c r="R100" s="18">
        <f t="shared" ref="R100" si="86">R99/1000</f>
        <v>0.40310000000000001</v>
      </c>
      <c r="S100" s="18">
        <f t="shared" ref="S100" si="87">S99/1000</f>
        <v>0.41170000000000001</v>
      </c>
      <c r="T100" s="18">
        <f t="shared" ref="T100" si="88">T99/1000</f>
        <v>0.42049999999999998</v>
      </c>
      <c r="U100" s="18">
        <f t="shared" ref="U100" si="89">U99/1000</f>
        <v>0.42949999999999999</v>
      </c>
      <c r="V100" s="18">
        <f t="shared" ref="V100" si="90">V99/1000</f>
        <v>0.43869999999999998</v>
      </c>
      <c r="W100" s="18">
        <f t="shared" ref="W100" si="91">W99/1000</f>
        <v>0.4481</v>
      </c>
      <c r="X100" s="18">
        <f t="shared" ref="X100" si="92">X99/1000</f>
        <v>0.45760000000000001</v>
      </c>
      <c r="Y100" s="18">
        <f t="shared" ref="Y100" si="93">Y99/1000</f>
        <v>0.46739999999999998</v>
      </c>
      <c r="Z100" s="18">
        <f t="shared" ref="Z100" si="94">Z99/1000</f>
        <v>0.47739999999999999</v>
      </c>
      <c r="AA100" s="18">
        <f t="shared" ref="AA100" si="95">AA99/1000</f>
        <v>0.48760000000000003</v>
      </c>
      <c r="AB100" s="18">
        <f t="shared" ref="AB100" si="96">AB99/1000</f>
        <v>0.49810000000000004</v>
      </c>
      <c r="AC100" s="18">
        <f t="shared" ref="AC100" si="97">AC99/1000</f>
        <v>0.50870000000000004</v>
      </c>
      <c r="AD100" s="18">
        <f t="shared" ref="AD100" si="98">AD99/1000</f>
        <v>0.51960000000000006</v>
      </c>
    </row>
    <row r="101" spans="2:30" hidden="1" x14ac:dyDescent="0.3"/>
    <row r="102" spans="2:30" hidden="1" x14ac:dyDescent="0.3"/>
    <row r="103" spans="2:30" hidden="1" x14ac:dyDescent="0.3">
      <c r="B103" t="s">
        <v>85</v>
      </c>
      <c r="Q103">
        <f>Q99/$Q$51</f>
        <v>1</v>
      </c>
      <c r="R103" s="26">
        <f>R99/$Q$51</f>
        <v>1.0215408008109479</v>
      </c>
      <c r="S103" s="26">
        <f t="shared" ref="S103:AD103" si="99">S99/$Q$51</f>
        <v>1.0433350228079066</v>
      </c>
      <c r="T103" s="26">
        <f t="shared" si="99"/>
        <v>1.065636087176888</v>
      </c>
      <c r="U103" s="26">
        <f t="shared" si="99"/>
        <v>1.0884439939178914</v>
      </c>
      <c r="V103" s="26">
        <f t="shared" si="99"/>
        <v>1.1117587430309173</v>
      </c>
      <c r="W103" s="26">
        <f t="shared" si="99"/>
        <v>1.1355803345159656</v>
      </c>
      <c r="X103" s="26">
        <f t="shared" si="99"/>
        <v>1.1596553471870248</v>
      </c>
      <c r="Y103" s="26">
        <f t="shared" si="99"/>
        <v>1.1844906234161174</v>
      </c>
      <c r="Z103" s="26">
        <f t="shared" si="99"/>
        <v>1.2098327420172326</v>
      </c>
      <c r="AA103" s="26">
        <f t="shared" si="99"/>
        <v>1.2356817029903699</v>
      </c>
      <c r="AB103" s="26">
        <f t="shared" si="99"/>
        <v>1.2622909275215408</v>
      </c>
      <c r="AC103" s="26">
        <f t="shared" si="99"/>
        <v>1.2891535732387227</v>
      </c>
      <c r="AD103" s="26">
        <f t="shared" si="99"/>
        <v>1.3167764825139381</v>
      </c>
    </row>
    <row r="104" spans="2:30" hidden="1" x14ac:dyDescent="0.3"/>
    <row r="105" spans="2:30" s="25" customFormat="1" ht="15" hidden="1" thickBo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4D81-B9A6-428A-B09C-7110844D3F74}">
  <sheetPr>
    <tabColor theme="5" tint="0.59999389629810485"/>
  </sheetPr>
  <dimension ref="C5:AE20"/>
  <sheetViews>
    <sheetView topLeftCell="J1" workbookViewId="0">
      <selection activeCell="AE14" sqref="AE14"/>
    </sheetView>
  </sheetViews>
  <sheetFormatPr defaultColWidth="8.88671875" defaultRowHeight="14.4" x14ac:dyDescent="0.3"/>
  <cols>
    <col min="5" max="5" width="52.109375" bestFit="1" customWidth="1"/>
    <col min="6" max="25" width="9" bestFit="1" customWidth="1"/>
    <col min="26" max="26" width="9.5546875" bestFit="1" customWidth="1"/>
    <col min="27" max="29" width="9" bestFit="1" customWidth="1"/>
    <col min="30" max="31" width="9.5546875" bestFit="1" customWidth="1"/>
  </cols>
  <sheetData>
    <row r="5" spans="3:31" x14ac:dyDescent="0.3">
      <c r="R5" s="23" t="s">
        <v>63</v>
      </c>
    </row>
    <row r="6" spans="3:31" x14ac:dyDescent="0.3">
      <c r="E6" s="1"/>
      <c r="F6" s="1">
        <v>2010</v>
      </c>
      <c r="G6" s="100">
        <v>2011</v>
      </c>
      <c r="H6" s="100">
        <v>2012</v>
      </c>
      <c r="I6" s="100">
        <v>2013</v>
      </c>
      <c r="J6" s="100">
        <v>2014</v>
      </c>
      <c r="K6" s="100">
        <v>2015</v>
      </c>
      <c r="L6" s="100">
        <v>2016</v>
      </c>
      <c r="M6" s="100">
        <v>2017</v>
      </c>
      <c r="N6" s="100">
        <v>2018</v>
      </c>
      <c r="O6" s="100">
        <v>2019</v>
      </c>
      <c r="P6" s="100">
        <v>2020</v>
      </c>
      <c r="Q6" s="100">
        <v>2021</v>
      </c>
      <c r="R6" s="1">
        <v>2022</v>
      </c>
      <c r="S6" s="1">
        <v>2023</v>
      </c>
      <c r="T6" s="1">
        <v>2024</v>
      </c>
      <c r="U6" s="1">
        <v>2025</v>
      </c>
      <c r="V6" s="1">
        <v>2026</v>
      </c>
      <c r="W6" s="1">
        <v>2027</v>
      </c>
      <c r="X6" s="1">
        <v>2028</v>
      </c>
      <c r="Y6" s="1">
        <v>2029</v>
      </c>
      <c r="Z6" s="1">
        <v>2030</v>
      </c>
      <c r="AA6" s="1">
        <v>2031</v>
      </c>
      <c r="AB6" s="1">
        <v>2032</v>
      </c>
      <c r="AC6" s="1">
        <v>2033</v>
      </c>
      <c r="AD6" s="1">
        <v>2034</v>
      </c>
      <c r="AE6" s="1">
        <v>2035</v>
      </c>
    </row>
    <row r="7" spans="3:31" x14ac:dyDescent="0.3">
      <c r="C7" t="s">
        <v>64</v>
      </c>
      <c r="E7" s="1" t="s">
        <v>65</v>
      </c>
      <c r="F7" s="56">
        <f>HFC_Desglose!I29</f>
        <v>214.91983459817504</v>
      </c>
      <c r="G7" s="56">
        <f>HFC_Desglose!J29</f>
        <v>239.02460465372204</v>
      </c>
      <c r="H7" s="56">
        <f>HFC_Desglose!K29</f>
        <v>289.08506059200471</v>
      </c>
      <c r="I7" s="56">
        <f>HFC_Desglose!L29</f>
        <v>327.84321959157853</v>
      </c>
      <c r="J7" s="56">
        <f>HFC_Desglose!M29</f>
        <v>374.26977416653335</v>
      </c>
      <c r="K7" s="56">
        <f>HFC_Desglose!N29</f>
        <v>442.36343118615383</v>
      </c>
      <c r="L7" s="56">
        <f>HFC_Desglose!O29</f>
        <v>472.67949555644242</v>
      </c>
      <c r="M7" s="56">
        <f>HFC_Desglose!P29</f>
        <v>497.49750572491996</v>
      </c>
      <c r="N7" s="56">
        <f>HFC_Desglose!Q29</f>
        <v>518.97088299500763</v>
      </c>
      <c r="O7" s="56">
        <f>HFC_Desglose!R29</f>
        <v>940.14672906194198</v>
      </c>
      <c r="P7" s="56">
        <f>HFC_Desglose!S29</f>
        <v>1202.8961823532386</v>
      </c>
      <c r="Q7" s="56">
        <f>HFC_Desglose!T29</f>
        <v>1324.8987897126151</v>
      </c>
      <c r="R7" s="70">
        <f>HFC_Desglose!U29</f>
        <v>1957.28292233873</v>
      </c>
      <c r="S7" s="19">
        <v>2383.9598749999996</v>
      </c>
      <c r="T7" s="19">
        <v>2810.3397499999996</v>
      </c>
      <c r="U7" s="19">
        <v>3236.7196249999997</v>
      </c>
      <c r="V7" s="19">
        <v>3663.0994999999998</v>
      </c>
      <c r="W7" s="19">
        <v>4089.4793750000003</v>
      </c>
      <c r="X7" s="19">
        <v>4515.8592500000004</v>
      </c>
      <c r="Y7" s="19">
        <v>4942.2391250000001</v>
      </c>
      <c r="Z7" s="67">
        <v>5368.6190000000006</v>
      </c>
      <c r="AA7" s="19">
        <v>5379.960156000001</v>
      </c>
      <c r="AB7" s="19">
        <v>5391.3013120000005</v>
      </c>
      <c r="AC7" s="19">
        <v>5402.6424680000009</v>
      </c>
      <c r="AD7" s="19">
        <v>5413.9836240000004</v>
      </c>
      <c r="AE7" s="67">
        <v>5425.3247799999999</v>
      </c>
    </row>
    <row r="8" spans="3:31" x14ac:dyDescent="0.3">
      <c r="F8">
        <f>(G7-F7)/F7</f>
        <v>0.11215702869218416</v>
      </c>
      <c r="G8">
        <f t="shared" ref="G8:Q8" si="0">(H7-G7)/G7</f>
        <v>0.20943641350565514</v>
      </c>
      <c r="H8">
        <f t="shared" si="0"/>
        <v>0.13407181581850919</v>
      </c>
      <c r="I8">
        <f t="shared" si="0"/>
        <v>0.14161206271946764</v>
      </c>
      <c r="J8">
        <f t="shared" si="0"/>
        <v>0.18193736635895646</v>
      </c>
      <c r="K8">
        <f t="shared" si="0"/>
        <v>6.8532030979593081E-2</v>
      </c>
      <c r="L8">
        <f t="shared" si="0"/>
        <v>5.2504943416810508E-2</v>
      </c>
      <c r="M8">
        <f t="shared" si="0"/>
        <v>4.3162783778781168E-2</v>
      </c>
      <c r="N8">
        <f t="shared" si="0"/>
        <v>0.81155968449772542</v>
      </c>
      <c r="O8">
        <f t="shared" si="0"/>
        <v>0.27947707008826411</v>
      </c>
      <c r="P8">
        <f t="shared" si="0"/>
        <v>0.10142405400331515</v>
      </c>
      <c r="Q8">
        <f t="shared" si="0"/>
        <v>0.4773075026834962</v>
      </c>
    </row>
    <row r="9" spans="3:31" x14ac:dyDescent="0.3">
      <c r="Q9" s="55">
        <f>AVERAGE(F8:Q8)</f>
        <v>0.21776522971189657</v>
      </c>
    </row>
    <row r="11" spans="3:31" x14ac:dyDescent="0.3"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3:31" x14ac:dyDescent="0.3"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</row>
    <row r="14" spans="3:31" x14ac:dyDescent="0.3">
      <c r="E14" t="s">
        <v>66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75">
        <v>79.25</v>
      </c>
      <c r="W14" s="75">
        <v>158.5</v>
      </c>
      <c r="X14" s="75">
        <v>237.75</v>
      </c>
      <c r="Y14" s="74">
        <v>317</v>
      </c>
      <c r="Z14" s="75">
        <v>370.13666666666671</v>
      </c>
      <c r="AA14" s="75">
        <v>423.27333333333337</v>
      </c>
      <c r="AB14" s="75">
        <v>476.41000000000008</v>
      </c>
      <c r="AC14" s="75">
        <v>529.54666666666674</v>
      </c>
      <c r="AD14" s="75">
        <v>582.68333333333339</v>
      </c>
      <c r="AE14" s="74">
        <v>635.82000000000016</v>
      </c>
    </row>
    <row r="17" spans="3:31" x14ac:dyDescent="0.3">
      <c r="F17" s="57"/>
    </row>
    <row r="18" spans="3:31" x14ac:dyDescent="0.3">
      <c r="C18" t="s">
        <v>67</v>
      </c>
    </row>
    <row r="19" spans="3:31" x14ac:dyDescent="0.3">
      <c r="E19" t="s">
        <v>68</v>
      </c>
      <c r="F19" s="15">
        <f t="shared" ref="F19:AE19" si="1">ROUND(F7/1000,4)</f>
        <v>0.21490000000000001</v>
      </c>
      <c r="G19" s="15">
        <f t="shared" si="1"/>
        <v>0.23899999999999999</v>
      </c>
      <c r="H19" s="15">
        <f t="shared" si="1"/>
        <v>0.28910000000000002</v>
      </c>
      <c r="I19" s="15">
        <f t="shared" si="1"/>
        <v>0.32779999999999998</v>
      </c>
      <c r="J19" s="15">
        <f t="shared" si="1"/>
        <v>0.37430000000000002</v>
      </c>
      <c r="K19" s="15">
        <f t="shared" si="1"/>
        <v>0.44240000000000002</v>
      </c>
      <c r="L19" s="15">
        <f t="shared" si="1"/>
        <v>0.47270000000000001</v>
      </c>
      <c r="M19" s="15">
        <f t="shared" si="1"/>
        <v>0.4975</v>
      </c>
      <c r="N19" s="15">
        <f t="shared" si="1"/>
        <v>0.51900000000000002</v>
      </c>
      <c r="O19" s="15">
        <f t="shared" si="1"/>
        <v>0.94010000000000005</v>
      </c>
      <c r="P19" s="15">
        <f t="shared" si="1"/>
        <v>1.2029000000000001</v>
      </c>
      <c r="Q19" s="15">
        <f t="shared" si="1"/>
        <v>1.3249</v>
      </c>
      <c r="R19" s="15">
        <f t="shared" si="1"/>
        <v>1.9573</v>
      </c>
      <c r="S19" s="15">
        <f t="shared" si="1"/>
        <v>2.3839999999999999</v>
      </c>
      <c r="T19" s="15">
        <f t="shared" si="1"/>
        <v>2.8102999999999998</v>
      </c>
      <c r="U19" s="15">
        <f t="shared" si="1"/>
        <v>3.2366999999999999</v>
      </c>
      <c r="V19" s="15">
        <f t="shared" si="1"/>
        <v>3.6631</v>
      </c>
      <c r="W19" s="15">
        <f t="shared" si="1"/>
        <v>4.0895000000000001</v>
      </c>
      <c r="X19" s="15">
        <f t="shared" si="1"/>
        <v>4.5159000000000002</v>
      </c>
      <c r="Y19" s="15">
        <f t="shared" si="1"/>
        <v>4.9421999999999997</v>
      </c>
      <c r="Z19" s="15">
        <f t="shared" si="1"/>
        <v>5.3685999999999998</v>
      </c>
      <c r="AA19" s="15">
        <f t="shared" si="1"/>
        <v>5.38</v>
      </c>
      <c r="AB19" s="15">
        <f t="shared" si="1"/>
        <v>5.3913000000000002</v>
      </c>
      <c r="AC19" s="15">
        <f t="shared" si="1"/>
        <v>5.4025999999999996</v>
      </c>
      <c r="AD19" s="15">
        <f t="shared" si="1"/>
        <v>5.4139999999999997</v>
      </c>
      <c r="AE19" s="15">
        <f t="shared" si="1"/>
        <v>5.4253</v>
      </c>
    </row>
    <row r="20" spans="3:31" x14ac:dyDescent="0.3">
      <c r="E20" t="s">
        <v>69</v>
      </c>
      <c r="F20" s="15">
        <f>ROUND((F7-F14)/1000,4)</f>
        <v>0.21490000000000001</v>
      </c>
      <c r="G20" s="15">
        <f t="shared" ref="G20:AE20" si="2">ROUND((G7-G14)/1000,4)</f>
        <v>0.23899999999999999</v>
      </c>
      <c r="H20" s="15">
        <f t="shared" si="2"/>
        <v>0.28910000000000002</v>
      </c>
      <c r="I20" s="15">
        <f t="shared" si="2"/>
        <v>0.32779999999999998</v>
      </c>
      <c r="J20" s="15">
        <f t="shared" si="2"/>
        <v>0.37430000000000002</v>
      </c>
      <c r="K20" s="15">
        <f t="shared" si="2"/>
        <v>0.44240000000000002</v>
      </c>
      <c r="L20" s="15">
        <f t="shared" si="2"/>
        <v>0.47270000000000001</v>
      </c>
      <c r="M20" s="15">
        <f t="shared" si="2"/>
        <v>0.4975</v>
      </c>
      <c r="N20" s="15">
        <f t="shared" si="2"/>
        <v>0.51900000000000002</v>
      </c>
      <c r="O20" s="15">
        <f t="shared" si="2"/>
        <v>0.94010000000000005</v>
      </c>
      <c r="P20" s="15">
        <f t="shared" si="2"/>
        <v>1.2029000000000001</v>
      </c>
      <c r="Q20" s="15">
        <f t="shared" si="2"/>
        <v>1.3249</v>
      </c>
      <c r="R20" s="15">
        <f t="shared" si="2"/>
        <v>1.9573</v>
      </c>
      <c r="S20" s="15">
        <f t="shared" si="2"/>
        <v>2.3839999999999999</v>
      </c>
      <c r="T20" s="15">
        <f t="shared" si="2"/>
        <v>2.8102999999999998</v>
      </c>
      <c r="U20" s="15">
        <f t="shared" si="2"/>
        <v>3.2366999999999999</v>
      </c>
      <c r="V20" s="15">
        <f t="shared" si="2"/>
        <v>3.5838000000000001</v>
      </c>
      <c r="W20" s="15">
        <f t="shared" si="2"/>
        <v>3.931</v>
      </c>
      <c r="X20" s="15">
        <f t="shared" si="2"/>
        <v>4.2781000000000002</v>
      </c>
      <c r="Y20" s="15">
        <f t="shared" si="2"/>
        <v>4.6252000000000004</v>
      </c>
      <c r="Z20" s="15">
        <f t="shared" si="2"/>
        <v>4.9984999999999999</v>
      </c>
      <c r="AA20" s="15">
        <f t="shared" si="2"/>
        <v>4.9566999999999997</v>
      </c>
      <c r="AB20" s="15">
        <f t="shared" si="2"/>
        <v>4.9149000000000003</v>
      </c>
      <c r="AC20" s="15">
        <f t="shared" si="2"/>
        <v>4.8731</v>
      </c>
      <c r="AD20" s="15">
        <f t="shared" si="2"/>
        <v>4.8312999999999997</v>
      </c>
      <c r="AE20" s="15">
        <f t="shared" si="2"/>
        <v>4.7895000000000003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581D-5FD9-4D63-AA53-2C3872968AD2}">
  <sheetPr>
    <tabColor theme="5" tint="0.59999389629810485"/>
  </sheetPr>
  <dimension ref="E9:AI170"/>
  <sheetViews>
    <sheetView topLeftCell="A99" zoomScale="85" zoomScaleNormal="85" workbookViewId="0">
      <selection activeCell="AH162" sqref="AH162"/>
    </sheetView>
  </sheetViews>
  <sheetFormatPr defaultRowHeight="14.4" x14ac:dyDescent="0.3"/>
  <cols>
    <col min="9" max="9" width="12" bestFit="1" customWidth="1"/>
    <col min="22" max="34" width="9.5546875" bestFit="1" customWidth="1"/>
  </cols>
  <sheetData>
    <row r="9" spans="5:21" x14ac:dyDescent="0.3">
      <c r="E9" s="7" t="s">
        <v>109</v>
      </c>
    </row>
    <row r="11" spans="5:21" x14ac:dyDescent="0.3">
      <c r="F11" s="90">
        <v>2007</v>
      </c>
      <c r="G11" s="90">
        <v>2008</v>
      </c>
      <c r="H11" s="90">
        <v>2009</v>
      </c>
      <c r="I11" s="7">
        <v>2010</v>
      </c>
      <c r="J11" s="7">
        <v>2011</v>
      </c>
      <c r="K11" s="7">
        <v>2012</v>
      </c>
      <c r="L11" s="7">
        <v>2013</v>
      </c>
      <c r="M11" s="7">
        <v>2014</v>
      </c>
      <c r="N11" s="7">
        <v>2015</v>
      </c>
      <c r="O11" s="7">
        <v>2016</v>
      </c>
      <c r="P11" s="7">
        <v>2017</v>
      </c>
      <c r="Q11" s="7">
        <v>2018</v>
      </c>
      <c r="R11" s="7">
        <v>2019</v>
      </c>
      <c r="S11" s="7">
        <v>2020</v>
      </c>
      <c r="T11" s="7">
        <v>2021</v>
      </c>
      <c r="U11" s="7">
        <v>2022</v>
      </c>
    </row>
    <row r="12" spans="5:21" x14ac:dyDescent="0.3">
      <c r="E12" s="7" t="s">
        <v>102</v>
      </c>
      <c r="F12" s="91">
        <v>0</v>
      </c>
      <c r="G12" s="91">
        <v>2.8154227191999315</v>
      </c>
      <c r="H12" s="91">
        <v>9.9510889301448078</v>
      </c>
      <c r="I12">
        <v>9.1254324641547395</v>
      </c>
      <c r="J12">
        <v>10.817463517548095</v>
      </c>
      <c r="K12">
        <v>12.594058214695915</v>
      </c>
      <c r="L12">
        <v>13.653427163761792</v>
      </c>
      <c r="M12">
        <v>10.118078024841518</v>
      </c>
      <c r="N12">
        <v>8.497162495422252</v>
      </c>
      <c r="O12">
        <v>6.6888827158641035</v>
      </c>
      <c r="P12">
        <v>6.3379137094357301</v>
      </c>
      <c r="Q12">
        <v>6.7723620140908807</v>
      </c>
      <c r="R12">
        <v>65.231479059108878</v>
      </c>
      <c r="S12">
        <v>95.41805449618073</v>
      </c>
      <c r="T12">
        <v>117.17381555273502</v>
      </c>
      <c r="U12">
        <v>185.38318703978999</v>
      </c>
    </row>
    <row r="13" spans="5:21" x14ac:dyDescent="0.3">
      <c r="E13" s="7" t="s">
        <v>103</v>
      </c>
      <c r="F13" s="91">
        <v>7.6713972549997731</v>
      </c>
      <c r="G13" s="91">
        <v>27.156674810875831</v>
      </c>
      <c r="H13" s="91">
        <v>65.558780610101792</v>
      </c>
      <c r="I13">
        <v>79.39740924512509</v>
      </c>
      <c r="J13">
        <v>90.643291549483934</v>
      </c>
      <c r="K13">
        <v>123.45614592089619</v>
      </c>
      <c r="L13">
        <v>165.82219863416961</v>
      </c>
      <c r="M13">
        <v>225.52171428235837</v>
      </c>
      <c r="N13">
        <v>276.56951855011522</v>
      </c>
      <c r="O13">
        <v>307.18035851247225</v>
      </c>
      <c r="P13">
        <v>338.15054565341529</v>
      </c>
      <c r="Q13">
        <v>362.81623958816851</v>
      </c>
      <c r="R13">
        <v>397.88335429193626</v>
      </c>
      <c r="S13">
        <v>426.97430810708954</v>
      </c>
      <c r="T13">
        <v>412.20797665152281</v>
      </c>
      <c r="U13">
        <v>469.048210921178</v>
      </c>
    </row>
    <row r="14" spans="5:21" x14ac:dyDescent="0.3">
      <c r="E14" s="7" t="s">
        <v>104</v>
      </c>
      <c r="F14" s="91">
        <v>0</v>
      </c>
      <c r="G14" s="91">
        <v>2.9938971639667016</v>
      </c>
      <c r="H14" s="91">
        <v>10.47021384055725</v>
      </c>
      <c r="I14">
        <v>7.7889841362849763</v>
      </c>
      <c r="J14">
        <v>10.854541007590331</v>
      </c>
      <c r="K14">
        <v>12.489140492765703</v>
      </c>
      <c r="L14">
        <v>9.4198386480544123</v>
      </c>
      <c r="M14">
        <v>6.3417381300670783</v>
      </c>
      <c r="N14">
        <v>8.61847080385947</v>
      </c>
      <c r="O14">
        <v>8.4588365565084729</v>
      </c>
      <c r="P14">
        <v>5.9663439992561225</v>
      </c>
      <c r="Q14">
        <v>3.8640146596501337</v>
      </c>
      <c r="R14">
        <v>40.884817061654992</v>
      </c>
      <c r="S14">
        <v>66.215151728633856</v>
      </c>
      <c r="T14">
        <v>79.720745610713621</v>
      </c>
      <c r="U14">
        <v>146.35727159619699</v>
      </c>
    </row>
    <row r="15" spans="5:21" x14ac:dyDescent="0.3">
      <c r="E15" s="7" t="s">
        <v>105</v>
      </c>
      <c r="F15" s="91">
        <v>0</v>
      </c>
      <c r="G15" s="91">
        <v>4.8012662680267326E-2</v>
      </c>
      <c r="H15" s="91">
        <v>0.16770823074217378</v>
      </c>
      <c r="I15">
        <v>0.10901034998241295</v>
      </c>
      <c r="J15">
        <v>7.0856727488568416E-2</v>
      </c>
      <c r="K15">
        <v>0.20355687286756949</v>
      </c>
      <c r="L15">
        <v>1.0493119673639202</v>
      </c>
      <c r="M15">
        <v>1.5570527787865482</v>
      </c>
      <c r="N15">
        <v>1.0715843062112562</v>
      </c>
      <c r="O15">
        <v>1.5680297990373164</v>
      </c>
      <c r="P15">
        <v>1.4042193693742555</v>
      </c>
      <c r="Q15">
        <v>0.91274259009326597</v>
      </c>
      <c r="R15">
        <v>0.59328268356062275</v>
      </c>
      <c r="S15">
        <v>0.75943374431440436</v>
      </c>
      <c r="T15">
        <v>1.1166319338043622</v>
      </c>
      <c r="U15">
        <v>2.0090507569728402</v>
      </c>
    </row>
    <row r="16" spans="5:21" x14ac:dyDescent="0.3">
      <c r="E16" s="7" t="s">
        <v>106</v>
      </c>
      <c r="F16" s="91">
        <v>0</v>
      </c>
      <c r="G16" s="91">
        <v>6.3313401336616254E-2</v>
      </c>
      <c r="H16" s="91">
        <v>0.22748505100246219</v>
      </c>
      <c r="I16">
        <v>3.4281137882518462</v>
      </c>
      <c r="J16">
        <v>2.5985853411888846</v>
      </c>
      <c r="K16">
        <v>2.0314390058916634</v>
      </c>
      <c r="L16">
        <v>1.5235792544187476</v>
      </c>
      <c r="M16">
        <v>1.1426844408140608</v>
      </c>
      <c r="N16">
        <v>0.85701333061054541</v>
      </c>
      <c r="O16">
        <v>0.64275999795790906</v>
      </c>
      <c r="P16">
        <v>0.48206999846843157</v>
      </c>
      <c r="Q16">
        <v>0.36155249885132346</v>
      </c>
      <c r="R16">
        <v>0.32866437413849248</v>
      </c>
      <c r="S16">
        <v>0.25324828060386917</v>
      </c>
      <c r="T16">
        <v>0.19307571045290217</v>
      </c>
      <c r="U16">
        <v>0.57455678283967704</v>
      </c>
    </row>
    <row r="17" spans="5:21" x14ac:dyDescent="0.3">
      <c r="E17" s="7" t="s">
        <v>107</v>
      </c>
      <c r="F17" s="91">
        <v>0.30337743015789881</v>
      </c>
      <c r="G17" s="91">
        <v>1.1273220357711875</v>
      </c>
      <c r="H17" s="91">
        <v>2.8257750056077686</v>
      </c>
      <c r="I17">
        <v>4.231615083240122</v>
      </c>
      <c r="J17">
        <v>3.7857208171288752</v>
      </c>
      <c r="K17">
        <v>5.1744423448535253</v>
      </c>
      <c r="L17">
        <v>7.0023396470948951</v>
      </c>
      <c r="M17">
        <v>6.1931091385983326</v>
      </c>
      <c r="N17">
        <v>5.5296132469161154</v>
      </c>
      <c r="O17">
        <v>4.9516155432103828</v>
      </c>
      <c r="P17">
        <v>4.432361102152492</v>
      </c>
      <c r="Q17">
        <v>3.9658849574751267</v>
      </c>
      <c r="R17">
        <v>23.205534297573333</v>
      </c>
      <c r="S17">
        <v>35.858995904702397</v>
      </c>
      <c r="T17">
        <v>47.82808244543439</v>
      </c>
      <c r="U17">
        <v>73.764975556344098</v>
      </c>
    </row>
    <row r="18" spans="5:21" x14ac:dyDescent="0.3">
      <c r="E18" s="7" t="s">
        <v>108</v>
      </c>
      <c r="F18" s="91">
        <v>7.974774685157672</v>
      </c>
      <c r="G18" s="91">
        <v>34.20464279383053</v>
      </c>
      <c r="H18" s="91">
        <v>89.201051668156254</v>
      </c>
      <c r="I18">
        <v>104.0805650670392</v>
      </c>
      <c r="J18">
        <v>118.77045896042868</v>
      </c>
      <c r="K18">
        <v>155.94878285197058</v>
      </c>
      <c r="L18">
        <v>198.47069531486338</v>
      </c>
      <c r="M18">
        <v>250.87437679546593</v>
      </c>
      <c r="N18">
        <v>301.14336273313484</v>
      </c>
      <c r="O18">
        <v>329.49048312505045</v>
      </c>
      <c r="P18">
        <v>356.77345383210229</v>
      </c>
      <c r="Q18">
        <v>378.69279630832926</v>
      </c>
      <c r="R18">
        <v>528.12713176797263</v>
      </c>
      <c r="S18">
        <v>625.47919226152476</v>
      </c>
      <c r="T18">
        <v>658.2403279046631</v>
      </c>
      <c r="U18">
        <v>877.13725265332141</v>
      </c>
    </row>
    <row r="20" spans="5:21" x14ac:dyDescent="0.3">
      <c r="E20" s="7" t="s">
        <v>110</v>
      </c>
    </row>
    <row r="22" spans="5:21" x14ac:dyDescent="0.3">
      <c r="F22" s="90">
        <v>2007</v>
      </c>
      <c r="G22" s="90">
        <v>2008</v>
      </c>
      <c r="H22" s="90">
        <v>2009</v>
      </c>
      <c r="I22" s="7">
        <v>2010</v>
      </c>
      <c r="J22" s="7">
        <v>2011</v>
      </c>
      <c r="K22" s="7">
        <v>2012</v>
      </c>
      <c r="L22" s="7">
        <v>2013</v>
      </c>
      <c r="M22" s="7">
        <v>2014</v>
      </c>
      <c r="N22" s="7">
        <v>2015</v>
      </c>
      <c r="O22" s="7">
        <v>2016</v>
      </c>
      <c r="P22" s="7">
        <v>2017</v>
      </c>
      <c r="Q22" s="7">
        <v>2018</v>
      </c>
      <c r="R22" s="7">
        <v>2019</v>
      </c>
      <c r="S22" s="7">
        <v>2020</v>
      </c>
      <c r="T22" s="7">
        <v>2021</v>
      </c>
      <c r="U22" s="7">
        <v>2022</v>
      </c>
    </row>
    <row r="23" spans="5:21" x14ac:dyDescent="0.3">
      <c r="E23" s="7" t="s">
        <v>102</v>
      </c>
      <c r="F23" s="91">
        <v>0</v>
      </c>
      <c r="G23" s="91">
        <v>8.9248900198637813</v>
      </c>
      <c r="H23" s="91">
        <v>31.544951908559035</v>
      </c>
      <c r="I23">
        <v>28.927620911370528</v>
      </c>
      <c r="J23">
        <v>34.291359350627467</v>
      </c>
      <c r="K23">
        <v>39.92316454058605</v>
      </c>
      <c r="L23">
        <v>43.28136410912488</v>
      </c>
      <c r="M23">
        <v>32.074307338747616</v>
      </c>
      <c r="N23">
        <v>26.93600511048853</v>
      </c>
      <c r="O23">
        <v>21.203758209289209</v>
      </c>
      <c r="P23">
        <v>20.091186458911263</v>
      </c>
      <c r="Q23">
        <v>21.46838758466809</v>
      </c>
      <c r="R23">
        <v>206.78378861737511</v>
      </c>
      <c r="S23">
        <v>302.47523275289291</v>
      </c>
      <c r="T23">
        <v>371.44099530216999</v>
      </c>
      <c r="U23">
        <v>587.66470291613484</v>
      </c>
    </row>
    <row r="24" spans="5:21" x14ac:dyDescent="0.3">
      <c r="E24" s="7" t="s">
        <v>103</v>
      </c>
      <c r="F24" s="91">
        <v>9.9728164314997052</v>
      </c>
      <c r="G24" s="91">
        <v>35.303677254138584</v>
      </c>
      <c r="H24" s="91">
        <v>85.226414793132335</v>
      </c>
      <c r="I24">
        <v>103.21663201866261</v>
      </c>
      <c r="J24">
        <v>117.83627901432912</v>
      </c>
      <c r="K24">
        <v>160.49298969716509</v>
      </c>
      <c r="L24">
        <v>215.5688582244205</v>
      </c>
      <c r="M24">
        <v>293.17822856706579</v>
      </c>
      <c r="N24">
        <v>359.54037411514975</v>
      </c>
      <c r="O24">
        <v>399.33446606621391</v>
      </c>
      <c r="P24">
        <v>439.59570934943991</v>
      </c>
      <c r="Q24">
        <v>471.66111146461901</v>
      </c>
      <c r="R24">
        <v>517.24836057951711</v>
      </c>
      <c r="S24">
        <v>555.06660053921644</v>
      </c>
      <c r="T24">
        <v>535.87036964697984</v>
      </c>
      <c r="U24">
        <v>609.76267419753185</v>
      </c>
    </row>
    <row r="25" spans="5:21" x14ac:dyDescent="0.3">
      <c r="E25" s="7" t="s">
        <v>104</v>
      </c>
      <c r="F25" s="91">
        <v>0</v>
      </c>
      <c r="G25" s="91">
        <v>14.370706387040165</v>
      </c>
      <c r="H25" s="91">
        <v>50.257026434674799</v>
      </c>
      <c r="I25">
        <v>37.387123854167889</v>
      </c>
      <c r="J25">
        <v>52.101796836433593</v>
      </c>
      <c r="K25">
        <v>59.947874365275368</v>
      </c>
      <c r="L25">
        <v>45.215225510661178</v>
      </c>
      <c r="M25">
        <v>30.440343024321972</v>
      </c>
      <c r="N25">
        <v>41.368659858525447</v>
      </c>
      <c r="O25">
        <v>40.602415471240676</v>
      </c>
      <c r="P25">
        <v>28.638451196429386</v>
      </c>
      <c r="Q25">
        <v>18.547270366320642</v>
      </c>
      <c r="R25">
        <v>196.24712189594396</v>
      </c>
      <c r="S25">
        <v>317.83272829744254</v>
      </c>
      <c r="T25">
        <v>382.65957893142536</v>
      </c>
      <c r="U25">
        <v>702.51490366174414</v>
      </c>
    </row>
    <row r="26" spans="5:21" x14ac:dyDescent="0.3">
      <c r="E26" s="7" t="s">
        <v>105</v>
      </c>
      <c r="F26" s="91">
        <v>0</v>
      </c>
      <c r="G26" s="91">
        <v>6.6257474498768905E-3</v>
      </c>
      <c r="H26" s="91">
        <v>2.3143735842419983E-2</v>
      </c>
      <c r="I26">
        <v>1.5043428297572986E-2</v>
      </c>
      <c r="J26">
        <v>9.7782283934224421E-3</v>
      </c>
      <c r="K26">
        <v>2.8090848455724592E-2</v>
      </c>
      <c r="L26">
        <v>0.14480505149622097</v>
      </c>
      <c r="M26">
        <v>0.21487328347254364</v>
      </c>
      <c r="N26">
        <v>0.14787863425715336</v>
      </c>
      <c r="O26">
        <v>0.21638811226714966</v>
      </c>
      <c r="P26">
        <v>0.19378227297364725</v>
      </c>
      <c r="Q26">
        <v>0.1259584774328707</v>
      </c>
      <c r="R26">
        <v>8.1873010331365931E-2</v>
      </c>
      <c r="S26">
        <v>0.1048018567153878</v>
      </c>
      <c r="T26">
        <v>0.15409520686500197</v>
      </c>
      <c r="U26">
        <v>0.27724900446225137</v>
      </c>
    </row>
    <row r="27" spans="5:21" x14ac:dyDescent="0.3">
      <c r="E27" s="7" t="s">
        <v>106</v>
      </c>
      <c r="F27" s="91">
        <v>0</v>
      </c>
      <c r="G27" s="91">
        <v>0.78508617657404156</v>
      </c>
      <c r="H27" s="91">
        <v>2.8208146324305314</v>
      </c>
      <c r="I27">
        <v>42.508610974322899</v>
      </c>
      <c r="J27">
        <v>32.22245823074217</v>
      </c>
      <c r="K27">
        <v>25.189843673056625</v>
      </c>
      <c r="L27">
        <v>18.892382754792472</v>
      </c>
      <c r="M27">
        <v>14.169287066094354</v>
      </c>
      <c r="N27">
        <v>10.626965299570763</v>
      </c>
      <c r="O27">
        <v>7.9702239746780723</v>
      </c>
      <c r="P27">
        <v>5.977667981008552</v>
      </c>
      <c r="Q27">
        <v>4.4832509857564107</v>
      </c>
      <c r="R27">
        <v>4.0754382393173065</v>
      </c>
      <c r="S27">
        <v>3.1402786794879778</v>
      </c>
      <c r="T27">
        <v>2.394138809615987</v>
      </c>
      <c r="U27">
        <v>7.1245041072119939</v>
      </c>
    </row>
    <row r="28" spans="5:21" x14ac:dyDescent="0.3">
      <c r="E28" s="7" t="s">
        <v>107</v>
      </c>
      <c r="F28" s="91">
        <v>0.20538652021689749</v>
      </c>
      <c r="G28" s="91">
        <v>0.76319701821709396</v>
      </c>
      <c r="H28" s="91">
        <v>1.9130496787964595</v>
      </c>
      <c r="I28">
        <v>2.8648034113535625</v>
      </c>
      <c r="J28">
        <v>2.5629329931962492</v>
      </c>
      <c r="K28">
        <v>3.5030974674658362</v>
      </c>
      <c r="L28">
        <v>4.7405839410832433</v>
      </c>
      <c r="M28">
        <v>4.1927348868310714</v>
      </c>
      <c r="N28">
        <v>3.7435481681622105</v>
      </c>
      <c r="O28">
        <v>3.3522437227534292</v>
      </c>
      <c r="P28">
        <v>3.0007084661572363</v>
      </c>
      <c r="Q28">
        <v>2.6849041162106602</v>
      </c>
      <c r="R28">
        <v>15.710146719457146</v>
      </c>
      <c r="S28">
        <v>24.276540227483526</v>
      </c>
      <c r="T28">
        <v>32.37961181555908</v>
      </c>
      <c r="U28">
        <v>49.938888451644985</v>
      </c>
    </row>
    <row r="29" spans="5:21" x14ac:dyDescent="0.3">
      <c r="E29" s="7" t="s">
        <v>108</v>
      </c>
      <c r="F29" s="91">
        <v>10.178202951716603</v>
      </c>
      <c r="G29" s="91">
        <v>60.154182603283537</v>
      </c>
      <c r="H29" s="91">
        <v>171.78540118343557</v>
      </c>
      <c r="I29" s="57">
        <v>214.91983459817504</v>
      </c>
      <c r="J29" s="57">
        <v>239.02460465372204</v>
      </c>
      <c r="K29" s="57">
        <v>289.08506059200471</v>
      </c>
      <c r="L29" s="57">
        <v>327.84321959157853</v>
      </c>
      <c r="M29" s="57">
        <v>374.26977416653335</v>
      </c>
      <c r="N29" s="57">
        <v>442.36343118615383</v>
      </c>
      <c r="O29" s="57">
        <v>472.67949555644242</v>
      </c>
      <c r="P29" s="57">
        <v>497.49750572491996</v>
      </c>
      <c r="Q29" s="57">
        <v>518.97088299500763</v>
      </c>
      <c r="R29" s="57">
        <v>940.14672906194198</v>
      </c>
      <c r="S29" s="57">
        <v>1202.8961823532386</v>
      </c>
      <c r="T29" s="57">
        <v>1324.8987897126151</v>
      </c>
      <c r="U29" s="57">
        <v>1957.28292233873</v>
      </c>
    </row>
    <row r="32" spans="5:21" x14ac:dyDescent="0.3">
      <c r="E32" s="7" t="s">
        <v>111</v>
      </c>
    </row>
    <row r="34" spans="5:34" x14ac:dyDescent="0.3">
      <c r="F34" s="90">
        <v>2007</v>
      </c>
      <c r="G34" s="90">
        <v>2008</v>
      </c>
      <c r="H34" s="90">
        <v>2009</v>
      </c>
      <c r="I34" s="7">
        <v>2010</v>
      </c>
      <c r="J34" s="7">
        <v>2011</v>
      </c>
      <c r="K34" s="7">
        <v>2012</v>
      </c>
      <c r="L34" s="7">
        <v>2013</v>
      </c>
      <c r="M34" s="7">
        <v>2014</v>
      </c>
      <c r="N34" s="7">
        <v>2015</v>
      </c>
      <c r="O34" s="7">
        <v>2016</v>
      </c>
      <c r="P34" s="7">
        <v>2017</v>
      </c>
      <c r="Q34" s="7">
        <v>2018</v>
      </c>
      <c r="R34" s="7">
        <v>2019</v>
      </c>
      <c r="S34" s="7">
        <v>2020</v>
      </c>
      <c r="T34" s="7">
        <v>2021</v>
      </c>
      <c r="U34" s="7">
        <v>2022</v>
      </c>
    </row>
    <row r="35" spans="5:34" x14ac:dyDescent="0.3">
      <c r="E35" s="7" t="s">
        <v>102</v>
      </c>
      <c r="F35" s="91"/>
      <c r="G35" s="91"/>
      <c r="H35" s="91"/>
      <c r="I35" s="89">
        <f>I23/I12</f>
        <v>3.1700000000000004</v>
      </c>
      <c r="J35" s="89">
        <f t="shared" ref="J35:U35" si="0">J23/J12</f>
        <v>3.1700000000000004</v>
      </c>
      <c r="K35" s="89">
        <f t="shared" si="0"/>
        <v>3.17</v>
      </c>
      <c r="L35" s="89">
        <f t="shared" si="0"/>
        <v>3.17</v>
      </c>
      <c r="M35" s="89">
        <f t="shared" si="0"/>
        <v>3.1700000000000004</v>
      </c>
      <c r="N35" s="89">
        <f t="shared" si="0"/>
        <v>3.169999999999999</v>
      </c>
      <c r="O35" s="89">
        <f t="shared" si="0"/>
        <v>3.17</v>
      </c>
      <c r="P35" s="89">
        <f t="shared" si="0"/>
        <v>3.17</v>
      </c>
      <c r="Q35" s="89">
        <f t="shared" si="0"/>
        <v>3.17</v>
      </c>
      <c r="R35" s="89">
        <f t="shared" si="0"/>
        <v>3.1699999999999995</v>
      </c>
      <c r="S35" s="89">
        <f t="shared" si="0"/>
        <v>3.17</v>
      </c>
      <c r="T35" s="89">
        <f t="shared" si="0"/>
        <v>3.17</v>
      </c>
      <c r="U35" s="89">
        <f t="shared" si="0"/>
        <v>3.170000000000003</v>
      </c>
    </row>
    <row r="36" spans="5:34" x14ac:dyDescent="0.3">
      <c r="E36" s="7" t="s">
        <v>103</v>
      </c>
      <c r="F36" s="91"/>
      <c r="G36" s="91"/>
      <c r="H36" s="91"/>
      <c r="I36" s="89">
        <f t="shared" ref="I36:U40" si="1">I24/I13</f>
        <v>1.2999999999999998</v>
      </c>
      <c r="J36" s="89">
        <f t="shared" si="1"/>
        <v>1.3</v>
      </c>
      <c r="K36" s="89">
        <f t="shared" si="1"/>
        <v>1.3000000000000003</v>
      </c>
      <c r="L36" s="89">
        <f t="shared" si="1"/>
        <v>1.3</v>
      </c>
      <c r="M36" s="89">
        <f t="shared" si="1"/>
        <v>1.2999999999999996</v>
      </c>
      <c r="N36" s="89">
        <f t="shared" si="1"/>
        <v>1.2999999999999998</v>
      </c>
      <c r="O36" s="89">
        <f t="shared" si="1"/>
        <v>1.2999999999999998</v>
      </c>
      <c r="P36" s="89">
        <f t="shared" si="1"/>
        <v>1.3</v>
      </c>
      <c r="Q36" s="89">
        <f t="shared" si="1"/>
        <v>1.2999999999999998</v>
      </c>
      <c r="R36" s="89">
        <f t="shared" si="1"/>
        <v>1.3</v>
      </c>
      <c r="S36" s="89">
        <f t="shared" si="1"/>
        <v>1.3</v>
      </c>
      <c r="T36" s="89">
        <f t="shared" si="1"/>
        <v>1.3000000000000005</v>
      </c>
      <c r="U36" s="89">
        <f t="shared" si="1"/>
        <v>1.3000000000000009</v>
      </c>
    </row>
    <row r="37" spans="5:34" x14ac:dyDescent="0.3">
      <c r="E37" s="7" t="s">
        <v>104</v>
      </c>
      <c r="F37" s="91"/>
      <c r="G37" s="91"/>
      <c r="H37" s="91"/>
      <c r="I37" s="89">
        <f t="shared" si="1"/>
        <v>4.8000000000000007</v>
      </c>
      <c r="J37" s="89">
        <f t="shared" si="1"/>
        <v>4.8</v>
      </c>
      <c r="K37" s="89">
        <f t="shared" si="1"/>
        <v>4.8</v>
      </c>
      <c r="L37" s="89">
        <f t="shared" si="1"/>
        <v>4.8</v>
      </c>
      <c r="M37" s="89">
        <f t="shared" si="1"/>
        <v>4.8</v>
      </c>
      <c r="N37" s="89">
        <f t="shared" si="1"/>
        <v>4.7999999999999989</v>
      </c>
      <c r="O37" s="89">
        <f t="shared" si="1"/>
        <v>4.8000000000000007</v>
      </c>
      <c r="P37" s="89">
        <f t="shared" si="1"/>
        <v>4.8</v>
      </c>
      <c r="Q37" s="89">
        <f t="shared" si="1"/>
        <v>4.8</v>
      </c>
      <c r="R37" s="89">
        <f t="shared" si="1"/>
        <v>4.8</v>
      </c>
      <c r="S37" s="89">
        <f t="shared" si="1"/>
        <v>4.8000000000000007</v>
      </c>
      <c r="T37" s="89">
        <f t="shared" si="1"/>
        <v>4.8</v>
      </c>
      <c r="U37" s="89">
        <f t="shared" si="1"/>
        <v>4.7999999999999901</v>
      </c>
    </row>
    <row r="38" spans="5:34" x14ac:dyDescent="0.3">
      <c r="E38" s="7" t="s">
        <v>105</v>
      </c>
      <c r="F38" s="91"/>
      <c r="G38" s="91"/>
      <c r="H38" s="91"/>
      <c r="I38" s="89">
        <f t="shared" si="1"/>
        <v>0.13799999999999998</v>
      </c>
      <c r="J38" s="89">
        <f t="shared" si="1"/>
        <v>0.13800000000000001</v>
      </c>
      <c r="K38" s="89">
        <f t="shared" si="1"/>
        <v>0.13800000000000001</v>
      </c>
      <c r="L38" s="89">
        <f t="shared" si="1"/>
        <v>0.13799999999999998</v>
      </c>
      <c r="M38" s="89">
        <f t="shared" si="1"/>
        <v>0.13799999999999998</v>
      </c>
      <c r="N38" s="89">
        <f t="shared" si="1"/>
        <v>0.13800000000000001</v>
      </c>
      <c r="O38" s="89">
        <f t="shared" si="1"/>
        <v>0.13799999999999998</v>
      </c>
      <c r="P38" s="89">
        <f t="shared" si="1"/>
        <v>0.13799999999999998</v>
      </c>
      <c r="Q38" s="89">
        <f t="shared" si="1"/>
        <v>0.13799999999999998</v>
      </c>
      <c r="R38" s="89">
        <f t="shared" si="1"/>
        <v>0.13799999999999998</v>
      </c>
      <c r="S38" s="89">
        <f t="shared" si="1"/>
        <v>0.13800000000000001</v>
      </c>
      <c r="T38" s="89">
        <f t="shared" si="1"/>
        <v>0.13799999999999998</v>
      </c>
      <c r="U38" s="89">
        <f t="shared" si="1"/>
        <v>0.13799999999999971</v>
      </c>
    </row>
    <row r="39" spans="5:34" x14ac:dyDescent="0.3">
      <c r="E39" s="7" t="s">
        <v>106</v>
      </c>
      <c r="F39" s="91"/>
      <c r="G39" s="91"/>
      <c r="H39" s="91"/>
      <c r="I39" s="89">
        <f t="shared" si="1"/>
        <v>12.400000000000002</v>
      </c>
      <c r="J39" s="89">
        <f t="shared" si="1"/>
        <v>12.4</v>
      </c>
      <c r="K39" s="89">
        <f t="shared" si="1"/>
        <v>12.4</v>
      </c>
      <c r="L39" s="89">
        <f t="shared" si="1"/>
        <v>12.4</v>
      </c>
      <c r="M39" s="89">
        <f t="shared" si="1"/>
        <v>12.399999999999999</v>
      </c>
      <c r="N39" s="89">
        <f t="shared" si="1"/>
        <v>12.4</v>
      </c>
      <c r="O39" s="89">
        <f t="shared" si="1"/>
        <v>12.4</v>
      </c>
      <c r="P39" s="89">
        <f t="shared" si="1"/>
        <v>12.4</v>
      </c>
      <c r="Q39" s="89">
        <f t="shared" si="1"/>
        <v>12.4</v>
      </c>
      <c r="R39" s="89">
        <f t="shared" si="1"/>
        <v>12.399999999999999</v>
      </c>
      <c r="S39" s="89">
        <f t="shared" si="1"/>
        <v>12.4</v>
      </c>
      <c r="T39" s="89">
        <f t="shared" si="1"/>
        <v>12.4</v>
      </c>
      <c r="U39" s="89">
        <f t="shared" si="1"/>
        <v>12.399999999999997</v>
      </c>
    </row>
    <row r="40" spans="5:34" x14ac:dyDescent="0.3">
      <c r="E40" s="7" t="s">
        <v>107</v>
      </c>
      <c r="F40" s="91"/>
      <c r="G40" s="91"/>
      <c r="H40" s="91"/>
      <c r="I40" s="89">
        <f t="shared" si="1"/>
        <v>0.67699999999999994</v>
      </c>
      <c r="J40" s="89">
        <f t="shared" si="1"/>
        <v>0.67700000000000016</v>
      </c>
      <c r="K40" s="89">
        <f t="shared" si="1"/>
        <v>0.67699999999999994</v>
      </c>
      <c r="L40" s="89">
        <f t="shared" si="1"/>
        <v>0.67699999999999994</v>
      </c>
      <c r="M40" s="89">
        <f t="shared" si="1"/>
        <v>0.67700000000000005</v>
      </c>
      <c r="N40" s="89">
        <f t="shared" si="1"/>
        <v>0.67700000000000005</v>
      </c>
      <c r="O40" s="89">
        <f t="shared" si="1"/>
        <v>0.67700000000000005</v>
      </c>
      <c r="P40" s="89">
        <f t="shared" si="1"/>
        <v>0.67699999999999982</v>
      </c>
      <c r="Q40" s="89">
        <f t="shared" si="1"/>
        <v>0.67699999999999982</v>
      </c>
      <c r="R40" s="89">
        <f t="shared" si="1"/>
        <v>0.67699999999999994</v>
      </c>
      <c r="S40" s="89">
        <f t="shared" si="1"/>
        <v>0.67700000000000005</v>
      </c>
      <c r="T40" s="89">
        <f t="shared" si="1"/>
        <v>0.67699999999999994</v>
      </c>
      <c r="U40" s="89">
        <f t="shared" si="1"/>
        <v>0.67700000000000038</v>
      </c>
    </row>
    <row r="41" spans="5:34" x14ac:dyDescent="0.3">
      <c r="E41" s="7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</row>
    <row r="43" spans="5:34" x14ac:dyDescent="0.3">
      <c r="H43" s="7" t="s">
        <v>112</v>
      </c>
    </row>
    <row r="45" spans="5:34" x14ac:dyDescent="0.3">
      <c r="I45" s="7">
        <v>2010</v>
      </c>
      <c r="J45" s="7">
        <v>2011</v>
      </c>
      <c r="K45" s="7">
        <v>2012</v>
      </c>
      <c r="L45" s="7">
        <v>2013</v>
      </c>
      <c r="M45" s="7">
        <v>2014</v>
      </c>
      <c r="N45" s="7">
        <v>2015</v>
      </c>
      <c r="O45" s="7">
        <v>2016</v>
      </c>
      <c r="P45" s="7">
        <v>2017</v>
      </c>
      <c r="Q45" s="7">
        <v>2018</v>
      </c>
      <c r="R45" s="7">
        <v>2019</v>
      </c>
      <c r="S45" s="7">
        <v>2020</v>
      </c>
      <c r="T45" s="7">
        <v>2021</v>
      </c>
      <c r="U45" s="7">
        <v>2022</v>
      </c>
      <c r="V45" s="7">
        <v>2023</v>
      </c>
      <c r="W45" s="7">
        <v>2024</v>
      </c>
      <c r="X45" s="7">
        <v>2025</v>
      </c>
      <c r="Y45" s="7">
        <v>2026</v>
      </c>
      <c r="Z45" s="7">
        <v>2027</v>
      </c>
      <c r="AA45" s="7">
        <v>2028</v>
      </c>
      <c r="AB45" s="7">
        <v>2029</v>
      </c>
      <c r="AC45" s="7">
        <v>2030</v>
      </c>
      <c r="AD45" s="7">
        <v>2031</v>
      </c>
      <c r="AE45" s="7">
        <v>2032</v>
      </c>
      <c r="AF45" s="7">
        <v>2033</v>
      </c>
      <c r="AG45" s="7">
        <v>2034</v>
      </c>
      <c r="AH45" s="7">
        <v>2035</v>
      </c>
    </row>
    <row r="46" spans="5:34" x14ac:dyDescent="0.3">
      <c r="H46" s="7" t="s">
        <v>102</v>
      </c>
      <c r="I46" s="55">
        <f>I12/I18</f>
        <v>8.7676622991784955E-2</v>
      </c>
      <c r="J46" s="55">
        <f t="shared" ref="J46:U46" si="2">J12/J18</f>
        <v>9.1078738031585782E-2</v>
      </c>
      <c r="K46" s="55">
        <f t="shared" si="2"/>
        <v>8.075765635600006E-2</v>
      </c>
      <c r="L46" s="55">
        <f t="shared" si="2"/>
        <v>6.879316436162701E-2</v>
      </c>
      <c r="M46" s="55">
        <f t="shared" si="2"/>
        <v>4.0331253251465506E-2</v>
      </c>
      <c r="N46" s="55">
        <f t="shared" si="2"/>
        <v>2.8216336625530112E-2</v>
      </c>
      <c r="O46" s="55">
        <f t="shared" si="2"/>
        <v>2.0300685629592204E-2</v>
      </c>
      <c r="P46" s="55">
        <f t="shared" si="2"/>
        <v>1.7764532762626319E-2</v>
      </c>
      <c r="Q46" s="55">
        <f t="shared" si="2"/>
        <v>1.7883524799285767E-2</v>
      </c>
      <c r="R46" s="55">
        <f t="shared" si="2"/>
        <v>0.12351472805560702</v>
      </c>
      <c r="S46" s="55">
        <f t="shared" si="2"/>
        <v>0.15255192447118948</v>
      </c>
      <c r="T46" s="55">
        <f t="shared" si="2"/>
        <v>0.17801069090635541</v>
      </c>
      <c r="U46" s="106">
        <f t="shared" si="2"/>
        <v>0.21135026072488636</v>
      </c>
      <c r="V46" s="107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</row>
    <row r="47" spans="5:34" x14ac:dyDescent="0.3">
      <c r="H47" s="7" t="s">
        <v>103</v>
      </c>
      <c r="I47" s="55">
        <f>I13/I18</f>
        <v>0.76284567819154825</v>
      </c>
      <c r="J47" s="55">
        <f t="shared" ref="J47:U47" si="3">J13/J18</f>
        <v>0.76318044354517467</v>
      </c>
      <c r="K47" s="55">
        <f t="shared" si="3"/>
        <v>0.79164545989488744</v>
      </c>
      <c r="L47" s="55">
        <f t="shared" si="3"/>
        <v>0.83549966090007077</v>
      </c>
      <c r="M47" s="55">
        <f t="shared" si="3"/>
        <v>0.89894279823651657</v>
      </c>
      <c r="N47" s="55">
        <f t="shared" si="3"/>
        <v>0.91839818762734515</v>
      </c>
      <c r="O47" s="55">
        <f t="shared" si="3"/>
        <v>0.93228901666300656</v>
      </c>
      <c r="P47" s="55">
        <f t="shared" si="3"/>
        <v>0.94780186704291358</v>
      </c>
      <c r="Q47" s="55">
        <f t="shared" si="3"/>
        <v>0.95807536643175495</v>
      </c>
      <c r="R47" s="55">
        <f t="shared" si="3"/>
        <v>0.75338555881416513</v>
      </c>
      <c r="S47" s="55">
        <f t="shared" si="3"/>
        <v>0.68263551112434684</v>
      </c>
      <c r="T47" s="55">
        <f t="shared" si="3"/>
        <v>0.62622716837128423</v>
      </c>
      <c r="U47" s="106">
        <f t="shared" si="3"/>
        <v>0.53474893410617008</v>
      </c>
      <c r="V47" s="107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</row>
    <row r="48" spans="5:34" x14ac:dyDescent="0.3">
      <c r="H48" s="7" t="s">
        <v>104</v>
      </c>
      <c r="I48" s="55">
        <f>I14/I18</f>
        <v>7.4836105388820892E-2</v>
      </c>
      <c r="J48" s="55">
        <f t="shared" ref="J48:U48" si="4">J14/J18</f>
        <v>9.1390915742834589E-2</v>
      </c>
      <c r="K48" s="55">
        <f t="shared" si="4"/>
        <v>8.0084885975805417E-2</v>
      </c>
      <c r="L48" s="55">
        <f t="shared" si="4"/>
        <v>4.7462113402234676E-2</v>
      </c>
      <c r="M48" s="55">
        <f t="shared" si="4"/>
        <v>2.5278540642823005E-2</v>
      </c>
      <c r="N48" s="55">
        <f t="shared" si="4"/>
        <v>2.8619162400391095E-2</v>
      </c>
      <c r="O48" s="55">
        <f t="shared" si="4"/>
        <v>2.5672476110025062E-2</v>
      </c>
      <c r="P48" s="55">
        <f t="shared" si="4"/>
        <v>1.6723060348721702E-2</v>
      </c>
      <c r="Q48" s="55">
        <f t="shared" si="4"/>
        <v>1.020355997610284E-2</v>
      </c>
      <c r="R48" s="55">
        <f t="shared" si="4"/>
        <v>7.7414725739970741E-2</v>
      </c>
      <c r="S48" s="55">
        <f t="shared" si="4"/>
        <v>0.10586307673836741</v>
      </c>
      <c r="T48" s="55">
        <f t="shared" si="4"/>
        <v>0.12111191343211056</v>
      </c>
      <c r="U48" s="106">
        <f t="shared" si="4"/>
        <v>0.16685789043102364</v>
      </c>
      <c r="V48" s="107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</row>
    <row r="49" spans="8:34" x14ac:dyDescent="0.3">
      <c r="H49" s="7" t="s">
        <v>105</v>
      </c>
      <c r="I49" s="55">
        <f>I15/I18</f>
        <v>1.0473650860004307E-3</v>
      </c>
      <c r="J49" s="55">
        <f t="shared" ref="J49:U49" si="5">J15/J18</f>
        <v>5.9658544817256358E-4</v>
      </c>
      <c r="K49" s="55">
        <f t="shared" si="5"/>
        <v>1.3052802923174422E-3</v>
      </c>
      <c r="L49" s="55">
        <f t="shared" si="5"/>
        <v>5.2869869060479767E-3</v>
      </c>
      <c r="M49" s="55">
        <f t="shared" si="5"/>
        <v>6.2065038234494141E-3</v>
      </c>
      <c r="N49" s="55">
        <f t="shared" si="5"/>
        <v>3.558385934478873E-3</v>
      </c>
      <c r="O49" s="55">
        <f t="shared" si="5"/>
        <v>4.7589532303493184E-3</v>
      </c>
      <c r="P49" s="55">
        <f t="shared" si="5"/>
        <v>3.9358852355508532E-3</v>
      </c>
      <c r="Q49" s="55">
        <f t="shared" si="5"/>
        <v>2.410245452226973E-3</v>
      </c>
      <c r="R49" s="55">
        <f t="shared" si="5"/>
        <v>1.1233709610307912E-3</v>
      </c>
      <c r="S49" s="55">
        <f t="shared" si="5"/>
        <v>1.2141630828174227E-3</v>
      </c>
      <c r="T49" s="55">
        <f t="shared" si="5"/>
        <v>1.6963894287043602E-3</v>
      </c>
      <c r="U49" s="106">
        <f t="shared" si="5"/>
        <v>2.2904633806117626E-3</v>
      </c>
      <c r="V49" s="107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</row>
    <row r="50" spans="8:34" x14ac:dyDescent="0.3">
      <c r="H50" s="7" t="s">
        <v>106</v>
      </c>
      <c r="I50" s="55">
        <f>I16/I18</f>
        <v>3.2937117376752978E-2</v>
      </c>
      <c r="J50" s="55">
        <f t="shared" ref="J50:U50" si="6">J16/J18</f>
        <v>2.1879054471404102E-2</v>
      </c>
      <c r="K50" s="55">
        <f t="shared" si="6"/>
        <v>1.3026321647023961E-2</v>
      </c>
      <c r="L50" s="55">
        <f t="shared" si="6"/>
        <v>7.6765955397176842E-3</v>
      </c>
      <c r="M50" s="55">
        <f t="shared" si="6"/>
        <v>4.5548072920403269E-3</v>
      </c>
      <c r="N50" s="55">
        <f t="shared" si="6"/>
        <v>2.84586491574117E-3</v>
      </c>
      <c r="O50" s="55">
        <f t="shared" si="6"/>
        <v>1.9507695392645512E-3</v>
      </c>
      <c r="P50" s="55">
        <f t="shared" si="6"/>
        <v>1.3511935747755881E-3</v>
      </c>
      <c r="Q50" s="55">
        <f t="shared" si="6"/>
        <v>9.5473825321184538E-4</v>
      </c>
      <c r="R50" s="55">
        <f t="shared" si="6"/>
        <v>6.2232056330498826E-4</v>
      </c>
      <c r="S50" s="55">
        <f t="shared" si="6"/>
        <v>4.0488681915733693E-4</v>
      </c>
      <c r="T50" s="55">
        <f t="shared" si="6"/>
        <v>2.933209988326125E-4</v>
      </c>
      <c r="U50" s="106">
        <f t="shared" si="6"/>
        <v>6.5503634819026905E-4</v>
      </c>
      <c r="V50" s="107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</row>
    <row r="51" spans="8:34" x14ac:dyDescent="0.3">
      <c r="H51" s="7" t="s">
        <v>107</v>
      </c>
      <c r="I51" s="55">
        <f>I17/I18</f>
        <v>4.0657110965092301E-2</v>
      </c>
      <c r="J51" s="55">
        <f t="shared" ref="J51:U51" si="7">J17/J18</f>
        <v>3.1874262760828276E-2</v>
      </c>
      <c r="K51" s="55">
        <f t="shared" si="7"/>
        <v>3.3180395833965565E-2</v>
      </c>
      <c r="L51" s="55">
        <f t="shared" si="7"/>
        <v>3.5281478890301914E-2</v>
      </c>
      <c r="M51" s="55">
        <f t="shared" si="7"/>
        <v>2.4686096753705065E-2</v>
      </c>
      <c r="N51" s="55">
        <f t="shared" si="7"/>
        <v>1.8362062496513697E-2</v>
      </c>
      <c r="O51" s="55">
        <f t="shared" si="7"/>
        <v>1.5028098827762234E-2</v>
      </c>
      <c r="P51" s="55">
        <f t="shared" si="7"/>
        <v>1.2423461035412021E-2</v>
      </c>
      <c r="Q51" s="55">
        <f t="shared" si="7"/>
        <v>1.0472565087417529E-2</v>
      </c>
      <c r="R51" s="55">
        <f t="shared" si="7"/>
        <v>4.3939295865921262E-2</v>
      </c>
      <c r="S51" s="55">
        <f t="shared" si="7"/>
        <v>5.7330437764121604E-2</v>
      </c>
      <c r="T51" s="55">
        <f t="shared" si="7"/>
        <v>7.2660516862712826E-2</v>
      </c>
      <c r="U51" s="106">
        <f t="shared" si="7"/>
        <v>8.4097415009118159E-2</v>
      </c>
      <c r="V51" s="107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</row>
    <row r="52" spans="8:34" x14ac:dyDescent="0.3">
      <c r="H52" s="7" t="s">
        <v>108</v>
      </c>
      <c r="I52" s="92">
        <f>SUM(I46:I51)</f>
        <v>0.99999999999999978</v>
      </c>
      <c r="J52" s="92">
        <f t="shared" ref="J52:U52" si="8">SUM(J46:J51)</f>
        <v>0.99999999999999989</v>
      </c>
      <c r="K52" s="92">
        <f t="shared" si="8"/>
        <v>1</v>
      </c>
      <c r="L52" s="92">
        <f t="shared" si="8"/>
        <v>1</v>
      </c>
      <c r="M52" s="92">
        <f t="shared" si="8"/>
        <v>0.99999999999999978</v>
      </c>
      <c r="N52" s="92">
        <f t="shared" si="8"/>
        <v>1</v>
      </c>
      <c r="O52" s="92">
        <f t="shared" si="8"/>
        <v>1</v>
      </c>
      <c r="P52" s="92">
        <f t="shared" si="8"/>
        <v>1</v>
      </c>
      <c r="Q52" s="92">
        <f t="shared" si="8"/>
        <v>1</v>
      </c>
      <c r="R52" s="92">
        <f t="shared" si="8"/>
        <v>1</v>
      </c>
      <c r="S52" s="92">
        <f t="shared" si="8"/>
        <v>1</v>
      </c>
      <c r="T52" s="92">
        <f t="shared" si="8"/>
        <v>0.99999999999999989</v>
      </c>
      <c r="U52" s="92">
        <f t="shared" si="8"/>
        <v>1.0000000000000004</v>
      </c>
      <c r="V52" s="92">
        <f t="shared" ref="V52" si="9">SUM(V46:V51)</f>
        <v>0</v>
      </c>
      <c r="W52" s="92">
        <f t="shared" ref="W52" si="10">SUM(W46:W51)</f>
        <v>0</v>
      </c>
      <c r="X52" s="92">
        <f t="shared" ref="X52" si="11">SUM(X46:X51)</f>
        <v>0</v>
      </c>
      <c r="Y52" s="92">
        <f t="shared" ref="Y52" si="12">SUM(Y46:Y51)</f>
        <v>0</v>
      </c>
      <c r="Z52" s="92">
        <f t="shared" ref="Z52" si="13">SUM(Z46:Z51)</f>
        <v>0</v>
      </c>
      <c r="AA52" s="92">
        <f t="shared" ref="AA52" si="14">SUM(AA46:AA51)</f>
        <v>0</v>
      </c>
      <c r="AB52" s="92">
        <f t="shared" ref="AB52" si="15">SUM(AB46:AB51)</f>
        <v>0</v>
      </c>
      <c r="AC52" s="92">
        <f t="shared" ref="AC52" si="16">SUM(AC46:AC51)</f>
        <v>0</v>
      </c>
      <c r="AD52" s="92">
        <f t="shared" ref="AD52" si="17">SUM(AD46:AD51)</f>
        <v>0</v>
      </c>
      <c r="AE52" s="92">
        <f t="shared" ref="AE52" si="18">SUM(AE46:AE51)</f>
        <v>0</v>
      </c>
      <c r="AF52" s="92">
        <f t="shared" ref="AF52" si="19">SUM(AF46:AF51)</f>
        <v>0</v>
      </c>
      <c r="AG52" s="92">
        <f t="shared" ref="AG52" si="20">SUM(AG46:AG51)</f>
        <v>0</v>
      </c>
      <c r="AH52" s="92">
        <f t="shared" ref="AH52" si="21">SUM(AH46:AH51)</f>
        <v>0</v>
      </c>
    </row>
    <row r="53" spans="8:34" x14ac:dyDescent="0.3">
      <c r="H53" s="7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</row>
    <row r="54" spans="8:34" x14ac:dyDescent="0.3">
      <c r="H54" s="7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</row>
    <row r="55" spans="8:34" x14ac:dyDescent="0.3">
      <c r="H55" s="7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</row>
    <row r="56" spans="8:34" x14ac:dyDescent="0.3">
      <c r="H56" s="7" t="s">
        <v>121</v>
      </c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</row>
    <row r="57" spans="8:34" x14ac:dyDescent="0.3">
      <c r="H57" s="7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</row>
    <row r="58" spans="8:34" x14ac:dyDescent="0.3">
      <c r="H58" s="7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</row>
    <row r="59" spans="8:34" x14ac:dyDescent="0.3">
      <c r="I59" s="7">
        <v>2010</v>
      </c>
      <c r="J59" s="7">
        <v>2011</v>
      </c>
      <c r="K59" s="7">
        <v>2012</v>
      </c>
      <c r="L59" s="7">
        <v>2013</v>
      </c>
      <c r="M59" s="7">
        <v>2014</v>
      </c>
      <c r="N59" s="7">
        <v>2015</v>
      </c>
      <c r="O59" s="7">
        <v>2016</v>
      </c>
      <c r="P59" s="7">
        <v>2017</v>
      </c>
      <c r="Q59" s="7">
        <v>2018</v>
      </c>
      <c r="R59" s="7">
        <v>2019</v>
      </c>
      <c r="S59" s="7">
        <v>2020</v>
      </c>
      <c r="T59" s="7">
        <v>2021</v>
      </c>
      <c r="U59" s="7">
        <v>2022</v>
      </c>
      <c r="V59" s="7">
        <v>2023</v>
      </c>
      <c r="W59" s="7">
        <v>2024</v>
      </c>
      <c r="X59" s="7">
        <v>2025</v>
      </c>
      <c r="Y59" s="7">
        <v>2026</v>
      </c>
      <c r="Z59" s="7">
        <v>2027</v>
      </c>
      <c r="AA59" s="7">
        <v>2028</v>
      </c>
      <c r="AB59" s="7">
        <v>2029</v>
      </c>
      <c r="AC59" s="7">
        <v>2030</v>
      </c>
      <c r="AD59" s="7">
        <v>2031</v>
      </c>
      <c r="AE59" s="7">
        <v>2032</v>
      </c>
      <c r="AF59" s="7">
        <v>2033</v>
      </c>
      <c r="AG59" s="7">
        <v>2034</v>
      </c>
      <c r="AH59" s="7">
        <v>2035</v>
      </c>
    </row>
    <row r="60" spans="8:34" x14ac:dyDescent="0.3">
      <c r="H60" s="7" t="s">
        <v>102</v>
      </c>
      <c r="I60" s="55">
        <f>I23/I29</f>
        <v>0.13459726025499261</v>
      </c>
      <c r="J60" s="55">
        <f t="shared" ref="J60:U60" si="22">J23/J29</f>
        <v>0.14346372165453758</v>
      </c>
      <c r="K60" s="55">
        <f t="shared" si="22"/>
        <v>0.13810179072840756</v>
      </c>
      <c r="L60" s="55">
        <f t="shared" si="22"/>
        <v>0.1320184817701707</v>
      </c>
      <c r="M60" s="55">
        <f t="shared" si="22"/>
        <v>8.5698363994726384E-2</v>
      </c>
      <c r="N60" s="55">
        <f t="shared" si="22"/>
        <v>6.08911207652547E-2</v>
      </c>
      <c r="O60" s="55">
        <f t="shared" si="22"/>
        <v>4.4858637636328948E-2</v>
      </c>
      <c r="P60" s="55">
        <f t="shared" si="22"/>
        <v>4.0384496862221925E-2</v>
      </c>
      <c r="Q60" s="55">
        <f t="shared" si="22"/>
        <v>4.1367229430624167E-2</v>
      </c>
      <c r="R60" s="55">
        <f t="shared" si="22"/>
        <v>0.21994842105518941</v>
      </c>
      <c r="S60" s="55">
        <f t="shared" si="22"/>
        <v>0.25145580906338683</v>
      </c>
      <c r="T60" s="55">
        <f t="shared" si="22"/>
        <v>0.28035424153624561</v>
      </c>
      <c r="U60" s="55">
        <f t="shared" si="22"/>
        <v>0.3002451491345679</v>
      </c>
      <c r="V60" s="93">
        <f>U60</f>
        <v>0.3002451491345679</v>
      </c>
      <c r="W60" s="93">
        <f t="shared" ref="W60:W65" si="23">V60</f>
        <v>0.3002451491345679</v>
      </c>
      <c r="X60" s="93">
        <f t="shared" ref="X60:X65" si="24">W60</f>
        <v>0.3002451491345679</v>
      </c>
      <c r="Y60" s="93">
        <f t="shared" ref="Y60:Y65" si="25">X60</f>
        <v>0.3002451491345679</v>
      </c>
      <c r="Z60" s="93">
        <f t="shared" ref="Z60:Z65" si="26">Y60</f>
        <v>0.3002451491345679</v>
      </c>
      <c r="AA60" s="93">
        <f t="shared" ref="AA60:AA65" si="27">Z60</f>
        <v>0.3002451491345679</v>
      </c>
      <c r="AB60" s="93">
        <f t="shared" ref="AB60:AB65" si="28">AA60</f>
        <v>0.3002451491345679</v>
      </c>
      <c r="AC60" s="93">
        <f t="shared" ref="AC60:AC65" si="29">AB60</f>
        <v>0.3002451491345679</v>
      </c>
      <c r="AD60" s="93">
        <f t="shared" ref="AD60:AD65" si="30">AC60</f>
        <v>0.3002451491345679</v>
      </c>
      <c r="AE60" s="93">
        <f t="shared" ref="AE60:AE65" si="31">AD60</f>
        <v>0.3002451491345679</v>
      </c>
      <c r="AF60" s="93">
        <f t="shared" ref="AF60:AF65" si="32">AE60</f>
        <v>0.3002451491345679</v>
      </c>
      <c r="AG60" s="93">
        <f t="shared" ref="AG60:AG65" si="33">AF60</f>
        <v>0.3002451491345679</v>
      </c>
      <c r="AH60" s="93">
        <f t="shared" ref="AH60:AH65" si="34">AG60</f>
        <v>0.3002451491345679</v>
      </c>
    </row>
    <row r="61" spans="8:34" x14ac:dyDescent="0.3">
      <c r="H61" s="7" t="s">
        <v>103</v>
      </c>
      <c r="I61" s="55">
        <f>I24/I29</f>
        <v>0.48025642775894384</v>
      </c>
      <c r="J61" s="55">
        <f t="shared" ref="J61:U61" si="35">J24/J29</f>
        <v>0.49298807202312928</v>
      </c>
      <c r="K61" s="55">
        <f t="shared" si="35"/>
        <v>0.55517566133821816</v>
      </c>
      <c r="L61" s="55">
        <f t="shared" si="35"/>
        <v>0.65753642394365353</v>
      </c>
      <c r="M61" s="55">
        <f t="shared" si="35"/>
        <v>0.78333397138454086</v>
      </c>
      <c r="N61" s="55">
        <f t="shared" si="35"/>
        <v>0.81277146519792054</v>
      </c>
      <c r="O61" s="55">
        <f t="shared" si="35"/>
        <v>0.8448313705592706</v>
      </c>
      <c r="P61" s="55">
        <f t="shared" si="35"/>
        <v>0.88361389613178176</v>
      </c>
      <c r="Q61" s="55">
        <f t="shared" si="35"/>
        <v>0.90883925653523856</v>
      </c>
      <c r="R61" s="55">
        <f t="shared" si="35"/>
        <v>0.5501783334348419</v>
      </c>
      <c r="S61" s="55">
        <f t="shared" si="35"/>
        <v>0.46144181740882556</v>
      </c>
      <c r="T61" s="55">
        <f t="shared" si="35"/>
        <v>0.40446136248884029</v>
      </c>
      <c r="U61" s="55">
        <f t="shared" si="35"/>
        <v>0.31153527537497488</v>
      </c>
      <c r="V61" s="93">
        <f t="shared" ref="V61:V65" si="36">U61</f>
        <v>0.31153527537497488</v>
      </c>
      <c r="W61" s="93">
        <f t="shared" si="23"/>
        <v>0.31153527537497488</v>
      </c>
      <c r="X61" s="93">
        <f t="shared" si="24"/>
        <v>0.31153527537497488</v>
      </c>
      <c r="Y61" s="93">
        <f t="shared" si="25"/>
        <v>0.31153527537497488</v>
      </c>
      <c r="Z61" s="93">
        <f t="shared" si="26"/>
        <v>0.31153527537497488</v>
      </c>
      <c r="AA61" s="93">
        <f t="shared" si="27"/>
        <v>0.31153527537497488</v>
      </c>
      <c r="AB61" s="93">
        <f t="shared" si="28"/>
        <v>0.31153527537497488</v>
      </c>
      <c r="AC61" s="93">
        <f t="shared" si="29"/>
        <v>0.31153527537497488</v>
      </c>
      <c r="AD61" s="93">
        <f t="shared" si="30"/>
        <v>0.31153527537497488</v>
      </c>
      <c r="AE61" s="93">
        <f t="shared" si="31"/>
        <v>0.31153527537497488</v>
      </c>
      <c r="AF61" s="93">
        <f t="shared" si="32"/>
        <v>0.31153527537497488</v>
      </c>
      <c r="AG61" s="93">
        <f t="shared" si="33"/>
        <v>0.31153527537497488</v>
      </c>
      <c r="AH61" s="93">
        <f t="shared" si="34"/>
        <v>0.31153527537497488</v>
      </c>
    </row>
    <row r="62" spans="8:34" x14ac:dyDescent="0.3">
      <c r="H62" s="7" t="s">
        <v>104</v>
      </c>
      <c r="I62" s="55">
        <f>I25/I29</f>
        <v>0.17395846187983879</v>
      </c>
      <c r="J62" s="55">
        <f t="shared" ref="J62:U62" si="37">J25/J29</f>
        <v>0.21797670960240317</v>
      </c>
      <c r="K62" s="55">
        <f t="shared" si="37"/>
        <v>0.2073710562645843</v>
      </c>
      <c r="L62" s="55">
        <f t="shared" si="37"/>
        <v>0.13791722020967684</v>
      </c>
      <c r="M62" s="55">
        <f t="shared" si="37"/>
        <v>8.1332624554333849E-2</v>
      </c>
      <c r="N62" s="55">
        <f t="shared" si="37"/>
        <v>9.3517359126181546E-2</v>
      </c>
      <c r="O62" s="55">
        <f t="shared" si="37"/>
        <v>8.5898406537485109E-2</v>
      </c>
      <c r="P62" s="55">
        <f t="shared" si="37"/>
        <v>5.7565014631981638E-2</v>
      </c>
      <c r="Q62" s="55">
        <f t="shared" si="37"/>
        <v>3.5738556774675669E-2</v>
      </c>
      <c r="R62" s="55">
        <f t="shared" si="37"/>
        <v>0.208740950566041</v>
      </c>
      <c r="S62" s="55">
        <f t="shared" si="37"/>
        <v>0.26422290880968879</v>
      </c>
      <c r="T62" s="55">
        <f t="shared" si="37"/>
        <v>0.28882174389670051</v>
      </c>
      <c r="U62" s="55">
        <f t="shared" si="37"/>
        <v>0.35892353407054656</v>
      </c>
      <c r="V62" s="93">
        <f t="shared" si="36"/>
        <v>0.35892353407054656</v>
      </c>
      <c r="W62" s="93">
        <f t="shared" si="23"/>
        <v>0.35892353407054656</v>
      </c>
      <c r="X62" s="93">
        <f t="shared" si="24"/>
        <v>0.35892353407054656</v>
      </c>
      <c r="Y62" s="93">
        <f t="shared" si="25"/>
        <v>0.35892353407054656</v>
      </c>
      <c r="Z62" s="93">
        <f t="shared" si="26"/>
        <v>0.35892353407054656</v>
      </c>
      <c r="AA62" s="93">
        <f t="shared" si="27"/>
        <v>0.35892353407054656</v>
      </c>
      <c r="AB62" s="93">
        <f t="shared" si="28"/>
        <v>0.35892353407054656</v>
      </c>
      <c r="AC62" s="93">
        <f t="shared" si="29"/>
        <v>0.35892353407054656</v>
      </c>
      <c r="AD62" s="93">
        <f t="shared" si="30"/>
        <v>0.35892353407054656</v>
      </c>
      <c r="AE62" s="93">
        <f t="shared" si="31"/>
        <v>0.35892353407054656</v>
      </c>
      <c r="AF62" s="93">
        <f t="shared" si="32"/>
        <v>0.35892353407054656</v>
      </c>
      <c r="AG62" s="93">
        <f t="shared" si="33"/>
        <v>0.35892353407054656</v>
      </c>
      <c r="AH62" s="93">
        <f t="shared" si="34"/>
        <v>0.35892353407054656</v>
      </c>
    </row>
    <row r="63" spans="8:34" x14ac:dyDescent="0.3">
      <c r="H63" s="7" t="s">
        <v>105</v>
      </c>
      <c r="I63" s="55">
        <f>I26/I29</f>
        <v>6.9995532639874477E-5</v>
      </c>
      <c r="J63" s="55">
        <f t="shared" ref="J63:U63" si="38">J26/J29</f>
        <v>4.0908878011066205E-5</v>
      </c>
      <c r="K63" s="55">
        <f t="shared" si="38"/>
        <v>9.7171567421016378E-5</v>
      </c>
      <c r="L63" s="55">
        <f t="shared" si="38"/>
        <v>4.4168993849138204E-4</v>
      </c>
      <c r="M63" s="55">
        <f t="shared" si="38"/>
        <v>5.741133757088667E-4</v>
      </c>
      <c r="N63" s="55">
        <f t="shared" si="38"/>
        <v>3.342921765947773E-4</v>
      </c>
      <c r="O63" s="55">
        <f t="shared" si="38"/>
        <v>4.5779035118165149E-4</v>
      </c>
      <c r="P63" s="55">
        <f t="shared" si="38"/>
        <v>3.8951405935449011E-4</v>
      </c>
      <c r="Q63" s="55">
        <f t="shared" si="38"/>
        <v>2.4270817797321855E-4</v>
      </c>
      <c r="R63" s="55">
        <f t="shared" si="38"/>
        <v>8.7085353594812851E-5</v>
      </c>
      <c r="S63" s="55">
        <f t="shared" si="38"/>
        <v>8.7124606639255283E-5</v>
      </c>
      <c r="T63" s="55">
        <f t="shared" si="38"/>
        <v>1.1630715346824862E-4</v>
      </c>
      <c r="U63" s="55">
        <f t="shared" si="38"/>
        <v>1.4164993793077722E-4</v>
      </c>
      <c r="V63" s="93">
        <f t="shared" si="36"/>
        <v>1.4164993793077722E-4</v>
      </c>
      <c r="W63" s="93">
        <f t="shared" si="23"/>
        <v>1.4164993793077722E-4</v>
      </c>
      <c r="X63" s="93">
        <f t="shared" si="24"/>
        <v>1.4164993793077722E-4</v>
      </c>
      <c r="Y63" s="93">
        <f t="shared" si="25"/>
        <v>1.4164993793077722E-4</v>
      </c>
      <c r="Z63" s="93">
        <f t="shared" si="26"/>
        <v>1.4164993793077722E-4</v>
      </c>
      <c r="AA63" s="93">
        <f t="shared" si="27"/>
        <v>1.4164993793077722E-4</v>
      </c>
      <c r="AB63" s="93">
        <f t="shared" si="28"/>
        <v>1.4164993793077722E-4</v>
      </c>
      <c r="AC63" s="93">
        <f t="shared" si="29"/>
        <v>1.4164993793077722E-4</v>
      </c>
      <c r="AD63" s="93">
        <f t="shared" si="30"/>
        <v>1.4164993793077722E-4</v>
      </c>
      <c r="AE63" s="93">
        <f t="shared" si="31"/>
        <v>1.4164993793077722E-4</v>
      </c>
      <c r="AF63" s="93">
        <f t="shared" si="32"/>
        <v>1.4164993793077722E-4</v>
      </c>
      <c r="AG63" s="93">
        <f t="shared" si="33"/>
        <v>1.4164993793077722E-4</v>
      </c>
      <c r="AH63" s="93">
        <f t="shared" si="34"/>
        <v>1.4164993793077722E-4</v>
      </c>
    </row>
    <row r="64" spans="8:34" x14ac:dyDescent="0.3">
      <c r="H64" s="7" t="s">
        <v>106</v>
      </c>
      <c r="I64" s="55">
        <f>I27/I29</f>
        <v>0.1977882174244138</v>
      </c>
      <c r="J64" s="55">
        <f t="shared" ref="J64:U64" si="39">J27/J29</f>
        <v>0.13480812269273806</v>
      </c>
      <c r="K64" s="55">
        <f t="shared" si="39"/>
        <v>8.7136442199646849E-2</v>
      </c>
      <c r="L64" s="55">
        <f t="shared" si="39"/>
        <v>5.7626272638269839E-2</v>
      </c>
      <c r="M64" s="55">
        <f t="shared" si="39"/>
        <v>3.7858486161881866E-2</v>
      </c>
      <c r="N64" s="55">
        <f t="shared" si="39"/>
        <v>2.4023155058445055E-2</v>
      </c>
      <c r="O64" s="55">
        <f t="shared" si="39"/>
        <v>1.6861793349625745E-2</v>
      </c>
      <c r="P64" s="55">
        <f t="shared" si="39"/>
        <v>1.2015473268148944E-2</v>
      </c>
      <c r="Q64" s="55">
        <f t="shared" si="39"/>
        <v>8.6387331787928807E-3</v>
      </c>
      <c r="R64" s="55">
        <f t="shared" si="39"/>
        <v>4.3348959405343996E-3</v>
      </c>
      <c r="S64" s="55">
        <f t="shared" si="39"/>
        <v>2.6105982590655637E-3</v>
      </c>
      <c r="T64" s="55">
        <f t="shared" si="39"/>
        <v>1.8070352454132E-3</v>
      </c>
      <c r="U64" s="55">
        <f t="shared" si="39"/>
        <v>3.6399970724206921E-3</v>
      </c>
      <c r="V64" s="93">
        <f t="shared" si="36"/>
        <v>3.6399970724206921E-3</v>
      </c>
      <c r="W64" s="93">
        <f t="shared" si="23"/>
        <v>3.6399970724206921E-3</v>
      </c>
      <c r="X64" s="93">
        <f t="shared" si="24"/>
        <v>3.6399970724206921E-3</v>
      </c>
      <c r="Y64" s="93">
        <f t="shared" si="25"/>
        <v>3.6399970724206921E-3</v>
      </c>
      <c r="Z64" s="93">
        <f t="shared" si="26"/>
        <v>3.6399970724206921E-3</v>
      </c>
      <c r="AA64" s="93">
        <f t="shared" si="27"/>
        <v>3.6399970724206921E-3</v>
      </c>
      <c r="AB64" s="93">
        <f t="shared" si="28"/>
        <v>3.6399970724206921E-3</v>
      </c>
      <c r="AC64" s="93">
        <f t="shared" si="29"/>
        <v>3.6399970724206921E-3</v>
      </c>
      <c r="AD64" s="93">
        <f t="shared" si="30"/>
        <v>3.6399970724206921E-3</v>
      </c>
      <c r="AE64" s="93">
        <f t="shared" si="31"/>
        <v>3.6399970724206921E-3</v>
      </c>
      <c r="AF64" s="93">
        <f t="shared" si="32"/>
        <v>3.6399970724206921E-3</v>
      </c>
      <c r="AG64" s="93">
        <f t="shared" si="33"/>
        <v>3.6399970724206921E-3</v>
      </c>
      <c r="AH64" s="93">
        <f t="shared" si="34"/>
        <v>3.6399970724206921E-3</v>
      </c>
    </row>
    <row r="65" spans="5:35" x14ac:dyDescent="0.3">
      <c r="H65" s="7" t="s">
        <v>107</v>
      </c>
      <c r="I65" s="55">
        <f>I28/I29</f>
        <v>1.3329637149171195E-2</v>
      </c>
      <c r="J65" s="55">
        <f t="shared" ref="J65:U65" si="40">J28/J29</f>
        <v>1.0722465149180783E-2</v>
      </c>
      <c r="K65" s="55">
        <f t="shared" si="40"/>
        <v>1.2117877901722059E-2</v>
      </c>
      <c r="L65" s="55">
        <f t="shared" si="40"/>
        <v>1.4459911499737532E-2</v>
      </c>
      <c r="M65" s="55">
        <f t="shared" si="40"/>
        <v>1.1202440528808215E-2</v>
      </c>
      <c r="N65" s="55">
        <f t="shared" si="40"/>
        <v>8.4626076756034192E-3</v>
      </c>
      <c r="O65" s="55">
        <f t="shared" si="40"/>
        <v>7.0920015661080004E-3</v>
      </c>
      <c r="P65" s="55">
        <f t="shared" si="40"/>
        <v>6.0316050465113492E-3</v>
      </c>
      <c r="Q65" s="55">
        <f t="shared" si="40"/>
        <v>5.1735159026956206E-3</v>
      </c>
      <c r="R65" s="55">
        <f t="shared" si="40"/>
        <v>1.6710313649798463E-2</v>
      </c>
      <c r="S65" s="55">
        <f t="shared" si="40"/>
        <v>2.0181741852394172E-2</v>
      </c>
      <c r="T65" s="55">
        <f t="shared" si="40"/>
        <v>2.4439309679332236E-2</v>
      </c>
      <c r="U65" s="55">
        <f t="shared" si="40"/>
        <v>2.5514394409559198E-2</v>
      </c>
      <c r="V65" s="93">
        <f t="shared" si="36"/>
        <v>2.5514394409559198E-2</v>
      </c>
      <c r="W65" s="93">
        <f t="shared" si="23"/>
        <v>2.5514394409559198E-2</v>
      </c>
      <c r="X65" s="93">
        <f t="shared" si="24"/>
        <v>2.5514394409559198E-2</v>
      </c>
      <c r="Y65" s="93">
        <f t="shared" si="25"/>
        <v>2.5514394409559198E-2</v>
      </c>
      <c r="Z65" s="93">
        <f t="shared" si="26"/>
        <v>2.5514394409559198E-2</v>
      </c>
      <c r="AA65" s="93">
        <f t="shared" si="27"/>
        <v>2.5514394409559198E-2</v>
      </c>
      <c r="AB65" s="93">
        <f t="shared" si="28"/>
        <v>2.5514394409559198E-2</v>
      </c>
      <c r="AC65" s="93">
        <f t="shared" si="29"/>
        <v>2.5514394409559198E-2</v>
      </c>
      <c r="AD65" s="93">
        <f t="shared" si="30"/>
        <v>2.5514394409559198E-2</v>
      </c>
      <c r="AE65" s="93">
        <f t="shared" si="31"/>
        <v>2.5514394409559198E-2</v>
      </c>
      <c r="AF65" s="93">
        <f t="shared" si="32"/>
        <v>2.5514394409559198E-2</v>
      </c>
      <c r="AG65" s="93">
        <f t="shared" si="33"/>
        <v>2.5514394409559198E-2</v>
      </c>
      <c r="AH65" s="93">
        <f t="shared" si="34"/>
        <v>2.5514394409559198E-2</v>
      </c>
    </row>
    <row r="66" spans="5:35" x14ac:dyDescent="0.3">
      <c r="H66" s="7" t="s">
        <v>108</v>
      </c>
      <c r="I66" s="92">
        <f>SUM(I60:I65)</f>
        <v>1</v>
      </c>
      <c r="J66" s="92">
        <f t="shared" ref="J66:AH66" si="41">SUM(J60:J65)</f>
        <v>0.99999999999999989</v>
      </c>
      <c r="K66" s="92">
        <f t="shared" si="41"/>
        <v>1</v>
      </c>
      <c r="L66" s="92">
        <f t="shared" si="41"/>
        <v>0.99999999999999978</v>
      </c>
      <c r="M66" s="92">
        <f t="shared" si="41"/>
        <v>1.0000000000000002</v>
      </c>
      <c r="N66" s="92">
        <f t="shared" si="41"/>
        <v>1</v>
      </c>
      <c r="O66" s="92">
        <f t="shared" si="41"/>
        <v>1</v>
      </c>
      <c r="P66" s="92">
        <f t="shared" si="41"/>
        <v>1</v>
      </c>
      <c r="Q66" s="92">
        <f t="shared" si="41"/>
        <v>1.0000000000000002</v>
      </c>
      <c r="R66" s="92">
        <f t="shared" si="41"/>
        <v>1</v>
      </c>
      <c r="S66" s="92">
        <f t="shared" si="41"/>
        <v>1.0000000000000002</v>
      </c>
      <c r="T66" s="92">
        <f t="shared" si="41"/>
        <v>1</v>
      </c>
      <c r="U66" s="92">
        <f t="shared" si="41"/>
        <v>1</v>
      </c>
      <c r="V66" s="92">
        <f t="shared" si="41"/>
        <v>1</v>
      </c>
      <c r="W66" s="92">
        <f t="shared" si="41"/>
        <v>1</v>
      </c>
      <c r="X66" s="92">
        <f t="shared" si="41"/>
        <v>1</v>
      </c>
      <c r="Y66" s="92">
        <f t="shared" si="41"/>
        <v>1</v>
      </c>
      <c r="Z66" s="92">
        <f t="shared" si="41"/>
        <v>1</v>
      </c>
      <c r="AA66" s="92">
        <f t="shared" si="41"/>
        <v>1</v>
      </c>
      <c r="AB66" s="92">
        <f t="shared" si="41"/>
        <v>1</v>
      </c>
      <c r="AC66" s="92">
        <f t="shared" si="41"/>
        <v>1</v>
      </c>
      <c r="AD66" s="92">
        <f t="shared" si="41"/>
        <v>1</v>
      </c>
      <c r="AE66" s="92">
        <f t="shared" si="41"/>
        <v>1</v>
      </c>
      <c r="AF66" s="92">
        <f t="shared" si="41"/>
        <v>1</v>
      </c>
      <c r="AG66" s="92">
        <f t="shared" si="41"/>
        <v>1</v>
      </c>
      <c r="AH66" s="92">
        <f t="shared" si="41"/>
        <v>1</v>
      </c>
    </row>
    <row r="67" spans="5:35" x14ac:dyDescent="0.3">
      <c r="H67" s="7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</row>
    <row r="70" spans="5:35" ht="15" thickBot="1" x14ac:dyDescent="0.35"/>
    <row r="71" spans="5:35" x14ac:dyDescent="0.3"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4"/>
    </row>
    <row r="72" spans="5:35" x14ac:dyDescent="0.3">
      <c r="E72" s="35"/>
      <c r="F72" s="10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37"/>
    </row>
    <row r="73" spans="5:35" x14ac:dyDescent="0.3">
      <c r="E73" s="35"/>
      <c r="F73" s="101" t="s">
        <v>113</v>
      </c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37"/>
    </row>
    <row r="74" spans="5:35" x14ac:dyDescent="0.3">
      <c r="E74" s="35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37"/>
    </row>
    <row r="75" spans="5:35" x14ac:dyDescent="0.3">
      <c r="E75" s="35"/>
      <c r="F75" s="102"/>
      <c r="G75" s="102"/>
      <c r="H75" s="101" t="s">
        <v>117</v>
      </c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37"/>
    </row>
    <row r="76" spans="5:35" x14ac:dyDescent="0.3">
      <c r="E76" s="35"/>
      <c r="F76" s="102"/>
      <c r="G76" s="102"/>
      <c r="H76" s="102"/>
      <c r="I76" s="101">
        <v>2010</v>
      </c>
      <c r="J76" s="101">
        <v>2011</v>
      </c>
      <c r="K76" s="101">
        <v>2012</v>
      </c>
      <c r="L76" s="101">
        <v>2013</v>
      </c>
      <c r="M76" s="101">
        <v>2014</v>
      </c>
      <c r="N76" s="101">
        <v>2015</v>
      </c>
      <c r="O76" s="101">
        <v>2016</v>
      </c>
      <c r="P76" s="101">
        <v>2017</v>
      </c>
      <c r="Q76" s="101">
        <v>2018</v>
      </c>
      <c r="R76" s="101">
        <v>2019</v>
      </c>
      <c r="S76" s="101">
        <v>2020</v>
      </c>
      <c r="T76" s="101">
        <v>2021</v>
      </c>
      <c r="U76" s="101">
        <v>2022</v>
      </c>
      <c r="V76" s="105">
        <v>2023</v>
      </c>
      <c r="W76" s="105">
        <v>2024</v>
      </c>
      <c r="X76" s="105">
        <v>2025</v>
      </c>
      <c r="Y76" s="105">
        <v>2026</v>
      </c>
      <c r="Z76" s="105">
        <v>2027</v>
      </c>
      <c r="AA76" s="105">
        <v>2028</v>
      </c>
      <c r="AB76" s="105">
        <v>2029</v>
      </c>
      <c r="AC76" s="105">
        <v>2030</v>
      </c>
      <c r="AD76" s="105">
        <v>2031</v>
      </c>
      <c r="AE76" s="105">
        <v>2032</v>
      </c>
      <c r="AF76" s="105">
        <v>2033</v>
      </c>
      <c r="AG76" s="105">
        <v>2034</v>
      </c>
      <c r="AH76" s="105">
        <v>2035</v>
      </c>
      <c r="AI76" s="37"/>
    </row>
    <row r="77" spans="5:35" x14ac:dyDescent="0.3">
      <c r="E77" s="35"/>
      <c r="F77" s="102"/>
      <c r="G77" s="102"/>
      <c r="H77" s="101" t="s">
        <v>102</v>
      </c>
      <c r="I77" s="118">
        <f>ROUND(I23/1000,4)</f>
        <v>2.8899999999999999E-2</v>
      </c>
      <c r="J77" s="118">
        <f>ROUND(J23/1000,4)</f>
        <v>3.4299999999999997E-2</v>
      </c>
      <c r="K77" s="118">
        <f>ROUND(K23/1000,4)</f>
        <v>3.9899999999999998E-2</v>
      </c>
      <c r="L77" s="118">
        <f>ROUND(L23/1000,4)</f>
        <v>4.3299999999999998E-2</v>
      </c>
      <c r="M77" s="118">
        <f>ROUND(M23/1000,4)</f>
        <v>3.2099999999999997E-2</v>
      </c>
      <c r="N77" s="118">
        <f>ROUND(N23/1000,4)</f>
        <v>2.69E-2</v>
      </c>
      <c r="O77" s="118">
        <f>ROUND(O23/1000,4)</f>
        <v>2.12E-2</v>
      </c>
      <c r="P77" s="118">
        <f>ROUND(P23/1000,4)</f>
        <v>2.01E-2</v>
      </c>
      <c r="Q77" s="118">
        <f>ROUND(Q23/1000,4)</f>
        <v>2.1499999999999998E-2</v>
      </c>
      <c r="R77" s="118">
        <f>ROUND(R23/1000,4)</f>
        <v>0.20680000000000001</v>
      </c>
      <c r="S77" s="118">
        <f>ROUND(S23/1000,4)</f>
        <v>0.30249999999999999</v>
      </c>
      <c r="T77" s="118">
        <f>ROUND(T23/1000,4)</f>
        <v>0.37140000000000001</v>
      </c>
      <c r="U77" s="118">
        <f>ROUND(U23/1000,4)</f>
        <v>0.5877</v>
      </c>
      <c r="V77" s="118">
        <f>V83*V60</f>
        <v>0.71578443553680982</v>
      </c>
      <c r="W77" s="118">
        <f t="shared" ref="W77:AH77" si="42">W83*W60</f>
        <v>0.84377894261287611</v>
      </c>
      <c r="X77" s="118">
        <f t="shared" si="42"/>
        <v>0.97180347420385593</v>
      </c>
      <c r="Y77" s="118">
        <f t="shared" si="42"/>
        <v>1.0998280057948358</v>
      </c>
      <c r="Z77" s="118">
        <f t="shared" si="42"/>
        <v>1.2278525373858156</v>
      </c>
      <c r="AA77" s="118">
        <f t="shared" si="42"/>
        <v>1.3558770689767952</v>
      </c>
      <c r="AB77" s="118">
        <f t="shared" si="42"/>
        <v>1.4838715760528614</v>
      </c>
      <c r="AC77" s="118">
        <f t="shared" si="42"/>
        <v>1.6118961076438412</v>
      </c>
      <c r="AD77" s="118">
        <f t="shared" si="42"/>
        <v>1.6153189023439753</v>
      </c>
      <c r="AE77" s="118">
        <f t="shared" si="42"/>
        <v>1.6187116725291959</v>
      </c>
      <c r="AF77" s="118">
        <f t="shared" si="42"/>
        <v>1.6221044427144165</v>
      </c>
      <c r="AG77" s="118">
        <f t="shared" si="42"/>
        <v>1.6255272374145506</v>
      </c>
      <c r="AH77" s="118">
        <f t="shared" si="42"/>
        <v>1.6289200075997712</v>
      </c>
      <c r="AI77" s="37"/>
    </row>
    <row r="78" spans="5:35" x14ac:dyDescent="0.3">
      <c r="E78" s="35"/>
      <c r="F78" s="102"/>
      <c r="G78" s="102"/>
      <c r="H78" s="101" t="s">
        <v>103</v>
      </c>
      <c r="I78" s="118">
        <f>ROUND(I24/1000,4)</f>
        <v>0.1032</v>
      </c>
      <c r="J78" s="118">
        <f>ROUND(J24/1000,4)</f>
        <v>0.1178</v>
      </c>
      <c r="K78" s="118">
        <f>ROUND(K24/1000,4)</f>
        <v>0.1605</v>
      </c>
      <c r="L78" s="118">
        <f>ROUND(L24/1000,4)</f>
        <v>0.21560000000000001</v>
      </c>
      <c r="M78" s="118">
        <f>ROUND(M24/1000,4)</f>
        <v>0.29320000000000002</v>
      </c>
      <c r="N78" s="118">
        <f>ROUND(N24/1000,4)</f>
        <v>0.35949999999999999</v>
      </c>
      <c r="O78" s="118">
        <f>ROUND(O24/1000,4)</f>
        <v>0.39929999999999999</v>
      </c>
      <c r="P78" s="118">
        <f>ROUND(P24/1000,4)</f>
        <v>0.43959999999999999</v>
      </c>
      <c r="Q78" s="118">
        <f>ROUND(Q24/1000,4)</f>
        <v>0.47170000000000001</v>
      </c>
      <c r="R78" s="118">
        <f>ROUND(R24/1000,4)</f>
        <v>0.51719999999999999</v>
      </c>
      <c r="S78" s="118">
        <f>ROUND(S24/1000,4)</f>
        <v>0.55510000000000004</v>
      </c>
      <c r="T78" s="118">
        <f>ROUND(T24/1000,4)</f>
        <v>0.53590000000000004</v>
      </c>
      <c r="U78" s="118">
        <f>ROUND(U24/1000,4)</f>
        <v>0.60980000000000001</v>
      </c>
      <c r="V78" s="118">
        <f>V61*V83</f>
        <v>0.74270009649394009</v>
      </c>
      <c r="W78" s="118">
        <f t="shared" ref="W78:AH78" si="43">W61*W83</f>
        <v>0.87550758438629184</v>
      </c>
      <c r="X78" s="118">
        <f t="shared" si="43"/>
        <v>1.0083462258061813</v>
      </c>
      <c r="Y78" s="118">
        <f t="shared" si="43"/>
        <v>1.1411848672260705</v>
      </c>
      <c r="Z78" s="118">
        <f t="shared" si="43"/>
        <v>1.2740235086459599</v>
      </c>
      <c r="AA78" s="118">
        <f t="shared" si="43"/>
        <v>1.4068621500658491</v>
      </c>
      <c r="AB78" s="118">
        <f t="shared" si="43"/>
        <v>1.5396696379582009</v>
      </c>
      <c r="AC78" s="118">
        <f t="shared" si="43"/>
        <v>1.6725082793780901</v>
      </c>
      <c r="AD78" s="118">
        <f t="shared" si="43"/>
        <v>1.6760597815173648</v>
      </c>
      <c r="AE78" s="118">
        <f t="shared" si="43"/>
        <v>1.6795801301291022</v>
      </c>
      <c r="AF78" s="118">
        <f t="shared" si="43"/>
        <v>1.6831004787408392</v>
      </c>
      <c r="AG78" s="118">
        <f t="shared" si="43"/>
        <v>1.6866519808801139</v>
      </c>
      <c r="AH78" s="118">
        <f t="shared" si="43"/>
        <v>1.6901723294918511</v>
      </c>
      <c r="AI78" s="37"/>
    </row>
    <row r="79" spans="5:35" x14ac:dyDescent="0.3">
      <c r="E79" s="35"/>
      <c r="F79" s="102"/>
      <c r="G79" s="102"/>
      <c r="H79" s="101" t="s">
        <v>104</v>
      </c>
      <c r="I79" s="118">
        <f>ROUND(I25/1000,4)</f>
        <v>3.7400000000000003E-2</v>
      </c>
      <c r="J79" s="118">
        <f>ROUND(J25/1000,4)</f>
        <v>5.21E-2</v>
      </c>
      <c r="K79" s="118">
        <f>ROUND(K25/1000,4)</f>
        <v>5.9900000000000002E-2</v>
      </c>
      <c r="L79" s="118">
        <f>ROUND(L25/1000,4)</f>
        <v>4.5199999999999997E-2</v>
      </c>
      <c r="M79" s="118">
        <f>ROUND(M25/1000,4)</f>
        <v>3.04E-2</v>
      </c>
      <c r="N79" s="118">
        <f>ROUND(N25/1000,4)</f>
        <v>4.1399999999999999E-2</v>
      </c>
      <c r="O79" s="118">
        <f>ROUND(O25/1000,4)</f>
        <v>4.0599999999999997E-2</v>
      </c>
      <c r="P79" s="118">
        <f>ROUND(P25/1000,4)</f>
        <v>2.86E-2</v>
      </c>
      <c r="Q79" s="118">
        <f>ROUND(Q25/1000,4)</f>
        <v>1.8499999999999999E-2</v>
      </c>
      <c r="R79" s="118">
        <f>ROUND(R25/1000,4)</f>
        <v>0.19620000000000001</v>
      </c>
      <c r="S79" s="118">
        <f>ROUND(S25/1000,4)</f>
        <v>0.31780000000000003</v>
      </c>
      <c r="T79" s="118">
        <f>ROUND(T25/1000,4)</f>
        <v>0.38269999999999998</v>
      </c>
      <c r="U79" s="118">
        <f>ROUND(U25/1000,4)</f>
        <v>0.70250000000000001</v>
      </c>
      <c r="V79" s="118">
        <f>V62*V83</f>
        <v>0.85567370522418296</v>
      </c>
      <c r="W79" s="118">
        <f t="shared" ref="W79:AH79" si="44">W62*W83</f>
        <v>1.0086828077984569</v>
      </c>
      <c r="X79" s="118">
        <f t="shared" si="44"/>
        <v>1.161727802726138</v>
      </c>
      <c r="Y79" s="118">
        <f t="shared" si="44"/>
        <v>1.314772797653819</v>
      </c>
      <c r="Z79" s="118">
        <f t="shared" si="44"/>
        <v>1.4678177925815001</v>
      </c>
      <c r="AA79" s="118">
        <f t="shared" si="44"/>
        <v>1.6208627875091812</v>
      </c>
      <c r="AB79" s="118">
        <f t="shared" si="44"/>
        <v>1.7738718900834551</v>
      </c>
      <c r="AC79" s="118">
        <f t="shared" si="44"/>
        <v>1.9269168850111362</v>
      </c>
      <c r="AD79" s="118">
        <f t="shared" si="44"/>
        <v>1.9310086132995405</v>
      </c>
      <c r="AE79" s="118">
        <f t="shared" si="44"/>
        <v>1.9350644492345377</v>
      </c>
      <c r="AF79" s="118">
        <f t="shared" si="44"/>
        <v>1.9391202851695346</v>
      </c>
      <c r="AG79" s="118">
        <f t="shared" si="44"/>
        <v>1.9432120134579389</v>
      </c>
      <c r="AH79" s="118">
        <f t="shared" si="44"/>
        <v>1.9472678493929363</v>
      </c>
      <c r="AI79" s="37"/>
    </row>
    <row r="80" spans="5:35" x14ac:dyDescent="0.3">
      <c r="E80" s="35"/>
      <c r="F80" s="102"/>
      <c r="G80" s="102"/>
      <c r="H80" s="101" t="s">
        <v>105</v>
      </c>
      <c r="I80" s="118">
        <f>ROUND(I26/1000,4)</f>
        <v>0</v>
      </c>
      <c r="J80" s="118">
        <f>ROUND(J26/1000,4)</f>
        <v>0</v>
      </c>
      <c r="K80" s="118">
        <f>ROUND(K26/1000,4)</f>
        <v>0</v>
      </c>
      <c r="L80" s="118">
        <f>ROUND(L26/1000,4)</f>
        <v>1E-4</v>
      </c>
      <c r="M80" s="118">
        <f>ROUND(M26/1000,4)</f>
        <v>2.0000000000000001E-4</v>
      </c>
      <c r="N80" s="118">
        <f>ROUND(N26/1000,4)</f>
        <v>1E-4</v>
      </c>
      <c r="O80" s="118">
        <f>ROUND(O26/1000,4)</f>
        <v>2.0000000000000001E-4</v>
      </c>
      <c r="P80" s="118">
        <f>ROUND(P26/1000,4)</f>
        <v>2.0000000000000001E-4</v>
      </c>
      <c r="Q80" s="118">
        <f>ROUND(Q26/1000,4)</f>
        <v>1E-4</v>
      </c>
      <c r="R80" s="118">
        <f>ROUND(R26/1000,4)</f>
        <v>1E-4</v>
      </c>
      <c r="S80" s="118">
        <f>ROUND(S26/1000,4)</f>
        <v>1E-4</v>
      </c>
      <c r="T80" s="118">
        <f>ROUND(T26/1000,4)</f>
        <v>2.0000000000000001E-4</v>
      </c>
      <c r="U80" s="118">
        <f>ROUND(U26/1000,4)</f>
        <v>2.9999999999999997E-4</v>
      </c>
      <c r="V80" s="118">
        <f>V63*V83</f>
        <v>3.3769345202697289E-4</v>
      </c>
      <c r="W80" s="118">
        <f t="shared" ref="W80:AH80" si="45">W63*W83</f>
        <v>3.9807882056686322E-4</v>
      </c>
      <c r="X80" s="118">
        <f t="shared" si="45"/>
        <v>4.5847835410054664E-4</v>
      </c>
      <c r="Y80" s="118">
        <f t="shared" si="45"/>
        <v>5.1887788763423006E-4</v>
      </c>
      <c r="Z80" s="118">
        <f t="shared" si="45"/>
        <v>5.7927742116791348E-4</v>
      </c>
      <c r="AA80" s="118">
        <f t="shared" si="45"/>
        <v>6.396769547015969E-4</v>
      </c>
      <c r="AB80" s="118">
        <f t="shared" si="45"/>
        <v>7.0006232324148717E-4</v>
      </c>
      <c r="AC80" s="118">
        <f t="shared" si="45"/>
        <v>7.6046185677517059E-4</v>
      </c>
      <c r="AD80" s="118">
        <f t="shared" si="45"/>
        <v>7.6207666606758139E-4</v>
      </c>
      <c r="AE80" s="118">
        <f t="shared" si="45"/>
        <v>7.6367731036619925E-4</v>
      </c>
      <c r="AF80" s="118">
        <f t="shared" si="45"/>
        <v>7.6527795466481701E-4</v>
      </c>
      <c r="AG80" s="118">
        <f t="shared" si="45"/>
        <v>7.668927639572278E-4</v>
      </c>
      <c r="AH80" s="118">
        <f t="shared" si="45"/>
        <v>7.6849340825584566E-4</v>
      </c>
      <c r="AI80" s="37"/>
    </row>
    <row r="81" spans="5:35" x14ac:dyDescent="0.3">
      <c r="E81" s="35"/>
      <c r="F81" s="102"/>
      <c r="G81" s="102"/>
      <c r="H81" s="101" t="s">
        <v>106</v>
      </c>
      <c r="I81" s="118">
        <f>ROUND(I27/1000,4)</f>
        <v>4.2500000000000003E-2</v>
      </c>
      <c r="J81" s="118">
        <f>ROUND(J27/1000,4)</f>
        <v>3.2199999999999999E-2</v>
      </c>
      <c r="K81" s="118">
        <f>ROUND(K27/1000,4)</f>
        <v>2.52E-2</v>
      </c>
      <c r="L81" s="118">
        <f>ROUND(L27/1000,4)</f>
        <v>1.89E-2</v>
      </c>
      <c r="M81" s="118">
        <f>ROUND(M27/1000,4)</f>
        <v>1.4200000000000001E-2</v>
      </c>
      <c r="N81" s="118">
        <f>ROUND(N27/1000,4)</f>
        <v>1.06E-2</v>
      </c>
      <c r="O81" s="118">
        <f>ROUND(O27/1000,4)</f>
        <v>8.0000000000000002E-3</v>
      </c>
      <c r="P81" s="118">
        <f>ROUND(P27/1000,4)</f>
        <v>6.0000000000000001E-3</v>
      </c>
      <c r="Q81" s="118">
        <f>ROUND(Q27/1000,4)</f>
        <v>4.4999999999999997E-3</v>
      </c>
      <c r="R81" s="118">
        <f>ROUND(R27/1000,4)</f>
        <v>4.1000000000000003E-3</v>
      </c>
      <c r="S81" s="118">
        <f>ROUND(S27/1000,4)</f>
        <v>3.0999999999999999E-3</v>
      </c>
      <c r="T81" s="118">
        <f>ROUND(T27/1000,4)</f>
        <v>2.3999999999999998E-3</v>
      </c>
      <c r="U81" s="118">
        <f>ROUND(U27/1000,4)</f>
        <v>7.1000000000000004E-3</v>
      </c>
      <c r="V81" s="118">
        <f>V64*V83</f>
        <v>8.6777530206509305E-3</v>
      </c>
      <c r="W81" s="118">
        <f t="shared" ref="W81:AH81" si="46">W64*W83</f>
        <v>1.022948377262387E-2</v>
      </c>
      <c r="X81" s="118">
        <f t="shared" si="46"/>
        <v>1.1781578524304054E-2</v>
      </c>
      <c r="Y81" s="118">
        <f t="shared" si="46"/>
        <v>1.3333673275984238E-2</v>
      </c>
      <c r="Z81" s="118">
        <f t="shared" si="46"/>
        <v>1.4885768027664422E-2</v>
      </c>
      <c r="AA81" s="118">
        <f t="shared" si="46"/>
        <v>1.6437862779344604E-2</v>
      </c>
      <c r="AB81" s="118">
        <f t="shared" si="46"/>
        <v>1.7989593531317544E-2</v>
      </c>
      <c r="AC81" s="118">
        <f t="shared" si="46"/>
        <v>1.9541688282997727E-2</v>
      </c>
      <c r="AD81" s="118">
        <f t="shared" si="46"/>
        <v>1.9583184249623322E-2</v>
      </c>
      <c r="AE81" s="118">
        <f t="shared" si="46"/>
        <v>1.962431621654168E-2</v>
      </c>
      <c r="AF81" s="118">
        <f t="shared" si="46"/>
        <v>1.966544818346003E-2</v>
      </c>
      <c r="AG81" s="118">
        <f t="shared" si="46"/>
        <v>1.9706944150085625E-2</v>
      </c>
      <c r="AH81" s="118">
        <f t="shared" si="46"/>
        <v>1.9748076117003983E-2</v>
      </c>
      <c r="AI81" s="37"/>
    </row>
    <row r="82" spans="5:35" x14ac:dyDescent="0.3">
      <c r="E82" s="35"/>
      <c r="F82" s="102"/>
      <c r="G82" s="102"/>
      <c r="H82" s="101" t="s">
        <v>107</v>
      </c>
      <c r="I82" s="118">
        <f>ROUND(I28/1000,4)</f>
        <v>2.8999999999999998E-3</v>
      </c>
      <c r="J82" s="118">
        <f>ROUND(J28/1000,4)</f>
        <v>2.5999999999999999E-3</v>
      </c>
      <c r="K82" s="118">
        <f>ROUND(K28/1000,4)</f>
        <v>3.5000000000000001E-3</v>
      </c>
      <c r="L82" s="118">
        <f>ROUND(L28/1000,4)</f>
        <v>4.7000000000000002E-3</v>
      </c>
      <c r="M82" s="118">
        <f>ROUND(M28/1000,4)</f>
        <v>4.1999999999999997E-3</v>
      </c>
      <c r="N82" s="118">
        <f>ROUND(N28/1000,4)</f>
        <v>3.7000000000000002E-3</v>
      </c>
      <c r="O82" s="118">
        <f>ROUND(O28/1000,4)</f>
        <v>3.3999999999999998E-3</v>
      </c>
      <c r="P82" s="118">
        <f>ROUND(P28/1000,4)</f>
        <v>3.0000000000000001E-3</v>
      </c>
      <c r="Q82" s="118">
        <f>ROUND(Q28/1000,4)</f>
        <v>2.7000000000000001E-3</v>
      </c>
      <c r="R82" s="118">
        <f>ROUND(R28/1000,4)</f>
        <v>1.5699999999999999E-2</v>
      </c>
      <c r="S82" s="118">
        <f>ROUND(S28/1000,4)</f>
        <v>2.4299999999999999E-2</v>
      </c>
      <c r="T82" s="118">
        <f>ROUND(T28/1000,4)</f>
        <v>3.2399999999999998E-2</v>
      </c>
      <c r="U82" s="118">
        <f>ROUND(U28/1000,4)</f>
        <v>4.99E-2</v>
      </c>
      <c r="V82" s="118">
        <f>V65*V83</f>
        <v>6.0826316272389123E-2</v>
      </c>
      <c r="W82" s="118">
        <f t="shared" ref="W82:AH82" si="47">W65*W83</f>
        <v>7.1703102609184208E-2</v>
      </c>
      <c r="X82" s="118">
        <f t="shared" si="47"/>
        <v>8.2582440385420258E-2</v>
      </c>
      <c r="Y82" s="118">
        <f t="shared" si="47"/>
        <v>9.3461778161656295E-2</v>
      </c>
      <c r="Z82" s="118">
        <f t="shared" si="47"/>
        <v>0.10434111593789235</v>
      </c>
      <c r="AA82" s="118">
        <f t="shared" si="47"/>
        <v>0.1152204537141284</v>
      </c>
      <c r="AB82" s="118">
        <f t="shared" si="47"/>
        <v>0.12609724005092346</v>
      </c>
      <c r="AC82" s="118">
        <f t="shared" si="47"/>
        <v>0.1369765778271595</v>
      </c>
      <c r="AD82" s="118">
        <f t="shared" si="47"/>
        <v>0.13726744192342849</v>
      </c>
      <c r="AE82" s="118">
        <f t="shared" si="47"/>
        <v>0.13755575458025651</v>
      </c>
      <c r="AF82" s="118">
        <f t="shared" si="47"/>
        <v>0.13784406723708451</v>
      </c>
      <c r="AG82" s="118">
        <f t="shared" si="47"/>
        <v>0.1381349313333535</v>
      </c>
      <c r="AH82" s="118">
        <f t="shared" si="47"/>
        <v>0.13842324399018152</v>
      </c>
      <c r="AI82" s="37"/>
    </row>
    <row r="83" spans="5:35" x14ac:dyDescent="0.3">
      <c r="E83" s="35"/>
      <c r="F83" s="102"/>
      <c r="G83" s="102"/>
      <c r="H83" s="101" t="s">
        <v>108</v>
      </c>
      <c r="I83" s="119">
        <f>SUM(I77:I82)</f>
        <v>0.21489999999999998</v>
      </c>
      <c r="J83" s="119">
        <f t="shared" ref="J83:U83" si="48">SUM(J77:J82)</f>
        <v>0.23900000000000002</v>
      </c>
      <c r="K83" s="119">
        <f t="shared" si="48"/>
        <v>0.28899999999999998</v>
      </c>
      <c r="L83" s="119">
        <f t="shared" si="48"/>
        <v>0.32780000000000004</v>
      </c>
      <c r="M83" s="119">
        <f t="shared" si="48"/>
        <v>0.37429999999999997</v>
      </c>
      <c r="N83" s="119">
        <f t="shared" si="48"/>
        <v>0.44219999999999993</v>
      </c>
      <c r="O83" s="119">
        <f t="shared" si="48"/>
        <v>0.47269999999999995</v>
      </c>
      <c r="P83" s="119">
        <f t="shared" si="48"/>
        <v>0.4975</v>
      </c>
      <c r="Q83" s="119">
        <f t="shared" si="48"/>
        <v>0.51900000000000002</v>
      </c>
      <c r="R83" s="119">
        <f t="shared" si="48"/>
        <v>0.94010000000000005</v>
      </c>
      <c r="S83" s="119">
        <f t="shared" si="48"/>
        <v>1.2029000000000001</v>
      </c>
      <c r="T83" s="119">
        <f t="shared" si="48"/>
        <v>1.325</v>
      </c>
      <c r="U83" s="119">
        <f t="shared" si="48"/>
        <v>1.9573</v>
      </c>
      <c r="V83" s="119">
        <f>Act_HFC_General!S19</f>
        <v>2.3839999999999999</v>
      </c>
      <c r="W83" s="119">
        <f>Act_HFC_General!T19</f>
        <v>2.8102999999999998</v>
      </c>
      <c r="X83" s="119">
        <f>Act_HFC_General!U19</f>
        <v>3.2366999999999999</v>
      </c>
      <c r="Y83" s="119">
        <f>Act_HFC_General!V19</f>
        <v>3.6631</v>
      </c>
      <c r="Z83" s="119">
        <f>Act_HFC_General!W19</f>
        <v>4.0895000000000001</v>
      </c>
      <c r="AA83" s="119">
        <f>Act_HFC_General!X19</f>
        <v>4.5159000000000002</v>
      </c>
      <c r="AB83" s="119">
        <f>Act_HFC_General!Y19</f>
        <v>4.9421999999999997</v>
      </c>
      <c r="AC83" s="119">
        <f>Act_HFC_General!Z19</f>
        <v>5.3685999999999998</v>
      </c>
      <c r="AD83" s="119">
        <f>Act_HFC_General!AA19</f>
        <v>5.38</v>
      </c>
      <c r="AE83" s="119">
        <f>Act_HFC_General!AB19</f>
        <v>5.3913000000000002</v>
      </c>
      <c r="AF83" s="119">
        <f>Act_HFC_General!AC19</f>
        <v>5.4025999999999996</v>
      </c>
      <c r="AG83" s="119">
        <f>Act_HFC_General!AD19</f>
        <v>5.4139999999999997</v>
      </c>
      <c r="AH83" s="119">
        <f>Act_HFC_General!AE19</f>
        <v>5.4253</v>
      </c>
      <c r="AI83" s="37"/>
    </row>
    <row r="84" spans="5:35" x14ac:dyDescent="0.3">
      <c r="E84" s="35"/>
      <c r="F84" s="102"/>
      <c r="G84" s="102"/>
      <c r="H84" s="102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37"/>
    </row>
    <row r="85" spans="5:35" x14ac:dyDescent="0.3">
      <c r="E85" s="35"/>
      <c r="F85" s="102"/>
      <c r="G85" s="102"/>
      <c r="H85" s="102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37"/>
    </row>
    <row r="86" spans="5:35" x14ac:dyDescent="0.3">
      <c r="E86" s="35"/>
      <c r="F86" s="102"/>
      <c r="G86" s="102"/>
      <c r="H86" s="101" t="s">
        <v>118</v>
      </c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37"/>
    </row>
    <row r="87" spans="5:35" x14ac:dyDescent="0.3">
      <c r="E87" s="35"/>
      <c r="F87" s="102"/>
      <c r="G87" s="102"/>
      <c r="H87" s="102"/>
      <c r="I87" s="101">
        <v>2010</v>
      </c>
      <c r="J87" s="101">
        <v>2011</v>
      </c>
      <c r="K87" s="101">
        <v>2012</v>
      </c>
      <c r="L87" s="101">
        <v>2013</v>
      </c>
      <c r="M87" s="101">
        <v>2014</v>
      </c>
      <c r="N87" s="101">
        <v>2015</v>
      </c>
      <c r="O87" s="101">
        <v>2016</v>
      </c>
      <c r="P87" s="101">
        <v>2017</v>
      </c>
      <c r="Q87" s="101">
        <v>2018</v>
      </c>
      <c r="R87" s="101">
        <v>2019</v>
      </c>
      <c r="S87" s="101">
        <v>2020</v>
      </c>
      <c r="T87" s="101">
        <v>2021</v>
      </c>
      <c r="U87" s="101">
        <v>2022</v>
      </c>
      <c r="V87" s="101">
        <v>2023</v>
      </c>
      <c r="W87" s="101">
        <v>2024</v>
      </c>
      <c r="X87" s="101">
        <v>2025</v>
      </c>
      <c r="Y87" s="101">
        <v>2026</v>
      </c>
      <c r="Z87" s="101">
        <v>2027</v>
      </c>
      <c r="AA87" s="101">
        <v>2028</v>
      </c>
      <c r="AB87" s="101">
        <v>2029</v>
      </c>
      <c r="AC87" s="101">
        <v>2030</v>
      </c>
      <c r="AD87" s="101">
        <v>2031</v>
      </c>
      <c r="AE87" s="101">
        <v>2032</v>
      </c>
      <c r="AF87" s="101">
        <v>2033</v>
      </c>
      <c r="AG87" s="101">
        <v>2034</v>
      </c>
      <c r="AH87" s="101">
        <v>2035</v>
      </c>
      <c r="AI87" s="37"/>
    </row>
    <row r="88" spans="5:35" x14ac:dyDescent="0.3">
      <c r="E88" s="35"/>
      <c r="F88" s="102"/>
      <c r="G88" s="102"/>
      <c r="H88" s="101" t="s">
        <v>102</v>
      </c>
      <c r="I88" s="118">
        <v>3.17</v>
      </c>
      <c r="J88" s="118">
        <v>3.17</v>
      </c>
      <c r="K88" s="118">
        <v>3.17</v>
      </c>
      <c r="L88" s="118">
        <v>3.17</v>
      </c>
      <c r="M88" s="118">
        <v>3.17</v>
      </c>
      <c r="N88" s="118">
        <v>3.17</v>
      </c>
      <c r="O88" s="118">
        <v>3.17</v>
      </c>
      <c r="P88" s="118">
        <v>3.17</v>
      </c>
      <c r="Q88" s="118">
        <v>3.17</v>
      </c>
      <c r="R88" s="118">
        <v>3.17</v>
      </c>
      <c r="S88" s="118">
        <v>3.17</v>
      </c>
      <c r="T88" s="118">
        <v>3.17</v>
      </c>
      <c r="U88" s="118">
        <v>3.17</v>
      </c>
      <c r="V88" s="118">
        <v>3.17</v>
      </c>
      <c r="W88" s="118">
        <v>3.17</v>
      </c>
      <c r="X88" s="118">
        <v>3.17</v>
      </c>
      <c r="Y88" s="118">
        <v>3.17</v>
      </c>
      <c r="Z88" s="118">
        <v>3.17</v>
      </c>
      <c r="AA88" s="118">
        <v>3.17</v>
      </c>
      <c r="AB88" s="118">
        <v>3.17</v>
      </c>
      <c r="AC88" s="118">
        <v>3.17</v>
      </c>
      <c r="AD88" s="118">
        <v>3.17</v>
      </c>
      <c r="AE88" s="118">
        <v>3.17</v>
      </c>
      <c r="AF88" s="118">
        <v>3.17</v>
      </c>
      <c r="AG88" s="118">
        <v>3.17</v>
      </c>
      <c r="AH88" s="118">
        <v>3.17</v>
      </c>
      <c r="AI88" s="37"/>
    </row>
    <row r="89" spans="5:35" x14ac:dyDescent="0.3">
      <c r="E89" s="35"/>
      <c r="F89" s="102"/>
      <c r="G89" s="102"/>
      <c r="H89" s="101" t="s">
        <v>103</v>
      </c>
      <c r="I89" s="118">
        <v>1.3</v>
      </c>
      <c r="J89" s="118">
        <v>1.3</v>
      </c>
      <c r="K89" s="118">
        <v>1.3</v>
      </c>
      <c r="L89" s="118">
        <v>1.3</v>
      </c>
      <c r="M89" s="118">
        <v>1.3</v>
      </c>
      <c r="N89" s="118">
        <v>1.3</v>
      </c>
      <c r="O89" s="118">
        <v>1.3</v>
      </c>
      <c r="P89" s="118">
        <v>1.3</v>
      </c>
      <c r="Q89" s="118">
        <v>1.3</v>
      </c>
      <c r="R89" s="118">
        <v>1.3</v>
      </c>
      <c r="S89" s="118">
        <v>1.3</v>
      </c>
      <c r="T89" s="118">
        <v>1.3</v>
      </c>
      <c r="U89" s="118">
        <v>1.3</v>
      </c>
      <c r="V89" s="118">
        <v>1.3</v>
      </c>
      <c r="W89" s="118">
        <v>1.3</v>
      </c>
      <c r="X89" s="118">
        <v>1.3</v>
      </c>
      <c r="Y89" s="118">
        <v>1.3</v>
      </c>
      <c r="Z89" s="118">
        <v>1.3</v>
      </c>
      <c r="AA89" s="118">
        <v>1.3</v>
      </c>
      <c r="AB89" s="118">
        <v>1.3</v>
      </c>
      <c r="AC89" s="118">
        <v>1.3</v>
      </c>
      <c r="AD89" s="118">
        <v>1.3</v>
      </c>
      <c r="AE89" s="118">
        <v>1.3</v>
      </c>
      <c r="AF89" s="118">
        <v>1.3</v>
      </c>
      <c r="AG89" s="118">
        <v>1.3</v>
      </c>
      <c r="AH89" s="118">
        <v>1.3</v>
      </c>
      <c r="AI89" s="37"/>
    </row>
    <row r="90" spans="5:35" x14ac:dyDescent="0.3">
      <c r="E90" s="35"/>
      <c r="F90" s="102"/>
      <c r="G90" s="102"/>
      <c r="H90" s="101" t="s">
        <v>104</v>
      </c>
      <c r="I90" s="118">
        <v>4.8</v>
      </c>
      <c r="J90" s="118">
        <v>4.8</v>
      </c>
      <c r="K90" s="118">
        <v>4.8</v>
      </c>
      <c r="L90" s="118">
        <v>4.8</v>
      </c>
      <c r="M90" s="118">
        <v>4.8</v>
      </c>
      <c r="N90" s="118">
        <v>4.8</v>
      </c>
      <c r="O90" s="118">
        <v>4.8</v>
      </c>
      <c r="P90" s="118">
        <v>4.8</v>
      </c>
      <c r="Q90" s="118">
        <v>4.8</v>
      </c>
      <c r="R90" s="118">
        <v>4.8</v>
      </c>
      <c r="S90" s="118">
        <v>4.8</v>
      </c>
      <c r="T90" s="118">
        <v>4.8</v>
      </c>
      <c r="U90" s="118">
        <v>4.8</v>
      </c>
      <c r="V90" s="118">
        <v>4.8</v>
      </c>
      <c r="W90" s="118">
        <v>4.8</v>
      </c>
      <c r="X90" s="118">
        <v>4.8</v>
      </c>
      <c r="Y90" s="118">
        <v>4.8</v>
      </c>
      <c r="Z90" s="118">
        <v>4.8</v>
      </c>
      <c r="AA90" s="118">
        <v>4.8</v>
      </c>
      <c r="AB90" s="118">
        <v>4.8</v>
      </c>
      <c r="AC90" s="118">
        <v>4.8</v>
      </c>
      <c r="AD90" s="118">
        <v>4.8</v>
      </c>
      <c r="AE90" s="118">
        <v>4.8</v>
      </c>
      <c r="AF90" s="118">
        <v>4.8</v>
      </c>
      <c r="AG90" s="118">
        <v>4.8</v>
      </c>
      <c r="AH90" s="118">
        <v>4.8</v>
      </c>
      <c r="AI90" s="37"/>
    </row>
    <row r="91" spans="5:35" x14ac:dyDescent="0.3">
      <c r="E91" s="35"/>
      <c r="F91" s="102"/>
      <c r="G91" s="102"/>
      <c r="H91" s="101" t="s">
        <v>105</v>
      </c>
      <c r="I91" s="118">
        <v>0.13800000000000001</v>
      </c>
      <c r="J91" s="118">
        <v>0.13800000000000001</v>
      </c>
      <c r="K91" s="118">
        <v>0.13800000000000001</v>
      </c>
      <c r="L91" s="118">
        <v>0.13800000000000001</v>
      </c>
      <c r="M91" s="118">
        <v>0.13800000000000001</v>
      </c>
      <c r="N91" s="118">
        <v>0.13800000000000001</v>
      </c>
      <c r="O91" s="118">
        <v>0.13800000000000001</v>
      </c>
      <c r="P91" s="118">
        <v>0.13800000000000001</v>
      </c>
      <c r="Q91" s="118">
        <v>0.13800000000000001</v>
      </c>
      <c r="R91" s="118">
        <v>0.13800000000000001</v>
      </c>
      <c r="S91" s="118">
        <v>0.13800000000000001</v>
      </c>
      <c r="T91" s="118">
        <v>0.13800000000000001</v>
      </c>
      <c r="U91" s="118">
        <v>0.13800000000000001</v>
      </c>
      <c r="V91" s="118">
        <v>0.13800000000000001</v>
      </c>
      <c r="W91" s="118">
        <v>0.13800000000000001</v>
      </c>
      <c r="X91" s="118">
        <v>0.13800000000000001</v>
      </c>
      <c r="Y91" s="118">
        <v>0.13800000000000001</v>
      </c>
      <c r="Z91" s="118">
        <v>0.13800000000000001</v>
      </c>
      <c r="AA91" s="118">
        <v>0.13800000000000001</v>
      </c>
      <c r="AB91" s="118">
        <v>0.13800000000000001</v>
      </c>
      <c r="AC91" s="118">
        <v>0.13800000000000001</v>
      </c>
      <c r="AD91" s="118">
        <v>0.13800000000000001</v>
      </c>
      <c r="AE91" s="118">
        <v>0.13800000000000001</v>
      </c>
      <c r="AF91" s="118">
        <v>0.13800000000000001</v>
      </c>
      <c r="AG91" s="118">
        <v>0.13800000000000001</v>
      </c>
      <c r="AH91" s="118">
        <v>0.13800000000000001</v>
      </c>
      <c r="AI91" s="37"/>
    </row>
    <row r="92" spans="5:35" x14ac:dyDescent="0.3">
      <c r="E92" s="35"/>
      <c r="F92" s="102"/>
      <c r="G92" s="102"/>
      <c r="H92" s="101" t="s">
        <v>106</v>
      </c>
      <c r="I92" s="118">
        <v>12.4</v>
      </c>
      <c r="J92" s="118">
        <v>12.4</v>
      </c>
      <c r="K92" s="118">
        <v>12.4</v>
      </c>
      <c r="L92" s="118">
        <v>12.4</v>
      </c>
      <c r="M92" s="118">
        <v>12.4</v>
      </c>
      <c r="N92" s="118">
        <v>12.4</v>
      </c>
      <c r="O92" s="118">
        <v>12.4</v>
      </c>
      <c r="P92" s="118">
        <v>12.4</v>
      </c>
      <c r="Q92" s="118">
        <v>12.4</v>
      </c>
      <c r="R92" s="118">
        <v>12.4</v>
      </c>
      <c r="S92" s="118">
        <v>12.4</v>
      </c>
      <c r="T92" s="118">
        <v>12.4</v>
      </c>
      <c r="U92" s="118">
        <v>12.4</v>
      </c>
      <c r="V92" s="118">
        <v>12.4</v>
      </c>
      <c r="W92" s="118">
        <v>12.4</v>
      </c>
      <c r="X92" s="118">
        <v>12.4</v>
      </c>
      <c r="Y92" s="118">
        <v>12.4</v>
      </c>
      <c r="Z92" s="118">
        <v>12.4</v>
      </c>
      <c r="AA92" s="118">
        <v>12.4</v>
      </c>
      <c r="AB92" s="118">
        <v>12.4</v>
      </c>
      <c r="AC92" s="118">
        <v>12.4</v>
      </c>
      <c r="AD92" s="118">
        <v>12.4</v>
      </c>
      <c r="AE92" s="118">
        <v>12.4</v>
      </c>
      <c r="AF92" s="118">
        <v>12.4</v>
      </c>
      <c r="AG92" s="118">
        <v>12.4</v>
      </c>
      <c r="AH92" s="118">
        <v>12.4</v>
      </c>
      <c r="AI92" s="37"/>
    </row>
    <row r="93" spans="5:35" x14ac:dyDescent="0.3">
      <c r="E93" s="35"/>
      <c r="F93" s="102"/>
      <c r="G93" s="102"/>
      <c r="H93" s="101" t="s">
        <v>107</v>
      </c>
      <c r="I93" s="118">
        <v>0.67700000000000005</v>
      </c>
      <c r="J93" s="118">
        <v>0.67700000000000005</v>
      </c>
      <c r="K93" s="118">
        <v>0.67700000000000005</v>
      </c>
      <c r="L93" s="118">
        <v>0.67700000000000005</v>
      </c>
      <c r="M93" s="118">
        <v>0.67700000000000005</v>
      </c>
      <c r="N93" s="118">
        <v>0.67700000000000005</v>
      </c>
      <c r="O93" s="118">
        <v>0.67700000000000005</v>
      </c>
      <c r="P93" s="118">
        <v>0.67700000000000005</v>
      </c>
      <c r="Q93" s="118">
        <v>0.67700000000000005</v>
      </c>
      <c r="R93" s="118">
        <v>0.67700000000000005</v>
      </c>
      <c r="S93" s="118">
        <v>0.67700000000000005</v>
      </c>
      <c r="T93" s="118">
        <v>0.67700000000000005</v>
      </c>
      <c r="U93" s="118">
        <v>0.67700000000000005</v>
      </c>
      <c r="V93" s="118">
        <v>0.67700000000000005</v>
      </c>
      <c r="W93" s="118">
        <v>0.67700000000000005</v>
      </c>
      <c r="X93" s="118">
        <v>0.67700000000000005</v>
      </c>
      <c r="Y93" s="118">
        <v>0.67700000000000005</v>
      </c>
      <c r="Z93" s="118">
        <v>0.67700000000000005</v>
      </c>
      <c r="AA93" s="118">
        <v>0.67700000000000005</v>
      </c>
      <c r="AB93" s="118">
        <v>0.67700000000000005</v>
      </c>
      <c r="AC93" s="118">
        <v>0.67700000000000005</v>
      </c>
      <c r="AD93" s="118">
        <v>0.67700000000000005</v>
      </c>
      <c r="AE93" s="118">
        <v>0.67700000000000005</v>
      </c>
      <c r="AF93" s="118">
        <v>0.67700000000000005</v>
      </c>
      <c r="AG93" s="118">
        <v>0.67700000000000005</v>
      </c>
      <c r="AH93" s="118">
        <v>0.67700000000000005</v>
      </c>
      <c r="AI93" s="37"/>
    </row>
    <row r="94" spans="5:35" x14ac:dyDescent="0.3">
      <c r="E94" s="35"/>
      <c r="F94" s="102"/>
      <c r="G94" s="102"/>
      <c r="H94" s="101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37"/>
    </row>
    <row r="95" spans="5:35" x14ac:dyDescent="0.3">
      <c r="E95" s="35"/>
      <c r="F95" s="102"/>
      <c r="G95" s="102"/>
      <c r="H95" s="101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37"/>
    </row>
    <row r="96" spans="5:35" x14ac:dyDescent="0.3">
      <c r="E96" s="35"/>
      <c r="F96" s="102"/>
      <c r="G96" s="102"/>
      <c r="H96" s="101" t="s">
        <v>120</v>
      </c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37"/>
    </row>
    <row r="97" spans="5:35" x14ac:dyDescent="0.3">
      <c r="E97" s="35"/>
      <c r="F97" s="102"/>
      <c r="G97" s="102"/>
      <c r="H97" s="102"/>
      <c r="I97" s="101">
        <v>2010</v>
      </c>
      <c r="J97" s="101">
        <v>2011</v>
      </c>
      <c r="K97" s="101">
        <v>2012</v>
      </c>
      <c r="L97" s="101">
        <v>2013</v>
      </c>
      <c r="M97" s="101">
        <v>2014</v>
      </c>
      <c r="N97" s="101">
        <v>2015</v>
      </c>
      <c r="O97" s="101">
        <v>2016</v>
      </c>
      <c r="P97" s="101">
        <v>2017</v>
      </c>
      <c r="Q97" s="101">
        <v>2018</v>
      </c>
      <c r="R97" s="101">
        <v>2019</v>
      </c>
      <c r="S97" s="101">
        <v>2020</v>
      </c>
      <c r="T97" s="101">
        <v>2021</v>
      </c>
      <c r="U97" s="101">
        <v>2022</v>
      </c>
      <c r="V97" s="101">
        <v>2023</v>
      </c>
      <c r="W97" s="101">
        <v>2024</v>
      </c>
      <c r="X97" s="101">
        <v>2025</v>
      </c>
      <c r="Y97" s="101">
        <v>2026</v>
      </c>
      <c r="Z97" s="101">
        <v>2027</v>
      </c>
      <c r="AA97" s="101">
        <v>2028</v>
      </c>
      <c r="AB97" s="101">
        <v>2029</v>
      </c>
      <c r="AC97" s="101">
        <v>2030</v>
      </c>
      <c r="AD97" s="101">
        <v>2031</v>
      </c>
      <c r="AE97" s="101">
        <v>2032</v>
      </c>
      <c r="AF97" s="101">
        <v>2033</v>
      </c>
      <c r="AG97" s="101">
        <v>2034</v>
      </c>
      <c r="AH97" s="101">
        <v>2035</v>
      </c>
      <c r="AI97" s="37"/>
    </row>
    <row r="98" spans="5:35" x14ac:dyDescent="0.3">
      <c r="E98" s="35"/>
      <c r="F98" s="102"/>
      <c r="G98" s="102"/>
      <c r="H98" s="101" t="s">
        <v>102</v>
      </c>
      <c r="I98" s="118">
        <f>ROUND(I77/I88,4)</f>
        <v>9.1000000000000004E-3</v>
      </c>
      <c r="J98" s="118">
        <f>ROUND(J77/J88,4)</f>
        <v>1.0800000000000001E-2</v>
      </c>
      <c r="K98" s="118">
        <f>ROUND(K77/K88,4)</f>
        <v>1.26E-2</v>
      </c>
      <c r="L98" s="118">
        <f>ROUND(L77/L88,4)</f>
        <v>1.37E-2</v>
      </c>
      <c r="M98" s="118">
        <f>ROUND(M77/M88,4)</f>
        <v>1.01E-2</v>
      </c>
      <c r="N98" s="118">
        <f>ROUND(N77/N88,4)</f>
        <v>8.5000000000000006E-3</v>
      </c>
      <c r="O98" s="118">
        <f>ROUND(O77/O88,4)</f>
        <v>6.7000000000000002E-3</v>
      </c>
      <c r="P98" s="118">
        <f>ROUND(P77/P88,4)</f>
        <v>6.3E-3</v>
      </c>
      <c r="Q98" s="118">
        <f>ROUND(Q77/Q88,4)</f>
        <v>6.7999999999999996E-3</v>
      </c>
      <c r="R98" s="118">
        <f>ROUND(R77/R88,4)</f>
        <v>6.5199999999999994E-2</v>
      </c>
      <c r="S98" s="118">
        <f>ROUND(S77/S88,4)</f>
        <v>9.5399999999999999E-2</v>
      </c>
      <c r="T98" s="118">
        <f>ROUND(T77/T88,4)</f>
        <v>0.1172</v>
      </c>
      <c r="U98" s="118">
        <f>ROUND(U77/U88,4)</f>
        <v>0.18540000000000001</v>
      </c>
      <c r="V98" s="118">
        <f t="shared" ref="V98:AH98" si="49">ROUND(V77/V88,4)</f>
        <v>0.2258</v>
      </c>
      <c r="W98" s="118">
        <f t="shared" si="49"/>
        <v>0.26619999999999999</v>
      </c>
      <c r="X98" s="118">
        <f t="shared" si="49"/>
        <v>0.30659999999999998</v>
      </c>
      <c r="Y98" s="118">
        <f t="shared" si="49"/>
        <v>0.34689999999999999</v>
      </c>
      <c r="Z98" s="118">
        <f t="shared" si="49"/>
        <v>0.38729999999999998</v>
      </c>
      <c r="AA98" s="118">
        <f t="shared" si="49"/>
        <v>0.42770000000000002</v>
      </c>
      <c r="AB98" s="118">
        <f t="shared" si="49"/>
        <v>0.46810000000000002</v>
      </c>
      <c r="AC98" s="118">
        <f t="shared" si="49"/>
        <v>0.50849999999999995</v>
      </c>
      <c r="AD98" s="118">
        <f t="shared" si="49"/>
        <v>0.50960000000000005</v>
      </c>
      <c r="AE98" s="118">
        <f t="shared" si="49"/>
        <v>0.51060000000000005</v>
      </c>
      <c r="AF98" s="118">
        <f t="shared" si="49"/>
        <v>0.51170000000000004</v>
      </c>
      <c r="AG98" s="118">
        <f t="shared" si="49"/>
        <v>0.51280000000000003</v>
      </c>
      <c r="AH98" s="118">
        <f t="shared" si="49"/>
        <v>0.51390000000000002</v>
      </c>
      <c r="AI98" s="37"/>
    </row>
    <row r="99" spans="5:35" x14ac:dyDescent="0.3">
      <c r="E99" s="35"/>
      <c r="F99" s="102"/>
      <c r="G99" s="102"/>
      <c r="H99" s="101" t="s">
        <v>103</v>
      </c>
      <c r="I99" s="118">
        <f>ROUND(I78/I89,4)</f>
        <v>7.9399999999999998E-2</v>
      </c>
      <c r="J99" s="118">
        <f>ROUND(J78/J89,4)</f>
        <v>9.06E-2</v>
      </c>
      <c r="K99" s="118">
        <f>ROUND(K78/K89,4)</f>
        <v>0.1235</v>
      </c>
      <c r="L99" s="118">
        <f>ROUND(L78/L89,4)</f>
        <v>0.1658</v>
      </c>
      <c r="M99" s="118">
        <f>ROUND(M78/M89,4)</f>
        <v>0.22550000000000001</v>
      </c>
      <c r="N99" s="118">
        <f>ROUND(N78/N89,4)</f>
        <v>0.27650000000000002</v>
      </c>
      <c r="O99" s="118">
        <f>ROUND(O78/O89,4)</f>
        <v>0.30719999999999997</v>
      </c>
      <c r="P99" s="118">
        <f>ROUND(P78/P89,4)</f>
        <v>0.3382</v>
      </c>
      <c r="Q99" s="118">
        <f>ROUND(Q78/Q89,4)</f>
        <v>0.36280000000000001</v>
      </c>
      <c r="R99" s="118">
        <f>ROUND(R78/R89,4)</f>
        <v>0.39779999999999999</v>
      </c>
      <c r="S99" s="118">
        <f>ROUND(S78/S89,4)</f>
        <v>0.42699999999999999</v>
      </c>
      <c r="T99" s="118">
        <f>ROUND(T78/T89,4)</f>
        <v>0.41220000000000001</v>
      </c>
      <c r="U99" s="118">
        <f>ROUND(U78/U89,4)</f>
        <v>0.46910000000000002</v>
      </c>
      <c r="V99" s="118">
        <f t="shared" ref="V99:AH99" si="50">ROUND(V78/V89,4)</f>
        <v>0.57130000000000003</v>
      </c>
      <c r="W99" s="118">
        <f t="shared" si="50"/>
        <v>0.67349999999999999</v>
      </c>
      <c r="X99" s="118">
        <f t="shared" si="50"/>
        <v>0.77569999999999995</v>
      </c>
      <c r="Y99" s="118">
        <f t="shared" si="50"/>
        <v>0.87780000000000002</v>
      </c>
      <c r="Z99" s="118">
        <f t="shared" si="50"/>
        <v>0.98</v>
      </c>
      <c r="AA99" s="118">
        <f t="shared" si="50"/>
        <v>1.0822000000000001</v>
      </c>
      <c r="AB99" s="118">
        <f t="shared" si="50"/>
        <v>1.1843999999999999</v>
      </c>
      <c r="AC99" s="118">
        <f t="shared" si="50"/>
        <v>1.2865</v>
      </c>
      <c r="AD99" s="118">
        <f t="shared" si="50"/>
        <v>1.2892999999999999</v>
      </c>
      <c r="AE99" s="118">
        <f t="shared" si="50"/>
        <v>1.292</v>
      </c>
      <c r="AF99" s="118">
        <f t="shared" si="50"/>
        <v>1.2947</v>
      </c>
      <c r="AG99" s="118">
        <f t="shared" si="50"/>
        <v>1.2974000000000001</v>
      </c>
      <c r="AH99" s="118">
        <f t="shared" si="50"/>
        <v>1.3001</v>
      </c>
      <c r="AI99" s="37"/>
    </row>
    <row r="100" spans="5:35" x14ac:dyDescent="0.3">
      <c r="E100" s="35"/>
      <c r="F100" s="102"/>
      <c r="G100" s="102"/>
      <c r="H100" s="101" t="s">
        <v>104</v>
      </c>
      <c r="I100" s="118">
        <f>ROUND(I79/I90,4)</f>
        <v>7.7999999999999996E-3</v>
      </c>
      <c r="J100" s="118">
        <f>ROUND(J79/J90,4)</f>
        <v>1.09E-2</v>
      </c>
      <c r="K100" s="118">
        <f>ROUND(K79/K90,4)</f>
        <v>1.2500000000000001E-2</v>
      </c>
      <c r="L100" s="118">
        <f>ROUND(L79/L90,4)</f>
        <v>9.4000000000000004E-3</v>
      </c>
      <c r="M100" s="118">
        <f>ROUND(M79/M90,4)</f>
        <v>6.3E-3</v>
      </c>
      <c r="N100" s="118">
        <f>ROUND(N79/N90,4)</f>
        <v>8.6E-3</v>
      </c>
      <c r="O100" s="118">
        <f>ROUND(O79/O90,4)</f>
        <v>8.5000000000000006E-3</v>
      </c>
      <c r="P100" s="118">
        <f>ROUND(P79/P90,4)</f>
        <v>6.0000000000000001E-3</v>
      </c>
      <c r="Q100" s="118">
        <f>ROUND(Q79/Q90,4)</f>
        <v>3.8999999999999998E-3</v>
      </c>
      <c r="R100" s="118">
        <f>ROUND(R79/R90,4)</f>
        <v>4.0899999999999999E-2</v>
      </c>
      <c r="S100" s="118">
        <f>ROUND(S79/S90,4)</f>
        <v>6.6199999999999995E-2</v>
      </c>
      <c r="T100" s="118">
        <f>ROUND(T79/T90,4)</f>
        <v>7.9699999999999993E-2</v>
      </c>
      <c r="U100" s="118">
        <f>ROUND(U79/U90,4)</f>
        <v>0.1464</v>
      </c>
      <c r="V100" s="118">
        <f t="shared" ref="V100:AH100" si="51">ROUND(V79/V90,4)</f>
        <v>0.17829999999999999</v>
      </c>
      <c r="W100" s="118">
        <f t="shared" si="51"/>
        <v>0.21010000000000001</v>
      </c>
      <c r="X100" s="118">
        <f t="shared" si="51"/>
        <v>0.24199999999999999</v>
      </c>
      <c r="Y100" s="118">
        <f t="shared" si="51"/>
        <v>0.27389999999999998</v>
      </c>
      <c r="Z100" s="118">
        <f t="shared" si="51"/>
        <v>0.30580000000000002</v>
      </c>
      <c r="AA100" s="118">
        <f t="shared" si="51"/>
        <v>0.3377</v>
      </c>
      <c r="AB100" s="118">
        <f t="shared" si="51"/>
        <v>0.36959999999999998</v>
      </c>
      <c r="AC100" s="118">
        <f t="shared" si="51"/>
        <v>0.40139999999999998</v>
      </c>
      <c r="AD100" s="118">
        <f t="shared" si="51"/>
        <v>0.40229999999999999</v>
      </c>
      <c r="AE100" s="118">
        <f t="shared" si="51"/>
        <v>0.40310000000000001</v>
      </c>
      <c r="AF100" s="118">
        <f t="shared" si="51"/>
        <v>0.40400000000000003</v>
      </c>
      <c r="AG100" s="118">
        <f t="shared" si="51"/>
        <v>0.40479999999999999</v>
      </c>
      <c r="AH100" s="118">
        <f t="shared" si="51"/>
        <v>0.40570000000000001</v>
      </c>
      <c r="AI100" s="37"/>
    </row>
    <row r="101" spans="5:35" x14ac:dyDescent="0.3">
      <c r="E101" s="35"/>
      <c r="F101" s="102"/>
      <c r="G101" s="102"/>
      <c r="H101" s="101" t="s">
        <v>105</v>
      </c>
      <c r="I101" s="118">
        <f>ROUND(I80/I91,4)</f>
        <v>0</v>
      </c>
      <c r="J101" s="118">
        <f>ROUND(J80/J91,4)</f>
        <v>0</v>
      </c>
      <c r="K101" s="118">
        <f>ROUND(K80/K91,4)</f>
        <v>0</v>
      </c>
      <c r="L101" s="118">
        <f>ROUND(L80/L91,4)</f>
        <v>6.9999999999999999E-4</v>
      </c>
      <c r="M101" s="118">
        <f>ROUND(M80/M91,4)</f>
        <v>1.4E-3</v>
      </c>
      <c r="N101" s="118">
        <f>ROUND(N80/N91,4)</f>
        <v>6.9999999999999999E-4</v>
      </c>
      <c r="O101" s="118">
        <f>ROUND(O80/O91,4)</f>
        <v>1.4E-3</v>
      </c>
      <c r="P101" s="118">
        <f>ROUND(P80/P91,4)</f>
        <v>1.4E-3</v>
      </c>
      <c r="Q101" s="118">
        <f>ROUND(Q80/Q91,4)</f>
        <v>6.9999999999999999E-4</v>
      </c>
      <c r="R101" s="118">
        <f>ROUND(R80/R91,4)</f>
        <v>6.9999999999999999E-4</v>
      </c>
      <c r="S101" s="118">
        <f>ROUND(S80/S91,4)</f>
        <v>6.9999999999999999E-4</v>
      </c>
      <c r="T101" s="118">
        <f>ROUND(T80/T91,4)</f>
        <v>1.4E-3</v>
      </c>
      <c r="U101" s="118">
        <f>ROUND(U80/U91,4)</f>
        <v>2.2000000000000001E-3</v>
      </c>
      <c r="V101" s="118">
        <f t="shared" ref="V101:AH101" si="52">ROUND(V80/V91,4)</f>
        <v>2.3999999999999998E-3</v>
      </c>
      <c r="W101" s="118">
        <f t="shared" si="52"/>
        <v>2.8999999999999998E-3</v>
      </c>
      <c r="X101" s="118">
        <f t="shared" si="52"/>
        <v>3.3E-3</v>
      </c>
      <c r="Y101" s="118">
        <f t="shared" si="52"/>
        <v>3.8E-3</v>
      </c>
      <c r="Z101" s="118">
        <f t="shared" si="52"/>
        <v>4.1999999999999997E-3</v>
      </c>
      <c r="AA101" s="118">
        <f t="shared" si="52"/>
        <v>4.5999999999999999E-3</v>
      </c>
      <c r="AB101" s="118">
        <f t="shared" si="52"/>
        <v>5.1000000000000004E-3</v>
      </c>
      <c r="AC101" s="118">
        <f t="shared" si="52"/>
        <v>5.4999999999999997E-3</v>
      </c>
      <c r="AD101" s="118">
        <f t="shared" si="52"/>
        <v>5.4999999999999997E-3</v>
      </c>
      <c r="AE101" s="118">
        <f t="shared" si="52"/>
        <v>5.4999999999999997E-3</v>
      </c>
      <c r="AF101" s="118">
        <f t="shared" si="52"/>
        <v>5.4999999999999997E-3</v>
      </c>
      <c r="AG101" s="118">
        <f t="shared" si="52"/>
        <v>5.5999999999999999E-3</v>
      </c>
      <c r="AH101" s="118">
        <f t="shared" si="52"/>
        <v>5.5999999999999999E-3</v>
      </c>
      <c r="AI101" s="37"/>
    </row>
    <row r="102" spans="5:35" x14ac:dyDescent="0.3">
      <c r="E102" s="35"/>
      <c r="F102" s="102"/>
      <c r="G102" s="102"/>
      <c r="H102" s="101" t="s">
        <v>106</v>
      </c>
      <c r="I102" s="118">
        <f>ROUND(I81/I92,4)</f>
        <v>3.3999999999999998E-3</v>
      </c>
      <c r="J102" s="118">
        <f>ROUND(J81/J92,4)</f>
        <v>2.5999999999999999E-3</v>
      </c>
      <c r="K102" s="118">
        <f>ROUND(K81/K92,4)</f>
        <v>2E-3</v>
      </c>
      <c r="L102" s="118">
        <f>ROUND(L81/L92,4)</f>
        <v>1.5E-3</v>
      </c>
      <c r="M102" s="118">
        <f>ROUND(M81/M92,4)</f>
        <v>1.1000000000000001E-3</v>
      </c>
      <c r="N102" s="118">
        <f>ROUND(N81/N92,4)</f>
        <v>8.9999999999999998E-4</v>
      </c>
      <c r="O102" s="118">
        <f>ROUND(O81/O92,4)</f>
        <v>5.9999999999999995E-4</v>
      </c>
      <c r="P102" s="118">
        <f>ROUND(P81/P92,4)</f>
        <v>5.0000000000000001E-4</v>
      </c>
      <c r="Q102" s="118">
        <f>ROUND(Q81/Q92,4)</f>
        <v>4.0000000000000002E-4</v>
      </c>
      <c r="R102" s="118">
        <f>ROUND(R81/R92,4)</f>
        <v>2.9999999999999997E-4</v>
      </c>
      <c r="S102" s="118">
        <f>ROUND(S81/S92,4)</f>
        <v>2.9999999999999997E-4</v>
      </c>
      <c r="T102" s="118">
        <f>ROUND(T81/T92,4)</f>
        <v>2.0000000000000001E-4</v>
      </c>
      <c r="U102" s="118">
        <f>ROUND(U81/U92,4)</f>
        <v>5.9999999999999995E-4</v>
      </c>
      <c r="V102" s="118">
        <f t="shared" ref="V102:AH102" si="53">ROUND(V81/V92,4)</f>
        <v>6.9999999999999999E-4</v>
      </c>
      <c r="W102" s="118">
        <f t="shared" si="53"/>
        <v>8.0000000000000004E-4</v>
      </c>
      <c r="X102" s="118">
        <f t="shared" si="53"/>
        <v>1E-3</v>
      </c>
      <c r="Y102" s="118">
        <f t="shared" si="53"/>
        <v>1.1000000000000001E-3</v>
      </c>
      <c r="Z102" s="118">
        <f t="shared" si="53"/>
        <v>1.1999999999999999E-3</v>
      </c>
      <c r="AA102" s="118">
        <f t="shared" si="53"/>
        <v>1.2999999999999999E-3</v>
      </c>
      <c r="AB102" s="118">
        <f t="shared" si="53"/>
        <v>1.5E-3</v>
      </c>
      <c r="AC102" s="118">
        <f t="shared" si="53"/>
        <v>1.6000000000000001E-3</v>
      </c>
      <c r="AD102" s="118">
        <f t="shared" si="53"/>
        <v>1.6000000000000001E-3</v>
      </c>
      <c r="AE102" s="118">
        <f t="shared" si="53"/>
        <v>1.6000000000000001E-3</v>
      </c>
      <c r="AF102" s="118">
        <f t="shared" si="53"/>
        <v>1.6000000000000001E-3</v>
      </c>
      <c r="AG102" s="118">
        <f t="shared" si="53"/>
        <v>1.6000000000000001E-3</v>
      </c>
      <c r="AH102" s="118">
        <f t="shared" si="53"/>
        <v>1.6000000000000001E-3</v>
      </c>
      <c r="AI102" s="37"/>
    </row>
    <row r="103" spans="5:35" x14ac:dyDescent="0.3">
      <c r="E103" s="35"/>
      <c r="F103" s="102"/>
      <c r="G103" s="102"/>
      <c r="H103" s="101" t="s">
        <v>107</v>
      </c>
      <c r="I103" s="118">
        <f>ROUND(I82/I93,4)</f>
        <v>4.3E-3</v>
      </c>
      <c r="J103" s="118">
        <f>ROUND(J82/J93,4)</f>
        <v>3.8E-3</v>
      </c>
      <c r="K103" s="118">
        <f>ROUND(K82/K93,4)</f>
        <v>5.1999999999999998E-3</v>
      </c>
      <c r="L103" s="118">
        <f>ROUND(L82/L93,4)</f>
        <v>6.8999999999999999E-3</v>
      </c>
      <c r="M103" s="118">
        <f>ROUND(M82/M93,4)</f>
        <v>6.1999999999999998E-3</v>
      </c>
      <c r="N103" s="118">
        <f>ROUND(N82/N93,4)</f>
        <v>5.4999999999999997E-3</v>
      </c>
      <c r="O103" s="118">
        <f>ROUND(O82/O93,4)</f>
        <v>5.0000000000000001E-3</v>
      </c>
      <c r="P103" s="118">
        <f>ROUND(P82/P93,4)</f>
        <v>4.4000000000000003E-3</v>
      </c>
      <c r="Q103" s="118">
        <f>ROUND(Q82/Q93,4)</f>
        <v>4.0000000000000001E-3</v>
      </c>
      <c r="R103" s="118">
        <f>ROUND(R82/R93,4)</f>
        <v>2.3199999999999998E-2</v>
      </c>
      <c r="S103" s="118">
        <f>ROUND(S82/S93,4)</f>
        <v>3.5900000000000001E-2</v>
      </c>
      <c r="T103" s="118">
        <f>ROUND(T82/T93,4)</f>
        <v>4.7899999999999998E-2</v>
      </c>
      <c r="U103" s="118">
        <f>ROUND(U82/U93,4)</f>
        <v>7.3700000000000002E-2</v>
      </c>
      <c r="V103" s="118">
        <f t="shared" ref="V103:AH103" si="54">ROUND(V82/V93,4)</f>
        <v>8.9800000000000005E-2</v>
      </c>
      <c r="W103" s="118">
        <f t="shared" si="54"/>
        <v>0.10589999999999999</v>
      </c>
      <c r="X103" s="118">
        <f t="shared" si="54"/>
        <v>0.122</v>
      </c>
      <c r="Y103" s="118">
        <f t="shared" si="54"/>
        <v>0.1381</v>
      </c>
      <c r="Z103" s="118">
        <f t="shared" si="54"/>
        <v>0.15409999999999999</v>
      </c>
      <c r="AA103" s="118">
        <f t="shared" si="54"/>
        <v>0.17019999999999999</v>
      </c>
      <c r="AB103" s="118">
        <f t="shared" si="54"/>
        <v>0.18629999999999999</v>
      </c>
      <c r="AC103" s="118">
        <f t="shared" si="54"/>
        <v>0.20230000000000001</v>
      </c>
      <c r="AD103" s="118">
        <f t="shared" si="54"/>
        <v>0.20280000000000001</v>
      </c>
      <c r="AE103" s="118">
        <f t="shared" si="54"/>
        <v>0.20319999999999999</v>
      </c>
      <c r="AF103" s="118">
        <f t="shared" si="54"/>
        <v>0.2036</v>
      </c>
      <c r="AG103" s="118">
        <f t="shared" si="54"/>
        <v>0.20399999999999999</v>
      </c>
      <c r="AH103" s="118">
        <f t="shared" si="54"/>
        <v>0.20449999999999999</v>
      </c>
      <c r="AI103" s="37"/>
    </row>
    <row r="104" spans="5:35" x14ac:dyDescent="0.3">
      <c r="E104" s="35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37"/>
    </row>
    <row r="105" spans="5:35" x14ac:dyDescent="0.3">
      <c r="E105" s="35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37"/>
    </row>
    <row r="106" spans="5:35" x14ac:dyDescent="0.3">
      <c r="E106" s="35"/>
      <c r="F106" s="102"/>
      <c r="G106" s="102"/>
      <c r="H106" s="101" t="s">
        <v>119</v>
      </c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37"/>
    </row>
    <row r="107" spans="5:35" x14ac:dyDescent="0.3">
      <c r="E107" s="35"/>
      <c r="F107" s="102"/>
      <c r="G107" s="102"/>
      <c r="H107" s="102"/>
      <c r="I107" s="101">
        <v>2010</v>
      </c>
      <c r="J107" s="101">
        <v>2011</v>
      </c>
      <c r="K107" s="101">
        <v>2012</v>
      </c>
      <c r="L107" s="101">
        <v>2013</v>
      </c>
      <c r="M107" s="101">
        <v>2014</v>
      </c>
      <c r="N107" s="101">
        <v>2015</v>
      </c>
      <c r="O107" s="101">
        <v>2016</v>
      </c>
      <c r="P107" s="101">
        <v>2017</v>
      </c>
      <c r="Q107" s="101">
        <v>2018</v>
      </c>
      <c r="R107" s="101">
        <v>2019</v>
      </c>
      <c r="S107" s="101">
        <v>2020</v>
      </c>
      <c r="T107" s="101">
        <v>2021</v>
      </c>
      <c r="U107" s="101">
        <v>2022</v>
      </c>
      <c r="V107" s="101">
        <v>2023</v>
      </c>
      <c r="W107" s="101">
        <v>2024</v>
      </c>
      <c r="X107" s="101">
        <v>2025</v>
      </c>
      <c r="Y107" s="101">
        <v>2026</v>
      </c>
      <c r="Z107" s="101">
        <v>2027</v>
      </c>
      <c r="AA107" s="101">
        <v>2028</v>
      </c>
      <c r="AB107" s="101">
        <v>2029</v>
      </c>
      <c r="AC107" s="101">
        <v>2030</v>
      </c>
      <c r="AD107" s="101">
        <v>2031</v>
      </c>
      <c r="AE107" s="101">
        <v>2032</v>
      </c>
      <c r="AF107" s="101">
        <v>2033</v>
      </c>
      <c r="AG107" s="101">
        <v>2034</v>
      </c>
      <c r="AH107" s="101">
        <v>2035</v>
      </c>
      <c r="AI107" s="37"/>
    </row>
    <row r="108" spans="5:35" x14ac:dyDescent="0.3">
      <c r="E108" s="35"/>
      <c r="F108" s="102"/>
      <c r="G108" s="102"/>
      <c r="H108" s="101" t="s">
        <v>102</v>
      </c>
      <c r="I108" s="118">
        <f>I98*I88</f>
        <v>2.8847000000000001E-2</v>
      </c>
      <c r="J108" s="118">
        <f t="shared" ref="J108:AH108" si="55">J98*J88</f>
        <v>3.4236000000000003E-2</v>
      </c>
      <c r="K108" s="118">
        <f t="shared" si="55"/>
        <v>3.9941999999999998E-2</v>
      </c>
      <c r="L108" s="118">
        <f t="shared" si="55"/>
        <v>4.3429000000000002E-2</v>
      </c>
      <c r="M108" s="118">
        <f t="shared" si="55"/>
        <v>3.2016999999999997E-2</v>
      </c>
      <c r="N108" s="118">
        <f t="shared" si="55"/>
        <v>2.6945E-2</v>
      </c>
      <c r="O108" s="118">
        <f t="shared" si="55"/>
        <v>2.1239000000000001E-2</v>
      </c>
      <c r="P108" s="118">
        <f t="shared" si="55"/>
        <v>1.9970999999999999E-2</v>
      </c>
      <c r="Q108" s="118">
        <f t="shared" si="55"/>
        <v>2.1555999999999999E-2</v>
      </c>
      <c r="R108" s="118">
        <f t="shared" si="55"/>
        <v>0.20668399999999998</v>
      </c>
      <c r="S108" s="118">
        <f t="shared" si="55"/>
        <v>0.30241799999999996</v>
      </c>
      <c r="T108" s="118">
        <f t="shared" si="55"/>
        <v>0.37152399999999997</v>
      </c>
      <c r="U108" s="118">
        <f t="shared" si="55"/>
        <v>0.58771799999999996</v>
      </c>
      <c r="V108" s="118">
        <f t="shared" si="55"/>
        <v>0.71578600000000003</v>
      </c>
      <c r="W108" s="118">
        <f t="shared" si="55"/>
        <v>0.84385399999999999</v>
      </c>
      <c r="X108" s="118">
        <f t="shared" si="55"/>
        <v>0.97192199999999995</v>
      </c>
      <c r="Y108" s="118">
        <f t="shared" si="55"/>
        <v>1.0996729999999999</v>
      </c>
      <c r="Z108" s="118">
        <f t="shared" si="55"/>
        <v>1.227741</v>
      </c>
      <c r="AA108" s="118">
        <f t="shared" si="55"/>
        <v>1.355809</v>
      </c>
      <c r="AB108" s="118">
        <f t="shared" si="55"/>
        <v>1.4838770000000001</v>
      </c>
      <c r="AC108" s="118">
        <f t="shared" si="55"/>
        <v>1.6119449999999997</v>
      </c>
      <c r="AD108" s="118">
        <f t="shared" si="55"/>
        <v>1.6154320000000002</v>
      </c>
      <c r="AE108" s="118">
        <f t="shared" si="55"/>
        <v>1.6186020000000001</v>
      </c>
      <c r="AF108" s="118">
        <f t="shared" si="55"/>
        <v>1.6220890000000001</v>
      </c>
      <c r="AG108" s="118">
        <f t="shared" si="55"/>
        <v>1.6255760000000001</v>
      </c>
      <c r="AH108" s="118">
        <f t="shared" si="55"/>
        <v>1.6290629999999999</v>
      </c>
      <c r="AI108" s="37"/>
    </row>
    <row r="109" spans="5:35" x14ac:dyDescent="0.3">
      <c r="E109" s="35"/>
      <c r="F109" s="102"/>
      <c r="G109" s="102"/>
      <c r="H109" s="101" t="s">
        <v>103</v>
      </c>
      <c r="I109" s="118">
        <f>I99*I89</f>
        <v>0.10322000000000001</v>
      </c>
      <c r="J109" s="118">
        <f t="shared" ref="J109:AH109" si="56">J99*J89</f>
        <v>0.11778000000000001</v>
      </c>
      <c r="K109" s="118">
        <f t="shared" si="56"/>
        <v>0.16055</v>
      </c>
      <c r="L109" s="118">
        <f t="shared" si="56"/>
        <v>0.21554000000000001</v>
      </c>
      <c r="M109" s="118">
        <f t="shared" si="56"/>
        <v>0.29315000000000002</v>
      </c>
      <c r="N109" s="118">
        <f t="shared" si="56"/>
        <v>0.35945000000000005</v>
      </c>
      <c r="O109" s="118">
        <f t="shared" si="56"/>
        <v>0.39935999999999999</v>
      </c>
      <c r="P109" s="118">
        <f t="shared" si="56"/>
        <v>0.43966</v>
      </c>
      <c r="Q109" s="118">
        <f t="shared" si="56"/>
        <v>0.47164</v>
      </c>
      <c r="R109" s="118">
        <f t="shared" si="56"/>
        <v>0.51714000000000004</v>
      </c>
      <c r="S109" s="118">
        <f t="shared" si="56"/>
        <v>0.55510000000000004</v>
      </c>
      <c r="T109" s="118">
        <f t="shared" si="56"/>
        <v>0.53586</v>
      </c>
      <c r="U109" s="118">
        <f t="shared" si="56"/>
        <v>0.60983000000000009</v>
      </c>
      <c r="V109" s="118">
        <f t="shared" si="56"/>
        <v>0.74269000000000007</v>
      </c>
      <c r="W109" s="118">
        <f t="shared" si="56"/>
        <v>0.87555000000000005</v>
      </c>
      <c r="X109" s="118">
        <f t="shared" si="56"/>
        <v>1.00841</v>
      </c>
      <c r="Y109" s="118">
        <f t="shared" si="56"/>
        <v>1.14114</v>
      </c>
      <c r="Z109" s="118">
        <f t="shared" si="56"/>
        <v>1.274</v>
      </c>
      <c r="AA109" s="118">
        <f t="shared" si="56"/>
        <v>1.4068600000000002</v>
      </c>
      <c r="AB109" s="118">
        <f t="shared" si="56"/>
        <v>1.53972</v>
      </c>
      <c r="AC109" s="118">
        <f t="shared" si="56"/>
        <v>1.67245</v>
      </c>
      <c r="AD109" s="118">
        <f t="shared" si="56"/>
        <v>1.6760899999999999</v>
      </c>
      <c r="AE109" s="118">
        <f t="shared" si="56"/>
        <v>1.6796000000000002</v>
      </c>
      <c r="AF109" s="118">
        <f t="shared" si="56"/>
        <v>1.6831100000000001</v>
      </c>
      <c r="AG109" s="118">
        <f t="shared" si="56"/>
        <v>1.6866200000000002</v>
      </c>
      <c r="AH109" s="118">
        <f t="shared" si="56"/>
        <v>1.6901300000000001</v>
      </c>
      <c r="AI109" s="37"/>
    </row>
    <row r="110" spans="5:35" x14ac:dyDescent="0.3">
      <c r="E110" s="35"/>
      <c r="F110" s="102"/>
      <c r="G110" s="102"/>
      <c r="H110" s="101" t="s">
        <v>104</v>
      </c>
      <c r="I110" s="118">
        <f>I100*I90</f>
        <v>3.7439999999999994E-2</v>
      </c>
      <c r="J110" s="118">
        <f t="shared" ref="J110:AH110" si="57">J100*J90</f>
        <v>5.2319999999999998E-2</v>
      </c>
      <c r="K110" s="118">
        <f t="shared" si="57"/>
        <v>0.06</v>
      </c>
      <c r="L110" s="118">
        <f t="shared" si="57"/>
        <v>4.512E-2</v>
      </c>
      <c r="M110" s="118">
        <f t="shared" si="57"/>
        <v>3.024E-2</v>
      </c>
      <c r="N110" s="118">
        <f t="shared" si="57"/>
        <v>4.1279999999999997E-2</v>
      </c>
      <c r="O110" s="118">
        <f t="shared" si="57"/>
        <v>4.0800000000000003E-2</v>
      </c>
      <c r="P110" s="118">
        <f t="shared" si="57"/>
        <v>2.8799999999999999E-2</v>
      </c>
      <c r="Q110" s="118">
        <f t="shared" si="57"/>
        <v>1.8719999999999997E-2</v>
      </c>
      <c r="R110" s="118">
        <f t="shared" si="57"/>
        <v>0.19631999999999999</v>
      </c>
      <c r="S110" s="118">
        <f t="shared" si="57"/>
        <v>0.31775999999999999</v>
      </c>
      <c r="T110" s="118">
        <f t="shared" si="57"/>
        <v>0.38255999999999996</v>
      </c>
      <c r="U110" s="118">
        <f t="shared" si="57"/>
        <v>0.70272000000000001</v>
      </c>
      <c r="V110" s="118">
        <f t="shared" si="57"/>
        <v>0.85583999999999993</v>
      </c>
      <c r="W110" s="118">
        <f t="shared" si="57"/>
        <v>1.00848</v>
      </c>
      <c r="X110" s="118">
        <f t="shared" si="57"/>
        <v>1.1616</v>
      </c>
      <c r="Y110" s="118">
        <f t="shared" si="57"/>
        <v>1.3147199999999999</v>
      </c>
      <c r="Z110" s="118">
        <f t="shared" si="57"/>
        <v>1.46784</v>
      </c>
      <c r="AA110" s="118">
        <f t="shared" si="57"/>
        <v>1.62096</v>
      </c>
      <c r="AB110" s="118">
        <f t="shared" si="57"/>
        <v>1.7740799999999999</v>
      </c>
      <c r="AC110" s="118">
        <f t="shared" si="57"/>
        <v>1.9267199999999998</v>
      </c>
      <c r="AD110" s="118">
        <f t="shared" si="57"/>
        <v>1.9310399999999999</v>
      </c>
      <c r="AE110" s="118">
        <f t="shared" si="57"/>
        <v>1.9348799999999999</v>
      </c>
      <c r="AF110" s="118">
        <f t="shared" si="57"/>
        <v>1.9392</v>
      </c>
      <c r="AG110" s="118">
        <f t="shared" si="57"/>
        <v>1.9430399999999999</v>
      </c>
      <c r="AH110" s="118">
        <f t="shared" si="57"/>
        <v>1.94736</v>
      </c>
      <c r="AI110" s="37"/>
    </row>
    <row r="111" spans="5:35" x14ac:dyDescent="0.3">
      <c r="E111" s="35"/>
      <c r="F111" s="102"/>
      <c r="G111" s="102"/>
      <c r="H111" s="101" t="s">
        <v>105</v>
      </c>
      <c r="I111" s="118">
        <f>I101*I91</f>
        <v>0</v>
      </c>
      <c r="J111" s="118">
        <f t="shared" ref="J111:AH111" si="58">J101*J91</f>
        <v>0</v>
      </c>
      <c r="K111" s="118">
        <f t="shared" si="58"/>
        <v>0</v>
      </c>
      <c r="L111" s="118">
        <f t="shared" si="58"/>
        <v>9.6600000000000003E-5</v>
      </c>
      <c r="M111" s="118">
        <f t="shared" si="58"/>
        <v>1.9320000000000001E-4</v>
      </c>
      <c r="N111" s="118">
        <f t="shared" si="58"/>
        <v>9.6600000000000003E-5</v>
      </c>
      <c r="O111" s="118">
        <f t="shared" si="58"/>
        <v>1.9320000000000001E-4</v>
      </c>
      <c r="P111" s="118">
        <f t="shared" si="58"/>
        <v>1.9320000000000001E-4</v>
      </c>
      <c r="Q111" s="118">
        <f t="shared" si="58"/>
        <v>9.6600000000000003E-5</v>
      </c>
      <c r="R111" s="118">
        <f t="shared" si="58"/>
        <v>9.6600000000000003E-5</v>
      </c>
      <c r="S111" s="118">
        <f t="shared" si="58"/>
        <v>9.6600000000000003E-5</v>
      </c>
      <c r="T111" s="118">
        <f t="shared" si="58"/>
        <v>1.9320000000000001E-4</v>
      </c>
      <c r="U111" s="118">
        <f t="shared" si="58"/>
        <v>3.0360000000000006E-4</v>
      </c>
      <c r="V111" s="118">
        <f t="shared" si="58"/>
        <v>3.3119999999999997E-4</v>
      </c>
      <c r="W111" s="118">
        <f t="shared" si="58"/>
        <v>4.0020000000000002E-4</v>
      </c>
      <c r="X111" s="118">
        <f t="shared" si="58"/>
        <v>4.5540000000000001E-4</v>
      </c>
      <c r="Y111" s="118">
        <f t="shared" si="58"/>
        <v>5.2440000000000006E-4</v>
      </c>
      <c r="Z111" s="118">
        <f t="shared" si="58"/>
        <v>5.7959999999999999E-4</v>
      </c>
      <c r="AA111" s="118">
        <f t="shared" si="58"/>
        <v>6.3480000000000003E-4</v>
      </c>
      <c r="AB111" s="118">
        <f t="shared" si="58"/>
        <v>7.0380000000000009E-4</v>
      </c>
      <c r="AC111" s="118">
        <f t="shared" si="58"/>
        <v>7.5900000000000002E-4</v>
      </c>
      <c r="AD111" s="118">
        <f t="shared" si="58"/>
        <v>7.5900000000000002E-4</v>
      </c>
      <c r="AE111" s="118">
        <f t="shared" si="58"/>
        <v>7.5900000000000002E-4</v>
      </c>
      <c r="AF111" s="118">
        <f t="shared" si="58"/>
        <v>7.5900000000000002E-4</v>
      </c>
      <c r="AG111" s="118">
        <f t="shared" si="58"/>
        <v>7.7280000000000003E-4</v>
      </c>
      <c r="AH111" s="118">
        <f t="shared" si="58"/>
        <v>7.7280000000000003E-4</v>
      </c>
      <c r="AI111" s="37"/>
    </row>
    <row r="112" spans="5:35" x14ac:dyDescent="0.3">
      <c r="E112" s="35"/>
      <c r="F112" s="102"/>
      <c r="G112" s="102"/>
      <c r="H112" s="101" t="s">
        <v>106</v>
      </c>
      <c r="I112" s="118">
        <f>I102*I92</f>
        <v>4.2159999999999996E-2</v>
      </c>
      <c r="J112" s="118">
        <f t="shared" ref="J112:AH112" si="59">J102*J92</f>
        <v>3.2239999999999998E-2</v>
      </c>
      <c r="K112" s="118">
        <f t="shared" si="59"/>
        <v>2.4800000000000003E-2</v>
      </c>
      <c r="L112" s="118">
        <f t="shared" si="59"/>
        <v>1.8600000000000002E-2</v>
      </c>
      <c r="M112" s="118">
        <f t="shared" si="59"/>
        <v>1.3640000000000001E-2</v>
      </c>
      <c r="N112" s="118">
        <f t="shared" si="59"/>
        <v>1.116E-2</v>
      </c>
      <c r="O112" s="118">
        <f t="shared" si="59"/>
        <v>7.4399999999999996E-3</v>
      </c>
      <c r="P112" s="118">
        <f t="shared" si="59"/>
        <v>6.2000000000000006E-3</v>
      </c>
      <c r="Q112" s="118">
        <f t="shared" si="59"/>
        <v>4.96E-3</v>
      </c>
      <c r="R112" s="118">
        <f t="shared" si="59"/>
        <v>3.7199999999999998E-3</v>
      </c>
      <c r="S112" s="118">
        <f t="shared" si="59"/>
        <v>3.7199999999999998E-3</v>
      </c>
      <c r="T112" s="118">
        <f t="shared" si="59"/>
        <v>2.48E-3</v>
      </c>
      <c r="U112" s="118">
        <f t="shared" si="59"/>
        <v>7.4399999999999996E-3</v>
      </c>
      <c r="V112" s="118">
        <f t="shared" si="59"/>
        <v>8.6800000000000002E-3</v>
      </c>
      <c r="W112" s="118">
        <f t="shared" si="59"/>
        <v>9.92E-3</v>
      </c>
      <c r="X112" s="118">
        <f t="shared" si="59"/>
        <v>1.2400000000000001E-2</v>
      </c>
      <c r="Y112" s="118">
        <f t="shared" si="59"/>
        <v>1.3640000000000001E-2</v>
      </c>
      <c r="Z112" s="118">
        <f t="shared" si="59"/>
        <v>1.4879999999999999E-2</v>
      </c>
      <c r="AA112" s="118">
        <f t="shared" si="59"/>
        <v>1.6119999999999999E-2</v>
      </c>
      <c r="AB112" s="118">
        <f t="shared" si="59"/>
        <v>1.8600000000000002E-2</v>
      </c>
      <c r="AC112" s="118">
        <f t="shared" si="59"/>
        <v>1.984E-2</v>
      </c>
      <c r="AD112" s="118">
        <f t="shared" si="59"/>
        <v>1.984E-2</v>
      </c>
      <c r="AE112" s="118">
        <f t="shared" si="59"/>
        <v>1.984E-2</v>
      </c>
      <c r="AF112" s="118">
        <f t="shared" si="59"/>
        <v>1.984E-2</v>
      </c>
      <c r="AG112" s="118">
        <f t="shared" si="59"/>
        <v>1.984E-2</v>
      </c>
      <c r="AH112" s="118">
        <f t="shared" si="59"/>
        <v>1.984E-2</v>
      </c>
      <c r="AI112" s="37"/>
    </row>
    <row r="113" spans="5:35" x14ac:dyDescent="0.3">
      <c r="E113" s="35"/>
      <c r="F113" s="102"/>
      <c r="G113" s="102"/>
      <c r="H113" s="101" t="s">
        <v>107</v>
      </c>
      <c r="I113" s="118">
        <f>I103*I93</f>
        <v>2.9111000000000002E-3</v>
      </c>
      <c r="J113" s="118">
        <f t="shared" ref="J113:AH113" si="60">J103*J93</f>
        <v>2.5726E-3</v>
      </c>
      <c r="K113" s="118">
        <f t="shared" si="60"/>
        <v>3.5203999999999999E-3</v>
      </c>
      <c r="L113" s="118">
        <f t="shared" si="60"/>
        <v>4.6713000000000006E-3</v>
      </c>
      <c r="M113" s="118">
        <f t="shared" si="60"/>
        <v>4.1974000000000004E-3</v>
      </c>
      <c r="N113" s="118">
        <f t="shared" si="60"/>
        <v>3.7235000000000002E-3</v>
      </c>
      <c r="O113" s="118">
        <f t="shared" si="60"/>
        <v>3.3850000000000004E-3</v>
      </c>
      <c r="P113" s="118">
        <f t="shared" si="60"/>
        <v>2.9788000000000002E-3</v>
      </c>
      <c r="Q113" s="118">
        <f t="shared" si="60"/>
        <v>2.7080000000000003E-3</v>
      </c>
      <c r="R113" s="118">
        <f t="shared" si="60"/>
        <v>1.5706399999999999E-2</v>
      </c>
      <c r="S113" s="118">
        <f t="shared" si="60"/>
        <v>2.4304300000000001E-2</v>
      </c>
      <c r="T113" s="118">
        <f t="shared" si="60"/>
        <v>3.24283E-2</v>
      </c>
      <c r="U113" s="118">
        <f t="shared" si="60"/>
        <v>4.9894900000000006E-2</v>
      </c>
      <c r="V113" s="118">
        <f t="shared" si="60"/>
        <v>6.0794600000000004E-2</v>
      </c>
      <c r="W113" s="118">
        <f t="shared" si="60"/>
        <v>7.1694300000000002E-2</v>
      </c>
      <c r="X113" s="118">
        <f t="shared" si="60"/>
        <v>8.2594000000000001E-2</v>
      </c>
      <c r="Y113" s="118">
        <f t="shared" si="60"/>
        <v>9.3493700000000013E-2</v>
      </c>
      <c r="Z113" s="118">
        <f t="shared" si="60"/>
        <v>0.10432569999999999</v>
      </c>
      <c r="AA113" s="118">
        <f t="shared" si="60"/>
        <v>0.11522540000000001</v>
      </c>
      <c r="AB113" s="118">
        <f t="shared" si="60"/>
        <v>0.12612510000000002</v>
      </c>
      <c r="AC113" s="118">
        <f t="shared" si="60"/>
        <v>0.13695710000000003</v>
      </c>
      <c r="AD113" s="118">
        <f t="shared" si="60"/>
        <v>0.13729560000000002</v>
      </c>
      <c r="AE113" s="118">
        <f t="shared" si="60"/>
        <v>0.13756640000000001</v>
      </c>
      <c r="AF113" s="118">
        <f t="shared" si="60"/>
        <v>0.13783720000000002</v>
      </c>
      <c r="AG113" s="118">
        <f t="shared" si="60"/>
        <v>0.13810800000000001</v>
      </c>
      <c r="AH113" s="118">
        <f t="shared" si="60"/>
        <v>0.1384465</v>
      </c>
      <c r="AI113" s="37"/>
    </row>
    <row r="114" spans="5:35" x14ac:dyDescent="0.3">
      <c r="E114" s="35"/>
      <c r="F114" s="102"/>
      <c r="G114" s="102"/>
      <c r="H114" s="101" t="s">
        <v>108</v>
      </c>
      <c r="I114" s="119">
        <f>SUM(I108:I113)</f>
        <v>0.21457810000000002</v>
      </c>
      <c r="J114" s="119">
        <f t="shared" ref="J114:AH114" si="61">SUM(J108:J113)</f>
        <v>0.23914860000000002</v>
      </c>
      <c r="K114" s="119">
        <f t="shared" si="61"/>
        <v>0.28881239999999997</v>
      </c>
      <c r="L114" s="119">
        <f t="shared" si="61"/>
        <v>0.3274569</v>
      </c>
      <c r="M114" s="119">
        <f t="shared" si="61"/>
        <v>0.37343760000000004</v>
      </c>
      <c r="N114" s="119">
        <f t="shared" si="61"/>
        <v>0.44265510000000002</v>
      </c>
      <c r="O114" s="119">
        <f t="shared" si="61"/>
        <v>0.47241720000000004</v>
      </c>
      <c r="P114" s="119">
        <f t="shared" si="61"/>
        <v>0.497803</v>
      </c>
      <c r="Q114" s="119">
        <f t="shared" si="61"/>
        <v>0.51968060000000005</v>
      </c>
      <c r="R114" s="119">
        <f t="shared" si="61"/>
        <v>0.93966700000000003</v>
      </c>
      <c r="S114" s="119">
        <f t="shared" si="61"/>
        <v>1.2033989</v>
      </c>
      <c r="T114" s="119">
        <f t="shared" si="61"/>
        <v>1.3250455000000001</v>
      </c>
      <c r="U114" s="119">
        <f t="shared" si="61"/>
        <v>1.9579065</v>
      </c>
      <c r="V114" s="119">
        <f t="shared" si="61"/>
        <v>2.3841218</v>
      </c>
      <c r="W114" s="119">
        <f t="shared" si="61"/>
        <v>2.8098985000000001</v>
      </c>
      <c r="X114" s="119">
        <f t="shared" si="61"/>
        <v>3.2373813999999994</v>
      </c>
      <c r="Y114" s="119">
        <f t="shared" si="61"/>
        <v>3.6631911000000006</v>
      </c>
      <c r="Z114" s="119">
        <f t="shared" si="61"/>
        <v>4.0893663</v>
      </c>
      <c r="AA114" s="119">
        <f t="shared" si="61"/>
        <v>4.5156092000000001</v>
      </c>
      <c r="AB114" s="119">
        <f t="shared" si="61"/>
        <v>4.9431059000000008</v>
      </c>
      <c r="AC114" s="119">
        <f t="shared" si="61"/>
        <v>5.3686711000000003</v>
      </c>
      <c r="AD114" s="119">
        <f t="shared" si="61"/>
        <v>5.3804566000000005</v>
      </c>
      <c r="AE114" s="119">
        <f t="shared" si="61"/>
        <v>5.391247400000001</v>
      </c>
      <c r="AF114" s="119">
        <f t="shared" si="61"/>
        <v>5.4028352000000002</v>
      </c>
      <c r="AG114" s="119">
        <f t="shared" si="61"/>
        <v>5.4139568000000002</v>
      </c>
      <c r="AH114" s="119">
        <f t="shared" si="61"/>
        <v>5.4256123000000001</v>
      </c>
      <c r="AI114" s="37"/>
    </row>
    <row r="115" spans="5:35" x14ac:dyDescent="0.3">
      <c r="E115" s="35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37"/>
    </row>
    <row r="116" spans="5:35" ht="15" thickBot="1" x14ac:dyDescent="0.35">
      <c r="E116" s="41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3"/>
    </row>
    <row r="118" spans="5:35" ht="15" thickBot="1" x14ac:dyDescent="0.35"/>
    <row r="119" spans="5:35" x14ac:dyDescent="0.3">
      <c r="E119" s="32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4"/>
    </row>
    <row r="120" spans="5:35" x14ac:dyDescent="0.3">
      <c r="E120" s="35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37"/>
    </row>
    <row r="121" spans="5:35" x14ac:dyDescent="0.3">
      <c r="E121" s="35"/>
      <c r="F121" s="101" t="s">
        <v>116</v>
      </c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37"/>
    </row>
    <row r="122" spans="5:35" x14ac:dyDescent="0.3">
      <c r="E122" s="35"/>
      <c r="F122" s="101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37"/>
    </row>
    <row r="123" spans="5:35" x14ac:dyDescent="0.3">
      <c r="E123" s="35"/>
      <c r="F123" s="102"/>
      <c r="G123" s="102"/>
      <c r="H123" s="101" t="s">
        <v>117</v>
      </c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37"/>
    </row>
    <row r="124" spans="5:35" x14ac:dyDescent="0.3">
      <c r="E124" s="35"/>
      <c r="F124" s="102"/>
      <c r="G124" s="102"/>
      <c r="H124" s="102"/>
      <c r="I124" s="101">
        <v>2010</v>
      </c>
      <c r="J124" s="101">
        <v>2011</v>
      </c>
      <c r="K124" s="101">
        <v>2012</v>
      </c>
      <c r="L124" s="101">
        <v>2013</v>
      </c>
      <c r="M124" s="101">
        <v>2014</v>
      </c>
      <c r="N124" s="101">
        <v>2015</v>
      </c>
      <c r="O124" s="101">
        <v>2016</v>
      </c>
      <c r="P124" s="101">
        <v>2017</v>
      </c>
      <c r="Q124" s="101">
        <v>2018</v>
      </c>
      <c r="R124" s="101">
        <v>2019</v>
      </c>
      <c r="S124" s="101">
        <v>2020</v>
      </c>
      <c r="T124" s="101">
        <v>2021</v>
      </c>
      <c r="U124" s="101">
        <v>2022</v>
      </c>
      <c r="V124" s="101">
        <v>2023</v>
      </c>
      <c r="W124" s="101">
        <v>2024</v>
      </c>
      <c r="X124" s="101">
        <v>2025</v>
      </c>
      <c r="Y124" s="105">
        <v>2026</v>
      </c>
      <c r="Z124" s="105">
        <v>2027</v>
      </c>
      <c r="AA124" s="105">
        <v>2028</v>
      </c>
      <c r="AB124" s="105">
        <v>2029</v>
      </c>
      <c r="AC124" s="105">
        <v>2030</v>
      </c>
      <c r="AD124" s="105">
        <v>2031</v>
      </c>
      <c r="AE124" s="105">
        <v>2032</v>
      </c>
      <c r="AF124" s="105">
        <v>2033</v>
      </c>
      <c r="AG124" s="105">
        <v>2034</v>
      </c>
      <c r="AH124" s="105">
        <v>2035</v>
      </c>
      <c r="AI124" s="37"/>
    </row>
    <row r="125" spans="5:35" x14ac:dyDescent="0.3">
      <c r="E125" s="35"/>
      <c r="F125" s="102"/>
      <c r="G125" s="102"/>
      <c r="H125" s="101" t="s">
        <v>102</v>
      </c>
      <c r="I125" s="118">
        <f>I77</f>
        <v>2.8899999999999999E-2</v>
      </c>
      <c r="J125" s="118">
        <f t="shared" ref="J125:U125" si="62">J77</f>
        <v>3.4299999999999997E-2</v>
      </c>
      <c r="K125" s="118">
        <f t="shared" si="62"/>
        <v>3.9899999999999998E-2</v>
      </c>
      <c r="L125" s="118">
        <f t="shared" si="62"/>
        <v>4.3299999999999998E-2</v>
      </c>
      <c r="M125" s="118">
        <f t="shared" si="62"/>
        <v>3.2099999999999997E-2</v>
      </c>
      <c r="N125" s="118">
        <f t="shared" si="62"/>
        <v>2.69E-2</v>
      </c>
      <c r="O125" s="118">
        <f t="shared" si="62"/>
        <v>2.12E-2</v>
      </c>
      <c r="P125" s="118">
        <f t="shared" si="62"/>
        <v>2.01E-2</v>
      </c>
      <c r="Q125" s="118">
        <f t="shared" si="62"/>
        <v>2.1499999999999998E-2</v>
      </c>
      <c r="R125" s="118">
        <f t="shared" si="62"/>
        <v>0.20680000000000001</v>
      </c>
      <c r="S125" s="118">
        <f t="shared" si="62"/>
        <v>0.30249999999999999</v>
      </c>
      <c r="T125" s="118">
        <f t="shared" si="62"/>
        <v>0.37140000000000001</v>
      </c>
      <c r="U125" s="118">
        <f t="shared" si="62"/>
        <v>0.5877</v>
      </c>
      <c r="V125" s="118">
        <f t="shared" ref="V125:X125" si="63">V77</f>
        <v>0.71578443553680982</v>
      </c>
      <c r="W125" s="118">
        <f t="shared" si="63"/>
        <v>0.84377894261287611</v>
      </c>
      <c r="X125" s="118">
        <f t="shared" si="63"/>
        <v>0.97180347420385593</v>
      </c>
      <c r="Y125" s="118">
        <f>Y131*Y60</f>
        <v>1.0760185654684644</v>
      </c>
      <c r="Z125" s="118">
        <f t="shared" ref="Z125:AH125" si="64">Z131*Z60</f>
        <v>1.1802636812479865</v>
      </c>
      <c r="AA125" s="118">
        <f t="shared" si="64"/>
        <v>1.284478772512595</v>
      </c>
      <c r="AB125" s="118">
        <f t="shared" si="64"/>
        <v>1.3886938637772035</v>
      </c>
      <c r="AC125" s="118">
        <f t="shared" si="64"/>
        <v>1.5007753779491377</v>
      </c>
      <c r="AD125" s="118">
        <f t="shared" si="64"/>
        <v>1.4882251307153127</v>
      </c>
      <c r="AE125" s="118">
        <f t="shared" si="64"/>
        <v>1.4756748834814879</v>
      </c>
      <c r="AF125" s="118">
        <f t="shared" si="64"/>
        <v>1.4631246362476629</v>
      </c>
      <c r="AG125" s="118">
        <f t="shared" si="64"/>
        <v>1.4505743890138378</v>
      </c>
      <c r="AH125" s="118">
        <f t="shared" si="64"/>
        <v>1.438024141780013</v>
      </c>
      <c r="AI125" s="37"/>
    </row>
    <row r="126" spans="5:35" x14ac:dyDescent="0.3">
      <c r="E126" s="35"/>
      <c r="F126" s="102"/>
      <c r="G126" s="102"/>
      <c r="H126" s="101" t="s">
        <v>103</v>
      </c>
      <c r="I126" s="118">
        <f t="shared" ref="I126:U130" si="65">I78</f>
        <v>0.1032</v>
      </c>
      <c r="J126" s="118">
        <f t="shared" si="65"/>
        <v>0.1178</v>
      </c>
      <c r="K126" s="118">
        <f t="shared" si="65"/>
        <v>0.1605</v>
      </c>
      <c r="L126" s="118">
        <f t="shared" si="65"/>
        <v>0.21560000000000001</v>
      </c>
      <c r="M126" s="118">
        <f t="shared" si="65"/>
        <v>0.29320000000000002</v>
      </c>
      <c r="N126" s="118">
        <f t="shared" si="65"/>
        <v>0.35949999999999999</v>
      </c>
      <c r="O126" s="118">
        <f t="shared" si="65"/>
        <v>0.39929999999999999</v>
      </c>
      <c r="P126" s="118">
        <f t="shared" si="65"/>
        <v>0.43959999999999999</v>
      </c>
      <c r="Q126" s="118">
        <f t="shared" si="65"/>
        <v>0.47170000000000001</v>
      </c>
      <c r="R126" s="118">
        <f t="shared" si="65"/>
        <v>0.51719999999999999</v>
      </c>
      <c r="S126" s="118">
        <f t="shared" si="65"/>
        <v>0.55510000000000004</v>
      </c>
      <c r="T126" s="118">
        <f t="shared" si="65"/>
        <v>0.53590000000000004</v>
      </c>
      <c r="U126" s="118">
        <f t="shared" si="65"/>
        <v>0.60980000000000001</v>
      </c>
      <c r="V126" s="118">
        <f t="shared" ref="V126:X126" si="66">V78</f>
        <v>0.74270009649394009</v>
      </c>
      <c r="W126" s="118">
        <f t="shared" si="66"/>
        <v>0.87550758438629184</v>
      </c>
      <c r="X126" s="118">
        <f t="shared" si="66"/>
        <v>1.0083462258061813</v>
      </c>
      <c r="Y126" s="118">
        <f>Y131*Y61</f>
        <v>1.116480119888835</v>
      </c>
      <c r="Z126" s="118">
        <f t="shared" ref="Z126:AH126" si="67">Z131*Z61</f>
        <v>1.2246451674990262</v>
      </c>
      <c r="AA126" s="118">
        <f t="shared" si="67"/>
        <v>1.3327790615816801</v>
      </c>
      <c r="AB126" s="118">
        <f t="shared" si="67"/>
        <v>1.4409129556643339</v>
      </c>
      <c r="AC126" s="118">
        <f t="shared" si="67"/>
        <v>1.5572090739618119</v>
      </c>
      <c r="AD126" s="118">
        <f t="shared" si="67"/>
        <v>1.5441868994511379</v>
      </c>
      <c r="AE126" s="118">
        <f t="shared" si="67"/>
        <v>1.5311647249404641</v>
      </c>
      <c r="AF126" s="118">
        <f t="shared" si="67"/>
        <v>1.5181425504297901</v>
      </c>
      <c r="AG126" s="118">
        <f t="shared" si="67"/>
        <v>1.5051203759191161</v>
      </c>
      <c r="AH126" s="118">
        <f t="shared" si="67"/>
        <v>1.4920982014084423</v>
      </c>
      <c r="AI126" s="37"/>
    </row>
    <row r="127" spans="5:35" x14ac:dyDescent="0.3">
      <c r="E127" s="35"/>
      <c r="F127" s="102"/>
      <c r="G127" s="102"/>
      <c r="H127" s="101" t="s">
        <v>104</v>
      </c>
      <c r="I127" s="118">
        <f t="shared" si="65"/>
        <v>3.7400000000000003E-2</v>
      </c>
      <c r="J127" s="118">
        <f t="shared" si="65"/>
        <v>5.21E-2</v>
      </c>
      <c r="K127" s="118">
        <f t="shared" si="65"/>
        <v>5.9900000000000002E-2</v>
      </c>
      <c r="L127" s="118">
        <f t="shared" si="65"/>
        <v>4.5199999999999997E-2</v>
      </c>
      <c r="M127" s="118">
        <f t="shared" si="65"/>
        <v>3.04E-2</v>
      </c>
      <c r="N127" s="118">
        <f t="shared" si="65"/>
        <v>4.1399999999999999E-2</v>
      </c>
      <c r="O127" s="118">
        <f t="shared" si="65"/>
        <v>4.0599999999999997E-2</v>
      </c>
      <c r="P127" s="118">
        <f t="shared" si="65"/>
        <v>2.86E-2</v>
      </c>
      <c r="Q127" s="118">
        <f t="shared" si="65"/>
        <v>1.8499999999999999E-2</v>
      </c>
      <c r="R127" s="118">
        <f t="shared" si="65"/>
        <v>0.19620000000000001</v>
      </c>
      <c r="S127" s="118">
        <f t="shared" si="65"/>
        <v>0.31780000000000003</v>
      </c>
      <c r="T127" s="118">
        <f t="shared" si="65"/>
        <v>0.38269999999999998</v>
      </c>
      <c r="U127" s="118">
        <f t="shared" si="65"/>
        <v>0.70250000000000001</v>
      </c>
      <c r="V127" s="118">
        <f t="shared" ref="V127:X127" si="68">V79</f>
        <v>0.85567370522418296</v>
      </c>
      <c r="W127" s="118">
        <f t="shared" si="68"/>
        <v>1.0086828077984569</v>
      </c>
      <c r="X127" s="118">
        <f t="shared" si="68"/>
        <v>1.161727802726138</v>
      </c>
      <c r="Y127" s="118">
        <f>Y131*Y62</f>
        <v>1.2863101614020247</v>
      </c>
      <c r="Z127" s="118">
        <f t="shared" ref="Z127:AH127" si="69">Z131*Z62</f>
        <v>1.4109284124313186</v>
      </c>
      <c r="AA127" s="118">
        <f t="shared" si="69"/>
        <v>1.5355107711072054</v>
      </c>
      <c r="AB127" s="118">
        <f t="shared" si="69"/>
        <v>1.6600931297830921</v>
      </c>
      <c r="AC127" s="118">
        <f t="shared" si="69"/>
        <v>1.7940792850516269</v>
      </c>
      <c r="AD127" s="118">
        <f t="shared" si="69"/>
        <v>1.7790762813274781</v>
      </c>
      <c r="AE127" s="118">
        <f t="shared" si="69"/>
        <v>1.7640732776033294</v>
      </c>
      <c r="AF127" s="118">
        <f t="shared" si="69"/>
        <v>1.7490702738791803</v>
      </c>
      <c r="AG127" s="118">
        <f t="shared" si="69"/>
        <v>1.7340672701550315</v>
      </c>
      <c r="AH127" s="118">
        <f t="shared" si="69"/>
        <v>1.7190642664308828</v>
      </c>
      <c r="AI127" s="37"/>
    </row>
    <row r="128" spans="5:35" x14ac:dyDescent="0.3">
      <c r="E128" s="35"/>
      <c r="F128" s="102"/>
      <c r="G128" s="102"/>
      <c r="H128" s="101" t="s">
        <v>105</v>
      </c>
      <c r="I128" s="118">
        <f t="shared" si="65"/>
        <v>0</v>
      </c>
      <c r="J128" s="118">
        <f t="shared" si="65"/>
        <v>0</v>
      </c>
      <c r="K128" s="118">
        <f t="shared" si="65"/>
        <v>0</v>
      </c>
      <c r="L128" s="118">
        <f t="shared" si="65"/>
        <v>1E-4</v>
      </c>
      <c r="M128" s="118">
        <f t="shared" si="65"/>
        <v>2.0000000000000001E-4</v>
      </c>
      <c r="N128" s="118">
        <f t="shared" si="65"/>
        <v>1E-4</v>
      </c>
      <c r="O128" s="118">
        <f t="shared" si="65"/>
        <v>2.0000000000000001E-4</v>
      </c>
      <c r="P128" s="118">
        <f t="shared" si="65"/>
        <v>2.0000000000000001E-4</v>
      </c>
      <c r="Q128" s="118">
        <f t="shared" si="65"/>
        <v>1E-4</v>
      </c>
      <c r="R128" s="118">
        <f t="shared" si="65"/>
        <v>1E-4</v>
      </c>
      <c r="S128" s="118">
        <f t="shared" si="65"/>
        <v>1E-4</v>
      </c>
      <c r="T128" s="118">
        <f t="shared" si="65"/>
        <v>2.0000000000000001E-4</v>
      </c>
      <c r="U128" s="118">
        <f t="shared" si="65"/>
        <v>2.9999999999999997E-4</v>
      </c>
      <c r="V128" s="118">
        <f t="shared" ref="V128:X128" si="70">V80</f>
        <v>3.3769345202697289E-4</v>
      </c>
      <c r="W128" s="118">
        <f t="shared" si="70"/>
        <v>3.9807882056686322E-4</v>
      </c>
      <c r="X128" s="118">
        <f t="shared" si="70"/>
        <v>4.5847835410054664E-4</v>
      </c>
      <c r="Y128" s="118">
        <f>Y131*Y63</f>
        <v>5.0764504755631938E-4</v>
      </c>
      <c r="Z128" s="118">
        <f t="shared" ref="Z128:AH128" si="71">Z131*Z63</f>
        <v>5.5682590600588527E-4</v>
      </c>
      <c r="AA128" s="118">
        <f t="shared" si="71"/>
        <v>6.0599259946165801E-4</v>
      </c>
      <c r="AB128" s="118">
        <f t="shared" si="71"/>
        <v>6.5515929291743086E-4</v>
      </c>
      <c r="AC128" s="118">
        <f t="shared" si="71"/>
        <v>7.0803721474698995E-4</v>
      </c>
      <c r="AD128" s="118">
        <f t="shared" si="71"/>
        <v>7.0211624734148337E-4</v>
      </c>
      <c r="AE128" s="118">
        <f t="shared" si="71"/>
        <v>6.96195279935977E-4</v>
      </c>
      <c r="AF128" s="118">
        <f t="shared" si="71"/>
        <v>6.9027431253047041E-4</v>
      </c>
      <c r="AG128" s="118">
        <f t="shared" si="71"/>
        <v>6.8435334512496394E-4</v>
      </c>
      <c r="AH128" s="118">
        <f t="shared" si="71"/>
        <v>6.7843237771945757E-4</v>
      </c>
      <c r="AI128" s="37"/>
    </row>
    <row r="129" spans="5:35" x14ac:dyDescent="0.3">
      <c r="E129" s="35"/>
      <c r="F129" s="102"/>
      <c r="G129" s="102"/>
      <c r="H129" s="101" t="s">
        <v>106</v>
      </c>
      <c r="I129" s="118">
        <f t="shared" si="65"/>
        <v>4.2500000000000003E-2</v>
      </c>
      <c r="J129" s="118">
        <f t="shared" si="65"/>
        <v>3.2199999999999999E-2</v>
      </c>
      <c r="K129" s="118">
        <f t="shared" si="65"/>
        <v>2.52E-2</v>
      </c>
      <c r="L129" s="118">
        <f t="shared" si="65"/>
        <v>1.89E-2</v>
      </c>
      <c r="M129" s="118">
        <f t="shared" si="65"/>
        <v>1.4200000000000001E-2</v>
      </c>
      <c r="N129" s="118">
        <f t="shared" si="65"/>
        <v>1.06E-2</v>
      </c>
      <c r="O129" s="118">
        <f t="shared" si="65"/>
        <v>8.0000000000000002E-3</v>
      </c>
      <c r="P129" s="118">
        <f t="shared" si="65"/>
        <v>6.0000000000000001E-3</v>
      </c>
      <c r="Q129" s="118">
        <f t="shared" si="65"/>
        <v>4.4999999999999997E-3</v>
      </c>
      <c r="R129" s="118">
        <f t="shared" si="65"/>
        <v>4.1000000000000003E-3</v>
      </c>
      <c r="S129" s="118">
        <f t="shared" si="65"/>
        <v>3.0999999999999999E-3</v>
      </c>
      <c r="T129" s="118">
        <f t="shared" si="65"/>
        <v>2.3999999999999998E-3</v>
      </c>
      <c r="U129" s="118">
        <f t="shared" si="65"/>
        <v>7.1000000000000004E-3</v>
      </c>
      <c r="V129" s="118">
        <f t="shared" ref="V129:X129" si="72">V81</f>
        <v>8.6777530206509305E-3</v>
      </c>
      <c r="W129" s="118">
        <f t="shared" si="72"/>
        <v>1.022948377262387E-2</v>
      </c>
      <c r="X129" s="118">
        <f t="shared" si="72"/>
        <v>1.1781578524304054E-2</v>
      </c>
      <c r="Y129" s="118">
        <f>Y131*Y64</f>
        <v>1.3045021508141276E-2</v>
      </c>
      <c r="Z129" s="118">
        <f t="shared" ref="Z129:AH129" si="73">Z131*Z64</f>
        <v>1.4308828491685742E-2</v>
      </c>
      <c r="AA129" s="118">
        <f t="shared" si="73"/>
        <v>1.5572271475522963E-2</v>
      </c>
      <c r="AB129" s="118">
        <f t="shared" si="73"/>
        <v>1.6835714459360187E-2</v>
      </c>
      <c r="AC129" s="118">
        <f t="shared" si="73"/>
        <v>1.8194525366494831E-2</v>
      </c>
      <c r="AD129" s="118">
        <f t="shared" si="73"/>
        <v>1.8042373488867645E-2</v>
      </c>
      <c r="AE129" s="118">
        <f t="shared" si="73"/>
        <v>1.7890221611240462E-2</v>
      </c>
      <c r="AF129" s="118">
        <f t="shared" si="73"/>
        <v>1.7738069733613276E-2</v>
      </c>
      <c r="AG129" s="118">
        <f t="shared" si="73"/>
        <v>1.7585917855986087E-2</v>
      </c>
      <c r="AH129" s="118">
        <f t="shared" si="73"/>
        <v>1.7433765978358905E-2</v>
      </c>
      <c r="AI129" s="37"/>
    </row>
    <row r="130" spans="5:35" x14ac:dyDescent="0.3">
      <c r="E130" s="35"/>
      <c r="F130" s="102"/>
      <c r="G130" s="102"/>
      <c r="H130" s="101" t="s">
        <v>107</v>
      </c>
      <c r="I130" s="118">
        <f t="shared" si="65"/>
        <v>2.8999999999999998E-3</v>
      </c>
      <c r="J130" s="118">
        <f t="shared" si="65"/>
        <v>2.5999999999999999E-3</v>
      </c>
      <c r="K130" s="118">
        <f t="shared" si="65"/>
        <v>3.5000000000000001E-3</v>
      </c>
      <c r="L130" s="118">
        <f t="shared" si="65"/>
        <v>4.7000000000000002E-3</v>
      </c>
      <c r="M130" s="118">
        <f t="shared" si="65"/>
        <v>4.1999999999999997E-3</v>
      </c>
      <c r="N130" s="118">
        <f t="shared" si="65"/>
        <v>3.7000000000000002E-3</v>
      </c>
      <c r="O130" s="118">
        <f t="shared" si="65"/>
        <v>3.3999999999999998E-3</v>
      </c>
      <c r="P130" s="118">
        <f t="shared" si="65"/>
        <v>3.0000000000000001E-3</v>
      </c>
      <c r="Q130" s="118">
        <f t="shared" si="65"/>
        <v>2.7000000000000001E-3</v>
      </c>
      <c r="R130" s="118">
        <f t="shared" si="65"/>
        <v>1.5699999999999999E-2</v>
      </c>
      <c r="S130" s="118">
        <f t="shared" si="65"/>
        <v>2.4299999999999999E-2</v>
      </c>
      <c r="T130" s="118">
        <f t="shared" si="65"/>
        <v>3.2399999999999998E-2</v>
      </c>
      <c r="U130" s="118">
        <f t="shared" si="65"/>
        <v>4.99E-2</v>
      </c>
      <c r="V130" s="118">
        <f t="shared" ref="V130:X130" si="74">V82</f>
        <v>6.0826316272389123E-2</v>
      </c>
      <c r="W130" s="118">
        <f t="shared" si="74"/>
        <v>7.1703102609184208E-2</v>
      </c>
      <c r="X130" s="118">
        <f t="shared" si="74"/>
        <v>8.2582440385420258E-2</v>
      </c>
      <c r="Y130" s="118">
        <f>Y131*Y65</f>
        <v>9.1438486684978254E-2</v>
      </c>
      <c r="Z130" s="118">
        <f t="shared" ref="Z130:AH130" si="75">Z131*Z65</f>
        <v>0.10029708442397721</v>
      </c>
      <c r="AA130" s="118">
        <f t="shared" si="75"/>
        <v>0.10915313072353522</v>
      </c>
      <c r="AB130" s="118">
        <f t="shared" si="75"/>
        <v>0.11800917702309321</v>
      </c>
      <c r="AC130" s="118">
        <f t="shared" si="75"/>
        <v>0.12753370045618165</v>
      </c>
      <c r="AD130" s="118">
        <f t="shared" si="75"/>
        <v>0.12646719876986207</v>
      </c>
      <c r="AE130" s="118">
        <f t="shared" si="75"/>
        <v>0.12540069708354251</v>
      </c>
      <c r="AF130" s="118">
        <f t="shared" si="75"/>
        <v>0.12433419539722293</v>
      </c>
      <c r="AG130" s="118">
        <f t="shared" si="75"/>
        <v>0.12326769371090335</v>
      </c>
      <c r="AH130" s="118">
        <f t="shared" si="75"/>
        <v>0.12220119202458379</v>
      </c>
      <c r="AI130" s="37"/>
    </row>
    <row r="131" spans="5:35" x14ac:dyDescent="0.3">
      <c r="E131" s="35"/>
      <c r="F131" s="102"/>
      <c r="G131" s="102"/>
      <c r="H131" s="101" t="s">
        <v>108</v>
      </c>
      <c r="I131" s="119">
        <f>SUM(I125:I130)</f>
        <v>0.21489999999999998</v>
      </c>
      <c r="J131" s="119">
        <f t="shared" ref="J131:X131" si="76">SUM(J125:J130)</f>
        <v>0.23900000000000002</v>
      </c>
      <c r="K131" s="119">
        <f t="shared" si="76"/>
        <v>0.28899999999999998</v>
      </c>
      <c r="L131" s="119">
        <f t="shared" si="76"/>
        <v>0.32780000000000004</v>
      </c>
      <c r="M131" s="119">
        <f t="shared" si="76"/>
        <v>0.37429999999999997</v>
      </c>
      <c r="N131" s="119">
        <f t="shared" si="76"/>
        <v>0.44219999999999993</v>
      </c>
      <c r="O131" s="119">
        <f t="shared" si="76"/>
        <v>0.47269999999999995</v>
      </c>
      <c r="P131" s="119">
        <f t="shared" si="76"/>
        <v>0.4975</v>
      </c>
      <c r="Q131" s="119">
        <f t="shared" si="76"/>
        <v>0.51900000000000002</v>
      </c>
      <c r="R131" s="119">
        <f t="shared" si="76"/>
        <v>0.94010000000000005</v>
      </c>
      <c r="S131" s="119">
        <f t="shared" si="76"/>
        <v>1.2029000000000001</v>
      </c>
      <c r="T131" s="119">
        <f t="shared" si="76"/>
        <v>1.325</v>
      </c>
      <c r="U131" s="119">
        <f t="shared" si="76"/>
        <v>1.9573</v>
      </c>
      <c r="V131" s="119">
        <f t="shared" si="76"/>
        <v>2.3839999999999999</v>
      </c>
      <c r="W131" s="119">
        <f t="shared" si="76"/>
        <v>2.8103000000000002</v>
      </c>
      <c r="X131" s="119">
        <f t="shared" si="76"/>
        <v>3.2366999999999999</v>
      </c>
      <c r="Y131" s="119">
        <f>Act_HFC_General!V20</f>
        <v>3.5838000000000001</v>
      </c>
      <c r="Z131" s="119">
        <f>Act_HFC_General!W20</f>
        <v>3.931</v>
      </c>
      <c r="AA131" s="119">
        <f>Act_HFC_General!X20</f>
        <v>4.2781000000000002</v>
      </c>
      <c r="AB131" s="119">
        <f>Act_HFC_General!Y20</f>
        <v>4.6252000000000004</v>
      </c>
      <c r="AC131" s="119">
        <f>Act_HFC_General!Z20</f>
        <v>4.9984999999999999</v>
      </c>
      <c r="AD131" s="119">
        <f>Act_HFC_General!AA20</f>
        <v>4.9566999999999997</v>
      </c>
      <c r="AE131" s="119">
        <f>Act_HFC_General!AB20</f>
        <v>4.9149000000000003</v>
      </c>
      <c r="AF131" s="119">
        <f>Act_HFC_General!AC20</f>
        <v>4.8731</v>
      </c>
      <c r="AG131" s="119">
        <f>Act_HFC_General!AD20</f>
        <v>4.8312999999999997</v>
      </c>
      <c r="AH131" s="119">
        <f>Act_HFC_General!AE20</f>
        <v>4.7895000000000003</v>
      </c>
      <c r="AI131" s="37"/>
    </row>
    <row r="132" spans="5:35" x14ac:dyDescent="0.3">
      <c r="E132" s="35"/>
      <c r="F132" s="102"/>
      <c r="G132" s="102"/>
      <c r="H132" s="102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37"/>
    </row>
    <row r="133" spans="5:35" x14ac:dyDescent="0.3">
      <c r="E133" s="35"/>
      <c r="F133" s="102"/>
      <c r="G133" s="102"/>
      <c r="H133" s="102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37"/>
    </row>
    <row r="134" spans="5:35" x14ac:dyDescent="0.3">
      <c r="E134" s="35"/>
      <c r="F134" s="102"/>
      <c r="G134" s="102"/>
      <c r="H134" s="101" t="s">
        <v>118</v>
      </c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37"/>
    </row>
    <row r="135" spans="5:35" x14ac:dyDescent="0.3">
      <c r="E135" s="35"/>
      <c r="F135" s="102"/>
      <c r="G135" s="102"/>
      <c r="H135" s="102"/>
      <c r="I135" s="101">
        <v>2010</v>
      </c>
      <c r="J135" s="101">
        <v>2011</v>
      </c>
      <c r="K135" s="101">
        <v>2012</v>
      </c>
      <c r="L135" s="101">
        <v>2013</v>
      </c>
      <c r="M135" s="101">
        <v>2014</v>
      </c>
      <c r="N135" s="101">
        <v>2015</v>
      </c>
      <c r="O135" s="101">
        <v>2016</v>
      </c>
      <c r="P135" s="101">
        <v>2017</v>
      </c>
      <c r="Q135" s="101">
        <v>2018</v>
      </c>
      <c r="R135" s="101">
        <v>2019</v>
      </c>
      <c r="S135" s="101">
        <v>2020</v>
      </c>
      <c r="T135" s="101">
        <v>2021</v>
      </c>
      <c r="U135" s="101">
        <v>2022</v>
      </c>
      <c r="V135" s="101">
        <v>2023</v>
      </c>
      <c r="W135" s="101">
        <v>2024</v>
      </c>
      <c r="X135" s="101">
        <v>2025</v>
      </c>
      <c r="Y135" s="101">
        <v>2026</v>
      </c>
      <c r="Z135" s="101">
        <v>2027</v>
      </c>
      <c r="AA135" s="101">
        <v>2028</v>
      </c>
      <c r="AB135" s="101">
        <v>2029</v>
      </c>
      <c r="AC135" s="101">
        <v>2030</v>
      </c>
      <c r="AD135" s="101">
        <v>2031</v>
      </c>
      <c r="AE135" s="101">
        <v>2032</v>
      </c>
      <c r="AF135" s="101">
        <v>2033</v>
      </c>
      <c r="AG135" s="101">
        <v>2034</v>
      </c>
      <c r="AH135" s="101">
        <v>2035</v>
      </c>
      <c r="AI135" s="37"/>
    </row>
    <row r="136" spans="5:35" x14ac:dyDescent="0.3">
      <c r="E136" s="35"/>
      <c r="F136" s="102"/>
      <c r="G136" s="102"/>
      <c r="H136" s="101" t="s">
        <v>102</v>
      </c>
      <c r="I136" s="118">
        <v>3.17</v>
      </c>
      <c r="J136" s="118">
        <v>3.17</v>
      </c>
      <c r="K136" s="118">
        <v>3.17</v>
      </c>
      <c r="L136" s="118">
        <v>3.17</v>
      </c>
      <c r="M136" s="118">
        <v>3.17</v>
      </c>
      <c r="N136" s="118">
        <v>3.17</v>
      </c>
      <c r="O136" s="118">
        <v>3.17</v>
      </c>
      <c r="P136" s="118">
        <v>3.17</v>
      </c>
      <c r="Q136" s="118">
        <v>3.17</v>
      </c>
      <c r="R136" s="118">
        <v>3.17</v>
      </c>
      <c r="S136" s="118">
        <v>3.17</v>
      </c>
      <c r="T136" s="118">
        <v>3.17</v>
      </c>
      <c r="U136" s="118">
        <v>3.17</v>
      </c>
      <c r="V136" s="118">
        <v>3.17</v>
      </c>
      <c r="W136" s="118">
        <v>3.17</v>
      </c>
      <c r="X136" s="118">
        <v>3.17</v>
      </c>
      <c r="Y136" s="118">
        <v>3.17</v>
      </c>
      <c r="Z136" s="118">
        <v>3.17</v>
      </c>
      <c r="AA136" s="118">
        <v>3.17</v>
      </c>
      <c r="AB136" s="118">
        <v>3.17</v>
      </c>
      <c r="AC136" s="118">
        <v>3.17</v>
      </c>
      <c r="AD136" s="118">
        <v>3.17</v>
      </c>
      <c r="AE136" s="118">
        <v>3.17</v>
      </c>
      <c r="AF136" s="118">
        <v>3.17</v>
      </c>
      <c r="AG136" s="118">
        <v>3.17</v>
      </c>
      <c r="AH136" s="118">
        <v>3.17</v>
      </c>
      <c r="AI136" s="37"/>
    </row>
    <row r="137" spans="5:35" x14ac:dyDescent="0.3">
      <c r="E137" s="35"/>
      <c r="F137" s="102"/>
      <c r="G137" s="102"/>
      <c r="H137" s="101" t="s">
        <v>103</v>
      </c>
      <c r="I137" s="118">
        <v>1.3</v>
      </c>
      <c r="J137" s="118">
        <v>1.3</v>
      </c>
      <c r="K137" s="118">
        <v>1.3</v>
      </c>
      <c r="L137" s="118">
        <v>1.3</v>
      </c>
      <c r="M137" s="118">
        <v>1.3</v>
      </c>
      <c r="N137" s="118">
        <v>1.3</v>
      </c>
      <c r="O137" s="118">
        <v>1.3</v>
      </c>
      <c r="P137" s="118">
        <v>1.3</v>
      </c>
      <c r="Q137" s="118">
        <v>1.3</v>
      </c>
      <c r="R137" s="118">
        <v>1.3</v>
      </c>
      <c r="S137" s="118">
        <v>1.3</v>
      </c>
      <c r="T137" s="118">
        <v>1.3</v>
      </c>
      <c r="U137" s="118">
        <v>1.3</v>
      </c>
      <c r="V137" s="118">
        <v>1.3</v>
      </c>
      <c r="W137" s="118">
        <v>1.3</v>
      </c>
      <c r="X137" s="118">
        <v>1.3</v>
      </c>
      <c r="Y137" s="118">
        <v>1.3</v>
      </c>
      <c r="Z137" s="118">
        <v>1.3</v>
      </c>
      <c r="AA137" s="118">
        <v>1.3</v>
      </c>
      <c r="AB137" s="118">
        <v>1.3</v>
      </c>
      <c r="AC137" s="118">
        <v>1.3</v>
      </c>
      <c r="AD137" s="118">
        <v>1.3</v>
      </c>
      <c r="AE137" s="118">
        <v>1.3</v>
      </c>
      <c r="AF137" s="118">
        <v>1.3</v>
      </c>
      <c r="AG137" s="118">
        <v>1.3</v>
      </c>
      <c r="AH137" s="118">
        <v>1.3</v>
      </c>
      <c r="AI137" s="37"/>
    </row>
    <row r="138" spans="5:35" x14ac:dyDescent="0.3">
      <c r="E138" s="35"/>
      <c r="F138" s="102"/>
      <c r="G138" s="102"/>
      <c r="H138" s="101" t="s">
        <v>104</v>
      </c>
      <c r="I138" s="118">
        <v>4.8</v>
      </c>
      <c r="J138" s="118">
        <v>4.8</v>
      </c>
      <c r="K138" s="118">
        <v>4.8</v>
      </c>
      <c r="L138" s="118">
        <v>4.8</v>
      </c>
      <c r="M138" s="118">
        <v>4.8</v>
      </c>
      <c r="N138" s="118">
        <v>4.8</v>
      </c>
      <c r="O138" s="118">
        <v>4.8</v>
      </c>
      <c r="P138" s="118">
        <v>4.8</v>
      </c>
      <c r="Q138" s="118">
        <v>4.8</v>
      </c>
      <c r="R138" s="118">
        <v>4.8</v>
      </c>
      <c r="S138" s="118">
        <v>4.8</v>
      </c>
      <c r="T138" s="118">
        <v>4.8</v>
      </c>
      <c r="U138" s="118">
        <v>4.8</v>
      </c>
      <c r="V138" s="118">
        <v>4.8</v>
      </c>
      <c r="W138" s="118">
        <v>4.8</v>
      </c>
      <c r="X138" s="118">
        <v>4.8</v>
      </c>
      <c r="Y138" s="118">
        <v>4.8</v>
      </c>
      <c r="Z138" s="118">
        <v>4.8</v>
      </c>
      <c r="AA138" s="118">
        <v>4.8</v>
      </c>
      <c r="AB138" s="118">
        <v>4.8</v>
      </c>
      <c r="AC138" s="118">
        <v>4.8</v>
      </c>
      <c r="AD138" s="118">
        <v>4.8</v>
      </c>
      <c r="AE138" s="118">
        <v>4.8</v>
      </c>
      <c r="AF138" s="118">
        <v>4.8</v>
      </c>
      <c r="AG138" s="118">
        <v>4.8</v>
      </c>
      <c r="AH138" s="118">
        <v>4.8</v>
      </c>
      <c r="AI138" s="37"/>
    </row>
    <row r="139" spans="5:35" x14ac:dyDescent="0.3">
      <c r="E139" s="35"/>
      <c r="F139" s="102"/>
      <c r="G139" s="102"/>
      <c r="H139" s="101" t="s">
        <v>105</v>
      </c>
      <c r="I139" s="118">
        <v>0.13800000000000001</v>
      </c>
      <c r="J139" s="118">
        <v>0.13800000000000001</v>
      </c>
      <c r="K139" s="118">
        <v>0.13800000000000001</v>
      </c>
      <c r="L139" s="118">
        <v>0.13800000000000001</v>
      </c>
      <c r="M139" s="118">
        <v>0.13800000000000001</v>
      </c>
      <c r="N139" s="118">
        <v>0.13800000000000001</v>
      </c>
      <c r="O139" s="118">
        <v>0.13800000000000001</v>
      </c>
      <c r="P139" s="118">
        <v>0.13800000000000001</v>
      </c>
      <c r="Q139" s="118">
        <v>0.13800000000000001</v>
      </c>
      <c r="R139" s="118">
        <v>0.13800000000000001</v>
      </c>
      <c r="S139" s="118">
        <v>0.13800000000000001</v>
      </c>
      <c r="T139" s="118">
        <v>0.13800000000000001</v>
      </c>
      <c r="U139" s="118">
        <v>0.13800000000000001</v>
      </c>
      <c r="V139" s="118">
        <v>0.13800000000000001</v>
      </c>
      <c r="W139" s="118">
        <v>0.13800000000000001</v>
      </c>
      <c r="X139" s="118">
        <v>0.13800000000000001</v>
      </c>
      <c r="Y139" s="118">
        <v>0.13800000000000001</v>
      </c>
      <c r="Z139" s="118">
        <v>0.13800000000000001</v>
      </c>
      <c r="AA139" s="118">
        <v>0.13800000000000001</v>
      </c>
      <c r="AB139" s="118">
        <v>0.13800000000000001</v>
      </c>
      <c r="AC139" s="118">
        <v>0.13800000000000001</v>
      </c>
      <c r="AD139" s="118">
        <v>0.13800000000000001</v>
      </c>
      <c r="AE139" s="118">
        <v>0.13800000000000001</v>
      </c>
      <c r="AF139" s="118">
        <v>0.13800000000000001</v>
      </c>
      <c r="AG139" s="118">
        <v>0.13800000000000001</v>
      </c>
      <c r="AH139" s="118">
        <v>0.13800000000000001</v>
      </c>
      <c r="AI139" s="37"/>
    </row>
    <row r="140" spans="5:35" x14ac:dyDescent="0.3">
      <c r="E140" s="35"/>
      <c r="F140" s="102"/>
      <c r="G140" s="102"/>
      <c r="H140" s="101" t="s">
        <v>106</v>
      </c>
      <c r="I140" s="118">
        <v>12.4</v>
      </c>
      <c r="J140" s="118">
        <v>12.4</v>
      </c>
      <c r="K140" s="118">
        <v>12.4</v>
      </c>
      <c r="L140" s="118">
        <v>12.4</v>
      </c>
      <c r="M140" s="118">
        <v>12.4</v>
      </c>
      <c r="N140" s="118">
        <v>12.4</v>
      </c>
      <c r="O140" s="118">
        <v>12.4</v>
      </c>
      <c r="P140" s="118">
        <v>12.4</v>
      </c>
      <c r="Q140" s="118">
        <v>12.4</v>
      </c>
      <c r="R140" s="118">
        <v>12.4</v>
      </c>
      <c r="S140" s="118">
        <v>12.4</v>
      </c>
      <c r="T140" s="118">
        <v>12.4</v>
      </c>
      <c r="U140" s="118">
        <v>12.4</v>
      </c>
      <c r="V140" s="118">
        <v>12.4</v>
      </c>
      <c r="W140" s="118">
        <v>12.4</v>
      </c>
      <c r="X140" s="118">
        <v>12.4</v>
      </c>
      <c r="Y140" s="118">
        <v>12.4</v>
      </c>
      <c r="Z140" s="118">
        <v>12.4</v>
      </c>
      <c r="AA140" s="118">
        <v>12.4</v>
      </c>
      <c r="AB140" s="118">
        <v>12.4</v>
      </c>
      <c r="AC140" s="118">
        <v>12.4</v>
      </c>
      <c r="AD140" s="118">
        <v>12.4</v>
      </c>
      <c r="AE140" s="118">
        <v>12.4</v>
      </c>
      <c r="AF140" s="118">
        <v>12.4</v>
      </c>
      <c r="AG140" s="118">
        <v>12.4</v>
      </c>
      <c r="AH140" s="118">
        <v>12.4</v>
      </c>
      <c r="AI140" s="37"/>
    </row>
    <row r="141" spans="5:35" x14ac:dyDescent="0.3">
      <c r="E141" s="35"/>
      <c r="F141" s="102"/>
      <c r="G141" s="102"/>
      <c r="H141" s="101" t="s">
        <v>107</v>
      </c>
      <c r="I141" s="118">
        <v>0.67700000000000005</v>
      </c>
      <c r="J141" s="118">
        <v>0.67700000000000005</v>
      </c>
      <c r="K141" s="118">
        <v>0.67700000000000005</v>
      </c>
      <c r="L141" s="118">
        <v>0.67700000000000005</v>
      </c>
      <c r="M141" s="118">
        <v>0.67700000000000005</v>
      </c>
      <c r="N141" s="118">
        <v>0.67700000000000005</v>
      </c>
      <c r="O141" s="118">
        <v>0.67700000000000005</v>
      </c>
      <c r="P141" s="118">
        <v>0.67700000000000005</v>
      </c>
      <c r="Q141" s="118">
        <v>0.67700000000000005</v>
      </c>
      <c r="R141" s="118">
        <v>0.67700000000000005</v>
      </c>
      <c r="S141" s="118">
        <v>0.67700000000000005</v>
      </c>
      <c r="T141" s="118">
        <v>0.67700000000000005</v>
      </c>
      <c r="U141" s="118">
        <v>0.67700000000000005</v>
      </c>
      <c r="V141" s="118">
        <v>0.67700000000000005</v>
      </c>
      <c r="W141" s="118">
        <v>0.67700000000000005</v>
      </c>
      <c r="X141" s="118">
        <v>0.67700000000000005</v>
      </c>
      <c r="Y141" s="118">
        <v>0.67700000000000005</v>
      </c>
      <c r="Z141" s="118">
        <v>0.67700000000000005</v>
      </c>
      <c r="AA141" s="118">
        <v>0.67700000000000005</v>
      </c>
      <c r="AB141" s="118">
        <v>0.67700000000000005</v>
      </c>
      <c r="AC141" s="118">
        <v>0.67700000000000005</v>
      </c>
      <c r="AD141" s="118">
        <v>0.67700000000000005</v>
      </c>
      <c r="AE141" s="118">
        <v>0.67700000000000005</v>
      </c>
      <c r="AF141" s="118">
        <v>0.67700000000000005</v>
      </c>
      <c r="AG141" s="118">
        <v>0.67700000000000005</v>
      </c>
      <c r="AH141" s="118">
        <v>0.67700000000000005</v>
      </c>
      <c r="AI141" s="37"/>
    </row>
    <row r="142" spans="5:35" x14ac:dyDescent="0.3">
      <c r="E142" s="35"/>
      <c r="F142" s="102"/>
      <c r="G142" s="102"/>
      <c r="H142" s="101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37"/>
    </row>
    <row r="143" spans="5:35" x14ac:dyDescent="0.3">
      <c r="E143" s="35"/>
      <c r="F143" s="102"/>
      <c r="G143" s="102"/>
      <c r="H143" s="101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37"/>
    </row>
    <row r="144" spans="5:35" x14ac:dyDescent="0.3">
      <c r="E144" s="35"/>
      <c r="F144" s="102"/>
      <c r="G144" s="102"/>
      <c r="H144" s="101" t="s">
        <v>120</v>
      </c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37"/>
    </row>
    <row r="145" spans="5:35" x14ac:dyDescent="0.3">
      <c r="E145" s="35"/>
      <c r="F145" s="102"/>
      <c r="G145" s="102"/>
      <c r="H145" s="102"/>
      <c r="I145" s="101">
        <v>2010</v>
      </c>
      <c r="J145" s="101">
        <v>2011</v>
      </c>
      <c r="K145" s="101">
        <v>2012</v>
      </c>
      <c r="L145" s="101">
        <v>2013</v>
      </c>
      <c r="M145" s="101">
        <v>2014</v>
      </c>
      <c r="N145" s="101">
        <v>2015</v>
      </c>
      <c r="O145" s="101">
        <v>2016</v>
      </c>
      <c r="P145" s="101">
        <v>2017</v>
      </c>
      <c r="Q145" s="101">
        <v>2018</v>
      </c>
      <c r="R145" s="101">
        <v>2019</v>
      </c>
      <c r="S145" s="101">
        <v>2020</v>
      </c>
      <c r="T145" s="101">
        <v>2021</v>
      </c>
      <c r="U145" s="101">
        <v>2022</v>
      </c>
      <c r="V145" s="101">
        <v>2023</v>
      </c>
      <c r="W145" s="101">
        <v>2024</v>
      </c>
      <c r="X145" s="101">
        <v>2025</v>
      </c>
      <c r="Y145" s="101">
        <v>2026</v>
      </c>
      <c r="Z145" s="101">
        <v>2027</v>
      </c>
      <c r="AA145" s="101">
        <v>2028</v>
      </c>
      <c r="AB145" s="101">
        <v>2029</v>
      </c>
      <c r="AC145" s="101">
        <v>2030</v>
      </c>
      <c r="AD145" s="101">
        <v>2031</v>
      </c>
      <c r="AE145" s="101">
        <v>2032</v>
      </c>
      <c r="AF145" s="101">
        <v>2033</v>
      </c>
      <c r="AG145" s="101">
        <v>2034</v>
      </c>
      <c r="AH145" s="101">
        <v>2035</v>
      </c>
      <c r="AI145" s="37"/>
    </row>
    <row r="146" spans="5:35" x14ac:dyDescent="0.3">
      <c r="E146" s="35"/>
      <c r="F146" s="102"/>
      <c r="G146" s="102"/>
      <c r="H146" s="101" t="s">
        <v>102</v>
      </c>
      <c r="I146" s="118">
        <f>ROUND(I125/I136,4)</f>
        <v>9.1000000000000004E-3</v>
      </c>
      <c r="J146" s="118">
        <f t="shared" ref="J146:AH146" si="77">ROUND(J125/J136,4)</f>
        <v>1.0800000000000001E-2</v>
      </c>
      <c r="K146" s="118">
        <f>ROUND(K125/K136,4)</f>
        <v>1.26E-2</v>
      </c>
      <c r="L146" s="118">
        <f t="shared" si="77"/>
        <v>1.37E-2</v>
      </c>
      <c r="M146" s="118">
        <f t="shared" si="77"/>
        <v>1.01E-2</v>
      </c>
      <c r="N146" s="118">
        <f t="shared" si="77"/>
        <v>8.5000000000000006E-3</v>
      </c>
      <c r="O146" s="118">
        <f t="shared" si="77"/>
        <v>6.7000000000000002E-3</v>
      </c>
      <c r="P146" s="118">
        <f t="shared" si="77"/>
        <v>6.3E-3</v>
      </c>
      <c r="Q146" s="118">
        <f t="shared" si="77"/>
        <v>6.7999999999999996E-3</v>
      </c>
      <c r="R146" s="118">
        <f t="shared" si="77"/>
        <v>6.5199999999999994E-2</v>
      </c>
      <c r="S146" s="118">
        <f t="shared" si="77"/>
        <v>9.5399999999999999E-2</v>
      </c>
      <c r="T146" s="118">
        <f t="shared" si="77"/>
        <v>0.1172</v>
      </c>
      <c r="U146" s="118">
        <f t="shared" si="77"/>
        <v>0.18540000000000001</v>
      </c>
      <c r="V146" s="118">
        <f t="shared" si="77"/>
        <v>0.2258</v>
      </c>
      <c r="W146" s="118">
        <f t="shared" si="77"/>
        <v>0.26619999999999999</v>
      </c>
      <c r="X146" s="118">
        <f>ROUND(X125/X136,4)</f>
        <v>0.30659999999999998</v>
      </c>
      <c r="Y146" s="118">
        <f>ROUND(Y125/Y136,4)</f>
        <v>0.33939999999999998</v>
      </c>
      <c r="Z146" s="118">
        <f t="shared" si="77"/>
        <v>0.37230000000000002</v>
      </c>
      <c r="AA146" s="118">
        <f t="shared" si="77"/>
        <v>0.4052</v>
      </c>
      <c r="AB146" s="118">
        <f t="shared" si="77"/>
        <v>0.43809999999999999</v>
      </c>
      <c r="AC146" s="118">
        <f t="shared" si="77"/>
        <v>0.47339999999999999</v>
      </c>
      <c r="AD146" s="118">
        <f t="shared" si="77"/>
        <v>0.46949999999999997</v>
      </c>
      <c r="AE146" s="118">
        <f t="shared" si="77"/>
        <v>0.46550000000000002</v>
      </c>
      <c r="AF146" s="118">
        <f t="shared" si="77"/>
        <v>0.46160000000000001</v>
      </c>
      <c r="AG146" s="118">
        <f t="shared" si="77"/>
        <v>0.45760000000000001</v>
      </c>
      <c r="AH146" s="118">
        <f t="shared" si="77"/>
        <v>0.4536</v>
      </c>
      <c r="AI146" s="37"/>
    </row>
    <row r="147" spans="5:35" x14ac:dyDescent="0.3">
      <c r="E147" s="35"/>
      <c r="F147" s="102"/>
      <c r="G147" s="102"/>
      <c r="H147" s="101" t="s">
        <v>103</v>
      </c>
      <c r="I147" s="118">
        <f t="shared" ref="I147:AH147" si="78">ROUND(I126/I137,4)</f>
        <v>7.9399999999999998E-2</v>
      </c>
      <c r="J147" s="118">
        <f t="shared" si="78"/>
        <v>9.06E-2</v>
      </c>
      <c r="K147" s="118">
        <f t="shared" si="78"/>
        <v>0.1235</v>
      </c>
      <c r="L147" s="118">
        <f t="shared" si="78"/>
        <v>0.1658</v>
      </c>
      <c r="M147" s="118">
        <f t="shared" si="78"/>
        <v>0.22550000000000001</v>
      </c>
      <c r="N147" s="118">
        <f t="shared" si="78"/>
        <v>0.27650000000000002</v>
      </c>
      <c r="O147" s="118">
        <f t="shared" si="78"/>
        <v>0.30719999999999997</v>
      </c>
      <c r="P147" s="118">
        <f t="shared" si="78"/>
        <v>0.3382</v>
      </c>
      <c r="Q147" s="118">
        <f t="shared" si="78"/>
        <v>0.36280000000000001</v>
      </c>
      <c r="R147" s="118">
        <f t="shared" si="78"/>
        <v>0.39779999999999999</v>
      </c>
      <c r="S147" s="118">
        <f t="shared" si="78"/>
        <v>0.42699999999999999</v>
      </c>
      <c r="T147" s="118">
        <f t="shared" si="78"/>
        <v>0.41220000000000001</v>
      </c>
      <c r="U147" s="118">
        <f t="shared" si="78"/>
        <v>0.46910000000000002</v>
      </c>
      <c r="V147" s="118">
        <f t="shared" si="78"/>
        <v>0.57130000000000003</v>
      </c>
      <c r="W147" s="118">
        <f t="shared" si="78"/>
        <v>0.67349999999999999</v>
      </c>
      <c r="X147" s="118">
        <f t="shared" si="78"/>
        <v>0.77569999999999995</v>
      </c>
      <c r="Y147" s="118">
        <f t="shared" si="78"/>
        <v>0.85880000000000001</v>
      </c>
      <c r="Z147" s="118">
        <f t="shared" si="78"/>
        <v>0.94199999999999995</v>
      </c>
      <c r="AA147" s="118">
        <f t="shared" si="78"/>
        <v>1.0251999999999999</v>
      </c>
      <c r="AB147" s="118">
        <f t="shared" si="78"/>
        <v>1.1084000000000001</v>
      </c>
      <c r="AC147" s="118">
        <f t="shared" si="78"/>
        <v>1.1979</v>
      </c>
      <c r="AD147" s="118">
        <f t="shared" si="78"/>
        <v>1.1878</v>
      </c>
      <c r="AE147" s="118">
        <f t="shared" si="78"/>
        <v>1.1778</v>
      </c>
      <c r="AF147" s="118">
        <f t="shared" si="78"/>
        <v>1.1677999999999999</v>
      </c>
      <c r="AG147" s="118">
        <f t="shared" si="78"/>
        <v>1.1577999999999999</v>
      </c>
      <c r="AH147" s="118">
        <f t="shared" si="78"/>
        <v>1.1477999999999999</v>
      </c>
      <c r="AI147" s="37"/>
    </row>
    <row r="148" spans="5:35" x14ac:dyDescent="0.3">
      <c r="E148" s="35"/>
      <c r="F148" s="102"/>
      <c r="G148" s="102"/>
      <c r="H148" s="101" t="s">
        <v>104</v>
      </c>
      <c r="I148" s="118">
        <f t="shared" ref="I148:AH148" si="79">ROUND(I127/I138,4)</f>
        <v>7.7999999999999996E-3</v>
      </c>
      <c r="J148" s="118">
        <f t="shared" si="79"/>
        <v>1.09E-2</v>
      </c>
      <c r="K148" s="118">
        <f t="shared" si="79"/>
        <v>1.2500000000000001E-2</v>
      </c>
      <c r="L148" s="118">
        <f t="shared" si="79"/>
        <v>9.4000000000000004E-3</v>
      </c>
      <c r="M148" s="118">
        <f t="shared" si="79"/>
        <v>6.3E-3</v>
      </c>
      <c r="N148" s="118">
        <f t="shared" si="79"/>
        <v>8.6E-3</v>
      </c>
      <c r="O148" s="118">
        <f t="shared" si="79"/>
        <v>8.5000000000000006E-3</v>
      </c>
      <c r="P148" s="118">
        <f t="shared" si="79"/>
        <v>6.0000000000000001E-3</v>
      </c>
      <c r="Q148" s="118">
        <f t="shared" si="79"/>
        <v>3.8999999999999998E-3</v>
      </c>
      <c r="R148" s="118">
        <f t="shared" si="79"/>
        <v>4.0899999999999999E-2</v>
      </c>
      <c r="S148" s="118">
        <f t="shared" si="79"/>
        <v>6.6199999999999995E-2</v>
      </c>
      <c r="T148" s="118">
        <f t="shared" si="79"/>
        <v>7.9699999999999993E-2</v>
      </c>
      <c r="U148" s="118">
        <f t="shared" si="79"/>
        <v>0.1464</v>
      </c>
      <c r="V148" s="118">
        <f t="shared" si="79"/>
        <v>0.17829999999999999</v>
      </c>
      <c r="W148" s="118">
        <f t="shared" si="79"/>
        <v>0.21010000000000001</v>
      </c>
      <c r="X148" s="118">
        <f t="shared" si="79"/>
        <v>0.24199999999999999</v>
      </c>
      <c r="Y148" s="118">
        <f t="shared" si="79"/>
        <v>0.26800000000000002</v>
      </c>
      <c r="Z148" s="118">
        <f t="shared" si="79"/>
        <v>0.29389999999999999</v>
      </c>
      <c r="AA148" s="118">
        <f t="shared" si="79"/>
        <v>0.31990000000000002</v>
      </c>
      <c r="AB148" s="118">
        <f t="shared" si="79"/>
        <v>0.34589999999999999</v>
      </c>
      <c r="AC148" s="118">
        <f t="shared" si="79"/>
        <v>0.37380000000000002</v>
      </c>
      <c r="AD148" s="118">
        <f t="shared" si="79"/>
        <v>0.37059999999999998</v>
      </c>
      <c r="AE148" s="118">
        <f t="shared" si="79"/>
        <v>0.36749999999999999</v>
      </c>
      <c r="AF148" s="118">
        <f t="shared" si="79"/>
        <v>0.3644</v>
      </c>
      <c r="AG148" s="118">
        <f t="shared" si="79"/>
        <v>0.36130000000000001</v>
      </c>
      <c r="AH148" s="118">
        <f>ROUND(AH127/AH138,4)</f>
        <v>0.35809999999999997</v>
      </c>
      <c r="AI148" s="37"/>
    </row>
    <row r="149" spans="5:35" x14ac:dyDescent="0.3">
      <c r="E149" s="35"/>
      <c r="F149" s="102"/>
      <c r="G149" s="102"/>
      <c r="H149" s="101" t="s">
        <v>105</v>
      </c>
      <c r="I149" s="118">
        <f t="shared" ref="I149:AH149" si="80">ROUND(I128/I139,4)</f>
        <v>0</v>
      </c>
      <c r="J149" s="118">
        <f t="shared" si="80"/>
        <v>0</v>
      </c>
      <c r="K149" s="118">
        <f t="shared" si="80"/>
        <v>0</v>
      </c>
      <c r="L149" s="118">
        <f t="shared" si="80"/>
        <v>6.9999999999999999E-4</v>
      </c>
      <c r="M149" s="118">
        <f t="shared" si="80"/>
        <v>1.4E-3</v>
      </c>
      <c r="N149" s="118">
        <f t="shared" si="80"/>
        <v>6.9999999999999999E-4</v>
      </c>
      <c r="O149" s="118">
        <f t="shared" si="80"/>
        <v>1.4E-3</v>
      </c>
      <c r="P149" s="118">
        <f t="shared" si="80"/>
        <v>1.4E-3</v>
      </c>
      <c r="Q149" s="118">
        <f t="shared" si="80"/>
        <v>6.9999999999999999E-4</v>
      </c>
      <c r="R149" s="118">
        <f t="shared" si="80"/>
        <v>6.9999999999999999E-4</v>
      </c>
      <c r="S149" s="118">
        <f t="shared" si="80"/>
        <v>6.9999999999999999E-4</v>
      </c>
      <c r="T149" s="118">
        <f t="shared" si="80"/>
        <v>1.4E-3</v>
      </c>
      <c r="U149" s="118">
        <f t="shared" si="80"/>
        <v>2.2000000000000001E-3</v>
      </c>
      <c r="V149" s="118">
        <f t="shared" si="80"/>
        <v>2.3999999999999998E-3</v>
      </c>
      <c r="W149" s="118">
        <f t="shared" si="80"/>
        <v>2.8999999999999998E-3</v>
      </c>
      <c r="X149" s="118">
        <f t="shared" si="80"/>
        <v>3.3E-3</v>
      </c>
      <c r="Y149" s="118">
        <f t="shared" si="80"/>
        <v>3.7000000000000002E-3</v>
      </c>
      <c r="Z149" s="118">
        <f t="shared" si="80"/>
        <v>4.0000000000000001E-3</v>
      </c>
      <c r="AA149" s="118">
        <f t="shared" si="80"/>
        <v>4.4000000000000003E-3</v>
      </c>
      <c r="AB149" s="118">
        <f t="shared" si="80"/>
        <v>4.7000000000000002E-3</v>
      </c>
      <c r="AC149" s="118">
        <f t="shared" si="80"/>
        <v>5.1000000000000004E-3</v>
      </c>
      <c r="AD149" s="118">
        <f t="shared" si="80"/>
        <v>5.1000000000000004E-3</v>
      </c>
      <c r="AE149" s="118">
        <f t="shared" si="80"/>
        <v>5.0000000000000001E-3</v>
      </c>
      <c r="AF149" s="118">
        <f t="shared" si="80"/>
        <v>5.0000000000000001E-3</v>
      </c>
      <c r="AG149" s="118">
        <f t="shared" si="80"/>
        <v>5.0000000000000001E-3</v>
      </c>
      <c r="AH149" s="118">
        <f>ROUND(AH128/AH139,4)</f>
        <v>4.8999999999999998E-3</v>
      </c>
      <c r="AI149" s="37"/>
    </row>
    <row r="150" spans="5:35" x14ac:dyDescent="0.3">
      <c r="E150" s="35"/>
      <c r="F150" s="102"/>
      <c r="G150" s="102"/>
      <c r="H150" s="101" t="s">
        <v>106</v>
      </c>
      <c r="I150" s="118">
        <f t="shared" ref="I150:AH150" si="81">ROUND(I129/I140,4)</f>
        <v>3.3999999999999998E-3</v>
      </c>
      <c r="J150" s="118">
        <f t="shared" si="81"/>
        <v>2.5999999999999999E-3</v>
      </c>
      <c r="K150" s="118">
        <f t="shared" si="81"/>
        <v>2E-3</v>
      </c>
      <c r="L150" s="118">
        <f t="shared" si="81"/>
        <v>1.5E-3</v>
      </c>
      <c r="M150" s="118">
        <f t="shared" si="81"/>
        <v>1.1000000000000001E-3</v>
      </c>
      <c r="N150" s="118">
        <f t="shared" si="81"/>
        <v>8.9999999999999998E-4</v>
      </c>
      <c r="O150" s="118">
        <f t="shared" si="81"/>
        <v>5.9999999999999995E-4</v>
      </c>
      <c r="P150" s="118">
        <f t="shared" si="81"/>
        <v>5.0000000000000001E-4</v>
      </c>
      <c r="Q150" s="118">
        <f t="shared" si="81"/>
        <v>4.0000000000000002E-4</v>
      </c>
      <c r="R150" s="118">
        <f t="shared" si="81"/>
        <v>2.9999999999999997E-4</v>
      </c>
      <c r="S150" s="118">
        <f t="shared" si="81"/>
        <v>2.9999999999999997E-4</v>
      </c>
      <c r="T150" s="118">
        <f t="shared" si="81"/>
        <v>2.0000000000000001E-4</v>
      </c>
      <c r="U150" s="118">
        <f t="shared" si="81"/>
        <v>5.9999999999999995E-4</v>
      </c>
      <c r="V150" s="118">
        <f t="shared" si="81"/>
        <v>6.9999999999999999E-4</v>
      </c>
      <c r="W150" s="118">
        <f t="shared" si="81"/>
        <v>8.0000000000000004E-4</v>
      </c>
      <c r="X150" s="118">
        <f t="shared" si="81"/>
        <v>1E-3</v>
      </c>
      <c r="Y150" s="118">
        <f t="shared" si="81"/>
        <v>1.1000000000000001E-3</v>
      </c>
      <c r="Z150" s="118">
        <f t="shared" si="81"/>
        <v>1.1999999999999999E-3</v>
      </c>
      <c r="AA150" s="118">
        <f t="shared" si="81"/>
        <v>1.2999999999999999E-3</v>
      </c>
      <c r="AB150" s="118">
        <f t="shared" si="81"/>
        <v>1.4E-3</v>
      </c>
      <c r="AC150" s="118">
        <f t="shared" si="81"/>
        <v>1.5E-3</v>
      </c>
      <c r="AD150" s="118">
        <f t="shared" si="81"/>
        <v>1.5E-3</v>
      </c>
      <c r="AE150" s="118">
        <f t="shared" si="81"/>
        <v>1.4E-3</v>
      </c>
      <c r="AF150" s="118">
        <f t="shared" si="81"/>
        <v>1.4E-3</v>
      </c>
      <c r="AG150" s="118">
        <f t="shared" si="81"/>
        <v>1.4E-3</v>
      </c>
      <c r="AH150" s="118">
        <f>ROUND(AH129/AH140,4)</f>
        <v>1.4E-3</v>
      </c>
      <c r="AI150" s="37"/>
    </row>
    <row r="151" spans="5:35" x14ac:dyDescent="0.3">
      <c r="E151" s="35"/>
      <c r="F151" s="102"/>
      <c r="G151" s="102"/>
      <c r="H151" s="101" t="s">
        <v>107</v>
      </c>
      <c r="I151" s="118">
        <f t="shared" ref="I151:AH151" si="82">ROUND(I130/I141,4)</f>
        <v>4.3E-3</v>
      </c>
      <c r="J151" s="118">
        <f t="shared" si="82"/>
        <v>3.8E-3</v>
      </c>
      <c r="K151" s="118">
        <f t="shared" si="82"/>
        <v>5.1999999999999998E-3</v>
      </c>
      <c r="L151" s="118">
        <f t="shared" si="82"/>
        <v>6.8999999999999999E-3</v>
      </c>
      <c r="M151" s="118">
        <f t="shared" si="82"/>
        <v>6.1999999999999998E-3</v>
      </c>
      <c r="N151" s="118">
        <f t="shared" si="82"/>
        <v>5.4999999999999997E-3</v>
      </c>
      <c r="O151" s="118">
        <f t="shared" si="82"/>
        <v>5.0000000000000001E-3</v>
      </c>
      <c r="P151" s="118">
        <f t="shared" si="82"/>
        <v>4.4000000000000003E-3</v>
      </c>
      <c r="Q151" s="118">
        <f t="shared" si="82"/>
        <v>4.0000000000000001E-3</v>
      </c>
      <c r="R151" s="118">
        <f t="shared" si="82"/>
        <v>2.3199999999999998E-2</v>
      </c>
      <c r="S151" s="118">
        <f t="shared" si="82"/>
        <v>3.5900000000000001E-2</v>
      </c>
      <c r="T151" s="118">
        <f t="shared" si="82"/>
        <v>4.7899999999999998E-2</v>
      </c>
      <c r="U151" s="118">
        <f t="shared" si="82"/>
        <v>7.3700000000000002E-2</v>
      </c>
      <c r="V151" s="118">
        <f t="shared" si="82"/>
        <v>8.9800000000000005E-2</v>
      </c>
      <c r="W151" s="118">
        <f t="shared" si="82"/>
        <v>0.10589999999999999</v>
      </c>
      <c r="X151" s="118">
        <f t="shared" si="82"/>
        <v>0.122</v>
      </c>
      <c r="Y151" s="118">
        <f>ROUND(Y130/Y141,4)</f>
        <v>0.1351</v>
      </c>
      <c r="Z151" s="118">
        <f t="shared" si="82"/>
        <v>0.14810000000000001</v>
      </c>
      <c r="AA151" s="118">
        <f t="shared" si="82"/>
        <v>0.16120000000000001</v>
      </c>
      <c r="AB151" s="118">
        <f t="shared" si="82"/>
        <v>0.17430000000000001</v>
      </c>
      <c r="AC151" s="118">
        <f t="shared" si="82"/>
        <v>0.18840000000000001</v>
      </c>
      <c r="AD151" s="118">
        <f t="shared" si="82"/>
        <v>0.18679999999999999</v>
      </c>
      <c r="AE151" s="118">
        <f t="shared" si="82"/>
        <v>0.1852</v>
      </c>
      <c r="AF151" s="118">
        <f t="shared" si="82"/>
        <v>0.1837</v>
      </c>
      <c r="AG151" s="118">
        <f t="shared" si="82"/>
        <v>0.18210000000000001</v>
      </c>
      <c r="AH151" s="118">
        <f>ROUND(AH130/AH141,4)</f>
        <v>0.18049999999999999</v>
      </c>
      <c r="AI151" s="37"/>
    </row>
    <row r="152" spans="5:35" x14ac:dyDescent="0.3">
      <c r="E152" s="35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37"/>
    </row>
    <row r="153" spans="5:35" x14ac:dyDescent="0.3">
      <c r="E153" s="35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37"/>
    </row>
    <row r="154" spans="5:35" x14ac:dyDescent="0.3">
      <c r="E154" s="35"/>
      <c r="F154" s="102"/>
      <c r="G154" s="102"/>
      <c r="H154" s="101" t="s">
        <v>119</v>
      </c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37"/>
    </row>
    <row r="155" spans="5:35" x14ac:dyDescent="0.3">
      <c r="E155" s="35"/>
      <c r="F155" s="102"/>
      <c r="G155" s="102"/>
      <c r="H155" s="102"/>
      <c r="I155" s="101">
        <v>2010</v>
      </c>
      <c r="J155" s="101">
        <v>2011</v>
      </c>
      <c r="K155" s="101">
        <v>2012</v>
      </c>
      <c r="L155" s="101">
        <v>2013</v>
      </c>
      <c r="M155" s="101">
        <v>2014</v>
      </c>
      <c r="N155" s="101">
        <v>2015</v>
      </c>
      <c r="O155" s="101">
        <v>2016</v>
      </c>
      <c r="P155" s="101">
        <v>2017</v>
      </c>
      <c r="Q155" s="101">
        <v>2018</v>
      </c>
      <c r="R155" s="101">
        <v>2019</v>
      </c>
      <c r="S155" s="101">
        <v>2020</v>
      </c>
      <c r="T155" s="101">
        <v>2021</v>
      </c>
      <c r="U155" s="101">
        <v>2022</v>
      </c>
      <c r="V155" s="101">
        <v>2023</v>
      </c>
      <c r="W155" s="101">
        <v>2024</v>
      </c>
      <c r="X155" s="101">
        <v>2025</v>
      </c>
      <c r="Y155" s="101">
        <v>2026</v>
      </c>
      <c r="Z155" s="101">
        <v>2027</v>
      </c>
      <c r="AA155" s="101">
        <v>2028</v>
      </c>
      <c r="AB155" s="101">
        <v>2029</v>
      </c>
      <c r="AC155" s="101">
        <v>2030</v>
      </c>
      <c r="AD155" s="101">
        <v>2031</v>
      </c>
      <c r="AE155" s="101">
        <v>2032</v>
      </c>
      <c r="AF155" s="101">
        <v>2033</v>
      </c>
      <c r="AG155" s="101">
        <v>2034</v>
      </c>
      <c r="AH155" s="101">
        <v>2035</v>
      </c>
      <c r="AI155" s="37"/>
    </row>
    <row r="156" spans="5:35" x14ac:dyDescent="0.3">
      <c r="E156" s="35"/>
      <c r="F156" s="102"/>
      <c r="G156" s="102"/>
      <c r="H156" s="101" t="s">
        <v>102</v>
      </c>
      <c r="I156" s="118">
        <f>I146*I136</f>
        <v>2.8847000000000001E-2</v>
      </c>
      <c r="J156" s="118">
        <f>J146*J136</f>
        <v>3.4236000000000003E-2</v>
      </c>
      <c r="K156" s="118">
        <f>K146*K136</f>
        <v>3.9941999999999998E-2</v>
      </c>
      <c r="L156" s="118">
        <f>L146*L136</f>
        <v>4.3429000000000002E-2</v>
      </c>
      <c r="M156" s="118">
        <f>M146*M136</f>
        <v>3.2016999999999997E-2</v>
      </c>
      <c r="N156" s="118">
        <f>N146*N136</f>
        <v>2.6945E-2</v>
      </c>
      <c r="O156" s="118">
        <f>O146*O136</f>
        <v>2.1239000000000001E-2</v>
      </c>
      <c r="P156" s="118">
        <f>P146*P136</f>
        <v>1.9970999999999999E-2</v>
      </c>
      <c r="Q156" s="118">
        <f>Q146*Q136</f>
        <v>2.1555999999999999E-2</v>
      </c>
      <c r="R156" s="118">
        <f>R146*R136</f>
        <v>0.20668399999999998</v>
      </c>
      <c r="S156" s="118">
        <f>S146*S136</f>
        <v>0.30241799999999996</v>
      </c>
      <c r="T156" s="118">
        <f>T146*T136</f>
        <v>0.37152399999999997</v>
      </c>
      <c r="U156" s="118">
        <f>U146*U136</f>
        <v>0.58771799999999996</v>
      </c>
      <c r="V156" s="118">
        <f>V146*V136</f>
        <v>0.71578600000000003</v>
      </c>
      <c r="W156" s="118">
        <f>W146*W136</f>
        <v>0.84385399999999999</v>
      </c>
      <c r="X156" s="118">
        <f>X146*X136</f>
        <v>0.97192199999999995</v>
      </c>
      <c r="Y156" s="118">
        <f>Y146*Y136</f>
        <v>1.075898</v>
      </c>
      <c r="Z156" s="118">
        <f>Z146*Z136</f>
        <v>1.180191</v>
      </c>
      <c r="AA156" s="118">
        <f>AA146*AA136</f>
        <v>1.284484</v>
      </c>
      <c r="AB156" s="118">
        <f>AB146*AB136</f>
        <v>1.3887769999999999</v>
      </c>
      <c r="AC156" s="118">
        <f>AC146*AC136</f>
        <v>1.500678</v>
      </c>
      <c r="AD156" s="118">
        <f>AD146*AD136</f>
        <v>1.4883149999999998</v>
      </c>
      <c r="AE156" s="118">
        <f>AE146*AE136</f>
        <v>1.475635</v>
      </c>
      <c r="AF156" s="118">
        <f>AF146*AF136</f>
        <v>1.4632719999999999</v>
      </c>
      <c r="AG156" s="118">
        <f>AG146*AG136</f>
        <v>1.4505919999999999</v>
      </c>
      <c r="AH156" s="118">
        <f>AH146*AH136</f>
        <v>1.4379120000000001</v>
      </c>
      <c r="AI156" s="37"/>
    </row>
    <row r="157" spans="5:35" x14ac:dyDescent="0.3">
      <c r="E157" s="35"/>
      <c r="F157" s="102"/>
      <c r="G157" s="102"/>
      <c r="H157" s="101" t="s">
        <v>103</v>
      </c>
      <c r="I157" s="118">
        <f>I147*I137</f>
        <v>0.10322000000000001</v>
      </c>
      <c r="J157" s="118">
        <f>J147*J137</f>
        <v>0.11778000000000001</v>
      </c>
      <c r="K157" s="118">
        <f>K147*K137</f>
        <v>0.16055</v>
      </c>
      <c r="L157" s="118">
        <f>L147*L137</f>
        <v>0.21554000000000001</v>
      </c>
      <c r="M157" s="118">
        <f>M147*M137</f>
        <v>0.29315000000000002</v>
      </c>
      <c r="N157" s="118">
        <f>N147*N137</f>
        <v>0.35945000000000005</v>
      </c>
      <c r="O157" s="118">
        <f>O147*O137</f>
        <v>0.39935999999999999</v>
      </c>
      <c r="P157" s="118">
        <f>P147*P137</f>
        <v>0.43966</v>
      </c>
      <c r="Q157" s="118">
        <f>Q147*Q137</f>
        <v>0.47164</v>
      </c>
      <c r="R157" s="118">
        <f>R147*R137</f>
        <v>0.51714000000000004</v>
      </c>
      <c r="S157" s="118">
        <f>S147*S137</f>
        <v>0.55510000000000004</v>
      </c>
      <c r="T157" s="118">
        <f>T147*T137</f>
        <v>0.53586</v>
      </c>
      <c r="U157" s="118">
        <f>U147*U137</f>
        <v>0.60983000000000009</v>
      </c>
      <c r="V157" s="118">
        <f>V147*V137</f>
        <v>0.74269000000000007</v>
      </c>
      <c r="W157" s="118">
        <f>W147*W137</f>
        <v>0.87555000000000005</v>
      </c>
      <c r="X157" s="118">
        <f>X147*X137</f>
        <v>1.00841</v>
      </c>
      <c r="Y157" s="118">
        <f>Y147*Y137</f>
        <v>1.1164400000000001</v>
      </c>
      <c r="Z157" s="118">
        <f>Z147*Z137</f>
        <v>1.2245999999999999</v>
      </c>
      <c r="AA157" s="118">
        <f>AA147*AA137</f>
        <v>1.3327599999999999</v>
      </c>
      <c r="AB157" s="118">
        <f>AB147*AB137</f>
        <v>1.4409200000000002</v>
      </c>
      <c r="AC157" s="118">
        <f>AC147*AC137</f>
        <v>1.5572699999999999</v>
      </c>
      <c r="AD157" s="118">
        <f>AD147*AD137</f>
        <v>1.5441400000000001</v>
      </c>
      <c r="AE157" s="118">
        <f>AE147*AE137</f>
        <v>1.5311399999999999</v>
      </c>
      <c r="AF157" s="118">
        <f>AF147*AF137</f>
        <v>1.51814</v>
      </c>
      <c r="AG157" s="118">
        <f>AG147*AG137</f>
        <v>1.5051399999999999</v>
      </c>
      <c r="AH157" s="118">
        <f>AH147*AH137</f>
        <v>1.49214</v>
      </c>
      <c r="AI157" s="37"/>
    </row>
    <row r="158" spans="5:35" x14ac:dyDescent="0.3">
      <c r="E158" s="35"/>
      <c r="F158" s="102"/>
      <c r="G158" s="102"/>
      <c r="H158" s="101" t="s">
        <v>104</v>
      </c>
      <c r="I158" s="118">
        <f>I148*I138</f>
        <v>3.7439999999999994E-2</v>
      </c>
      <c r="J158" s="118">
        <f>J148*J138</f>
        <v>5.2319999999999998E-2</v>
      </c>
      <c r="K158" s="118">
        <f>K148*K138</f>
        <v>0.06</v>
      </c>
      <c r="L158" s="118">
        <f>L148*L138</f>
        <v>4.512E-2</v>
      </c>
      <c r="M158" s="118">
        <f>M148*M138</f>
        <v>3.024E-2</v>
      </c>
      <c r="N158" s="118">
        <f>N148*N138</f>
        <v>4.1279999999999997E-2</v>
      </c>
      <c r="O158" s="118">
        <f>O148*O138</f>
        <v>4.0800000000000003E-2</v>
      </c>
      <c r="P158" s="118">
        <f>P148*P138</f>
        <v>2.8799999999999999E-2</v>
      </c>
      <c r="Q158" s="118">
        <f>Q148*Q138</f>
        <v>1.8719999999999997E-2</v>
      </c>
      <c r="R158" s="118">
        <f>R148*R138</f>
        <v>0.19631999999999999</v>
      </c>
      <c r="S158" s="118">
        <f>S148*S138</f>
        <v>0.31775999999999999</v>
      </c>
      <c r="T158" s="118">
        <f>T148*T138</f>
        <v>0.38255999999999996</v>
      </c>
      <c r="U158" s="118">
        <f>U148*U138</f>
        <v>0.70272000000000001</v>
      </c>
      <c r="V158" s="118">
        <f>V148*V138</f>
        <v>0.85583999999999993</v>
      </c>
      <c r="W158" s="118">
        <f>W148*W138</f>
        <v>1.00848</v>
      </c>
      <c r="X158" s="118">
        <f>X148*X138</f>
        <v>1.1616</v>
      </c>
      <c r="Y158" s="118">
        <f>Y148*Y138</f>
        <v>1.2864</v>
      </c>
      <c r="Z158" s="118">
        <f>Z148*Z138</f>
        <v>1.41072</v>
      </c>
      <c r="AA158" s="118">
        <f>AA148*AA138</f>
        <v>1.53552</v>
      </c>
      <c r="AB158" s="118">
        <f>AB148*AB138</f>
        <v>1.6603199999999998</v>
      </c>
      <c r="AC158" s="118">
        <f>AC148*AC138</f>
        <v>1.7942400000000001</v>
      </c>
      <c r="AD158" s="118">
        <f>AD148*AD138</f>
        <v>1.7788799999999998</v>
      </c>
      <c r="AE158" s="118">
        <f>AE148*AE138</f>
        <v>1.764</v>
      </c>
      <c r="AF158" s="118">
        <f>AF148*AF138</f>
        <v>1.74912</v>
      </c>
      <c r="AG158" s="118">
        <f>AG148*AG138</f>
        <v>1.73424</v>
      </c>
      <c r="AH158" s="118">
        <f>AH148*AH138</f>
        <v>1.7188799999999997</v>
      </c>
      <c r="AI158" s="37"/>
    </row>
    <row r="159" spans="5:35" x14ac:dyDescent="0.3">
      <c r="E159" s="35"/>
      <c r="F159" s="102"/>
      <c r="G159" s="102"/>
      <c r="H159" s="101" t="s">
        <v>105</v>
      </c>
      <c r="I159" s="118">
        <f>I149*I139</f>
        <v>0</v>
      </c>
      <c r="J159" s="118">
        <f>J149*J139</f>
        <v>0</v>
      </c>
      <c r="K159" s="118">
        <f>K149*K139</f>
        <v>0</v>
      </c>
      <c r="L159" s="118">
        <f>L149*L139</f>
        <v>9.6600000000000003E-5</v>
      </c>
      <c r="M159" s="118">
        <f>M149*M139</f>
        <v>1.9320000000000001E-4</v>
      </c>
      <c r="N159" s="118">
        <f>N149*N139</f>
        <v>9.6600000000000003E-5</v>
      </c>
      <c r="O159" s="118">
        <f>O149*O139</f>
        <v>1.9320000000000001E-4</v>
      </c>
      <c r="P159" s="118">
        <f>P149*P139</f>
        <v>1.9320000000000001E-4</v>
      </c>
      <c r="Q159" s="118">
        <f>Q149*Q139</f>
        <v>9.6600000000000003E-5</v>
      </c>
      <c r="R159" s="118">
        <f>R149*R139</f>
        <v>9.6600000000000003E-5</v>
      </c>
      <c r="S159" s="118">
        <f>S149*S139</f>
        <v>9.6600000000000003E-5</v>
      </c>
      <c r="T159" s="118">
        <f>T149*T139</f>
        <v>1.9320000000000001E-4</v>
      </c>
      <c r="U159" s="118">
        <f>U149*U139</f>
        <v>3.0360000000000006E-4</v>
      </c>
      <c r="V159" s="118">
        <f>V149*V139</f>
        <v>3.3119999999999997E-4</v>
      </c>
      <c r="W159" s="118">
        <f>W149*W139</f>
        <v>4.0020000000000002E-4</v>
      </c>
      <c r="X159" s="118">
        <f>X149*X139</f>
        <v>4.5540000000000001E-4</v>
      </c>
      <c r="Y159" s="118">
        <f>Y149*Y139</f>
        <v>5.1060000000000005E-4</v>
      </c>
      <c r="Z159" s="118">
        <f>Z149*Z139</f>
        <v>5.5200000000000008E-4</v>
      </c>
      <c r="AA159" s="118">
        <f>AA149*AA139</f>
        <v>6.0720000000000012E-4</v>
      </c>
      <c r="AB159" s="118">
        <f>AB149*AB139</f>
        <v>6.4860000000000004E-4</v>
      </c>
      <c r="AC159" s="118">
        <f>AC149*AC139</f>
        <v>7.0380000000000009E-4</v>
      </c>
      <c r="AD159" s="118">
        <f>AD149*AD139</f>
        <v>7.0380000000000009E-4</v>
      </c>
      <c r="AE159" s="118">
        <f>AE149*AE139</f>
        <v>6.9000000000000008E-4</v>
      </c>
      <c r="AF159" s="118">
        <f>AF149*AF139</f>
        <v>6.9000000000000008E-4</v>
      </c>
      <c r="AG159" s="118">
        <f>AG149*AG139</f>
        <v>6.9000000000000008E-4</v>
      </c>
      <c r="AH159" s="118">
        <f>AH149*AH139</f>
        <v>6.7620000000000006E-4</v>
      </c>
      <c r="AI159" s="37"/>
    </row>
    <row r="160" spans="5:35" x14ac:dyDescent="0.3">
      <c r="E160" s="35"/>
      <c r="F160" s="102"/>
      <c r="G160" s="102"/>
      <c r="H160" s="101" t="s">
        <v>106</v>
      </c>
      <c r="I160" s="118">
        <f>I150*I140</f>
        <v>4.2159999999999996E-2</v>
      </c>
      <c r="J160" s="118">
        <f>J150*J140</f>
        <v>3.2239999999999998E-2</v>
      </c>
      <c r="K160" s="118">
        <f>K150*K140</f>
        <v>2.4800000000000003E-2</v>
      </c>
      <c r="L160" s="118">
        <f>L150*L140</f>
        <v>1.8600000000000002E-2</v>
      </c>
      <c r="M160" s="118">
        <f>M150*M140</f>
        <v>1.3640000000000001E-2</v>
      </c>
      <c r="N160" s="118">
        <f>N150*N140</f>
        <v>1.116E-2</v>
      </c>
      <c r="O160" s="118">
        <f>O150*O140</f>
        <v>7.4399999999999996E-3</v>
      </c>
      <c r="P160" s="118">
        <f>P150*P140</f>
        <v>6.2000000000000006E-3</v>
      </c>
      <c r="Q160" s="118">
        <f>Q150*Q140</f>
        <v>4.96E-3</v>
      </c>
      <c r="R160" s="118">
        <f>R150*R140</f>
        <v>3.7199999999999998E-3</v>
      </c>
      <c r="S160" s="118">
        <f>S150*S140</f>
        <v>3.7199999999999998E-3</v>
      </c>
      <c r="T160" s="118">
        <f>T150*T140</f>
        <v>2.48E-3</v>
      </c>
      <c r="U160" s="118">
        <f>U150*U140</f>
        <v>7.4399999999999996E-3</v>
      </c>
      <c r="V160" s="118">
        <f>V150*V140</f>
        <v>8.6800000000000002E-3</v>
      </c>
      <c r="W160" s="118">
        <f>W150*W140</f>
        <v>9.92E-3</v>
      </c>
      <c r="X160" s="118">
        <f>X150*X140</f>
        <v>1.2400000000000001E-2</v>
      </c>
      <c r="Y160" s="118">
        <f>Y150*Y140</f>
        <v>1.3640000000000001E-2</v>
      </c>
      <c r="Z160" s="118">
        <f>Z150*Z140</f>
        <v>1.4879999999999999E-2</v>
      </c>
      <c r="AA160" s="118">
        <f>AA150*AA140</f>
        <v>1.6119999999999999E-2</v>
      </c>
      <c r="AB160" s="118">
        <f>AB150*AB140</f>
        <v>1.736E-2</v>
      </c>
      <c r="AC160" s="118">
        <f>AC150*AC140</f>
        <v>1.8600000000000002E-2</v>
      </c>
      <c r="AD160" s="118">
        <f>AD150*AD140</f>
        <v>1.8600000000000002E-2</v>
      </c>
      <c r="AE160" s="118">
        <f>AE150*AE140</f>
        <v>1.736E-2</v>
      </c>
      <c r="AF160" s="118">
        <f>AF150*AF140</f>
        <v>1.736E-2</v>
      </c>
      <c r="AG160" s="118">
        <f>AG150*AG140</f>
        <v>1.736E-2</v>
      </c>
      <c r="AH160" s="118">
        <f>AH150*AH140</f>
        <v>1.736E-2</v>
      </c>
      <c r="AI160" s="37"/>
    </row>
    <row r="161" spans="5:35" x14ac:dyDescent="0.3">
      <c r="E161" s="35"/>
      <c r="F161" s="102"/>
      <c r="G161" s="102"/>
      <c r="H161" s="101" t="s">
        <v>107</v>
      </c>
      <c r="I161" s="118">
        <f>I151*I141</f>
        <v>2.9111000000000002E-3</v>
      </c>
      <c r="J161" s="118">
        <f>J151*J141</f>
        <v>2.5726E-3</v>
      </c>
      <c r="K161" s="118">
        <f>K151*K141</f>
        <v>3.5203999999999999E-3</v>
      </c>
      <c r="L161" s="118">
        <f>L151*L141</f>
        <v>4.6713000000000006E-3</v>
      </c>
      <c r="M161" s="118">
        <f>M151*M141</f>
        <v>4.1974000000000004E-3</v>
      </c>
      <c r="N161" s="118">
        <f>N151*N141</f>
        <v>3.7235000000000002E-3</v>
      </c>
      <c r="O161" s="118">
        <f>O151*O141</f>
        <v>3.3850000000000004E-3</v>
      </c>
      <c r="P161" s="118">
        <f>P151*P141</f>
        <v>2.9788000000000002E-3</v>
      </c>
      <c r="Q161" s="118">
        <f>Q151*Q141</f>
        <v>2.7080000000000003E-3</v>
      </c>
      <c r="R161" s="118">
        <f>R151*R141</f>
        <v>1.5706399999999999E-2</v>
      </c>
      <c r="S161" s="118">
        <f>S151*S141</f>
        <v>2.4304300000000001E-2</v>
      </c>
      <c r="T161" s="118">
        <f>T151*T141</f>
        <v>3.24283E-2</v>
      </c>
      <c r="U161" s="118">
        <f>U151*U141</f>
        <v>4.9894900000000006E-2</v>
      </c>
      <c r="V161" s="118">
        <f>V151*V141</f>
        <v>6.0794600000000004E-2</v>
      </c>
      <c r="W161" s="118">
        <f>W151*W141</f>
        <v>7.1694300000000002E-2</v>
      </c>
      <c r="X161" s="118">
        <f>X151*X141</f>
        <v>8.2594000000000001E-2</v>
      </c>
      <c r="Y161" s="118">
        <f>Y151*Y141</f>
        <v>9.1462700000000008E-2</v>
      </c>
      <c r="Z161" s="118">
        <f>Z151*Z141</f>
        <v>0.10026370000000001</v>
      </c>
      <c r="AA161" s="118">
        <f>AA151*AA141</f>
        <v>0.10913240000000002</v>
      </c>
      <c r="AB161" s="118">
        <f>AB151*AB141</f>
        <v>0.11800110000000001</v>
      </c>
      <c r="AC161" s="118">
        <f>AC151*AC141</f>
        <v>0.12754680000000002</v>
      </c>
      <c r="AD161" s="118">
        <f>AD151*AD141</f>
        <v>0.12646360000000001</v>
      </c>
      <c r="AE161" s="118">
        <f>AE151*AE141</f>
        <v>0.1253804</v>
      </c>
      <c r="AF161" s="118">
        <f>AF151*AF141</f>
        <v>0.12436490000000001</v>
      </c>
      <c r="AG161" s="118">
        <f>AG151*AG141</f>
        <v>0.12328170000000002</v>
      </c>
      <c r="AH161" s="118">
        <f>AH151*AH141</f>
        <v>0.1221985</v>
      </c>
      <c r="AI161" s="37"/>
    </row>
    <row r="162" spans="5:35" x14ac:dyDescent="0.3">
      <c r="E162" s="35"/>
      <c r="F162" s="102"/>
      <c r="G162" s="102"/>
      <c r="H162" s="101" t="s">
        <v>108</v>
      </c>
      <c r="I162" s="119">
        <f>SUM(I156:I161)</f>
        <v>0.21457810000000002</v>
      </c>
      <c r="J162" s="119">
        <f t="shared" ref="J162" si="83">SUM(J156:J161)</f>
        <v>0.23914860000000002</v>
      </c>
      <c r="K162" s="119">
        <f t="shared" ref="K162" si="84">SUM(K156:K161)</f>
        <v>0.28881239999999997</v>
      </c>
      <c r="L162" s="119">
        <f t="shared" ref="L162" si="85">SUM(L156:L161)</f>
        <v>0.3274569</v>
      </c>
      <c r="M162" s="119">
        <f t="shared" ref="M162" si="86">SUM(M156:M161)</f>
        <v>0.37343760000000004</v>
      </c>
      <c r="N162" s="119">
        <f t="shared" ref="N162" si="87">SUM(N156:N161)</f>
        <v>0.44265510000000002</v>
      </c>
      <c r="O162" s="119">
        <f t="shared" ref="O162" si="88">SUM(O156:O161)</f>
        <v>0.47241720000000004</v>
      </c>
      <c r="P162" s="119">
        <f t="shared" ref="P162" si="89">SUM(P156:P161)</f>
        <v>0.497803</v>
      </c>
      <c r="Q162" s="119">
        <f t="shared" ref="Q162" si="90">SUM(Q156:Q161)</f>
        <v>0.51968060000000005</v>
      </c>
      <c r="R162" s="119">
        <f t="shared" ref="R162" si="91">SUM(R156:R161)</f>
        <v>0.93966700000000003</v>
      </c>
      <c r="S162" s="119">
        <f t="shared" ref="S162" si="92">SUM(S156:S161)</f>
        <v>1.2033989</v>
      </c>
      <c r="T162" s="119">
        <f t="shared" ref="T162" si="93">SUM(T156:T161)</f>
        <v>1.3250455000000001</v>
      </c>
      <c r="U162" s="119">
        <f t="shared" ref="U162" si="94">SUM(U156:U161)</f>
        <v>1.9579065</v>
      </c>
      <c r="V162" s="119">
        <f t="shared" ref="V162" si="95">SUM(V156:V161)</f>
        <v>2.3841218</v>
      </c>
      <c r="W162" s="119">
        <f t="shared" ref="W162" si="96">SUM(W156:W161)</f>
        <v>2.8098985000000001</v>
      </c>
      <c r="X162" s="119">
        <f t="shared" ref="X162" si="97">SUM(X156:X161)</f>
        <v>3.2373813999999994</v>
      </c>
      <c r="Y162" s="119">
        <f t="shared" ref="Y162" si="98">SUM(Y156:Y161)</f>
        <v>3.5843513000000007</v>
      </c>
      <c r="Z162" s="119">
        <f t="shared" ref="Z162" si="99">SUM(Z156:Z161)</f>
        <v>3.9312066999999997</v>
      </c>
      <c r="AA162" s="119">
        <f t="shared" ref="AA162" si="100">SUM(AA156:AA161)</f>
        <v>4.2786235999999995</v>
      </c>
      <c r="AB162" s="119">
        <f t="shared" ref="AB162" si="101">SUM(AB156:AB161)</f>
        <v>4.6260266999999997</v>
      </c>
      <c r="AC162" s="119">
        <f t="shared" ref="AC162" si="102">SUM(AC156:AC161)</f>
        <v>4.9990386000000004</v>
      </c>
      <c r="AD162" s="119">
        <f t="shared" ref="AD162" si="103">SUM(AD156:AD161)</f>
        <v>4.9571024000000001</v>
      </c>
      <c r="AE162" s="119">
        <f t="shared" ref="AE162" si="104">SUM(AE156:AE161)</f>
        <v>4.9142054000000002</v>
      </c>
      <c r="AF162" s="119">
        <f t="shared" ref="AF162" si="105">SUM(AF156:AF161)</f>
        <v>4.8729468999999996</v>
      </c>
      <c r="AG162" s="119">
        <f t="shared" ref="AG162" si="106">SUM(AG156:AG161)</f>
        <v>4.8313036999999994</v>
      </c>
      <c r="AH162" s="119">
        <f t="shared" ref="AH162" si="107">SUM(AH156:AH161)</f>
        <v>4.7891666999999991</v>
      </c>
      <c r="AI162" s="37"/>
    </row>
    <row r="163" spans="5:35" x14ac:dyDescent="0.3">
      <c r="E163" s="35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37"/>
    </row>
    <row r="164" spans="5:35" ht="15" thickBot="1" x14ac:dyDescent="0.35">
      <c r="E164" s="41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3"/>
    </row>
    <row r="170" spans="5:35" x14ac:dyDescent="0.3">
      <c r="AH170" s="8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8669-36F1-4D09-96F5-4415F4FBD9C2}">
  <sheetPr>
    <tabColor theme="0" tint="-0.249977111117893"/>
  </sheetPr>
  <dimension ref="B6:AE43"/>
  <sheetViews>
    <sheetView workbookViewId="0">
      <selection activeCell="O35" sqref="O35"/>
    </sheetView>
  </sheetViews>
  <sheetFormatPr defaultColWidth="8.88671875" defaultRowHeight="14.4" x14ac:dyDescent="0.3"/>
  <cols>
    <col min="2" max="2" width="22.33203125" bestFit="1" customWidth="1"/>
    <col min="5" max="5" width="25.6640625" bestFit="1" customWidth="1"/>
    <col min="6" max="13" width="9.6640625" bestFit="1" customWidth="1"/>
    <col min="14" max="14" width="8.5546875" bestFit="1" customWidth="1"/>
    <col min="15" max="31" width="9" bestFit="1" customWidth="1"/>
  </cols>
  <sheetData>
    <row r="6" spans="2:31" x14ac:dyDescent="0.3">
      <c r="G6" t="s">
        <v>88</v>
      </c>
    </row>
    <row r="7" spans="2:31" x14ac:dyDescent="0.3">
      <c r="E7" s="1" t="s">
        <v>71</v>
      </c>
      <c r="F7" s="6">
        <v>2010</v>
      </c>
      <c r="G7" s="5">
        <v>2011</v>
      </c>
      <c r="H7" s="6">
        <v>2012</v>
      </c>
      <c r="I7" s="5">
        <v>2013</v>
      </c>
      <c r="J7" s="6">
        <v>2014</v>
      </c>
      <c r="K7" s="5">
        <v>2015</v>
      </c>
      <c r="L7" s="6">
        <v>2016</v>
      </c>
      <c r="M7" s="5">
        <v>2017</v>
      </c>
      <c r="N7" s="6">
        <v>2018</v>
      </c>
      <c r="O7" s="1">
        <v>2019</v>
      </c>
      <c r="P7" s="1">
        <v>2020</v>
      </c>
      <c r="Q7" s="1">
        <v>2021</v>
      </c>
      <c r="R7" s="1">
        <v>2022</v>
      </c>
      <c r="S7" s="1">
        <v>2023</v>
      </c>
      <c r="T7" s="1">
        <v>2024</v>
      </c>
      <c r="U7" s="1">
        <v>2025</v>
      </c>
      <c r="V7" s="1">
        <v>2026</v>
      </c>
      <c r="W7" s="1">
        <v>2027</v>
      </c>
      <c r="X7" s="1">
        <v>2028</v>
      </c>
      <c r="Y7" s="1">
        <v>2029</v>
      </c>
      <c r="Z7" s="1">
        <v>2030</v>
      </c>
      <c r="AA7" s="1">
        <v>2031</v>
      </c>
      <c r="AB7" s="1">
        <v>2032</v>
      </c>
      <c r="AC7" s="1">
        <v>2033</v>
      </c>
      <c r="AD7" s="1">
        <v>2034</v>
      </c>
      <c r="AE7" s="1">
        <v>2035</v>
      </c>
    </row>
    <row r="8" spans="2:31" x14ac:dyDescent="0.3">
      <c r="B8" t="s">
        <v>89</v>
      </c>
      <c r="E8" s="3" t="s">
        <v>72</v>
      </c>
      <c r="F8" s="1">
        <v>1781.97</v>
      </c>
      <c r="G8" s="1"/>
      <c r="H8" s="1">
        <v>1787.64</v>
      </c>
      <c r="I8" s="1"/>
      <c r="J8" s="1">
        <v>1884.82</v>
      </c>
      <c r="K8" s="1"/>
      <c r="L8" s="1">
        <v>1750.74</v>
      </c>
      <c r="M8" s="1"/>
      <c r="N8" s="1">
        <v>2008.62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x14ac:dyDescent="0.3">
      <c r="B9" t="s">
        <v>90</v>
      </c>
      <c r="E9" s="3" t="s">
        <v>72</v>
      </c>
      <c r="F9" s="3">
        <v>1781.9687670000001</v>
      </c>
      <c r="G9" s="12">
        <v>1784.8022985</v>
      </c>
      <c r="H9" s="3">
        <v>1787.6358299999999</v>
      </c>
      <c r="I9" s="12">
        <v>1836.2279149999999</v>
      </c>
      <c r="J9" s="3">
        <v>1884.82</v>
      </c>
      <c r="K9" s="12">
        <v>1817.78</v>
      </c>
      <c r="L9" s="3">
        <v>1750.74</v>
      </c>
      <c r="M9" s="12">
        <v>1889.885</v>
      </c>
      <c r="N9" s="3">
        <v>2029.0299999999997</v>
      </c>
      <c r="O9" s="12">
        <v>1688.4301949999999</v>
      </c>
      <c r="P9" s="3">
        <v>1347.8303899999999</v>
      </c>
      <c r="Q9" s="3">
        <v>1964.887972</v>
      </c>
      <c r="R9" s="3">
        <v>1797.8711719999999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1" spans="2:31" x14ac:dyDescent="0.3">
      <c r="F11" s="15">
        <v>3.3290000000000002</v>
      </c>
      <c r="G11" s="15">
        <v>3.3284000000000002</v>
      </c>
      <c r="H11" s="15">
        <v>3.3278000000000003</v>
      </c>
      <c r="I11" s="15">
        <v>3.4340000000000002</v>
      </c>
      <c r="J11" s="15">
        <v>3.5399000000000003</v>
      </c>
      <c r="K11" s="15">
        <v>3.4108000000000001</v>
      </c>
      <c r="L11" s="15">
        <v>3.2819000000000003</v>
      </c>
      <c r="M11" s="15">
        <v>3.5381</v>
      </c>
      <c r="N11" s="15">
        <v>3.7941000000000003</v>
      </c>
    </row>
    <row r="12" spans="2:31" x14ac:dyDescent="0.3">
      <c r="B12" t="s">
        <v>91</v>
      </c>
      <c r="F12">
        <f>ROUND(F9/(F11*1000),4)</f>
        <v>0.5353</v>
      </c>
      <c r="G12">
        <f t="shared" ref="G12:N12" si="0">ROUND(G9/(G11*1000),4)</f>
        <v>0.53620000000000001</v>
      </c>
      <c r="H12">
        <f t="shared" si="0"/>
        <v>0.53720000000000001</v>
      </c>
      <c r="I12">
        <f t="shared" si="0"/>
        <v>0.53469999999999995</v>
      </c>
      <c r="J12">
        <f t="shared" si="0"/>
        <v>0.53249999999999997</v>
      </c>
      <c r="K12">
        <f t="shared" si="0"/>
        <v>0.53290000000000004</v>
      </c>
      <c r="L12">
        <f t="shared" si="0"/>
        <v>0.53349999999999997</v>
      </c>
      <c r="M12">
        <f t="shared" si="0"/>
        <v>0.53420000000000001</v>
      </c>
      <c r="N12">
        <f t="shared" si="0"/>
        <v>0.53480000000000005</v>
      </c>
    </row>
    <row r="13" spans="2:31" x14ac:dyDescent="0.3">
      <c r="B13" t="s">
        <v>92</v>
      </c>
    </row>
    <row r="15" spans="2:31" x14ac:dyDescent="0.3">
      <c r="O15" t="s">
        <v>93</v>
      </c>
    </row>
    <row r="16" spans="2:31" x14ac:dyDescent="0.3">
      <c r="B16" t="s">
        <v>94</v>
      </c>
      <c r="E16" t="s">
        <v>95</v>
      </c>
      <c r="F16" s="79">
        <v>0.5353</v>
      </c>
      <c r="G16" s="79">
        <v>0.53620000000000001</v>
      </c>
      <c r="H16" s="79">
        <v>0.53720000000000001</v>
      </c>
      <c r="I16" s="79">
        <v>0.53469999999999995</v>
      </c>
      <c r="J16" s="79">
        <v>0.53249999999999997</v>
      </c>
      <c r="K16" s="79">
        <v>0.53290000000000004</v>
      </c>
      <c r="L16" s="79">
        <v>0.53349999999999997</v>
      </c>
      <c r="M16" s="79">
        <v>0.53415000000000001</v>
      </c>
      <c r="N16" s="79">
        <v>0.53480000000000005</v>
      </c>
      <c r="O16" s="79">
        <v>0.53480000000000005</v>
      </c>
      <c r="P16" s="79">
        <v>0.53480000000000005</v>
      </c>
      <c r="Q16" s="79">
        <v>0.53480000000000005</v>
      </c>
      <c r="R16" s="79">
        <v>0.53480000000000005</v>
      </c>
      <c r="S16" s="79">
        <v>0.53480000000000005</v>
      </c>
      <c r="T16" s="79">
        <v>0.53480000000000005</v>
      </c>
      <c r="U16" s="79">
        <v>0.53480000000000005</v>
      </c>
      <c r="V16" s="79">
        <v>0.53480000000000005</v>
      </c>
      <c r="W16" s="79">
        <v>0.53480000000000005</v>
      </c>
      <c r="X16" s="79">
        <v>0.53480000000000005</v>
      </c>
      <c r="Y16" s="79">
        <v>0.53480000000000005</v>
      </c>
      <c r="Z16" s="79">
        <v>0.53480000000000005</v>
      </c>
      <c r="AA16" s="79">
        <v>0.53480000000000005</v>
      </c>
      <c r="AB16" s="79">
        <v>0.53480000000000005</v>
      </c>
      <c r="AC16" s="79">
        <v>0.53480000000000005</v>
      </c>
      <c r="AD16" s="79">
        <v>0.53480000000000005</v>
      </c>
      <c r="AE16" s="79">
        <v>0.53480000000000005</v>
      </c>
    </row>
    <row r="17" spans="2:31" x14ac:dyDescent="0.3">
      <c r="B17" t="s">
        <v>96</v>
      </c>
      <c r="E17" t="s">
        <v>95</v>
      </c>
      <c r="F17" s="79">
        <v>0.5353</v>
      </c>
      <c r="G17" s="79">
        <v>0.53620000000000001</v>
      </c>
      <c r="H17" s="79">
        <v>0.53720000000000001</v>
      </c>
      <c r="I17" s="79">
        <v>0.53469999999999995</v>
      </c>
      <c r="J17" s="79">
        <v>0.53249999999999997</v>
      </c>
      <c r="K17" s="79">
        <v>0.53290000000000004</v>
      </c>
      <c r="L17" s="79">
        <v>0.53349999999999997</v>
      </c>
      <c r="M17" s="79">
        <v>0.53415000000000001</v>
      </c>
      <c r="N17" s="79">
        <v>0.53480000000000005</v>
      </c>
      <c r="O17" s="79">
        <v>0.53480000000000005</v>
      </c>
      <c r="P17" s="79">
        <v>0.53480000000000005</v>
      </c>
      <c r="Q17" s="79">
        <v>0.53480000000000005</v>
      </c>
      <c r="R17" s="79">
        <v>0.53480000000000005</v>
      </c>
      <c r="S17" s="79">
        <v>0.53480000000000005</v>
      </c>
      <c r="T17" s="79">
        <v>0.53480000000000005</v>
      </c>
      <c r="U17" s="79">
        <v>0.53480000000000005</v>
      </c>
      <c r="V17" s="79">
        <v>0.53480000000000005</v>
      </c>
      <c r="W17" s="79">
        <v>0.53480000000000005</v>
      </c>
      <c r="X17" s="79">
        <v>0.53480000000000005</v>
      </c>
      <c r="Y17" s="79">
        <v>0.53480000000000005</v>
      </c>
      <c r="Z17" s="79">
        <v>0.53480000000000005</v>
      </c>
      <c r="AA17" s="79">
        <v>0.53480000000000005</v>
      </c>
      <c r="AB17" s="79">
        <v>0.53480000000000005</v>
      </c>
      <c r="AC17" s="79">
        <v>0.53480000000000005</v>
      </c>
      <c r="AD17" s="79">
        <v>0.53480000000000005</v>
      </c>
      <c r="AE17" s="79">
        <v>0.53480000000000005</v>
      </c>
    </row>
    <row r="19" spans="2:31" x14ac:dyDescent="0.3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x14ac:dyDescent="0.3">
      <c r="B20" t="s">
        <v>97</v>
      </c>
      <c r="F20" s="83">
        <f>F9/(F16*1000)</f>
        <v>3.3289160601531855</v>
      </c>
      <c r="G20" s="83">
        <f t="shared" ref="G20:N20" si="1">G9/(G16*1000)</f>
        <v>3.3286130147333082</v>
      </c>
      <c r="H20" s="83">
        <f t="shared" si="1"/>
        <v>3.3276914184661202</v>
      </c>
      <c r="I20" s="83">
        <f t="shared" si="1"/>
        <v>3.4341273891902002</v>
      </c>
      <c r="J20" s="83">
        <f t="shared" si="1"/>
        <v>3.5395680751173706</v>
      </c>
      <c r="K20" s="83">
        <f t="shared" si="1"/>
        <v>3.4111090260836923</v>
      </c>
      <c r="L20" s="83">
        <f t="shared" si="1"/>
        <v>3.2816119962511716</v>
      </c>
      <c r="M20" s="83">
        <f t="shared" si="1"/>
        <v>3.538116633904334</v>
      </c>
      <c r="N20" s="83">
        <f t="shared" si="1"/>
        <v>3.7939977561705303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2" spans="2:31" x14ac:dyDescent="0.3">
      <c r="B22" t="s">
        <v>98</v>
      </c>
      <c r="F22" s="87">
        <v>0.63109999999999999</v>
      </c>
      <c r="G22" s="87">
        <v>0.58719999999999994</v>
      </c>
      <c r="H22" s="87">
        <v>0.54900000000000004</v>
      </c>
      <c r="I22" s="87">
        <v>0.5444</v>
      </c>
      <c r="J22" s="87">
        <v>0.54010000000000002</v>
      </c>
      <c r="K22" s="87">
        <v>0.58989999999999998</v>
      </c>
      <c r="L22" s="87">
        <v>0.65510000000000002</v>
      </c>
      <c r="M22" s="87">
        <v>0.70299999999999996</v>
      </c>
      <c r="N22" s="88">
        <v>0.75039999999999996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2:31" x14ac:dyDescent="0.3">
      <c r="F23" s="48"/>
      <c r="G23" s="48"/>
      <c r="H23" s="48"/>
      <c r="I23" s="48"/>
      <c r="J23" s="48"/>
      <c r="K23" s="48"/>
      <c r="L23" s="48"/>
      <c r="M23" s="48"/>
      <c r="N23" s="48"/>
    </row>
    <row r="24" spans="2:31" x14ac:dyDescent="0.3">
      <c r="F24" s="49"/>
      <c r="G24" s="49"/>
      <c r="H24" s="49"/>
      <c r="I24" s="49"/>
      <c r="J24" s="49"/>
      <c r="K24" s="49"/>
      <c r="L24" s="49"/>
      <c r="M24" s="49"/>
      <c r="N24" s="49"/>
    </row>
    <row r="25" spans="2:31" x14ac:dyDescent="0.3">
      <c r="B25" t="s">
        <v>99</v>
      </c>
      <c r="F25" s="84">
        <f>F20/F22</f>
        <v>5.2747838062956509</v>
      </c>
      <c r="G25" s="84">
        <f t="shared" ref="G25:N25" si="2">G20/G22</f>
        <v>5.6686188943005931</v>
      </c>
      <c r="H25" s="84">
        <f t="shared" si="2"/>
        <v>6.0613687039455737</v>
      </c>
      <c r="I25" s="84">
        <f t="shared" si="2"/>
        <v>6.3080958655220432</v>
      </c>
      <c r="J25" s="84">
        <f>J20/J22</f>
        <v>6.5535420757588785</v>
      </c>
      <c r="K25" s="84">
        <f t="shared" si="2"/>
        <v>5.7825208104487071</v>
      </c>
      <c r="L25" s="84">
        <f t="shared" si="2"/>
        <v>5.0093298675792575</v>
      </c>
      <c r="M25" s="84">
        <f t="shared" si="2"/>
        <v>5.0328828362792803</v>
      </c>
      <c r="N25" s="84">
        <f t="shared" si="2"/>
        <v>5.055967159075867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2:31" x14ac:dyDescent="0.3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8" spans="2:31" x14ac:dyDescent="0.3">
      <c r="B28" t="s">
        <v>100</v>
      </c>
      <c r="F28" s="84">
        <v>5.2748999999999997</v>
      </c>
      <c r="G28" s="84">
        <v>5.6681999999999997</v>
      </c>
      <c r="H28" s="84">
        <v>6.0614999999999997</v>
      </c>
      <c r="I28" s="84">
        <v>6.3077999999999994</v>
      </c>
      <c r="J28" s="84">
        <v>6.5541</v>
      </c>
      <c r="K28" s="84">
        <v>5.7818999999999994</v>
      </c>
      <c r="L28" s="84">
        <v>5.0096999999999996</v>
      </c>
      <c r="M28" s="84">
        <v>5.0327999999999999</v>
      </c>
      <c r="N28" s="84">
        <v>5.0559000000000003</v>
      </c>
      <c r="O28" s="84">
        <v>4.8175999999999997</v>
      </c>
      <c r="P28" s="84">
        <v>3.8519000000000001</v>
      </c>
      <c r="Q28" s="84">
        <v>3.5964</v>
      </c>
      <c r="R28" s="84">
        <v>4.2394999999999996</v>
      </c>
      <c r="S28" s="84">
        <v>4.4562999999999997</v>
      </c>
      <c r="T28" s="84">
        <v>4.673</v>
      </c>
      <c r="U28" s="84">
        <v>4.8898000000000001</v>
      </c>
      <c r="V28" s="84">
        <v>5.1066000000000003</v>
      </c>
      <c r="W28" s="84">
        <v>5.3232999999999997</v>
      </c>
      <c r="X28" s="84">
        <v>5.5400999999999998</v>
      </c>
      <c r="Y28" s="84">
        <v>5.7568999999999999</v>
      </c>
      <c r="Z28" s="84">
        <v>5.9736000000000002</v>
      </c>
      <c r="AA28" s="84">
        <v>6.1904000000000003</v>
      </c>
      <c r="AB28" s="84">
        <v>6.4071999999999996</v>
      </c>
      <c r="AC28" s="84">
        <v>6.6238999999999999</v>
      </c>
      <c r="AD28" s="84">
        <v>6.8407</v>
      </c>
      <c r="AE28" s="84">
        <v>7.0575000000000001</v>
      </c>
    </row>
    <row r="29" spans="2:31" x14ac:dyDescent="0.3">
      <c r="B29" t="s">
        <v>101</v>
      </c>
      <c r="R29" s="79">
        <f>R28/$R$28</f>
        <v>1</v>
      </c>
      <c r="S29" s="79">
        <f>S28/$R$28</f>
        <v>1.0511381059087157</v>
      </c>
      <c r="T29" s="79">
        <f t="shared" ref="T29:AE29" si="3">T28/$R$28</f>
        <v>1.1022526241302042</v>
      </c>
      <c r="U29" s="79">
        <f t="shared" si="3"/>
        <v>1.1533907300389199</v>
      </c>
      <c r="V29" s="79">
        <f t="shared" si="3"/>
        <v>1.2045288359476356</v>
      </c>
      <c r="W29" s="79">
        <f t="shared" si="3"/>
        <v>1.2556433541691239</v>
      </c>
      <c r="X29" s="79">
        <f t="shared" si="3"/>
        <v>1.3067814600778394</v>
      </c>
      <c r="Y29" s="79">
        <f t="shared" si="3"/>
        <v>1.3579195659865551</v>
      </c>
      <c r="Z29" s="79">
        <f t="shared" si="3"/>
        <v>1.4090340842080435</v>
      </c>
      <c r="AA29" s="79">
        <f t="shared" si="3"/>
        <v>1.4601721901167592</v>
      </c>
      <c r="AB29" s="79">
        <f t="shared" si="3"/>
        <v>1.5113102960254747</v>
      </c>
      <c r="AC29" s="79">
        <f t="shared" si="3"/>
        <v>1.5624248142469632</v>
      </c>
      <c r="AD29" s="79">
        <f t="shared" si="3"/>
        <v>1.6135629201556789</v>
      </c>
      <c r="AE29" s="79">
        <f t="shared" si="3"/>
        <v>1.6647010260643946</v>
      </c>
    </row>
    <row r="31" spans="2:31" x14ac:dyDescent="0.3">
      <c r="F31" s="47"/>
      <c r="G31" s="47"/>
      <c r="H31" s="47"/>
      <c r="I31" s="47"/>
      <c r="J31" s="47"/>
      <c r="K31" s="47"/>
      <c r="L31" s="47"/>
      <c r="M31" s="47"/>
      <c r="N31" s="47"/>
    </row>
    <row r="33" spans="6:31" x14ac:dyDescent="0.3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6" spans="6:31" x14ac:dyDescent="0.3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9" spans="6:31" x14ac:dyDescent="0.3"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1" spans="6:31" x14ac:dyDescent="0.3"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6:31" x14ac:dyDescent="0.3"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6:31" x14ac:dyDescent="0.3">
      <c r="F43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37D687-8DF1-455F-8FBC-B8FA3E3A57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C8CB43A-19A5-4D5A-9567-BDB9AB71F7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B9F73-8191-40FC-955B-AE52471FB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</vt:lpstr>
      <vt:lpstr>Metas</vt:lpstr>
      <vt:lpstr>Act_Cemento_Otros_PIUP_sinHFC</vt:lpstr>
      <vt:lpstr>Act_5CN_OtrosPIUP</vt:lpstr>
      <vt:lpstr>Act_HFC_General</vt:lpstr>
      <vt:lpstr>HFC_Desglose</vt:lpstr>
      <vt:lpstr>Otras_CementoMiscelanea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 Alfaro Corrales</dc:creator>
  <cp:keywords/>
  <dc:description/>
  <cp:lastModifiedBy>Ignacio  Alfaro Corrales</cp:lastModifiedBy>
  <cp:revision/>
  <dcterms:created xsi:type="dcterms:W3CDTF">2015-06-05T18:17:20Z</dcterms:created>
  <dcterms:modified xsi:type="dcterms:W3CDTF">2025-03-21T21:56:33Z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