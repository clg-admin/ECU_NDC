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luisfernando\Dropbox\2_WORK\MOMF\AGR_20241130\"/>
    </mc:Choice>
  </mc:AlternateContent>
  <xr:revisionPtr revIDLastSave="0" documentId="13_ncr:1_{414A2ADE-12B3-4355-85D6-599BA1ADE702}" xr6:coauthVersionLast="47" xr6:coauthVersionMax="47" xr10:uidLastSave="{00000000-0000-0000-0000-000000000000}"/>
  <bookViews>
    <workbookView minimized="1" xWindow="-34770" yWindow="3480" windowWidth="25815" windowHeight="15495" xr2:uid="{00000000-000D-0000-FFFF-FFFF00000000}"/>
  </bookViews>
  <sheets>
    <sheet name="PANTALLAZO_Y_CÁLCULO" sheetId="6" r:id="rId1"/>
    <sheet name="Table 1" sheetId="1" r:id="rId2"/>
    <sheet name="Table 2" sheetId="2" r:id="rId3"/>
    <sheet name="Table 3" sheetId="3" r:id="rId4"/>
    <sheet name="Table 4" sheetId="4" r:id="rId5"/>
    <sheet name="Table 5"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6" l="1"/>
  <c r="E14" i="6"/>
  <c r="F14" i="6"/>
  <c r="D15" i="6"/>
  <c r="E15" i="6"/>
  <c r="F15" i="6"/>
  <c r="D16" i="6"/>
  <c r="E16" i="6"/>
  <c r="F16" i="6"/>
  <c r="D17" i="6"/>
  <c r="E17" i="6"/>
  <c r="F17" i="6"/>
  <c r="D18" i="6"/>
  <c r="E18" i="6"/>
  <c r="F18" i="6"/>
  <c r="D19" i="6"/>
  <c r="E19" i="6"/>
  <c r="F19" i="6"/>
  <c r="D20" i="6"/>
  <c r="E20" i="6"/>
  <c r="F20" i="6"/>
  <c r="D21" i="6"/>
  <c r="E21" i="6"/>
  <c r="F21" i="6"/>
  <c r="F13" i="6"/>
  <c r="E13" i="6"/>
  <c r="D13" i="6"/>
  <c r="E63" i="6"/>
  <c r="F63" i="6"/>
  <c r="D63" i="6"/>
  <c r="F12" i="6"/>
  <c r="E12" i="6"/>
  <c r="D12" i="6"/>
  <c r="E11" i="6"/>
  <c r="F11" i="6"/>
  <c r="D11" i="6"/>
  <c r="E10" i="6"/>
  <c r="F10" i="6" s="1"/>
  <c r="D10" i="6"/>
  <c r="D61" i="6"/>
  <c r="E61" i="6"/>
  <c r="F61" i="6"/>
  <c r="E62" i="6"/>
  <c r="F62" i="6"/>
  <c r="D62" i="6"/>
  <c r="H62" i="6"/>
  <c r="H61" i="6"/>
  <c r="D55" i="6"/>
  <c r="E55" i="6"/>
  <c r="F55" i="6"/>
  <c r="G55" i="6"/>
  <c r="H55" i="6"/>
  <c r="E54" i="6"/>
  <c r="F54" i="6"/>
  <c r="G54" i="6"/>
  <c r="H54" i="6"/>
  <c r="D54" i="6"/>
  <c r="E46" i="6"/>
  <c r="F46" i="6"/>
  <c r="G46" i="6"/>
  <c r="H46" i="6"/>
  <c r="E47" i="6"/>
  <c r="F47" i="6"/>
  <c r="G47" i="6"/>
  <c r="H47" i="6"/>
  <c r="E48" i="6"/>
  <c r="F48" i="6"/>
  <c r="G48" i="6"/>
  <c r="H48" i="6"/>
  <c r="D47" i="6"/>
  <c r="D48" i="6"/>
  <c r="D46" i="6"/>
</calcChain>
</file>

<file path=xl/sharedStrings.xml><?xml version="1.0" encoding="utf-8"?>
<sst xmlns="http://schemas.openxmlformats.org/spreadsheetml/2006/main" count="158" uniqueCount="71">
  <si>
    <r>
      <rPr>
        <b/>
        <sz val="11"/>
        <rFont val="Cambria"/>
        <family val="1"/>
      </rPr>
      <t xml:space="preserve">3.2.1.      Fincas piloto: Línea base de emisiones de GEI
</t>
    </r>
    <r>
      <rPr>
        <sz val="11"/>
        <rFont val="Cambria"/>
        <family val="1"/>
      </rPr>
      <t xml:space="preserve">La línea base de emisiones de las 165 fincas piloto se calculó considerando que el manejo existente en las fincas ganaderas previa intervención del PGCI se mantiene constante para todos los años, mientras que el número  de  animales  corresponde  a  los  valores  reportados  por  los/as  productores/as.  Los  resultados obtenidos  para cada año, y su desagregación por provincia, se presentan en la Tabla 1.
</t>
    </r>
    <r>
      <rPr>
        <sz val="10"/>
        <color rgb="FF44536A"/>
        <rFont val="Cambria"/>
        <family val="1"/>
      </rPr>
      <t>Tabla 1. Fincas Piloto: Línea base de emisiones de GEI</t>
    </r>
  </si>
  <si>
    <r>
      <rPr>
        <b/>
        <vertAlign val="superscript"/>
        <sz val="9"/>
        <rFont val="Cambria"/>
        <family val="1"/>
      </rPr>
      <t>Fincas Piloto: Línea base emisiones de GEI (t CO</t>
    </r>
    <r>
      <rPr>
        <b/>
        <sz val="6"/>
        <rFont val="Cambria"/>
        <family val="1"/>
      </rPr>
      <t>2</t>
    </r>
    <r>
      <rPr>
        <b/>
        <vertAlign val="superscript"/>
        <sz val="9"/>
        <rFont val="Cambria"/>
        <family val="1"/>
      </rPr>
      <t>eq)</t>
    </r>
  </si>
  <si>
    <r>
      <rPr>
        <b/>
        <sz val="9"/>
        <rFont val="Cambria"/>
        <family val="1"/>
      </rPr>
      <t>Provincia</t>
    </r>
  </si>
  <si>
    <r>
      <rPr>
        <b/>
        <sz val="9"/>
        <rFont val="Cambria"/>
        <family val="1"/>
      </rPr>
      <t>Año</t>
    </r>
  </si>
  <si>
    <r>
      <rPr>
        <b/>
        <sz val="9"/>
        <rFont val="Cambria"/>
        <family val="1"/>
      </rPr>
      <t xml:space="preserve">Fermentación
</t>
    </r>
    <r>
      <rPr>
        <b/>
        <u/>
        <sz val="9"/>
        <rFont val="Cambria"/>
        <family val="1"/>
      </rPr>
      <t>                  entérica                  </t>
    </r>
  </si>
  <si>
    <r>
      <rPr>
        <b/>
        <sz val="9"/>
        <rFont val="Cambria"/>
        <family val="1"/>
      </rPr>
      <t xml:space="preserve">Manejo estiércol
</t>
    </r>
    <r>
      <rPr>
        <b/>
        <u/>
        <sz val="9"/>
        <rFont val="Cambria"/>
        <family val="1"/>
      </rPr>
      <t>                                              </t>
    </r>
  </si>
  <si>
    <r>
      <rPr>
        <b/>
        <sz val="9"/>
        <rFont val="Cambria"/>
        <family val="1"/>
      </rPr>
      <t xml:space="preserve">Estiércol en
</t>
    </r>
    <r>
      <rPr>
        <b/>
        <u/>
        <sz val="9"/>
        <rFont val="Cambria"/>
        <family val="1"/>
      </rPr>
      <t>           pasturas           </t>
    </r>
  </si>
  <si>
    <r>
      <rPr>
        <b/>
        <sz val="9"/>
        <rFont val="Cambria"/>
        <family val="1"/>
      </rPr>
      <t>Total</t>
    </r>
  </si>
  <si>
    <r>
      <rPr>
        <b/>
        <u/>
        <vertAlign val="superscript"/>
        <sz val="9"/>
        <rFont val="Cambria"/>
        <family val="1"/>
      </rPr>
      <t>                      CH</t>
    </r>
    <r>
      <rPr>
        <b/>
        <u/>
        <sz val="6"/>
        <rFont val="Cambria"/>
        <family val="1"/>
      </rPr>
      <t>4                                  </t>
    </r>
  </si>
  <si>
    <r>
      <rPr>
        <b/>
        <u/>
        <vertAlign val="superscript"/>
        <sz val="9"/>
        <rFont val="Cambria"/>
        <family val="1"/>
      </rPr>
      <t>       CH</t>
    </r>
    <r>
      <rPr>
        <b/>
        <u/>
        <sz val="6"/>
        <rFont val="Cambria"/>
        <family val="1"/>
      </rPr>
      <t>4          </t>
    </r>
  </si>
  <si>
    <r>
      <rPr>
        <b/>
        <u/>
        <vertAlign val="superscript"/>
        <sz val="9"/>
        <rFont val="Cambria"/>
        <family val="1"/>
      </rPr>
      <t>     N</t>
    </r>
    <r>
      <rPr>
        <b/>
        <u/>
        <sz val="6"/>
        <rFont val="Cambria"/>
        <family val="1"/>
      </rPr>
      <t>2</t>
    </r>
    <r>
      <rPr>
        <b/>
        <u/>
        <vertAlign val="superscript"/>
        <sz val="9"/>
        <rFont val="Cambria"/>
        <family val="1"/>
      </rPr>
      <t>O     </t>
    </r>
  </si>
  <si>
    <r>
      <rPr>
        <b/>
        <u/>
        <vertAlign val="superscript"/>
        <sz val="9"/>
        <rFont val="Cambria"/>
        <family val="1"/>
      </rPr>
      <t>                N</t>
    </r>
    <r>
      <rPr>
        <b/>
        <u/>
        <sz val="6"/>
        <rFont val="Cambria"/>
        <family val="1"/>
      </rPr>
      <t>2</t>
    </r>
    <r>
      <rPr>
        <b/>
        <u/>
        <vertAlign val="superscript"/>
        <sz val="9"/>
        <rFont val="Cambria"/>
        <family val="1"/>
      </rPr>
      <t>O                 </t>
    </r>
  </si>
  <si>
    <r>
      <rPr>
        <b/>
        <u/>
        <sz val="9"/>
        <rFont val="Cambria"/>
        <family val="1"/>
      </rPr>
      <t>                                </t>
    </r>
  </si>
  <si>
    <r>
      <rPr>
        <sz val="9"/>
        <rFont val="Cambria"/>
        <family val="1"/>
      </rPr>
      <t>Guayas</t>
    </r>
  </si>
  <si>
    <r>
      <rPr>
        <sz val="9"/>
        <rFont val="Cambria"/>
        <family val="1"/>
      </rPr>
      <t>Manabí</t>
    </r>
  </si>
  <si>
    <r>
      <rPr>
        <sz val="9"/>
        <rFont val="Cambria"/>
        <family val="1"/>
      </rPr>
      <t>Santa Elena</t>
    </r>
  </si>
  <si>
    <r>
      <rPr>
        <sz val="9"/>
        <rFont val="Cambria"/>
        <family val="1"/>
      </rPr>
      <t>Imbabura</t>
    </r>
  </si>
  <si>
    <r>
      <rPr>
        <sz val="9"/>
        <rFont val="Cambria"/>
        <family val="1"/>
      </rPr>
      <t>Loja</t>
    </r>
  </si>
  <si>
    <r>
      <rPr>
        <sz val="9"/>
        <rFont val="Cambria"/>
        <family val="1"/>
      </rPr>
      <t>Napo</t>
    </r>
  </si>
  <si>
    <r>
      <rPr>
        <sz val="9"/>
        <rFont val="Cambria"/>
        <family val="1"/>
      </rPr>
      <t>Morona Santiago</t>
    </r>
  </si>
  <si>
    <r>
      <rPr>
        <vertAlign val="superscript"/>
        <sz val="11"/>
        <rFont val="Cambria"/>
        <family val="1"/>
      </rPr>
      <t>El escenario sin intervención del Proyecto GCI, registra un total de 19585.88 t CO</t>
    </r>
    <r>
      <rPr>
        <sz val="7"/>
        <rFont val="Cambria"/>
        <family val="1"/>
      </rPr>
      <t>2</t>
    </r>
    <r>
      <rPr>
        <vertAlign val="superscript"/>
        <sz val="11"/>
        <rFont val="Cambria"/>
        <family val="1"/>
      </rPr>
      <t>eq en las 165 fincas piloto durante el 2017, este valor presenta una reducción mínima durante el 2018 (19520.90 t CO</t>
    </r>
    <r>
      <rPr>
        <sz val="7"/>
        <rFont val="Cambria"/>
        <family val="1"/>
      </rPr>
      <t>2</t>
    </r>
    <r>
      <rPr>
        <vertAlign val="superscript"/>
        <sz val="11"/>
        <rFont val="Cambria"/>
        <family val="1"/>
      </rPr>
      <t>eq) y un aumento durante el 2019 (21488.58 t CO</t>
    </r>
    <r>
      <rPr>
        <sz val="7"/>
        <rFont val="Cambria"/>
        <family val="1"/>
      </rPr>
      <t>2</t>
    </r>
    <r>
      <rPr>
        <vertAlign val="superscript"/>
        <sz val="11"/>
        <rFont val="Cambria"/>
        <family val="1"/>
      </rPr>
      <t xml:space="preserve">eq). Al no existir cambios en el manejo del sistema ganadero, la contribución </t>
    </r>
    <r>
      <rPr>
        <sz val="11"/>
        <rFont val="Cambria"/>
        <family val="1"/>
      </rPr>
      <t xml:space="preserve">porcentual por tipo de gas y fuente de emisión se mantiene relativamente constante en los tres años y sigue la  misma  tendencia  que  los  resultados  reportados  en  la  línea  base  a  nivel  nacional.   El  proceso  de fermentación entérica aporta con el mayor porcentaje (alrededor del 78.6 % para todos los años), seguido </t>
    </r>
    <r>
      <rPr>
        <vertAlign val="superscript"/>
        <sz val="11"/>
        <rFont val="Cambria"/>
        <family val="1"/>
      </rPr>
      <t>por las emisiones de N</t>
    </r>
    <r>
      <rPr>
        <sz val="7"/>
        <rFont val="Cambria"/>
        <family val="1"/>
      </rPr>
      <t>2</t>
    </r>
    <r>
      <rPr>
        <vertAlign val="superscript"/>
        <sz val="11"/>
        <rFont val="Cambria"/>
        <family val="1"/>
      </rPr>
      <t>O procedentes del estiércol dejado en las pasturas (cerca del 18.9 % en cada año), y con participaciones porcentuales mínimas para el CH</t>
    </r>
    <r>
      <rPr>
        <sz val="7"/>
        <rFont val="Cambria"/>
        <family val="1"/>
      </rPr>
      <t xml:space="preserve">4 </t>
    </r>
    <r>
      <rPr>
        <vertAlign val="superscript"/>
        <sz val="11"/>
        <rFont val="Cambria"/>
        <family val="1"/>
      </rPr>
      <t>(aproximadamente 2.21 % anual) y N</t>
    </r>
    <r>
      <rPr>
        <sz val="7"/>
        <rFont val="Cambria"/>
        <family val="1"/>
      </rPr>
      <t>2</t>
    </r>
    <r>
      <rPr>
        <vertAlign val="superscript"/>
        <sz val="11"/>
        <rFont val="Cambria"/>
        <family val="1"/>
      </rPr>
      <t xml:space="preserve">O (cerca del 0.3
</t>
    </r>
    <r>
      <rPr>
        <sz val="11"/>
        <rFont val="Cambria"/>
        <family val="1"/>
      </rPr>
      <t>% para cada año) generados en los distintos sistemas de manejo del estiércol.</t>
    </r>
  </si>
  <si>
    <r>
      <rPr>
        <sz val="11"/>
        <rFont val="Cambria"/>
        <family val="1"/>
      </rPr>
      <t xml:space="preserve">Respecto a la participación por provincia, la mayor contribución de emisiones totales durante el 2017 se registra en Manabí (38.12 %), seguida de Guayas (20.46 %), Loja (12.06 %) y Morona Santiago (11.90 %); mientras que las provincias de Imbabura (8.15 %), Napo (6.76 %) y Sta. Elena (2.56 %) aportan con menos de la cuarta parte del total. En el 2018, Manabí y Guayas siguen reportando la mayor contribución porcentual (37.11 % y 18.27 %, respectivamente); el orden de participación provincial cambia ligeramente con Morona Santiago ubicándose en el tercer lugar (14.43 %) y Loja en el cuarto puesto (11.90 %), seguidas de Imbabura (7.99 %), Napo (6.77 %) y Santa Elena (3.54 %). Durante el 2019, Manabí se mantiene como la provincia que aporta con la mayor proporción de emisiones  (42.30 %), seguida por Guayas (16.71 %), Loja (12.10 %), Morona Santiago (10.21 %), Imbabura (7.87 %), Napo (7.24 %) y Santa Elena (3.57 %).
</t>
    </r>
    <r>
      <rPr>
        <sz val="11"/>
        <rFont val="Cambria"/>
        <family val="1"/>
      </rPr>
      <t xml:space="preserve">Dado que los resultados de emisiones están fuertemente ligados a la cantidad de animales existentes en las fincas piloto, los datos correspondientes se muestran en la Tabla 2.
</t>
    </r>
    <r>
      <rPr>
        <sz val="10"/>
        <color rgb="FF44536A"/>
        <rFont val="Cambria"/>
        <family val="1"/>
      </rPr>
      <t xml:space="preserve">Tabla 2. Fincas Piloto: Composición del hato
</t>
    </r>
    <r>
      <rPr>
        <b/>
        <sz val="8"/>
        <rFont val="Cambria"/>
        <family val="1"/>
      </rPr>
      <t>Fincas Piloto: Composición del hato</t>
    </r>
  </si>
  <si>
    <r>
      <rPr>
        <b/>
        <sz val="8"/>
        <rFont val="Cambria"/>
        <family val="1"/>
      </rPr>
      <t>Año</t>
    </r>
  </si>
  <si>
    <r>
      <rPr>
        <b/>
        <sz val="8"/>
        <rFont val="Cambria"/>
        <family val="1"/>
      </rPr>
      <t>Vacas</t>
    </r>
  </si>
  <si>
    <r>
      <rPr>
        <b/>
        <sz val="8"/>
        <rFont val="Cambria"/>
        <family val="1"/>
      </rPr>
      <t xml:space="preserve">Vacas
</t>
    </r>
    <r>
      <rPr>
        <b/>
        <u/>
        <sz val="8"/>
        <rFont val="Cambria"/>
        <family val="1"/>
      </rPr>
      <t>      prod.      </t>
    </r>
  </si>
  <si>
    <r>
      <rPr>
        <b/>
        <sz val="8"/>
        <rFont val="Cambria"/>
        <family val="1"/>
      </rPr>
      <t>Toros</t>
    </r>
  </si>
  <si>
    <r>
      <rPr>
        <b/>
        <sz val="8"/>
        <rFont val="Cambria"/>
        <family val="1"/>
      </rPr>
      <t>Vaconas</t>
    </r>
  </si>
  <si>
    <r>
      <rPr>
        <b/>
        <sz val="8"/>
        <rFont val="Cambria"/>
        <family val="1"/>
      </rPr>
      <t>Toretes</t>
    </r>
  </si>
  <si>
    <r>
      <rPr>
        <b/>
        <sz val="8"/>
        <rFont val="Cambria"/>
        <family val="1"/>
      </rPr>
      <t>Terneras</t>
    </r>
  </si>
  <si>
    <r>
      <rPr>
        <b/>
        <sz val="8"/>
        <rFont val="Cambria"/>
        <family val="1"/>
      </rPr>
      <t>Terneros</t>
    </r>
  </si>
  <si>
    <r>
      <rPr>
        <b/>
        <u/>
        <vertAlign val="subscript"/>
        <sz val="8"/>
        <rFont val="Cambria"/>
        <family val="1"/>
      </rPr>
      <t>   </t>
    </r>
    <r>
      <rPr>
        <b/>
        <sz val="8"/>
        <rFont val="Cambria"/>
        <family val="1"/>
      </rPr>
      <t>Total*</t>
    </r>
  </si>
  <si>
    <r>
      <rPr>
        <b/>
        <sz val="8"/>
        <rFont val="Cambria"/>
        <family val="1"/>
      </rPr>
      <t>Provincia</t>
    </r>
  </si>
  <si>
    <r>
      <rPr>
        <b/>
        <u/>
        <sz val="8"/>
        <rFont val="Cambria"/>
        <family val="1"/>
      </rPr>
      <t>                   </t>
    </r>
    <r>
      <rPr>
        <b/>
        <sz val="8"/>
        <rFont val="Cambria"/>
        <family val="1"/>
      </rPr>
      <t xml:space="preserve">                                    </t>
    </r>
    <r>
      <rPr>
        <b/>
        <u/>
        <sz val="8"/>
        <rFont val="Cambria"/>
        <family val="1"/>
      </rPr>
      <t>                   </t>
    </r>
    <r>
      <rPr>
        <b/>
        <sz val="8"/>
        <rFont val="Cambria"/>
        <family val="1"/>
      </rPr>
      <t xml:space="preserve">      </t>
    </r>
    <r>
      <rPr>
        <b/>
        <u/>
        <sz val="8"/>
        <rFont val="Cambria"/>
        <family val="1"/>
      </rPr>
      <t>                        </t>
    </r>
    <r>
      <rPr>
        <b/>
        <sz val="8"/>
        <rFont val="Cambria"/>
        <family val="1"/>
      </rPr>
      <t xml:space="preserve">      </t>
    </r>
    <r>
      <rPr>
        <b/>
        <u/>
        <sz val="8"/>
        <rFont val="Cambria"/>
        <family val="1"/>
      </rPr>
      <t>                       </t>
    </r>
    <r>
      <rPr>
        <b/>
        <sz val="8"/>
        <rFont val="Cambria"/>
        <family val="1"/>
      </rPr>
      <t xml:space="preserve">      </t>
    </r>
    <r>
      <rPr>
        <b/>
        <u/>
        <sz val="8"/>
        <rFont val="Cambria"/>
        <family val="1"/>
      </rPr>
      <t>                          </t>
    </r>
    <r>
      <rPr>
        <b/>
        <sz val="8"/>
        <rFont val="Cambria"/>
        <family val="1"/>
      </rPr>
      <t xml:space="preserve">      </t>
    </r>
    <r>
      <rPr>
        <b/>
        <u/>
        <sz val="8"/>
        <rFont val="Cambria"/>
        <family val="1"/>
      </rPr>
      <t>                          </t>
    </r>
  </si>
  <si>
    <r>
      <rPr>
        <sz val="8"/>
        <rFont val="Cambria"/>
        <family val="1"/>
      </rPr>
      <t>Guayas</t>
    </r>
  </si>
  <si>
    <r>
      <rPr>
        <sz val="8"/>
        <rFont val="Cambria"/>
        <family val="1"/>
      </rPr>
      <t>Manabí</t>
    </r>
  </si>
  <si>
    <r>
      <rPr>
        <sz val="8"/>
        <rFont val="Cambria"/>
        <family val="1"/>
      </rPr>
      <t>Santa Elena</t>
    </r>
  </si>
  <si>
    <r>
      <rPr>
        <sz val="8"/>
        <rFont val="Cambria"/>
        <family val="1"/>
      </rPr>
      <t>Imbabura</t>
    </r>
  </si>
  <si>
    <r>
      <rPr>
        <sz val="8"/>
        <rFont val="Cambria"/>
        <family val="1"/>
      </rPr>
      <t>Loja</t>
    </r>
  </si>
  <si>
    <r>
      <rPr>
        <sz val="8"/>
        <rFont val="Cambria"/>
        <family val="1"/>
      </rPr>
      <t>Napo</t>
    </r>
  </si>
  <si>
    <r>
      <rPr>
        <sz val="8"/>
        <rFont val="Cambria"/>
        <family val="1"/>
      </rPr>
      <t>Morona Santiago</t>
    </r>
  </si>
  <si>
    <r>
      <rPr>
        <b/>
        <sz val="8"/>
        <rFont val="Cambria"/>
        <family val="1"/>
      </rPr>
      <t xml:space="preserve">Total
</t>
    </r>
    <r>
      <rPr>
        <sz val="9"/>
        <rFont val="Cambria"/>
        <family val="1"/>
      </rPr>
      <t xml:space="preserve">*El número de vacas en producción forma parte del valor reportado para vacas, por ello no se suma como parte del total provincial
</t>
    </r>
    <r>
      <rPr>
        <sz val="11"/>
        <rFont val="Cambria"/>
        <family val="1"/>
      </rPr>
      <t xml:space="preserve">Las  emisiones  totales  para  los  tres  años,  siguen  el  mismo  comportamiento  que  el  observado  en  la composición del hato. Durante el 2018 existe una pequeña reducción en el total de animales, mientras que para el 2019 el valor aumenta.
</t>
    </r>
    <r>
      <rPr>
        <sz val="11"/>
        <rFont val="Cambria"/>
        <family val="1"/>
      </rPr>
      <t>Además  de cuantificar el total de emisiones  de GEI resultantes  de los  sistemas  de ganadería bovina y su distribución por fuente de emisión, GLEAM permite estimar la cantidad de carne y leche generadas en el sistema productivo; los resultados obtenidos en el escenario de línea base se presentan en la</t>
    </r>
  </si>
  <si>
    <r>
      <rPr>
        <sz val="11"/>
        <rFont val="Cambria"/>
        <family val="1"/>
      </rPr>
      <t xml:space="preserve">Tabla </t>
    </r>
    <r>
      <rPr>
        <i/>
        <sz val="10"/>
        <rFont val="Cambria"/>
        <family val="1"/>
      </rPr>
      <t>3</t>
    </r>
    <r>
      <rPr>
        <sz val="11"/>
        <rFont val="Cambria"/>
        <family val="1"/>
      </rPr>
      <t>.</t>
    </r>
  </si>
  <si>
    <r>
      <rPr>
        <sz val="10"/>
        <color rgb="FF44536A"/>
        <rFont val="Cambria"/>
        <family val="1"/>
      </rPr>
      <t>Tabla 3. Fincas Piloto: Línea base de producción</t>
    </r>
  </si>
  <si>
    <r>
      <rPr>
        <b/>
        <sz val="9"/>
        <rFont val="Cambria"/>
        <family val="1"/>
      </rPr>
      <t>Fincas Piloto: Línea base de producción</t>
    </r>
  </si>
  <si>
    <r>
      <rPr>
        <b/>
        <u/>
        <sz val="9"/>
        <rFont val="Cambria"/>
        <family val="1"/>
      </rPr>
      <t>                        Leche                        </t>
    </r>
  </si>
  <si>
    <r>
      <rPr>
        <b/>
        <u/>
        <sz val="9"/>
        <rFont val="Cambria"/>
        <family val="1"/>
      </rPr>
      <t>                          Carne                          </t>
    </r>
  </si>
  <si>
    <r>
      <rPr>
        <b/>
        <u/>
        <sz val="9"/>
        <rFont val="Cambria"/>
        <family val="1"/>
      </rPr>
      <t>                   litros/año                   </t>
    </r>
  </si>
  <si>
    <r>
      <rPr>
        <b/>
        <u/>
        <sz val="9"/>
        <rFont val="Cambria"/>
        <family val="1"/>
      </rPr>
      <t>                  kg canal/año                  </t>
    </r>
  </si>
  <si>
    <r>
      <rPr>
        <sz val="11"/>
        <rFont val="Cambria"/>
        <family val="1"/>
      </rPr>
      <t xml:space="preserve">Adicionalmente, se cuantifican las emisiones generadas por unidad de producto (carne o leche), lo cual sirve como un indicador de la eficiencia productiva a nivel de finca. La línea base de intensidad de emisiones, se observa en la Tabla 4.
</t>
    </r>
    <r>
      <rPr>
        <sz val="10"/>
        <color rgb="FF44536A"/>
        <rFont val="Cambria"/>
        <family val="1"/>
      </rPr>
      <t>Tabla 4. Fincas Piloto: Línea base de intensidad de emisiones</t>
    </r>
  </si>
  <si>
    <r>
      <rPr>
        <b/>
        <sz val="9"/>
        <rFont val="Cambria"/>
        <family val="1"/>
      </rPr>
      <t>Fincas Piloto: Línea base intensidad de emisiones</t>
    </r>
  </si>
  <si>
    <r>
      <rPr>
        <b/>
        <u/>
        <sz val="9"/>
        <rFont val="Cambria"/>
        <family val="1"/>
      </rPr>
      <t>                      Leche                      </t>
    </r>
  </si>
  <si>
    <r>
      <rPr>
        <b/>
        <u/>
        <vertAlign val="superscript"/>
        <sz val="9"/>
        <rFont val="Cambria"/>
        <family val="1"/>
      </rPr>
      <t>                 kg CO</t>
    </r>
    <r>
      <rPr>
        <b/>
        <u/>
        <sz val="6"/>
        <rFont val="Cambria"/>
        <family val="1"/>
      </rPr>
      <t>2</t>
    </r>
    <r>
      <rPr>
        <b/>
        <u/>
        <vertAlign val="superscript"/>
        <sz val="9"/>
        <rFont val="Cambria"/>
        <family val="1"/>
      </rPr>
      <t>eq/l                 </t>
    </r>
  </si>
  <si>
    <r>
      <rPr>
        <b/>
        <u/>
        <vertAlign val="superscript"/>
        <sz val="9"/>
        <rFont val="Cambria"/>
        <family val="1"/>
      </rPr>
      <t>                   kg CO</t>
    </r>
    <r>
      <rPr>
        <b/>
        <u/>
        <sz val="6"/>
        <rFont val="Cambria"/>
        <family val="1"/>
      </rPr>
      <t>2</t>
    </r>
    <r>
      <rPr>
        <b/>
        <u/>
        <vertAlign val="superscript"/>
        <sz val="9"/>
        <rFont val="Cambria"/>
        <family val="1"/>
      </rPr>
      <t>eq/kg                   </t>
    </r>
  </si>
  <si>
    <r>
      <rPr>
        <sz val="11"/>
        <rFont val="Cambria"/>
        <family val="1"/>
      </rPr>
      <t xml:space="preserve">La intensidad de emisiones más alta para todos los años, tanto en leche como en carne, corresponde a la provincia de Guayas; mientras Napo presenta los valores más bajos en producción láctea. Durante el 2017, Imbabura  registra  la  intensidad  de  emisiones  más  baja  en  el  rubro  cárnico, lugar  que  es  ocupado  por  la provincia de Morona Santiago y Manabí durante el 2018 y 2019, respectivamente. Respecto a la intensidad de emisiones total, se observa que los valores tienden a reducirse año a año para la producción de leche; sin embargo, la producción de carne presenta un alza durante el 2018 en comparación con el año anterior.
</t>
    </r>
    <r>
      <rPr>
        <b/>
        <sz val="11"/>
        <rFont val="Cambria"/>
        <family val="1"/>
      </rPr>
      <t xml:space="preserve">3.2.2.      Fincas piloto: Monitoreo de emisiones de GEI
</t>
    </r>
    <r>
      <rPr>
        <sz val="11"/>
        <rFont val="Cambria"/>
        <family val="1"/>
      </rPr>
      <t xml:space="preserve">El primer monitoreo de emisiones de GEI corresponde a información de 2018, levantada en mayo de 2019. El segundo monitoreo de emisiones corresponde a información de 2019, levantada en febrero de 2020. Los datos de la provincia y su correspondiente fuente de emisión se muestran en la Tabla 5, la composición del hato es la misma que se empleó para el cálculo de línea base (Tabla 2). El detalle de emisiones para cada finca piloto se puede observar en el Anexo 3.
</t>
    </r>
    <r>
      <rPr>
        <sz val="10"/>
        <color rgb="FF44536A"/>
        <rFont val="Cambria"/>
        <family val="1"/>
      </rPr>
      <t>Tabla 5. Fincas Piloto: Monitoreo de emisiones GEI (t CO2eq)</t>
    </r>
  </si>
  <si>
    <r>
      <rPr>
        <b/>
        <vertAlign val="superscript"/>
        <sz val="9"/>
        <rFont val="Cambria"/>
        <family val="1"/>
      </rPr>
      <t>Fincas Piloto: Monitoreo de emisiones de GEI (t CO</t>
    </r>
    <r>
      <rPr>
        <b/>
        <sz val="6"/>
        <rFont val="Cambria"/>
        <family val="1"/>
      </rPr>
      <t>2</t>
    </r>
    <r>
      <rPr>
        <b/>
        <vertAlign val="superscript"/>
        <sz val="9"/>
        <rFont val="Cambria"/>
        <family val="1"/>
      </rPr>
      <t>eq)</t>
    </r>
  </si>
  <si>
    <r>
      <rPr>
        <b/>
        <sz val="9"/>
        <rFont val="Cambria"/>
        <family val="1"/>
      </rPr>
      <t xml:space="preserve">Estiércol en
</t>
    </r>
    <r>
      <rPr>
        <b/>
        <u/>
        <sz val="9"/>
        <rFont val="Cambria"/>
        <family val="1"/>
      </rPr>
      <t>               pasturas               </t>
    </r>
  </si>
  <si>
    <r>
      <rPr>
        <b/>
        <u/>
        <vertAlign val="superscript"/>
        <sz val="9"/>
        <rFont val="Cambria"/>
        <family val="1"/>
      </rPr>
      <t>      CH</t>
    </r>
    <r>
      <rPr>
        <b/>
        <u/>
        <sz val="6"/>
        <rFont val="Cambria"/>
        <family val="1"/>
      </rPr>
      <t>4         </t>
    </r>
  </si>
  <si>
    <r>
      <rPr>
        <b/>
        <u/>
        <vertAlign val="superscript"/>
        <sz val="9"/>
        <rFont val="Cambria"/>
        <family val="1"/>
      </rPr>
      <t>      N</t>
    </r>
    <r>
      <rPr>
        <b/>
        <u/>
        <sz val="6"/>
        <rFont val="Cambria"/>
        <family val="1"/>
      </rPr>
      <t>2</t>
    </r>
    <r>
      <rPr>
        <b/>
        <u/>
        <vertAlign val="superscript"/>
        <sz val="9"/>
        <rFont val="Cambria"/>
        <family val="1"/>
      </rPr>
      <t>O      </t>
    </r>
  </si>
  <si>
    <r>
      <rPr>
        <b/>
        <u/>
        <vertAlign val="superscript"/>
        <sz val="9"/>
        <rFont val="Cambria"/>
        <family val="1"/>
      </rPr>
      <t>                    N</t>
    </r>
    <r>
      <rPr>
        <b/>
        <u/>
        <sz val="6"/>
        <rFont val="Cambria"/>
        <family val="1"/>
      </rPr>
      <t>2</t>
    </r>
    <r>
      <rPr>
        <b/>
        <u/>
        <vertAlign val="superscript"/>
        <sz val="9"/>
        <rFont val="Cambria"/>
        <family val="1"/>
      </rPr>
      <t>O                    </t>
    </r>
  </si>
  <si>
    <r>
      <rPr>
        <b/>
        <u/>
        <sz val="9"/>
        <rFont val="Cambria"/>
        <family val="1"/>
      </rPr>
      <t>                          </t>
    </r>
  </si>
  <si>
    <r>
      <rPr>
        <sz val="11"/>
        <rFont val="Cambria"/>
        <family val="1"/>
      </rPr>
      <t xml:space="preserve">La participación por tipo de gas y fuente de emisión presenta pequeños cambios a partir del 2018, ya que a partir de éste año se inicia la implementación de prácticas GCI en campo. El proceso de fermentación entérica (77.75 % y 77.20 % en el 2018 y 2019, respectivamente) y las emisiones de óxido nitroso (17.84 % en el 2018  y  17.56  %  en  el  2019)  provenientes  del  estiércol  en  las  pasturas  siguen  ocupando  la  mayor participación porcentual. Sin embargo; las emisiones provenientes de los sistemas de gestión del estiércol </t>
    </r>
    <r>
      <rPr>
        <vertAlign val="superscript"/>
        <sz val="11"/>
        <rFont val="Cambria"/>
        <family val="1"/>
      </rPr>
      <t>presentan un cambio frente a la línea base, observándose una participación porcentual similar del N</t>
    </r>
    <r>
      <rPr>
        <sz val="7"/>
        <rFont val="Cambria"/>
        <family val="1"/>
      </rPr>
      <t>2</t>
    </r>
    <r>
      <rPr>
        <vertAlign val="superscript"/>
        <sz val="11"/>
        <rFont val="Cambria"/>
        <family val="1"/>
      </rPr>
      <t xml:space="preserve">O (2.31
</t>
    </r>
    <r>
      <rPr>
        <vertAlign val="superscript"/>
        <sz val="11"/>
        <rFont val="Cambria"/>
        <family val="1"/>
      </rPr>
      <t>% en el 2018 y 2.62 % en el 2019) y el CH</t>
    </r>
    <r>
      <rPr>
        <sz val="7"/>
        <rFont val="Cambria"/>
        <family val="1"/>
      </rPr>
      <t xml:space="preserve">4  </t>
    </r>
    <r>
      <rPr>
        <vertAlign val="superscript"/>
        <sz val="11"/>
        <rFont val="Cambria"/>
        <family val="1"/>
      </rPr>
      <t xml:space="preserve">(2.10 % y 2.62 % en el 2018 y 2019, respectivamente).
</t>
    </r>
    <r>
      <rPr>
        <sz val="11"/>
        <rFont val="Cambria"/>
        <family val="1"/>
      </rPr>
      <t xml:space="preserve">Al comparar el aporte de cada provincia al total de emisiones, se observa que en el 2018 Manabí (31.17 %) y Guayas (18.65 %) siguen ocupando las primeras posiciones. Loja (14.95 %) y Morona Santiago (14.73 %) presentan cambios frente a la posición ocupada durante el mismo año en el escenario de línea base, seguidas por Imbabura (9.22 %), Napo (8.41 %) y Santa Elena (2.87 %). Durante el 2019; Manabí (35.41 %), Guayas (12.71 %) y Santa Elena (4.34 %) mantienen la misma posición respecto al orden de participación observado en línea base; sin embargo, se registran cambios en las provincias de Morona Santiago (12.32 %), Loja (11.95
</t>
    </r>
    <r>
      <rPr>
        <sz val="11"/>
        <rFont val="Cambria"/>
        <family val="1"/>
      </rPr>
      <t xml:space="preserve">%), Napo (11.78 %)e Imbabura (11.49 %).
</t>
    </r>
    <r>
      <rPr>
        <sz val="11"/>
        <rFont val="Cambria"/>
        <family val="1"/>
      </rPr>
      <t xml:space="preserve">Los  valores  de  producción  de  carne  y  leche  obtenidos  en  las  fincas  piloto  de  cada  provincia  después  de implementar la estrategia de intervención GCI, se presentan en la Tabla 6.
</t>
    </r>
    <r>
      <rPr>
        <sz val="10"/>
        <color rgb="FF44536A"/>
        <rFont val="Cambria"/>
        <family val="1"/>
      </rPr>
      <t>Tabla 6. Fincas Piloto: Monitoreo de producción</t>
    </r>
  </si>
  <si>
    <r>
      <rPr>
        <b/>
        <sz val="9"/>
        <rFont val="Cambria"/>
        <family val="1"/>
      </rPr>
      <t>Fincas Piloto: Monitoreo de producción</t>
    </r>
  </si>
  <si>
    <t>YEAR</t>
  </si>
  <si>
    <t>REDUCCIONES</t>
  </si>
  <si>
    <t>DIFFERENCES (t CO2eq)</t>
  </si>
  <si>
    <t>DIFFERENCES (%)</t>
  </si>
  <si>
    <t>DIFFERENCES (%) - ADJUSTED</t>
  </si>
  <si>
    <t>REDUCCIONES FE CH4</t>
  </si>
  <si>
    <t>REDUCCIONES ESTIÉRCOL CH4</t>
  </si>
  <si>
    <t>REDUCCIONES ESTIÉRCOL N20</t>
  </si>
  <si>
    <t>INFORMACIÓN SUMINISTRADA POR LOS COLEGAS DE LA FAO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</si>
</sst>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Times New Roman"/>
      <charset val="204"/>
    </font>
    <font>
      <b/>
      <sz val="9"/>
      <name val="Cambria"/>
      <family val="1"/>
    </font>
    <font>
      <sz val="9"/>
      <color rgb="FF000000"/>
      <name val="Cambria"/>
      <family val="2"/>
    </font>
    <font>
      <sz val="9"/>
      <name val="Cambria"/>
      <family val="1"/>
    </font>
    <font>
      <b/>
      <sz val="9"/>
      <color rgb="FF000000"/>
      <name val="Cambria"/>
      <family val="2"/>
    </font>
    <font>
      <b/>
      <sz val="8"/>
      <name val="Cambria"/>
      <family val="1"/>
    </font>
    <font>
      <sz val="8"/>
      <color rgb="FF000000"/>
      <name val="Cambria"/>
      <family val="2"/>
    </font>
    <font>
      <b/>
      <sz val="8"/>
      <color rgb="FF000000"/>
      <name val="Cambria"/>
      <family val="2"/>
    </font>
    <font>
      <sz val="8"/>
      <name val="Cambria"/>
      <family val="1"/>
    </font>
    <font>
      <sz val="10"/>
      <name val="Cambria"/>
      <family val="1"/>
    </font>
    <font>
      <b/>
      <sz val="11"/>
      <name val="Cambria"/>
      <family val="1"/>
    </font>
    <font>
      <sz val="11"/>
      <name val="Cambria"/>
      <family val="1"/>
    </font>
    <font>
      <sz val="10"/>
      <color rgb="FF44536A"/>
      <name val="Cambria"/>
      <family val="1"/>
    </font>
    <font>
      <b/>
      <vertAlign val="superscript"/>
      <sz val="9"/>
      <name val="Cambria"/>
      <family val="1"/>
    </font>
    <font>
      <b/>
      <sz val="6"/>
      <name val="Cambria"/>
      <family val="1"/>
    </font>
    <font>
      <b/>
      <u/>
      <sz val="9"/>
      <name val="Cambria"/>
      <family val="1"/>
    </font>
    <font>
      <b/>
      <u/>
      <vertAlign val="superscript"/>
      <sz val="9"/>
      <name val="Cambria"/>
      <family val="1"/>
    </font>
    <font>
      <b/>
      <u/>
      <sz val="6"/>
      <name val="Cambria"/>
      <family val="1"/>
    </font>
    <font>
      <vertAlign val="superscript"/>
      <sz val="11"/>
      <name val="Cambria"/>
      <family val="1"/>
    </font>
    <font>
      <sz val="7"/>
      <name val="Cambria"/>
      <family val="1"/>
    </font>
    <font>
      <b/>
      <u/>
      <sz val="8"/>
      <name val="Cambria"/>
      <family val="1"/>
    </font>
    <font>
      <b/>
      <u/>
      <vertAlign val="subscript"/>
      <sz val="8"/>
      <name val="Cambria"/>
      <family val="1"/>
    </font>
    <font>
      <i/>
      <sz val="10"/>
      <name val="Cambria"/>
      <family val="1"/>
    </font>
    <font>
      <sz val="10"/>
      <color rgb="FF000000"/>
      <name val="Times New Roman"/>
      <family val="1"/>
    </font>
    <font>
      <b/>
      <sz val="10"/>
      <name val="Cambria"/>
      <family val="1"/>
    </font>
    <font>
      <b/>
      <sz val="10"/>
      <color rgb="FF000000"/>
      <name val="Times New Roman"/>
      <family val="1"/>
    </font>
  </fonts>
  <fills count="3">
    <fill>
      <patternFill patternType="none"/>
    </fill>
    <fill>
      <patternFill patternType="gray125"/>
    </fill>
    <fill>
      <patternFill patternType="solid">
        <fgColor rgb="FFE7E6E6"/>
      </patternFill>
    </fill>
  </fills>
  <borders count="16">
    <border>
      <left/>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bottom style="thin">
        <color rgb="FF000000"/>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rgb="FF000000"/>
      </bottom>
      <diagonal/>
    </border>
  </borders>
  <cellStyleXfs count="1">
    <xf numFmtId="0" fontId="0" fillId="0" borderId="0"/>
  </cellStyleXfs>
  <cellXfs count="145">
    <xf numFmtId="0" fontId="0" fillId="0" borderId="0" xfId="0" applyAlignment="1">
      <alignment horizontal="left" vertical="top"/>
    </xf>
    <xf numFmtId="0" fontId="1" fillId="0" borderId="2" xfId="0" applyFont="1" applyBorder="1" applyAlignment="1">
      <alignment horizontal="left" vertical="center" wrapText="1" indent="2"/>
    </xf>
    <xf numFmtId="0" fontId="1" fillId="0" borderId="2" xfId="0" applyFont="1" applyBorder="1" applyAlignment="1">
      <alignment horizontal="right" vertical="center" wrapText="1"/>
    </xf>
    <xf numFmtId="0" fontId="0" fillId="0" borderId="2" xfId="0" applyBorder="1" applyAlignment="1">
      <alignment horizontal="center" vertical="top" wrapText="1"/>
    </xf>
    <xf numFmtId="0" fontId="1" fillId="0" borderId="2" xfId="0" applyFont="1" applyBorder="1" applyAlignment="1">
      <alignment horizontal="center" vertical="center" wrapText="1"/>
    </xf>
    <xf numFmtId="0" fontId="0" fillId="0" borderId="3" xfId="0" applyBorder="1" applyAlignment="1">
      <alignment horizontal="left" wrapText="1"/>
    </xf>
    <xf numFmtId="0" fontId="0" fillId="0" borderId="0" xfId="0" applyAlignment="1">
      <alignment horizontal="center" vertical="top" wrapText="1"/>
    </xf>
    <xf numFmtId="0" fontId="1" fillId="0" borderId="0" xfId="0" applyFont="1" applyAlignment="1">
      <alignment horizontal="center" vertical="top" wrapText="1"/>
    </xf>
    <xf numFmtId="0" fontId="0" fillId="0" borderId="2" xfId="0" applyBorder="1" applyAlignment="1">
      <alignment horizontal="left" wrapText="1"/>
    </xf>
    <xf numFmtId="1" fontId="2" fillId="2" borderId="2" xfId="0" applyNumberFormat="1" applyFont="1" applyFill="1" applyBorder="1" applyAlignment="1">
      <alignment horizontal="right" vertical="top" shrinkToFit="1"/>
    </xf>
    <xf numFmtId="2" fontId="2" fillId="2" borderId="0" xfId="0" applyNumberFormat="1" applyFont="1" applyFill="1" applyAlignment="1">
      <alignment horizontal="center" vertical="top" shrinkToFit="1"/>
    </xf>
    <xf numFmtId="0" fontId="3" fillId="0" borderId="0" xfId="0" applyFont="1" applyAlignment="1">
      <alignment horizontal="left" vertical="top" wrapText="1" indent="1"/>
    </xf>
    <xf numFmtId="1" fontId="2" fillId="0" borderId="0" xfId="0" applyNumberFormat="1" applyFont="1" applyAlignment="1">
      <alignment horizontal="right" vertical="top" shrinkToFit="1"/>
    </xf>
    <xf numFmtId="2" fontId="2" fillId="0" borderId="0" xfId="0" applyNumberFormat="1" applyFont="1" applyAlignment="1">
      <alignment horizontal="center" vertical="top" shrinkToFit="1"/>
    </xf>
    <xf numFmtId="0" fontId="0" fillId="0" borderId="0" xfId="0" applyAlignment="1">
      <alignment horizontal="left" wrapText="1"/>
    </xf>
    <xf numFmtId="1" fontId="2" fillId="2" borderId="0" xfId="0" applyNumberFormat="1" applyFont="1" applyFill="1" applyAlignment="1">
      <alignment horizontal="right" vertical="top" shrinkToFit="1"/>
    </xf>
    <xf numFmtId="2" fontId="4" fillId="2" borderId="0" xfId="0" applyNumberFormat="1" applyFont="1" applyFill="1" applyAlignment="1">
      <alignment horizontal="center" vertical="top" shrinkToFit="1"/>
    </xf>
    <xf numFmtId="0" fontId="1" fillId="0" borderId="0" xfId="0" applyFont="1" applyAlignment="1">
      <alignment horizontal="left" vertical="top" wrapText="1" indent="1"/>
    </xf>
    <xf numFmtId="2" fontId="4" fillId="0" borderId="0" xfId="0" applyNumberFormat="1" applyFont="1" applyAlignment="1">
      <alignment horizontal="center" vertical="top" shrinkToFit="1"/>
    </xf>
    <xf numFmtId="1" fontId="2" fillId="0" borderId="3" xfId="0" applyNumberFormat="1" applyFont="1" applyBorder="1" applyAlignment="1">
      <alignment horizontal="right" vertical="top" shrinkToFit="1"/>
    </xf>
    <xf numFmtId="2" fontId="2" fillId="0" borderId="3" xfId="0" applyNumberFormat="1" applyFont="1" applyBorder="1" applyAlignment="1">
      <alignment horizontal="center" vertical="top" shrinkToFit="1"/>
    </xf>
    <xf numFmtId="2" fontId="4" fillId="0" borderId="3" xfId="0" applyNumberFormat="1" applyFont="1" applyBorder="1" applyAlignment="1">
      <alignment horizontal="center" vertical="top" shrinkToFit="1"/>
    </xf>
    <xf numFmtId="0" fontId="5" fillId="0" borderId="3" xfId="0" applyFont="1" applyBorder="1" applyAlignment="1">
      <alignment horizontal="left" vertical="top" wrapText="1" indent="1"/>
    </xf>
    <xf numFmtId="0" fontId="5" fillId="0" borderId="0" xfId="0" applyFont="1" applyAlignment="1">
      <alignment horizontal="left" vertical="top" wrapText="1"/>
    </xf>
    <xf numFmtId="0" fontId="5" fillId="0" borderId="0" xfId="0" applyFont="1" applyAlignment="1">
      <alignment horizontal="center" vertical="top" wrapText="1"/>
    </xf>
    <xf numFmtId="1" fontId="6" fillId="2" borderId="2" xfId="0" applyNumberFormat="1" applyFont="1" applyFill="1" applyBorder="1" applyAlignment="1">
      <alignment horizontal="left" vertical="top" shrinkToFit="1"/>
    </xf>
    <xf numFmtId="1" fontId="6" fillId="2" borderId="0" xfId="0" applyNumberFormat="1" applyFont="1" applyFill="1" applyAlignment="1">
      <alignment horizontal="left" vertical="top" shrinkToFit="1"/>
    </xf>
    <xf numFmtId="1" fontId="6" fillId="2" borderId="0" xfId="0" applyNumberFormat="1" applyFont="1" applyFill="1" applyAlignment="1">
      <alignment horizontal="center" vertical="top" shrinkToFit="1"/>
    </xf>
    <xf numFmtId="1" fontId="6" fillId="0" borderId="0" xfId="0" applyNumberFormat="1" applyFont="1" applyAlignment="1">
      <alignment horizontal="left" vertical="top" shrinkToFit="1"/>
    </xf>
    <xf numFmtId="1" fontId="6" fillId="0" borderId="0" xfId="0" applyNumberFormat="1" applyFont="1" applyAlignment="1">
      <alignment horizontal="center" vertical="top" shrinkToFit="1"/>
    </xf>
    <xf numFmtId="1" fontId="6" fillId="2" borderId="0" xfId="0" applyNumberFormat="1" applyFont="1" applyFill="1" applyAlignment="1">
      <alignment horizontal="left" vertical="top" indent="1" shrinkToFit="1"/>
    </xf>
    <xf numFmtId="1" fontId="7" fillId="2" borderId="0" xfId="0" applyNumberFormat="1" applyFont="1" applyFill="1" applyAlignment="1">
      <alignment horizontal="center" vertical="top" shrinkToFit="1"/>
    </xf>
    <xf numFmtId="1" fontId="7" fillId="0" borderId="0" xfId="0" applyNumberFormat="1" applyFont="1" applyAlignment="1">
      <alignment horizontal="center" vertical="top" shrinkToFit="1"/>
    </xf>
    <xf numFmtId="0" fontId="1" fillId="0" borderId="2" xfId="0" applyFont="1" applyBorder="1" applyAlignment="1">
      <alignment horizontal="center" vertical="top" wrapText="1"/>
    </xf>
    <xf numFmtId="1" fontId="2" fillId="2" borderId="2" xfId="0" applyNumberFormat="1" applyFont="1" applyFill="1" applyBorder="1" applyAlignment="1">
      <alignment horizontal="left" vertical="top" indent="2" shrinkToFit="1"/>
    </xf>
    <xf numFmtId="1" fontId="2" fillId="0" borderId="0" xfId="0" applyNumberFormat="1" applyFont="1" applyAlignment="1">
      <alignment horizontal="left" vertical="top" indent="2" shrinkToFit="1"/>
    </xf>
    <xf numFmtId="0" fontId="0" fillId="0" borderId="0" xfId="0" applyAlignment="1">
      <alignment horizontal="left" vertical="center" wrapText="1"/>
    </xf>
    <xf numFmtId="1" fontId="2" fillId="2" borderId="0" xfId="0" applyNumberFormat="1" applyFont="1" applyFill="1" applyAlignment="1">
      <alignment horizontal="left" vertical="top" indent="2" shrinkToFit="1"/>
    </xf>
    <xf numFmtId="1" fontId="2" fillId="2" borderId="2" xfId="0" applyNumberFormat="1" applyFont="1" applyFill="1" applyBorder="1" applyAlignment="1">
      <alignment horizontal="left" vertical="top" indent="3" shrinkToFit="1"/>
    </xf>
    <xf numFmtId="1" fontId="2" fillId="0" borderId="0" xfId="0" applyNumberFormat="1" applyFont="1" applyAlignment="1">
      <alignment horizontal="left" vertical="top" indent="3" shrinkToFit="1"/>
    </xf>
    <xf numFmtId="1" fontId="2" fillId="2" borderId="0" xfId="0" applyNumberFormat="1" applyFont="1" applyFill="1" applyAlignment="1">
      <alignment horizontal="left" vertical="top" indent="3" shrinkToFit="1"/>
    </xf>
    <xf numFmtId="2" fontId="2" fillId="2" borderId="0" xfId="0" applyNumberFormat="1" applyFont="1" applyFill="1" applyAlignment="1">
      <alignment horizontal="right" vertical="top" indent="7" shrinkToFit="1"/>
    </xf>
    <xf numFmtId="2" fontId="2" fillId="0" borderId="0" xfId="0" applyNumberFormat="1" applyFont="1" applyAlignment="1">
      <alignment horizontal="right" vertical="top" indent="7" shrinkToFit="1"/>
    </xf>
    <xf numFmtId="2" fontId="2" fillId="2" borderId="0" xfId="0" applyNumberFormat="1" applyFont="1" applyFill="1" applyAlignment="1">
      <alignment horizontal="right" vertical="top" indent="6" shrinkToFit="1"/>
    </xf>
    <xf numFmtId="2" fontId="2" fillId="0" borderId="0" xfId="0" applyNumberFormat="1" applyFont="1" applyAlignment="1">
      <alignment horizontal="right" vertical="top" indent="6" shrinkToFit="1"/>
    </xf>
    <xf numFmtId="2" fontId="4" fillId="2" borderId="0" xfId="0" applyNumberFormat="1" applyFont="1" applyFill="1" applyAlignment="1">
      <alignment horizontal="right" vertical="top" indent="6" shrinkToFit="1"/>
    </xf>
    <xf numFmtId="2" fontId="4" fillId="0" borderId="0" xfId="0" applyNumberFormat="1" applyFont="1" applyAlignment="1">
      <alignment horizontal="right" vertical="top" indent="6" shrinkToFit="1"/>
    </xf>
    <xf numFmtId="1" fontId="2" fillId="0" borderId="3" xfId="0" applyNumberFormat="1" applyFont="1" applyBorder="1" applyAlignment="1">
      <alignment horizontal="left" vertical="top" indent="3" shrinkToFit="1"/>
    </xf>
    <xf numFmtId="2" fontId="4" fillId="0" borderId="3" xfId="0" applyNumberFormat="1" applyFont="1" applyBorder="1" applyAlignment="1">
      <alignment horizontal="right" vertical="top" indent="6" shrinkToFit="1"/>
    </xf>
    <xf numFmtId="0" fontId="1" fillId="0" borderId="2" xfId="0" applyFont="1" applyBorder="1" applyAlignment="1">
      <alignment horizontal="left" vertical="center" wrapText="1" indent="1"/>
    </xf>
    <xf numFmtId="1" fontId="2" fillId="2" borderId="2" xfId="0" applyNumberFormat="1" applyFont="1" applyFill="1" applyBorder="1" applyAlignment="1">
      <alignment horizontal="left" vertical="top" shrinkToFit="1"/>
    </xf>
    <xf numFmtId="1" fontId="2" fillId="0" borderId="0" xfId="0" applyNumberFormat="1" applyFont="1" applyAlignment="1">
      <alignment horizontal="left" vertical="top" shrinkToFit="1"/>
    </xf>
    <xf numFmtId="1" fontId="2" fillId="2" borderId="0" xfId="0" applyNumberFormat="1" applyFont="1" applyFill="1" applyAlignment="1">
      <alignment horizontal="left" vertical="top" shrinkToFit="1"/>
    </xf>
    <xf numFmtId="1" fontId="2" fillId="2" borderId="0" xfId="0" applyNumberFormat="1" applyFont="1" applyFill="1" applyAlignment="1">
      <alignment horizontal="center" vertical="top" shrinkToFit="1"/>
    </xf>
    <xf numFmtId="2" fontId="2" fillId="2" borderId="0" xfId="0" applyNumberFormat="1" applyFont="1" applyFill="1" applyAlignment="1">
      <alignment horizontal="left" vertical="top" indent="2" shrinkToFit="1"/>
    </xf>
    <xf numFmtId="2" fontId="2" fillId="2" borderId="0" xfId="0" applyNumberFormat="1" applyFont="1" applyFill="1" applyAlignment="1">
      <alignment horizontal="left" vertical="top" indent="1" shrinkToFit="1"/>
    </xf>
    <xf numFmtId="2" fontId="2" fillId="2" borderId="0" xfId="0" applyNumberFormat="1" applyFont="1" applyFill="1" applyAlignment="1">
      <alignment horizontal="right" vertical="top" indent="4" shrinkToFit="1"/>
    </xf>
    <xf numFmtId="1" fontId="2" fillId="0" borderId="0" xfId="0" applyNumberFormat="1" applyFont="1" applyAlignment="1">
      <alignment horizontal="center" vertical="top" shrinkToFit="1"/>
    </xf>
    <xf numFmtId="2" fontId="2" fillId="0" borderId="0" xfId="0" applyNumberFormat="1" applyFont="1" applyAlignment="1">
      <alignment horizontal="left" vertical="top" indent="2" shrinkToFit="1"/>
    </xf>
    <xf numFmtId="2" fontId="2" fillId="0" borderId="0" xfId="0" applyNumberFormat="1" applyFont="1" applyAlignment="1">
      <alignment horizontal="left" vertical="top" indent="1" shrinkToFit="1"/>
    </xf>
    <xf numFmtId="2" fontId="2" fillId="0" borderId="0" xfId="0" applyNumberFormat="1" applyFont="1" applyAlignment="1">
      <alignment horizontal="right" vertical="top" indent="4" shrinkToFit="1"/>
    </xf>
    <xf numFmtId="2" fontId="2" fillId="2" borderId="0" xfId="0" applyNumberFormat="1" applyFont="1" applyFill="1" applyAlignment="1">
      <alignment horizontal="right" vertical="top" indent="3" shrinkToFit="1"/>
    </xf>
    <xf numFmtId="2" fontId="2" fillId="0" borderId="0" xfId="0" applyNumberFormat="1" applyFont="1" applyAlignment="1">
      <alignment horizontal="right" vertical="top" indent="3" shrinkToFit="1"/>
    </xf>
    <xf numFmtId="1" fontId="2" fillId="0" borderId="3" xfId="0" applyNumberFormat="1" applyFont="1" applyBorder="1" applyAlignment="1">
      <alignment horizontal="center" vertical="top" shrinkToFit="1"/>
    </xf>
    <xf numFmtId="2" fontId="2" fillId="0" borderId="3" xfId="0" applyNumberFormat="1" applyFont="1" applyBorder="1" applyAlignment="1">
      <alignment horizontal="left" vertical="top" indent="1" shrinkToFit="1"/>
    </xf>
    <xf numFmtId="2" fontId="2" fillId="0" borderId="3" xfId="0" applyNumberFormat="1" applyFont="1" applyBorder="1" applyAlignment="1">
      <alignment horizontal="right" vertical="top" indent="3" shrinkToFit="1"/>
    </xf>
    <xf numFmtId="0" fontId="0" fillId="0" borderId="0" xfId="0" applyAlignment="1">
      <alignment horizontal="left" vertical="top" wrapText="1" inden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0" xfId="0" applyAlignment="1">
      <alignment horizontal="center" vertical="top" wrapText="1"/>
    </xf>
    <xf numFmtId="1" fontId="6" fillId="2" borderId="0" xfId="0" applyNumberFormat="1" applyFont="1" applyFill="1" applyAlignment="1">
      <alignment horizontal="right" vertical="top" indent="3" shrinkToFit="1"/>
    </xf>
    <xf numFmtId="1" fontId="6" fillId="0" borderId="0" xfId="0" applyNumberFormat="1" applyFont="1" applyAlignment="1">
      <alignment horizontal="right" vertical="top" indent="3" shrinkToFit="1"/>
    </xf>
    <xf numFmtId="1" fontId="6" fillId="2" borderId="0" xfId="0" applyNumberFormat="1" applyFont="1" applyFill="1" applyAlignment="1">
      <alignment horizontal="right" vertical="top" indent="2" shrinkToFit="1"/>
    </xf>
    <xf numFmtId="1" fontId="6" fillId="0" borderId="0" xfId="0" applyNumberFormat="1" applyFont="1" applyAlignment="1">
      <alignment horizontal="right" vertical="top" indent="2" shrinkToFit="1"/>
    </xf>
    <xf numFmtId="0" fontId="5" fillId="0" borderId="0" xfId="0" applyFont="1" applyAlignment="1">
      <alignment horizontal="left" vertical="top" wrapText="1" indent="1"/>
    </xf>
    <xf numFmtId="0" fontId="0" fillId="0" borderId="0" xfId="0" applyAlignment="1">
      <alignment horizontal="left" vertical="top" wrapText="1" indent="4"/>
    </xf>
    <xf numFmtId="0" fontId="8" fillId="0" borderId="0" xfId="0" applyFont="1" applyAlignment="1">
      <alignment horizontal="left" vertical="top" wrapText="1" indent="1"/>
    </xf>
    <xf numFmtId="0" fontId="9" fillId="0" borderId="0" xfId="0" applyFont="1" applyAlignment="1">
      <alignment horizontal="left" vertical="top" wrapText="1" indent="1"/>
    </xf>
    <xf numFmtId="0" fontId="1" fillId="0" borderId="1" xfId="0" applyFont="1" applyBorder="1" applyAlignment="1">
      <alignment horizontal="center" vertical="top" wrapText="1"/>
    </xf>
    <xf numFmtId="0" fontId="1" fillId="0" borderId="2" xfId="0" applyFont="1" applyBorder="1" applyAlignment="1">
      <alignment horizontal="left" vertical="top" wrapText="1" indent="5"/>
    </xf>
    <xf numFmtId="0" fontId="1" fillId="0" borderId="3" xfId="0" applyFont="1" applyBorder="1" applyAlignment="1">
      <alignment horizontal="left" vertical="top" wrapText="1" indent="5"/>
    </xf>
    <xf numFmtId="0" fontId="1" fillId="0" borderId="2" xfId="0" applyFont="1" applyBorder="1" applyAlignment="1">
      <alignment horizontal="left" vertical="top" wrapText="1" indent="3"/>
    </xf>
    <xf numFmtId="0" fontId="1" fillId="0" borderId="3" xfId="0" applyFont="1" applyBorder="1" applyAlignment="1">
      <alignment horizontal="left" vertical="top" wrapText="1" indent="3"/>
    </xf>
    <xf numFmtId="1" fontId="2" fillId="2" borderId="2" xfId="0" applyNumberFormat="1" applyFont="1" applyFill="1" applyBorder="1" applyAlignment="1">
      <alignment horizontal="left" vertical="top" indent="2" shrinkToFit="1"/>
    </xf>
    <xf numFmtId="1" fontId="2" fillId="0" borderId="0" xfId="0" applyNumberFormat="1" applyFont="1" applyAlignment="1">
      <alignment horizontal="left" vertical="top" indent="2" shrinkToFit="1"/>
    </xf>
    <xf numFmtId="1" fontId="2" fillId="2" borderId="0" xfId="0" applyNumberFormat="1" applyFont="1" applyFill="1" applyAlignment="1">
      <alignment horizontal="left" vertical="top" indent="2" shrinkToFit="1"/>
    </xf>
    <xf numFmtId="1" fontId="2" fillId="0" borderId="3" xfId="0" applyNumberFormat="1" applyFont="1" applyBorder="1" applyAlignment="1">
      <alignment horizontal="left" vertical="top" indent="2" shrinkToFit="1"/>
    </xf>
    <xf numFmtId="0" fontId="0" fillId="0" borderId="2" xfId="0" applyBorder="1" applyAlignment="1">
      <alignment horizontal="left" wrapText="1"/>
    </xf>
    <xf numFmtId="0" fontId="3" fillId="0" borderId="0" xfId="0" applyFont="1" applyAlignment="1">
      <alignment horizontal="left" vertical="top" wrapText="1" indent="1"/>
    </xf>
    <xf numFmtId="0" fontId="0" fillId="0" borderId="0" xfId="0" applyAlignment="1">
      <alignment horizontal="left" vertical="center" wrapText="1"/>
    </xf>
    <xf numFmtId="0" fontId="0" fillId="0" borderId="0" xfId="0" applyAlignment="1">
      <alignment horizontal="left" wrapText="1"/>
    </xf>
    <xf numFmtId="0" fontId="1" fillId="0" borderId="0" xfId="0" applyFont="1" applyAlignment="1">
      <alignment horizontal="left" vertical="top" wrapText="1" indent="1"/>
    </xf>
    <xf numFmtId="0" fontId="0" fillId="0" borderId="3" xfId="0" applyBorder="1" applyAlignment="1">
      <alignment horizontal="left" wrapText="1"/>
    </xf>
    <xf numFmtId="2" fontId="2" fillId="2" borderId="0" xfId="0" applyNumberFormat="1" applyFont="1" applyFill="1" applyAlignment="1">
      <alignment horizontal="center" vertical="top" shrinkToFit="1"/>
    </xf>
    <xf numFmtId="2" fontId="2" fillId="0" borderId="0" xfId="0" applyNumberFormat="1" applyFont="1" applyAlignment="1">
      <alignment horizontal="center" vertical="top" shrinkToFit="1"/>
    </xf>
    <xf numFmtId="2" fontId="2" fillId="2" borderId="0" xfId="0" applyNumberFormat="1" applyFont="1" applyFill="1" applyAlignment="1">
      <alignment horizontal="left" vertical="top" indent="1" shrinkToFit="1"/>
    </xf>
    <xf numFmtId="2" fontId="2" fillId="2" borderId="0" xfId="0" applyNumberFormat="1" applyFont="1" applyFill="1" applyAlignment="1">
      <alignment horizontal="right" vertical="top" indent="1" shrinkToFit="1"/>
    </xf>
    <xf numFmtId="2" fontId="2" fillId="0" borderId="0" xfId="0" applyNumberFormat="1" applyFont="1" applyAlignment="1">
      <alignment horizontal="left" vertical="top" indent="1" shrinkToFit="1"/>
    </xf>
    <xf numFmtId="2" fontId="2" fillId="0" borderId="0" xfId="0" applyNumberFormat="1" applyFont="1" applyAlignment="1">
      <alignment horizontal="right" vertical="top" indent="1" shrinkToFit="1"/>
    </xf>
    <xf numFmtId="2" fontId="4" fillId="2" borderId="0" xfId="0" applyNumberFormat="1" applyFont="1" applyFill="1" applyAlignment="1">
      <alignment horizontal="right" vertical="top" shrinkToFit="1"/>
    </xf>
    <xf numFmtId="2" fontId="4" fillId="0" borderId="0" xfId="0" applyNumberFormat="1" applyFont="1" applyAlignment="1">
      <alignment horizontal="right" vertical="top" shrinkToFit="1"/>
    </xf>
    <xf numFmtId="2" fontId="2" fillId="0" borderId="3" xfId="0" applyNumberFormat="1" applyFont="1" applyBorder="1" applyAlignment="1">
      <alignment horizontal="left" vertical="top" indent="1" shrinkToFit="1"/>
    </xf>
    <xf numFmtId="2" fontId="4" fillId="0" borderId="3" xfId="0" applyNumberFormat="1" applyFont="1" applyBorder="1" applyAlignment="1">
      <alignment horizontal="right" vertical="top" shrinkToFit="1"/>
    </xf>
    <xf numFmtId="0" fontId="0" fillId="0" borderId="2" xfId="0" applyBorder="1" applyAlignment="1">
      <alignment horizontal="center" vertical="center" wrapText="1"/>
    </xf>
    <xf numFmtId="0" fontId="0" fillId="0" borderId="0" xfId="0" applyAlignment="1">
      <alignment horizontal="center" vertical="top"/>
    </xf>
    <xf numFmtId="0" fontId="0" fillId="0" borderId="0" xfId="0" applyFill="1" applyBorder="1" applyAlignment="1">
      <alignment horizontal="left" vertical="top"/>
    </xf>
    <xf numFmtId="0" fontId="0" fillId="0" borderId="0" xfId="0" applyFill="1" applyBorder="1" applyAlignment="1">
      <alignment vertical="top"/>
    </xf>
    <xf numFmtId="2" fontId="4" fillId="0" borderId="0" xfId="0" applyNumberFormat="1" applyFont="1" applyFill="1" applyBorder="1" applyAlignment="1">
      <alignment vertical="top" shrinkToFit="1"/>
    </xf>
    <xf numFmtId="0" fontId="23" fillId="0" borderId="0" xfId="0" applyFont="1" applyAlignment="1">
      <alignment horizontal="center" vertical="center"/>
    </xf>
    <xf numFmtId="0" fontId="23" fillId="0" borderId="0" xfId="0" applyFont="1" applyAlignment="1">
      <alignment horizontal="center" vertical="center" wrapText="1"/>
    </xf>
    <xf numFmtId="0" fontId="0" fillId="0" borderId="3" xfId="0" applyBorder="1" applyAlignment="1">
      <alignment horizontal="center" vertical="center" wrapText="1"/>
    </xf>
    <xf numFmtId="1" fontId="2" fillId="0" borderId="3" xfId="0" applyNumberFormat="1" applyFont="1" applyBorder="1" applyAlignment="1">
      <alignment horizontal="center" vertical="center" shrinkToFit="1"/>
    </xf>
    <xf numFmtId="2" fontId="2" fillId="0" borderId="3" xfId="0" applyNumberFormat="1" applyFont="1" applyBorder="1" applyAlignment="1">
      <alignment horizontal="center" vertical="center" shrinkToFit="1"/>
    </xf>
    <xf numFmtId="0" fontId="0" fillId="0" borderId="0" xfId="0"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0" fillId="0" borderId="9" xfId="0" applyBorder="1" applyAlignment="1">
      <alignment horizontal="center" vertical="center" wrapText="1"/>
    </xf>
    <xf numFmtId="0" fontId="0" fillId="0" borderId="0" xfId="0" applyBorder="1" applyAlignment="1">
      <alignment horizontal="center" vertical="center" wrapText="1"/>
    </xf>
    <xf numFmtId="0" fontId="1" fillId="0" borderId="10" xfId="0" applyFont="1" applyBorder="1" applyAlignment="1">
      <alignment horizontal="center" vertical="center" wrapText="1"/>
    </xf>
    <xf numFmtId="0" fontId="0" fillId="0" borderId="11" xfId="0" applyBorder="1" applyAlignment="1">
      <alignment horizontal="center" vertical="center" wrapText="1"/>
    </xf>
    <xf numFmtId="1" fontId="2" fillId="2" borderId="0" xfId="0" applyNumberFormat="1" applyFont="1" applyFill="1" applyBorder="1" applyAlignment="1">
      <alignment horizontal="center" vertical="center" shrinkToFit="1"/>
    </xf>
    <xf numFmtId="2" fontId="2" fillId="2" borderId="0" xfId="0" applyNumberFormat="1" applyFont="1" applyFill="1" applyBorder="1" applyAlignment="1">
      <alignment horizontal="center" vertical="center" shrinkToFit="1"/>
    </xf>
    <xf numFmtId="2" fontId="4" fillId="2" borderId="10" xfId="0" applyNumberFormat="1" applyFont="1" applyFill="1" applyBorder="1" applyAlignment="1">
      <alignment horizontal="center" vertical="center" shrinkToFit="1"/>
    </xf>
    <xf numFmtId="0" fontId="1" fillId="0" borderId="11" xfId="0" applyFont="1" applyBorder="1" applyAlignment="1">
      <alignment horizontal="center" vertical="center" wrapText="1"/>
    </xf>
    <xf numFmtId="1" fontId="2" fillId="0" borderId="0" xfId="0" applyNumberFormat="1" applyFont="1" applyBorder="1" applyAlignment="1">
      <alignment horizontal="center" vertical="center" shrinkToFit="1"/>
    </xf>
    <xf numFmtId="2" fontId="2" fillId="0" borderId="0" xfId="0" applyNumberFormat="1" applyFont="1" applyBorder="1" applyAlignment="1">
      <alignment horizontal="center" vertical="center" shrinkToFit="1"/>
    </xf>
    <xf numFmtId="2" fontId="4" fillId="0" borderId="10" xfId="0" applyNumberFormat="1" applyFont="1" applyBorder="1" applyAlignment="1">
      <alignment horizontal="center" vertical="center" shrinkToFit="1"/>
    </xf>
    <xf numFmtId="0" fontId="0" fillId="0" borderId="12" xfId="0" applyBorder="1" applyAlignment="1">
      <alignment horizontal="center" vertical="center" wrapText="1"/>
    </xf>
    <xf numFmtId="1" fontId="2" fillId="0" borderId="13" xfId="0" applyNumberFormat="1" applyFont="1" applyBorder="1" applyAlignment="1">
      <alignment horizontal="center" vertical="center" shrinkToFit="1"/>
    </xf>
    <xf numFmtId="2" fontId="2" fillId="0" borderId="13" xfId="0" applyNumberFormat="1" applyFont="1" applyBorder="1" applyAlignment="1">
      <alignment horizontal="center" vertical="center" shrinkToFit="1"/>
    </xf>
    <xf numFmtId="2" fontId="4" fillId="0" borderId="14" xfId="0" applyNumberFormat="1" applyFont="1" applyBorder="1" applyAlignment="1">
      <alignment horizontal="center" vertical="center" shrinkToFit="1"/>
    </xf>
    <xf numFmtId="0" fontId="24" fillId="0" borderId="4" xfId="0" applyFont="1"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Border="1" applyAlignment="1">
      <alignment horizontal="center" vertical="center"/>
    </xf>
    <xf numFmtId="0" fontId="24" fillId="0" borderId="4" xfId="0" applyFont="1" applyBorder="1" applyAlignment="1">
      <alignment horizontal="center" vertical="center"/>
    </xf>
    <xf numFmtId="2" fontId="4" fillId="0" borderId="15" xfId="0" applyNumberFormat="1" applyFont="1" applyBorder="1" applyAlignment="1">
      <alignment horizontal="center" vertical="center" shrinkToFit="1"/>
    </xf>
    <xf numFmtId="0" fontId="0" fillId="0" borderId="12" xfId="0" applyBorder="1" applyAlignment="1">
      <alignment horizontal="left" vertical="top"/>
    </xf>
    <xf numFmtId="0" fontId="0" fillId="0" borderId="13" xfId="0" applyBorder="1" applyAlignment="1">
      <alignment horizontal="left" vertical="top"/>
    </xf>
    <xf numFmtId="2" fontId="0" fillId="0" borderId="13" xfId="0" applyNumberFormat="1" applyBorder="1" applyAlignment="1">
      <alignment horizontal="center" vertical="top"/>
    </xf>
    <xf numFmtId="0" fontId="0" fillId="0" borderId="14" xfId="0" applyBorder="1" applyAlignment="1">
      <alignment horizontal="left" vertical="top"/>
    </xf>
    <xf numFmtId="0" fontId="25"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1</xdr:row>
      <xdr:rowOff>114300</xdr:rowOff>
    </xdr:from>
    <xdr:to>
      <xdr:col>14</xdr:col>
      <xdr:colOff>373153</xdr:colOff>
      <xdr:row>7</xdr:row>
      <xdr:rowOff>47751</xdr:rowOff>
    </xdr:to>
    <xdr:pic>
      <xdr:nvPicPr>
        <xdr:cNvPr id="2" name="Picture 1">
          <a:extLst>
            <a:ext uri="{FF2B5EF4-FFF2-40B4-BE49-F238E27FC236}">
              <a16:creationId xmlns:a16="http://schemas.microsoft.com/office/drawing/2014/main" id="{5C9F5AE8-3EE1-56F4-52E3-B07EB2394CD4}"/>
            </a:ext>
          </a:extLst>
        </xdr:cNvPr>
        <xdr:cNvPicPr>
          <a:picLocks noChangeAspect="1"/>
        </xdr:cNvPicPr>
      </xdr:nvPicPr>
      <xdr:blipFill>
        <a:blip xmlns:r="http://schemas.openxmlformats.org/officeDocument/2006/relationships" r:embed="rId1"/>
        <a:stretch>
          <a:fillRect/>
        </a:stretch>
      </xdr:blipFill>
      <xdr:spPr>
        <a:xfrm>
          <a:off x="600075" y="276225"/>
          <a:ext cx="12019053" cy="905001"/>
        </a:xfrm>
        <a:prstGeom prst="rect">
          <a:avLst/>
        </a:prstGeom>
        <a:ln w="76200">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76200</xdr:colOff>
      <xdr:row>29</xdr:row>
      <xdr:rowOff>2297558</xdr:rowOff>
    </xdr:from>
    <xdr:ext cx="6402070" cy="635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6402070" cy="6350"/>
        </a:xfrm>
        <a:custGeom>
          <a:avLst/>
          <a:gdLst/>
          <a:ahLst/>
          <a:cxnLst/>
          <a:rect l="0" t="0" r="0" b="0"/>
          <a:pathLst>
            <a:path w="6402070" h="6350">
              <a:moveTo>
                <a:pt x="6402070" y="0"/>
              </a:moveTo>
              <a:lnTo>
                <a:pt x="0" y="0"/>
              </a:lnTo>
              <a:lnTo>
                <a:pt x="0" y="6096"/>
              </a:lnTo>
              <a:lnTo>
                <a:pt x="6402070" y="6096"/>
              </a:lnTo>
              <a:lnTo>
                <a:pt x="6402070" y="0"/>
              </a:lnTo>
              <a:close/>
            </a:path>
          </a:pathLst>
        </a:custGeom>
        <a:solidFill>
          <a:srgbClr val="000000"/>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6402070" cy="6350"/>
    <xdr:sp macro="" textlink="">
      <xdr:nvSpPr>
        <xdr:cNvPr id="3" name="Shape 3">
          <a:extLst>
            <a:ext uri="{FF2B5EF4-FFF2-40B4-BE49-F238E27FC236}">
              <a16:creationId xmlns:a16="http://schemas.microsoft.com/office/drawing/2014/main" id="{00000000-0008-0000-0100-000003000000}"/>
            </a:ext>
          </a:extLst>
        </xdr:cNvPr>
        <xdr:cNvSpPr/>
      </xdr:nvSpPr>
      <xdr:spPr>
        <a:xfrm>
          <a:off x="0" y="0"/>
          <a:ext cx="6402070" cy="6350"/>
        </a:xfrm>
        <a:custGeom>
          <a:avLst/>
          <a:gdLst/>
          <a:ahLst/>
          <a:cxnLst/>
          <a:rect l="0" t="0" r="0" b="0"/>
          <a:pathLst>
            <a:path w="6402070" h="6350">
              <a:moveTo>
                <a:pt x="1937562" y="0"/>
              </a:moveTo>
              <a:lnTo>
                <a:pt x="1937562" y="0"/>
              </a:lnTo>
              <a:lnTo>
                <a:pt x="0" y="0"/>
              </a:lnTo>
              <a:lnTo>
                <a:pt x="0" y="6096"/>
              </a:lnTo>
              <a:lnTo>
                <a:pt x="1937562" y="6096"/>
              </a:lnTo>
              <a:lnTo>
                <a:pt x="1937562" y="0"/>
              </a:lnTo>
              <a:close/>
            </a:path>
            <a:path w="6402070" h="6350">
              <a:moveTo>
                <a:pt x="1943722" y="0"/>
              </a:moveTo>
              <a:lnTo>
                <a:pt x="1937639" y="0"/>
              </a:lnTo>
              <a:lnTo>
                <a:pt x="1937639" y="6096"/>
              </a:lnTo>
              <a:lnTo>
                <a:pt x="1943722" y="6096"/>
              </a:lnTo>
              <a:lnTo>
                <a:pt x="1943722" y="0"/>
              </a:lnTo>
              <a:close/>
            </a:path>
            <a:path w="6402070" h="6350">
              <a:moveTo>
                <a:pt x="2448166" y="0"/>
              </a:moveTo>
              <a:lnTo>
                <a:pt x="2442083" y="0"/>
              </a:lnTo>
              <a:lnTo>
                <a:pt x="1943735" y="0"/>
              </a:lnTo>
              <a:lnTo>
                <a:pt x="1943735" y="6096"/>
              </a:lnTo>
              <a:lnTo>
                <a:pt x="2442083" y="6096"/>
              </a:lnTo>
              <a:lnTo>
                <a:pt x="2448166" y="6096"/>
              </a:lnTo>
              <a:lnTo>
                <a:pt x="2448166" y="0"/>
              </a:lnTo>
              <a:close/>
            </a:path>
            <a:path w="6402070" h="6350">
              <a:moveTo>
                <a:pt x="3704196" y="0"/>
              </a:moveTo>
              <a:lnTo>
                <a:pt x="3704196" y="0"/>
              </a:lnTo>
              <a:lnTo>
                <a:pt x="2448179" y="0"/>
              </a:lnTo>
              <a:lnTo>
                <a:pt x="2448179" y="6096"/>
              </a:lnTo>
              <a:lnTo>
                <a:pt x="3704196" y="6096"/>
              </a:lnTo>
              <a:lnTo>
                <a:pt x="3704196" y="0"/>
              </a:lnTo>
              <a:close/>
            </a:path>
            <a:path w="6402070" h="6350">
              <a:moveTo>
                <a:pt x="4362564" y="0"/>
              </a:moveTo>
              <a:lnTo>
                <a:pt x="4356481" y="0"/>
              </a:lnTo>
              <a:lnTo>
                <a:pt x="3864229" y="0"/>
              </a:lnTo>
              <a:lnTo>
                <a:pt x="3858133" y="0"/>
              </a:lnTo>
              <a:lnTo>
                <a:pt x="3704209" y="0"/>
              </a:lnTo>
              <a:lnTo>
                <a:pt x="3704209" y="6096"/>
              </a:lnTo>
              <a:lnTo>
                <a:pt x="3858133" y="6096"/>
              </a:lnTo>
              <a:lnTo>
                <a:pt x="3864229" y="6096"/>
              </a:lnTo>
              <a:lnTo>
                <a:pt x="4356481" y="6096"/>
              </a:lnTo>
              <a:lnTo>
                <a:pt x="4362564" y="6096"/>
              </a:lnTo>
              <a:lnTo>
                <a:pt x="4362564" y="0"/>
              </a:lnTo>
              <a:close/>
            </a:path>
            <a:path w="6402070" h="6350">
              <a:moveTo>
                <a:pt x="5243754" y="0"/>
              </a:moveTo>
              <a:lnTo>
                <a:pt x="5243754" y="0"/>
              </a:lnTo>
              <a:lnTo>
                <a:pt x="4362577" y="0"/>
              </a:lnTo>
              <a:lnTo>
                <a:pt x="4362577" y="6096"/>
              </a:lnTo>
              <a:lnTo>
                <a:pt x="5243754" y="6096"/>
              </a:lnTo>
              <a:lnTo>
                <a:pt x="5243754" y="0"/>
              </a:lnTo>
              <a:close/>
            </a:path>
            <a:path w="6402070" h="6350">
              <a:moveTo>
                <a:pt x="5812269" y="0"/>
              </a:moveTo>
              <a:lnTo>
                <a:pt x="5249926" y="0"/>
              </a:lnTo>
              <a:lnTo>
                <a:pt x="5243830" y="0"/>
              </a:lnTo>
              <a:lnTo>
                <a:pt x="5243830" y="6096"/>
              </a:lnTo>
              <a:lnTo>
                <a:pt x="5249926" y="6096"/>
              </a:lnTo>
              <a:lnTo>
                <a:pt x="5812269" y="6096"/>
              </a:lnTo>
              <a:lnTo>
                <a:pt x="5812269" y="0"/>
              </a:lnTo>
              <a:close/>
            </a:path>
            <a:path w="6402070" h="6350">
              <a:moveTo>
                <a:pt x="5818365" y="0"/>
              </a:moveTo>
              <a:lnTo>
                <a:pt x="5812282" y="0"/>
              </a:lnTo>
              <a:lnTo>
                <a:pt x="5812282" y="6096"/>
              </a:lnTo>
              <a:lnTo>
                <a:pt x="5818365" y="6096"/>
              </a:lnTo>
              <a:lnTo>
                <a:pt x="5818365" y="0"/>
              </a:lnTo>
              <a:close/>
            </a:path>
            <a:path w="6402070" h="6350">
              <a:moveTo>
                <a:pt x="6402070" y="0"/>
              </a:moveTo>
              <a:lnTo>
                <a:pt x="5978398" y="0"/>
              </a:lnTo>
              <a:lnTo>
                <a:pt x="5972302" y="0"/>
              </a:lnTo>
              <a:lnTo>
                <a:pt x="5818378" y="0"/>
              </a:lnTo>
              <a:lnTo>
                <a:pt x="5818378" y="6096"/>
              </a:lnTo>
              <a:lnTo>
                <a:pt x="5972302" y="6096"/>
              </a:lnTo>
              <a:lnTo>
                <a:pt x="5978398" y="6096"/>
              </a:lnTo>
              <a:lnTo>
                <a:pt x="6402070" y="6096"/>
              </a:lnTo>
              <a:lnTo>
                <a:pt x="6402070" y="0"/>
              </a:lnTo>
              <a:close/>
            </a:path>
          </a:pathLst>
        </a:custGeom>
        <a:solidFill>
          <a:srgbClr val="000000"/>
        </a:solidFill>
      </xdr:spPr>
    </xdr:sp>
    <xdr:clientData/>
  </xdr:oneCellAnchor>
  <xdr:oneCellAnchor>
    <xdr:from>
      <xdr:col>1</xdr:col>
      <xdr:colOff>120650</xdr:colOff>
      <xdr:row>34</xdr:row>
      <xdr:rowOff>0</xdr:rowOff>
    </xdr:from>
    <xdr:ext cx="690880" cy="6350"/>
    <xdr:sp macro="" textlink="">
      <xdr:nvSpPr>
        <xdr:cNvPr id="4" name="Shape 4">
          <a:extLst>
            <a:ext uri="{FF2B5EF4-FFF2-40B4-BE49-F238E27FC236}">
              <a16:creationId xmlns:a16="http://schemas.microsoft.com/office/drawing/2014/main" id="{00000000-0008-0000-0100-000004000000}"/>
            </a:ext>
          </a:extLst>
        </xdr:cNvPr>
        <xdr:cNvSpPr/>
      </xdr:nvSpPr>
      <xdr:spPr>
        <a:xfrm>
          <a:off x="0" y="0"/>
          <a:ext cx="690880" cy="6350"/>
        </a:xfrm>
        <a:custGeom>
          <a:avLst/>
          <a:gdLst/>
          <a:ahLst/>
          <a:cxnLst/>
          <a:rect l="0" t="0" r="0" b="0"/>
          <a:pathLst>
            <a:path w="690880" h="6350">
              <a:moveTo>
                <a:pt x="690676" y="0"/>
              </a:moveTo>
              <a:lnTo>
                <a:pt x="0" y="0"/>
              </a:lnTo>
              <a:lnTo>
                <a:pt x="0" y="6096"/>
              </a:lnTo>
              <a:lnTo>
                <a:pt x="690676" y="6096"/>
              </a:lnTo>
              <a:lnTo>
                <a:pt x="690676" y="0"/>
              </a:lnTo>
              <a:close/>
            </a:path>
          </a:pathLst>
        </a:custGeom>
        <a:solidFill>
          <a:srgbClr val="000000"/>
        </a:solidFill>
      </xdr:spPr>
    </xdr:sp>
    <xdr:clientData/>
  </xdr:oneCellAnchor>
  <xdr:oneCellAnchor>
    <xdr:from>
      <xdr:col>0</xdr:col>
      <xdr:colOff>67056</xdr:colOff>
      <xdr:row>33</xdr:row>
      <xdr:rowOff>322385</xdr:rowOff>
    </xdr:from>
    <xdr:ext cx="6411595" cy="6350"/>
    <xdr:sp macro="" textlink="">
      <xdr:nvSpPr>
        <xdr:cNvPr id="5" name="Shape 5">
          <a:extLst>
            <a:ext uri="{FF2B5EF4-FFF2-40B4-BE49-F238E27FC236}">
              <a16:creationId xmlns:a16="http://schemas.microsoft.com/office/drawing/2014/main" id="{00000000-0008-0000-0100-000005000000}"/>
            </a:ext>
          </a:extLst>
        </xdr:cNvPr>
        <xdr:cNvSpPr/>
      </xdr:nvSpPr>
      <xdr:spPr>
        <a:xfrm>
          <a:off x="0" y="0"/>
          <a:ext cx="6411595" cy="6350"/>
        </a:xfrm>
        <a:custGeom>
          <a:avLst/>
          <a:gdLst/>
          <a:ahLst/>
          <a:cxnLst/>
          <a:rect l="0" t="0" r="0" b="0"/>
          <a:pathLst>
            <a:path w="6411595" h="6350">
              <a:moveTo>
                <a:pt x="6411214" y="0"/>
              </a:moveTo>
              <a:lnTo>
                <a:pt x="6411214" y="0"/>
              </a:lnTo>
              <a:lnTo>
                <a:pt x="0" y="0"/>
              </a:lnTo>
              <a:lnTo>
                <a:pt x="0" y="6083"/>
              </a:lnTo>
              <a:lnTo>
                <a:pt x="6411214" y="6083"/>
              </a:lnTo>
              <a:lnTo>
                <a:pt x="6411214" y="0"/>
              </a:lnTo>
              <a:close/>
            </a:path>
          </a:pathLst>
        </a:custGeom>
        <a:solidFill>
          <a:srgbClr val="00000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EAB3C-038D-43C1-862E-0C4E3224F5A4}">
  <sheetPr>
    <tabColor rgb="FFFFFF00"/>
  </sheetPr>
  <dimension ref="B1:AL63"/>
  <sheetViews>
    <sheetView tabSelected="1" workbookViewId="0">
      <selection activeCell="D10" sqref="D10:F21"/>
    </sheetView>
  </sheetViews>
  <sheetFormatPr defaultRowHeight="13" x14ac:dyDescent="0.3"/>
  <cols>
    <col min="2" max="2" width="22" customWidth="1"/>
    <col min="3" max="3" width="14.5" bestFit="1" customWidth="1"/>
    <col min="4" max="4" width="22.59765625" style="104" customWidth="1"/>
    <col min="5" max="5" width="20.09765625" customWidth="1"/>
    <col min="6" max="6" width="17.09765625" customWidth="1"/>
    <col min="7" max="7" width="22.296875" customWidth="1"/>
    <col min="8" max="8" width="12.09765625" customWidth="1"/>
  </cols>
  <sheetData>
    <row r="1" spans="2:38" x14ac:dyDescent="0.3">
      <c r="B1" s="144" t="s">
        <v>70</v>
      </c>
    </row>
    <row r="9" spans="2:38" ht="26" x14ac:dyDescent="0.3">
      <c r="B9" s="108" t="s">
        <v>62</v>
      </c>
      <c r="C9" s="108" t="s">
        <v>63</v>
      </c>
      <c r="D9" s="108" t="s">
        <v>67</v>
      </c>
      <c r="E9" s="109" t="s">
        <v>68</v>
      </c>
      <c r="F9" s="109" t="s">
        <v>69</v>
      </c>
      <c r="R9" t="s">
        <v>62</v>
      </c>
      <c r="S9" t="s">
        <v>63</v>
      </c>
      <c r="T9" t="s">
        <v>67</v>
      </c>
      <c r="U9" t="s">
        <v>68</v>
      </c>
      <c r="V9" t="s">
        <v>69</v>
      </c>
      <c r="Z9" t="s">
        <v>62</v>
      </c>
      <c r="AA9">
        <v>2017</v>
      </c>
      <c r="AB9">
        <v>2018</v>
      </c>
      <c r="AC9">
        <v>2019</v>
      </c>
      <c r="AD9">
        <v>2020</v>
      </c>
      <c r="AE9">
        <v>2021</v>
      </c>
      <c r="AF9">
        <v>2022</v>
      </c>
      <c r="AG9">
        <v>2023</v>
      </c>
      <c r="AH9">
        <v>2024</v>
      </c>
      <c r="AI9">
        <v>2025</v>
      </c>
      <c r="AJ9">
        <v>2026</v>
      </c>
      <c r="AK9">
        <v>2027</v>
      </c>
      <c r="AL9">
        <v>2028</v>
      </c>
    </row>
    <row r="10" spans="2:38" x14ac:dyDescent="0.3">
      <c r="B10">
        <v>2017</v>
      </c>
      <c r="C10">
        <v>19.58588</v>
      </c>
      <c r="D10" s="104">
        <f>+C10*0</f>
        <v>0</v>
      </c>
      <c r="E10" s="104">
        <f t="shared" ref="E10:F10" si="0">+D10*0</f>
        <v>0</v>
      </c>
      <c r="F10" s="104">
        <f t="shared" si="0"/>
        <v>0</v>
      </c>
      <c r="R10">
        <v>2017</v>
      </c>
      <c r="S10">
        <v>19.58588</v>
      </c>
      <c r="T10">
        <v>0</v>
      </c>
      <c r="U10">
        <v>0</v>
      </c>
      <c r="V10">
        <v>0</v>
      </c>
      <c r="Z10" t="s">
        <v>63</v>
      </c>
      <c r="AA10">
        <v>19.58588</v>
      </c>
      <c r="AB10">
        <v>15.59526</v>
      </c>
      <c r="AC10">
        <v>15.844519999999999</v>
      </c>
      <c r="AD10">
        <v>21.07</v>
      </c>
      <c r="AE10">
        <v>16.8</v>
      </c>
      <c r="AF10">
        <v>19.02</v>
      </c>
      <c r="AG10">
        <v>16.8</v>
      </c>
      <c r="AH10">
        <v>16.8</v>
      </c>
      <c r="AI10">
        <v>16.8</v>
      </c>
      <c r="AJ10">
        <v>2.5299999999999998</v>
      </c>
      <c r="AK10">
        <v>2.5299999999999998</v>
      </c>
      <c r="AL10">
        <v>2.5299999999999998</v>
      </c>
    </row>
    <row r="11" spans="2:38" x14ac:dyDescent="0.3">
      <c r="B11">
        <v>2018</v>
      </c>
      <c r="C11">
        <v>15.59526</v>
      </c>
      <c r="D11" s="104">
        <f>+$C11*D61</f>
        <v>16.679203154321801</v>
      </c>
      <c r="E11" s="104">
        <f t="shared" ref="E11:F13" si="1">+$C11*E61</f>
        <v>0.53328738151595734</v>
      </c>
      <c r="F11" s="104">
        <f t="shared" si="1"/>
        <v>-1.6172823817819142</v>
      </c>
      <c r="R11">
        <v>2018</v>
      </c>
      <c r="S11">
        <v>15.59526</v>
      </c>
      <c r="T11">
        <v>16.679203154321801</v>
      </c>
      <c r="U11">
        <v>0.53328738151595734</v>
      </c>
      <c r="V11">
        <v>-1.6172823817819142</v>
      </c>
      <c r="Z11" t="s">
        <v>67</v>
      </c>
      <c r="AA11">
        <v>0</v>
      </c>
      <c r="AB11">
        <v>16.679203154321801</v>
      </c>
      <c r="AC11">
        <v>16.854183691695273</v>
      </c>
      <c r="AD11">
        <v>22.473555560824856</v>
      </c>
      <c r="AE11">
        <v>17.919114068431782</v>
      </c>
      <c r="AF11">
        <v>20.28699699890312</v>
      </c>
      <c r="AG11">
        <v>17.919114068431782</v>
      </c>
      <c r="AH11">
        <v>17.919114068431782</v>
      </c>
      <c r="AI11">
        <v>17.919114068431782</v>
      </c>
      <c r="AJ11">
        <v>2.6985332495912142</v>
      </c>
      <c r="AK11">
        <v>2.6985332495912142</v>
      </c>
      <c r="AL11">
        <v>2.6985332495912142</v>
      </c>
    </row>
    <row r="12" spans="2:38" x14ac:dyDescent="0.3">
      <c r="B12">
        <v>2019</v>
      </c>
      <c r="C12">
        <v>15.844519999999999</v>
      </c>
      <c r="D12" s="104">
        <f>+$C12*D62</f>
        <v>16.854183691695273</v>
      </c>
      <c r="E12" s="104">
        <f t="shared" si="1"/>
        <v>0.21541814657117248</v>
      </c>
      <c r="F12" s="104">
        <f t="shared" si="1"/>
        <v>-1.2250818382664495</v>
      </c>
      <c r="R12">
        <v>2019</v>
      </c>
      <c r="S12">
        <v>15.844519999999999</v>
      </c>
      <c r="T12">
        <v>16.854183691695273</v>
      </c>
      <c r="U12">
        <v>0.21541814657117248</v>
      </c>
      <c r="V12">
        <v>-1.2250818382664495</v>
      </c>
      <c r="Z12" t="s">
        <v>68</v>
      </c>
      <c r="AA12">
        <v>0</v>
      </c>
      <c r="AB12">
        <v>0.53328738151595734</v>
      </c>
      <c r="AC12">
        <v>0.21541814657117248</v>
      </c>
      <c r="AD12">
        <v>0.50348060376414672</v>
      </c>
      <c r="AE12">
        <v>0.40144632858270834</v>
      </c>
      <c r="AF12">
        <v>0.45449459343113768</v>
      </c>
      <c r="AG12">
        <v>0.40144632858270834</v>
      </c>
      <c r="AH12">
        <v>0.40144632858270834</v>
      </c>
      <c r="AI12">
        <v>0.40144632858270834</v>
      </c>
      <c r="AJ12">
        <v>6.0455905435372145E-2</v>
      </c>
      <c r="AK12">
        <v>6.0455905435372145E-2</v>
      </c>
      <c r="AL12">
        <v>6.0455905435372145E-2</v>
      </c>
    </row>
    <row r="13" spans="2:38" x14ac:dyDescent="0.3">
      <c r="B13">
        <v>2020</v>
      </c>
      <c r="C13">
        <v>21.07</v>
      </c>
      <c r="D13" s="104">
        <f>+$C13*D$63</f>
        <v>22.473555560824856</v>
      </c>
      <c r="E13" s="104">
        <f>+$C13*E$63</f>
        <v>0.50348060376414672</v>
      </c>
      <c r="F13" s="104">
        <f>+$C13*F$63</f>
        <v>-1.9070711878602908</v>
      </c>
      <c r="R13">
        <v>2020</v>
      </c>
      <c r="S13">
        <v>21.07</v>
      </c>
      <c r="T13">
        <v>22.473555560824856</v>
      </c>
      <c r="U13">
        <v>0.50348060376414672</v>
      </c>
      <c r="V13">
        <v>-1.9070711878602908</v>
      </c>
      <c r="Z13" t="s">
        <v>69</v>
      </c>
      <c r="AA13">
        <v>0</v>
      </c>
      <c r="AB13">
        <v>-1.6172823817819142</v>
      </c>
      <c r="AC13">
        <v>-1.2250818382664495</v>
      </c>
      <c r="AD13">
        <v>-1.9070711878602908</v>
      </c>
      <c r="AE13">
        <v>-1.5205883225464112</v>
      </c>
      <c r="AF13">
        <v>-1.7215232080257583</v>
      </c>
      <c r="AG13">
        <v>-1.5205883225464112</v>
      </c>
      <c r="AH13">
        <v>-1.5205883225464112</v>
      </c>
      <c r="AI13">
        <v>-1.5205883225464112</v>
      </c>
      <c r="AJ13">
        <v>-0.22899336047871549</v>
      </c>
      <c r="AK13">
        <v>-0.22899336047871549</v>
      </c>
      <c r="AL13">
        <v>-0.22899336047871549</v>
      </c>
    </row>
    <row r="14" spans="2:38" x14ac:dyDescent="0.3">
      <c r="B14">
        <v>2021</v>
      </c>
      <c r="C14">
        <v>16.8</v>
      </c>
      <c r="D14" s="104">
        <f t="shared" ref="D14:F21" si="2">+$C14*D$63</f>
        <v>17.919114068431782</v>
      </c>
      <c r="E14" s="104">
        <f t="shared" si="2"/>
        <v>0.40144632858270834</v>
      </c>
      <c r="F14" s="104">
        <f t="shared" si="2"/>
        <v>-1.5205883225464112</v>
      </c>
      <c r="R14">
        <v>2021</v>
      </c>
      <c r="S14">
        <v>16.8</v>
      </c>
      <c r="T14">
        <v>17.919114068431782</v>
      </c>
      <c r="U14">
        <v>0.40144632858270834</v>
      </c>
      <c r="V14">
        <v>-1.5205883225464112</v>
      </c>
    </row>
    <row r="15" spans="2:38" x14ac:dyDescent="0.3">
      <c r="B15">
        <v>2022</v>
      </c>
      <c r="C15">
        <v>19.02</v>
      </c>
      <c r="D15" s="104">
        <f t="shared" si="2"/>
        <v>20.28699699890312</v>
      </c>
      <c r="E15" s="104">
        <f t="shared" si="2"/>
        <v>0.45449459343113768</v>
      </c>
      <c r="F15" s="104">
        <f t="shared" si="2"/>
        <v>-1.7215232080257583</v>
      </c>
      <c r="R15">
        <v>2022</v>
      </c>
      <c r="S15">
        <v>19.02</v>
      </c>
      <c r="T15">
        <v>20.28699699890312</v>
      </c>
      <c r="U15">
        <v>0.45449459343113768</v>
      </c>
      <c r="V15">
        <v>-1.7215232080257583</v>
      </c>
    </row>
    <row r="16" spans="2:38" x14ac:dyDescent="0.3">
      <c r="B16">
        <v>2023</v>
      </c>
      <c r="C16">
        <v>16.8</v>
      </c>
      <c r="D16" s="104">
        <f t="shared" si="2"/>
        <v>17.919114068431782</v>
      </c>
      <c r="E16" s="104">
        <f t="shared" si="2"/>
        <v>0.40144632858270834</v>
      </c>
      <c r="F16" s="104">
        <f t="shared" si="2"/>
        <v>-1.5205883225464112</v>
      </c>
      <c r="R16">
        <v>2023</v>
      </c>
      <c r="S16">
        <v>16.8</v>
      </c>
      <c r="T16">
        <v>17.919114068431782</v>
      </c>
      <c r="U16">
        <v>0.40144632858270834</v>
      </c>
      <c r="V16">
        <v>-1.5205883225464112</v>
      </c>
    </row>
    <row r="17" spans="2:22" x14ac:dyDescent="0.3">
      <c r="B17">
        <v>2024</v>
      </c>
      <c r="C17">
        <v>16.8</v>
      </c>
      <c r="D17" s="104">
        <f t="shared" si="2"/>
        <v>17.919114068431782</v>
      </c>
      <c r="E17" s="104">
        <f t="shared" si="2"/>
        <v>0.40144632858270834</v>
      </c>
      <c r="F17" s="104">
        <f t="shared" si="2"/>
        <v>-1.5205883225464112</v>
      </c>
      <c r="R17">
        <v>2024</v>
      </c>
      <c r="S17">
        <v>16.8</v>
      </c>
      <c r="T17">
        <v>17.919114068431782</v>
      </c>
      <c r="U17">
        <v>0.40144632858270834</v>
      </c>
      <c r="V17">
        <v>-1.5205883225464112</v>
      </c>
    </row>
    <row r="18" spans="2:22" x14ac:dyDescent="0.3">
      <c r="B18">
        <v>2025</v>
      </c>
      <c r="C18">
        <v>16.8</v>
      </c>
      <c r="D18" s="104">
        <f t="shared" si="2"/>
        <v>17.919114068431782</v>
      </c>
      <c r="E18" s="104">
        <f t="shared" si="2"/>
        <v>0.40144632858270834</v>
      </c>
      <c r="F18" s="104">
        <f t="shared" si="2"/>
        <v>-1.5205883225464112</v>
      </c>
      <c r="R18">
        <v>2025</v>
      </c>
      <c r="S18">
        <v>16.8</v>
      </c>
      <c r="T18">
        <v>17.919114068431782</v>
      </c>
      <c r="U18">
        <v>0.40144632858270834</v>
      </c>
      <c r="V18">
        <v>-1.5205883225464112</v>
      </c>
    </row>
    <row r="19" spans="2:22" x14ac:dyDescent="0.3">
      <c r="B19">
        <v>2026</v>
      </c>
      <c r="C19">
        <v>2.5299999999999998</v>
      </c>
      <c r="D19" s="104">
        <f t="shared" si="2"/>
        <v>2.6985332495912142</v>
      </c>
      <c r="E19" s="104">
        <f t="shared" si="2"/>
        <v>6.0455905435372145E-2</v>
      </c>
      <c r="F19" s="104">
        <f t="shared" si="2"/>
        <v>-0.22899336047871549</v>
      </c>
      <c r="R19">
        <v>2026</v>
      </c>
      <c r="S19">
        <v>2.5299999999999998</v>
      </c>
      <c r="T19">
        <v>2.6985332495912142</v>
      </c>
      <c r="U19">
        <v>6.0455905435372145E-2</v>
      </c>
      <c r="V19">
        <v>-0.22899336047871549</v>
      </c>
    </row>
    <row r="20" spans="2:22" x14ac:dyDescent="0.3">
      <c r="B20">
        <v>2027</v>
      </c>
      <c r="C20">
        <v>2.5299999999999998</v>
      </c>
      <c r="D20" s="104">
        <f t="shared" si="2"/>
        <v>2.6985332495912142</v>
      </c>
      <c r="E20" s="104">
        <f t="shared" si="2"/>
        <v>6.0455905435372145E-2</v>
      </c>
      <c r="F20" s="104">
        <f t="shared" si="2"/>
        <v>-0.22899336047871549</v>
      </c>
      <c r="R20">
        <v>2027</v>
      </c>
      <c r="S20">
        <v>2.5299999999999998</v>
      </c>
      <c r="T20">
        <v>2.6985332495912142</v>
      </c>
      <c r="U20">
        <v>6.0455905435372145E-2</v>
      </c>
      <c r="V20">
        <v>-0.22899336047871549</v>
      </c>
    </row>
    <row r="21" spans="2:22" x14ac:dyDescent="0.3">
      <c r="B21">
        <v>2028</v>
      </c>
      <c r="C21">
        <v>2.5299999999999998</v>
      </c>
      <c r="D21" s="104">
        <f t="shared" si="2"/>
        <v>2.6985332495912142</v>
      </c>
      <c r="E21" s="104">
        <f t="shared" si="2"/>
        <v>6.0455905435372145E-2</v>
      </c>
      <c r="F21" s="104">
        <f t="shared" si="2"/>
        <v>-0.22899336047871549</v>
      </c>
      <c r="R21">
        <v>2028</v>
      </c>
      <c r="S21">
        <v>2.5299999999999998</v>
      </c>
      <c r="T21">
        <v>2.6985332495912142</v>
      </c>
      <c r="U21">
        <v>6.0455905435372145E-2</v>
      </c>
      <c r="V21">
        <v>-0.22899336047871549</v>
      </c>
    </row>
    <row r="26" spans="2:22" ht="13.5" thickBot="1" x14ac:dyDescent="0.35">
      <c r="I26" s="105"/>
      <c r="J26" s="105"/>
    </row>
    <row r="27" spans="2:22" ht="13" customHeight="1" x14ac:dyDescent="0.3">
      <c r="B27" s="114" t="s">
        <v>1</v>
      </c>
      <c r="C27" s="115"/>
      <c r="D27" s="115"/>
      <c r="E27" s="115"/>
      <c r="F27" s="115"/>
      <c r="G27" s="115"/>
      <c r="H27" s="116"/>
      <c r="I27" s="105"/>
      <c r="J27" s="105"/>
    </row>
    <row r="28" spans="2:22" ht="34.5" customHeight="1" x14ac:dyDescent="0.3">
      <c r="B28" s="117" t="s">
        <v>2</v>
      </c>
      <c r="C28" s="4" t="s">
        <v>3</v>
      </c>
      <c r="D28" s="103" t="s">
        <v>4</v>
      </c>
      <c r="E28" s="103" t="s">
        <v>5</v>
      </c>
      <c r="F28" s="103" t="s">
        <v>5</v>
      </c>
      <c r="G28" s="103" t="s">
        <v>6</v>
      </c>
      <c r="H28" s="118" t="s">
        <v>7</v>
      </c>
      <c r="I28" s="105"/>
      <c r="J28" s="105"/>
    </row>
    <row r="29" spans="2:22" ht="23" x14ac:dyDescent="0.3">
      <c r="B29" s="119"/>
      <c r="C29" s="110"/>
      <c r="D29" s="120" t="s">
        <v>8</v>
      </c>
      <c r="E29" s="120" t="s">
        <v>9</v>
      </c>
      <c r="F29" s="120" t="s">
        <v>10</v>
      </c>
      <c r="G29" s="120" t="s">
        <v>11</v>
      </c>
      <c r="H29" s="121" t="s">
        <v>12</v>
      </c>
      <c r="I29" s="105"/>
      <c r="J29" s="105"/>
    </row>
    <row r="30" spans="2:22" x14ac:dyDescent="0.3">
      <c r="B30" s="122"/>
      <c r="C30" s="123">
        <v>2017</v>
      </c>
      <c r="D30" s="124">
        <v>15407.67</v>
      </c>
      <c r="E30" s="124">
        <v>432.14</v>
      </c>
      <c r="F30" s="124">
        <v>42.74</v>
      </c>
      <c r="G30" s="124">
        <v>3703.32</v>
      </c>
      <c r="H30" s="125">
        <v>19585.88</v>
      </c>
      <c r="I30" s="105"/>
      <c r="J30" s="105"/>
    </row>
    <row r="31" spans="2:22" x14ac:dyDescent="0.3">
      <c r="B31" s="126" t="s">
        <v>7</v>
      </c>
      <c r="C31" s="127">
        <v>2018</v>
      </c>
      <c r="D31" s="128">
        <v>15342.91</v>
      </c>
      <c r="E31" s="128">
        <v>429.6</v>
      </c>
      <c r="F31" s="128">
        <v>48.81</v>
      </c>
      <c r="G31" s="128">
        <v>3699.58</v>
      </c>
      <c r="H31" s="129">
        <v>19520.900000000001</v>
      </c>
      <c r="I31" s="105"/>
      <c r="J31" s="105"/>
    </row>
    <row r="32" spans="2:22" ht="13.5" thickBot="1" x14ac:dyDescent="0.35">
      <c r="B32" s="130"/>
      <c r="C32" s="131">
        <v>2019</v>
      </c>
      <c r="D32" s="132">
        <v>16876.400000000001</v>
      </c>
      <c r="E32" s="132">
        <v>473.9</v>
      </c>
      <c r="F32" s="132">
        <v>77.8</v>
      </c>
      <c r="G32" s="132">
        <v>4060.48</v>
      </c>
      <c r="H32" s="133">
        <v>21488.58</v>
      </c>
      <c r="I32" s="105"/>
      <c r="J32" s="105"/>
    </row>
    <row r="33" spans="2:10" x14ac:dyDescent="0.3">
      <c r="B33" s="113"/>
      <c r="C33" s="113"/>
      <c r="D33" s="113"/>
      <c r="E33" s="113"/>
      <c r="F33" s="113"/>
      <c r="G33" s="113"/>
      <c r="H33" s="113"/>
      <c r="I33" s="105"/>
      <c r="J33" s="105"/>
    </row>
    <row r="34" spans="2:10" x14ac:dyDescent="0.3">
      <c r="B34" s="113"/>
      <c r="C34" s="113"/>
      <c r="D34" s="113"/>
      <c r="E34" s="113"/>
      <c r="F34" s="113"/>
      <c r="G34" s="113"/>
      <c r="H34" s="113"/>
      <c r="I34" s="105"/>
      <c r="J34" s="105"/>
    </row>
    <row r="35" spans="2:10" ht="13.5" thickBot="1" x14ac:dyDescent="0.35">
      <c r="B35" s="113"/>
      <c r="C35" s="113"/>
      <c r="D35" s="113"/>
      <c r="E35" s="113"/>
      <c r="F35" s="113"/>
      <c r="G35" s="113"/>
      <c r="H35" s="113"/>
      <c r="I35" s="105"/>
      <c r="J35" s="105"/>
    </row>
    <row r="36" spans="2:10" ht="13" customHeight="1" x14ac:dyDescent="0.3">
      <c r="B36" s="134" t="s">
        <v>54</v>
      </c>
      <c r="C36" s="135"/>
      <c r="D36" s="135"/>
      <c r="E36" s="135"/>
      <c r="F36" s="135"/>
      <c r="G36" s="135"/>
      <c r="H36" s="136"/>
      <c r="I36" s="106"/>
      <c r="J36" s="106"/>
    </row>
    <row r="37" spans="2:10" ht="30.5" customHeight="1" x14ac:dyDescent="0.3">
      <c r="B37" s="117" t="s">
        <v>2</v>
      </c>
      <c r="C37" s="4" t="s">
        <v>3</v>
      </c>
      <c r="D37" s="103" t="s">
        <v>4</v>
      </c>
      <c r="E37" s="103" t="s">
        <v>5</v>
      </c>
      <c r="F37" s="103" t="s">
        <v>5</v>
      </c>
      <c r="G37" s="103" t="s">
        <v>55</v>
      </c>
      <c r="H37" s="118" t="s">
        <v>7</v>
      </c>
      <c r="I37" s="106"/>
      <c r="J37" s="105"/>
    </row>
    <row r="38" spans="2:10" x14ac:dyDescent="0.3">
      <c r="B38" s="119"/>
      <c r="C38" s="110"/>
      <c r="D38" s="120" t="s">
        <v>8</v>
      </c>
      <c r="E38" s="120" t="s">
        <v>56</v>
      </c>
      <c r="F38" s="120" t="s">
        <v>57</v>
      </c>
      <c r="G38" s="137" t="s">
        <v>58</v>
      </c>
      <c r="H38" s="121" t="s">
        <v>59</v>
      </c>
      <c r="I38" s="106"/>
      <c r="J38" s="105"/>
    </row>
    <row r="39" spans="2:10" x14ac:dyDescent="0.3">
      <c r="B39" s="122"/>
      <c r="C39" s="123">
        <v>2017</v>
      </c>
      <c r="D39" s="124">
        <v>15407.67</v>
      </c>
      <c r="E39" s="124">
        <v>432.14</v>
      </c>
      <c r="F39" s="124">
        <v>42.74</v>
      </c>
      <c r="G39" s="124">
        <v>3703.32</v>
      </c>
      <c r="H39" s="125">
        <v>19585.88</v>
      </c>
      <c r="I39" s="105"/>
      <c r="J39" s="107"/>
    </row>
    <row r="40" spans="2:10" x14ac:dyDescent="0.3">
      <c r="B40" s="126" t="s">
        <v>7</v>
      </c>
      <c r="C40" s="127">
        <v>2018</v>
      </c>
      <c r="D40" s="128">
        <v>12125.84</v>
      </c>
      <c r="E40" s="128">
        <v>326.74</v>
      </c>
      <c r="F40" s="128">
        <v>360.75</v>
      </c>
      <c r="G40" s="128">
        <v>2781.94</v>
      </c>
      <c r="H40" s="129">
        <v>15595.26</v>
      </c>
      <c r="I40" s="105"/>
      <c r="J40" s="107"/>
    </row>
    <row r="41" spans="2:10" ht="13.5" thickBot="1" x14ac:dyDescent="0.35">
      <c r="B41" s="130"/>
      <c r="C41" s="131">
        <v>2019</v>
      </c>
      <c r="D41" s="132">
        <v>12232.11</v>
      </c>
      <c r="E41" s="132">
        <v>414.54</v>
      </c>
      <c r="F41" s="132">
        <v>415.38</v>
      </c>
      <c r="G41" s="132">
        <v>2782.49</v>
      </c>
      <c r="H41" s="133">
        <v>15844.52</v>
      </c>
      <c r="I41" s="105"/>
      <c r="J41" s="107"/>
    </row>
    <row r="42" spans="2:10" x14ac:dyDescent="0.3">
      <c r="B42" s="113"/>
      <c r="C42" s="113"/>
      <c r="D42" s="113"/>
      <c r="E42" s="113"/>
      <c r="F42" s="113"/>
      <c r="G42" s="113"/>
      <c r="H42" s="113"/>
      <c r="I42" s="105"/>
      <c r="J42" s="105"/>
    </row>
    <row r="43" spans="2:10" x14ac:dyDescent="0.3">
      <c r="B43" s="113"/>
      <c r="C43" s="113"/>
      <c r="D43" s="113"/>
      <c r="E43" s="113"/>
      <c r="F43" s="113"/>
      <c r="G43" s="113"/>
      <c r="H43" s="113"/>
      <c r="I43" s="105"/>
      <c r="J43" s="105"/>
    </row>
    <row r="44" spans="2:10" ht="13.5" thickBot="1" x14ac:dyDescent="0.35">
      <c r="B44" s="113"/>
      <c r="C44" s="113"/>
      <c r="D44" s="113"/>
      <c r="E44" s="113"/>
      <c r="F44" s="113"/>
      <c r="G44" s="113"/>
      <c r="H44" s="113"/>
    </row>
    <row r="45" spans="2:10" x14ac:dyDescent="0.3">
      <c r="B45" s="138" t="s">
        <v>64</v>
      </c>
      <c r="C45" s="135"/>
      <c r="D45" s="135"/>
      <c r="E45" s="135"/>
      <c r="F45" s="135"/>
      <c r="G45" s="135"/>
      <c r="H45" s="136"/>
    </row>
    <row r="46" spans="2:10" x14ac:dyDescent="0.3">
      <c r="B46" s="122"/>
      <c r="C46" s="123">
        <v>2017</v>
      </c>
      <c r="D46" s="124">
        <f>+D39-D30</f>
        <v>0</v>
      </c>
      <c r="E46" s="124">
        <f t="shared" ref="E46:H46" si="3">+E39-E30</f>
        <v>0</v>
      </c>
      <c r="F46" s="124">
        <f t="shared" si="3"/>
        <v>0</v>
      </c>
      <c r="G46" s="124">
        <f t="shared" si="3"/>
        <v>0</v>
      </c>
      <c r="H46" s="125">
        <f t="shared" si="3"/>
        <v>0</v>
      </c>
    </row>
    <row r="47" spans="2:10" x14ac:dyDescent="0.3">
      <c r="B47" s="126" t="s">
        <v>7</v>
      </c>
      <c r="C47" s="127">
        <v>2018</v>
      </c>
      <c r="D47" s="128">
        <f t="shared" ref="D47:H48" si="4">+D40-D31</f>
        <v>-3217.0699999999997</v>
      </c>
      <c r="E47" s="128">
        <f t="shared" ref="E47:H47" si="5">+E40-E31</f>
        <v>-102.86000000000001</v>
      </c>
      <c r="F47" s="128">
        <f t="shared" si="5"/>
        <v>311.94</v>
      </c>
      <c r="G47" s="128">
        <f t="shared" si="5"/>
        <v>-917.63999999999987</v>
      </c>
      <c r="H47" s="129">
        <f t="shared" si="5"/>
        <v>-3925.6400000000012</v>
      </c>
    </row>
    <row r="48" spans="2:10" ht="13.5" thickBot="1" x14ac:dyDescent="0.35">
      <c r="B48" s="130"/>
      <c r="C48" s="131">
        <v>2019</v>
      </c>
      <c r="D48" s="132">
        <f t="shared" si="4"/>
        <v>-4644.2900000000009</v>
      </c>
      <c r="E48" s="132">
        <f t="shared" ref="E48:H48" si="6">+E41-E32</f>
        <v>-59.359999999999957</v>
      </c>
      <c r="F48" s="132">
        <f t="shared" si="6"/>
        <v>337.58</v>
      </c>
      <c r="G48" s="132">
        <f t="shared" si="6"/>
        <v>-1277.9900000000002</v>
      </c>
      <c r="H48" s="133">
        <f t="shared" si="6"/>
        <v>-5644.0600000000013</v>
      </c>
    </row>
    <row r="49" spans="2:8" x14ac:dyDescent="0.3">
      <c r="B49" s="113"/>
      <c r="C49" s="113"/>
      <c r="D49" s="113"/>
      <c r="E49" s="113"/>
      <c r="F49" s="113"/>
      <c r="G49" s="113"/>
      <c r="H49" s="113"/>
    </row>
    <row r="50" spans="2:8" x14ac:dyDescent="0.3">
      <c r="B50" s="113"/>
      <c r="C50" s="113"/>
      <c r="D50" s="113"/>
      <c r="E50" s="113"/>
      <c r="F50" s="113"/>
      <c r="G50" s="113"/>
      <c r="H50" s="113"/>
    </row>
    <row r="51" spans="2:8" ht="13.5" thickBot="1" x14ac:dyDescent="0.35">
      <c r="B51" s="113"/>
      <c r="C51" s="113"/>
      <c r="D51" s="113"/>
      <c r="E51" s="113"/>
      <c r="F51" s="113"/>
      <c r="G51" s="113"/>
      <c r="H51" s="113"/>
    </row>
    <row r="52" spans="2:8" x14ac:dyDescent="0.3">
      <c r="B52" s="138" t="s">
        <v>65</v>
      </c>
      <c r="C52" s="135"/>
      <c r="D52" s="135"/>
      <c r="E52" s="135"/>
      <c r="F52" s="135"/>
      <c r="G52" s="135"/>
      <c r="H52" s="136"/>
    </row>
    <row r="53" spans="2:8" x14ac:dyDescent="0.3">
      <c r="B53" s="122"/>
      <c r="C53" s="123">
        <v>2017</v>
      </c>
      <c r="D53" s="124"/>
      <c r="E53" s="124"/>
      <c r="F53" s="124"/>
      <c r="G53" s="124"/>
      <c r="H53" s="125"/>
    </row>
    <row r="54" spans="2:8" x14ac:dyDescent="0.3">
      <c r="B54" s="126" t="s">
        <v>7</v>
      </c>
      <c r="C54" s="127">
        <v>2018</v>
      </c>
      <c r="D54" s="128">
        <f>+D47/$H47</f>
        <v>0.81950204297897888</v>
      </c>
      <c r="E54" s="128">
        <f t="shared" ref="E54:H55" si="7">+E47/$H47</f>
        <v>2.6202096982912336E-2</v>
      </c>
      <c r="F54" s="128">
        <f t="shared" si="7"/>
        <v>-7.9462202341528995E-2</v>
      </c>
      <c r="G54" s="128">
        <f t="shared" si="7"/>
        <v>0.23375551502430167</v>
      </c>
      <c r="H54" s="129">
        <f t="shared" si="7"/>
        <v>1</v>
      </c>
    </row>
    <row r="55" spans="2:8" ht="13.5" thickBot="1" x14ac:dyDescent="0.35">
      <c r="B55" s="130"/>
      <c r="C55" s="131">
        <v>2019</v>
      </c>
      <c r="D55" s="132">
        <f>+D48/$H48</f>
        <v>0.82286332888027414</v>
      </c>
      <c r="E55" s="132">
        <f t="shared" si="7"/>
        <v>1.0517251765572999E-2</v>
      </c>
      <c r="F55" s="132">
        <f t="shared" si="7"/>
        <v>-5.9811554094038669E-2</v>
      </c>
      <c r="G55" s="132">
        <f t="shared" si="7"/>
        <v>0.22643097344819155</v>
      </c>
      <c r="H55" s="133">
        <f t="shared" si="7"/>
        <v>1</v>
      </c>
    </row>
    <row r="56" spans="2:8" x14ac:dyDescent="0.3">
      <c r="B56" s="113"/>
      <c r="C56" s="113"/>
      <c r="D56" s="113"/>
      <c r="E56" s="113"/>
      <c r="F56" s="113"/>
      <c r="G56" s="113"/>
      <c r="H56" s="113"/>
    </row>
    <row r="57" spans="2:8" x14ac:dyDescent="0.3">
      <c r="B57" s="113"/>
      <c r="C57" s="113"/>
      <c r="D57" s="113"/>
      <c r="E57" s="113"/>
      <c r="F57" s="113"/>
      <c r="G57" s="113"/>
      <c r="H57" s="113"/>
    </row>
    <row r="58" spans="2:8" ht="13.5" thickBot="1" x14ac:dyDescent="0.35">
      <c r="B58" s="113"/>
      <c r="C58" s="113"/>
      <c r="D58" s="113"/>
      <c r="E58" s="113"/>
      <c r="F58" s="113"/>
      <c r="G58" s="113"/>
      <c r="H58" s="113"/>
    </row>
    <row r="59" spans="2:8" x14ac:dyDescent="0.3">
      <c r="B59" s="134" t="s">
        <v>66</v>
      </c>
      <c r="C59" s="135"/>
      <c r="D59" s="135"/>
      <c r="E59" s="135"/>
      <c r="F59" s="135"/>
      <c r="G59" s="135"/>
      <c r="H59" s="136"/>
    </row>
    <row r="60" spans="2:8" x14ac:dyDescent="0.3">
      <c r="B60" s="122"/>
      <c r="C60" s="123">
        <v>2017</v>
      </c>
      <c r="D60" s="124"/>
      <c r="E60" s="124"/>
      <c r="F60" s="124"/>
      <c r="G60" s="124"/>
      <c r="H60" s="125"/>
    </row>
    <row r="61" spans="2:8" x14ac:dyDescent="0.3">
      <c r="B61" s="126" t="s">
        <v>7</v>
      </c>
      <c r="C61" s="127">
        <v>2018</v>
      </c>
      <c r="D61" s="128">
        <f>+D47/($H47-$G47)</f>
        <v>1.0695046542553186</v>
      </c>
      <c r="E61" s="128">
        <f t="shared" ref="E61:F61" si="8">+E47/($H47-$G47)</f>
        <v>3.4195478723404248E-2</v>
      </c>
      <c r="F61" s="128">
        <f t="shared" si="8"/>
        <v>-0.10370345744680846</v>
      </c>
      <c r="G61" s="128"/>
      <c r="H61" s="129">
        <f t="shared" ref="E61:H61" si="9">+H54/$H54</f>
        <v>1</v>
      </c>
    </row>
    <row r="62" spans="2:8" x14ac:dyDescent="0.3">
      <c r="B62" s="119"/>
      <c r="C62" s="111">
        <v>2019</v>
      </c>
      <c r="D62" s="112">
        <f>+D48/($H48-$G48)</f>
        <v>1.0637232110341792</v>
      </c>
      <c r="E62" s="112">
        <f t="shared" ref="E62:F62" si="10">+E48/($H48-$G48)</f>
        <v>1.3595750869775321E-2</v>
      </c>
      <c r="F62" s="112">
        <f t="shared" si="10"/>
        <v>-7.7318961903954778E-2</v>
      </c>
      <c r="G62" s="112"/>
      <c r="H62" s="139">
        <f t="shared" ref="E62:H62" si="11">+H55/$H55</f>
        <v>1</v>
      </c>
    </row>
    <row r="63" spans="2:8" ht="13.5" thickBot="1" x14ac:dyDescent="0.35">
      <c r="B63" s="140"/>
      <c r="C63" s="141"/>
      <c r="D63" s="142">
        <f>+AVERAGE(D61:D62)</f>
        <v>1.0666139326447488</v>
      </c>
      <c r="E63" s="142">
        <f t="shared" ref="E63:F63" si="12">+AVERAGE(E61:E62)</f>
        <v>2.3895614796589783E-2</v>
      </c>
      <c r="F63" s="142">
        <f t="shared" si="12"/>
        <v>-9.0511209675381621E-2</v>
      </c>
      <c r="G63" s="141"/>
      <c r="H63" s="14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workbookViewId="0">
      <selection activeCell="A2" sqref="A2:G2"/>
    </sheetView>
  </sheetViews>
  <sheetFormatPr defaultRowHeight="13" x14ac:dyDescent="0.3"/>
  <cols>
    <col min="1" max="1" width="19.59765625" customWidth="1"/>
    <col min="2" max="2" width="6.3984375" customWidth="1"/>
    <col min="3" max="3" width="28.19921875" customWidth="1"/>
    <col min="4" max="4" width="13.09765625" customWidth="1"/>
    <col min="5" max="5" width="11.59765625" customWidth="1"/>
    <col min="6" max="6" width="23.59765625" customWidth="1"/>
    <col min="7" max="7" width="14.69921875" customWidth="1"/>
    <col min="8" max="8" width="2.69921875" customWidth="1"/>
  </cols>
  <sheetData>
    <row r="1" spans="1:8" ht="108.25" customHeight="1" x14ac:dyDescent="0.3">
      <c r="A1" s="66" t="s">
        <v>0</v>
      </c>
      <c r="B1" s="66"/>
      <c r="C1" s="66"/>
      <c r="D1" s="66"/>
      <c r="E1" s="66"/>
      <c r="F1" s="66"/>
      <c r="G1" s="66"/>
      <c r="H1" s="66"/>
    </row>
    <row r="2" spans="1:8" ht="12.75" customHeight="1" x14ac:dyDescent="0.3">
      <c r="A2" s="67" t="s">
        <v>1</v>
      </c>
      <c r="B2" s="67"/>
      <c r="C2" s="67"/>
      <c r="D2" s="67"/>
      <c r="E2" s="67"/>
      <c r="F2" s="67"/>
      <c r="G2" s="67"/>
    </row>
    <row r="3" spans="1:8" ht="25.5" customHeight="1" x14ac:dyDescent="0.3">
      <c r="A3" s="1" t="s">
        <v>2</v>
      </c>
      <c r="B3" s="2" t="s">
        <v>3</v>
      </c>
      <c r="C3" s="3" t="s">
        <v>4</v>
      </c>
      <c r="D3" s="68" t="s">
        <v>5</v>
      </c>
      <c r="E3" s="68"/>
      <c r="F3" s="3" t="s">
        <v>6</v>
      </c>
      <c r="G3" s="4" t="s">
        <v>7</v>
      </c>
    </row>
    <row r="4" spans="1:8" ht="12.75" customHeight="1" x14ac:dyDescent="0.3">
      <c r="A4" s="5"/>
      <c r="B4" s="5"/>
      <c r="C4" s="6" t="s">
        <v>8</v>
      </c>
      <c r="D4" s="6" t="s">
        <v>9</v>
      </c>
      <c r="E4" s="6" t="s">
        <v>10</v>
      </c>
      <c r="F4" s="6" t="s">
        <v>11</v>
      </c>
      <c r="G4" s="7" t="s">
        <v>12</v>
      </c>
    </row>
    <row r="5" spans="1:8" ht="12.75" customHeight="1" x14ac:dyDescent="0.3">
      <c r="A5" s="8"/>
      <c r="B5" s="9">
        <v>2017</v>
      </c>
      <c r="C5" s="10">
        <v>3175.43</v>
      </c>
      <c r="D5" s="10">
        <v>96.03</v>
      </c>
      <c r="E5" s="10">
        <v>0</v>
      </c>
      <c r="F5" s="10">
        <v>735.38</v>
      </c>
      <c r="G5" s="10">
        <v>4006.84</v>
      </c>
    </row>
    <row r="6" spans="1:8" ht="12.75" customHeight="1" x14ac:dyDescent="0.3">
      <c r="A6" s="11" t="s">
        <v>13</v>
      </c>
      <c r="B6" s="12">
        <v>2018</v>
      </c>
      <c r="C6" s="13">
        <v>2828.13</v>
      </c>
      <c r="D6" s="13">
        <v>85.66</v>
      </c>
      <c r="E6" s="13">
        <v>0</v>
      </c>
      <c r="F6" s="13">
        <v>652.36</v>
      </c>
      <c r="G6" s="13">
        <v>3566.15</v>
      </c>
    </row>
    <row r="7" spans="1:8" ht="21.25" customHeight="1" x14ac:dyDescent="0.3">
      <c r="A7" s="14"/>
      <c r="B7" s="12">
        <v>2019</v>
      </c>
      <c r="C7" s="13">
        <v>2847.08</v>
      </c>
      <c r="D7" s="13">
        <v>86.4</v>
      </c>
      <c r="E7" s="13">
        <v>0</v>
      </c>
      <c r="F7" s="13">
        <v>657.16</v>
      </c>
      <c r="G7" s="13">
        <v>3590.64</v>
      </c>
    </row>
    <row r="8" spans="1:8" ht="12.75" customHeight="1" x14ac:dyDescent="0.3">
      <c r="A8" s="14"/>
      <c r="B8" s="15">
        <v>2017</v>
      </c>
      <c r="C8" s="10">
        <v>5819.36</v>
      </c>
      <c r="D8" s="10">
        <v>174.63</v>
      </c>
      <c r="E8" s="10">
        <v>0</v>
      </c>
      <c r="F8" s="10">
        <v>1471.84</v>
      </c>
      <c r="G8" s="10">
        <v>7465.83</v>
      </c>
    </row>
    <row r="9" spans="1:8" ht="12.75" customHeight="1" x14ac:dyDescent="0.3">
      <c r="A9" s="11" t="s">
        <v>14</v>
      </c>
      <c r="B9" s="12">
        <v>2018</v>
      </c>
      <c r="C9" s="13">
        <v>5648.48</v>
      </c>
      <c r="D9" s="13">
        <v>168.56</v>
      </c>
      <c r="E9" s="13">
        <v>0</v>
      </c>
      <c r="F9" s="13">
        <v>1426.19</v>
      </c>
      <c r="G9" s="13">
        <v>7243.23</v>
      </c>
    </row>
    <row r="10" spans="1:8" ht="21" customHeight="1" x14ac:dyDescent="0.3">
      <c r="A10" s="14"/>
      <c r="B10" s="12">
        <v>2019</v>
      </c>
      <c r="C10" s="13">
        <v>7091.09</v>
      </c>
      <c r="D10" s="13">
        <v>211.5</v>
      </c>
      <c r="E10" s="13">
        <v>0</v>
      </c>
      <c r="F10" s="13">
        <v>1786.68</v>
      </c>
      <c r="G10" s="13">
        <v>9089.27</v>
      </c>
    </row>
    <row r="11" spans="1:8" ht="12.75" customHeight="1" x14ac:dyDescent="0.3">
      <c r="A11" s="14"/>
      <c r="B11" s="15">
        <v>2017</v>
      </c>
      <c r="C11" s="10">
        <v>390.64</v>
      </c>
      <c r="D11" s="10">
        <v>10.25</v>
      </c>
      <c r="E11" s="10">
        <v>11.87</v>
      </c>
      <c r="F11" s="10">
        <v>88</v>
      </c>
      <c r="G11" s="10">
        <v>500.77</v>
      </c>
    </row>
    <row r="12" spans="1:8" ht="12.75" customHeight="1" x14ac:dyDescent="0.3">
      <c r="A12" s="11" t="s">
        <v>15</v>
      </c>
      <c r="B12" s="12">
        <v>2018</v>
      </c>
      <c r="C12" s="13">
        <v>538.85</v>
      </c>
      <c r="D12" s="13">
        <v>14.15</v>
      </c>
      <c r="E12" s="13">
        <v>16.579999999999998</v>
      </c>
      <c r="F12" s="13">
        <v>121.16</v>
      </c>
      <c r="G12" s="13">
        <v>690.74</v>
      </c>
    </row>
    <row r="13" spans="1:8" ht="21" customHeight="1" x14ac:dyDescent="0.3">
      <c r="A13" s="14"/>
      <c r="B13" s="12">
        <v>2019</v>
      </c>
      <c r="C13" s="13">
        <v>586.1</v>
      </c>
      <c r="D13" s="13">
        <v>15.16</v>
      </c>
      <c r="E13" s="13">
        <v>40.18</v>
      </c>
      <c r="F13" s="13">
        <v>126.49</v>
      </c>
      <c r="G13" s="13">
        <v>767.93</v>
      </c>
    </row>
    <row r="14" spans="1:8" ht="12.75" customHeight="1" x14ac:dyDescent="0.3">
      <c r="A14" s="14"/>
      <c r="B14" s="15">
        <v>2017</v>
      </c>
      <c r="C14" s="10">
        <v>1237.04</v>
      </c>
      <c r="D14" s="10">
        <v>29.29</v>
      </c>
      <c r="E14" s="10">
        <v>18.89</v>
      </c>
      <c r="F14" s="10">
        <v>310.60000000000002</v>
      </c>
      <c r="G14" s="10">
        <v>1595.83</v>
      </c>
    </row>
    <row r="15" spans="1:8" ht="12.75" customHeight="1" x14ac:dyDescent="0.3">
      <c r="A15" s="11" t="s">
        <v>16</v>
      </c>
      <c r="B15" s="12">
        <v>2018</v>
      </c>
      <c r="C15" s="13">
        <v>1207.05</v>
      </c>
      <c r="D15" s="13">
        <v>28.73</v>
      </c>
      <c r="E15" s="13">
        <v>20.25</v>
      </c>
      <c r="F15" s="13">
        <v>302.92</v>
      </c>
      <c r="G15" s="13">
        <v>1558.96</v>
      </c>
    </row>
    <row r="16" spans="1:8" ht="21" customHeight="1" x14ac:dyDescent="0.3">
      <c r="A16" s="14"/>
      <c r="B16" s="12">
        <v>2019</v>
      </c>
      <c r="C16" s="13">
        <v>1311.63</v>
      </c>
      <c r="D16" s="13">
        <v>31.27</v>
      </c>
      <c r="E16" s="13">
        <v>18.72</v>
      </c>
      <c r="F16" s="13">
        <v>328.81</v>
      </c>
      <c r="G16" s="13">
        <v>1690.42</v>
      </c>
    </row>
    <row r="17" spans="1:8" ht="12.75" customHeight="1" x14ac:dyDescent="0.3">
      <c r="A17" s="14"/>
      <c r="B17" s="15">
        <v>2017</v>
      </c>
      <c r="C17" s="10">
        <v>1937.36</v>
      </c>
      <c r="D17" s="10">
        <v>50.48</v>
      </c>
      <c r="E17" s="10">
        <v>0</v>
      </c>
      <c r="F17" s="10">
        <v>374.61</v>
      </c>
      <c r="G17" s="10">
        <v>2362.4499999999998</v>
      </c>
    </row>
    <row r="18" spans="1:8" ht="12.75" customHeight="1" x14ac:dyDescent="0.3">
      <c r="A18" s="11" t="s">
        <v>17</v>
      </c>
      <c r="B18" s="12">
        <v>2018</v>
      </c>
      <c r="C18" s="13">
        <v>1893.55</v>
      </c>
      <c r="D18" s="13">
        <v>50.7</v>
      </c>
      <c r="E18" s="13">
        <v>0</v>
      </c>
      <c r="F18" s="13">
        <v>378.58</v>
      </c>
      <c r="G18" s="13">
        <v>2322.84</v>
      </c>
    </row>
    <row r="19" spans="1:8" ht="21" customHeight="1" x14ac:dyDescent="0.3">
      <c r="A19" s="14"/>
      <c r="B19" s="12">
        <v>2019</v>
      </c>
      <c r="C19" s="13">
        <v>2121.38</v>
      </c>
      <c r="D19" s="13">
        <v>56.94</v>
      </c>
      <c r="E19" s="13">
        <v>0</v>
      </c>
      <c r="F19" s="13">
        <v>421.91</v>
      </c>
      <c r="G19" s="13">
        <v>2600.23</v>
      </c>
    </row>
    <row r="20" spans="1:8" ht="12.75" customHeight="1" x14ac:dyDescent="0.3">
      <c r="A20" s="14"/>
      <c r="B20" s="15">
        <v>2017</v>
      </c>
      <c r="C20" s="10">
        <v>1019.39</v>
      </c>
      <c r="D20" s="10">
        <v>23.09</v>
      </c>
      <c r="E20" s="10">
        <v>11.98</v>
      </c>
      <c r="F20" s="10">
        <v>269.19</v>
      </c>
      <c r="G20" s="10">
        <v>1323.65</v>
      </c>
    </row>
    <row r="21" spans="1:8" ht="12.75" customHeight="1" x14ac:dyDescent="0.3">
      <c r="A21" s="11" t="s">
        <v>18</v>
      </c>
      <c r="B21" s="12">
        <v>2018</v>
      </c>
      <c r="C21" s="13">
        <v>1017.83</v>
      </c>
      <c r="D21" s="13">
        <v>23.06</v>
      </c>
      <c r="E21" s="13">
        <v>11.98</v>
      </c>
      <c r="F21" s="13">
        <v>268.75</v>
      </c>
      <c r="G21" s="13">
        <v>1321.61</v>
      </c>
    </row>
    <row r="22" spans="1:8" ht="21" customHeight="1" x14ac:dyDescent="0.3">
      <c r="A22" s="14"/>
      <c r="B22" s="12">
        <v>2019</v>
      </c>
      <c r="C22" s="13">
        <v>1195.7</v>
      </c>
      <c r="D22" s="13">
        <v>26.83</v>
      </c>
      <c r="E22" s="13">
        <v>18.91</v>
      </c>
      <c r="F22" s="13">
        <v>314.06</v>
      </c>
      <c r="G22" s="13">
        <v>1555.5</v>
      </c>
    </row>
    <row r="23" spans="1:8" ht="12.75" customHeight="1" x14ac:dyDescent="0.3">
      <c r="A23" s="14"/>
      <c r="B23" s="15">
        <v>2017</v>
      </c>
      <c r="C23" s="10">
        <v>1828.45</v>
      </c>
      <c r="D23" s="10">
        <v>48.36</v>
      </c>
      <c r="E23" s="10">
        <v>0</v>
      </c>
      <c r="F23" s="10">
        <v>453.7</v>
      </c>
      <c r="G23" s="10">
        <v>2330.5100000000002</v>
      </c>
    </row>
    <row r="24" spans="1:8" ht="12.75" customHeight="1" x14ac:dyDescent="0.3">
      <c r="A24" s="11" t="s">
        <v>19</v>
      </c>
      <c r="B24" s="12">
        <v>2018</v>
      </c>
      <c r="C24" s="13">
        <v>2209.0300000000002</v>
      </c>
      <c r="D24" s="13">
        <v>58.73</v>
      </c>
      <c r="E24" s="13">
        <v>0</v>
      </c>
      <c r="F24" s="13">
        <v>549.6</v>
      </c>
      <c r="G24" s="13">
        <v>2817.37</v>
      </c>
    </row>
    <row r="25" spans="1:8" ht="21" customHeight="1" x14ac:dyDescent="0.3">
      <c r="A25" s="14"/>
      <c r="B25" s="12">
        <v>2019</v>
      </c>
      <c r="C25" s="13">
        <v>1723.43</v>
      </c>
      <c r="D25" s="13">
        <v>45.8</v>
      </c>
      <c r="E25" s="13">
        <v>0</v>
      </c>
      <c r="F25" s="13">
        <v>425.37</v>
      </c>
      <c r="G25" s="13">
        <v>2194.59</v>
      </c>
    </row>
    <row r="26" spans="1:8" ht="12.75" customHeight="1" x14ac:dyDescent="0.3">
      <c r="A26" s="14"/>
      <c r="B26" s="15">
        <v>2017</v>
      </c>
      <c r="C26" s="10">
        <v>15407.67</v>
      </c>
      <c r="D26" s="10">
        <v>432.14</v>
      </c>
      <c r="E26" s="10">
        <v>42.74</v>
      </c>
      <c r="F26" s="10">
        <v>3703.32</v>
      </c>
      <c r="G26" s="16">
        <v>19585.88</v>
      </c>
    </row>
    <row r="27" spans="1:8" ht="12.75" customHeight="1" x14ac:dyDescent="0.3">
      <c r="A27" s="17" t="s">
        <v>7</v>
      </c>
      <c r="B27" s="12">
        <v>2018</v>
      </c>
      <c r="C27" s="13">
        <v>15342.91</v>
      </c>
      <c r="D27" s="13">
        <v>429.6</v>
      </c>
      <c r="E27" s="13">
        <v>48.81</v>
      </c>
      <c r="F27" s="13">
        <v>3699.58</v>
      </c>
      <c r="G27" s="18">
        <v>19520.900000000001</v>
      </c>
    </row>
    <row r="28" spans="1:8" ht="12.75" customHeight="1" x14ac:dyDescent="0.3">
      <c r="A28" s="5"/>
      <c r="B28" s="19">
        <v>2019</v>
      </c>
      <c r="C28" s="20">
        <v>16876.400000000001</v>
      </c>
      <c r="D28" s="20">
        <v>473.9</v>
      </c>
      <c r="E28" s="20">
        <v>77.8</v>
      </c>
      <c r="F28" s="20">
        <v>4060.48</v>
      </c>
      <c r="G28" s="21">
        <v>21488.58</v>
      </c>
    </row>
    <row r="29" spans="1:8" ht="136.75" customHeight="1" x14ac:dyDescent="0.3">
      <c r="A29" s="66" t="s">
        <v>20</v>
      </c>
      <c r="B29" s="66"/>
      <c r="C29" s="66"/>
      <c r="D29" s="66"/>
      <c r="E29" s="66"/>
      <c r="F29" s="66"/>
      <c r="G29" s="66"/>
      <c r="H29" s="66"/>
    </row>
    <row r="30" spans="1:8" ht="190.75" customHeight="1" x14ac:dyDescent="0.3">
      <c r="A30" s="69" t="s">
        <v>21</v>
      </c>
      <c r="B30" s="69"/>
      <c r="C30" s="69"/>
      <c r="D30" s="69"/>
      <c r="E30" s="69"/>
      <c r="F30" s="69"/>
      <c r="G30" s="69"/>
      <c r="H30" s="69"/>
    </row>
  </sheetData>
  <mergeCells count="5">
    <mergeCell ref="A1:H1"/>
    <mergeCell ref="A2:G2"/>
    <mergeCell ref="D3:E3"/>
    <mergeCell ref="A29:H29"/>
    <mergeCell ref="A30:H30"/>
  </mergeCells>
  <hyperlinks>
    <hyperlink ref="A1" location="'Table 1'!A1" display="bookmark0" xr:uid="{00000000-0004-0000-0000-000000000000}"/>
    <hyperlink ref="A30" location="'Table 1'!A30" display="bookmark1" xr:uid="{00000000-0004-0000-0000-000001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6"/>
  <sheetViews>
    <sheetView workbookViewId="0">
      <selection sqref="A1:H1"/>
    </sheetView>
  </sheetViews>
  <sheetFormatPr defaultRowHeight="13" x14ac:dyDescent="0.3"/>
  <cols>
    <col min="1" max="1" width="10.19921875" customWidth="1"/>
    <col min="2" max="2" width="7.296875" customWidth="1"/>
    <col min="3" max="3" width="0.8984375" customWidth="1"/>
    <col min="4" max="4" width="12.3984375" customWidth="1"/>
    <col min="5" max="5" width="7.296875" customWidth="1"/>
    <col min="6" max="6" width="12.8984375" customWidth="1"/>
    <col min="7" max="7" width="15.59765625" customWidth="1"/>
    <col min="8" max="8" width="11.796875" customWidth="1"/>
    <col min="9" max="9" width="12.3984375" customWidth="1"/>
    <col min="10" max="10" width="10" customWidth="1"/>
    <col min="11" max="11" width="18.19921875" customWidth="1"/>
  </cols>
  <sheetData>
    <row r="1" spans="1:10" ht="24" customHeight="1" x14ac:dyDescent="0.3">
      <c r="A1" s="22" t="s">
        <v>22</v>
      </c>
      <c r="B1" s="23" t="s">
        <v>23</v>
      </c>
      <c r="C1" s="69" t="s">
        <v>24</v>
      </c>
      <c r="D1" s="69"/>
      <c r="E1" s="24" t="s">
        <v>25</v>
      </c>
      <c r="F1" s="24" t="s">
        <v>26</v>
      </c>
      <c r="G1" s="24" t="s">
        <v>27</v>
      </c>
      <c r="H1" s="24" t="s">
        <v>28</v>
      </c>
      <c r="I1" s="24" t="s">
        <v>29</v>
      </c>
      <c r="J1" s="6" t="s">
        <v>30</v>
      </c>
    </row>
    <row r="2" spans="1:10" ht="12" customHeight="1" x14ac:dyDescent="0.3">
      <c r="A2" s="25">
        <v>2017</v>
      </c>
      <c r="B2" s="26">
        <v>394</v>
      </c>
      <c r="C2" s="70">
        <v>114</v>
      </c>
      <c r="D2" s="70"/>
      <c r="E2" s="27">
        <v>32</v>
      </c>
      <c r="F2" s="27">
        <v>140</v>
      </c>
      <c r="G2" s="27">
        <v>39</v>
      </c>
      <c r="H2" s="27">
        <v>90</v>
      </c>
      <c r="I2" s="27">
        <v>73</v>
      </c>
      <c r="J2" s="27">
        <v>768</v>
      </c>
    </row>
    <row r="3" spans="1:10" ht="12" customHeight="1" x14ac:dyDescent="0.3">
      <c r="A3" s="28">
        <v>2018</v>
      </c>
      <c r="B3" s="28">
        <v>327</v>
      </c>
      <c r="C3" s="71">
        <v>50</v>
      </c>
      <c r="D3" s="71"/>
      <c r="E3" s="29">
        <v>19</v>
      </c>
      <c r="F3" s="29">
        <v>193</v>
      </c>
      <c r="G3" s="29">
        <v>34</v>
      </c>
      <c r="H3" s="29">
        <v>115</v>
      </c>
      <c r="I3" s="29">
        <v>63</v>
      </c>
      <c r="J3" s="29">
        <v>751</v>
      </c>
    </row>
    <row r="4" spans="1:10" ht="18.75" customHeight="1" x14ac:dyDescent="0.3">
      <c r="A4" s="28">
        <v>2019</v>
      </c>
      <c r="B4" s="28">
        <v>359</v>
      </c>
      <c r="C4" s="71">
        <v>190</v>
      </c>
      <c r="D4" s="71"/>
      <c r="E4" s="29">
        <v>17</v>
      </c>
      <c r="F4" s="29">
        <v>147</v>
      </c>
      <c r="G4" s="29">
        <v>50</v>
      </c>
      <c r="H4" s="29">
        <v>104</v>
      </c>
      <c r="I4" s="29">
        <v>81</v>
      </c>
      <c r="J4" s="29">
        <v>758</v>
      </c>
    </row>
    <row r="5" spans="1:10" ht="12" customHeight="1" x14ac:dyDescent="0.3">
      <c r="A5" s="26">
        <v>2017</v>
      </c>
      <c r="B5" s="26">
        <v>900</v>
      </c>
      <c r="C5" s="70">
        <v>440</v>
      </c>
      <c r="D5" s="70"/>
      <c r="E5" s="27">
        <v>43</v>
      </c>
      <c r="F5" s="27">
        <v>549</v>
      </c>
      <c r="G5" s="27">
        <v>98</v>
      </c>
      <c r="H5" s="27">
        <v>256</v>
      </c>
      <c r="I5" s="27">
        <v>193</v>
      </c>
      <c r="J5" s="27">
        <v>2039</v>
      </c>
    </row>
    <row r="6" spans="1:10" ht="12" customHeight="1" x14ac:dyDescent="0.3">
      <c r="A6" s="28">
        <v>2018</v>
      </c>
      <c r="B6" s="28">
        <v>929</v>
      </c>
      <c r="C6" s="71">
        <v>463</v>
      </c>
      <c r="D6" s="71"/>
      <c r="E6" s="29">
        <v>40</v>
      </c>
      <c r="F6" s="29">
        <v>415</v>
      </c>
      <c r="G6" s="29">
        <v>101</v>
      </c>
      <c r="H6" s="29">
        <v>228</v>
      </c>
      <c r="I6" s="29">
        <v>233</v>
      </c>
      <c r="J6" s="29">
        <v>1946</v>
      </c>
    </row>
    <row r="7" spans="1:10" ht="18.75" customHeight="1" x14ac:dyDescent="0.3">
      <c r="A7" s="28">
        <v>2019</v>
      </c>
      <c r="B7" s="28">
        <v>1312</v>
      </c>
      <c r="C7" s="71">
        <v>472</v>
      </c>
      <c r="D7" s="71"/>
      <c r="E7" s="29">
        <v>39</v>
      </c>
      <c r="F7" s="29">
        <v>346</v>
      </c>
      <c r="G7" s="29">
        <v>114</v>
      </c>
      <c r="H7" s="29">
        <v>258</v>
      </c>
      <c r="I7" s="29">
        <v>197</v>
      </c>
      <c r="J7" s="29">
        <v>2266</v>
      </c>
    </row>
    <row r="8" spans="1:10" ht="12" customHeight="1" x14ac:dyDescent="0.3">
      <c r="A8" s="26">
        <v>2017</v>
      </c>
      <c r="B8" s="30">
        <v>97</v>
      </c>
      <c r="C8" s="70">
        <v>45</v>
      </c>
      <c r="D8" s="70"/>
      <c r="E8" s="27">
        <v>7</v>
      </c>
      <c r="F8" s="27">
        <v>47</v>
      </c>
      <c r="G8" s="27">
        <v>21</v>
      </c>
      <c r="H8" s="27">
        <v>30</v>
      </c>
      <c r="I8" s="27">
        <v>22</v>
      </c>
      <c r="J8" s="27">
        <v>224</v>
      </c>
    </row>
    <row r="9" spans="1:10" ht="12" customHeight="1" x14ac:dyDescent="0.3">
      <c r="A9" s="28">
        <v>2018</v>
      </c>
      <c r="B9" s="28">
        <v>127</v>
      </c>
      <c r="C9" s="71">
        <v>76</v>
      </c>
      <c r="D9" s="71"/>
      <c r="E9" s="29">
        <v>8</v>
      </c>
      <c r="F9" s="29">
        <v>63</v>
      </c>
      <c r="G9" s="29">
        <v>43</v>
      </c>
      <c r="H9" s="29">
        <v>43</v>
      </c>
      <c r="I9" s="29">
        <v>39</v>
      </c>
      <c r="J9" s="29">
        <v>323</v>
      </c>
    </row>
    <row r="10" spans="1:10" ht="18.75" customHeight="1" x14ac:dyDescent="0.3">
      <c r="A10" s="28">
        <v>2019</v>
      </c>
      <c r="B10" s="28">
        <v>176</v>
      </c>
      <c r="C10" s="71">
        <v>44</v>
      </c>
      <c r="D10" s="71"/>
      <c r="E10" s="29">
        <v>11</v>
      </c>
      <c r="F10" s="29">
        <v>46</v>
      </c>
      <c r="G10" s="29">
        <v>23</v>
      </c>
      <c r="H10" s="29">
        <v>45</v>
      </c>
      <c r="I10" s="29">
        <v>32</v>
      </c>
      <c r="J10" s="29">
        <v>333</v>
      </c>
    </row>
    <row r="11" spans="1:10" ht="12" customHeight="1" x14ac:dyDescent="0.3">
      <c r="A11" s="26">
        <v>2017</v>
      </c>
      <c r="B11" s="26">
        <v>217</v>
      </c>
      <c r="C11" s="70">
        <v>129</v>
      </c>
      <c r="D11" s="70"/>
      <c r="E11" s="27">
        <v>40</v>
      </c>
      <c r="F11" s="27">
        <v>90</v>
      </c>
      <c r="G11" s="27">
        <v>43</v>
      </c>
      <c r="H11" s="27">
        <v>56</v>
      </c>
      <c r="I11" s="27">
        <v>46</v>
      </c>
      <c r="J11" s="27">
        <v>492</v>
      </c>
    </row>
    <row r="12" spans="1:10" ht="12" customHeight="1" x14ac:dyDescent="0.3">
      <c r="A12" s="28">
        <v>2018</v>
      </c>
      <c r="B12" s="28">
        <v>201</v>
      </c>
      <c r="C12" s="71">
        <v>143</v>
      </c>
      <c r="D12" s="71"/>
      <c r="E12" s="29">
        <v>47</v>
      </c>
      <c r="F12" s="29">
        <v>92</v>
      </c>
      <c r="G12" s="29">
        <v>50</v>
      </c>
      <c r="H12" s="29">
        <v>64</v>
      </c>
      <c r="I12" s="29">
        <v>53</v>
      </c>
      <c r="J12" s="29">
        <v>507</v>
      </c>
    </row>
    <row r="13" spans="1:10" ht="18.75" customHeight="1" x14ac:dyDescent="0.3">
      <c r="A13" s="28">
        <v>2019</v>
      </c>
      <c r="B13" s="28">
        <v>237</v>
      </c>
      <c r="C13" s="71">
        <v>159</v>
      </c>
      <c r="D13" s="71"/>
      <c r="E13" s="29">
        <v>43</v>
      </c>
      <c r="F13" s="29">
        <v>96</v>
      </c>
      <c r="G13" s="29">
        <v>48</v>
      </c>
      <c r="H13" s="29">
        <v>62</v>
      </c>
      <c r="I13" s="29">
        <v>52</v>
      </c>
      <c r="J13" s="29">
        <v>538</v>
      </c>
    </row>
    <row r="14" spans="1:10" ht="12" customHeight="1" x14ac:dyDescent="0.3">
      <c r="A14" s="26">
        <v>2017</v>
      </c>
      <c r="B14" s="26">
        <v>304</v>
      </c>
      <c r="C14" s="70">
        <v>160</v>
      </c>
      <c r="D14" s="70"/>
      <c r="E14" s="27">
        <v>32</v>
      </c>
      <c r="F14" s="27">
        <v>138</v>
      </c>
      <c r="G14" s="27">
        <v>76</v>
      </c>
      <c r="H14" s="27">
        <v>96</v>
      </c>
      <c r="I14" s="27">
        <v>56</v>
      </c>
      <c r="J14" s="27">
        <v>702</v>
      </c>
    </row>
    <row r="15" spans="1:10" ht="12" customHeight="1" x14ac:dyDescent="0.3">
      <c r="A15" s="28">
        <v>2018</v>
      </c>
      <c r="B15" s="28">
        <v>244</v>
      </c>
      <c r="C15" s="71">
        <v>161</v>
      </c>
      <c r="D15" s="71"/>
      <c r="E15" s="29">
        <v>40</v>
      </c>
      <c r="F15" s="29">
        <v>119</v>
      </c>
      <c r="G15" s="29">
        <v>78</v>
      </c>
      <c r="H15" s="29">
        <v>87</v>
      </c>
      <c r="I15" s="29">
        <v>78</v>
      </c>
      <c r="J15" s="29">
        <v>646</v>
      </c>
    </row>
    <row r="16" spans="1:10" ht="18.75" customHeight="1" x14ac:dyDescent="0.3">
      <c r="A16" s="28">
        <v>2019</v>
      </c>
      <c r="B16" s="28">
        <v>319</v>
      </c>
      <c r="C16" s="71">
        <v>239</v>
      </c>
      <c r="D16" s="71"/>
      <c r="E16" s="29">
        <v>30</v>
      </c>
      <c r="F16" s="29">
        <v>88</v>
      </c>
      <c r="G16" s="29">
        <v>80</v>
      </c>
      <c r="H16" s="29">
        <v>118</v>
      </c>
      <c r="I16" s="29">
        <v>109</v>
      </c>
      <c r="J16" s="29">
        <v>744</v>
      </c>
    </row>
    <row r="17" spans="1:11" ht="12" customHeight="1" x14ac:dyDescent="0.3">
      <c r="A17" s="26">
        <v>2017</v>
      </c>
      <c r="B17" s="26">
        <v>256</v>
      </c>
      <c r="C17" s="70">
        <v>165</v>
      </c>
      <c r="D17" s="70"/>
      <c r="E17" s="27">
        <v>45</v>
      </c>
      <c r="F17" s="27">
        <v>92</v>
      </c>
      <c r="G17" s="27">
        <v>59</v>
      </c>
      <c r="H17" s="27">
        <v>73</v>
      </c>
      <c r="I17" s="27">
        <v>64</v>
      </c>
      <c r="J17" s="27">
        <v>589</v>
      </c>
    </row>
    <row r="18" spans="1:11" ht="12" customHeight="1" x14ac:dyDescent="0.3">
      <c r="A18" s="28">
        <v>2018</v>
      </c>
      <c r="B18" s="28">
        <v>255</v>
      </c>
      <c r="C18" s="71">
        <v>165</v>
      </c>
      <c r="D18" s="71"/>
      <c r="E18" s="29">
        <v>45</v>
      </c>
      <c r="F18" s="29">
        <v>94</v>
      </c>
      <c r="G18" s="29">
        <v>59</v>
      </c>
      <c r="H18" s="29">
        <v>71</v>
      </c>
      <c r="I18" s="29">
        <v>59</v>
      </c>
      <c r="J18" s="29">
        <v>583</v>
      </c>
    </row>
    <row r="19" spans="1:11" ht="18.75" customHeight="1" x14ac:dyDescent="0.3">
      <c r="A19" s="28">
        <v>2019</v>
      </c>
      <c r="B19" s="28">
        <v>346</v>
      </c>
      <c r="C19" s="71">
        <v>197</v>
      </c>
      <c r="D19" s="71"/>
      <c r="E19" s="29">
        <v>24</v>
      </c>
      <c r="F19" s="29">
        <v>132</v>
      </c>
      <c r="G19" s="29">
        <v>50</v>
      </c>
      <c r="H19" s="29">
        <v>75</v>
      </c>
      <c r="I19" s="29">
        <v>62</v>
      </c>
      <c r="J19" s="29">
        <v>689</v>
      </c>
    </row>
    <row r="20" spans="1:11" ht="12" customHeight="1" x14ac:dyDescent="0.3">
      <c r="A20" s="26">
        <v>2017</v>
      </c>
      <c r="B20" s="26">
        <v>241</v>
      </c>
      <c r="C20" s="70">
        <v>121</v>
      </c>
      <c r="D20" s="70"/>
      <c r="E20" s="27">
        <v>12</v>
      </c>
      <c r="F20" s="27">
        <v>98</v>
      </c>
      <c r="G20" s="27">
        <v>100</v>
      </c>
      <c r="H20" s="27">
        <v>76</v>
      </c>
      <c r="I20" s="27">
        <v>73</v>
      </c>
      <c r="J20" s="27">
        <v>600</v>
      </c>
    </row>
    <row r="21" spans="1:11" ht="16.25" customHeight="1" x14ac:dyDescent="0.3">
      <c r="A21" s="28">
        <v>2018</v>
      </c>
      <c r="B21" s="28">
        <v>353</v>
      </c>
      <c r="C21" s="71">
        <v>121</v>
      </c>
      <c r="D21" s="71"/>
      <c r="E21" s="29">
        <v>27</v>
      </c>
      <c r="F21" s="29">
        <v>113</v>
      </c>
      <c r="G21" s="29">
        <v>40</v>
      </c>
      <c r="H21" s="29">
        <v>77</v>
      </c>
      <c r="I21" s="29">
        <v>44</v>
      </c>
      <c r="J21" s="29">
        <v>654</v>
      </c>
    </row>
    <row r="22" spans="1:11" ht="21" customHeight="1" x14ac:dyDescent="0.3">
      <c r="A22" s="28">
        <v>2019</v>
      </c>
      <c r="B22" s="28">
        <v>264</v>
      </c>
      <c r="C22" s="71">
        <v>120</v>
      </c>
      <c r="D22" s="71"/>
      <c r="E22" s="29">
        <v>13</v>
      </c>
      <c r="F22" s="29">
        <v>82</v>
      </c>
      <c r="G22" s="29">
        <v>62</v>
      </c>
      <c r="H22" s="29">
        <v>64</v>
      </c>
      <c r="I22" s="29">
        <v>57</v>
      </c>
      <c r="J22" s="29">
        <v>542</v>
      </c>
    </row>
    <row r="23" spans="1:11" ht="12" customHeight="1" x14ac:dyDescent="0.3">
      <c r="A23" s="26">
        <v>2017</v>
      </c>
      <c r="B23" s="26">
        <v>2409</v>
      </c>
      <c r="C23" s="72">
        <v>1174</v>
      </c>
      <c r="D23" s="72"/>
      <c r="E23" s="27">
        <v>211</v>
      </c>
      <c r="F23" s="27">
        <v>1154</v>
      </c>
      <c r="G23" s="27">
        <v>436</v>
      </c>
      <c r="H23" s="27">
        <v>677</v>
      </c>
      <c r="I23" s="27">
        <v>527</v>
      </c>
      <c r="J23" s="31">
        <v>5414</v>
      </c>
    </row>
    <row r="24" spans="1:11" ht="12" customHeight="1" x14ac:dyDescent="0.3">
      <c r="A24" s="28">
        <v>2018</v>
      </c>
      <c r="B24" s="28">
        <v>2436</v>
      </c>
      <c r="C24" s="73">
        <v>1179</v>
      </c>
      <c r="D24" s="73"/>
      <c r="E24" s="29">
        <v>226</v>
      </c>
      <c r="F24" s="29">
        <v>1089</v>
      </c>
      <c r="G24" s="29">
        <v>405</v>
      </c>
      <c r="H24" s="29">
        <v>685</v>
      </c>
      <c r="I24" s="29">
        <v>569</v>
      </c>
      <c r="J24" s="32">
        <v>5410</v>
      </c>
    </row>
    <row r="25" spans="1:11" ht="12" customHeight="1" x14ac:dyDescent="0.3">
      <c r="A25" s="28">
        <v>2019</v>
      </c>
      <c r="B25" s="28">
        <v>3013</v>
      </c>
      <c r="C25" s="73">
        <v>1421</v>
      </c>
      <c r="D25" s="73"/>
      <c r="E25" s="29">
        <v>177</v>
      </c>
      <c r="F25" s="29">
        <v>937</v>
      </c>
      <c r="G25" s="29">
        <v>427</v>
      </c>
      <c r="H25" s="29">
        <v>726</v>
      </c>
      <c r="I25" s="29">
        <v>590</v>
      </c>
      <c r="J25" s="32">
        <v>5870</v>
      </c>
    </row>
    <row r="26" spans="1:11" ht="14" customHeight="1" x14ac:dyDescent="0.3">
      <c r="A26" s="74" t="s">
        <v>31</v>
      </c>
      <c r="B26" s="74"/>
      <c r="C26" s="74"/>
      <c r="D26" s="75" t="s">
        <v>32</v>
      </c>
      <c r="E26" s="75"/>
      <c r="F26" s="75"/>
      <c r="G26" s="75"/>
      <c r="H26" s="75"/>
      <c r="I26" s="75"/>
      <c r="J26" s="75"/>
      <c r="K26" s="75"/>
    </row>
    <row r="27" spans="1:11" ht="12" customHeight="1" x14ac:dyDescent="0.3">
      <c r="A27" s="76" t="s">
        <v>33</v>
      </c>
      <c r="B27" s="76"/>
      <c r="C27" s="76"/>
      <c r="D27" s="76"/>
      <c r="E27" s="76"/>
      <c r="F27" s="76"/>
      <c r="G27" s="76"/>
      <c r="H27" s="76"/>
      <c r="I27" s="76"/>
      <c r="J27" s="76"/>
      <c r="K27" s="76"/>
    </row>
    <row r="28" spans="1:11" ht="12" customHeight="1" x14ac:dyDescent="0.3">
      <c r="A28" s="76" t="s">
        <v>34</v>
      </c>
      <c r="B28" s="76"/>
      <c r="C28" s="76"/>
      <c r="D28" s="76"/>
      <c r="E28" s="76"/>
      <c r="F28" s="76"/>
      <c r="G28" s="76"/>
      <c r="H28" s="76"/>
      <c r="I28" s="76"/>
      <c r="J28" s="76"/>
      <c r="K28" s="76"/>
    </row>
    <row r="29" spans="1:11" ht="12" customHeight="1" x14ac:dyDescent="0.3">
      <c r="A29" s="76" t="s">
        <v>35</v>
      </c>
      <c r="B29" s="76"/>
      <c r="C29" s="76"/>
      <c r="D29" s="76"/>
      <c r="E29" s="76"/>
      <c r="F29" s="76"/>
      <c r="G29" s="76"/>
      <c r="H29" s="76"/>
      <c r="I29" s="76"/>
      <c r="J29" s="76"/>
      <c r="K29" s="76"/>
    </row>
    <row r="30" spans="1:11" ht="12" customHeight="1" x14ac:dyDescent="0.3">
      <c r="A30" s="76" t="s">
        <v>36</v>
      </c>
      <c r="B30" s="76"/>
      <c r="C30" s="76"/>
      <c r="D30" s="76"/>
      <c r="E30" s="76"/>
      <c r="F30" s="76"/>
      <c r="G30" s="76"/>
      <c r="H30" s="76"/>
      <c r="I30" s="76"/>
      <c r="J30" s="76"/>
      <c r="K30" s="76"/>
    </row>
    <row r="31" spans="1:11" ht="12" customHeight="1" x14ac:dyDescent="0.3">
      <c r="A31" s="76" t="s">
        <v>37</v>
      </c>
      <c r="B31" s="76"/>
      <c r="C31" s="76"/>
      <c r="D31" s="76"/>
      <c r="E31" s="76"/>
      <c r="F31" s="76"/>
      <c r="G31" s="76"/>
      <c r="H31" s="76"/>
      <c r="I31" s="76"/>
      <c r="J31" s="76"/>
      <c r="K31" s="76"/>
    </row>
    <row r="32" spans="1:11" ht="12" customHeight="1" x14ac:dyDescent="0.3">
      <c r="A32" s="76" t="s">
        <v>38</v>
      </c>
      <c r="B32" s="76"/>
      <c r="C32" s="76"/>
      <c r="D32" s="76"/>
      <c r="E32" s="76"/>
      <c r="F32" s="76"/>
      <c r="G32" s="76"/>
      <c r="H32" s="76"/>
      <c r="I32" s="76"/>
      <c r="J32" s="76"/>
      <c r="K32" s="76"/>
    </row>
    <row r="33" spans="1:11" ht="20.75" customHeight="1" x14ac:dyDescent="0.3">
      <c r="A33" s="76" t="s">
        <v>39</v>
      </c>
      <c r="B33" s="76"/>
      <c r="C33" s="76"/>
      <c r="D33" s="76"/>
      <c r="E33" s="76"/>
      <c r="F33" s="76"/>
      <c r="G33" s="76"/>
      <c r="H33" s="76"/>
      <c r="I33" s="76"/>
      <c r="J33" s="76"/>
      <c r="K33" s="76"/>
    </row>
    <row r="34" spans="1:11" ht="142.25" customHeight="1" x14ac:dyDescent="0.3">
      <c r="A34" s="66" t="s">
        <v>40</v>
      </c>
      <c r="B34" s="66"/>
      <c r="C34" s="66"/>
      <c r="D34" s="66"/>
      <c r="E34" s="66"/>
      <c r="F34" s="66"/>
      <c r="G34" s="66"/>
      <c r="H34" s="66"/>
      <c r="I34" s="66"/>
      <c r="J34" s="66"/>
      <c r="K34" s="66"/>
    </row>
    <row r="35" spans="1:11" ht="1" customHeight="1" x14ac:dyDescent="0.3"/>
    <row r="36" spans="1:11" ht="15.75" customHeight="1" x14ac:dyDescent="0.3">
      <c r="A36" s="66" t="s">
        <v>41</v>
      </c>
      <c r="B36" s="66"/>
      <c r="C36" s="66"/>
      <c r="D36" s="66"/>
      <c r="E36" s="66"/>
      <c r="F36" s="66"/>
      <c r="G36" s="66"/>
      <c r="H36" s="66"/>
      <c r="I36" s="66"/>
      <c r="J36" s="66"/>
      <c r="K36" s="66"/>
    </row>
  </sheetData>
  <mergeCells count="36">
    <mergeCell ref="A36:K36"/>
    <mergeCell ref="A30:K30"/>
    <mergeCell ref="A31:K31"/>
    <mergeCell ref="A32:K32"/>
    <mergeCell ref="A33:K33"/>
    <mergeCell ref="A34:K34"/>
    <mergeCell ref="A26:C26"/>
    <mergeCell ref="D26:K26"/>
    <mergeCell ref="A27:K27"/>
    <mergeCell ref="A28:K28"/>
    <mergeCell ref="A29:K29"/>
    <mergeCell ref="C21:D21"/>
    <mergeCell ref="C22:D22"/>
    <mergeCell ref="C23:D23"/>
    <mergeCell ref="C24:D24"/>
    <mergeCell ref="C25:D25"/>
    <mergeCell ref="C16:D16"/>
    <mergeCell ref="C17:D17"/>
    <mergeCell ref="C18:D18"/>
    <mergeCell ref="C19:D19"/>
    <mergeCell ref="C20:D20"/>
    <mergeCell ref="C11:D11"/>
    <mergeCell ref="C12:D12"/>
    <mergeCell ref="C13:D13"/>
    <mergeCell ref="C14:D14"/>
    <mergeCell ref="C15:D15"/>
    <mergeCell ref="C6:D6"/>
    <mergeCell ref="C7:D7"/>
    <mergeCell ref="C8:D8"/>
    <mergeCell ref="C9:D9"/>
    <mergeCell ref="C10:D10"/>
    <mergeCell ref="C1:D1"/>
    <mergeCell ref="C2:D2"/>
    <mergeCell ref="C3:D3"/>
    <mergeCell ref="C4:D4"/>
    <mergeCell ref="C5:D5"/>
  </mergeCells>
  <hyperlinks>
    <hyperlink ref="A36" location="'Table 2'!A36" display="bookmark2" xr:uid="{00000000-0004-0000-01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6"/>
  <sheetViews>
    <sheetView workbookViewId="0">
      <selection sqref="A1:H1"/>
    </sheetView>
  </sheetViews>
  <sheetFormatPr defaultRowHeight="13" x14ac:dyDescent="0.3"/>
  <cols>
    <col min="1" max="1" width="34.3984375" customWidth="1"/>
    <col min="2" max="2" width="1.09765625" customWidth="1"/>
    <col min="3" max="3" width="18.69921875" customWidth="1"/>
    <col min="4" max="4" width="28.8984375" customWidth="1"/>
    <col min="5" max="5" width="34.19921875" customWidth="1"/>
    <col min="6" max="6" width="2.69921875" customWidth="1"/>
  </cols>
  <sheetData>
    <row r="1" spans="1:6" ht="14.25" customHeight="1" x14ac:dyDescent="0.3">
      <c r="A1" s="77" t="s">
        <v>42</v>
      </c>
      <c r="B1" s="77"/>
      <c r="C1" s="77"/>
      <c r="D1" s="77"/>
      <c r="E1" s="77"/>
      <c r="F1" s="77"/>
    </row>
    <row r="2" spans="1:6" ht="12.75" customHeight="1" x14ac:dyDescent="0.3">
      <c r="A2" s="78" t="s">
        <v>43</v>
      </c>
      <c r="B2" s="78"/>
      <c r="C2" s="78"/>
      <c r="D2" s="78"/>
      <c r="E2" s="78"/>
    </row>
    <row r="3" spans="1:6" ht="12.75" customHeight="1" x14ac:dyDescent="0.3">
      <c r="A3" s="79" t="s">
        <v>2</v>
      </c>
      <c r="B3" s="81" t="s">
        <v>3</v>
      </c>
      <c r="C3" s="81"/>
      <c r="D3" s="33" t="s">
        <v>44</v>
      </c>
      <c r="E3" s="33" t="s">
        <v>45</v>
      </c>
    </row>
    <row r="4" spans="1:6" ht="12.75" customHeight="1" x14ac:dyDescent="0.3">
      <c r="A4" s="80"/>
      <c r="B4" s="82"/>
      <c r="C4" s="82"/>
      <c r="D4" s="7" t="s">
        <v>46</v>
      </c>
      <c r="E4" s="7" t="s">
        <v>47</v>
      </c>
    </row>
    <row r="5" spans="1:6" ht="12.75" customHeight="1" x14ac:dyDescent="0.3">
      <c r="A5" s="8"/>
      <c r="B5" s="83">
        <v>2017</v>
      </c>
      <c r="C5" s="83"/>
      <c r="D5" s="10">
        <v>190681.35</v>
      </c>
      <c r="E5" s="10">
        <v>23135.91</v>
      </c>
    </row>
    <row r="6" spans="1:6" ht="12.75" customHeight="1" x14ac:dyDescent="0.3">
      <c r="A6" s="11" t="s">
        <v>13</v>
      </c>
      <c r="B6" s="84">
        <v>2018</v>
      </c>
      <c r="C6" s="84"/>
      <c r="D6" s="13">
        <v>165100.93</v>
      </c>
      <c r="E6" s="13">
        <v>19470.669999999998</v>
      </c>
    </row>
    <row r="7" spans="1:6" ht="21" customHeight="1" x14ac:dyDescent="0.3">
      <c r="A7" s="36"/>
      <c r="B7" s="84">
        <v>2019</v>
      </c>
      <c r="C7" s="84"/>
      <c r="D7" s="13">
        <v>185982.35</v>
      </c>
      <c r="E7" s="13">
        <v>22588.98</v>
      </c>
    </row>
    <row r="8" spans="1:6" ht="12.75" customHeight="1" x14ac:dyDescent="0.3">
      <c r="A8" s="14"/>
      <c r="B8" s="85">
        <v>2017</v>
      </c>
      <c r="C8" s="85"/>
      <c r="D8" s="10">
        <v>955933.19</v>
      </c>
      <c r="E8" s="10">
        <v>82737.77</v>
      </c>
    </row>
    <row r="9" spans="1:6" ht="12.75" customHeight="1" x14ac:dyDescent="0.3">
      <c r="A9" s="11" t="s">
        <v>14</v>
      </c>
      <c r="B9" s="84">
        <v>2018</v>
      </c>
      <c r="C9" s="84"/>
      <c r="D9" s="13">
        <v>1027616.09</v>
      </c>
      <c r="E9" s="13">
        <v>80392.759999999995</v>
      </c>
    </row>
    <row r="10" spans="1:6" ht="21" customHeight="1" x14ac:dyDescent="0.3">
      <c r="A10" s="36"/>
      <c r="B10" s="84">
        <v>2019</v>
      </c>
      <c r="C10" s="84"/>
      <c r="D10" s="13">
        <v>1353374.7</v>
      </c>
      <c r="E10" s="13">
        <v>108000.36</v>
      </c>
    </row>
    <row r="11" spans="1:6" ht="12.75" customHeight="1" x14ac:dyDescent="0.3">
      <c r="A11" s="14"/>
      <c r="B11" s="85">
        <v>2017</v>
      </c>
      <c r="C11" s="85"/>
      <c r="D11" s="10">
        <v>43161.94</v>
      </c>
      <c r="E11" s="10">
        <v>3409.68</v>
      </c>
    </row>
    <row r="12" spans="1:6" ht="12.75" customHeight="1" x14ac:dyDescent="0.3">
      <c r="A12" s="11" t="s">
        <v>15</v>
      </c>
      <c r="B12" s="84">
        <v>2018</v>
      </c>
      <c r="C12" s="84"/>
      <c r="D12" s="13">
        <v>57222.26</v>
      </c>
      <c r="E12" s="13">
        <v>4228.41</v>
      </c>
    </row>
    <row r="13" spans="1:6" ht="21" customHeight="1" x14ac:dyDescent="0.3">
      <c r="A13" s="36"/>
      <c r="B13" s="84">
        <v>2019</v>
      </c>
      <c r="C13" s="84"/>
      <c r="D13" s="13">
        <v>76209.820000000007</v>
      </c>
      <c r="E13" s="13">
        <v>6394.67</v>
      </c>
    </row>
    <row r="14" spans="1:6" ht="12.75" customHeight="1" x14ac:dyDescent="0.3">
      <c r="A14" s="14"/>
      <c r="B14" s="85">
        <v>2017</v>
      </c>
      <c r="C14" s="85"/>
      <c r="D14" s="10">
        <v>391630.8</v>
      </c>
      <c r="E14" s="10">
        <v>18132.36</v>
      </c>
    </row>
    <row r="15" spans="1:6" ht="12.75" customHeight="1" x14ac:dyDescent="0.3">
      <c r="A15" s="11" t="s">
        <v>16</v>
      </c>
      <c r="B15" s="84">
        <v>2018</v>
      </c>
      <c r="C15" s="84"/>
      <c r="D15" s="13">
        <v>361883</v>
      </c>
      <c r="E15" s="13">
        <v>16413.38</v>
      </c>
    </row>
    <row r="16" spans="1:6" ht="21" customHeight="1" x14ac:dyDescent="0.3">
      <c r="A16" s="36"/>
      <c r="B16" s="84">
        <v>2019</v>
      </c>
      <c r="C16" s="84"/>
      <c r="D16" s="13">
        <v>426853.73</v>
      </c>
      <c r="E16" s="13">
        <v>18866.91</v>
      </c>
    </row>
    <row r="17" spans="1:6" ht="12.75" customHeight="1" x14ac:dyDescent="0.3">
      <c r="A17" s="14"/>
      <c r="B17" s="85">
        <v>2017</v>
      </c>
      <c r="C17" s="85"/>
      <c r="D17" s="10">
        <v>624425.19999999995</v>
      </c>
      <c r="E17" s="10">
        <v>23357.9</v>
      </c>
    </row>
    <row r="18" spans="1:6" ht="12.75" customHeight="1" x14ac:dyDescent="0.3">
      <c r="A18" s="11" t="s">
        <v>17</v>
      </c>
      <c r="B18" s="84">
        <v>2018</v>
      </c>
      <c r="C18" s="84"/>
      <c r="D18" s="13">
        <v>551529.6</v>
      </c>
      <c r="E18" s="13">
        <v>18355.61</v>
      </c>
    </row>
    <row r="19" spans="1:6" ht="21" customHeight="1" x14ac:dyDescent="0.3">
      <c r="A19" s="36"/>
      <c r="B19" s="84">
        <v>2019</v>
      </c>
      <c r="C19" s="84"/>
      <c r="D19" s="13">
        <v>670980.4</v>
      </c>
      <c r="E19" s="13">
        <v>23814.14</v>
      </c>
    </row>
    <row r="20" spans="1:6" ht="12.75" customHeight="1" x14ac:dyDescent="0.3">
      <c r="A20" s="14"/>
      <c r="B20" s="85">
        <v>2017</v>
      </c>
      <c r="C20" s="85"/>
      <c r="D20" s="10">
        <v>430430.74</v>
      </c>
      <c r="E20" s="10">
        <v>8590.5499999999993</v>
      </c>
    </row>
    <row r="21" spans="1:6" ht="12.75" customHeight="1" x14ac:dyDescent="0.3">
      <c r="A21" s="11" t="s">
        <v>18</v>
      </c>
      <c r="B21" s="84">
        <v>2018</v>
      </c>
      <c r="C21" s="84"/>
      <c r="D21" s="13">
        <v>430430.74</v>
      </c>
      <c r="E21" s="13">
        <v>8590.5499999999993</v>
      </c>
    </row>
    <row r="22" spans="1:6" ht="21" customHeight="1" x14ac:dyDescent="0.3">
      <c r="A22" s="36"/>
      <c r="B22" s="84">
        <v>2019</v>
      </c>
      <c r="C22" s="84"/>
      <c r="D22" s="13">
        <v>564470.42000000004</v>
      </c>
      <c r="E22" s="13">
        <v>7556.94</v>
      </c>
    </row>
    <row r="23" spans="1:6" ht="12.75" customHeight="1" x14ac:dyDescent="0.3">
      <c r="A23" s="14"/>
      <c r="B23" s="85">
        <v>2017</v>
      </c>
      <c r="C23" s="85"/>
      <c r="D23" s="10">
        <v>265043.8</v>
      </c>
      <c r="E23" s="10">
        <v>25264.19</v>
      </c>
    </row>
    <row r="24" spans="1:6" ht="12.75" customHeight="1" x14ac:dyDescent="0.3">
      <c r="A24" s="11" t="s">
        <v>19</v>
      </c>
      <c r="B24" s="84">
        <v>2018</v>
      </c>
      <c r="C24" s="84"/>
      <c r="D24" s="13">
        <v>378095.04</v>
      </c>
      <c r="E24" s="13">
        <v>31570.47</v>
      </c>
    </row>
    <row r="25" spans="1:6" ht="21" customHeight="1" x14ac:dyDescent="0.3">
      <c r="A25" s="36"/>
      <c r="B25" s="84">
        <v>2019</v>
      </c>
      <c r="C25" s="84"/>
      <c r="D25" s="13">
        <v>255108.44</v>
      </c>
      <c r="E25" s="13">
        <v>23226.27</v>
      </c>
    </row>
    <row r="26" spans="1:6" ht="12.75" customHeight="1" x14ac:dyDescent="0.3">
      <c r="A26" s="14"/>
      <c r="B26" s="85">
        <v>2017</v>
      </c>
      <c r="C26" s="85"/>
      <c r="D26" s="16">
        <v>2901307.01</v>
      </c>
      <c r="E26" s="16">
        <v>184628.38</v>
      </c>
    </row>
    <row r="27" spans="1:6" ht="12.75" customHeight="1" x14ac:dyDescent="0.3">
      <c r="A27" s="17" t="s">
        <v>7</v>
      </c>
      <c r="B27" s="84">
        <v>2018</v>
      </c>
      <c r="C27" s="84"/>
      <c r="D27" s="18">
        <v>2971877.65</v>
      </c>
      <c r="E27" s="18">
        <v>179021.85</v>
      </c>
    </row>
    <row r="28" spans="1:6" ht="12.75" customHeight="1" x14ac:dyDescent="0.3">
      <c r="A28" s="5"/>
      <c r="B28" s="86">
        <v>2019</v>
      </c>
      <c r="C28" s="86"/>
      <c r="D28" s="21">
        <v>3532979.85</v>
      </c>
      <c r="E28" s="21">
        <v>210448.27</v>
      </c>
    </row>
    <row r="29" spans="1:6" ht="67.75" customHeight="1" x14ac:dyDescent="0.3">
      <c r="A29" s="66" t="s">
        <v>48</v>
      </c>
      <c r="B29" s="66"/>
      <c r="C29" s="66"/>
      <c r="D29" s="66"/>
      <c r="E29" s="66"/>
      <c r="F29" s="66"/>
    </row>
    <row r="30" spans="1:6" ht="12.75" customHeight="1" x14ac:dyDescent="0.3">
      <c r="A30" s="78" t="s">
        <v>49</v>
      </c>
      <c r="B30" s="78"/>
      <c r="C30" s="78"/>
      <c r="D30" s="78"/>
      <c r="E30" s="78"/>
    </row>
    <row r="31" spans="1:6" ht="12.75" customHeight="1" x14ac:dyDescent="0.3">
      <c r="A31" s="79" t="s">
        <v>2</v>
      </c>
      <c r="B31" s="79"/>
      <c r="C31" s="81" t="s">
        <v>3</v>
      </c>
      <c r="D31" s="33" t="s">
        <v>50</v>
      </c>
      <c r="E31" s="33" t="s">
        <v>45</v>
      </c>
    </row>
    <row r="32" spans="1:6" ht="12.75" customHeight="1" x14ac:dyDescent="0.3">
      <c r="A32" s="80"/>
      <c r="B32" s="80"/>
      <c r="C32" s="82"/>
      <c r="D32" s="6" t="s">
        <v>51</v>
      </c>
      <c r="E32" s="6" t="s">
        <v>52</v>
      </c>
    </row>
    <row r="33" spans="1:5" ht="12.75" customHeight="1" x14ac:dyDescent="0.3">
      <c r="A33" s="87"/>
      <c r="B33" s="87"/>
      <c r="C33" s="38">
        <v>2017</v>
      </c>
      <c r="D33" s="10">
        <v>21.01</v>
      </c>
      <c r="E33" s="10">
        <v>173.19</v>
      </c>
    </row>
    <row r="34" spans="1:5" ht="12.75" customHeight="1" x14ac:dyDescent="0.3">
      <c r="A34" s="88" t="s">
        <v>13</v>
      </c>
      <c r="B34" s="88"/>
      <c r="C34" s="39">
        <v>2018</v>
      </c>
      <c r="D34" s="13">
        <v>21.6</v>
      </c>
      <c r="E34" s="13">
        <v>183.16</v>
      </c>
    </row>
    <row r="35" spans="1:5" ht="21" customHeight="1" x14ac:dyDescent="0.3">
      <c r="A35" s="89"/>
      <c r="B35" s="89"/>
      <c r="C35" s="39">
        <v>2019</v>
      </c>
      <c r="D35" s="13">
        <v>19.309999999999999</v>
      </c>
      <c r="E35" s="13">
        <v>158.96</v>
      </c>
    </row>
    <row r="36" spans="1:5" ht="12.75" customHeight="1" x14ac:dyDescent="0.3">
      <c r="A36" s="90"/>
      <c r="B36" s="90"/>
      <c r="C36" s="40">
        <v>2017</v>
      </c>
      <c r="D36" s="10">
        <v>7.81</v>
      </c>
      <c r="E36" s="10">
        <v>90.23</v>
      </c>
    </row>
    <row r="37" spans="1:5" ht="12.75" customHeight="1" x14ac:dyDescent="0.3">
      <c r="A37" s="88" t="s">
        <v>14</v>
      </c>
      <c r="B37" s="88"/>
      <c r="C37" s="39">
        <v>2018</v>
      </c>
      <c r="D37" s="13">
        <v>7.05</v>
      </c>
      <c r="E37" s="13">
        <v>90.1</v>
      </c>
    </row>
    <row r="38" spans="1:5" ht="21" customHeight="1" x14ac:dyDescent="0.3">
      <c r="A38" s="89"/>
      <c r="B38" s="89"/>
      <c r="C38" s="39">
        <v>2019</v>
      </c>
      <c r="D38" s="13">
        <v>6.72</v>
      </c>
      <c r="E38" s="13">
        <v>84.16</v>
      </c>
    </row>
    <row r="39" spans="1:5" ht="12.75" customHeight="1" x14ac:dyDescent="0.3">
      <c r="A39" s="90"/>
      <c r="B39" s="90"/>
      <c r="C39" s="40">
        <v>2017</v>
      </c>
      <c r="D39" s="10">
        <v>11.6</v>
      </c>
      <c r="E39" s="10">
        <v>146.87</v>
      </c>
    </row>
    <row r="40" spans="1:5" ht="12.75" customHeight="1" x14ac:dyDescent="0.3">
      <c r="A40" s="88" t="s">
        <v>15</v>
      </c>
      <c r="B40" s="88"/>
      <c r="C40" s="39">
        <v>2018</v>
      </c>
      <c r="D40" s="13">
        <v>12.07</v>
      </c>
      <c r="E40" s="13">
        <v>163.36000000000001</v>
      </c>
    </row>
    <row r="41" spans="1:5" ht="12.75" customHeight="1" x14ac:dyDescent="0.3">
      <c r="A41" s="90"/>
      <c r="B41" s="90"/>
      <c r="C41" s="39">
        <v>2019</v>
      </c>
      <c r="D41" s="13">
        <v>10.08</v>
      </c>
      <c r="E41" s="13">
        <v>120.09</v>
      </c>
    </row>
    <row r="42" spans="1:5" ht="12.75" customHeight="1" x14ac:dyDescent="0.3">
      <c r="A42" s="90"/>
      <c r="B42" s="90"/>
      <c r="C42" s="40">
        <v>2017</v>
      </c>
      <c r="D42" s="10">
        <v>4.07</v>
      </c>
      <c r="E42" s="41">
        <v>88.01</v>
      </c>
    </row>
    <row r="43" spans="1:5" ht="12.75" customHeight="1" x14ac:dyDescent="0.3">
      <c r="A43" s="88" t="s">
        <v>16</v>
      </c>
      <c r="B43" s="88"/>
      <c r="C43" s="39">
        <v>2018</v>
      </c>
      <c r="D43" s="13">
        <v>4.3099999999999996</v>
      </c>
      <c r="E43" s="42">
        <v>94.98</v>
      </c>
    </row>
    <row r="44" spans="1:5" ht="21" customHeight="1" x14ac:dyDescent="0.3">
      <c r="A44" s="90"/>
      <c r="B44" s="90"/>
      <c r="C44" s="39">
        <v>2019</v>
      </c>
      <c r="D44" s="13">
        <v>3.96</v>
      </c>
      <c r="E44" s="42">
        <v>89.6</v>
      </c>
    </row>
    <row r="45" spans="1:5" ht="12.75" customHeight="1" x14ac:dyDescent="0.3">
      <c r="A45" s="90"/>
      <c r="B45" s="90"/>
      <c r="C45" s="40">
        <v>2017</v>
      </c>
      <c r="D45" s="10">
        <v>3.78</v>
      </c>
      <c r="E45" s="43">
        <v>101.14</v>
      </c>
    </row>
    <row r="46" spans="1:5" ht="12.75" customHeight="1" x14ac:dyDescent="0.3">
      <c r="A46" s="88" t="s">
        <v>17</v>
      </c>
      <c r="B46" s="88"/>
      <c r="C46" s="39">
        <v>2018</v>
      </c>
      <c r="D46" s="13">
        <v>4.21</v>
      </c>
      <c r="E46" s="44">
        <v>126.55</v>
      </c>
    </row>
    <row r="47" spans="1:5" ht="21" customHeight="1" x14ac:dyDescent="0.3">
      <c r="A47" s="90"/>
      <c r="B47" s="90"/>
      <c r="C47" s="39">
        <v>2019</v>
      </c>
      <c r="D47" s="13">
        <v>3.88</v>
      </c>
      <c r="E47" s="44">
        <v>109.19</v>
      </c>
    </row>
    <row r="48" spans="1:5" ht="12.75" customHeight="1" x14ac:dyDescent="0.3">
      <c r="A48" s="90"/>
      <c r="B48" s="90"/>
      <c r="C48" s="40">
        <v>2017</v>
      </c>
      <c r="D48" s="10">
        <v>3.08</v>
      </c>
      <c r="E48" s="43">
        <v>154.08000000000001</v>
      </c>
    </row>
    <row r="49" spans="1:5" ht="12.75" customHeight="1" x14ac:dyDescent="0.3">
      <c r="A49" s="88" t="s">
        <v>18</v>
      </c>
      <c r="B49" s="88"/>
      <c r="C49" s="39">
        <v>2018</v>
      </c>
      <c r="D49" s="13">
        <v>3.07</v>
      </c>
      <c r="E49" s="44">
        <v>153.84</v>
      </c>
    </row>
    <row r="50" spans="1:5" ht="21" customHeight="1" x14ac:dyDescent="0.3">
      <c r="A50" s="90"/>
      <c r="B50" s="90"/>
      <c r="C50" s="39">
        <v>2019</v>
      </c>
      <c r="D50" s="13">
        <v>2.76</v>
      </c>
      <c r="E50" s="44">
        <v>205.84</v>
      </c>
    </row>
    <row r="51" spans="1:5" ht="12.75" customHeight="1" x14ac:dyDescent="0.3">
      <c r="A51" s="90"/>
      <c r="B51" s="90"/>
      <c r="C51" s="40">
        <v>2017</v>
      </c>
      <c r="D51" s="10">
        <v>8.7899999999999991</v>
      </c>
      <c r="E51" s="41">
        <v>92.25</v>
      </c>
    </row>
    <row r="52" spans="1:5" ht="12.75" customHeight="1" x14ac:dyDescent="0.3">
      <c r="A52" s="88" t="s">
        <v>19</v>
      </c>
      <c r="B52" s="88"/>
      <c r="C52" s="39">
        <v>2018</v>
      </c>
      <c r="D52" s="13">
        <v>7.45</v>
      </c>
      <c r="E52" s="42">
        <v>89.24</v>
      </c>
    </row>
    <row r="53" spans="1:5" ht="21.25" customHeight="1" x14ac:dyDescent="0.3">
      <c r="A53" s="90"/>
      <c r="B53" s="90"/>
      <c r="C53" s="39">
        <v>2019</v>
      </c>
      <c r="D53" s="13">
        <v>8.6</v>
      </c>
      <c r="E53" s="42">
        <v>94.49</v>
      </c>
    </row>
    <row r="54" spans="1:5" ht="12.75" customHeight="1" x14ac:dyDescent="0.3">
      <c r="A54" s="90"/>
      <c r="B54" s="90"/>
      <c r="C54" s="40">
        <v>2017</v>
      </c>
      <c r="D54" s="16">
        <v>6.75</v>
      </c>
      <c r="E54" s="45">
        <v>106.08</v>
      </c>
    </row>
    <row r="55" spans="1:5" ht="12.75" customHeight="1" x14ac:dyDescent="0.3">
      <c r="A55" s="91" t="s">
        <v>7</v>
      </c>
      <c r="B55" s="91"/>
      <c r="C55" s="39">
        <v>2018</v>
      </c>
      <c r="D55" s="18">
        <v>6.57</v>
      </c>
      <c r="E55" s="46">
        <v>109.04</v>
      </c>
    </row>
    <row r="56" spans="1:5" ht="12.75" customHeight="1" x14ac:dyDescent="0.3">
      <c r="A56" s="92"/>
      <c r="B56" s="92"/>
      <c r="C56" s="47">
        <v>2019</v>
      </c>
      <c r="D56" s="21">
        <v>6.08</v>
      </c>
      <c r="E56" s="48">
        <v>102.11</v>
      </c>
    </row>
  </sheetData>
  <mergeCells count="56">
    <mergeCell ref="A56:B56"/>
    <mergeCell ref="A51:B51"/>
    <mergeCell ref="A52:B52"/>
    <mergeCell ref="A53:B53"/>
    <mergeCell ref="A54:B54"/>
    <mergeCell ref="A55:B55"/>
    <mergeCell ref="A46:B46"/>
    <mergeCell ref="A47:B47"/>
    <mergeCell ref="A48:B48"/>
    <mergeCell ref="A49:B49"/>
    <mergeCell ref="A50:B50"/>
    <mergeCell ref="A41:B41"/>
    <mergeCell ref="A42:B42"/>
    <mergeCell ref="A43:B43"/>
    <mergeCell ref="A44:B44"/>
    <mergeCell ref="A45:B45"/>
    <mergeCell ref="A36:B36"/>
    <mergeCell ref="A37:B37"/>
    <mergeCell ref="A38:B38"/>
    <mergeCell ref="A39:B39"/>
    <mergeCell ref="A40:B40"/>
    <mergeCell ref="A31:B32"/>
    <mergeCell ref="C31:C32"/>
    <mergeCell ref="A33:B33"/>
    <mergeCell ref="A34:B34"/>
    <mergeCell ref="A35:B35"/>
    <mergeCell ref="B26:C26"/>
    <mergeCell ref="B27:C27"/>
    <mergeCell ref="B28:C28"/>
    <mergeCell ref="A29:F29"/>
    <mergeCell ref="A30:E30"/>
    <mergeCell ref="B21:C21"/>
    <mergeCell ref="B22:C22"/>
    <mergeCell ref="B23:C23"/>
    <mergeCell ref="B24:C24"/>
    <mergeCell ref="B25:C25"/>
    <mergeCell ref="B16:C16"/>
    <mergeCell ref="B17:C17"/>
    <mergeCell ref="B18:C18"/>
    <mergeCell ref="B19:C19"/>
    <mergeCell ref="B20:C20"/>
    <mergeCell ref="B11:C11"/>
    <mergeCell ref="B12:C12"/>
    <mergeCell ref="B13:C13"/>
    <mergeCell ref="B14:C14"/>
    <mergeCell ref="B15:C15"/>
    <mergeCell ref="B6:C6"/>
    <mergeCell ref="B7:C7"/>
    <mergeCell ref="B8:C8"/>
    <mergeCell ref="B9:C9"/>
    <mergeCell ref="B10:C10"/>
    <mergeCell ref="A1:F1"/>
    <mergeCell ref="A2:E2"/>
    <mergeCell ref="A3:A4"/>
    <mergeCell ref="B3:C4"/>
    <mergeCell ref="B5:C5"/>
  </mergeCells>
  <hyperlinks>
    <hyperlink ref="A29" location="'Table 3'!A29" display="bookmark3" xr:uid="{00000000-0004-0000-02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
  <sheetViews>
    <sheetView workbookViewId="0">
      <selection activeCell="H26" sqref="A26:I28"/>
    </sheetView>
  </sheetViews>
  <sheetFormatPr defaultRowHeight="13" x14ac:dyDescent="0.3"/>
  <cols>
    <col min="1" max="1" width="17.59765625" customWidth="1"/>
    <col min="2" max="2" width="8.19921875" customWidth="1"/>
    <col min="3" max="3" width="28.19921875" customWidth="1"/>
    <col min="4" max="4" width="13.09765625" customWidth="1"/>
    <col min="5" max="5" width="11.59765625" customWidth="1"/>
    <col min="6" max="6" width="3.796875" customWidth="1"/>
    <col min="7" max="7" width="17.796875" customWidth="1"/>
    <col min="8" max="8" width="1.59765625" customWidth="1"/>
    <col min="9" max="9" width="14.69921875" customWidth="1"/>
    <col min="10" max="10" width="2.69921875" customWidth="1"/>
  </cols>
  <sheetData>
    <row r="1" spans="1:10" ht="203.75" customHeight="1" x14ac:dyDescent="0.3">
      <c r="A1" s="66" t="s">
        <v>53</v>
      </c>
      <c r="B1" s="66"/>
      <c r="C1" s="66"/>
      <c r="D1" s="66"/>
      <c r="E1" s="66"/>
      <c r="F1" s="66"/>
      <c r="G1" s="66"/>
      <c r="H1" s="66"/>
      <c r="I1" s="66"/>
      <c r="J1" s="66"/>
    </row>
    <row r="2" spans="1:10" ht="12.75" customHeight="1" x14ac:dyDescent="0.3">
      <c r="A2" s="67" t="s">
        <v>54</v>
      </c>
      <c r="B2" s="67"/>
      <c r="C2" s="67"/>
      <c r="D2" s="67"/>
      <c r="E2" s="67"/>
      <c r="F2" s="67"/>
      <c r="G2" s="67"/>
      <c r="H2" s="67"/>
      <c r="I2" s="67"/>
    </row>
    <row r="3" spans="1:10" ht="25.5" customHeight="1" x14ac:dyDescent="0.3">
      <c r="A3" s="49" t="s">
        <v>2</v>
      </c>
      <c r="B3" s="49" t="s">
        <v>3</v>
      </c>
      <c r="C3" s="3" t="s">
        <v>4</v>
      </c>
      <c r="D3" s="68" t="s">
        <v>5</v>
      </c>
      <c r="E3" s="68"/>
      <c r="F3" s="68" t="s">
        <v>55</v>
      </c>
      <c r="G3" s="68"/>
      <c r="H3" s="68"/>
      <c r="I3" s="4" t="s">
        <v>7</v>
      </c>
    </row>
    <row r="4" spans="1:10" ht="12.75" customHeight="1" x14ac:dyDescent="0.3">
      <c r="A4" s="5"/>
      <c r="B4" s="5"/>
      <c r="C4" s="6" t="s">
        <v>8</v>
      </c>
      <c r="D4" s="6" t="s">
        <v>56</v>
      </c>
      <c r="E4" s="6" t="s">
        <v>57</v>
      </c>
      <c r="F4" s="69" t="s">
        <v>58</v>
      </c>
      <c r="G4" s="69"/>
      <c r="H4" s="69"/>
      <c r="I4" s="7" t="s">
        <v>59</v>
      </c>
    </row>
    <row r="5" spans="1:10" ht="12.75" customHeight="1" x14ac:dyDescent="0.3">
      <c r="A5" s="8"/>
      <c r="B5" s="50">
        <v>2017</v>
      </c>
      <c r="C5" s="10">
        <v>3175.43</v>
      </c>
      <c r="D5" s="10">
        <v>96.03</v>
      </c>
      <c r="E5" s="10">
        <v>0</v>
      </c>
      <c r="F5" s="93">
        <v>735.38</v>
      </c>
      <c r="G5" s="93"/>
      <c r="H5" s="93"/>
      <c r="I5" s="10">
        <v>4006.84</v>
      </c>
    </row>
    <row r="6" spans="1:10" ht="12.75" customHeight="1" x14ac:dyDescent="0.3">
      <c r="A6" s="11" t="s">
        <v>13</v>
      </c>
      <c r="B6" s="51">
        <v>2018</v>
      </c>
      <c r="C6" s="13">
        <v>2297.9699999999998</v>
      </c>
      <c r="D6" s="13">
        <v>67.63</v>
      </c>
      <c r="E6" s="13">
        <v>0</v>
      </c>
      <c r="F6" s="94">
        <v>542.19000000000005</v>
      </c>
      <c r="G6" s="94"/>
      <c r="H6" s="94"/>
      <c r="I6" s="13">
        <v>2907.79</v>
      </c>
    </row>
    <row r="7" spans="1:10" ht="21" customHeight="1" x14ac:dyDescent="0.3">
      <c r="A7" s="14"/>
      <c r="B7" s="51">
        <v>2019</v>
      </c>
      <c r="C7" s="13">
        <v>1658.07</v>
      </c>
      <c r="D7" s="13">
        <v>43.06</v>
      </c>
      <c r="E7" s="13">
        <v>0</v>
      </c>
      <c r="F7" s="94">
        <v>313.32</v>
      </c>
      <c r="G7" s="94"/>
      <c r="H7" s="94"/>
      <c r="I7" s="13">
        <v>2014.45</v>
      </c>
    </row>
    <row r="8" spans="1:10" ht="12.75" customHeight="1" x14ac:dyDescent="0.3">
      <c r="A8" s="14"/>
      <c r="B8" s="52">
        <v>2017</v>
      </c>
      <c r="C8" s="10">
        <v>5819.36</v>
      </c>
      <c r="D8" s="10">
        <v>174.63</v>
      </c>
      <c r="E8" s="10">
        <v>0</v>
      </c>
      <c r="F8" s="93">
        <v>1471.84</v>
      </c>
      <c r="G8" s="93"/>
      <c r="H8" s="93"/>
      <c r="I8" s="10">
        <v>7465.83</v>
      </c>
    </row>
    <row r="9" spans="1:10" ht="12.75" customHeight="1" x14ac:dyDescent="0.3">
      <c r="A9" s="11" t="s">
        <v>14</v>
      </c>
      <c r="B9" s="51">
        <v>2018</v>
      </c>
      <c r="C9" s="13">
        <v>3803.85</v>
      </c>
      <c r="D9" s="13">
        <v>98.15</v>
      </c>
      <c r="E9" s="13">
        <v>0</v>
      </c>
      <c r="F9" s="94">
        <v>958.67</v>
      </c>
      <c r="G9" s="94"/>
      <c r="H9" s="94"/>
      <c r="I9" s="13">
        <v>4860.67</v>
      </c>
    </row>
    <row r="10" spans="1:10" ht="21" customHeight="1" x14ac:dyDescent="0.3">
      <c r="A10" s="14"/>
      <c r="B10" s="51">
        <v>2019</v>
      </c>
      <c r="C10" s="13">
        <v>4356.12</v>
      </c>
      <c r="D10" s="13">
        <v>111.51</v>
      </c>
      <c r="E10" s="13">
        <v>0</v>
      </c>
      <c r="F10" s="94">
        <v>1142.1300000000001</v>
      </c>
      <c r="G10" s="94"/>
      <c r="H10" s="94"/>
      <c r="I10" s="13">
        <v>5609.76</v>
      </c>
    </row>
    <row r="11" spans="1:10" ht="12.75" customHeight="1" x14ac:dyDescent="0.3">
      <c r="A11" s="14"/>
      <c r="B11" s="52">
        <v>2017</v>
      </c>
      <c r="C11" s="10">
        <v>390.64</v>
      </c>
      <c r="D11" s="10">
        <v>10.25</v>
      </c>
      <c r="E11" s="10">
        <v>11.87</v>
      </c>
      <c r="F11" s="93">
        <v>88</v>
      </c>
      <c r="G11" s="93"/>
      <c r="H11" s="93"/>
      <c r="I11" s="10">
        <v>500.77</v>
      </c>
    </row>
    <row r="12" spans="1:10" ht="12.75" customHeight="1" x14ac:dyDescent="0.3">
      <c r="A12" s="11" t="s">
        <v>15</v>
      </c>
      <c r="B12" s="51">
        <v>2018</v>
      </c>
      <c r="C12" s="13">
        <v>353.48</v>
      </c>
      <c r="D12" s="13">
        <v>7.68</v>
      </c>
      <c r="E12" s="13">
        <v>46.51</v>
      </c>
      <c r="F12" s="94">
        <v>40.659999999999997</v>
      </c>
      <c r="G12" s="94"/>
      <c r="H12" s="94"/>
      <c r="I12" s="13">
        <v>448.33</v>
      </c>
    </row>
    <row r="13" spans="1:10" ht="21" customHeight="1" x14ac:dyDescent="0.3">
      <c r="A13" s="14"/>
      <c r="B13" s="51">
        <v>2019</v>
      </c>
      <c r="C13" s="13">
        <v>527.97</v>
      </c>
      <c r="D13" s="13">
        <v>15.47</v>
      </c>
      <c r="E13" s="13">
        <v>33.97</v>
      </c>
      <c r="F13" s="94">
        <v>110.33</v>
      </c>
      <c r="G13" s="94"/>
      <c r="H13" s="94"/>
      <c r="I13" s="13">
        <v>687.74</v>
      </c>
    </row>
    <row r="14" spans="1:10" ht="12.75" customHeight="1" x14ac:dyDescent="0.3">
      <c r="A14" s="14"/>
      <c r="B14" s="52">
        <v>2017</v>
      </c>
      <c r="C14" s="10">
        <v>1237.04</v>
      </c>
      <c r="D14" s="10">
        <v>29.29</v>
      </c>
      <c r="E14" s="10">
        <v>18.89</v>
      </c>
      <c r="F14" s="93">
        <v>310.60000000000002</v>
      </c>
      <c r="G14" s="93"/>
      <c r="H14" s="93"/>
      <c r="I14" s="10">
        <v>1595.83</v>
      </c>
    </row>
    <row r="15" spans="1:10" ht="12.75" customHeight="1" x14ac:dyDescent="0.3">
      <c r="A15" s="11" t="s">
        <v>16</v>
      </c>
      <c r="B15" s="51">
        <v>2018</v>
      </c>
      <c r="C15" s="13">
        <v>1130.72</v>
      </c>
      <c r="D15" s="13">
        <v>42.19</v>
      </c>
      <c r="E15" s="13">
        <v>17.95</v>
      </c>
      <c r="F15" s="94">
        <v>246.39</v>
      </c>
      <c r="G15" s="94"/>
      <c r="H15" s="94"/>
      <c r="I15" s="13">
        <v>1437.25</v>
      </c>
    </row>
    <row r="16" spans="1:10" ht="12.75" customHeight="1" x14ac:dyDescent="0.3">
      <c r="A16" s="14"/>
      <c r="B16" s="51">
        <v>2019</v>
      </c>
      <c r="C16" s="13">
        <v>1352.9</v>
      </c>
      <c r="D16" s="13">
        <v>99.22</v>
      </c>
      <c r="E16" s="13">
        <v>90.5</v>
      </c>
      <c r="F16" s="94">
        <v>278.37</v>
      </c>
      <c r="G16" s="94"/>
      <c r="H16" s="94"/>
      <c r="I16" s="13">
        <v>1820.99</v>
      </c>
    </row>
    <row r="17" spans="1:9" ht="12.75" customHeight="1" x14ac:dyDescent="0.3">
      <c r="A17" s="14"/>
      <c r="B17" s="53">
        <v>2017</v>
      </c>
      <c r="C17" s="10">
        <v>1937.36</v>
      </c>
      <c r="D17" s="54">
        <v>50.48</v>
      </c>
      <c r="E17" s="95">
        <v>0</v>
      </c>
      <c r="F17" s="95"/>
      <c r="G17" s="56">
        <v>374.61</v>
      </c>
      <c r="H17" s="96">
        <v>2362.4499999999998</v>
      </c>
      <c r="I17" s="96"/>
    </row>
    <row r="18" spans="1:9" ht="12.75" customHeight="1" x14ac:dyDescent="0.3">
      <c r="A18" s="11" t="s">
        <v>17</v>
      </c>
      <c r="B18" s="57">
        <v>2018</v>
      </c>
      <c r="C18" s="13">
        <v>1693.91</v>
      </c>
      <c r="D18" s="58">
        <v>40.86</v>
      </c>
      <c r="E18" s="97">
        <v>286.87</v>
      </c>
      <c r="F18" s="97"/>
      <c r="G18" s="60">
        <v>309.82</v>
      </c>
      <c r="H18" s="98">
        <v>2331.46</v>
      </c>
      <c r="I18" s="98"/>
    </row>
    <row r="19" spans="1:9" ht="21" customHeight="1" x14ac:dyDescent="0.3">
      <c r="A19" s="14"/>
      <c r="B19" s="57">
        <v>2019</v>
      </c>
      <c r="C19" s="13">
        <v>1391.6</v>
      </c>
      <c r="D19" s="58">
        <v>54.72</v>
      </c>
      <c r="E19" s="97">
        <v>246.88</v>
      </c>
      <c r="F19" s="97"/>
      <c r="G19" s="60">
        <v>199.56</v>
      </c>
      <c r="H19" s="98">
        <v>1892.75</v>
      </c>
      <c r="I19" s="98"/>
    </row>
    <row r="20" spans="1:9" ht="12.75" customHeight="1" x14ac:dyDescent="0.3">
      <c r="A20" s="14"/>
      <c r="B20" s="53">
        <v>2017</v>
      </c>
      <c r="C20" s="10">
        <v>1019.39</v>
      </c>
      <c r="D20" s="54">
        <v>23.09</v>
      </c>
      <c r="E20" s="95">
        <v>11.98</v>
      </c>
      <c r="F20" s="95"/>
      <c r="G20" s="56">
        <v>269.19</v>
      </c>
      <c r="H20" s="96">
        <v>1323.65</v>
      </c>
      <c r="I20" s="96"/>
    </row>
    <row r="21" spans="1:9" ht="12.75" customHeight="1" x14ac:dyDescent="0.3">
      <c r="A21" s="11" t="s">
        <v>18</v>
      </c>
      <c r="B21" s="57">
        <v>2018</v>
      </c>
      <c r="C21" s="13">
        <v>1029.06</v>
      </c>
      <c r="D21" s="58">
        <v>23.14</v>
      </c>
      <c r="E21" s="97">
        <v>9.42</v>
      </c>
      <c r="F21" s="97"/>
      <c r="G21" s="60">
        <v>250.54</v>
      </c>
      <c r="H21" s="98">
        <v>1312.17</v>
      </c>
      <c r="I21" s="98"/>
    </row>
    <row r="22" spans="1:9" ht="21" customHeight="1" x14ac:dyDescent="0.3">
      <c r="A22" s="14"/>
      <c r="B22" s="57">
        <v>2019</v>
      </c>
      <c r="C22" s="13">
        <v>1421.01</v>
      </c>
      <c r="D22" s="58">
        <v>51.19</v>
      </c>
      <c r="E22" s="97">
        <v>44.03</v>
      </c>
      <c r="F22" s="97"/>
      <c r="G22" s="60">
        <v>350.1</v>
      </c>
      <c r="H22" s="98">
        <v>1866.32</v>
      </c>
      <c r="I22" s="98"/>
    </row>
    <row r="23" spans="1:9" ht="12.75" customHeight="1" x14ac:dyDescent="0.3">
      <c r="A23" s="14"/>
      <c r="B23" s="53">
        <v>2017</v>
      </c>
      <c r="C23" s="10">
        <v>1828.45</v>
      </c>
      <c r="D23" s="54">
        <v>48.36</v>
      </c>
      <c r="E23" s="95">
        <v>0</v>
      </c>
      <c r="F23" s="95"/>
      <c r="G23" s="56">
        <v>453.7</v>
      </c>
      <c r="H23" s="96">
        <v>2330.5100000000002</v>
      </c>
      <c r="I23" s="96"/>
    </row>
    <row r="24" spans="1:9" ht="12.75" customHeight="1" x14ac:dyDescent="0.3">
      <c r="A24" s="11" t="s">
        <v>19</v>
      </c>
      <c r="B24" s="57">
        <v>2018</v>
      </c>
      <c r="C24" s="13">
        <v>1816.83</v>
      </c>
      <c r="D24" s="58">
        <v>47.08</v>
      </c>
      <c r="E24" s="97">
        <v>0</v>
      </c>
      <c r="F24" s="97"/>
      <c r="G24" s="60">
        <v>433.68</v>
      </c>
      <c r="H24" s="98">
        <v>2297.59</v>
      </c>
      <c r="I24" s="98"/>
    </row>
    <row r="25" spans="1:9" ht="21" customHeight="1" x14ac:dyDescent="0.3">
      <c r="A25" s="14"/>
      <c r="B25" s="57">
        <v>2019</v>
      </c>
      <c r="C25" s="13">
        <v>1524.44</v>
      </c>
      <c r="D25" s="58">
        <v>39.380000000000003</v>
      </c>
      <c r="E25" s="97">
        <v>0</v>
      </c>
      <c r="F25" s="97"/>
      <c r="G25" s="60">
        <v>388.69</v>
      </c>
      <c r="H25" s="98">
        <v>1952.51</v>
      </c>
      <c r="I25" s="98"/>
    </row>
    <row r="26" spans="1:9" ht="12.75" customHeight="1" x14ac:dyDescent="0.3">
      <c r="A26" s="14"/>
      <c r="B26" s="53">
        <v>2017</v>
      </c>
      <c r="C26" s="10">
        <v>15407.67</v>
      </c>
      <c r="D26" s="55">
        <v>432.14</v>
      </c>
      <c r="E26" s="95">
        <v>42.74</v>
      </c>
      <c r="F26" s="95"/>
      <c r="G26" s="61">
        <v>3703.32</v>
      </c>
      <c r="H26" s="99">
        <v>19585.88</v>
      </c>
      <c r="I26" s="99"/>
    </row>
    <row r="27" spans="1:9" ht="12.75" customHeight="1" x14ac:dyDescent="0.3">
      <c r="A27" s="17" t="s">
        <v>7</v>
      </c>
      <c r="B27" s="57">
        <v>2018</v>
      </c>
      <c r="C27" s="13">
        <v>12125.84</v>
      </c>
      <c r="D27" s="59">
        <v>326.74</v>
      </c>
      <c r="E27" s="97">
        <v>360.75</v>
      </c>
      <c r="F27" s="97"/>
      <c r="G27" s="62">
        <v>2781.94</v>
      </c>
      <c r="H27" s="100">
        <v>15595.26</v>
      </c>
      <c r="I27" s="100"/>
    </row>
    <row r="28" spans="1:9" ht="12.75" customHeight="1" x14ac:dyDescent="0.3">
      <c r="A28" s="5"/>
      <c r="B28" s="63">
        <v>2019</v>
      </c>
      <c r="C28" s="20">
        <v>12232.11</v>
      </c>
      <c r="D28" s="64">
        <v>414.54</v>
      </c>
      <c r="E28" s="101">
        <v>415.38</v>
      </c>
      <c r="F28" s="101"/>
      <c r="G28" s="65">
        <v>2782.49</v>
      </c>
      <c r="H28" s="102">
        <v>15844.52</v>
      </c>
      <c r="I28" s="102"/>
    </row>
  </sheetData>
  <mergeCells count="41">
    <mergeCell ref="E28:F28"/>
    <mergeCell ref="H28:I28"/>
    <mergeCell ref="E25:F25"/>
    <mergeCell ref="H25:I25"/>
    <mergeCell ref="E26:F26"/>
    <mergeCell ref="H26:I26"/>
    <mergeCell ref="E27:F27"/>
    <mergeCell ref="H27:I27"/>
    <mergeCell ref="E22:F22"/>
    <mergeCell ref="H22:I22"/>
    <mergeCell ref="E23:F23"/>
    <mergeCell ref="H23:I23"/>
    <mergeCell ref="E24:F24"/>
    <mergeCell ref="H24:I24"/>
    <mergeCell ref="E19:F19"/>
    <mergeCell ref="H19:I19"/>
    <mergeCell ref="E20:F20"/>
    <mergeCell ref="H20:I20"/>
    <mergeCell ref="E21:F21"/>
    <mergeCell ref="H21:I21"/>
    <mergeCell ref="F15:H15"/>
    <mergeCell ref="F16:H16"/>
    <mergeCell ref="E17:F17"/>
    <mergeCell ref="H17:I17"/>
    <mergeCell ref="E18:F18"/>
    <mergeCell ref="H18:I18"/>
    <mergeCell ref="F10:H10"/>
    <mergeCell ref="F11:H11"/>
    <mergeCell ref="F12:H12"/>
    <mergeCell ref="F13:H13"/>
    <mergeCell ref="F14:H14"/>
    <mergeCell ref="F5:H5"/>
    <mergeCell ref="F6:H6"/>
    <mergeCell ref="F7:H7"/>
    <mergeCell ref="F8:H8"/>
    <mergeCell ref="F9:H9"/>
    <mergeCell ref="A1:J1"/>
    <mergeCell ref="A2:I2"/>
    <mergeCell ref="D3:E3"/>
    <mergeCell ref="F3:H3"/>
    <mergeCell ref="F4:H4"/>
  </mergeCells>
  <hyperlinks>
    <hyperlink ref="A1" location="'Table 4'!A1" display="bookmark4" xr:uid="{00000000-0004-0000-03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selection sqref="A1:H1"/>
    </sheetView>
  </sheetViews>
  <sheetFormatPr defaultRowHeight="13" x14ac:dyDescent="0.3"/>
  <cols>
    <col min="1" max="1" width="34.3984375" customWidth="1"/>
    <col min="2" max="2" width="19.796875" customWidth="1"/>
    <col min="3" max="3" width="28.8984375" customWidth="1"/>
    <col min="4" max="4" width="34.19921875" customWidth="1"/>
    <col min="5" max="5" width="2.69921875" customWidth="1"/>
  </cols>
  <sheetData>
    <row r="1" spans="1:5" ht="258.5" customHeight="1" x14ac:dyDescent="0.3">
      <c r="A1" s="66" t="s">
        <v>60</v>
      </c>
      <c r="B1" s="66"/>
      <c r="C1" s="66"/>
      <c r="D1" s="66"/>
      <c r="E1" s="66"/>
    </row>
    <row r="2" spans="1:5" ht="12.75" customHeight="1" x14ac:dyDescent="0.3">
      <c r="A2" s="78" t="s">
        <v>61</v>
      </c>
      <c r="B2" s="78"/>
      <c r="C2" s="78"/>
      <c r="D2" s="78"/>
    </row>
    <row r="3" spans="1:5" ht="12.75" customHeight="1" x14ac:dyDescent="0.3">
      <c r="A3" s="79" t="s">
        <v>2</v>
      </c>
      <c r="B3" s="81" t="s">
        <v>3</v>
      </c>
      <c r="C3" s="33" t="s">
        <v>44</v>
      </c>
      <c r="D3" s="33" t="s">
        <v>45</v>
      </c>
    </row>
    <row r="4" spans="1:5" ht="12.75" customHeight="1" x14ac:dyDescent="0.3">
      <c r="A4" s="80"/>
      <c r="B4" s="82"/>
      <c r="C4" s="7" t="s">
        <v>46</v>
      </c>
      <c r="D4" s="7" t="s">
        <v>47</v>
      </c>
    </row>
    <row r="5" spans="1:5" ht="12.75" customHeight="1" x14ac:dyDescent="0.3">
      <c r="A5" s="8"/>
      <c r="B5" s="34">
        <v>2017</v>
      </c>
      <c r="C5" s="10">
        <v>190681.35</v>
      </c>
      <c r="D5" s="10">
        <v>23135.91</v>
      </c>
    </row>
    <row r="6" spans="1:5" ht="12.75" customHeight="1" x14ac:dyDescent="0.3">
      <c r="A6" s="11" t="s">
        <v>13</v>
      </c>
      <c r="B6" s="35">
        <v>2018</v>
      </c>
      <c r="C6" s="13">
        <v>164959.32999999999</v>
      </c>
      <c r="D6" s="13">
        <v>19770.150000000001</v>
      </c>
    </row>
    <row r="7" spans="1:5" ht="21" customHeight="1" x14ac:dyDescent="0.3">
      <c r="A7" s="14"/>
      <c r="B7" s="35">
        <v>2019</v>
      </c>
      <c r="C7" s="13">
        <v>237059.20000000001</v>
      </c>
      <c r="D7" s="13">
        <v>27524.53</v>
      </c>
    </row>
    <row r="8" spans="1:5" ht="12.75" customHeight="1" x14ac:dyDescent="0.3">
      <c r="A8" s="14"/>
      <c r="B8" s="37">
        <v>2017</v>
      </c>
      <c r="C8" s="10">
        <v>955933.19</v>
      </c>
      <c r="D8" s="10">
        <v>82737.77</v>
      </c>
    </row>
    <row r="9" spans="1:5" ht="12.75" customHeight="1" x14ac:dyDescent="0.3">
      <c r="A9" s="11" t="s">
        <v>14</v>
      </c>
      <c r="B9" s="35">
        <v>2018</v>
      </c>
      <c r="C9" s="13">
        <v>1031946</v>
      </c>
      <c r="D9" s="13">
        <v>59288.71</v>
      </c>
    </row>
    <row r="10" spans="1:5" ht="21" customHeight="1" x14ac:dyDescent="0.3">
      <c r="A10" s="14"/>
      <c r="B10" s="35">
        <v>2019</v>
      </c>
      <c r="C10" s="13">
        <v>1198659.8400000001</v>
      </c>
      <c r="D10" s="13">
        <v>70912.19</v>
      </c>
    </row>
    <row r="11" spans="1:5" ht="12.75" customHeight="1" x14ac:dyDescent="0.3">
      <c r="A11" s="14"/>
      <c r="B11" s="37">
        <v>2017</v>
      </c>
      <c r="C11" s="10">
        <v>43161.94</v>
      </c>
      <c r="D11" s="10">
        <v>3409.68</v>
      </c>
    </row>
    <row r="12" spans="1:5" ht="12.75" customHeight="1" x14ac:dyDescent="0.3">
      <c r="A12" s="11" t="s">
        <v>15</v>
      </c>
      <c r="B12" s="35">
        <v>2018</v>
      </c>
      <c r="C12" s="13">
        <v>118252.03</v>
      </c>
      <c r="D12" s="13">
        <v>6438.32</v>
      </c>
    </row>
    <row r="13" spans="1:5" ht="21" customHeight="1" x14ac:dyDescent="0.3">
      <c r="A13" s="14"/>
      <c r="B13" s="35">
        <v>2019</v>
      </c>
      <c r="C13" s="13">
        <v>153611.20000000001</v>
      </c>
      <c r="D13" s="13">
        <v>8804.86</v>
      </c>
    </row>
    <row r="14" spans="1:5" ht="12.75" customHeight="1" x14ac:dyDescent="0.3">
      <c r="A14" s="14"/>
      <c r="B14" s="37">
        <v>2017</v>
      </c>
      <c r="C14" s="10">
        <v>391630.8</v>
      </c>
      <c r="D14" s="10">
        <v>18132.36</v>
      </c>
    </row>
    <row r="15" spans="1:5" ht="12.75" customHeight="1" x14ac:dyDescent="0.3">
      <c r="A15" s="11" t="s">
        <v>16</v>
      </c>
      <c r="B15" s="35">
        <v>2018</v>
      </c>
      <c r="C15" s="13">
        <v>378383.96</v>
      </c>
      <c r="D15" s="13">
        <v>16547.28</v>
      </c>
    </row>
    <row r="16" spans="1:5" ht="12.75" customHeight="1" x14ac:dyDescent="0.3">
      <c r="A16" s="14"/>
      <c r="B16" s="35">
        <v>2019</v>
      </c>
      <c r="C16" s="13">
        <v>484042.79</v>
      </c>
      <c r="D16" s="13">
        <v>12134.36</v>
      </c>
    </row>
  </sheetData>
  <mergeCells count="4">
    <mergeCell ref="A1:E1"/>
    <mergeCell ref="A2:D2"/>
    <mergeCell ref="A3:A4"/>
    <mergeCell ref="B3:B4"/>
  </mergeCells>
  <hyperlinks>
    <hyperlink ref="A1" location="'Table 5'!A1" display="bookmark5" xr:uid="{00000000-0004-0000-04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F16B391-B68C-475E-91D8-6E19B5A3529F}"/>
</file>

<file path=customXml/itemProps2.xml><?xml version="1.0" encoding="utf-8"?>
<ds:datastoreItem xmlns:ds="http://schemas.openxmlformats.org/officeDocument/2006/customXml" ds:itemID="{06992390-15CF-4B62-AF74-D795CCCF31FB}"/>
</file>

<file path=customXml/itemProps3.xml><?xml version="1.0" encoding="utf-8"?>
<ds:datastoreItem xmlns:ds="http://schemas.openxmlformats.org/officeDocument/2006/customXml" ds:itemID="{BBCE2D76-DDF2-4D01-8F8F-C1C94454E9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PANTALLAZO_Y_CÁLCULO</vt:lpstr>
      <vt:lpstr>Table 1</vt:lpstr>
      <vt:lpstr>Table 2</vt:lpstr>
      <vt:lpstr>Table 3</vt:lpstr>
      <vt:lpstr>Table 4</vt:lpstr>
      <vt:lpstr>Table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Victor</dc:creator>
  <cp:lastModifiedBy>Luis Victor Gallardo</cp:lastModifiedBy>
  <dcterms:created xsi:type="dcterms:W3CDTF">2024-12-01T03:37:16Z</dcterms:created>
  <dcterms:modified xsi:type="dcterms:W3CDTF">2024-12-01T04:54:01Z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